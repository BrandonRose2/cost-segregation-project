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530 Ames" sheetId="2" state="visible" r:id="rId4"/>
    <sheet name="540 Freedom" sheetId="3" state="visible" r:id="rId5"/>
    <sheet name="1208 Smith" sheetId="4" state="visible" r:id="rId6"/>
    <sheet name="1209 Smith" sheetId="5" state="visible" r:id="rId7"/>
    <sheet name="3112 Havenwood" sheetId="6" state="visible" r:id="rId8"/>
    <sheet name="3117 Barbwood" sheetId="7" state="visible" r:id="rId9"/>
    <sheet name="6805 Sayres" sheetId="8" state="visible" r:id="rId10"/>
    <sheet name="6800 Sayres" sheetId="9" state="visible" r:id="rId11"/>
    <sheet name="7112 Kayla" sheetId="10" state="visible" r:id="rId12"/>
    <sheet name="7141 Kayl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<sst xmlns="http://schemas.openxmlformats.org/spreadsheetml/2006/main" count="2501" uniqueCount="203">
  <si>
    <t xml:space="preserve">Marrero 3 LP</t>
  </si>
  <si>
    <t xml:space="preserve">Marrero 3 — 530 Ames Blvd, Marrero, LA 70072</t>
  </si>
  <si>
    <t xml:space="preserve">EIN: 82-2324040    ·    FYE: December 31, 2024    ·    Year of Change: 1/1/2024</t>
  </si>
  <si>
    <t xml:space="preserve">Summary of Cost Segregation Adjustments — CSSI Report #107752-18 (CAM — DCN #7)</t>
  </si>
  <si>
    <t xml:space="preserve">Acq Date</t>
  </si>
  <si>
    <t xml:space="preserve">Asset Description</t>
  </si>
  <si>
    <t xml:space="preserve">Total</t>
  </si>
  <si>
    <t xml:space="preserve">530 Ames</t>
  </si>
  <si>
    <t xml:space="preserve">540 Freedom</t>
  </si>
  <si>
    <t xml:space="preserve">1208 Smith</t>
  </si>
  <si>
    <t xml:space="preserve">1209 Smith</t>
  </si>
  <si>
    <t xml:space="preserve">3112 Havenwood</t>
  </si>
  <si>
    <t xml:space="preserve">3117 Barbwood</t>
  </si>
  <si>
    <t xml:space="preserve">6805 Sayres</t>
  </si>
  <si>
    <t xml:space="preserve">6800 Sayres</t>
  </si>
  <si>
    <t xml:space="preserve">7112 Kayla</t>
  </si>
  <si>
    <t xml:space="preserve">7141 Kayla</t>
  </si>
  <si>
    <t xml:space="preserve">12/08/17</t>
  </si>
  <si>
    <t xml:space="preserve">17 - Land Improvements - Ames</t>
  </si>
  <si>
    <t xml:space="preserve">18 - Buidling - Ames</t>
  </si>
  <si>
    <t xml:space="preserve">19 - Equpiment - Ames</t>
  </si>
  <si>
    <t xml:space="preserve">12 - Land Improvements - Smith Square</t>
  </si>
  <si>
    <t xml:space="preserve">13 - Buidling - Smith Square</t>
  </si>
  <si>
    <t xml:space="preserve">14 - Equpiment - Smith Square</t>
  </si>
  <si>
    <t xml:space="preserve">2 - Land Improvements - Havenwood</t>
  </si>
  <si>
    <t xml:space="preserve">3 - Buidling - Havenwood</t>
  </si>
  <si>
    <t xml:space="preserve">4 - Equipment - Havenwood</t>
  </si>
  <si>
    <t xml:space="preserve">1/09/18</t>
  </si>
  <si>
    <t xml:space="preserve">22 - Land Improvements - Gentry</t>
  </si>
  <si>
    <t xml:space="preserve">1/29/18</t>
  </si>
  <si>
    <t xml:space="preserve">23 - Buidling - Gentry</t>
  </si>
  <si>
    <t xml:space="preserve">24 - Equipment - Gentry</t>
  </si>
  <si>
    <t xml:space="preserve">7 - Land Improvements - Kayla</t>
  </si>
  <si>
    <t xml:space="preserve">8 - Buidling - Kayla</t>
  </si>
  <si>
    <t xml:space="preserve">9 - Equipment - Kayla</t>
  </si>
  <si>
    <t xml:space="preserve">Grand Total</t>
  </si>
  <si>
    <t xml:space="preserve">MACRS Reclassification</t>
  </si>
  <si>
    <t xml:space="preserve">17 - Land Improvements - Ames - 5yr</t>
  </si>
  <si>
    <t xml:space="preserve">17 - Land Improvements - Ames - 15yr</t>
  </si>
  <si>
    <t xml:space="preserve">18 - Buidling - Ames - 5yr</t>
  </si>
  <si>
    <t xml:space="preserve">18 - Buidling - Ames - 15yr</t>
  </si>
  <si>
    <t xml:space="preserve">18 - Buidling - Ames - 27.5yr</t>
  </si>
  <si>
    <t xml:space="preserve">19 - Equpiment - Ames - 5yr</t>
  </si>
  <si>
    <t xml:space="preserve">19 - Equpiment - Ames - 15yr</t>
  </si>
  <si>
    <t xml:space="preserve">19 - Equpiment - Ames - 27.5yr</t>
  </si>
  <si>
    <t xml:space="preserve">17 - Land Improvements - Ames - 27.5yr</t>
  </si>
  <si>
    <t xml:space="preserve">12 - Land Improvements - Smith Square - 5yr</t>
  </si>
  <si>
    <t xml:space="preserve">12 - Land Improvements - Smith Square - 15yr</t>
  </si>
  <si>
    <t xml:space="preserve">12 - Land Improvements - Smith Square - 275yr</t>
  </si>
  <si>
    <t xml:space="preserve">13 - Buidling - Smith Square - 5yr</t>
  </si>
  <si>
    <t xml:space="preserve">13 - Buidling - Smith Square - 15yr</t>
  </si>
  <si>
    <t xml:space="preserve">13 - Buidling - Smith Square - 27.5yr</t>
  </si>
  <si>
    <t xml:space="preserve">14 - Equpiment - Smith Square - 5yr</t>
  </si>
  <si>
    <t xml:space="preserve">14 - Equpiment - Smith Square - 15yr</t>
  </si>
  <si>
    <t xml:space="preserve">14 - Equpiment - Smith Square - 27.5yr</t>
  </si>
  <si>
    <t xml:space="preserve">2 - Land Improvements - Havenwood -5yr</t>
  </si>
  <si>
    <t xml:space="preserve">2 - Land Improvements - Havenwood -15yr</t>
  </si>
  <si>
    <t xml:space="preserve">2 - Land Improvements - Havenwood -27.5yr</t>
  </si>
  <si>
    <t xml:space="preserve">13 - Buidling - Havenwood - 5yr</t>
  </si>
  <si>
    <t xml:space="preserve">13 - Buidling - Havenwood - 15yr</t>
  </si>
  <si>
    <t xml:space="preserve">13 - Buidling - Havenwood - 27.5yr</t>
  </si>
  <si>
    <t xml:space="preserve">14 - Equipment - Havenwood - 5yr</t>
  </si>
  <si>
    <t xml:space="preserve">14 - Equipment - Havenwood - 15yr</t>
  </si>
  <si>
    <t xml:space="preserve">2 - Land Improvements - Havenwood - 5yr</t>
  </si>
  <si>
    <t xml:space="preserve">2 - Land Improvements - Havenwood - 15yr</t>
  </si>
  <si>
    <t xml:space="preserve">2 - Land Improvements - Havenwood - 27.5yr</t>
  </si>
  <si>
    <t xml:space="preserve">3 - Buidling - Havenwood - 5yr</t>
  </si>
  <si>
    <t xml:space="preserve">3 - Buidling - Havenwood - 15yr</t>
  </si>
  <si>
    <t xml:space="preserve">3 - Buidling - Havenwood - 27.5yr</t>
  </si>
  <si>
    <t xml:space="preserve">4 - Equipment - Havenwood - 5yr</t>
  </si>
  <si>
    <t xml:space="preserve">4 - Equipment - Havenwood - 15yr</t>
  </si>
  <si>
    <t xml:space="preserve">4 - Equipment - Havenwood - 27.5yr</t>
  </si>
  <si>
    <t xml:space="preserve">22 - Land Improvements - Gentry - 5yr</t>
  </si>
  <si>
    <t xml:space="preserve">22 - Land Improvements - Gentry - 15yr</t>
  </si>
  <si>
    <t xml:space="preserve">22 - Land Improvements - Gentry - 27.5yr</t>
  </si>
  <si>
    <t xml:space="preserve">23 - Buidling - Gentry - 5yr</t>
  </si>
  <si>
    <t xml:space="preserve">23 - Buidling - Gentry - 15yr</t>
  </si>
  <si>
    <t xml:space="preserve">23 - Buidling - Gentry - 27.5yr</t>
  </si>
  <si>
    <t xml:space="preserve">24 - Equipment - Gentry - 5yr</t>
  </si>
  <si>
    <t xml:space="preserve">24 - Equipment - Gentry - 15yr</t>
  </si>
  <si>
    <t xml:space="preserve">24 - Equipment - Gentry - 27.5yr</t>
  </si>
  <si>
    <t xml:space="preserve">7 - Land Improvements - Kayla - 5yr</t>
  </si>
  <si>
    <t xml:space="preserve">7 - Land Improvements - Kayla - 15yr</t>
  </si>
  <si>
    <t xml:space="preserve">7 - Land Improvements - Kayla - 27.5yr</t>
  </si>
  <si>
    <t xml:space="preserve">8 - Buidling - Kayla - 5yr</t>
  </si>
  <si>
    <t xml:space="preserve">8 - Buidling - Kayla - 15yr</t>
  </si>
  <si>
    <t xml:space="preserve">8 - Buidling - Kayla - 27.5yr</t>
  </si>
  <si>
    <t xml:space="preserve">9 - Equipment - Kayla - 5yr</t>
  </si>
  <si>
    <t xml:space="preserve">9 - Equipment - Kayla - 15yr</t>
  </si>
  <si>
    <t xml:space="preserve">9 - Equipment - Kayla - 27.5yr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</si>
  <si>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</si>
  <si>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</si>
  <si>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</si>
  <si>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</si>
  <si>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</si>
  <si>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</si>
  <si>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</si>
  <si>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</si>
  <si>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-52,330.16 (Regular Tax; AMT equals Regular Tax on every unit in this report).</t>
  </si>
  <si>
    <t xml:space="preserve">2. The CSSI report's own Before/After schedules carry small cost-basis rounding variances on: 3117 Barbwood (+1.00); 6805 Sayres (+1.00). The Difference row reflects the source PDF verbatim; these are cents-to-$1 rounding artifacts in the CSSI schedules, not transcription errors.</t>
  </si>
  <si>
    <t xml:space="preserve">3.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</si>
  <si>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4. All End Depreciation, Net Book Value, totals, and 481(a) cells are live formulas; asset-level inputs are transcribed from the CSSI PDF. The Difference and Check rows must remain zero after any edit.</t>
  </si>
  <si>
    <t xml:space="preserve">530 Ames — Attachment to Form 3115 (DCN #7, Rev. Proc. 2024-23 §6.01)</t>
  </si>
  <si>
    <t xml:space="preserve">Source: CSSI Report #107752-18, "#107752-18_Marrero 3 - 3115 Combined.pdf"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</si>
  <si>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</si>
  <si>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</si>
  <si>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</si>
  <si>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</si>
  <si>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</si>
  <si>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</si>
  <si>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</si>
  <si>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</si>
  <si>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</si>
  <si>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</si>
  <si>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</si>
  <si>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</si>
  <si>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</si>
  <si>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</si>
  <si>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150DB</t>
  </si>
  <si>
    <t xml:space="preserve">15.0</t>
  </si>
  <si>
    <t xml:space="preserve">S/L</t>
  </si>
  <si>
    <t xml:space="preserve">27.5</t>
  </si>
  <si>
    <t xml:space="preserve">5.0</t>
  </si>
  <si>
    <t xml:space="preserve">After Cost Segregation Correction</t>
  </si>
  <si>
    <t xml:space="preserve">200DB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</si>
  <si>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</si>
  <si>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</si>
  <si>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</si>
  <si>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</si>
  <si>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</si>
  <si>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</si>
  <si>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</si>
  <si>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</si>
  <si>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</si>
  <si>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</si>
  <si>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Building Cost</t>
  </si>
  <si>
    <t xml:space="preserve">Building Components: 5 Year</t>
  </si>
  <si>
    <t xml:space="preserve">% of Cost</t>
  </si>
  <si>
    <t xml:space="preserve">Site Improvements: 15 Year</t>
  </si>
  <si>
    <t xml:space="preserve">Building Structure: 27.5 Year</t>
  </si>
  <si>
    <t xml:space="preserve">COST SEGREGATION STUDY — COST DETAIL</t>
  </si>
  <si>
    <t xml:space="preserve">Property Category</t>
  </si>
  <si>
    <t xml:space="preserve">5 Year</t>
  </si>
  <si>
    <t xml:space="preserve">15 Year</t>
  </si>
  <si>
    <t xml:space="preserve">27.5 Year</t>
  </si>
  <si>
    <t xml:space="preserve">Building Components</t>
  </si>
  <si>
    <t xml:space="preserve">Cabinets / Millwork</t>
  </si>
  <si>
    <t xml:space="preserve">Moldings</t>
  </si>
  <si>
    <t xml:space="preserve">Flooring - Wood Laminate</t>
  </si>
  <si>
    <t xml:space="preserve">Security System</t>
  </si>
  <si>
    <t xml:space="preserve">Window Treatments</t>
  </si>
  <si>
    <t xml:space="preserve">Specialty HVAC - Dryer Vents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</si>
  <si>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</si>
  <si>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</si>
  <si>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</si>
  <si>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 / Laundry</t>
  </si>
  <si>
    <t xml:space="preserve">Security / Exterior Lighting</t>
  </si>
  <si>
    <t xml:space="preserve">Appliances</t>
  </si>
  <si>
    <t xml:space="preserve">Site Work / Improvements</t>
  </si>
  <si>
    <t xml:space="preserve">Driveway</t>
  </si>
  <si>
    <t xml:space="preserve">Sidewalks / Curbs</t>
  </si>
  <si>
    <t xml:space="preserve">Exterior Equipment Concrete Pads</t>
  </si>
  <si>
    <t xml:space="preserve">Mailboxes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</si>
  <si>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</si>
  <si>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</si>
  <si>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</si>
  <si>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</si>
  <si>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</si>
  <si>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</si>
  <si>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</si>
  <si>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</si>
  <si>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</si>
  <si>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</si>
  <si>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</si>
  <si>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</si>
  <si>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</si>
  <si>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Structural Framing</t>
  </si>
  <si>
    <t xml:space="preserve">Site Utilities</t>
  </si>
  <si>
    <t xml:space="preserve">Bathroom Accessories</t>
  </si>
  <si>
    <t xml:space="preserve">Cabinets / Millwork - Restrooms</t>
  </si>
  <si>
    <t xml:space="preserve">ASSET ALLOCATION (per After Cost Segregation schedule)</t>
  </si>
  <si>
    <t xml:space="preserve">Asset (as reclassified)</t>
  </si>
  <si>
    <t xml:space="preserve">Total Allocation</t>
  </si>
  <si>
    <t xml:space="preserve">Check: Allocation vs. Cost Detail (should be zero)</t>
  </si>
  <si>
    <t xml:space="preserve">540 Freedom — Attachment to Form 3115 (DCN #7, Rev. Proc. 2024-23 §6.01)</t>
  </si>
  <si>
    <t xml:space="preserve">Flooring - Vinyl Tile</t>
  </si>
  <si>
    <t xml:space="preserve">Flooring - Carpet</t>
  </si>
  <si>
    <t xml:space="preserve">1208 Smith — Attachment to Form 3115 (DCN #7, Rev. Proc. 2024-23 §6.01)</t>
  </si>
  <si>
    <t xml:space="preserve">Access Control</t>
  </si>
  <si>
    <t xml:space="preserve">1209 Smith — Attachment to Form 3115 (DCN #7, Rev. Proc. 2024-23 §6.01)</t>
  </si>
  <si>
    <t xml:space="preserve">3112 Havenwood — Attachment to Form 3115 (DCN #7, Rev. Proc. 2024-23 §6.01)</t>
  </si>
  <si>
    <t xml:space="preserve">Door &amp; Window Guards</t>
  </si>
  <si>
    <t xml:space="preserve">Gutter Systems</t>
  </si>
  <si>
    <t xml:space="preserve">Garage Doors</t>
  </si>
  <si>
    <t xml:space="preserve">Flooring - Sealed Concrete</t>
  </si>
  <si>
    <t xml:space="preserve">3117 Barbwood — Attachment to Form 3115 (DCN #7, Rev. Proc. 2024-23 §6.01)</t>
  </si>
  <si>
    <t xml:space="preserve">Ceramic Tile Flooring</t>
  </si>
  <si>
    <t xml:space="preserve">6805 Sayres — Attachment to Form 3115 (DCN #7, Rev. Proc. 2024-23 §6.01)</t>
  </si>
  <si>
    <t xml:space="preserve">Landscaping</t>
  </si>
  <si>
    <t xml:space="preserve">6800 Sayres — Attachment to Form 3115 (DCN #7, Rev. Proc. 2024-23 §6.01)</t>
  </si>
  <si>
    <t xml:space="preserve">Stairs / Balconies</t>
  </si>
  <si>
    <t xml:space="preserve">7112 Kayla — Attachment to Form 3115 (DCN #7, Rev. Proc. 2024-23 §6.01)</t>
  </si>
  <si>
    <t xml:space="preserve">7141 Kayla — Attachment to Form 3115 (DCN #7, Rev. Proc. 2024-23 §6.01)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</si>
</sst>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13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22.3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</row>
    <row r="8" customFormat="false" ht="15" hidden="false" customHeight="false" outlineLevel="0" collapsed="false">
      <c r="A8" s="5" t="s">
        <v>17</v>
      </c>
      <c r="B8" s="5" t="s">
        <v>18</v>
      </c>
      <c r="C8" s="6" t="n">
        <f aca="false">SUM(D8:M8)</f>
        <v>127145</v>
      </c>
      <c r="D8" s="6" t="n">
        <f aca="false">'530 Ames'!$D$10</f>
        <v>121057</v>
      </c>
      <c r="E8" s="6" t="n">
        <f aca="false">'540 Freedom'!$D$10</f>
        <v>6088</v>
      </c>
      <c r="F8" s="6"/>
      <c r="G8" s="6"/>
      <c r="H8" s="6"/>
      <c r="I8" s="6"/>
      <c r="J8" s="6"/>
      <c r="K8" s="6"/>
      <c r="L8" s="6"/>
      <c r="M8" s="6"/>
    </row>
    <row r="9" customFormat="false" ht="15" hidden="false" customHeight="false" outlineLevel="0" collapsed="false">
      <c r="A9" s="5" t="s">
        <v>17</v>
      </c>
      <c r="B9" s="5" t="s">
        <v>19</v>
      </c>
      <c r="C9" s="6" t="n">
        <f aca="false">SUM(D9:M9)</f>
        <v>1652880</v>
      </c>
      <c r="D9" s="6" t="n">
        <f aca="false">'530 Ames'!$D$11</f>
        <v>1573731</v>
      </c>
      <c r="E9" s="6" t="n">
        <f aca="false">'540 Freedom'!$D$11</f>
        <v>79149</v>
      </c>
      <c r="F9" s="6"/>
      <c r="G9" s="6"/>
      <c r="H9" s="6"/>
      <c r="I9" s="6"/>
      <c r="J9" s="6"/>
      <c r="K9" s="6"/>
      <c r="L9" s="6"/>
      <c r="M9" s="6"/>
    </row>
    <row r="10" customFormat="false" ht="15" hidden="false" customHeight="false" outlineLevel="0" collapsed="false">
      <c r="A10" s="5" t="s">
        <v>17</v>
      </c>
      <c r="B10" s="5" t="s">
        <v>20</v>
      </c>
      <c r="C10" s="6" t="n">
        <f aca="false">SUM(D10:M10)</f>
        <v>339052</v>
      </c>
      <c r="D10" s="6" t="n">
        <f aca="false">'530 Ames'!$D$12</f>
        <v>322816</v>
      </c>
      <c r="E10" s="6" t="n">
        <f aca="false">'540 Freedom'!$D$12</f>
        <v>16236</v>
      </c>
      <c r="F10" s="6"/>
      <c r="G10" s="6"/>
      <c r="H10" s="6"/>
      <c r="I10" s="6"/>
      <c r="J10" s="6"/>
      <c r="K10" s="6"/>
      <c r="L10" s="6"/>
      <c r="M10" s="6"/>
    </row>
    <row r="11" customFormat="false" ht="15" hidden="false" customHeight="false" outlineLevel="0" collapsed="false">
      <c r="A11" s="5" t="s">
        <v>17</v>
      </c>
      <c r="B11" s="5" t="s">
        <v>21</v>
      </c>
      <c r="C11" s="6" t="n">
        <f aca="false">SUM(D11:M11)</f>
        <v>52733</v>
      </c>
      <c r="D11" s="6"/>
      <c r="E11" s="6"/>
      <c r="F11" s="6" t="n">
        <f aca="false">'1208 Smith'!$D$10</f>
        <v>43832</v>
      </c>
      <c r="G11" s="6" t="n">
        <f aca="false">'1209 Smith'!$D$10</f>
        <v>8901</v>
      </c>
      <c r="H11" s="6"/>
      <c r="I11" s="6"/>
      <c r="J11" s="6"/>
      <c r="K11" s="6"/>
      <c r="L11" s="6"/>
      <c r="M11" s="6"/>
    </row>
    <row r="12" customFormat="false" ht="15" hidden="false" customHeight="false" outlineLevel="0" collapsed="false">
      <c r="A12" s="5" t="s">
        <v>17</v>
      </c>
      <c r="B12" s="5" t="s">
        <v>22</v>
      </c>
      <c r="C12" s="6" t="n">
        <f aca="false">SUM(D12:M12)</f>
        <v>685526</v>
      </c>
      <c r="D12" s="6"/>
      <c r="E12" s="6"/>
      <c r="F12" s="6" t="n">
        <f aca="false">'1208 Smith'!$D$11</f>
        <v>569814</v>
      </c>
      <c r="G12" s="6" t="n">
        <f aca="false">'1209 Smith'!$D$11</f>
        <v>115712</v>
      </c>
      <c r="H12" s="6"/>
      <c r="I12" s="6"/>
      <c r="J12" s="6"/>
      <c r="K12" s="6"/>
      <c r="L12" s="6"/>
      <c r="M12" s="6"/>
    </row>
    <row r="13" customFormat="false" ht="15" hidden="false" customHeight="false" outlineLevel="0" collapsed="false">
      <c r="A13" s="5" t="s">
        <v>17</v>
      </c>
      <c r="B13" s="5" t="s">
        <v>23</v>
      </c>
      <c r="C13" s="6" t="n">
        <f aca="false">SUM(D13:M13)</f>
        <v>140621</v>
      </c>
      <c r="D13" s="6"/>
      <c r="E13" s="6"/>
      <c r="F13" s="6" t="n">
        <f aca="false">'1208 Smith'!$D$12</f>
        <v>116885</v>
      </c>
      <c r="G13" s="6" t="n">
        <f aca="false">'1209 Smith'!$D$12</f>
        <v>23736</v>
      </c>
      <c r="H13" s="6"/>
      <c r="I13" s="6"/>
      <c r="J13" s="6"/>
      <c r="K13" s="6"/>
      <c r="L13" s="6"/>
      <c r="M13" s="6"/>
    </row>
    <row r="14" customFormat="false" ht="15" hidden="false" customHeight="false" outlineLevel="0" collapsed="false">
      <c r="A14" s="5" t="s">
        <v>17</v>
      </c>
      <c r="B14" s="5" t="s">
        <v>24</v>
      </c>
      <c r="C14" s="6" t="n">
        <f aca="false">SUM(D14:M14)</f>
        <v>55121</v>
      </c>
      <c r="D14" s="6"/>
      <c r="E14" s="6"/>
      <c r="F14" s="6"/>
      <c r="G14" s="6"/>
      <c r="H14" s="6" t="n">
        <f aca="false">'3112 Havenwood'!$D$10</f>
        <v>47472</v>
      </c>
      <c r="I14" s="6" t="n">
        <f aca="false">'3117 Barbwood'!$D$10</f>
        <v>7649</v>
      </c>
      <c r="J14" s="6"/>
      <c r="K14" s="6"/>
      <c r="L14" s="6"/>
      <c r="M14" s="6"/>
    </row>
    <row r="15" customFormat="false" ht="15" hidden="false" customHeight="false" outlineLevel="0" collapsed="false">
      <c r="A15" s="5" t="s">
        <v>17</v>
      </c>
      <c r="B15" s="5" t="s">
        <v>25</v>
      </c>
      <c r="C15" s="6" t="n">
        <f aca="false">SUM(D15:M15)</f>
        <v>716569</v>
      </c>
      <c r="D15" s="6"/>
      <c r="E15" s="6"/>
      <c r="F15" s="6"/>
      <c r="G15" s="6"/>
      <c r="H15" s="6" t="n">
        <f aca="false">'3112 Havenwood'!$D$11</f>
        <v>617127</v>
      </c>
      <c r="I15" s="6" t="n">
        <f aca="false">'3117 Barbwood'!$D$11</f>
        <v>99442</v>
      </c>
      <c r="J15" s="6"/>
      <c r="K15" s="6"/>
      <c r="L15" s="6"/>
      <c r="M15" s="6"/>
    </row>
    <row r="16" customFormat="false" ht="15" hidden="false" customHeight="false" outlineLevel="0" collapsed="false">
      <c r="A16" s="5" t="s">
        <v>17</v>
      </c>
      <c r="B16" s="5" t="s">
        <v>26</v>
      </c>
      <c r="C16" s="6" t="n">
        <f aca="false">SUM(D16:M16)</f>
        <v>146988</v>
      </c>
      <c r="D16" s="6"/>
      <c r="E16" s="6"/>
      <c r="F16" s="6"/>
      <c r="G16" s="6"/>
      <c r="H16" s="6" t="n">
        <f aca="false">'3112 Havenwood'!$D$12</f>
        <v>126590</v>
      </c>
      <c r="I16" s="6" t="n">
        <f aca="false">'3117 Barbwood'!$D$12</f>
        <v>20398</v>
      </c>
      <c r="J16" s="6"/>
      <c r="K16" s="6"/>
      <c r="L16" s="6"/>
      <c r="M16" s="6"/>
    </row>
    <row r="17" customFormat="false" ht="15" hidden="false" customHeight="false" outlineLevel="0" collapsed="false">
      <c r="A17" s="5" t="s">
        <v>27</v>
      </c>
      <c r="B17" s="5" t="s">
        <v>28</v>
      </c>
      <c r="C17" s="6" t="n">
        <f aca="false">SUM(D17:M17)</f>
        <v>48962</v>
      </c>
      <c r="D17" s="6"/>
      <c r="E17" s="6"/>
      <c r="F17" s="6"/>
      <c r="G17" s="6"/>
      <c r="H17" s="6"/>
      <c r="I17" s="6"/>
      <c r="J17" s="6" t="n">
        <f aca="false">'6805 Sayres'!$D$10</f>
        <v>40887</v>
      </c>
      <c r="K17" s="6" t="n">
        <f aca="false">'6800 Sayres'!$D$10</f>
        <v>8075</v>
      </c>
      <c r="L17" s="6"/>
      <c r="M17" s="6"/>
    </row>
    <row r="18" customFormat="false" ht="15" hidden="false" customHeight="false" outlineLevel="0" collapsed="false">
      <c r="A18" s="5" t="s">
        <v>29</v>
      </c>
      <c r="B18" s="5" t="s">
        <v>30</v>
      </c>
      <c r="C18" s="6" t="n">
        <f aca="false">SUM(D18:M18)</f>
        <v>1354621</v>
      </c>
      <c r="D18" s="6"/>
      <c r="E18" s="6"/>
      <c r="F18" s="6"/>
      <c r="G18" s="6"/>
      <c r="H18" s="6"/>
      <c r="I18" s="6"/>
      <c r="J18" s="6" t="n">
        <f aca="false">'6805 Sayres'!$D$11</f>
        <v>1131216</v>
      </c>
      <c r="K18" s="6" t="n">
        <f aca="false">'6800 Sayres'!$D$11</f>
        <v>223405</v>
      </c>
      <c r="L18" s="6"/>
      <c r="M18" s="6"/>
    </row>
    <row r="19" customFormat="false" ht="15" hidden="false" customHeight="false" outlineLevel="0" collapsed="false">
      <c r="A19" s="5" t="s">
        <v>29</v>
      </c>
      <c r="B19" s="5" t="s">
        <v>31</v>
      </c>
      <c r="C19" s="6" t="n">
        <f aca="false">SUM(D19:M19)</f>
        <v>228490</v>
      </c>
      <c r="D19" s="6"/>
      <c r="E19" s="6"/>
      <c r="F19" s="6"/>
      <c r="G19" s="6"/>
      <c r="H19" s="6"/>
      <c r="I19" s="6"/>
      <c r="J19" s="6" t="n">
        <f aca="false">'6805 Sayres'!$D$12</f>
        <v>190807</v>
      </c>
      <c r="K19" s="6" t="n">
        <f aca="false">'6800 Sayres'!$D$12</f>
        <v>37683</v>
      </c>
      <c r="L19" s="6"/>
      <c r="M19" s="6"/>
    </row>
    <row r="20" customFormat="false" ht="15" hidden="false" customHeight="false" outlineLevel="0" collapsed="false">
      <c r="A20" s="5" t="s">
        <v>17</v>
      </c>
      <c r="B20" s="5" t="s">
        <v>32</v>
      </c>
      <c r="C20" s="6" t="n">
        <f aca="false">SUM(D20:M20)</f>
        <v>98354</v>
      </c>
      <c r="D20" s="6"/>
      <c r="E20" s="6"/>
      <c r="F20" s="6"/>
      <c r="G20" s="6"/>
      <c r="H20" s="6"/>
      <c r="I20" s="6"/>
      <c r="J20" s="6"/>
      <c r="K20" s="6"/>
      <c r="L20" s="6" t="n">
        <f aca="false">'7112 Kayla'!$D$10</f>
        <v>80244</v>
      </c>
      <c r="M20" s="6" t="n">
        <f aca="false">'7141 Kayla'!$D$10</f>
        <v>18110</v>
      </c>
    </row>
    <row r="21" customFormat="false" ht="15" hidden="false" customHeight="false" outlineLevel="0" collapsed="false">
      <c r="A21" s="5" t="s">
        <v>17</v>
      </c>
      <c r="B21" s="5" t="s">
        <v>33</v>
      </c>
      <c r="C21" s="6" t="n">
        <f aca="false">SUM(D21:M21)</f>
        <v>1278607</v>
      </c>
      <c r="D21" s="6"/>
      <c r="E21" s="6"/>
      <c r="F21" s="6"/>
      <c r="G21" s="6"/>
      <c r="H21" s="6"/>
      <c r="I21" s="6"/>
      <c r="J21" s="6"/>
      <c r="K21" s="6"/>
      <c r="L21" s="6" t="n">
        <f aca="false">'7112 Kayla'!$D$11</f>
        <v>1043171</v>
      </c>
      <c r="M21" s="6" t="n">
        <f aca="false">'7141 Kayla'!$D$11</f>
        <v>235436</v>
      </c>
    </row>
    <row r="22" customFormat="false" ht="15" hidden="false" customHeight="false" outlineLevel="0" collapsed="false">
      <c r="A22" s="5" t="s">
        <v>17</v>
      </c>
      <c r="B22" s="5" t="s">
        <v>34</v>
      </c>
      <c r="C22" s="6" t="n">
        <f aca="false">SUM(D22:M22)</f>
        <v>262278</v>
      </c>
      <c r="D22" s="6"/>
      <c r="E22" s="6"/>
      <c r="F22" s="6"/>
      <c r="G22" s="6"/>
      <c r="H22" s="6"/>
      <c r="I22" s="6"/>
      <c r="J22" s="6"/>
      <c r="K22" s="6"/>
      <c r="L22" s="6" t="n">
        <f aca="false">'7112 Kayla'!$D$12</f>
        <v>213983</v>
      </c>
      <c r="M22" s="6" t="n">
        <f aca="false">'7141 Kayla'!$D$12</f>
        <v>48295</v>
      </c>
    </row>
    <row r="23" customFormat="false" ht="15" hidden="false" customHeight="false" outlineLevel="0" collapsed="false">
      <c r="A23" s="7"/>
      <c r="B23" s="8" t="s">
        <v>35</v>
      </c>
      <c r="C23" s="9" t="n">
        <f aca="false">SUM(C8:C22)</f>
        <v>7187947</v>
      </c>
      <c r="D23" s="9" t="n">
        <f aca="false">SUM(D8:D22)</f>
        <v>2017604</v>
      </c>
      <c r="E23" s="9" t="n">
        <f aca="false">SUM(E8:E22)</f>
        <v>101473</v>
      </c>
      <c r="F23" s="9" t="n">
        <f aca="false">SUM(F8:F22)</f>
        <v>730531</v>
      </c>
      <c r="G23" s="9" t="n">
        <f aca="false">SUM(G8:G22)</f>
        <v>148349</v>
      </c>
      <c r="H23" s="9" t="n">
        <f aca="false">SUM(H8:H22)</f>
        <v>791189</v>
      </c>
      <c r="I23" s="9" t="n">
        <f aca="false">SUM(I8:I22)</f>
        <v>127489</v>
      </c>
      <c r="J23" s="9" t="n">
        <f aca="false">SUM(J8:J22)</f>
        <v>1362910</v>
      </c>
      <c r="K23" s="9" t="n">
        <f aca="false">SUM(K8:K22)</f>
        <v>269163</v>
      </c>
      <c r="L23" s="9" t="n">
        <f aca="false">SUM(L8:L22)</f>
        <v>1337398</v>
      </c>
      <c r="M23" s="9" t="n">
        <f aca="false">SUM(M8:M22)</f>
        <v>301841</v>
      </c>
    </row>
    <row r="25" customFormat="false" ht="15" hidden="false" customHeight="false" outlineLevel="0" collapsed="false">
      <c r="B25" s="10" t="s">
        <v>36</v>
      </c>
    </row>
    <row r="26" customFormat="false" ht="15" hidden="false" customHeight="false" outlineLevel="0" collapsed="false">
      <c r="A26" s="5" t="s">
        <v>17</v>
      </c>
      <c r="B26" s="5" t="s">
        <v>37</v>
      </c>
      <c r="C26" s="6" t="n">
        <f aca="false">SUM(D26:M26)</f>
        <v>23248</v>
      </c>
      <c r="D26" s="6" t="n">
        <f aca="false">'530 Ames'!$D$17</f>
        <v>22198</v>
      </c>
      <c r="E26" s="6" t="n">
        <f aca="false">'540 Freedom'!$D$17</f>
        <v>1050</v>
      </c>
      <c r="F26" s="6"/>
      <c r="G26" s="6"/>
      <c r="H26" s="6"/>
      <c r="I26" s="6"/>
      <c r="J26" s="6"/>
      <c r="K26" s="6"/>
      <c r="L26" s="6"/>
      <c r="M26" s="6"/>
    </row>
    <row r="27" customFormat="false" ht="15" hidden="false" customHeight="false" outlineLevel="0" collapsed="false">
      <c r="A27" s="5" t="s">
        <v>17</v>
      </c>
      <c r="B27" s="5" t="s">
        <v>38</v>
      </c>
      <c r="C27" s="6" t="n">
        <f aca="false">SUM(D27:M27)</f>
        <v>99020</v>
      </c>
      <c r="D27" s="6" t="n">
        <f aca="false">'530 Ames'!$D$18+'530 Ames'!$D$19</f>
        <v>98858</v>
      </c>
      <c r="E27" s="6" t="n">
        <f aca="false">'540 Freedom'!$D$18</f>
        <v>162</v>
      </c>
      <c r="F27" s="6"/>
      <c r="G27" s="6"/>
      <c r="H27" s="6"/>
      <c r="I27" s="6"/>
      <c r="J27" s="6"/>
      <c r="K27" s="6"/>
      <c r="L27" s="6"/>
      <c r="M27" s="6"/>
    </row>
    <row r="28" customFormat="false" ht="15" hidden="false" customHeight="false" outlineLevel="0" collapsed="false">
      <c r="A28" s="5" t="s">
        <v>17</v>
      </c>
      <c r="B28" s="5" t="s">
        <v>39</v>
      </c>
      <c r="C28" s="6" t="n">
        <f aca="false">SUM(D28:M28)</f>
        <v>302225</v>
      </c>
      <c r="D28" s="6" t="n">
        <f aca="false">'530 Ames'!$D$20</f>
        <v>288575</v>
      </c>
      <c r="E28" s="6" t="n">
        <f aca="false">'540 Freedom'!$D$20</f>
        <v>13650</v>
      </c>
      <c r="F28" s="6"/>
      <c r="G28" s="6"/>
      <c r="H28" s="6"/>
      <c r="I28" s="6"/>
      <c r="J28" s="6"/>
      <c r="K28" s="6"/>
      <c r="L28" s="6"/>
      <c r="M28" s="6"/>
    </row>
    <row r="29" customFormat="false" ht="15" hidden="false" customHeight="false" outlineLevel="0" collapsed="false">
      <c r="A29" s="5" t="s">
        <v>17</v>
      </c>
      <c r="B29" s="5" t="s">
        <v>40</v>
      </c>
      <c r="C29" s="6" t="n">
        <f aca="false">SUM(D29:M29)</f>
        <v>28407</v>
      </c>
      <c r="D29" s="6" t="n">
        <f aca="false">'530 Ames'!$D$21</f>
        <v>26299</v>
      </c>
      <c r="E29" s="6" t="n">
        <f aca="false">'540 Freedom'!$D$21</f>
        <v>2108</v>
      </c>
      <c r="F29" s="6"/>
      <c r="G29" s="6"/>
      <c r="H29" s="6"/>
      <c r="I29" s="6"/>
      <c r="J29" s="6"/>
      <c r="K29" s="6"/>
      <c r="L29" s="6"/>
      <c r="M29" s="6"/>
    </row>
    <row r="30" customFormat="false" ht="15" hidden="false" customHeight="false" outlineLevel="0" collapsed="false">
      <c r="A30" s="5" t="s">
        <v>17</v>
      </c>
      <c r="B30" s="5" t="s">
        <v>41</v>
      </c>
      <c r="C30" s="6" t="n">
        <f aca="false">SUM(D30:M30)</f>
        <v>1322248</v>
      </c>
      <c r="D30" s="6" t="n">
        <f aca="false">'530 Ames'!$D$22</f>
        <v>1258857</v>
      </c>
      <c r="E30" s="6" t="n">
        <f aca="false">'540 Freedom'!$D$22</f>
        <v>63391</v>
      </c>
      <c r="F30" s="6"/>
      <c r="G30" s="6"/>
      <c r="H30" s="6"/>
      <c r="I30" s="6"/>
      <c r="J30" s="6"/>
      <c r="K30" s="6"/>
      <c r="L30" s="6"/>
      <c r="M30" s="6"/>
    </row>
    <row r="31" customFormat="false" ht="15" hidden="false" customHeight="false" outlineLevel="0" collapsed="false">
      <c r="A31" s="5" t="s">
        <v>17</v>
      </c>
      <c r="B31" s="5" t="s">
        <v>42</v>
      </c>
      <c r="C31" s="6" t="n">
        <f aca="false">SUM(D31:M31)</f>
        <v>61995</v>
      </c>
      <c r="D31" s="6" t="n">
        <f aca="false">'530 Ames'!$D$23</f>
        <v>59195</v>
      </c>
      <c r="E31" s="6" t="n">
        <f aca="false">'540 Freedom'!$D$23</f>
        <v>2800</v>
      </c>
      <c r="F31" s="6"/>
      <c r="G31" s="6"/>
      <c r="H31" s="6"/>
      <c r="I31" s="6"/>
      <c r="J31" s="6"/>
      <c r="K31" s="6"/>
      <c r="L31" s="6"/>
      <c r="M31" s="6"/>
    </row>
    <row r="32" customFormat="false" ht="15" hidden="false" customHeight="false" outlineLevel="0" collapsed="false">
      <c r="A32" s="5" t="s">
        <v>17</v>
      </c>
      <c r="B32" s="5" t="s">
        <v>43</v>
      </c>
      <c r="C32" s="6" t="n">
        <f aca="false">SUM(D32:M32)</f>
        <v>5827</v>
      </c>
      <c r="D32" s="6" t="n">
        <f aca="false">'530 Ames'!$D$24</f>
        <v>5395</v>
      </c>
      <c r="E32" s="6" t="n">
        <f aca="false">'540 Freedom'!$D$24</f>
        <v>432</v>
      </c>
      <c r="F32" s="6"/>
      <c r="G32" s="6"/>
      <c r="H32" s="6"/>
      <c r="I32" s="6"/>
      <c r="J32" s="6"/>
      <c r="K32" s="6"/>
      <c r="L32" s="6"/>
      <c r="M32" s="6"/>
    </row>
    <row r="33" customFormat="false" ht="15" hidden="false" customHeight="false" outlineLevel="0" collapsed="false">
      <c r="A33" s="5" t="s">
        <v>17</v>
      </c>
      <c r="B33" s="5" t="s">
        <v>44</v>
      </c>
      <c r="C33" s="6" t="n">
        <f aca="false">SUM(D33:M33)</f>
        <v>271231</v>
      </c>
      <c r="D33" s="6" t="n">
        <f aca="false">'530 Ames'!$D$25</f>
        <v>258227</v>
      </c>
      <c r="E33" s="6" t="n">
        <f aca="false">'540 Freedom'!$D$25</f>
        <v>13004</v>
      </c>
      <c r="F33" s="6"/>
      <c r="G33" s="6"/>
      <c r="H33" s="6"/>
      <c r="I33" s="6"/>
      <c r="J33" s="6"/>
      <c r="K33" s="6"/>
      <c r="L33" s="6"/>
      <c r="M33" s="6"/>
    </row>
    <row r="34" customFormat="false" ht="15" hidden="false" customHeight="false" outlineLevel="0" collapsed="false">
      <c r="A34" s="5" t="s">
        <v>17</v>
      </c>
      <c r="B34" s="5" t="s">
        <v>45</v>
      </c>
      <c r="C34" s="6" t="n">
        <f aca="false">SUM(D34:M34)</f>
        <v>4876</v>
      </c>
      <c r="D34" s="6"/>
      <c r="E34" s="6" t="n">
        <f aca="false">'540 Freedom'!$D$19</f>
        <v>4876</v>
      </c>
      <c r="F34" s="6"/>
      <c r="G34" s="6"/>
      <c r="H34" s="6"/>
      <c r="I34" s="6"/>
      <c r="J34" s="6"/>
      <c r="K34" s="6"/>
      <c r="L34" s="6"/>
      <c r="M34" s="6"/>
    </row>
    <row r="35" customFormat="false" ht="15" hidden="false" customHeight="false" outlineLevel="0" collapsed="false">
      <c r="A35" s="5" t="s">
        <v>17</v>
      </c>
      <c r="B35" s="5" t="s">
        <v>46</v>
      </c>
      <c r="C35" s="6" t="n">
        <f aca="false">SUM(D35:M35)</f>
        <v>9671</v>
      </c>
      <c r="D35" s="6"/>
      <c r="E35" s="6"/>
      <c r="F35" s="6" t="n">
        <f aca="false">'1208 Smith'!$D$17</f>
        <v>8155</v>
      </c>
      <c r="G35" s="6" t="n">
        <f aca="false">'1209 Smith'!$D$17</f>
        <v>1516</v>
      </c>
      <c r="H35" s="6"/>
      <c r="I35" s="6"/>
      <c r="J35" s="6"/>
      <c r="K35" s="6"/>
      <c r="L35" s="6"/>
      <c r="M35" s="6"/>
    </row>
    <row r="36" customFormat="false" ht="15" hidden="false" customHeight="false" outlineLevel="0" collapsed="false">
      <c r="A36" s="5" t="s">
        <v>17</v>
      </c>
      <c r="B36" s="5" t="s">
        <v>47</v>
      </c>
      <c r="C36" s="6" t="n">
        <f aca="false">SUM(D36:M36)</f>
        <v>1549</v>
      </c>
      <c r="D36" s="6"/>
      <c r="E36" s="6"/>
      <c r="F36" s="6" t="n">
        <f aca="false">'1208 Smith'!$D$18</f>
        <v>1280</v>
      </c>
      <c r="G36" s="6" t="n">
        <f aca="false">'1209 Smith'!$D$18</f>
        <v>269</v>
      </c>
      <c r="H36" s="6"/>
      <c r="I36" s="6"/>
      <c r="J36" s="6"/>
      <c r="K36" s="6"/>
      <c r="L36" s="6"/>
      <c r="M36" s="6"/>
    </row>
    <row r="37" customFormat="false" ht="15" hidden="false" customHeight="false" outlineLevel="0" collapsed="false">
      <c r="A37" s="5" t="s">
        <v>17</v>
      </c>
      <c r="B37" s="5" t="s">
        <v>48</v>
      </c>
      <c r="C37" s="6" t="n">
        <f aca="false">SUM(D37:M37)</f>
        <v>41513</v>
      </c>
      <c r="D37" s="6"/>
      <c r="E37" s="6"/>
      <c r="F37" s="6" t="n">
        <f aca="false">'1208 Smith'!$D$19</f>
        <v>34397</v>
      </c>
      <c r="G37" s="6" t="n">
        <f aca="false">'1209 Smith'!$D$19</f>
        <v>7116</v>
      </c>
      <c r="H37" s="6"/>
      <c r="I37" s="6"/>
      <c r="J37" s="6"/>
      <c r="K37" s="6"/>
      <c r="L37" s="6"/>
      <c r="M37" s="6"/>
    </row>
    <row r="38" customFormat="false" ht="15" hidden="false" customHeight="false" outlineLevel="0" collapsed="false">
      <c r="A38" s="5" t="s">
        <v>17</v>
      </c>
      <c r="B38" s="5" t="s">
        <v>49</v>
      </c>
      <c r="C38" s="6" t="n">
        <f aca="false">SUM(D38:M38)</f>
        <v>125729</v>
      </c>
      <c r="D38" s="6"/>
      <c r="E38" s="6"/>
      <c r="F38" s="6" t="n">
        <f aca="false">'1208 Smith'!$D$20</f>
        <v>106017</v>
      </c>
      <c r="G38" s="6" t="n">
        <f aca="false">'1209 Smith'!$D$20</f>
        <v>19712</v>
      </c>
      <c r="H38" s="6"/>
      <c r="I38" s="6"/>
      <c r="J38" s="6"/>
      <c r="K38" s="6"/>
      <c r="L38" s="6"/>
      <c r="M38" s="6"/>
    </row>
    <row r="39" customFormat="false" ht="15" hidden="false" customHeight="false" outlineLevel="0" collapsed="false">
      <c r="A39" s="5" t="s">
        <v>17</v>
      </c>
      <c r="B39" s="5" t="s">
        <v>50</v>
      </c>
      <c r="C39" s="6" t="n">
        <f aca="false">SUM(D39:M39)</f>
        <v>20130</v>
      </c>
      <c r="D39" s="6"/>
      <c r="E39" s="6"/>
      <c r="F39" s="6" t="n">
        <f aca="false">'1208 Smith'!$D$21</f>
        <v>16634</v>
      </c>
      <c r="G39" s="6" t="n">
        <f aca="false">'1209 Smith'!$D$21</f>
        <v>3496</v>
      </c>
      <c r="H39" s="6"/>
      <c r="I39" s="6"/>
      <c r="J39" s="6"/>
      <c r="K39" s="6"/>
      <c r="L39" s="6"/>
      <c r="M39" s="6"/>
    </row>
    <row r="40" customFormat="false" ht="15" hidden="false" customHeight="false" outlineLevel="0" collapsed="false">
      <c r="A40" s="5" t="s">
        <v>17</v>
      </c>
      <c r="B40" s="5" t="s">
        <v>51</v>
      </c>
      <c r="C40" s="6" t="n">
        <f aca="false">SUM(D40:M40)</f>
        <v>539667</v>
      </c>
      <c r="D40" s="6"/>
      <c r="E40" s="6"/>
      <c r="F40" s="6" t="n">
        <f aca="false">'1208 Smith'!$D$22</f>
        <v>447163</v>
      </c>
      <c r="G40" s="6" t="n">
        <f aca="false">'1209 Smith'!$D$22</f>
        <v>92504</v>
      </c>
      <c r="H40" s="6"/>
      <c r="I40" s="6"/>
      <c r="J40" s="6"/>
      <c r="K40" s="6"/>
      <c r="L40" s="6"/>
      <c r="M40" s="6"/>
    </row>
    <row r="41" customFormat="false" ht="15" hidden="false" customHeight="false" outlineLevel="0" collapsed="false">
      <c r="A41" s="5" t="s">
        <v>17</v>
      </c>
      <c r="B41" s="5" t="s">
        <v>52</v>
      </c>
      <c r="C41" s="6" t="n">
        <f aca="false">SUM(D41:M41)</f>
        <v>25790</v>
      </c>
      <c r="D41" s="6"/>
      <c r="E41" s="6"/>
      <c r="F41" s="6" t="n">
        <f aca="false">'1208 Smith'!$D$23</f>
        <v>21747</v>
      </c>
      <c r="G41" s="6" t="n">
        <f aca="false">'1209 Smith'!$D$23</f>
        <v>4043</v>
      </c>
      <c r="H41" s="6"/>
      <c r="I41" s="6"/>
      <c r="J41" s="6"/>
      <c r="K41" s="6"/>
      <c r="L41" s="6"/>
      <c r="M41" s="6"/>
    </row>
    <row r="42" customFormat="false" ht="15" hidden="false" customHeight="false" outlineLevel="0" collapsed="false">
      <c r="A42" s="5" t="s">
        <v>17</v>
      </c>
      <c r="B42" s="5" t="s">
        <v>53</v>
      </c>
      <c r="C42" s="6" t="n">
        <f aca="false">SUM(D42:M42)</f>
        <v>4129</v>
      </c>
      <c r="D42" s="6"/>
      <c r="E42" s="6"/>
      <c r="F42" s="6" t="n">
        <f aca="false">'1208 Smith'!$D$24</f>
        <v>3412</v>
      </c>
      <c r="G42" s="6" t="n">
        <f aca="false">'1209 Smith'!$D$24</f>
        <v>717</v>
      </c>
      <c r="H42" s="6"/>
      <c r="I42" s="6"/>
      <c r="J42" s="6"/>
      <c r="K42" s="6"/>
      <c r="L42" s="6"/>
      <c r="M42" s="6"/>
    </row>
    <row r="43" customFormat="false" ht="15" hidden="false" customHeight="false" outlineLevel="0" collapsed="false">
      <c r="A43" s="5" t="s">
        <v>17</v>
      </c>
      <c r="B43" s="5" t="s">
        <v>54</v>
      </c>
      <c r="C43" s="6" t="n">
        <f aca="false">SUM(D43:M43)</f>
        <v>110702</v>
      </c>
      <c r="D43" s="6"/>
      <c r="E43" s="6"/>
      <c r="F43" s="6" t="n">
        <f aca="false">'1208 Smith'!$D$25</f>
        <v>91726</v>
      </c>
      <c r="G43" s="6" t="n">
        <f aca="false">'1209 Smith'!$D$25</f>
        <v>18976</v>
      </c>
      <c r="H43" s="6"/>
      <c r="I43" s="6"/>
      <c r="J43" s="6"/>
      <c r="K43" s="6"/>
      <c r="L43" s="6"/>
      <c r="M43" s="6"/>
    </row>
    <row r="44" customFormat="false" ht="15" hidden="false" customHeight="false" outlineLevel="0" collapsed="false">
      <c r="A44" s="5" t="s">
        <v>17</v>
      </c>
      <c r="B44" s="5" t="s">
        <v>55</v>
      </c>
      <c r="C44" s="6" t="n">
        <f aca="false">SUM(D44:M44)</f>
        <v>8161</v>
      </c>
      <c r="D44" s="6"/>
      <c r="E44" s="6"/>
      <c r="F44" s="6"/>
      <c r="G44" s="6"/>
      <c r="H44" s="6" t="n">
        <f aca="false">'3112 Havenwood'!$D$17</f>
        <v>8161</v>
      </c>
      <c r="I44" s="6"/>
      <c r="J44" s="6"/>
      <c r="K44" s="6"/>
      <c r="L44" s="6"/>
      <c r="M44" s="6"/>
    </row>
    <row r="45" customFormat="false" ht="15" hidden="false" customHeight="false" outlineLevel="0" collapsed="false">
      <c r="A45" s="5" t="s">
        <v>17</v>
      </c>
      <c r="B45" s="5" t="s">
        <v>56</v>
      </c>
      <c r="C45" s="6" t="n">
        <f aca="false">SUM(D45:M45)</f>
        <v>1164</v>
      </c>
      <c r="D45" s="6"/>
      <c r="E45" s="6"/>
      <c r="F45" s="6"/>
      <c r="G45" s="6"/>
      <c r="H45" s="6" t="n">
        <f aca="false">'3112 Havenwood'!$D$18</f>
        <v>1164</v>
      </c>
      <c r="I45" s="6"/>
      <c r="J45" s="6"/>
      <c r="K45" s="6"/>
      <c r="L45" s="6"/>
      <c r="M45" s="6"/>
    </row>
    <row r="46" customFormat="false" ht="15" hidden="false" customHeight="false" outlineLevel="0" collapsed="false">
      <c r="A46" s="5" t="s">
        <v>17</v>
      </c>
      <c r="B46" s="5" t="s">
        <v>57</v>
      </c>
      <c r="C46" s="6" t="n">
        <f aca="false">SUM(D46:M46)</f>
        <v>38146</v>
      </c>
      <c r="D46" s="6"/>
      <c r="E46" s="6"/>
      <c r="F46" s="6"/>
      <c r="G46" s="6"/>
      <c r="H46" s="6" t="n">
        <f aca="false">'3112 Havenwood'!$D$19</f>
        <v>38146</v>
      </c>
      <c r="I46" s="6"/>
      <c r="J46" s="6"/>
      <c r="K46" s="6"/>
      <c r="L46" s="6"/>
      <c r="M46" s="6"/>
    </row>
    <row r="47" customFormat="false" ht="15" hidden="false" customHeight="false" outlineLevel="0" collapsed="false">
      <c r="A47" s="5" t="s">
        <v>17</v>
      </c>
      <c r="B47" s="5" t="s">
        <v>58</v>
      </c>
      <c r="C47" s="6" t="n">
        <f aca="false">SUM(D47:M47)</f>
        <v>106098</v>
      </c>
      <c r="D47" s="6"/>
      <c r="E47" s="6"/>
      <c r="F47" s="6"/>
      <c r="G47" s="6"/>
      <c r="H47" s="6" t="n">
        <f aca="false">'3112 Havenwood'!$D$20</f>
        <v>106098</v>
      </c>
      <c r="I47" s="6"/>
      <c r="J47" s="6"/>
      <c r="K47" s="6"/>
      <c r="L47" s="6"/>
      <c r="M47" s="6"/>
    </row>
    <row r="48" customFormat="false" ht="15" hidden="false" customHeight="false" outlineLevel="0" collapsed="false">
      <c r="A48" s="5" t="s">
        <v>17</v>
      </c>
      <c r="B48" s="5" t="s">
        <v>59</v>
      </c>
      <c r="C48" s="6" t="n">
        <f aca="false">SUM(D48:M48)</f>
        <v>15130</v>
      </c>
      <c r="D48" s="6"/>
      <c r="E48" s="6"/>
      <c r="F48" s="6"/>
      <c r="G48" s="6"/>
      <c r="H48" s="6" t="n">
        <f aca="false">'3112 Havenwood'!$D$21</f>
        <v>15130</v>
      </c>
      <c r="I48" s="6"/>
      <c r="J48" s="6"/>
      <c r="K48" s="6"/>
      <c r="L48" s="6"/>
      <c r="M48" s="6"/>
    </row>
    <row r="49" customFormat="false" ht="15" hidden="false" customHeight="false" outlineLevel="0" collapsed="false">
      <c r="A49" s="5" t="s">
        <v>17</v>
      </c>
      <c r="B49" s="5" t="s">
        <v>60</v>
      </c>
      <c r="C49" s="6" t="n">
        <f aca="false">SUM(D49:M49)</f>
        <v>495900</v>
      </c>
      <c r="D49" s="6"/>
      <c r="E49" s="6"/>
      <c r="F49" s="6"/>
      <c r="G49" s="6"/>
      <c r="H49" s="6" t="n">
        <f aca="false">'3112 Havenwood'!$D$22</f>
        <v>495900</v>
      </c>
      <c r="I49" s="6"/>
      <c r="J49" s="6"/>
      <c r="K49" s="6"/>
      <c r="L49" s="6"/>
      <c r="M49" s="6"/>
    </row>
    <row r="50" customFormat="false" ht="15" hidden="false" customHeight="false" outlineLevel="0" collapsed="false">
      <c r="A50" s="5" t="s">
        <v>17</v>
      </c>
      <c r="B50" s="5" t="s">
        <v>61</v>
      </c>
      <c r="C50" s="6" t="n">
        <f aca="false">SUM(D50:M50)</f>
        <v>21764</v>
      </c>
      <c r="D50" s="6"/>
      <c r="E50" s="6"/>
      <c r="F50" s="6"/>
      <c r="G50" s="6"/>
      <c r="H50" s="6" t="n">
        <f aca="false">'3112 Havenwood'!$D$23</f>
        <v>21764</v>
      </c>
      <c r="I50" s="6"/>
      <c r="J50" s="6"/>
      <c r="K50" s="6"/>
      <c r="L50" s="6"/>
      <c r="M50" s="6"/>
    </row>
    <row r="51" customFormat="false" ht="15" hidden="false" customHeight="false" outlineLevel="0" collapsed="false">
      <c r="A51" s="5" t="s">
        <v>17</v>
      </c>
      <c r="B51" s="5" t="s">
        <v>62</v>
      </c>
      <c r="C51" s="6" t="n">
        <f aca="false">SUM(D51:M51)</f>
        <v>104826</v>
      </c>
      <c r="D51" s="6"/>
      <c r="E51" s="6"/>
      <c r="F51" s="6"/>
      <c r="G51" s="6"/>
      <c r="H51" s="6" t="n">
        <f aca="false">'3112 Havenwood'!$D$24+'3112 Havenwood'!$D$25</f>
        <v>104826</v>
      </c>
      <c r="I51" s="6"/>
      <c r="J51" s="6"/>
      <c r="K51" s="6"/>
      <c r="L51" s="6"/>
      <c r="M51" s="6"/>
    </row>
    <row r="52" customFormat="false" ht="15" hidden="false" customHeight="false" outlineLevel="0" collapsed="false">
      <c r="A52" s="5" t="s">
        <v>17</v>
      </c>
      <c r="B52" s="5" t="s">
        <v>63</v>
      </c>
      <c r="C52" s="6" t="n">
        <f aca="false">SUM(D52:M52)</f>
        <v>1030</v>
      </c>
      <c r="D52" s="6"/>
      <c r="E52" s="6"/>
      <c r="F52" s="6"/>
      <c r="G52" s="6"/>
      <c r="H52" s="6"/>
      <c r="I52" s="6" t="n">
        <f aca="false">'3117 Barbwood'!$D$17</f>
        <v>1030</v>
      </c>
      <c r="J52" s="6"/>
      <c r="K52" s="6"/>
      <c r="L52" s="6"/>
      <c r="M52" s="6"/>
    </row>
    <row r="53" customFormat="false" ht="15" hidden="false" customHeight="false" outlineLevel="0" collapsed="false">
      <c r="A53" s="5" t="s">
        <v>17</v>
      </c>
      <c r="B53" s="5" t="s">
        <v>64</v>
      </c>
      <c r="C53" s="6" t="n">
        <f aca="false">SUM(D53:M53)</f>
        <v>127</v>
      </c>
      <c r="D53" s="6"/>
      <c r="E53" s="6"/>
      <c r="F53" s="6"/>
      <c r="G53" s="6"/>
      <c r="H53" s="6"/>
      <c r="I53" s="6" t="n">
        <f aca="false">'3117 Barbwood'!$D$18</f>
        <v>127</v>
      </c>
      <c r="J53" s="6"/>
      <c r="K53" s="6"/>
      <c r="L53" s="6"/>
      <c r="M53" s="6"/>
    </row>
    <row r="54" customFormat="false" ht="15" hidden="false" customHeight="false" outlineLevel="0" collapsed="false">
      <c r="A54" s="5" t="s">
        <v>17</v>
      </c>
      <c r="B54" s="5" t="s">
        <v>65</v>
      </c>
      <c r="C54" s="6" t="n">
        <f aca="false">SUM(D54:M54)</f>
        <v>6493</v>
      </c>
      <c r="D54" s="6"/>
      <c r="E54" s="6"/>
      <c r="F54" s="6"/>
      <c r="G54" s="6"/>
      <c r="H54" s="6"/>
      <c r="I54" s="6" t="n">
        <f aca="false">'3117 Barbwood'!$D$19</f>
        <v>6493</v>
      </c>
      <c r="J54" s="6"/>
      <c r="K54" s="6"/>
      <c r="L54" s="6"/>
      <c r="M54" s="6"/>
    </row>
    <row r="55" customFormat="false" ht="15" hidden="false" customHeight="false" outlineLevel="0" collapsed="false">
      <c r="A55" s="5" t="s">
        <v>17</v>
      </c>
      <c r="B55" s="5" t="s">
        <v>66</v>
      </c>
      <c r="C55" s="6" t="n">
        <f aca="false">SUM(D55:M55)</f>
        <v>13389</v>
      </c>
      <c r="D55" s="6"/>
      <c r="E55" s="6"/>
      <c r="F55" s="6"/>
      <c r="G55" s="6"/>
      <c r="H55" s="6"/>
      <c r="I55" s="6" t="n">
        <f aca="false">'3117 Barbwood'!$D$20</f>
        <v>13389</v>
      </c>
      <c r="J55" s="6"/>
      <c r="K55" s="6"/>
      <c r="L55" s="6"/>
      <c r="M55" s="6"/>
    </row>
    <row r="56" customFormat="false" ht="15" hidden="false" customHeight="false" outlineLevel="0" collapsed="false">
      <c r="A56" s="5" t="s">
        <v>17</v>
      </c>
      <c r="B56" s="5" t="s">
        <v>67</v>
      </c>
      <c r="C56" s="6" t="n">
        <f aca="false">SUM(D56:M56)</f>
        <v>1655</v>
      </c>
      <c r="D56" s="6"/>
      <c r="E56" s="6"/>
      <c r="F56" s="6"/>
      <c r="G56" s="6"/>
      <c r="H56" s="6"/>
      <c r="I56" s="6" t="n">
        <f aca="false">'3117 Barbwood'!$D$21</f>
        <v>1655</v>
      </c>
      <c r="J56" s="6"/>
      <c r="K56" s="6"/>
      <c r="L56" s="6"/>
      <c r="M56" s="6"/>
    </row>
    <row r="57" customFormat="false" ht="15" hidden="false" customHeight="false" outlineLevel="0" collapsed="false">
      <c r="A57" s="5" t="s">
        <v>17</v>
      </c>
      <c r="B57" s="5" t="s">
        <v>68</v>
      </c>
      <c r="C57" s="6" t="n">
        <f aca="false">SUM(D57:M57)</f>
        <v>84398</v>
      </c>
      <c r="D57" s="6"/>
      <c r="E57" s="6"/>
      <c r="F57" s="6"/>
      <c r="G57" s="6"/>
      <c r="H57" s="6"/>
      <c r="I57" s="6" t="n">
        <f aca="false">'3117 Barbwood'!$D$22</f>
        <v>84398</v>
      </c>
      <c r="J57" s="6"/>
      <c r="K57" s="6"/>
      <c r="L57" s="6"/>
      <c r="M57" s="6"/>
    </row>
    <row r="58" customFormat="false" ht="15" hidden="false" customHeight="false" outlineLevel="0" collapsed="false">
      <c r="A58" s="5" t="s">
        <v>17</v>
      </c>
      <c r="B58" s="5" t="s">
        <v>69</v>
      </c>
      <c r="C58" s="6" t="n">
        <f aca="false">SUM(D58:M58)</f>
        <v>2746</v>
      </c>
      <c r="D58" s="6"/>
      <c r="E58" s="6"/>
      <c r="F58" s="6"/>
      <c r="G58" s="6"/>
      <c r="H58" s="6"/>
      <c r="I58" s="6" t="n">
        <f aca="false">'3117 Barbwood'!$D$23</f>
        <v>2746</v>
      </c>
      <c r="J58" s="6"/>
      <c r="K58" s="6"/>
      <c r="L58" s="6"/>
      <c r="M58" s="6"/>
    </row>
    <row r="59" customFormat="false" ht="15" hidden="false" customHeight="false" outlineLevel="0" collapsed="false">
      <c r="A59" s="5" t="s">
        <v>17</v>
      </c>
      <c r="B59" s="5" t="s">
        <v>70</v>
      </c>
      <c r="C59" s="6" t="n">
        <f aca="false">SUM(D59:M59)</f>
        <v>340</v>
      </c>
      <c r="D59" s="6"/>
      <c r="E59" s="6"/>
      <c r="F59" s="6"/>
      <c r="G59" s="6"/>
      <c r="H59" s="6"/>
      <c r="I59" s="6" t="n">
        <f aca="false">'3117 Barbwood'!$D$24</f>
        <v>340</v>
      </c>
      <c r="J59" s="6"/>
      <c r="K59" s="6"/>
      <c r="L59" s="6"/>
      <c r="M59" s="6"/>
    </row>
    <row r="60" customFormat="false" ht="15" hidden="false" customHeight="false" outlineLevel="0" collapsed="false">
      <c r="A60" s="5" t="s">
        <v>17</v>
      </c>
      <c r="B60" s="5" t="s">
        <v>71</v>
      </c>
      <c r="C60" s="6" t="n">
        <f aca="false">SUM(D60:M60)</f>
        <v>17312</v>
      </c>
      <c r="D60" s="6"/>
      <c r="E60" s="6"/>
      <c r="F60" s="6"/>
      <c r="G60" s="6"/>
      <c r="H60" s="6"/>
      <c r="I60" s="6" t="n">
        <f aca="false">'3117 Barbwood'!$D$25</f>
        <v>17312</v>
      </c>
      <c r="J60" s="6"/>
      <c r="K60" s="6"/>
      <c r="L60" s="6"/>
      <c r="M60" s="6"/>
    </row>
    <row r="61" customFormat="false" ht="15" hidden="false" customHeight="false" outlineLevel="0" collapsed="false">
      <c r="A61" s="5" t="s">
        <v>27</v>
      </c>
      <c r="B61" s="5" t="s">
        <v>72</v>
      </c>
      <c r="C61" s="6" t="n">
        <f aca="false">SUM(D61:M61)</f>
        <v>7434</v>
      </c>
      <c r="D61" s="6"/>
      <c r="E61" s="6"/>
      <c r="F61" s="6"/>
      <c r="G61" s="6"/>
      <c r="H61" s="6"/>
      <c r="I61" s="6"/>
      <c r="J61" s="6" t="n">
        <f aca="false">'6805 Sayres'!$D$17</f>
        <v>6134</v>
      </c>
      <c r="K61" s="6" t="n">
        <f aca="false">'6800 Sayres'!$D$17</f>
        <v>1300</v>
      </c>
      <c r="L61" s="6"/>
      <c r="M61" s="6"/>
    </row>
    <row r="62" customFormat="false" ht="15" hidden="false" customHeight="false" outlineLevel="0" collapsed="false">
      <c r="A62" s="5" t="s">
        <v>27</v>
      </c>
      <c r="B62" s="5" t="s">
        <v>73</v>
      </c>
      <c r="C62" s="6" t="n">
        <f aca="false">SUM(D62:M62)</f>
        <v>877</v>
      </c>
      <c r="D62" s="6"/>
      <c r="E62" s="6"/>
      <c r="F62" s="6"/>
      <c r="G62" s="6"/>
      <c r="H62" s="6"/>
      <c r="I62" s="6"/>
      <c r="J62" s="6" t="n">
        <f aca="false">'6805 Sayres'!$D$18</f>
        <v>692</v>
      </c>
      <c r="K62" s="6" t="n">
        <f aca="false">'6800 Sayres'!$D$18</f>
        <v>185</v>
      </c>
      <c r="L62" s="6"/>
      <c r="M62" s="6"/>
    </row>
    <row r="63" customFormat="false" ht="15" hidden="false" customHeight="false" outlineLevel="0" collapsed="false">
      <c r="A63" s="5" t="s">
        <v>27</v>
      </c>
      <c r="B63" s="5" t="s">
        <v>74</v>
      </c>
      <c r="C63" s="6" t="n">
        <f aca="false">SUM(D63:M63)</f>
        <v>40651</v>
      </c>
      <c r="D63" s="6"/>
      <c r="E63" s="6"/>
      <c r="F63" s="6"/>
      <c r="G63" s="6"/>
      <c r="H63" s="6"/>
      <c r="I63" s="6"/>
      <c r="J63" s="6" t="n">
        <f aca="false">'6805 Sayres'!$D$19</f>
        <v>34061</v>
      </c>
      <c r="K63" s="6" t="n">
        <f aca="false">'6800 Sayres'!$D$19</f>
        <v>6590</v>
      </c>
      <c r="L63" s="6"/>
      <c r="M63" s="6"/>
    </row>
    <row r="64" customFormat="false" ht="15" hidden="false" customHeight="false" outlineLevel="0" collapsed="false">
      <c r="A64" s="5" t="s">
        <v>29</v>
      </c>
      <c r="B64" s="5" t="s">
        <v>75</v>
      </c>
      <c r="C64" s="6" t="n">
        <f aca="false">SUM(D64:M64)</f>
        <v>205675</v>
      </c>
      <c r="D64" s="6"/>
      <c r="E64" s="6"/>
      <c r="F64" s="6"/>
      <c r="G64" s="6"/>
      <c r="H64" s="6"/>
      <c r="I64" s="6"/>
      <c r="J64" s="6" t="n">
        <f aca="false">'6805 Sayres'!$D$20</f>
        <v>169707</v>
      </c>
      <c r="K64" s="6" t="n">
        <f aca="false">'6800 Sayres'!$D$20</f>
        <v>35968</v>
      </c>
      <c r="L64" s="6"/>
      <c r="M64" s="6"/>
    </row>
    <row r="65" customFormat="false" ht="15" hidden="false" customHeight="false" outlineLevel="0" collapsed="false">
      <c r="A65" s="5" t="s">
        <v>29</v>
      </c>
      <c r="B65" s="5" t="s">
        <v>76</v>
      </c>
      <c r="C65" s="6" t="n">
        <f aca="false">SUM(D65:M65)</f>
        <v>24254</v>
      </c>
      <c r="D65" s="6"/>
      <c r="E65" s="6"/>
      <c r="F65" s="6"/>
      <c r="G65" s="6"/>
      <c r="H65" s="6"/>
      <c r="I65" s="6"/>
      <c r="J65" s="6" t="n">
        <f aca="false">'6805 Sayres'!$D$21</f>
        <v>19148</v>
      </c>
      <c r="K65" s="6" t="n">
        <f aca="false">'6800 Sayres'!$D$21</f>
        <v>5106</v>
      </c>
      <c r="L65" s="6"/>
      <c r="M65" s="6"/>
    </row>
    <row r="66" customFormat="false" ht="15" hidden="false" customHeight="false" outlineLevel="0" collapsed="false">
      <c r="A66" s="5" t="s">
        <v>29</v>
      </c>
      <c r="B66" s="5" t="s">
        <v>77</v>
      </c>
      <c r="C66" s="6" t="n">
        <f aca="false">SUM(D66:M66)</f>
        <v>1124692</v>
      </c>
      <c r="D66" s="6"/>
      <c r="E66" s="6"/>
      <c r="F66" s="6"/>
      <c r="G66" s="6"/>
      <c r="H66" s="6"/>
      <c r="I66" s="6"/>
      <c r="J66" s="6" t="n">
        <f aca="false">'6805 Sayres'!$D$22</f>
        <v>942361</v>
      </c>
      <c r="K66" s="6" t="n">
        <f aca="false">'6800 Sayres'!$D$22</f>
        <v>182331</v>
      </c>
      <c r="L66" s="6"/>
      <c r="M66" s="6"/>
    </row>
    <row r="67" customFormat="false" ht="15" hidden="false" customHeight="false" outlineLevel="0" collapsed="false">
      <c r="A67" s="5" t="s">
        <v>29</v>
      </c>
      <c r="B67" s="5" t="s">
        <v>78</v>
      </c>
      <c r="C67" s="6" t="n">
        <f aca="false">SUM(D67:M67)</f>
        <v>34692</v>
      </c>
      <c r="D67" s="6"/>
      <c r="E67" s="6"/>
      <c r="F67" s="6"/>
      <c r="G67" s="6"/>
      <c r="H67" s="6"/>
      <c r="I67" s="6"/>
      <c r="J67" s="6" t="n">
        <f aca="false">'6805 Sayres'!$D$23</f>
        <v>28625</v>
      </c>
      <c r="K67" s="6" t="n">
        <f aca="false">'6800 Sayres'!$D$23</f>
        <v>6067</v>
      </c>
      <c r="L67" s="6"/>
      <c r="M67" s="6"/>
    </row>
    <row r="68" customFormat="false" ht="15" hidden="false" customHeight="false" outlineLevel="0" collapsed="false">
      <c r="A68" s="5" t="s">
        <v>29</v>
      </c>
      <c r="B68" s="5" t="s">
        <v>79</v>
      </c>
      <c r="C68" s="6" t="n">
        <f aca="false">SUM(D68:M68)</f>
        <v>4091</v>
      </c>
      <c r="D68" s="6"/>
      <c r="E68" s="6"/>
      <c r="F68" s="6"/>
      <c r="G68" s="6"/>
      <c r="H68" s="6"/>
      <c r="I68" s="6"/>
      <c r="J68" s="6" t="n">
        <f aca="false">'6805 Sayres'!$D$24</f>
        <v>3230</v>
      </c>
      <c r="K68" s="6" t="n">
        <f aca="false">'6800 Sayres'!$D$24</f>
        <v>861</v>
      </c>
      <c r="L68" s="6"/>
      <c r="M68" s="6"/>
    </row>
    <row r="69" customFormat="false" ht="15" hidden="false" customHeight="false" outlineLevel="0" collapsed="false">
      <c r="A69" s="5" t="s">
        <v>29</v>
      </c>
      <c r="B69" s="5" t="s">
        <v>80</v>
      </c>
      <c r="C69" s="6" t="n">
        <f aca="false">SUM(D69:M69)</f>
        <v>189708</v>
      </c>
      <c r="D69" s="6"/>
      <c r="E69" s="6"/>
      <c r="F69" s="6"/>
      <c r="G69" s="6"/>
      <c r="H69" s="6"/>
      <c r="I69" s="6"/>
      <c r="J69" s="6" t="n">
        <f aca="false">'6805 Sayres'!$D$25</f>
        <v>158953</v>
      </c>
      <c r="K69" s="6" t="n">
        <f aca="false">'6800 Sayres'!$D$25</f>
        <v>30755</v>
      </c>
      <c r="L69" s="6"/>
      <c r="M69" s="6"/>
    </row>
    <row r="70" customFormat="false" ht="15" hidden="false" customHeight="false" outlineLevel="0" collapsed="false">
      <c r="A70" s="5" t="s">
        <v>17</v>
      </c>
      <c r="B70" s="5" t="s">
        <v>81</v>
      </c>
      <c r="C70" s="6" t="n">
        <f aca="false">SUM(D70:M70)</f>
        <v>16361</v>
      </c>
      <c r="D70" s="6"/>
      <c r="E70" s="6"/>
      <c r="F70" s="6"/>
      <c r="G70" s="6"/>
      <c r="H70" s="6"/>
      <c r="I70" s="6"/>
      <c r="J70" s="6"/>
      <c r="K70" s="6"/>
      <c r="L70" s="6" t="n">
        <f aca="false">'7112 Kayla'!$D$17</f>
        <v>13399</v>
      </c>
      <c r="M70" s="6" t="n">
        <f aca="false">'7141 Kayla'!$D$17</f>
        <v>2962</v>
      </c>
    </row>
    <row r="71" customFormat="false" ht="15" hidden="false" customHeight="false" outlineLevel="0" collapsed="false">
      <c r="A71" s="5" t="s">
        <v>17</v>
      </c>
      <c r="B71" s="5" t="s">
        <v>82</v>
      </c>
      <c r="C71" s="6" t="n">
        <f aca="false">SUM(D71:M71)</f>
        <v>1530</v>
      </c>
      <c r="D71" s="6"/>
      <c r="E71" s="6"/>
      <c r="F71" s="6"/>
      <c r="G71" s="6"/>
      <c r="H71" s="6"/>
      <c r="I71" s="6"/>
      <c r="J71" s="6"/>
      <c r="K71" s="6"/>
      <c r="L71" s="6" t="n">
        <f aca="false">'7112 Kayla'!$D$18</f>
        <v>1194</v>
      </c>
      <c r="M71" s="6" t="n">
        <f aca="false">'7141 Kayla'!$D$18</f>
        <v>336</v>
      </c>
    </row>
    <row r="72" customFormat="false" ht="15" hidden="false" customHeight="false" outlineLevel="0" collapsed="false">
      <c r="A72" s="5" t="s">
        <v>17</v>
      </c>
      <c r="B72" s="5" t="s">
        <v>83</v>
      </c>
      <c r="C72" s="6" t="n">
        <f aca="false">SUM(D72:M72)</f>
        <v>80463</v>
      </c>
      <c r="D72" s="6"/>
      <c r="E72" s="6"/>
      <c r="F72" s="6"/>
      <c r="G72" s="6"/>
      <c r="H72" s="6"/>
      <c r="I72" s="6"/>
      <c r="J72" s="6"/>
      <c r="K72" s="6"/>
      <c r="L72" s="6" t="n">
        <f aca="false">'7112 Kayla'!$D$19</f>
        <v>65650</v>
      </c>
      <c r="M72" s="6" t="n">
        <f aca="false">'7141 Kayla'!$D$19</f>
        <v>14813</v>
      </c>
    </row>
    <row r="73" customFormat="false" ht="15" hidden="false" customHeight="false" outlineLevel="0" collapsed="false">
      <c r="A73" s="5" t="s">
        <v>17</v>
      </c>
      <c r="B73" s="5" t="s">
        <v>84</v>
      </c>
      <c r="C73" s="6" t="n">
        <f aca="false">SUM(D73:M73)</f>
        <v>212691</v>
      </c>
      <c r="D73" s="6"/>
      <c r="E73" s="6"/>
      <c r="F73" s="6"/>
      <c r="G73" s="6"/>
      <c r="H73" s="6"/>
      <c r="I73" s="6"/>
      <c r="J73" s="6"/>
      <c r="K73" s="6"/>
      <c r="L73" s="6" t="n">
        <f aca="false">'7112 Kayla'!$D$20</f>
        <v>174191</v>
      </c>
      <c r="M73" s="6" t="n">
        <f aca="false">'7141 Kayla'!$D$20</f>
        <v>38500</v>
      </c>
    </row>
    <row r="74" customFormat="false" ht="15" hidden="false" customHeight="false" outlineLevel="0" collapsed="false">
      <c r="A74" s="5" t="s">
        <v>17</v>
      </c>
      <c r="B74" s="5" t="s">
        <v>85</v>
      </c>
      <c r="C74" s="6" t="n">
        <f aca="false">SUM(D74:M74)</f>
        <v>19888</v>
      </c>
      <c r="D74" s="6"/>
      <c r="E74" s="6"/>
      <c r="F74" s="6"/>
      <c r="G74" s="6"/>
      <c r="H74" s="6"/>
      <c r="I74" s="6"/>
      <c r="J74" s="6"/>
      <c r="K74" s="6"/>
      <c r="L74" s="6" t="n">
        <f aca="false">'7112 Kayla'!$D$21</f>
        <v>15524</v>
      </c>
      <c r="M74" s="6" t="n">
        <f aca="false">'7141 Kayla'!$D$21</f>
        <v>4364</v>
      </c>
    </row>
    <row r="75" customFormat="false" ht="15" hidden="false" customHeight="false" outlineLevel="0" collapsed="false">
      <c r="A75" s="5" t="s">
        <v>17</v>
      </c>
      <c r="B75" s="5" t="s">
        <v>86</v>
      </c>
      <c r="C75" s="6" t="n">
        <f aca="false">SUM(D75:M75)</f>
        <v>1046028</v>
      </c>
      <c r="D75" s="6"/>
      <c r="E75" s="6"/>
      <c r="F75" s="6"/>
      <c r="G75" s="6"/>
      <c r="H75" s="6"/>
      <c r="I75" s="6"/>
      <c r="J75" s="6"/>
      <c r="K75" s="6"/>
      <c r="L75" s="6" t="n">
        <f aca="false">'7112 Kayla'!$D$22</f>
        <v>853456</v>
      </c>
      <c r="M75" s="6" t="n">
        <f aca="false">'7141 Kayla'!$D$22</f>
        <v>192572</v>
      </c>
    </row>
    <row r="76" customFormat="false" ht="15" hidden="false" customHeight="false" outlineLevel="0" collapsed="false">
      <c r="A76" s="5" t="s">
        <v>17</v>
      </c>
      <c r="B76" s="5" t="s">
        <v>87</v>
      </c>
      <c r="C76" s="6" t="n">
        <f aca="false">SUM(D76:M76)</f>
        <v>43629</v>
      </c>
      <c r="D76" s="6"/>
      <c r="E76" s="6"/>
      <c r="F76" s="6"/>
      <c r="G76" s="6"/>
      <c r="H76" s="6"/>
      <c r="I76" s="6"/>
      <c r="J76" s="6"/>
      <c r="K76" s="6"/>
      <c r="L76" s="6" t="n">
        <f aca="false">'7112 Kayla'!$D$23</f>
        <v>35731</v>
      </c>
      <c r="M76" s="6" t="n">
        <f aca="false">'7141 Kayla'!$D$23</f>
        <v>7898</v>
      </c>
    </row>
    <row r="77" customFormat="false" ht="15" hidden="false" customHeight="false" outlineLevel="0" collapsed="false">
      <c r="A77" s="5" t="s">
        <v>17</v>
      </c>
      <c r="B77" s="5" t="s">
        <v>88</v>
      </c>
      <c r="C77" s="6" t="n">
        <f aca="false">SUM(D77:M77)</f>
        <v>4080</v>
      </c>
      <c r="D77" s="6"/>
      <c r="E77" s="6"/>
      <c r="F77" s="6"/>
      <c r="G77" s="6"/>
      <c r="H77" s="6"/>
      <c r="I77" s="6"/>
      <c r="J77" s="6"/>
      <c r="K77" s="6"/>
      <c r="L77" s="6" t="n">
        <f aca="false">'7112 Kayla'!$D$24</f>
        <v>3185</v>
      </c>
      <c r="M77" s="6" t="n">
        <f aca="false">'7141 Kayla'!$D$24</f>
        <v>895</v>
      </c>
    </row>
    <row r="78" customFormat="false" ht="15" hidden="false" customHeight="false" outlineLevel="0" collapsed="false">
      <c r="A78" s="5" t="s">
        <v>17</v>
      </c>
      <c r="B78" s="5" t="s">
        <v>89</v>
      </c>
      <c r="C78" s="6" t="n">
        <f aca="false">SUM(D78:M78)</f>
        <v>214569</v>
      </c>
      <c r="D78" s="6"/>
      <c r="E78" s="6"/>
      <c r="F78" s="6"/>
      <c r="G78" s="6"/>
      <c r="H78" s="6"/>
      <c r="I78" s="6"/>
      <c r="J78" s="6"/>
      <c r="K78" s="6"/>
      <c r="L78" s="6" t="n">
        <f aca="false">'7112 Kayla'!$D$25</f>
        <v>175068</v>
      </c>
      <c r="M78" s="6" t="n">
        <f aca="false">'7141 Kayla'!$D$25</f>
        <v>39501</v>
      </c>
    </row>
    <row r="79" customFormat="false" ht="15" hidden="false" customHeight="false" outlineLevel="0" collapsed="false">
      <c r="A79" s="7"/>
      <c r="B79" s="8" t="s">
        <v>90</v>
      </c>
      <c r="C79" s="9" t="n">
        <f aca="false">SUM(C26:C78)</f>
        <v>7187949</v>
      </c>
      <c r="D79" s="9" t="n">
        <f aca="false">SUM(D26:D78)</f>
        <v>2017604</v>
      </c>
      <c r="E79" s="9" t="n">
        <f aca="false">SUM(E26:E78)</f>
        <v>101473</v>
      </c>
      <c r="F79" s="9" t="n">
        <f aca="false">SUM(F26:F78)</f>
        <v>730531</v>
      </c>
      <c r="G79" s="9" t="n">
        <f aca="false">SUM(G26:G78)</f>
        <v>148349</v>
      </c>
      <c r="H79" s="9" t="n">
        <f aca="false">SUM(H26:H78)</f>
        <v>791189</v>
      </c>
      <c r="I79" s="9" t="n">
        <f aca="false">SUM(I26:I78)</f>
        <v>127490</v>
      </c>
      <c r="J79" s="9" t="n">
        <f aca="false">SUM(J26:J78)</f>
        <v>1362911</v>
      </c>
      <c r="K79" s="9" t="n">
        <f aca="false">SUM(K26:K78)</f>
        <v>269163</v>
      </c>
      <c r="L79" s="9" t="n">
        <f aca="false">SUM(L26:L78)</f>
        <v>1337398</v>
      </c>
      <c r="M79" s="9" t="n">
        <f aca="false">SUM(M26:M78)</f>
        <v>301841</v>
      </c>
    </row>
    <row r="80" customFormat="false" ht="15" hidden="false" customHeight="false" outlineLevel="0" collapsed="false">
      <c r="B80" s="11" t="s">
        <v>91</v>
      </c>
      <c r="C80" s="12" t="n">
        <f aca="false">C23-C79</f>
        <v>-2</v>
      </c>
      <c r="D80" s="12" t="n">
        <f aca="false">D23-D79</f>
        <v>0</v>
      </c>
      <c r="E80" s="12" t="n">
        <f aca="false">E23-E79</f>
        <v>0</v>
      </c>
      <c r="F80" s="12" t="n">
        <f aca="false">F23-F79</f>
        <v>0</v>
      </c>
      <c r="G80" s="12" t="n">
        <f aca="false">G23-G79</f>
        <v>0</v>
      </c>
      <c r="H80" s="12" t="n">
        <f aca="false">H23-H79</f>
        <v>0</v>
      </c>
      <c r="I80" s="12" t="n">
        <f aca="false">I23-I79</f>
        <v>-1</v>
      </c>
      <c r="J80" s="12" t="n">
        <f aca="false">J23-J79</f>
        <v>-1</v>
      </c>
      <c r="K80" s="12" t="n">
        <f aca="false">K23-K79</f>
        <v>0</v>
      </c>
      <c r="L80" s="12" t="n">
        <f aca="false">L23-L79</f>
        <v>0</v>
      </c>
      <c r="M80" s="12" t="n">
        <f aca="false">M23-M79</f>
        <v>0</v>
      </c>
    </row>
    <row r="82" customFormat="false" ht="15" hidden="false" customHeight="false" outlineLevel="0" collapsed="false">
      <c r="B82" s="10" t="s">
        <v>92</v>
      </c>
    </row>
    <row r="83" customFormat="false" ht="15" hidden="false" customHeight="false" outlineLevel="0" collapsed="false">
      <c r="B83" s="11" t="s">
        <v>93</v>
      </c>
      <c r="C83" s="12" t="n">
        <f aca="false">SUM(D83:M83)</f>
        <v>2796334</v>
      </c>
      <c r="D83" s="12" t="n">
        <f aca="false">'530 Ames'!$I$13</f>
        <v>790255.88</v>
      </c>
      <c r="E83" s="12" t="n">
        <f aca="false">'540 Freedom'!$I$13</f>
        <v>39745.12</v>
      </c>
      <c r="F83" s="12" t="n">
        <f aca="false">'1208 Smith'!$I$13</f>
        <v>286132.85</v>
      </c>
      <c r="G83" s="12" t="n">
        <f aca="false">'1209 Smith'!$I$13</f>
        <v>58105.15</v>
      </c>
      <c r="H83" s="12" t="n">
        <f aca="false">'3112 Havenwood'!$I$13</f>
        <v>309892.45</v>
      </c>
      <c r="I83" s="12" t="n">
        <f aca="false">'3117 Barbwood'!$I$13</f>
        <v>49934.55</v>
      </c>
      <c r="J83" s="12" t="n">
        <f aca="false">'6805 Sayres'!$I$13</f>
        <v>517926.62</v>
      </c>
      <c r="K83" s="12" t="n">
        <f aca="false">'6800 Sayres'!$I$13</f>
        <v>102285.38</v>
      </c>
      <c r="L83" s="12" t="n">
        <f aca="false">'7112 Kayla'!$I$13</f>
        <v>523830.88</v>
      </c>
      <c r="M83" s="12" t="n">
        <f aca="false">'7141 Kayla'!$I$13</f>
        <v>118225.12</v>
      </c>
    </row>
    <row r="84" customFormat="false" ht="15" hidden="false" customHeight="false" outlineLevel="0" collapsed="false">
      <c r="B84" s="5" t="s">
        <v>37</v>
      </c>
      <c r="C84" s="6" t="n">
        <f aca="false">SUM(D84:M84)</f>
        <v>23248</v>
      </c>
      <c r="D84" s="6" t="n">
        <f aca="false">'530 Ames'!$I$17</f>
        <v>22198</v>
      </c>
      <c r="E84" s="6" t="n">
        <f aca="false">'540 Freedom'!$I$17</f>
        <v>1050</v>
      </c>
      <c r="F84" s="6"/>
      <c r="G84" s="6"/>
      <c r="H84" s="6"/>
      <c r="I84" s="6"/>
      <c r="J84" s="6"/>
      <c r="K84" s="6"/>
      <c r="L84" s="6"/>
      <c r="M84" s="6"/>
    </row>
    <row r="85" customFormat="false" ht="15" hidden="false" customHeight="false" outlineLevel="0" collapsed="false">
      <c r="B85" s="5" t="s">
        <v>38</v>
      </c>
      <c r="C85" s="6" t="n">
        <f aca="false">SUM(D85:M85)</f>
        <v>26908.87</v>
      </c>
      <c r="D85" s="6" t="n">
        <f aca="false">'530 Ames'!$I$18+'530 Ames'!$I$19</f>
        <v>26818.61</v>
      </c>
      <c r="E85" s="6" t="n">
        <f aca="false">'540 Freedom'!$I$18</f>
        <v>90.26</v>
      </c>
      <c r="F85" s="6"/>
      <c r="G85" s="6"/>
      <c r="H85" s="6"/>
      <c r="I85" s="6"/>
      <c r="J85" s="6"/>
      <c r="K85" s="6"/>
      <c r="L85" s="6"/>
      <c r="M85" s="6"/>
    </row>
    <row r="86" customFormat="false" ht="15" hidden="false" customHeight="false" outlineLevel="0" collapsed="false">
      <c r="B86" s="5" t="s">
        <v>39</v>
      </c>
      <c r="C86" s="6" t="n">
        <f aca="false">SUM(D86:M86)</f>
        <v>302225</v>
      </c>
      <c r="D86" s="6" t="n">
        <f aca="false">'530 Ames'!$I$20</f>
        <v>288575</v>
      </c>
      <c r="E86" s="6" t="n">
        <f aca="false">'540 Freedom'!$I$20</f>
        <v>13650</v>
      </c>
      <c r="F86" s="6"/>
      <c r="G86" s="6"/>
      <c r="H86" s="6"/>
      <c r="I86" s="6"/>
      <c r="J86" s="6"/>
      <c r="K86" s="6"/>
      <c r="L86" s="6"/>
      <c r="M86" s="6"/>
    </row>
    <row r="87" customFormat="false" ht="15" hidden="false" customHeight="false" outlineLevel="0" collapsed="false">
      <c r="B87" s="5" t="s">
        <v>40</v>
      </c>
      <c r="C87" s="6" t="n">
        <f aca="false">SUM(D87:M87)</f>
        <v>28407</v>
      </c>
      <c r="D87" s="6" t="n">
        <f aca="false">'530 Ames'!$I$21</f>
        <v>26299</v>
      </c>
      <c r="E87" s="6" t="n">
        <f aca="false">'540 Freedom'!$I$21</f>
        <v>2108</v>
      </c>
      <c r="F87" s="6"/>
      <c r="G87" s="6"/>
      <c r="H87" s="6"/>
      <c r="I87" s="6"/>
      <c r="J87" s="6"/>
      <c r="K87" s="6"/>
      <c r="L87" s="6"/>
      <c r="M87" s="6"/>
    </row>
    <row r="88" customFormat="false" ht="15" hidden="false" customHeight="false" outlineLevel="0" collapsed="false">
      <c r="B88" s="5" t="s">
        <v>41</v>
      </c>
      <c r="C88" s="6" t="n">
        <f aca="false">SUM(D88:M88)</f>
        <v>338575.66</v>
      </c>
      <c r="D88" s="6" t="n">
        <f aca="false">'530 Ames'!$I$22</f>
        <v>322343.7</v>
      </c>
      <c r="E88" s="6" t="n">
        <f aca="false">'540 Freedom'!$I$22</f>
        <v>16231.96</v>
      </c>
      <c r="F88" s="6"/>
      <c r="G88" s="6"/>
      <c r="H88" s="6"/>
      <c r="I88" s="6"/>
      <c r="J88" s="6"/>
      <c r="K88" s="6"/>
      <c r="L88" s="6"/>
      <c r="M88" s="6"/>
    </row>
    <row r="89" customFormat="false" ht="15" hidden="false" customHeight="false" outlineLevel="0" collapsed="false">
      <c r="B89" s="5" t="s">
        <v>42</v>
      </c>
      <c r="C89" s="6" t="n">
        <f aca="false">SUM(D89:M89)</f>
        <v>61995</v>
      </c>
      <c r="D89" s="6" t="n">
        <f aca="false">'530 Ames'!$I$23</f>
        <v>59195</v>
      </c>
      <c r="E89" s="6" t="n">
        <f aca="false">'540 Freedom'!$I$23</f>
        <v>2800</v>
      </c>
      <c r="F89" s="6"/>
      <c r="G89" s="6"/>
      <c r="H89" s="6"/>
      <c r="I89" s="6"/>
      <c r="J89" s="6"/>
      <c r="K89" s="6"/>
      <c r="L89" s="6"/>
      <c r="M89" s="6"/>
    </row>
    <row r="90" customFormat="false" ht="15" hidden="false" customHeight="false" outlineLevel="0" collapsed="false">
      <c r="B90" s="5" t="s">
        <v>43</v>
      </c>
      <c r="C90" s="6" t="n">
        <f aca="false">SUM(D90:M90)</f>
        <v>5827</v>
      </c>
      <c r="D90" s="6" t="n">
        <f aca="false">'530 Ames'!$I$24</f>
        <v>5395</v>
      </c>
      <c r="E90" s="6" t="n">
        <f aca="false">'540 Freedom'!$I$24</f>
        <v>432</v>
      </c>
      <c r="F90" s="6"/>
      <c r="G90" s="6"/>
      <c r="H90" s="6"/>
      <c r="I90" s="6"/>
      <c r="J90" s="6"/>
      <c r="K90" s="6"/>
      <c r="L90" s="6"/>
      <c r="M90" s="6"/>
    </row>
    <row r="91" customFormat="false" ht="15" hidden="false" customHeight="false" outlineLevel="0" collapsed="false">
      <c r="B91" s="5" t="s">
        <v>44</v>
      </c>
      <c r="C91" s="6" t="n">
        <f aca="false">SUM(D91:M91)</f>
        <v>69451.35</v>
      </c>
      <c r="D91" s="6" t="n">
        <f aca="false">'530 Ames'!$I$25</f>
        <v>66121.74</v>
      </c>
      <c r="E91" s="6" t="n">
        <f aca="false">'540 Freedom'!$I$25</f>
        <v>3329.61</v>
      </c>
      <c r="F91" s="6"/>
      <c r="G91" s="6"/>
      <c r="H91" s="6"/>
      <c r="I91" s="6"/>
      <c r="J91" s="6"/>
      <c r="K91" s="6"/>
      <c r="L91" s="6"/>
      <c r="M91" s="6"/>
    </row>
    <row r="92" customFormat="false" ht="15" hidden="false" customHeight="false" outlineLevel="0" collapsed="false">
      <c r="B92" s="5" t="s">
        <v>45</v>
      </c>
      <c r="C92" s="6" t="n">
        <f aca="false">SUM(D92:M92)</f>
        <v>1248.56</v>
      </c>
      <c r="D92" s="6"/>
      <c r="E92" s="6" t="n">
        <f aca="false">'540 Freedom'!$I$19</f>
        <v>1248.56</v>
      </c>
      <c r="F92" s="6"/>
      <c r="G92" s="6"/>
      <c r="H92" s="6"/>
      <c r="I92" s="6"/>
      <c r="J92" s="6"/>
      <c r="K92" s="6"/>
      <c r="L92" s="6"/>
      <c r="M92" s="6"/>
    </row>
    <row r="93" customFormat="false" ht="15" hidden="false" customHeight="false" outlineLevel="0" collapsed="false">
      <c r="B93" s="5" t="s">
        <v>46</v>
      </c>
      <c r="C93" s="6" t="n">
        <f aca="false">SUM(D93:M93)</f>
        <v>9671</v>
      </c>
      <c r="D93" s="6"/>
      <c r="E93" s="6"/>
      <c r="F93" s="6" t="n">
        <f aca="false">'1208 Smith'!$I$17</f>
        <v>8155</v>
      </c>
      <c r="G93" s="6" t="n">
        <f aca="false">'1209 Smith'!$I$17</f>
        <v>1516</v>
      </c>
      <c r="H93" s="6"/>
      <c r="I93" s="6"/>
      <c r="J93" s="6"/>
      <c r="K93" s="6"/>
      <c r="L93" s="6"/>
      <c r="M93" s="6"/>
    </row>
    <row r="94" customFormat="false" ht="15" hidden="false" customHeight="false" outlineLevel="0" collapsed="false">
      <c r="B94" s="5" t="s">
        <v>47</v>
      </c>
      <c r="C94" s="6" t="n">
        <f aca="false">SUM(D94:M94)</f>
        <v>1549</v>
      </c>
      <c r="D94" s="6"/>
      <c r="E94" s="6"/>
      <c r="F94" s="6" t="n">
        <f aca="false">'1208 Smith'!$I$18</f>
        <v>1280</v>
      </c>
      <c r="G94" s="6" t="n">
        <f aca="false">'1209 Smith'!$I$18</f>
        <v>269</v>
      </c>
      <c r="H94" s="6"/>
      <c r="I94" s="6"/>
      <c r="J94" s="6"/>
      <c r="K94" s="6"/>
      <c r="L94" s="6"/>
      <c r="M94" s="6"/>
    </row>
    <row r="95" customFormat="false" ht="15" hidden="false" customHeight="false" outlineLevel="0" collapsed="false">
      <c r="B95" s="5" t="s">
        <v>48</v>
      </c>
      <c r="C95" s="6" t="n">
        <f aca="false">SUM(D95:M95)</f>
        <v>10629.82</v>
      </c>
      <c r="D95" s="6"/>
      <c r="E95" s="6"/>
      <c r="F95" s="6" t="n">
        <f aca="false">'1208 Smith'!$I$19</f>
        <v>8807.72</v>
      </c>
      <c r="G95" s="6" t="n">
        <f aca="false">'1209 Smith'!$I$19</f>
        <v>1822.1</v>
      </c>
      <c r="H95" s="6"/>
      <c r="I95" s="6"/>
      <c r="J95" s="6"/>
      <c r="K95" s="6"/>
      <c r="L95" s="6"/>
      <c r="M95" s="6"/>
    </row>
    <row r="96" customFormat="false" ht="15" hidden="false" customHeight="false" outlineLevel="0" collapsed="false">
      <c r="B96" s="5" t="s">
        <v>49</v>
      </c>
      <c r="C96" s="6" t="n">
        <f aca="false">SUM(D96:M96)</f>
        <v>125729</v>
      </c>
      <c r="D96" s="6"/>
      <c r="E96" s="6"/>
      <c r="F96" s="6" t="n">
        <f aca="false">'1208 Smith'!$I$20</f>
        <v>106017</v>
      </c>
      <c r="G96" s="6" t="n">
        <f aca="false">'1209 Smith'!$I$20</f>
        <v>19712</v>
      </c>
      <c r="H96" s="6"/>
      <c r="I96" s="6"/>
      <c r="J96" s="6"/>
      <c r="K96" s="6"/>
      <c r="L96" s="6"/>
      <c r="M96" s="6"/>
    </row>
    <row r="97" customFormat="false" ht="15" hidden="false" customHeight="false" outlineLevel="0" collapsed="false">
      <c r="B97" s="5" t="s">
        <v>50</v>
      </c>
      <c r="C97" s="6" t="n">
        <f aca="false">SUM(D97:M97)</f>
        <v>20130</v>
      </c>
      <c r="D97" s="6"/>
      <c r="E97" s="6"/>
      <c r="F97" s="6" t="n">
        <f aca="false">'1208 Smith'!$I$21</f>
        <v>16634</v>
      </c>
      <c r="G97" s="6" t="n">
        <f aca="false">'1209 Smith'!$I$21</f>
        <v>3496</v>
      </c>
      <c r="H97" s="6"/>
      <c r="I97" s="6"/>
      <c r="J97" s="6"/>
      <c r="K97" s="6"/>
      <c r="L97" s="6"/>
      <c r="M97" s="6"/>
    </row>
    <row r="98" customFormat="false" ht="15" hidden="false" customHeight="false" outlineLevel="0" collapsed="false">
      <c r="B98" s="5" t="s">
        <v>51</v>
      </c>
      <c r="C98" s="6" t="n">
        <f aca="false">SUM(D98:M98)</f>
        <v>138187.43</v>
      </c>
      <c r="D98" s="6"/>
      <c r="E98" s="6"/>
      <c r="F98" s="6" t="n">
        <f aca="false">'1208 Smith'!$I$22</f>
        <v>114500.81</v>
      </c>
      <c r="G98" s="6" t="n">
        <f aca="false">'1209 Smith'!$I$22</f>
        <v>23686.62</v>
      </c>
      <c r="H98" s="6"/>
      <c r="I98" s="6"/>
      <c r="J98" s="6"/>
      <c r="K98" s="6"/>
      <c r="L98" s="6"/>
      <c r="M98" s="6"/>
    </row>
    <row r="99" customFormat="false" ht="15" hidden="false" customHeight="false" outlineLevel="0" collapsed="false">
      <c r="B99" s="5" t="s">
        <v>52</v>
      </c>
      <c r="C99" s="6" t="n">
        <f aca="false">SUM(D99:M99)</f>
        <v>25790</v>
      </c>
      <c r="D99" s="6"/>
      <c r="E99" s="6"/>
      <c r="F99" s="6" t="n">
        <f aca="false">'1208 Smith'!$I$23</f>
        <v>21747</v>
      </c>
      <c r="G99" s="6" t="n">
        <f aca="false">'1209 Smith'!$I$23</f>
        <v>4043</v>
      </c>
      <c r="H99" s="6"/>
      <c r="I99" s="6"/>
      <c r="J99" s="6"/>
      <c r="K99" s="6"/>
      <c r="L99" s="6"/>
      <c r="M99" s="6"/>
    </row>
    <row r="100" customFormat="false" ht="15" hidden="false" customHeight="false" outlineLevel="0" collapsed="false">
      <c r="B100" s="5" t="s">
        <v>53</v>
      </c>
      <c r="C100" s="6" t="n">
        <f aca="false">SUM(D100:M100)</f>
        <v>4129</v>
      </c>
      <c r="D100" s="6"/>
      <c r="E100" s="6"/>
      <c r="F100" s="6" t="n">
        <f aca="false">'1208 Smith'!$I$24</f>
        <v>3412</v>
      </c>
      <c r="G100" s="6" t="n">
        <f aca="false">'1209 Smith'!$I$24</f>
        <v>717</v>
      </c>
      <c r="H100" s="6"/>
      <c r="I100" s="6"/>
      <c r="J100" s="6"/>
      <c r="K100" s="6"/>
      <c r="L100" s="6"/>
      <c r="M100" s="6"/>
    </row>
    <row r="101" customFormat="false" ht="15" hidden="false" customHeight="false" outlineLevel="0" collapsed="false">
      <c r="B101" s="5" t="s">
        <v>54</v>
      </c>
      <c r="C101" s="6" t="n">
        <f aca="false">SUM(D101:M101)</f>
        <v>28346.2</v>
      </c>
      <c r="D101" s="6"/>
      <c r="E101" s="6"/>
      <c r="F101" s="6" t="n">
        <f aca="false">'1208 Smith'!$I$25</f>
        <v>23487.41</v>
      </c>
      <c r="G101" s="6" t="n">
        <f aca="false">'1209 Smith'!$I$25</f>
        <v>4858.79</v>
      </c>
      <c r="H101" s="6"/>
      <c r="I101" s="6"/>
      <c r="J101" s="6"/>
      <c r="K101" s="6"/>
      <c r="L101" s="6"/>
      <c r="M101" s="6"/>
    </row>
    <row r="102" customFormat="false" ht="15" hidden="false" customHeight="false" outlineLevel="0" collapsed="false">
      <c r="B102" s="5" t="s">
        <v>55</v>
      </c>
      <c r="C102" s="6" t="n">
        <f aca="false">SUM(D102:M102)</f>
        <v>8161</v>
      </c>
      <c r="D102" s="6"/>
      <c r="E102" s="6"/>
      <c r="F102" s="6"/>
      <c r="G102" s="6"/>
      <c r="H102" s="6" t="n">
        <f aca="false">'3112 Havenwood'!$I$17</f>
        <v>8161</v>
      </c>
      <c r="I102" s="6"/>
      <c r="J102" s="6"/>
      <c r="K102" s="6"/>
      <c r="L102" s="6"/>
      <c r="M102" s="6"/>
    </row>
    <row r="103" customFormat="false" ht="15" hidden="false" customHeight="false" outlineLevel="0" collapsed="false">
      <c r="B103" s="5" t="s">
        <v>56</v>
      </c>
      <c r="C103" s="6" t="n">
        <f aca="false">SUM(D103:M103)</f>
        <v>1164</v>
      </c>
      <c r="D103" s="6"/>
      <c r="E103" s="6"/>
      <c r="F103" s="6"/>
      <c r="G103" s="6"/>
      <c r="H103" s="6" t="n">
        <f aca="false">'3112 Havenwood'!$I$18</f>
        <v>1164</v>
      </c>
      <c r="I103" s="6"/>
      <c r="J103" s="6"/>
      <c r="K103" s="6"/>
      <c r="L103" s="6"/>
      <c r="M103" s="6"/>
    </row>
    <row r="104" customFormat="false" ht="15" hidden="false" customHeight="false" outlineLevel="0" collapsed="false">
      <c r="B104" s="5" t="s">
        <v>57</v>
      </c>
      <c r="C104" s="6" t="n">
        <f aca="false">SUM(D104:M104)</f>
        <v>9767.89</v>
      </c>
      <c r="D104" s="6"/>
      <c r="E104" s="6"/>
      <c r="F104" s="6"/>
      <c r="G104" s="6"/>
      <c r="H104" s="6" t="n">
        <f aca="false">'3112 Havenwood'!$I$19</f>
        <v>9767.89</v>
      </c>
      <c r="I104" s="6"/>
      <c r="J104" s="6"/>
      <c r="K104" s="6"/>
      <c r="L104" s="6"/>
      <c r="M104" s="6"/>
    </row>
    <row r="105" customFormat="false" ht="15" hidden="false" customHeight="false" outlineLevel="0" collapsed="false">
      <c r="B105" s="5" t="s">
        <v>58</v>
      </c>
      <c r="C105" s="6" t="n">
        <f aca="false">SUM(D105:M105)</f>
        <v>106098</v>
      </c>
      <c r="D105" s="6"/>
      <c r="E105" s="6"/>
      <c r="F105" s="6"/>
      <c r="G105" s="6"/>
      <c r="H105" s="6" t="n">
        <f aca="false">'3112 Havenwood'!$I$20</f>
        <v>106098</v>
      </c>
      <c r="I105" s="6"/>
      <c r="J105" s="6"/>
      <c r="K105" s="6"/>
      <c r="L105" s="6"/>
      <c r="M105" s="6"/>
    </row>
    <row r="106" customFormat="false" ht="15" hidden="false" customHeight="false" outlineLevel="0" collapsed="false">
      <c r="B106" s="5" t="s">
        <v>59</v>
      </c>
      <c r="C106" s="6" t="n">
        <f aca="false">SUM(D106:M106)</f>
        <v>15130</v>
      </c>
      <c r="D106" s="6"/>
      <c r="E106" s="6"/>
      <c r="F106" s="6"/>
      <c r="G106" s="6"/>
      <c r="H106" s="6" t="n">
        <f aca="false">'3112 Havenwood'!$I$21</f>
        <v>15130</v>
      </c>
      <c r="I106" s="6"/>
      <c r="J106" s="6"/>
      <c r="K106" s="6"/>
      <c r="L106" s="6"/>
      <c r="M106" s="6"/>
    </row>
    <row r="107" customFormat="false" ht="15" hidden="false" customHeight="false" outlineLevel="0" collapsed="false">
      <c r="B107" s="5" t="s">
        <v>60</v>
      </c>
      <c r="C107" s="6" t="n">
        <f aca="false">SUM(D107:M107)</f>
        <v>126980.47</v>
      </c>
      <c r="D107" s="6"/>
      <c r="E107" s="6"/>
      <c r="F107" s="6"/>
      <c r="G107" s="6"/>
      <c r="H107" s="6" t="n">
        <f aca="false">'3112 Havenwood'!$I$22</f>
        <v>126980.47</v>
      </c>
      <c r="I107" s="6"/>
      <c r="J107" s="6"/>
      <c r="K107" s="6"/>
      <c r="L107" s="6"/>
      <c r="M107" s="6"/>
    </row>
    <row r="108" customFormat="false" ht="15" hidden="false" customHeight="false" outlineLevel="0" collapsed="false">
      <c r="B108" s="5" t="s">
        <v>61</v>
      </c>
      <c r="C108" s="6" t="n">
        <f aca="false">SUM(D108:M108)</f>
        <v>21764</v>
      </c>
      <c r="D108" s="6"/>
      <c r="E108" s="6"/>
      <c r="F108" s="6"/>
      <c r="G108" s="6"/>
      <c r="H108" s="6" t="n">
        <f aca="false">'3112 Havenwood'!$I$23</f>
        <v>21764</v>
      </c>
      <c r="I108" s="6"/>
      <c r="J108" s="6"/>
      <c r="K108" s="6"/>
      <c r="L108" s="6"/>
      <c r="M108" s="6"/>
    </row>
    <row r="109" customFormat="false" ht="15" hidden="false" customHeight="false" outlineLevel="0" collapsed="false">
      <c r="B109" s="5" t="s">
        <v>62</v>
      </c>
      <c r="C109" s="6" t="n">
        <f aca="false">SUM(D109:M109)</f>
        <v>29150.27</v>
      </c>
      <c r="D109" s="6"/>
      <c r="E109" s="6"/>
      <c r="F109" s="6"/>
      <c r="G109" s="6"/>
      <c r="H109" s="6" t="n">
        <f aca="false">'3112 Havenwood'!$I$24+'3112 Havenwood'!$I$25</f>
        <v>29150.27</v>
      </c>
      <c r="I109" s="6"/>
      <c r="J109" s="6"/>
      <c r="K109" s="6"/>
      <c r="L109" s="6"/>
      <c r="M109" s="6"/>
    </row>
    <row r="110" customFormat="false" ht="15" hidden="false" customHeight="false" outlineLevel="0" collapsed="false">
      <c r="B110" s="5" t="s">
        <v>63</v>
      </c>
      <c r="C110" s="6" t="n">
        <f aca="false">SUM(D110:M110)</f>
        <v>1030</v>
      </c>
      <c r="D110" s="6"/>
      <c r="E110" s="6"/>
      <c r="F110" s="6"/>
      <c r="G110" s="6"/>
      <c r="H110" s="6"/>
      <c r="I110" s="6" t="n">
        <f aca="false">'3117 Barbwood'!$I$17</f>
        <v>1030</v>
      </c>
      <c r="J110" s="6"/>
      <c r="K110" s="6"/>
      <c r="L110" s="6"/>
      <c r="M110" s="6"/>
    </row>
    <row r="111" customFormat="false" ht="15" hidden="false" customHeight="false" outlineLevel="0" collapsed="false">
      <c r="B111" s="5" t="s">
        <v>64</v>
      </c>
      <c r="C111" s="6" t="n">
        <f aca="false">SUM(D111:M111)</f>
        <v>70.77</v>
      </c>
      <c r="D111" s="6"/>
      <c r="E111" s="6"/>
      <c r="F111" s="6"/>
      <c r="G111" s="6"/>
      <c r="H111" s="6"/>
      <c r="I111" s="6" t="n">
        <f aca="false">'3117 Barbwood'!$I$18</f>
        <v>70.77</v>
      </c>
      <c r="J111" s="6"/>
      <c r="K111" s="6"/>
      <c r="L111" s="6"/>
      <c r="M111" s="6"/>
    </row>
    <row r="112" customFormat="false" ht="15" hidden="false" customHeight="false" outlineLevel="0" collapsed="false">
      <c r="B112" s="5" t="s">
        <v>65</v>
      </c>
      <c r="C112" s="6" t="n">
        <f aca="false">SUM(D112:M112)</f>
        <v>1662.37</v>
      </c>
      <c r="D112" s="6"/>
      <c r="E112" s="6"/>
      <c r="F112" s="6"/>
      <c r="G112" s="6"/>
      <c r="H112" s="6"/>
      <c r="I112" s="6" t="n">
        <f aca="false">'3117 Barbwood'!$I$19</f>
        <v>1662.37</v>
      </c>
      <c r="J112" s="6"/>
      <c r="K112" s="6"/>
      <c r="L112" s="6"/>
      <c r="M112" s="6"/>
    </row>
    <row r="113" customFormat="false" ht="15" hidden="false" customHeight="false" outlineLevel="0" collapsed="false">
      <c r="B113" s="5" t="s">
        <v>66</v>
      </c>
      <c r="C113" s="6" t="n">
        <f aca="false">SUM(D113:M113)</f>
        <v>13389</v>
      </c>
      <c r="D113" s="6"/>
      <c r="E113" s="6"/>
      <c r="F113" s="6"/>
      <c r="G113" s="6"/>
      <c r="H113" s="6"/>
      <c r="I113" s="6" t="n">
        <f aca="false">'3117 Barbwood'!$I$20</f>
        <v>13389</v>
      </c>
      <c r="J113" s="6"/>
      <c r="K113" s="6"/>
      <c r="L113" s="6"/>
      <c r="M113" s="6"/>
    </row>
    <row r="114" customFormat="false" ht="15" hidden="false" customHeight="false" outlineLevel="0" collapsed="false">
      <c r="B114" s="5" t="s">
        <v>67</v>
      </c>
      <c r="C114" s="6" t="n">
        <f aca="false">SUM(D114:M114)</f>
        <v>1655</v>
      </c>
      <c r="D114" s="6"/>
      <c r="E114" s="6"/>
      <c r="F114" s="6"/>
      <c r="G114" s="6"/>
      <c r="H114" s="6"/>
      <c r="I114" s="6" t="n">
        <f aca="false">'3117 Barbwood'!$I$21</f>
        <v>1655</v>
      </c>
      <c r="J114" s="6"/>
      <c r="K114" s="6"/>
      <c r="L114" s="6"/>
      <c r="M114" s="6"/>
    </row>
    <row r="115" customFormat="false" ht="15" hidden="false" customHeight="false" outlineLevel="0" collapsed="false">
      <c r="B115" s="5" t="s">
        <v>68</v>
      </c>
      <c r="C115" s="6" t="n">
        <f aca="false">SUM(D115:M115)</f>
        <v>21611.02</v>
      </c>
      <c r="D115" s="6"/>
      <c r="E115" s="6"/>
      <c r="F115" s="6"/>
      <c r="G115" s="6"/>
      <c r="H115" s="6"/>
      <c r="I115" s="6" t="n">
        <f aca="false">'3117 Barbwood'!$I$22</f>
        <v>21611.02</v>
      </c>
      <c r="J115" s="6"/>
      <c r="K115" s="6"/>
      <c r="L115" s="6"/>
      <c r="M115" s="6"/>
    </row>
    <row r="116" customFormat="false" ht="15" hidden="false" customHeight="false" outlineLevel="0" collapsed="false">
      <c r="B116" s="5" t="s">
        <v>69</v>
      </c>
      <c r="C116" s="6" t="n">
        <f aca="false">SUM(D116:M116)</f>
        <v>2746</v>
      </c>
      <c r="D116" s="6"/>
      <c r="E116" s="6"/>
      <c r="F116" s="6"/>
      <c r="G116" s="6"/>
      <c r="H116" s="6"/>
      <c r="I116" s="6" t="n">
        <f aca="false">'3117 Barbwood'!$I$23</f>
        <v>2746</v>
      </c>
      <c r="J116" s="6"/>
      <c r="K116" s="6"/>
      <c r="L116" s="6"/>
      <c r="M116" s="6"/>
    </row>
    <row r="117" customFormat="false" ht="15" hidden="false" customHeight="false" outlineLevel="0" collapsed="false">
      <c r="B117" s="5" t="s">
        <v>70</v>
      </c>
      <c r="C117" s="6" t="n">
        <f aca="false">SUM(D117:M117)</f>
        <v>340</v>
      </c>
      <c r="D117" s="6"/>
      <c r="E117" s="6"/>
      <c r="F117" s="6"/>
      <c r="G117" s="6"/>
      <c r="H117" s="6"/>
      <c r="I117" s="6" t="n">
        <f aca="false">'3117 Barbwood'!$I$24</f>
        <v>340</v>
      </c>
      <c r="J117" s="6"/>
      <c r="K117" s="6"/>
      <c r="L117" s="6"/>
      <c r="M117" s="6"/>
    </row>
    <row r="118" customFormat="false" ht="15" hidden="false" customHeight="false" outlineLevel="0" collapsed="false">
      <c r="B118" s="5" t="s">
        <v>71</v>
      </c>
      <c r="C118" s="6" t="n">
        <f aca="false">SUM(D118:M118)</f>
        <v>4432.94</v>
      </c>
      <c r="D118" s="6"/>
      <c r="E118" s="6"/>
      <c r="F118" s="6"/>
      <c r="G118" s="6"/>
      <c r="H118" s="6"/>
      <c r="I118" s="6" t="n">
        <f aca="false">'3117 Barbwood'!$I$25</f>
        <v>4432.94</v>
      </c>
      <c r="J118" s="6"/>
      <c r="K118" s="6"/>
      <c r="L118" s="6"/>
      <c r="M118" s="6"/>
    </row>
    <row r="119" customFormat="false" ht="15" hidden="false" customHeight="false" outlineLevel="0" collapsed="false">
      <c r="B119" s="5" t="s">
        <v>72</v>
      </c>
      <c r="C119" s="6" t="n">
        <f aca="false">SUM(D119:M119)</f>
        <v>7434</v>
      </c>
      <c r="D119" s="6"/>
      <c r="E119" s="6"/>
      <c r="F119" s="6"/>
      <c r="G119" s="6"/>
      <c r="H119" s="6"/>
      <c r="I119" s="6"/>
      <c r="J119" s="6" t="n">
        <f aca="false">'6805 Sayres'!$I$17</f>
        <v>6134</v>
      </c>
      <c r="K119" s="6" t="n">
        <f aca="false">'6800 Sayres'!$I$17</f>
        <v>1300</v>
      </c>
      <c r="L119" s="6"/>
      <c r="M119" s="6"/>
    </row>
    <row r="120" customFormat="false" ht="15" hidden="false" customHeight="false" outlineLevel="0" collapsed="false">
      <c r="B120" s="5" t="s">
        <v>73</v>
      </c>
      <c r="C120" s="6" t="n">
        <f aca="false">SUM(D120:M120)</f>
        <v>877</v>
      </c>
      <c r="D120" s="6"/>
      <c r="E120" s="6"/>
      <c r="F120" s="6"/>
      <c r="G120" s="6"/>
      <c r="H120" s="6"/>
      <c r="I120" s="6"/>
      <c r="J120" s="6" t="n">
        <f aca="false">'6805 Sayres'!$I$18</f>
        <v>692</v>
      </c>
      <c r="K120" s="6" t="n">
        <f aca="false">'6800 Sayres'!$I$18</f>
        <v>185</v>
      </c>
      <c r="L120" s="6"/>
      <c r="M120" s="6"/>
    </row>
    <row r="121" customFormat="false" ht="15" hidden="false" customHeight="false" outlineLevel="0" collapsed="false">
      <c r="B121" s="5" t="s">
        <v>74</v>
      </c>
      <c r="C121" s="6" t="n">
        <f aca="false">SUM(D121:M121)</f>
        <v>10285.94</v>
      </c>
      <c r="D121" s="6"/>
      <c r="E121" s="6"/>
      <c r="F121" s="6"/>
      <c r="G121" s="6"/>
      <c r="H121" s="6"/>
      <c r="I121" s="6"/>
      <c r="J121" s="6" t="n">
        <f aca="false">'6805 Sayres'!$I$19</f>
        <v>8618.45</v>
      </c>
      <c r="K121" s="6" t="n">
        <f aca="false">'6800 Sayres'!$I$19</f>
        <v>1667.49</v>
      </c>
      <c r="L121" s="6"/>
      <c r="M121" s="6"/>
    </row>
    <row r="122" customFormat="false" ht="15" hidden="false" customHeight="false" outlineLevel="0" collapsed="false">
      <c r="B122" s="5" t="s">
        <v>75</v>
      </c>
      <c r="C122" s="6" t="n">
        <f aca="false">SUM(D122:M122)</f>
        <v>205675</v>
      </c>
      <c r="D122" s="6"/>
      <c r="E122" s="6"/>
      <c r="F122" s="6"/>
      <c r="G122" s="6"/>
      <c r="H122" s="6"/>
      <c r="I122" s="6"/>
      <c r="J122" s="6" t="n">
        <f aca="false">'6805 Sayres'!$I$20</f>
        <v>169707</v>
      </c>
      <c r="K122" s="6" t="n">
        <f aca="false">'6800 Sayres'!$I$20</f>
        <v>35968</v>
      </c>
      <c r="L122" s="6"/>
      <c r="M122" s="6"/>
    </row>
    <row r="123" customFormat="false" ht="15" hidden="false" customHeight="false" outlineLevel="0" collapsed="false">
      <c r="B123" s="5" t="s">
        <v>76</v>
      </c>
      <c r="C123" s="6" t="n">
        <f aca="false">SUM(D123:M123)</f>
        <v>24254</v>
      </c>
      <c r="D123" s="6"/>
      <c r="E123" s="6"/>
      <c r="F123" s="6"/>
      <c r="G123" s="6"/>
      <c r="H123" s="6"/>
      <c r="I123" s="6"/>
      <c r="J123" s="6" t="n">
        <f aca="false">'6805 Sayres'!$I$21</f>
        <v>19148</v>
      </c>
      <c r="K123" s="6" t="n">
        <f aca="false">'6800 Sayres'!$I$21</f>
        <v>5106</v>
      </c>
      <c r="L123" s="6"/>
      <c r="M123" s="6"/>
    </row>
    <row r="124" customFormat="false" ht="15" hidden="false" customHeight="false" outlineLevel="0" collapsed="false">
      <c r="B124" s="5" t="s">
        <v>77</v>
      </c>
      <c r="C124" s="6" t="n">
        <f aca="false">SUM(D124:M124)</f>
        <v>284581.15</v>
      </c>
      <c r="D124" s="6"/>
      <c r="E124" s="6"/>
      <c r="F124" s="6"/>
      <c r="G124" s="6"/>
      <c r="H124" s="6"/>
      <c r="I124" s="6"/>
      <c r="J124" s="6" t="n">
        <f aca="false">'6805 Sayres'!$I$22</f>
        <v>238445.87</v>
      </c>
      <c r="K124" s="6" t="n">
        <f aca="false">'6800 Sayres'!$I$22</f>
        <v>46135.28</v>
      </c>
      <c r="L124" s="6"/>
      <c r="M124" s="6"/>
    </row>
    <row r="125" customFormat="false" ht="15" hidden="false" customHeight="false" outlineLevel="0" collapsed="false">
      <c r="B125" s="5" t="s">
        <v>78</v>
      </c>
      <c r="C125" s="6" t="n">
        <f aca="false">SUM(D125:M125)</f>
        <v>34692</v>
      </c>
      <c r="D125" s="6"/>
      <c r="E125" s="6"/>
      <c r="F125" s="6"/>
      <c r="G125" s="6"/>
      <c r="H125" s="6"/>
      <c r="I125" s="6"/>
      <c r="J125" s="6" t="n">
        <f aca="false">'6805 Sayres'!$I$23</f>
        <v>28625</v>
      </c>
      <c r="K125" s="6" t="n">
        <f aca="false">'6800 Sayres'!$I$23</f>
        <v>6067</v>
      </c>
      <c r="L125" s="6"/>
      <c r="M125" s="6"/>
    </row>
    <row r="126" customFormat="false" ht="15" hidden="false" customHeight="false" outlineLevel="0" collapsed="false">
      <c r="B126" s="5" t="s">
        <v>79</v>
      </c>
      <c r="C126" s="6" t="n">
        <f aca="false">SUM(D126:M126)</f>
        <v>4091</v>
      </c>
      <c r="D126" s="6"/>
      <c r="E126" s="6"/>
      <c r="F126" s="6"/>
      <c r="G126" s="6"/>
      <c r="H126" s="6"/>
      <c r="I126" s="6"/>
      <c r="J126" s="6" t="n">
        <f aca="false">'6805 Sayres'!$I$24</f>
        <v>3230</v>
      </c>
      <c r="K126" s="6" t="n">
        <f aca="false">'6800 Sayres'!$I$24</f>
        <v>861</v>
      </c>
      <c r="L126" s="6"/>
      <c r="M126" s="6"/>
    </row>
    <row r="127" customFormat="false" ht="15" hidden="false" customHeight="false" outlineLevel="0" collapsed="false">
      <c r="B127" s="5" t="s">
        <v>80</v>
      </c>
      <c r="C127" s="6" t="n">
        <f aca="false">SUM(D127:M127)</f>
        <v>48001.63</v>
      </c>
      <c r="D127" s="6"/>
      <c r="E127" s="6"/>
      <c r="F127" s="6"/>
      <c r="G127" s="6"/>
      <c r="H127" s="6"/>
      <c r="I127" s="6"/>
      <c r="J127" s="6" t="n">
        <f aca="false">'6805 Sayres'!$I$25</f>
        <v>40219.7</v>
      </c>
      <c r="K127" s="6" t="n">
        <f aca="false">'6800 Sayres'!$I$25</f>
        <v>7781.93</v>
      </c>
      <c r="L127" s="6"/>
      <c r="M127" s="6"/>
    </row>
    <row r="128" customFormat="false" ht="15" hidden="false" customHeight="false" outlineLevel="0" collapsed="false">
      <c r="B128" s="5" t="s">
        <v>81</v>
      </c>
      <c r="C128" s="6" t="n">
        <f aca="false">SUM(D128:M128)</f>
        <v>16361</v>
      </c>
      <c r="D128" s="6"/>
      <c r="E128" s="6"/>
      <c r="F128" s="6"/>
      <c r="G128" s="6"/>
      <c r="H128" s="6"/>
      <c r="I128" s="6"/>
      <c r="J128" s="6"/>
      <c r="K128" s="6"/>
      <c r="L128" s="6" t="n">
        <f aca="false">'7112 Kayla'!$I$17</f>
        <v>13399</v>
      </c>
      <c r="M128" s="6" t="n">
        <f aca="false">'7141 Kayla'!$I$17</f>
        <v>2962</v>
      </c>
    </row>
    <row r="129" customFormat="false" ht="15" hidden="false" customHeight="false" outlineLevel="0" collapsed="false">
      <c r="B129" s="5" t="s">
        <v>82</v>
      </c>
      <c r="C129" s="6" t="n">
        <f aca="false">SUM(D129:M129)</f>
        <v>1530</v>
      </c>
      <c r="D129" s="6"/>
      <c r="E129" s="6"/>
      <c r="F129" s="6"/>
      <c r="G129" s="6"/>
      <c r="H129" s="6"/>
      <c r="I129" s="6"/>
      <c r="J129" s="6"/>
      <c r="K129" s="6"/>
      <c r="L129" s="6" t="n">
        <f aca="false">'7112 Kayla'!$I$18</f>
        <v>1194</v>
      </c>
      <c r="M129" s="6" t="n">
        <f aca="false">'7141 Kayla'!$I$18</f>
        <v>336</v>
      </c>
    </row>
    <row r="130" customFormat="false" ht="15" hidden="false" customHeight="false" outlineLevel="0" collapsed="false">
      <c r="B130" s="5" t="s">
        <v>83</v>
      </c>
      <c r="C130" s="6" t="n">
        <f aca="false">SUM(D130:M130)</f>
        <v>20603.35</v>
      </c>
      <c r="D130" s="6"/>
      <c r="E130" s="6"/>
      <c r="F130" s="6"/>
      <c r="G130" s="6"/>
      <c r="H130" s="6"/>
      <c r="I130" s="6"/>
      <c r="J130" s="6"/>
      <c r="K130" s="6"/>
      <c r="L130" s="6" t="n">
        <f aca="false">'7112 Kayla'!$I$19</f>
        <v>16810.36</v>
      </c>
      <c r="M130" s="6" t="n">
        <f aca="false">'7141 Kayla'!$I$19</f>
        <v>3792.99</v>
      </c>
    </row>
    <row r="131" customFormat="false" ht="15" hidden="false" customHeight="false" outlineLevel="0" collapsed="false">
      <c r="B131" s="5" t="s">
        <v>84</v>
      </c>
      <c r="C131" s="6" t="n">
        <f aca="false">SUM(D131:M131)</f>
        <v>212691</v>
      </c>
      <c r="D131" s="6"/>
      <c r="E131" s="6"/>
      <c r="F131" s="6"/>
      <c r="G131" s="6"/>
      <c r="H131" s="6"/>
      <c r="I131" s="6"/>
      <c r="J131" s="6"/>
      <c r="K131" s="6"/>
      <c r="L131" s="6" t="n">
        <f aca="false">'7112 Kayla'!$I$20</f>
        <v>174191</v>
      </c>
      <c r="M131" s="6" t="n">
        <f aca="false">'7141 Kayla'!$I$20</f>
        <v>38500</v>
      </c>
    </row>
    <row r="132" customFormat="false" ht="15" hidden="false" customHeight="false" outlineLevel="0" collapsed="false">
      <c r="B132" s="5" t="s">
        <v>85</v>
      </c>
      <c r="C132" s="6" t="n">
        <f aca="false">SUM(D132:M132)</f>
        <v>19888</v>
      </c>
      <c r="D132" s="6"/>
      <c r="E132" s="6"/>
      <c r="F132" s="6"/>
      <c r="G132" s="6"/>
      <c r="H132" s="6"/>
      <c r="I132" s="6"/>
      <c r="J132" s="6"/>
      <c r="K132" s="6"/>
      <c r="L132" s="6" t="n">
        <f aca="false">'7112 Kayla'!$I$21</f>
        <v>15524</v>
      </c>
      <c r="M132" s="6" t="n">
        <f aca="false">'7141 Kayla'!$I$21</f>
        <v>4364</v>
      </c>
    </row>
    <row r="133" customFormat="false" ht="15" hidden="false" customHeight="false" outlineLevel="0" collapsed="false">
      <c r="B133" s="5" t="s">
        <v>86</v>
      </c>
      <c r="C133" s="6" t="n">
        <f aca="false">SUM(D133:M133)</f>
        <v>267846.56</v>
      </c>
      <c r="D133" s="6"/>
      <c r="E133" s="6"/>
      <c r="F133" s="6"/>
      <c r="G133" s="6"/>
      <c r="H133" s="6"/>
      <c r="I133" s="6"/>
      <c r="J133" s="6"/>
      <c r="K133" s="6"/>
      <c r="L133" s="6" t="n">
        <f aca="false">'7112 Kayla'!$I$22</f>
        <v>218536.44</v>
      </c>
      <c r="M133" s="6" t="n">
        <f aca="false">'7141 Kayla'!$I$22</f>
        <v>49310.12</v>
      </c>
    </row>
    <row r="134" customFormat="false" ht="15" hidden="false" customHeight="false" outlineLevel="0" collapsed="false">
      <c r="B134" s="5" t="s">
        <v>87</v>
      </c>
      <c r="C134" s="6" t="n">
        <f aca="false">SUM(D134:M134)</f>
        <v>43629</v>
      </c>
      <c r="D134" s="6"/>
      <c r="E134" s="6"/>
      <c r="F134" s="6"/>
      <c r="G134" s="6"/>
      <c r="H134" s="6"/>
      <c r="I134" s="6"/>
      <c r="J134" s="6"/>
      <c r="K134" s="6"/>
      <c r="L134" s="6" t="n">
        <f aca="false">'7112 Kayla'!$I$23</f>
        <v>35731</v>
      </c>
      <c r="M134" s="6" t="n">
        <f aca="false">'7141 Kayla'!$I$23</f>
        <v>7898</v>
      </c>
    </row>
    <row r="135" customFormat="false" ht="15" hidden="false" customHeight="false" outlineLevel="0" collapsed="false">
      <c r="B135" s="5" t="s">
        <v>88</v>
      </c>
      <c r="C135" s="6" t="n">
        <f aca="false">SUM(D135:M135)</f>
        <v>4080</v>
      </c>
      <c r="D135" s="6"/>
      <c r="E135" s="6"/>
      <c r="F135" s="6"/>
      <c r="G135" s="6"/>
      <c r="H135" s="6"/>
      <c r="I135" s="6"/>
      <c r="J135" s="6"/>
      <c r="K135" s="6"/>
      <c r="L135" s="6" t="n">
        <f aca="false">'7112 Kayla'!$I$24</f>
        <v>3185</v>
      </c>
      <c r="M135" s="6" t="n">
        <f aca="false">'7141 Kayla'!$I$24</f>
        <v>895</v>
      </c>
    </row>
    <row r="136" customFormat="false" ht="15" hidden="false" customHeight="false" outlineLevel="0" collapsed="false">
      <c r="B136" s="5" t="s">
        <v>89</v>
      </c>
      <c r="C136" s="6" t="n">
        <f aca="false">SUM(D136:M136)</f>
        <v>54942.91</v>
      </c>
      <c r="D136" s="6"/>
      <c r="E136" s="6"/>
      <c r="F136" s="6"/>
      <c r="G136" s="6"/>
      <c r="H136" s="6"/>
      <c r="I136" s="6"/>
      <c r="J136" s="6"/>
      <c r="K136" s="6"/>
      <c r="L136" s="6" t="n">
        <f aca="false">'7112 Kayla'!$I$25</f>
        <v>44828.02</v>
      </c>
      <c r="M136" s="6" t="n">
        <f aca="false">'7141 Kayla'!$I$25</f>
        <v>10114.89</v>
      </c>
    </row>
    <row r="137" customFormat="false" ht="15" hidden="false" customHeight="false" outlineLevel="0" collapsed="false">
      <c r="A137" s="7"/>
      <c r="B137" s="8" t="s">
        <v>94</v>
      </c>
      <c r="C137" s="9" t="n">
        <f aca="false">SUM(C84:C136)</f>
        <v>2848664.16</v>
      </c>
      <c r="D137" s="9" t="n">
        <f aca="false">SUM(D84:D136)</f>
        <v>816946.05</v>
      </c>
      <c r="E137" s="9" t="n">
        <f aca="false">SUM(E84:E136)</f>
        <v>40940.39</v>
      </c>
      <c r="F137" s="9" t="n">
        <f aca="false">SUM(F84:F136)</f>
        <v>304040.94</v>
      </c>
      <c r="G137" s="9" t="n">
        <f aca="false">SUM(G84:G136)</f>
        <v>60120.51</v>
      </c>
      <c r="H137" s="9" t="n">
        <f aca="false">SUM(H84:H136)</f>
        <v>318215.63</v>
      </c>
      <c r="I137" s="9" t="n">
        <f aca="false">SUM(I84:I136)</f>
        <v>46937.1</v>
      </c>
      <c r="J137" s="9" t="n">
        <f aca="false">SUM(J84:J136)</f>
        <v>514820.02</v>
      </c>
      <c r="K137" s="9" t="n">
        <f aca="false">SUM(K84:K136)</f>
        <v>105071.7</v>
      </c>
      <c r="L137" s="9" t="n">
        <f aca="false">SUM(L84:L136)</f>
        <v>523398.82</v>
      </c>
      <c r="M137" s="9" t="n">
        <f aca="false">SUM(M84:M136)</f>
        <v>118173</v>
      </c>
    </row>
    <row r="138" customFormat="false" ht="15" hidden="false" customHeight="false" outlineLevel="0" collapsed="false">
      <c r="A138" s="13"/>
      <c r="B138" s="14" t="s">
        <v>95</v>
      </c>
      <c r="C138" s="15" t="n">
        <f aca="false">C83-C137</f>
        <v>-52330.1600000002</v>
      </c>
      <c r="D138" s="15" t="n">
        <f aca="false">D83-D137</f>
        <v>-26690.17</v>
      </c>
      <c r="E138" s="15" t="n">
        <f aca="false">E83-E137</f>
        <v>-1195.27</v>
      </c>
      <c r="F138" s="15" t="n">
        <f aca="false">F83-F137</f>
        <v>-17908.09</v>
      </c>
      <c r="G138" s="15" t="n">
        <f aca="false">G83-G137</f>
        <v>-2015.36</v>
      </c>
      <c r="H138" s="15" t="n">
        <f aca="false">H83-H137</f>
        <v>-8323.18000000005</v>
      </c>
      <c r="I138" s="15" t="n">
        <f aca="false">I83-I137</f>
        <v>2997.45</v>
      </c>
      <c r="J138" s="15" t="n">
        <f aca="false">J83-J137</f>
        <v>3106.59999999998</v>
      </c>
      <c r="K138" s="15" t="n">
        <f aca="false">K83-K137</f>
        <v>-2786.31999999999</v>
      </c>
      <c r="L138" s="15" t="n">
        <f aca="false">L83-L137</f>
        <v>432.059999999998</v>
      </c>
      <c r="M138" s="15" t="n">
        <f aca="false">M83-M137</f>
        <v>52.1199999999953</v>
      </c>
    </row>
    <row r="139" customFormat="false" ht="15" hidden="false" customHeight="false" outlineLevel="0" collapsed="false">
      <c r="B139" s="16" t="s">
        <v>96</v>
      </c>
      <c r="C139" s="17" t="n">
        <f aca="false">C138-(-52330.16)</f>
        <v>0</v>
      </c>
      <c r="D139" s="17" t="n">
        <f aca="false">D138-'530 Ames'!$D$31</f>
        <v>0</v>
      </c>
      <c r="E139" s="17" t="n">
        <f aca="false">E138-'540 Freedom'!$D$31</f>
        <v>0</v>
      </c>
      <c r="F139" s="17" t="n">
        <f aca="false">F138-'1208 Smith'!$D$31</f>
        <v>0</v>
      </c>
      <c r="G139" s="17" t="n">
        <f aca="false">G138-'1209 Smith'!$D$31</f>
        <v>0</v>
      </c>
      <c r="H139" s="17" t="n">
        <f aca="false">H138-'3112 Havenwood'!$D$31</f>
        <v>0</v>
      </c>
      <c r="I139" s="17" t="n">
        <f aca="false">I138-'3117 Barbwood'!$D$31</f>
        <v>0</v>
      </c>
      <c r="J139" s="17" t="n">
        <f aca="false">J138-'6805 Sayres'!$D$31</f>
        <v>0</v>
      </c>
      <c r="K139" s="17" t="n">
        <f aca="false">K138-'6800 Sayres'!$D$31</f>
        <v>0</v>
      </c>
      <c r="L139" s="17" t="n">
        <f aca="false">L138-'7112 Kayla'!$D$31</f>
        <v>0</v>
      </c>
      <c r="M139" s="17" t="n">
        <f aca="false">M138-'7141 Kayla'!$D$31</f>
        <v>0</v>
      </c>
    </row>
    <row r="141" customFormat="false" ht="15" hidden="false" customHeight="false" outlineLevel="0" collapsed="false">
      <c r="B141" s="18" t="s">
        <v>97</v>
      </c>
    </row>
    <row r="142" customFormat="false" ht="15" hidden="false" customHeight="false" outlineLevel="0" collapsed="false">
      <c r="B142" s="19" t="s">
        <v>98</v>
      </c>
    </row>
    <row r="143" customFormat="false" ht="15" hidden="false" customHeight="false" outlineLevel="0" collapsed="false">
      <c r="B143" s="19" t="s">
        <v>99</v>
      </c>
    </row>
    <row r="144" customFormat="false" ht="15" hidden="false" customHeight="false" outlineLevel="0" collapsed="false">
      <c r="B144" s="19" t="s">
        <v>100</v>
      </c>
    </row>
    <row r="145" customFormat="false" ht="15" hidden="false" customHeight="false" outlineLevel="0" collapsed="false">
      <c r="B145" s="19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102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18</v>
      </c>
      <c r="C10" s="23" t="s">
        <v>17</v>
      </c>
      <c r="D10" s="24" t="n">
        <v>121057</v>
      </c>
      <c r="E10" s="24" t="n">
        <v>0</v>
      </c>
      <c r="F10" s="24" t="n">
        <v>0</v>
      </c>
      <c r="G10" s="24" t="n">
        <v>57319.39</v>
      </c>
      <c r="H10" s="24" t="n">
        <v>7148.5</v>
      </c>
      <c r="I10" s="24" t="n">
        <f aca="false">G10+H10</f>
        <v>64467.89</v>
      </c>
      <c r="J10" s="24" t="n">
        <f aca="false">D10-I10</f>
        <v>56589.11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19</v>
      </c>
      <c r="C11" s="23" t="s">
        <v>17</v>
      </c>
      <c r="D11" s="24" t="n">
        <v>1573731</v>
      </c>
      <c r="E11" s="24" t="n">
        <v>0</v>
      </c>
      <c r="F11" s="24" t="n">
        <v>0</v>
      </c>
      <c r="G11" s="24" t="n">
        <v>345745.14</v>
      </c>
      <c r="H11" s="24" t="n">
        <v>57226.85</v>
      </c>
      <c r="I11" s="24" t="n">
        <f aca="false">G11+H11</f>
        <v>402971.99</v>
      </c>
      <c r="J11" s="24" t="n">
        <f aca="false">D11-I11</f>
        <v>1170759.01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20</v>
      </c>
      <c r="C12" s="23" t="s">
        <v>17</v>
      </c>
      <c r="D12" s="24" t="n">
        <v>322816</v>
      </c>
      <c r="E12" s="24" t="n">
        <v>0</v>
      </c>
      <c r="F12" s="24" t="n">
        <v>0</v>
      </c>
      <c r="G12" s="24" t="n">
        <v>322816</v>
      </c>
      <c r="H12" s="24" t="n">
        <v>0</v>
      </c>
      <c r="I12" s="24" t="n">
        <f aca="false">G12+H12</f>
        <v>322816</v>
      </c>
      <c r="J12" s="24" t="n">
        <f aca="false">D12-I12</f>
        <v>0</v>
      </c>
      <c r="K12" s="25" t="s">
        <v>120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2017604</v>
      </c>
      <c r="E13" s="28" t="n">
        <f aca="false">SUM(E10:E12)</f>
        <v>0</v>
      </c>
      <c r="F13" s="28" t="n">
        <f aca="false">SUM(F10:F12)</f>
        <v>0</v>
      </c>
      <c r="G13" s="28" t="n">
        <f aca="false">SUM(G10:G12)</f>
        <v>725880.53</v>
      </c>
      <c r="H13" s="28" t="n">
        <f aca="false">SUM(H10:H12)</f>
        <v>64375.35</v>
      </c>
      <c r="I13" s="28" t="n">
        <f aca="false">SUM(I10:I12)</f>
        <v>790255.88</v>
      </c>
      <c r="J13" s="28" t="n">
        <f aca="false">SUM(J10:J12)</f>
        <v>1227348.12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37</v>
      </c>
      <c r="C17" s="23" t="s">
        <v>17</v>
      </c>
      <c r="D17" s="24" t="n">
        <v>22198</v>
      </c>
      <c r="E17" s="24" t="n">
        <v>0</v>
      </c>
      <c r="F17" s="24" t="n">
        <v>0</v>
      </c>
      <c r="G17" s="24" t="n">
        <v>22198</v>
      </c>
      <c r="H17" s="24" t="n">
        <v>0</v>
      </c>
      <c r="I17" s="24" t="n">
        <f aca="false">G17+H17</f>
        <v>22198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38</v>
      </c>
      <c r="C18" s="23" t="s">
        <v>17</v>
      </c>
      <c r="D18" s="24" t="n">
        <v>2023</v>
      </c>
      <c r="E18" s="24" t="n">
        <v>0</v>
      </c>
      <c r="F18" s="24" t="n">
        <v>0</v>
      </c>
      <c r="G18" s="24" t="n">
        <v>2023</v>
      </c>
      <c r="H18" s="24" t="n">
        <v>0</v>
      </c>
      <c r="I18" s="24" t="n">
        <f aca="false">G18+H18</f>
        <v>2023</v>
      </c>
      <c r="J18" s="24" t="n">
        <f aca="false">D18-I18</f>
        <v>0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38</v>
      </c>
      <c r="C19" s="23" t="s">
        <v>17</v>
      </c>
      <c r="D19" s="24" t="n">
        <v>96835</v>
      </c>
      <c r="E19" s="24" t="n">
        <v>0</v>
      </c>
      <c r="F19" s="24" t="n">
        <v>0</v>
      </c>
      <c r="G19" s="24" t="n">
        <v>21274.34</v>
      </c>
      <c r="H19" s="24" t="n">
        <v>3521.27</v>
      </c>
      <c r="I19" s="24" t="n">
        <f aca="false">G19+H19</f>
        <v>24795.61</v>
      </c>
      <c r="J19" s="24" t="n">
        <f aca="false">D19-I19</f>
        <v>72039.39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39</v>
      </c>
      <c r="C20" s="23" t="s">
        <v>17</v>
      </c>
      <c r="D20" s="24" t="n">
        <v>288575</v>
      </c>
      <c r="E20" s="24" t="n">
        <v>0</v>
      </c>
      <c r="F20" s="24" t="n">
        <v>288575</v>
      </c>
      <c r="G20" s="24" t="n">
        <v>288575</v>
      </c>
      <c r="H20" s="24" t="n">
        <v>0</v>
      </c>
      <c r="I20" s="24" t="n">
        <f aca="false">G20+H20</f>
        <v>288575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40</v>
      </c>
      <c r="C21" s="23" t="s">
        <v>17</v>
      </c>
      <c r="D21" s="24" t="n">
        <v>26299</v>
      </c>
      <c r="E21" s="24" t="n">
        <v>0</v>
      </c>
      <c r="F21" s="24" t="n">
        <v>26299</v>
      </c>
      <c r="G21" s="24" t="n">
        <v>26299</v>
      </c>
      <c r="H21" s="24" t="n">
        <v>0</v>
      </c>
      <c r="I21" s="24" t="n">
        <f aca="false">G21+H21</f>
        <v>26299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41</v>
      </c>
      <c r="C22" s="23" t="s">
        <v>17</v>
      </c>
      <c r="D22" s="24" t="n">
        <v>1258857</v>
      </c>
      <c r="E22" s="24" t="n">
        <v>0</v>
      </c>
      <c r="F22" s="24" t="n">
        <v>0</v>
      </c>
      <c r="G22" s="24" t="n">
        <v>276567.08</v>
      </c>
      <c r="H22" s="24" t="n">
        <v>45776.62</v>
      </c>
      <c r="I22" s="24" t="n">
        <f aca="false">G22+H22</f>
        <v>322343.7</v>
      </c>
      <c r="J22" s="24" t="n">
        <f aca="false">D22-I22</f>
        <v>936513.3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42</v>
      </c>
      <c r="C23" s="23" t="s">
        <v>17</v>
      </c>
      <c r="D23" s="24" t="n">
        <v>59195</v>
      </c>
      <c r="E23" s="24" t="n">
        <v>0</v>
      </c>
      <c r="F23" s="24" t="n">
        <v>59195</v>
      </c>
      <c r="G23" s="24" t="n">
        <v>59195</v>
      </c>
      <c r="H23" s="24" t="n">
        <v>0</v>
      </c>
      <c r="I23" s="24" t="n">
        <f aca="false">G23+H23</f>
        <v>59195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43</v>
      </c>
      <c r="C24" s="23" t="s">
        <v>17</v>
      </c>
      <c r="D24" s="24" t="n">
        <v>5395</v>
      </c>
      <c r="E24" s="24" t="n">
        <v>0</v>
      </c>
      <c r="F24" s="24" t="n">
        <v>5395</v>
      </c>
      <c r="G24" s="24" t="n">
        <v>5395</v>
      </c>
      <c r="H24" s="24" t="n">
        <v>0</v>
      </c>
      <c r="I24" s="24" t="n">
        <f aca="false">G24+H24</f>
        <v>5395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44</v>
      </c>
      <c r="C25" s="23" t="s">
        <v>17</v>
      </c>
      <c r="D25" s="24" t="n">
        <v>258227</v>
      </c>
      <c r="E25" s="24" t="n">
        <v>0</v>
      </c>
      <c r="F25" s="24" t="n">
        <v>0</v>
      </c>
      <c r="G25" s="24" t="n">
        <v>56731.67</v>
      </c>
      <c r="H25" s="24" t="n">
        <v>9390.07</v>
      </c>
      <c r="I25" s="24" t="n">
        <f aca="false">G25+H25</f>
        <v>66121.74</v>
      </c>
      <c r="J25" s="24" t="n">
        <f aca="false">D25-I25</f>
        <v>192105.26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2017604</v>
      </c>
      <c r="E26" s="28" t="n">
        <f aca="false">SUM(E17:E25)</f>
        <v>0</v>
      </c>
      <c r="F26" s="28" t="n">
        <f aca="false">SUM(F17:F25)</f>
        <v>379464</v>
      </c>
      <c r="G26" s="28" t="n">
        <f aca="false">SUM(G17:G25)</f>
        <v>758258.09</v>
      </c>
      <c r="H26" s="28" t="n">
        <f aca="false">SUM(H17:H25)</f>
        <v>58687.96</v>
      </c>
      <c r="I26" s="28" t="n">
        <f aca="false">SUM(I17:I25)</f>
        <v>816946.05</v>
      </c>
      <c r="J26" s="28" t="n">
        <f aca="false">SUM(J17:J25)</f>
        <v>1200657.95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790255.88</v>
      </c>
    </row>
    <row r="30" customFormat="false" ht="15" hidden="false" customHeight="false" outlineLevel="0" collapsed="false">
      <c r="B30" s="5" t="s">
        <v>127</v>
      </c>
      <c r="D30" s="6" t="n">
        <f aca="false">I26</f>
        <v>816946.05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-26690.17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18</v>
      </c>
      <c r="C36" s="23" t="s">
        <v>17</v>
      </c>
      <c r="D36" s="24" t="n">
        <v>121057</v>
      </c>
      <c r="E36" s="24" t="n">
        <v>0</v>
      </c>
      <c r="F36" s="24" t="n">
        <v>0</v>
      </c>
      <c r="G36" s="24" t="n">
        <v>57319.39</v>
      </c>
      <c r="H36" s="24" t="n">
        <v>7148.5</v>
      </c>
      <c r="I36" s="24" t="n">
        <f aca="false">G36+H36</f>
        <v>64467.89</v>
      </c>
      <c r="J36" s="24" t="n">
        <f aca="false">D36-I36</f>
        <v>56589.11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19</v>
      </c>
      <c r="C37" s="23" t="s">
        <v>17</v>
      </c>
      <c r="D37" s="24" t="n">
        <v>1573731</v>
      </c>
      <c r="E37" s="24" t="n">
        <v>0</v>
      </c>
      <c r="F37" s="24" t="n">
        <v>0</v>
      </c>
      <c r="G37" s="24" t="n">
        <v>345745.14</v>
      </c>
      <c r="H37" s="24" t="n">
        <v>57226.85</v>
      </c>
      <c r="I37" s="24" t="n">
        <f aca="false">G37+H37</f>
        <v>402971.99</v>
      </c>
      <c r="J37" s="24" t="n">
        <f aca="false">D37-I37</f>
        <v>1170759.01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20</v>
      </c>
      <c r="C38" s="23" t="s">
        <v>17</v>
      </c>
      <c r="D38" s="24" t="n">
        <v>322816</v>
      </c>
      <c r="E38" s="24" t="n">
        <v>0</v>
      </c>
      <c r="F38" s="24" t="n">
        <v>0</v>
      </c>
      <c r="G38" s="24" t="n">
        <v>322816</v>
      </c>
      <c r="H38" s="24" t="n">
        <v>0</v>
      </c>
      <c r="I38" s="24" t="n">
        <f aca="false">G38+H38</f>
        <v>322816</v>
      </c>
      <c r="J38" s="24" t="n">
        <f aca="false">D38-I38</f>
        <v>0</v>
      </c>
      <c r="K38" s="25" t="s">
        <v>120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2017604</v>
      </c>
      <c r="E39" s="28" t="n">
        <f aca="false">SUM(E36:E38)</f>
        <v>0</v>
      </c>
      <c r="F39" s="28" t="n">
        <f aca="false">SUM(F36:F38)</f>
        <v>0</v>
      </c>
      <c r="G39" s="28" t="n">
        <f aca="false">SUM(G36:G38)</f>
        <v>725880.53</v>
      </c>
      <c r="H39" s="28" t="n">
        <f aca="false">SUM(H36:H38)</f>
        <v>64375.35</v>
      </c>
      <c r="I39" s="28" t="n">
        <f aca="false">SUM(I36:I38)</f>
        <v>790255.88</v>
      </c>
      <c r="J39" s="28" t="n">
        <f aca="false">SUM(J36:J38)</f>
        <v>1227348.12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37</v>
      </c>
      <c r="C43" s="23" t="s">
        <v>17</v>
      </c>
      <c r="D43" s="24" t="n">
        <v>22198</v>
      </c>
      <c r="E43" s="24" t="n">
        <v>0</v>
      </c>
      <c r="F43" s="24" t="n">
        <v>0</v>
      </c>
      <c r="G43" s="24" t="n">
        <v>22198</v>
      </c>
      <c r="H43" s="24" t="n">
        <v>0</v>
      </c>
      <c r="I43" s="24" t="n">
        <f aca="false">G43+H43</f>
        <v>22198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38</v>
      </c>
      <c r="C44" s="23" t="s">
        <v>17</v>
      </c>
      <c r="D44" s="24" t="n">
        <v>2023</v>
      </c>
      <c r="E44" s="24" t="n">
        <v>0</v>
      </c>
      <c r="F44" s="24" t="n">
        <v>0</v>
      </c>
      <c r="G44" s="24" t="n">
        <v>2023</v>
      </c>
      <c r="H44" s="24" t="n">
        <v>0</v>
      </c>
      <c r="I44" s="24" t="n">
        <f aca="false">G44+H44</f>
        <v>2023</v>
      </c>
      <c r="J44" s="24" t="n">
        <f aca="false">D44-I44</f>
        <v>0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38</v>
      </c>
      <c r="C45" s="23" t="s">
        <v>17</v>
      </c>
      <c r="D45" s="24" t="n">
        <v>96835</v>
      </c>
      <c r="E45" s="24" t="n">
        <v>0</v>
      </c>
      <c r="F45" s="24" t="n">
        <v>0</v>
      </c>
      <c r="G45" s="24" t="n">
        <v>21274.34</v>
      </c>
      <c r="H45" s="24" t="n">
        <v>3521.27</v>
      </c>
      <c r="I45" s="24" t="n">
        <f aca="false">G45+H45</f>
        <v>24795.61</v>
      </c>
      <c r="J45" s="24" t="n">
        <f aca="false">D45-I45</f>
        <v>72039.39</v>
      </c>
      <c r="K45" s="25" t="s">
        <v>120</v>
      </c>
      <c r="L45" s="25" t="s">
        <v>121</v>
      </c>
    </row>
    <row r="46" customFormat="false" ht="15" hidden="false" customHeight="false" outlineLevel="0" collapsed="false">
      <c r="A46" s="23" t="n">
        <v>4</v>
      </c>
      <c r="B46" s="23" t="s">
        <v>39</v>
      </c>
      <c r="C46" s="23" t="s">
        <v>17</v>
      </c>
      <c r="D46" s="24" t="n">
        <v>288575</v>
      </c>
      <c r="E46" s="24" t="n">
        <v>0</v>
      </c>
      <c r="F46" s="24" t="n">
        <v>288575</v>
      </c>
      <c r="G46" s="24" t="n">
        <v>288575</v>
      </c>
      <c r="H46" s="24" t="n">
        <v>0</v>
      </c>
      <c r="I46" s="24" t="n">
        <f aca="false">G46+H46</f>
        <v>288575</v>
      </c>
      <c r="J46" s="24" t="n">
        <f aca="false">D46-I46</f>
        <v>0</v>
      </c>
      <c r="K46" s="25" t="s">
        <v>124</v>
      </c>
      <c r="L46" s="25" t="s">
        <v>122</v>
      </c>
    </row>
    <row r="47" customFormat="false" ht="15" hidden="false" customHeight="false" outlineLevel="0" collapsed="false">
      <c r="A47" s="23" t="n">
        <v>5</v>
      </c>
      <c r="B47" s="23" t="s">
        <v>40</v>
      </c>
      <c r="C47" s="23" t="s">
        <v>17</v>
      </c>
      <c r="D47" s="24" t="n">
        <v>26299</v>
      </c>
      <c r="E47" s="24" t="n">
        <v>0</v>
      </c>
      <c r="F47" s="24" t="n">
        <v>26299</v>
      </c>
      <c r="G47" s="24" t="n">
        <v>26299</v>
      </c>
      <c r="H47" s="24" t="n">
        <v>0</v>
      </c>
      <c r="I47" s="24" t="n">
        <f aca="false">G47+H47</f>
        <v>26299</v>
      </c>
      <c r="J47" s="24" t="n">
        <f aca="false">D47-I47</f>
        <v>0</v>
      </c>
      <c r="K47" s="25" t="s">
        <v>118</v>
      </c>
      <c r="L47" s="25" t="s">
        <v>119</v>
      </c>
    </row>
    <row r="48" customFormat="false" ht="15" hidden="false" customHeight="false" outlineLevel="0" collapsed="false">
      <c r="A48" s="23" t="n">
        <v>6</v>
      </c>
      <c r="B48" s="23" t="s">
        <v>41</v>
      </c>
      <c r="C48" s="23" t="s">
        <v>17</v>
      </c>
      <c r="D48" s="24" t="n">
        <v>1258857</v>
      </c>
      <c r="E48" s="24" t="n">
        <v>0</v>
      </c>
      <c r="F48" s="24" t="n">
        <v>0</v>
      </c>
      <c r="G48" s="24" t="n">
        <v>276567.08</v>
      </c>
      <c r="H48" s="24" t="n">
        <v>45776.62</v>
      </c>
      <c r="I48" s="24" t="n">
        <f aca="false">G48+H48</f>
        <v>322343.7</v>
      </c>
      <c r="J48" s="24" t="n">
        <f aca="false">D48-I48</f>
        <v>936513.3</v>
      </c>
      <c r="K48" s="25" t="s">
        <v>120</v>
      </c>
      <c r="L48" s="25" t="s">
        <v>121</v>
      </c>
    </row>
    <row r="49" customFormat="false" ht="15" hidden="false" customHeight="false" outlineLevel="0" collapsed="false">
      <c r="A49" s="23" t="n">
        <v>7</v>
      </c>
      <c r="B49" s="23" t="s">
        <v>42</v>
      </c>
      <c r="C49" s="23" t="s">
        <v>17</v>
      </c>
      <c r="D49" s="24" t="n">
        <v>59195</v>
      </c>
      <c r="E49" s="24" t="n">
        <v>0</v>
      </c>
      <c r="F49" s="24" t="n">
        <v>59195</v>
      </c>
      <c r="G49" s="24" t="n">
        <v>59195</v>
      </c>
      <c r="H49" s="24" t="n">
        <v>0</v>
      </c>
      <c r="I49" s="24" t="n">
        <f aca="false">G49+H49</f>
        <v>59195</v>
      </c>
      <c r="J49" s="24" t="n">
        <f aca="false">D49-I49</f>
        <v>0</v>
      </c>
      <c r="K49" s="25" t="s">
        <v>124</v>
      </c>
      <c r="L49" s="25" t="s">
        <v>122</v>
      </c>
    </row>
    <row r="50" customFormat="false" ht="15" hidden="false" customHeight="false" outlineLevel="0" collapsed="false">
      <c r="A50" s="23" t="n">
        <v>8</v>
      </c>
      <c r="B50" s="23" t="s">
        <v>43</v>
      </c>
      <c r="C50" s="23" t="s">
        <v>17</v>
      </c>
      <c r="D50" s="24" t="n">
        <v>5395</v>
      </c>
      <c r="E50" s="24" t="n">
        <v>0</v>
      </c>
      <c r="F50" s="24" t="n">
        <v>5395</v>
      </c>
      <c r="G50" s="24" t="n">
        <v>5395</v>
      </c>
      <c r="H50" s="24" t="n">
        <v>0</v>
      </c>
      <c r="I50" s="24" t="n">
        <f aca="false">G50+H50</f>
        <v>5395</v>
      </c>
      <c r="J50" s="24" t="n">
        <f aca="false">D50-I50</f>
        <v>0</v>
      </c>
      <c r="K50" s="25" t="s">
        <v>118</v>
      </c>
      <c r="L50" s="25" t="s">
        <v>119</v>
      </c>
    </row>
    <row r="51" customFormat="false" ht="15" hidden="false" customHeight="false" outlineLevel="0" collapsed="false">
      <c r="A51" s="23" t="n">
        <v>9</v>
      </c>
      <c r="B51" s="23" t="s">
        <v>44</v>
      </c>
      <c r="C51" s="23" t="s">
        <v>17</v>
      </c>
      <c r="D51" s="24" t="n">
        <v>258227</v>
      </c>
      <c r="E51" s="24" t="n">
        <v>0</v>
      </c>
      <c r="F51" s="24" t="n">
        <v>0</v>
      </c>
      <c r="G51" s="24" t="n">
        <v>56731.67</v>
      </c>
      <c r="H51" s="24" t="n">
        <v>9390.07</v>
      </c>
      <c r="I51" s="24" t="n">
        <f aca="false">G51+H51</f>
        <v>66121.74</v>
      </c>
      <c r="J51" s="24" t="n">
        <f aca="false">D51-I51</f>
        <v>192105.26</v>
      </c>
      <c r="K51" s="25" t="s">
        <v>120</v>
      </c>
      <c r="L51" s="25" t="s">
        <v>121</v>
      </c>
    </row>
    <row r="52" customFormat="false" ht="15" hidden="false" customHeight="false" outlineLevel="0" collapsed="false">
      <c r="A52" s="26"/>
      <c r="B52" s="27" t="s">
        <v>35</v>
      </c>
      <c r="C52" s="26"/>
      <c r="D52" s="28" t="n">
        <f aca="false">SUM(D43:D51)</f>
        <v>2017604</v>
      </c>
      <c r="E52" s="28" t="n">
        <f aca="false">SUM(E43:E51)</f>
        <v>0</v>
      </c>
      <c r="F52" s="28" t="n">
        <f aca="false">SUM(F43:F51)</f>
        <v>379464</v>
      </c>
      <c r="G52" s="28" t="n">
        <f aca="false">SUM(G43:G51)</f>
        <v>758258.09</v>
      </c>
      <c r="H52" s="28" t="n">
        <f aca="false">SUM(H43:H51)</f>
        <v>58687.96</v>
      </c>
      <c r="I52" s="28" t="n">
        <f aca="false">SUM(I43:I51)</f>
        <v>816946.05</v>
      </c>
      <c r="J52" s="28" t="n">
        <f aca="false">SUM(J43:J51)</f>
        <v>1200657.95</v>
      </c>
      <c r="K52" s="26"/>
      <c r="L52" s="26"/>
    </row>
    <row r="54" customFormat="false" ht="15" hidden="false" customHeight="false" outlineLevel="0" collapsed="false">
      <c r="B54" s="18" t="s">
        <v>133</v>
      </c>
    </row>
    <row r="55" customFormat="false" ht="15" hidden="false" customHeight="false" outlineLevel="0" collapsed="false">
      <c r="B55" s="5" t="s">
        <v>126</v>
      </c>
      <c r="D55" s="6" t="n">
        <f aca="false">I39</f>
        <v>790255.88</v>
      </c>
    </row>
    <row r="56" customFormat="false" ht="15" hidden="false" customHeight="false" outlineLevel="0" collapsed="false">
      <c r="B56" s="5" t="s">
        <v>127</v>
      </c>
      <c r="D56" s="6" t="n">
        <f aca="false">I52</f>
        <v>816946.05</v>
      </c>
    </row>
    <row r="57" customFormat="false" ht="15" hidden="false" customHeight="false" outlineLevel="0" collapsed="false">
      <c r="B57" s="11" t="s">
        <v>133</v>
      </c>
      <c r="D57" s="29" t="n">
        <f aca="false">D55-D56</f>
        <v>-26690.17</v>
      </c>
    </row>
    <row r="59" customFormat="false" ht="15" hidden="false" customHeight="false" outlineLevel="0" collapsed="false">
      <c r="A59" s="10" t="s">
        <v>134</v>
      </c>
    </row>
    <row r="60" customFormat="false" ht="15" hidden="false" customHeight="false" outlineLevel="0" collapsed="false">
      <c r="B60" s="11" t="s">
        <v>135</v>
      </c>
      <c r="D60" s="12" t="n">
        <f aca="false">D105</f>
        <v>43860.96</v>
      </c>
    </row>
    <row r="61" customFormat="false" ht="15" hidden="false" customHeight="false" outlineLevel="0" collapsed="false">
      <c r="B61" s="5" t="s">
        <v>136</v>
      </c>
      <c r="D61" s="6" t="n">
        <f aca="false">F105</f>
        <v>8042.77</v>
      </c>
    </row>
    <row r="62" customFormat="false" ht="15" hidden="false" customHeight="false" outlineLevel="0" collapsed="false">
      <c r="B62" s="30" t="s">
        <v>137</v>
      </c>
      <c r="D62" s="31" t="n">
        <f aca="false">F106</f>
        <v>0.18336967544714</v>
      </c>
    </row>
    <row r="63" customFormat="false" ht="15" hidden="false" customHeight="false" outlineLevel="0" collapsed="false">
      <c r="B63" s="5" t="s">
        <v>138</v>
      </c>
      <c r="D63" s="6" t="n">
        <f aca="false">H105</f>
        <v>732.98</v>
      </c>
    </row>
    <row r="64" customFormat="false" ht="15" hidden="false" customHeight="false" outlineLevel="0" collapsed="false">
      <c r="B64" s="30" t="s">
        <v>137</v>
      </c>
      <c r="D64" s="31" t="n">
        <f aca="false">H106</f>
        <v>0.0167114445283459</v>
      </c>
    </row>
    <row r="65" customFormat="false" ht="15" hidden="false" customHeight="false" outlineLevel="0" collapsed="false">
      <c r="B65" s="5" t="s">
        <v>139</v>
      </c>
      <c r="D65" s="6" t="n">
        <f aca="false">J105</f>
        <v>35085.21</v>
      </c>
    </row>
    <row r="66" customFormat="false" ht="15" hidden="false" customHeight="false" outlineLevel="0" collapsed="false">
      <c r="B66" s="30" t="s">
        <v>137</v>
      </c>
      <c r="D66" s="31" t="n">
        <f aca="false">J106</f>
        <v>0.799918880024514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B69" s="4" t="s">
        <v>141</v>
      </c>
      <c r="D69" s="4" t="s">
        <v>109</v>
      </c>
      <c r="F69" s="4" t="s">
        <v>142</v>
      </c>
      <c r="H69" s="4" t="s">
        <v>143</v>
      </c>
      <c r="J69" s="4" t="s">
        <v>144</v>
      </c>
    </row>
    <row r="70" customFormat="false" ht="15" hidden="false" customHeight="false" outlineLevel="0" collapsed="false">
      <c r="B70" s="32" t="s">
        <v>145</v>
      </c>
    </row>
    <row r="71" customFormat="false" ht="15" hidden="false" customHeight="false" outlineLevel="0" collapsed="false">
      <c r="B71" s="5" t="s">
        <v>146</v>
      </c>
      <c r="D71" s="33" t="n">
        <f aca="false">SUM(F71:J71)</f>
        <v>1051.54</v>
      </c>
      <c r="F71" s="33" t="n">
        <v>1051.54</v>
      </c>
    </row>
    <row r="72" customFormat="false" ht="15" hidden="false" customHeight="false" outlineLevel="0" collapsed="false">
      <c r="B72" s="5" t="s">
        <v>147</v>
      </c>
      <c r="D72" s="33" t="n">
        <f aca="false">SUM(F72:J72)</f>
        <v>998.91</v>
      </c>
      <c r="F72" s="33" t="n">
        <v>998.91</v>
      </c>
    </row>
    <row r="73" customFormat="false" ht="15" hidden="false" customHeight="false" outlineLevel="0" collapsed="false">
      <c r="B73" s="5" t="s">
        <v>148</v>
      </c>
      <c r="D73" s="33" t="n">
        <f aca="false">SUM(F73:J73)</f>
        <v>2190.16</v>
      </c>
      <c r="F73" s="33" t="n">
        <v>2190.16</v>
      </c>
    </row>
    <row r="74" customFormat="false" ht="15" hidden="false" customHeight="false" outlineLevel="0" collapsed="false">
      <c r="B74" s="5" t="s">
        <v>149</v>
      </c>
      <c r="D74" s="33" t="n">
        <f aca="false">SUM(F74:J74)</f>
        <v>503.17</v>
      </c>
      <c r="F74" s="33" t="n">
        <v>503.17</v>
      </c>
    </row>
    <row r="75" customFormat="false" ht="15" hidden="false" customHeight="false" outlineLevel="0" collapsed="false">
      <c r="B75" s="5" t="s">
        <v>150</v>
      </c>
      <c r="D75" s="33" t="n">
        <f aca="false">SUM(F75:J75)</f>
        <v>382.43</v>
      </c>
      <c r="F75" s="33" t="n">
        <v>382.43</v>
      </c>
    </row>
    <row r="76" customFormat="false" ht="15" hidden="false" customHeight="false" outlineLevel="0" collapsed="false">
      <c r="B76" s="5" t="s">
        <v>151</v>
      </c>
      <c r="D76" s="33" t="n">
        <f aca="false">SUM(F76:J76)</f>
        <v>42.81</v>
      </c>
      <c r="F76" s="33" t="n">
        <v>42.81</v>
      </c>
    </row>
    <row r="77" customFormat="false" ht="15" hidden="false" customHeight="false" outlineLevel="0" collapsed="false">
      <c r="B77" s="5" t="s">
        <v>152</v>
      </c>
      <c r="D77" s="33" t="n">
        <f aca="false">SUM(F77:J77)</f>
        <v>21.12</v>
      </c>
      <c r="F77" s="33" t="n">
        <v>21.12</v>
      </c>
    </row>
    <row r="78" customFormat="false" ht="15" hidden="false" customHeight="false" outlineLevel="0" collapsed="false">
      <c r="B78" s="5" t="s">
        <v>153</v>
      </c>
      <c r="D78" s="33" t="n">
        <f aca="false">SUM(F78:J78)</f>
        <v>731.07</v>
      </c>
      <c r="F78" s="33" t="n">
        <v>731.07</v>
      </c>
    </row>
    <row r="79" customFormat="false" ht="15" hidden="false" customHeight="false" outlineLevel="0" collapsed="false">
      <c r="B79" s="5" t="s">
        <v>154</v>
      </c>
      <c r="D79" s="33" t="n">
        <f aca="false">SUM(F79:J79)</f>
        <v>286.8</v>
      </c>
      <c r="F79" s="33" t="n">
        <v>286.8</v>
      </c>
    </row>
    <row r="80" customFormat="false" ht="15" hidden="false" customHeight="false" outlineLevel="0" collapsed="false">
      <c r="B80" s="5" t="s">
        <v>155</v>
      </c>
      <c r="D80" s="33" t="n">
        <f aca="false">SUM(F80:J80)</f>
        <v>800.46</v>
      </c>
      <c r="F80" s="33" t="n">
        <v>800.46</v>
      </c>
    </row>
    <row r="81" customFormat="false" ht="15" hidden="false" customHeight="false" outlineLevel="0" collapsed="false">
      <c r="B81" s="5" t="s">
        <v>156</v>
      </c>
      <c r="D81" s="33" t="n">
        <f aca="false">SUM(F81:J81)</f>
        <v>232.42</v>
      </c>
      <c r="F81" s="33" t="n">
        <v>232.42</v>
      </c>
    </row>
    <row r="82" customFormat="false" ht="15" hidden="false" customHeight="false" outlineLevel="0" collapsed="false">
      <c r="B82" s="5" t="s">
        <v>157</v>
      </c>
      <c r="D82" s="33" t="n">
        <f aca="false">SUM(F82:J82)</f>
        <v>801.88</v>
      </c>
      <c r="F82" s="33" t="n">
        <v>801.88</v>
      </c>
    </row>
    <row r="83" customFormat="false" ht="15" hidden="false" customHeight="false" outlineLevel="0" collapsed="false">
      <c r="B83" s="32" t="s">
        <v>158</v>
      </c>
    </row>
    <row r="84" customFormat="false" ht="15" hidden="false" customHeight="false" outlineLevel="0" collapsed="false">
      <c r="B84" s="5" t="s">
        <v>159</v>
      </c>
      <c r="D84" s="33" t="n">
        <f aca="false">SUM(F84:J84)</f>
        <v>463.54</v>
      </c>
      <c r="H84" s="33" t="n">
        <v>463.54</v>
      </c>
    </row>
    <row r="85" customFormat="false" ht="15" hidden="false" customHeight="false" outlineLevel="0" collapsed="false">
      <c r="B85" s="5" t="s">
        <v>160</v>
      </c>
      <c r="D85" s="33" t="n">
        <f aca="false">SUM(F85:J85)</f>
        <v>189.36</v>
      </c>
      <c r="H85" s="33" t="n">
        <v>189.36</v>
      </c>
    </row>
    <row r="86" customFormat="false" ht="15" hidden="false" customHeight="false" outlineLevel="0" collapsed="false">
      <c r="B86" s="5" t="s">
        <v>161</v>
      </c>
      <c r="D86" s="33" t="n">
        <f aca="false">SUM(F86:J86)</f>
        <v>49.43</v>
      </c>
      <c r="H86" s="33" t="n">
        <v>49.43</v>
      </c>
    </row>
    <row r="87" customFormat="false" ht="15" hidden="false" customHeight="false" outlineLevel="0" collapsed="false">
      <c r="B87" s="5" t="s">
        <v>162</v>
      </c>
      <c r="D87" s="33" t="n">
        <f aca="false">SUM(F87:J87)</f>
        <v>30.65</v>
      </c>
      <c r="H87" s="33" t="n">
        <v>30.65</v>
      </c>
    </row>
    <row r="88" customFormat="false" ht="15" hidden="false" customHeight="false" outlineLevel="0" collapsed="false">
      <c r="B88" s="32" t="s">
        <v>163</v>
      </c>
    </row>
    <row r="89" customFormat="false" ht="15" hidden="false" customHeight="false" outlineLevel="0" collapsed="false">
      <c r="B89" s="5" t="s">
        <v>164</v>
      </c>
      <c r="D89" s="33" t="n">
        <f aca="false">SUM(F89:J89)</f>
        <v>2790.25</v>
      </c>
      <c r="J89" s="33" t="n">
        <v>2790.25</v>
      </c>
    </row>
    <row r="90" customFormat="false" ht="15" hidden="false" customHeight="false" outlineLevel="0" collapsed="false">
      <c r="B90" s="5" t="s">
        <v>165</v>
      </c>
      <c r="D90" s="33" t="n">
        <f aca="false">SUM(F90:J90)</f>
        <v>4444.19</v>
      </c>
      <c r="J90" s="33" t="n">
        <v>4444.19</v>
      </c>
    </row>
    <row r="91" customFormat="false" ht="15" hidden="false" customHeight="false" outlineLevel="0" collapsed="false">
      <c r="B91" s="5" t="s">
        <v>166</v>
      </c>
      <c r="D91" s="33" t="n">
        <f aca="false">SUM(F91:J91)</f>
        <v>2944.42</v>
      </c>
      <c r="J91" s="33" t="n">
        <v>2944.42</v>
      </c>
    </row>
    <row r="92" customFormat="false" ht="15" hidden="false" customHeight="false" outlineLevel="0" collapsed="false">
      <c r="B92" s="5" t="s">
        <v>167</v>
      </c>
      <c r="D92" s="33" t="n">
        <f aca="false">SUM(F92:J92)</f>
        <v>2757.96</v>
      </c>
      <c r="J92" s="33" t="n">
        <v>2757.96</v>
      </c>
    </row>
    <row r="93" customFormat="false" ht="15" hidden="false" customHeight="false" outlineLevel="0" collapsed="false">
      <c r="B93" s="5" t="s">
        <v>168</v>
      </c>
      <c r="D93" s="33" t="n">
        <f aca="false">SUM(F93:J93)</f>
        <v>2596.79</v>
      </c>
      <c r="J93" s="33" t="n">
        <v>2596.79</v>
      </c>
    </row>
    <row r="94" customFormat="false" ht="15" hidden="false" customHeight="false" outlineLevel="0" collapsed="false">
      <c r="B94" s="5" t="s">
        <v>169</v>
      </c>
      <c r="D94" s="33" t="n">
        <f aca="false">SUM(F94:J94)</f>
        <v>170.86</v>
      </c>
      <c r="J94" s="33" t="n">
        <v>170.86</v>
      </c>
    </row>
    <row r="95" customFormat="false" ht="15" hidden="false" customHeight="false" outlineLevel="0" collapsed="false">
      <c r="B95" s="5" t="s">
        <v>170</v>
      </c>
      <c r="D95" s="33" t="n">
        <f aca="false">SUM(F95:J95)</f>
        <v>1575.35</v>
      </c>
      <c r="J95" s="33" t="n">
        <v>1575.35</v>
      </c>
    </row>
    <row r="96" customFormat="false" ht="15" hidden="false" customHeight="false" outlineLevel="0" collapsed="false">
      <c r="B96" s="5" t="s">
        <v>171</v>
      </c>
      <c r="D96" s="33" t="n">
        <f aca="false">SUM(F96:J96)</f>
        <v>2049.79</v>
      </c>
      <c r="J96" s="33" t="n">
        <v>2049.79</v>
      </c>
    </row>
    <row r="97" customFormat="false" ht="15" hidden="false" customHeight="false" outlineLevel="0" collapsed="false">
      <c r="B97" s="5" t="s">
        <v>172</v>
      </c>
      <c r="D97" s="33" t="n">
        <f aca="false">SUM(F97:J97)</f>
        <v>1685.6</v>
      </c>
      <c r="J97" s="33" t="n">
        <v>1685.6</v>
      </c>
    </row>
    <row r="98" customFormat="false" ht="15" hidden="false" customHeight="false" outlineLevel="0" collapsed="false">
      <c r="B98" s="5" t="s">
        <v>173</v>
      </c>
      <c r="D98" s="33" t="n">
        <f aca="false">SUM(F98:J98)</f>
        <v>1546.81</v>
      </c>
      <c r="J98" s="33" t="n">
        <v>1546.81</v>
      </c>
    </row>
    <row r="99" customFormat="false" ht="15" hidden="false" customHeight="false" outlineLevel="0" collapsed="false">
      <c r="B99" s="5" t="s">
        <v>174</v>
      </c>
      <c r="D99" s="33" t="n">
        <f aca="false">SUM(F99:J99)</f>
        <v>4298.39</v>
      </c>
      <c r="J99" s="33" t="n">
        <v>4298.39</v>
      </c>
    </row>
    <row r="100" customFormat="false" ht="15" hidden="false" customHeight="false" outlineLevel="0" collapsed="false">
      <c r="B100" s="5" t="s">
        <v>175</v>
      </c>
      <c r="D100" s="33" t="n">
        <f aca="false">SUM(F100:J100)</f>
        <v>1463.49</v>
      </c>
      <c r="J100" s="33" t="n">
        <v>1463.49</v>
      </c>
    </row>
    <row r="101" customFormat="false" ht="15" hidden="false" customHeight="false" outlineLevel="0" collapsed="false">
      <c r="B101" s="5" t="s">
        <v>176</v>
      </c>
      <c r="D101" s="33" t="n">
        <f aca="false">SUM(F101:J101)</f>
        <v>5008.87</v>
      </c>
      <c r="J101" s="33" t="n">
        <v>5008.87</v>
      </c>
    </row>
    <row r="102" customFormat="false" ht="15" hidden="false" customHeight="false" outlineLevel="0" collapsed="false">
      <c r="B102" s="5" t="s">
        <v>177</v>
      </c>
      <c r="D102" s="33" t="n">
        <f aca="false">SUM(F102:J102)</f>
        <v>673.26</v>
      </c>
      <c r="J102" s="33" t="n">
        <v>673.26</v>
      </c>
    </row>
    <row r="103" customFormat="false" ht="15" hidden="false" customHeight="false" outlineLevel="0" collapsed="false">
      <c r="B103" s="5" t="s">
        <v>178</v>
      </c>
      <c r="D103" s="33" t="n">
        <f aca="false">SUM(F103:J103)</f>
        <v>648.78</v>
      </c>
      <c r="J103" s="33" t="n">
        <v>648.78</v>
      </c>
    </row>
    <row r="104" customFormat="false" ht="15" hidden="false" customHeight="false" outlineLevel="0" collapsed="false">
      <c r="B104" s="5" t="s">
        <v>179</v>
      </c>
      <c r="D104" s="33" t="n">
        <f aca="false">SUM(F104:J104)</f>
        <v>430.4</v>
      </c>
      <c r="J104" s="33" t="n">
        <v>430.4</v>
      </c>
    </row>
    <row r="105" customFormat="false" ht="15" hidden="false" customHeight="false" outlineLevel="0" collapsed="false">
      <c r="B105" s="11" t="s">
        <v>135</v>
      </c>
      <c r="D105" s="34" t="n">
        <f aca="false">SUM(D70:D104)</f>
        <v>43860.96</v>
      </c>
      <c r="F105" s="34" t="n">
        <f aca="false">SUM(F70:F104)</f>
        <v>8042.77</v>
      </c>
      <c r="H105" s="34" t="n">
        <f aca="false">SUM(H70:H104)</f>
        <v>732.98</v>
      </c>
      <c r="J105" s="34" t="n">
        <f aca="false">SUM(J70:J104)</f>
        <v>35085.21</v>
      </c>
    </row>
    <row r="106" customFormat="false" ht="15" hidden="false" customHeight="false" outlineLevel="0" collapsed="false">
      <c r="B106" s="30" t="s">
        <v>137</v>
      </c>
      <c r="F106" s="31" t="n">
        <f aca="false">F105/D105</f>
        <v>0.18336967544714</v>
      </c>
      <c r="H106" s="31" t="n">
        <f aca="false">H105/D105</f>
        <v>0.0167114445283459</v>
      </c>
      <c r="J106" s="31" t="n">
        <f aca="false">J105/D105</f>
        <v>0.799918880024514</v>
      </c>
    </row>
    <row r="108" customFormat="false" ht="15" hidden="false" customHeight="false" outlineLevel="0" collapsed="false">
      <c r="A108" s="10" t="s">
        <v>180</v>
      </c>
    </row>
    <row r="109" customFormat="false" ht="15" hidden="false" customHeight="false" outlineLevel="0" collapsed="false">
      <c r="B109" s="4" t="s">
        <v>181</v>
      </c>
      <c r="D109" s="4" t="s">
        <v>109</v>
      </c>
      <c r="F109" s="4" t="s">
        <v>142</v>
      </c>
      <c r="H109" s="4" t="s">
        <v>143</v>
      </c>
      <c r="J109" s="4" t="s">
        <v>144</v>
      </c>
    </row>
    <row r="110" customFormat="false" ht="15" hidden="false" customHeight="false" outlineLevel="0" collapsed="false">
      <c r="B110" s="5" t="str">
        <f aca="false">'530 Ames'!B17</f>
        <v>17 - Land Improvements - Ames - 5yr</v>
      </c>
      <c r="D110" s="33" t="n">
        <f aca="false">SUM(F110:J110)</f>
        <v>22198</v>
      </c>
      <c r="F110" s="33" t="n">
        <f aca="false">'530 Ames'!D17</f>
        <v>22198</v>
      </c>
    </row>
    <row r="111" customFormat="false" ht="15" hidden="false" customHeight="false" outlineLevel="0" collapsed="false">
      <c r="B111" s="5" t="str">
        <f aca="false">'530 Ames'!B18</f>
        <v>17 - Land Improvements - Ames - 15yr</v>
      </c>
      <c r="D111" s="33" t="n">
        <f aca="false">SUM(F111:J111)</f>
        <v>2023</v>
      </c>
      <c r="H111" s="33" t="n">
        <f aca="false">'530 Ames'!D18</f>
        <v>2023</v>
      </c>
    </row>
    <row r="112" customFormat="false" ht="15" hidden="false" customHeight="false" outlineLevel="0" collapsed="false">
      <c r="B112" s="5" t="str">
        <f aca="false">'530 Ames'!B19</f>
        <v>17 - Land Improvements - Ames - 15yr</v>
      </c>
      <c r="D112" s="33" t="n">
        <f aca="false">SUM(F112:J112)</f>
        <v>96835</v>
      </c>
      <c r="J112" s="33" t="n">
        <f aca="false">'530 Ames'!D19</f>
        <v>96835</v>
      </c>
    </row>
    <row r="113" customFormat="false" ht="15" hidden="false" customHeight="false" outlineLevel="0" collapsed="false">
      <c r="B113" s="5" t="str">
        <f aca="false">'530 Ames'!B20</f>
        <v>18 - Buidling - Ames - 5yr</v>
      </c>
      <c r="D113" s="33" t="n">
        <f aca="false">SUM(F113:J113)</f>
        <v>288575</v>
      </c>
      <c r="F113" s="33" t="n">
        <f aca="false">'530 Ames'!D20</f>
        <v>288575</v>
      </c>
    </row>
    <row r="114" customFormat="false" ht="15" hidden="false" customHeight="false" outlineLevel="0" collapsed="false">
      <c r="B114" s="5" t="str">
        <f aca="false">'530 Ames'!B21</f>
        <v>18 - Buidling - Ames - 15yr</v>
      </c>
      <c r="D114" s="33" t="n">
        <f aca="false">SUM(F114:J114)</f>
        <v>26299</v>
      </c>
      <c r="H114" s="33" t="n">
        <f aca="false">'530 Ames'!D21</f>
        <v>26299</v>
      </c>
    </row>
    <row r="115" customFormat="false" ht="15" hidden="false" customHeight="false" outlineLevel="0" collapsed="false">
      <c r="B115" s="5" t="str">
        <f aca="false">'530 Ames'!B22</f>
        <v>18 - Buidling - Ames - 27.5yr</v>
      </c>
      <c r="D115" s="33" t="n">
        <f aca="false">SUM(F115:J115)</f>
        <v>1258857</v>
      </c>
      <c r="J115" s="33" t="n">
        <f aca="false">'530 Ames'!D22</f>
        <v>1258857</v>
      </c>
    </row>
    <row r="116" customFormat="false" ht="15" hidden="false" customHeight="false" outlineLevel="0" collapsed="false">
      <c r="B116" s="5" t="str">
        <f aca="false">'530 Ames'!B23</f>
        <v>19 - Equpiment - Ames - 5yr</v>
      </c>
      <c r="D116" s="33" t="n">
        <f aca="false">SUM(F116:J116)</f>
        <v>59195</v>
      </c>
      <c r="F116" s="33" t="n">
        <f aca="false">'530 Ames'!D23</f>
        <v>59195</v>
      </c>
    </row>
    <row r="117" customFormat="false" ht="15" hidden="false" customHeight="false" outlineLevel="0" collapsed="false">
      <c r="B117" s="5" t="str">
        <f aca="false">'530 Ames'!B24</f>
        <v>19 - Equpiment - Ames - 15yr</v>
      </c>
      <c r="D117" s="33" t="n">
        <f aca="false">SUM(F117:J117)</f>
        <v>5395</v>
      </c>
      <c r="H117" s="33" t="n">
        <f aca="false">'530 Ames'!D24</f>
        <v>5395</v>
      </c>
    </row>
    <row r="118" customFormat="false" ht="15" hidden="false" customHeight="false" outlineLevel="0" collapsed="false">
      <c r="B118" s="5" t="str">
        <f aca="false">'530 Ames'!B25</f>
        <v>19 - Equpiment - Ames - 27.5yr</v>
      </c>
      <c r="D118" s="33" t="n">
        <f aca="false">SUM(F118:J118)</f>
        <v>258227</v>
      </c>
      <c r="J118" s="33" t="n">
        <f aca="false">'530 Ames'!D25</f>
        <v>258227</v>
      </c>
    </row>
    <row r="119" customFormat="false" ht="15" hidden="false" customHeight="false" outlineLevel="0" collapsed="false">
      <c r="B119" s="11" t="s">
        <v>182</v>
      </c>
      <c r="D119" s="34" t="n">
        <f aca="false">SUM(D110:D118)</f>
        <v>2017604</v>
      </c>
      <c r="F119" s="34" t="n">
        <f aca="false">SUM(F110:F118)</f>
        <v>369968</v>
      </c>
      <c r="H119" s="34" t="n">
        <f aca="false">SUM(H110:H118)</f>
        <v>33717</v>
      </c>
      <c r="J119" s="34" t="n">
        <f aca="false">SUM(J110:J118)</f>
        <v>1613919</v>
      </c>
    </row>
    <row r="120" customFormat="false" ht="15" hidden="false" customHeight="false" outlineLevel="0" collapsed="false">
      <c r="B120" s="16" t="s">
        <v>183</v>
      </c>
      <c r="D120" s="17" t="n">
        <f aca="false">D119-D105</f>
        <v>1973743.04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184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18</v>
      </c>
      <c r="C10" s="23" t="s">
        <v>17</v>
      </c>
      <c r="D10" s="24" t="n">
        <v>6088</v>
      </c>
      <c r="E10" s="24" t="n">
        <v>0</v>
      </c>
      <c r="F10" s="24" t="n">
        <v>0</v>
      </c>
      <c r="G10" s="24" t="n">
        <v>2882.61</v>
      </c>
      <c r="H10" s="24" t="n">
        <v>359.5</v>
      </c>
      <c r="I10" s="24" t="n">
        <f aca="false">G10+H10</f>
        <v>3242.11</v>
      </c>
      <c r="J10" s="24" t="n">
        <f aca="false">D10-I10</f>
        <v>2845.89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19</v>
      </c>
      <c r="C11" s="23" t="s">
        <v>17</v>
      </c>
      <c r="D11" s="24" t="n">
        <v>79149</v>
      </c>
      <c r="E11" s="24" t="n">
        <v>0</v>
      </c>
      <c r="F11" s="24" t="n">
        <v>0</v>
      </c>
      <c r="G11" s="24" t="n">
        <v>17388.86</v>
      </c>
      <c r="H11" s="24" t="n">
        <v>2878.15</v>
      </c>
      <c r="I11" s="24" t="n">
        <f aca="false">G11+H11</f>
        <v>20267.01</v>
      </c>
      <c r="J11" s="24" t="n">
        <f aca="false">D11-I11</f>
        <v>58881.99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20</v>
      </c>
      <c r="C12" s="23" t="s">
        <v>17</v>
      </c>
      <c r="D12" s="24" t="n">
        <v>16236</v>
      </c>
      <c r="E12" s="24" t="n">
        <v>0</v>
      </c>
      <c r="F12" s="24" t="n">
        <v>16236</v>
      </c>
      <c r="G12" s="24" t="n">
        <v>16236</v>
      </c>
      <c r="H12" s="24" t="n">
        <v>0</v>
      </c>
      <c r="I12" s="24" t="n">
        <f aca="false">G12+H12</f>
        <v>16236</v>
      </c>
      <c r="J12" s="24" t="n">
        <f aca="false">D12-I12</f>
        <v>0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101473</v>
      </c>
      <c r="E13" s="28" t="n">
        <f aca="false">SUM(E10:E12)</f>
        <v>0</v>
      </c>
      <c r="F13" s="28" t="n">
        <f aca="false">SUM(F10:F12)</f>
        <v>16236</v>
      </c>
      <c r="G13" s="28" t="n">
        <f aca="false">SUM(G10:G12)</f>
        <v>36507.47</v>
      </c>
      <c r="H13" s="28" t="n">
        <f aca="false">SUM(H10:H12)</f>
        <v>3237.65</v>
      </c>
      <c r="I13" s="28" t="n">
        <f aca="false">SUM(I10:I12)</f>
        <v>39745.12</v>
      </c>
      <c r="J13" s="28" t="n">
        <f aca="false">SUM(J10:J12)</f>
        <v>61727.88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37</v>
      </c>
      <c r="C17" s="23" t="s">
        <v>17</v>
      </c>
      <c r="D17" s="24" t="n">
        <v>1050</v>
      </c>
      <c r="E17" s="24" t="n">
        <v>0</v>
      </c>
      <c r="F17" s="24" t="n">
        <v>0</v>
      </c>
      <c r="G17" s="24" t="n">
        <v>1050</v>
      </c>
      <c r="H17" s="24" t="n">
        <v>0</v>
      </c>
      <c r="I17" s="24" t="n">
        <f aca="false">G17+H17</f>
        <v>1050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38</v>
      </c>
      <c r="C18" s="23" t="s">
        <v>17</v>
      </c>
      <c r="D18" s="24" t="n">
        <v>162</v>
      </c>
      <c r="E18" s="24" t="n">
        <v>0</v>
      </c>
      <c r="F18" s="24" t="n">
        <v>0</v>
      </c>
      <c r="G18" s="24" t="n">
        <v>80.7</v>
      </c>
      <c r="H18" s="24" t="n">
        <v>9.56</v>
      </c>
      <c r="I18" s="24" t="n">
        <f aca="false">G18+H18</f>
        <v>90.26</v>
      </c>
      <c r="J18" s="24" t="n">
        <f aca="false">D18-I18</f>
        <v>71.74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45</v>
      </c>
      <c r="C19" s="23" t="s">
        <v>17</v>
      </c>
      <c r="D19" s="24" t="n">
        <v>4876</v>
      </c>
      <c r="E19" s="24" t="n">
        <v>0</v>
      </c>
      <c r="F19" s="24" t="n">
        <v>0</v>
      </c>
      <c r="G19" s="24" t="n">
        <v>1071.25</v>
      </c>
      <c r="H19" s="24" t="n">
        <v>177.31</v>
      </c>
      <c r="I19" s="24" t="n">
        <f aca="false">G19+H19</f>
        <v>1248.56</v>
      </c>
      <c r="J19" s="24" t="n">
        <f aca="false">D19-I19</f>
        <v>3627.44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39</v>
      </c>
      <c r="C20" s="23" t="s">
        <v>17</v>
      </c>
      <c r="D20" s="24" t="n">
        <v>13650</v>
      </c>
      <c r="E20" s="24" t="n">
        <v>0</v>
      </c>
      <c r="F20" s="24" t="n">
        <v>13650</v>
      </c>
      <c r="G20" s="24" t="n">
        <v>13650</v>
      </c>
      <c r="H20" s="24" t="n">
        <v>0</v>
      </c>
      <c r="I20" s="24" t="n">
        <f aca="false">G20+H20</f>
        <v>13650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40</v>
      </c>
      <c r="C21" s="23" t="s">
        <v>17</v>
      </c>
      <c r="D21" s="24" t="n">
        <v>2108</v>
      </c>
      <c r="E21" s="24" t="n">
        <v>0</v>
      </c>
      <c r="F21" s="24" t="n">
        <v>2108</v>
      </c>
      <c r="G21" s="24" t="n">
        <v>2108</v>
      </c>
      <c r="H21" s="24" t="n">
        <v>0</v>
      </c>
      <c r="I21" s="24" t="n">
        <f aca="false">G21+H21</f>
        <v>2108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41</v>
      </c>
      <c r="C22" s="23" t="s">
        <v>17</v>
      </c>
      <c r="D22" s="24" t="n">
        <v>63391</v>
      </c>
      <c r="E22" s="24" t="n">
        <v>0</v>
      </c>
      <c r="F22" s="24" t="n">
        <v>0</v>
      </c>
      <c r="G22" s="24" t="n">
        <v>13926.83</v>
      </c>
      <c r="H22" s="24" t="n">
        <v>2305.13</v>
      </c>
      <c r="I22" s="24" t="n">
        <f aca="false">G22+H22</f>
        <v>16231.96</v>
      </c>
      <c r="J22" s="24" t="n">
        <f aca="false">D22-I22</f>
        <v>47159.04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42</v>
      </c>
      <c r="C23" s="23" t="s">
        <v>17</v>
      </c>
      <c r="D23" s="24" t="n">
        <v>2800</v>
      </c>
      <c r="E23" s="24" t="n">
        <v>0</v>
      </c>
      <c r="F23" s="24" t="n">
        <v>2800</v>
      </c>
      <c r="G23" s="24" t="n">
        <v>2800</v>
      </c>
      <c r="H23" s="24" t="n">
        <v>0</v>
      </c>
      <c r="I23" s="24" t="n">
        <f aca="false">G23+H23</f>
        <v>2800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43</v>
      </c>
      <c r="C24" s="23" t="s">
        <v>17</v>
      </c>
      <c r="D24" s="24" t="n">
        <v>432</v>
      </c>
      <c r="E24" s="24" t="n">
        <v>0</v>
      </c>
      <c r="F24" s="24" t="n">
        <v>432</v>
      </c>
      <c r="G24" s="24" t="n">
        <v>432</v>
      </c>
      <c r="H24" s="24" t="n">
        <v>0</v>
      </c>
      <c r="I24" s="24" t="n">
        <f aca="false">G24+H24</f>
        <v>432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44</v>
      </c>
      <c r="C25" s="23" t="s">
        <v>17</v>
      </c>
      <c r="D25" s="24" t="n">
        <v>13004</v>
      </c>
      <c r="E25" s="24" t="n">
        <v>0</v>
      </c>
      <c r="F25" s="24" t="n">
        <v>0</v>
      </c>
      <c r="G25" s="24" t="n">
        <v>2856.74</v>
      </c>
      <c r="H25" s="24" t="n">
        <v>472.87</v>
      </c>
      <c r="I25" s="24" t="n">
        <f aca="false">G25+H25</f>
        <v>3329.61</v>
      </c>
      <c r="J25" s="24" t="n">
        <f aca="false">D25-I25</f>
        <v>9674.39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101473</v>
      </c>
      <c r="E26" s="28" t="n">
        <f aca="false">SUM(E17:E25)</f>
        <v>0</v>
      </c>
      <c r="F26" s="28" t="n">
        <f aca="false">SUM(F17:F25)</f>
        <v>18990</v>
      </c>
      <c r="G26" s="28" t="n">
        <f aca="false">SUM(G17:G25)</f>
        <v>37975.52</v>
      </c>
      <c r="H26" s="28" t="n">
        <f aca="false">SUM(H17:H25)</f>
        <v>2964.87</v>
      </c>
      <c r="I26" s="28" t="n">
        <f aca="false">SUM(I17:I25)</f>
        <v>40940.39</v>
      </c>
      <c r="J26" s="28" t="n">
        <f aca="false">SUM(J17:J25)</f>
        <v>60532.61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39745.12</v>
      </c>
    </row>
    <row r="30" customFormat="false" ht="15" hidden="false" customHeight="false" outlineLevel="0" collapsed="false">
      <c r="B30" s="5" t="s">
        <v>127</v>
      </c>
      <c r="D30" s="6" t="n">
        <f aca="false">I26</f>
        <v>40940.39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-1195.27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18</v>
      </c>
      <c r="C36" s="23" t="s">
        <v>17</v>
      </c>
      <c r="D36" s="24" t="n">
        <v>6088</v>
      </c>
      <c r="E36" s="24" t="n">
        <v>0</v>
      </c>
      <c r="F36" s="24" t="n">
        <v>0</v>
      </c>
      <c r="G36" s="24" t="n">
        <v>2882.61</v>
      </c>
      <c r="H36" s="24" t="n">
        <v>359.5</v>
      </c>
      <c r="I36" s="24" t="n">
        <f aca="false">G36+H36</f>
        <v>3242.11</v>
      </c>
      <c r="J36" s="24" t="n">
        <f aca="false">D36-I36</f>
        <v>2845.89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19</v>
      </c>
      <c r="C37" s="23" t="s">
        <v>17</v>
      </c>
      <c r="D37" s="24" t="n">
        <v>79149</v>
      </c>
      <c r="E37" s="24" t="n">
        <v>0</v>
      </c>
      <c r="F37" s="24" t="n">
        <v>0</v>
      </c>
      <c r="G37" s="24" t="n">
        <v>17388.86</v>
      </c>
      <c r="H37" s="24" t="n">
        <v>2878.15</v>
      </c>
      <c r="I37" s="24" t="n">
        <f aca="false">G37+H37</f>
        <v>20267.01</v>
      </c>
      <c r="J37" s="24" t="n">
        <f aca="false">D37-I37</f>
        <v>58881.99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20</v>
      </c>
      <c r="C38" s="23" t="s">
        <v>17</v>
      </c>
      <c r="D38" s="24" t="n">
        <v>16236</v>
      </c>
      <c r="E38" s="24" t="n">
        <v>0</v>
      </c>
      <c r="F38" s="24" t="n">
        <v>16236</v>
      </c>
      <c r="G38" s="24" t="n">
        <v>16236</v>
      </c>
      <c r="H38" s="24" t="n">
        <v>0</v>
      </c>
      <c r="I38" s="24" t="n">
        <f aca="false">G38+H38</f>
        <v>16236</v>
      </c>
      <c r="J38" s="24" t="n">
        <f aca="false">D38-I38</f>
        <v>0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101473</v>
      </c>
      <c r="E39" s="28" t="n">
        <f aca="false">SUM(E36:E38)</f>
        <v>0</v>
      </c>
      <c r="F39" s="28" t="n">
        <f aca="false">SUM(F36:F38)</f>
        <v>16236</v>
      </c>
      <c r="G39" s="28" t="n">
        <f aca="false">SUM(G36:G38)</f>
        <v>36507.47</v>
      </c>
      <c r="H39" s="28" t="n">
        <f aca="false">SUM(H36:H38)</f>
        <v>3237.65</v>
      </c>
      <c r="I39" s="28" t="n">
        <f aca="false">SUM(I36:I38)</f>
        <v>39745.12</v>
      </c>
      <c r="J39" s="28" t="n">
        <f aca="false">SUM(J36:J38)</f>
        <v>61727.88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37</v>
      </c>
      <c r="C43" s="23" t="s">
        <v>17</v>
      </c>
      <c r="D43" s="24" t="n">
        <v>1050</v>
      </c>
      <c r="E43" s="24" t="n">
        <v>0</v>
      </c>
      <c r="F43" s="24" t="n">
        <v>0</v>
      </c>
      <c r="G43" s="24" t="n">
        <v>1050</v>
      </c>
      <c r="H43" s="24" t="n">
        <v>0</v>
      </c>
      <c r="I43" s="24" t="n">
        <f aca="false">G43+H43</f>
        <v>1050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38</v>
      </c>
      <c r="C44" s="23" t="s">
        <v>17</v>
      </c>
      <c r="D44" s="24" t="n">
        <v>162</v>
      </c>
      <c r="E44" s="24" t="n">
        <v>0</v>
      </c>
      <c r="F44" s="24" t="n">
        <v>0</v>
      </c>
      <c r="G44" s="24" t="n">
        <v>80.7</v>
      </c>
      <c r="H44" s="24" t="n">
        <v>9.56</v>
      </c>
      <c r="I44" s="24" t="n">
        <f aca="false">G44+H44</f>
        <v>90.26</v>
      </c>
      <c r="J44" s="24" t="n">
        <f aca="false">D44-I44</f>
        <v>71.74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45</v>
      </c>
      <c r="C45" s="23" t="s">
        <v>17</v>
      </c>
      <c r="D45" s="24" t="n">
        <v>4876</v>
      </c>
      <c r="E45" s="24" t="n">
        <v>0</v>
      </c>
      <c r="F45" s="24" t="n">
        <v>0</v>
      </c>
      <c r="G45" s="24" t="n">
        <v>1071.25</v>
      </c>
      <c r="H45" s="24" t="n">
        <v>177.31</v>
      </c>
      <c r="I45" s="24" t="n">
        <f aca="false">G45+H45</f>
        <v>1248.56</v>
      </c>
      <c r="J45" s="24" t="n">
        <f aca="false">D45-I45</f>
        <v>3627.44</v>
      </c>
      <c r="K45" s="25" t="s">
        <v>120</v>
      </c>
      <c r="L45" s="25" t="s">
        <v>121</v>
      </c>
    </row>
    <row r="46" customFormat="false" ht="15" hidden="false" customHeight="false" outlineLevel="0" collapsed="false">
      <c r="A46" s="23" t="n">
        <v>4</v>
      </c>
      <c r="B46" s="23" t="s">
        <v>39</v>
      </c>
      <c r="C46" s="23" t="s">
        <v>17</v>
      </c>
      <c r="D46" s="24" t="n">
        <v>13650</v>
      </c>
      <c r="E46" s="24" t="n">
        <v>0</v>
      </c>
      <c r="F46" s="24" t="n">
        <v>13650</v>
      </c>
      <c r="G46" s="24" t="n">
        <v>13650</v>
      </c>
      <c r="H46" s="24" t="n">
        <v>0</v>
      </c>
      <c r="I46" s="24" t="n">
        <f aca="false">G46+H46</f>
        <v>13650</v>
      </c>
      <c r="J46" s="24" t="n">
        <f aca="false">D46-I46</f>
        <v>0</v>
      </c>
      <c r="K46" s="25" t="s">
        <v>124</v>
      </c>
      <c r="L46" s="25" t="s">
        <v>122</v>
      </c>
    </row>
    <row r="47" customFormat="false" ht="15" hidden="false" customHeight="false" outlineLevel="0" collapsed="false">
      <c r="A47" s="23" t="n">
        <v>5</v>
      </c>
      <c r="B47" s="23" t="s">
        <v>40</v>
      </c>
      <c r="C47" s="23" t="s">
        <v>17</v>
      </c>
      <c r="D47" s="24" t="n">
        <v>2108</v>
      </c>
      <c r="E47" s="24" t="n">
        <v>0</v>
      </c>
      <c r="F47" s="24" t="n">
        <v>2108</v>
      </c>
      <c r="G47" s="24" t="n">
        <v>2108</v>
      </c>
      <c r="H47" s="24" t="n">
        <v>0</v>
      </c>
      <c r="I47" s="24" t="n">
        <f aca="false">G47+H47</f>
        <v>2108</v>
      </c>
      <c r="J47" s="24" t="n">
        <f aca="false">D47-I47</f>
        <v>0</v>
      </c>
      <c r="K47" s="25" t="s">
        <v>118</v>
      </c>
      <c r="L47" s="25" t="s">
        <v>119</v>
      </c>
    </row>
    <row r="48" customFormat="false" ht="15" hidden="false" customHeight="false" outlineLevel="0" collapsed="false">
      <c r="A48" s="23" t="n">
        <v>6</v>
      </c>
      <c r="B48" s="23" t="s">
        <v>41</v>
      </c>
      <c r="C48" s="23" t="s">
        <v>17</v>
      </c>
      <c r="D48" s="24" t="n">
        <v>63391</v>
      </c>
      <c r="E48" s="24" t="n">
        <v>0</v>
      </c>
      <c r="F48" s="24" t="n">
        <v>0</v>
      </c>
      <c r="G48" s="24" t="n">
        <v>13926.83</v>
      </c>
      <c r="H48" s="24" t="n">
        <v>2305.13</v>
      </c>
      <c r="I48" s="24" t="n">
        <f aca="false">G48+H48</f>
        <v>16231.96</v>
      </c>
      <c r="J48" s="24" t="n">
        <f aca="false">D48-I48</f>
        <v>47159.04</v>
      </c>
      <c r="K48" s="25" t="s">
        <v>120</v>
      </c>
      <c r="L48" s="25" t="s">
        <v>121</v>
      </c>
    </row>
    <row r="49" customFormat="false" ht="15" hidden="false" customHeight="false" outlineLevel="0" collapsed="false">
      <c r="A49" s="23" t="n">
        <v>7</v>
      </c>
      <c r="B49" s="23" t="s">
        <v>42</v>
      </c>
      <c r="C49" s="23" t="s">
        <v>17</v>
      </c>
      <c r="D49" s="24" t="n">
        <v>2800</v>
      </c>
      <c r="E49" s="24" t="n">
        <v>0</v>
      </c>
      <c r="F49" s="24" t="n">
        <v>2800</v>
      </c>
      <c r="G49" s="24" t="n">
        <v>2800</v>
      </c>
      <c r="H49" s="24" t="n">
        <v>0</v>
      </c>
      <c r="I49" s="24" t="n">
        <f aca="false">G49+H49</f>
        <v>2800</v>
      </c>
      <c r="J49" s="24" t="n">
        <f aca="false">D49-I49</f>
        <v>0</v>
      </c>
      <c r="K49" s="25" t="s">
        <v>124</v>
      </c>
      <c r="L49" s="25" t="s">
        <v>122</v>
      </c>
    </row>
    <row r="50" customFormat="false" ht="15" hidden="false" customHeight="false" outlineLevel="0" collapsed="false">
      <c r="A50" s="23" t="n">
        <v>8</v>
      </c>
      <c r="B50" s="23" t="s">
        <v>43</v>
      </c>
      <c r="C50" s="23" t="s">
        <v>17</v>
      </c>
      <c r="D50" s="24" t="n">
        <v>432</v>
      </c>
      <c r="E50" s="24" t="n">
        <v>0</v>
      </c>
      <c r="F50" s="24" t="n">
        <v>432</v>
      </c>
      <c r="G50" s="24" t="n">
        <v>432</v>
      </c>
      <c r="H50" s="24" t="n">
        <v>0</v>
      </c>
      <c r="I50" s="24" t="n">
        <f aca="false">G50+H50</f>
        <v>432</v>
      </c>
      <c r="J50" s="24" t="n">
        <f aca="false">D50-I50</f>
        <v>0</v>
      </c>
      <c r="K50" s="25" t="s">
        <v>118</v>
      </c>
      <c r="L50" s="25" t="s">
        <v>119</v>
      </c>
    </row>
    <row r="51" customFormat="false" ht="15" hidden="false" customHeight="false" outlineLevel="0" collapsed="false">
      <c r="A51" s="23" t="n">
        <v>9</v>
      </c>
      <c r="B51" s="23" t="s">
        <v>44</v>
      </c>
      <c r="C51" s="23" t="s">
        <v>17</v>
      </c>
      <c r="D51" s="24" t="n">
        <v>13004</v>
      </c>
      <c r="E51" s="24" t="n">
        <v>0</v>
      </c>
      <c r="F51" s="24" t="n">
        <v>0</v>
      </c>
      <c r="G51" s="24" t="n">
        <v>2856.74</v>
      </c>
      <c r="H51" s="24" t="n">
        <v>472.87</v>
      </c>
      <c r="I51" s="24" t="n">
        <f aca="false">G51+H51</f>
        <v>3329.61</v>
      </c>
      <c r="J51" s="24" t="n">
        <f aca="false">D51-I51</f>
        <v>9674.39</v>
      </c>
      <c r="K51" s="25" t="s">
        <v>120</v>
      </c>
      <c r="L51" s="25" t="s">
        <v>121</v>
      </c>
    </row>
    <row r="52" customFormat="false" ht="15" hidden="false" customHeight="false" outlineLevel="0" collapsed="false">
      <c r="A52" s="26"/>
      <c r="B52" s="27" t="s">
        <v>35</v>
      </c>
      <c r="C52" s="26"/>
      <c r="D52" s="28" t="n">
        <f aca="false">SUM(D43:D51)</f>
        <v>101473</v>
      </c>
      <c r="E52" s="28" t="n">
        <f aca="false">SUM(E43:E51)</f>
        <v>0</v>
      </c>
      <c r="F52" s="28" t="n">
        <f aca="false">SUM(F43:F51)</f>
        <v>18990</v>
      </c>
      <c r="G52" s="28" t="n">
        <f aca="false">SUM(G43:G51)</f>
        <v>37975.52</v>
      </c>
      <c r="H52" s="28" t="n">
        <f aca="false">SUM(H43:H51)</f>
        <v>2964.87</v>
      </c>
      <c r="I52" s="28" t="n">
        <f aca="false">SUM(I43:I51)</f>
        <v>40940.39</v>
      </c>
      <c r="J52" s="28" t="n">
        <f aca="false">SUM(J43:J51)</f>
        <v>60532.61</v>
      </c>
      <c r="K52" s="26"/>
      <c r="L52" s="26"/>
    </row>
    <row r="54" customFormat="false" ht="15" hidden="false" customHeight="false" outlineLevel="0" collapsed="false">
      <c r="B54" s="18" t="s">
        <v>133</v>
      </c>
    </row>
    <row r="55" customFormat="false" ht="15" hidden="false" customHeight="false" outlineLevel="0" collapsed="false">
      <c r="B55" s="5" t="s">
        <v>126</v>
      </c>
      <c r="D55" s="6" t="n">
        <f aca="false">I39</f>
        <v>39745.12</v>
      </c>
    </row>
    <row r="56" customFormat="false" ht="15" hidden="false" customHeight="false" outlineLevel="0" collapsed="false">
      <c r="B56" s="5" t="s">
        <v>127</v>
      </c>
      <c r="D56" s="6" t="n">
        <f aca="false">I52</f>
        <v>40940.39</v>
      </c>
    </row>
    <row r="57" customFormat="false" ht="15" hidden="false" customHeight="false" outlineLevel="0" collapsed="false">
      <c r="B57" s="11" t="s">
        <v>133</v>
      </c>
      <c r="D57" s="29" t="n">
        <f aca="false">D55-D56</f>
        <v>-1195.27</v>
      </c>
    </row>
    <row r="59" customFormat="false" ht="15" hidden="false" customHeight="false" outlineLevel="0" collapsed="false">
      <c r="A59" s="10" t="s">
        <v>134</v>
      </c>
    </row>
    <row r="60" customFormat="false" ht="15" hidden="false" customHeight="false" outlineLevel="0" collapsed="false">
      <c r="B60" s="11" t="s">
        <v>135</v>
      </c>
      <c r="D60" s="12" t="n">
        <f aca="false">D107</f>
        <v>50736.5</v>
      </c>
    </row>
    <row r="61" customFormat="false" ht="15" hidden="false" customHeight="false" outlineLevel="0" collapsed="false">
      <c r="B61" s="5" t="s">
        <v>136</v>
      </c>
      <c r="D61" s="6" t="n">
        <f aca="false">F107</f>
        <v>8750.07</v>
      </c>
    </row>
    <row r="62" customFormat="false" ht="15" hidden="false" customHeight="false" outlineLevel="0" collapsed="false">
      <c r="B62" s="30" t="s">
        <v>137</v>
      </c>
      <c r="D62" s="31" t="n">
        <f aca="false">F108</f>
        <v>0.172461048751885</v>
      </c>
    </row>
    <row r="63" customFormat="false" ht="15" hidden="false" customHeight="false" outlineLevel="0" collapsed="false">
      <c r="B63" s="5" t="s">
        <v>138</v>
      </c>
      <c r="D63" s="6" t="n">
        <f aca="false">H107</f>
        <v>1351.32</v>
      </c>
    </row>
    <row r="64" customFormat="false" ht="15" hidden="false" customHeight="false" outlineLevel="0" collapsed="false">
      <c r="B64" s="30" t="s">
        <v>137</v>
      </c>
      <c r="D64" s="31" t="n">
        <f aca="false">H108</f>
        <v>0.0266340800015768</v>
      </c>
    </row>
    <row r="65" customFormat="false" ht="15" hidden="false" customHeight="false" outlineLevel="0" collapsed="false">
      <c r="B65" s="5" t="s">
        <v>139</v>
      </c>
      <c r="D65" s="6" t="n">
        <f aca="false">J107</f>
        <v>40635.11</v>
      </c>
    </row>
    <row r="66" customFormat="false" ht="15" hidden="false" customHeight="false" outlineLevel="0" collapsed="false">
      <c r="B66" s="30" t="s">
        <v>137</v>
      </c>
      <c r="D66" s="31" t="n">
        <f aca="false">J108</f>
        <v>0.800904871246539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B69" s="4" t="s">
        <v>141</v>
      </c>
      <c r="D69" s="4" t="s">
        <v>109</v>
      </c>
      <c r="F69" s="4" t="s">
        <v>142</v>
      </c>
      <c r="H69" s="4" t="s">
        <v>143</v>
      </c>
      <c r="J69" s="4" t="s">
        <v>144</v>
      </c>
    </row>
    <row r="70" customFormat="false" ht="15" hidden="false" customHeight="false" outlineLevel="0" collapsed="false">
      <c r="B70" s="32" t="s">
        <v>145</v>
      </c>
    </row>
    <row r="71" customFormat="false" ht="15" hidden="false" customHeight="false" outlineLevel="0" collapsed="false">
      <c r="B71" s="5" t="s">
        <v>146</v>
      </c>
      <c r="D71" s="33" t="n">
        <f aca="false">SUM(F71:J71)</f>
        <v>1413.34</v>
      </c>
      <c r="F71" s="33" t="n">
        <v>1413.34</v>
      </c>
    </row>
    <row r="72" customFormat="false" ht="15" hidden="false" customHeight="false" outlineLevel="0" collapsed="false">
      <c r="B72" s="5" t="s">
        <v>147</v>
      </c>
      <c r="D72" s="33" t="n">
        <f aca="false">SUM(F72:J72)</f>
        <v>704.98</v>
      </c>
      <c r="F72" s="33" t="n">
        <v>704.98</v>
      </c>
    </row>
    <row r="73" customFormat="false" ht="15" hidden="false" customHeight="false" outlineLevel="0" collapsed="false">
      <c r="B73" s="5" t="s">
        <v>185</v>
      </c>
      <c r="D73" s="33" t="n">
        <f aca="false">SUM(F73:J73)</f>
        <v>115.67</v>
      </c>
      <c r="F73" s="33" t="n">
        <v>115.67</v>
      </c>
    </row>
    <row r="74" customFormat="false" ht="15" hidden="false" customHeight="false" outlineLevel="0" collapsed="false">
      <c r="B74" s="5" t="s">
        <v>186</v>
      </c>
      <c r="D74" s="33" t="n">
        <f aca="false">SUM(F74:J74)</f>
        <v>2552.89</v>
      </c>
      <c r="F74" s="33" t="n">
        <v>2552.89</v>
      </c>
    </row>
    <row r="75" customFormat="false" ht="15" hidden="false" customHeight="false" outlineLevel="0" collapsed="false">
      <c r="B75" s="5" t="s">
        <v>148</v>
      </c>
      <c r="D75" s="33" t="n">
        <f aca="false">SUM(F75:J75)</f>
        <v>74.24</v>
      </c>
      <c r="F75" s="33" t="n">
        <v>74.24</v>
      </c>
    </row>
    <row r="76" customFormat="false" ht="15" hidden="false" customHeight="false" outlineLevel="0" collapsed="false">
      <c r="B76" s="5" t="s">
        <v>149</v>
      </c>
      <c r="D76" s="33" t="n">
        <f aca="false">SUM(F76:J76)</f>
        <v>503.17</v>
      </c>
      <c r="F76" s="33" t="n">
        <v>503.17</v>
      </c>
    </row>
    <row r="77" customFormat="false" ht="15" hidden="false" customHeight="false" outlineLevel="0" collapsed="false">
      <c r="B77" s="5" t="s">
        <v>150</v>
      </c>
      <c r="D77" s="33" t="n">
        <f aca="false">SUM(F77:J77)</f>
        <v>417.2</v>
      </c>
      <c r="F77" s="33" t="n">
        <v>417.2</v>
      </c>
    </row>
    <row r="78" customFormat="false" ht="15" hidden="false" customHeight="false" outlineLevel="0" collapsed="false">
      <c r="B78" s="5" t="s">
        <v>151</v>
      </c>
      <c r="D78" s="33" t="n">
        <f aca="false">SUM(F78:J78)</f>
        <v>42.81</v>
      </c>
      <c r="F78" s="33" t="n">
        <v>42.81</v>
      </c>
    </row>
    <row r="79" customFormat="false" ht="15" hidden="false" customHeight="false" outlineLevel="0" collapsed="false">
      <c r="B79" s="5" t="s">
        <v>152</v>
      </c>
      <c r="D79" s="33" t="n">
        <f aca="false">SUM(F79:J79)</f>
        <v>21.12</v>
      </c>
      <c r="F79" s="33" t="n">
        <v>21.12</v>
      </c>
    </row>
    <row r="80" customFormat="false" ht="15" hidden="false" customHeight="false" outlineLevel="0" collapsed="false">
      <c r="B80" s="5" t="s">
        <v>153</v>
      </c>
      <c r="D80" s="33" t="n">
        <f aca="false">SUM(F80:J80)</f>
        <v>731.07</v>
      </c>
      <c r="F80" s="33" t="n">
        <v>731.07</v>
      </c>
    </row>
    <row r="81" customFormat="false" ht="15" hidden="false" customHeight="false" outlineLevel="0" collapsed="false">
      <c r="B81" s="5" t="s">
        <v>154</v>
      </c>
      <c r="D81" s="33" t="n">
        <f aca="false">SUM(F81:J81)</f>
        <v>338.82</v>
      </c>
      <c r="F81" s="33" t="n">
        <v>338.82</v>
      </c>
    </row>
    <row r="82" customFormat="false" ht="15" hidden="false" customHeight="false" outlineLevel="0" collapsed="false">
      <c r="B82" s="5" t="s">
        <v>155</v>
      </c>
      <c r="D82" s="33" t="n">
        <f aca="false">SUM(F82:J82)</f>
        <v>800.46</v>
      </c>
      <c r="F82" s="33" t="n">
        <v>800.46</v>
      </c>
    </row>
    <row r="83" customFormat="false" ht="15" hidden="false" customHeight="false" outlineLevel="0" collapsed="false">
      <c r="B83" s="5" t="s">
        <v>156</v>
      </c>
      <c r="D83" s="33" t="n">
        <f aca="false">SUM(F83:J83)</f>
        <v>232.42</v>
      </c>
      <c r="F83" s="33" t="n">
        <v>232.42</v>
      </c>
    </row>
    <row r="84" customFormat="false" ht="15" hidden="false" customHeight="false" outlineLevel="0" collapsed="false">
      <c r="B84" s="5" t="s">
        <v>157</v>
      </c>
      <c r="D84" s="33" t="n">
        <f aca="false">SUM(F84:J84)</f>
        <v>801.88</v>
      </c>
      <c r="F84" s="33" t="n">
        <v>801.88</v>
      </c>
    </row>
    <row r="85" customFormat="false" ht="15" hidden="false" customHeight="false" outlineLevel="0" collapsed="false">
      <c r="B85" s="32" t="s">
        <v>158</v>
      </c>
    </row>
    <row r="86" customFormat="false" ht="15" hidden="false" customHeight="false" outlineLevel="0" collapsed="false">
      <c r="B86" s="5" t="s">
        <v>159</v>
      </c>
      <c r="D86" s="33" t="n">
        <f aca="false">SUM(F86:J86)</f>
        <v>1053.33</v>
      </c>
      <c r="H86" s="33" t="n">
        <v>1053.33</v>
      </c>
    </row>
    <row r="87" customFormat="false" ht="15" hidden="false" customHeight="false" outlineLevel="0" collapsed="false">
      <c r="B87" s="5" t="s">
        <v>160</v>
      </c>
      <c r="D87" s="33" t="n">
        <f aca="false">SUM(F87:J87)</f>
        <v>217.91</v>
      </c>
      <c r="H87" s="33" t="n">
        <v>217.91</v>
      </c>
    </row>
    <row r="88" customFormat="false" ht="15" hidden="false" customHeight="false" outlineLevel="0" collapsed="false">
      <c r="B88" s="5" t="s">
        <v>161</v>
      </c>
      <c r="D88" s="33" t="n">
        <f aca="false">SUM(F88:J88)</f>
        <v>49.43</v>
      </c>
      <c r="H88" s="33" t="n">
        <v>49.43</v>
      </c>
    </row>
    <row r="89" customFormat="false" ht="15" hidden="false" customHeight="false" outlineLevel="0" collapsed="false">
      <c r="B89" s="5" t="s">
        <v>162</v>
      </c>
      <c r="D89" s="33" t="n">
        <f aca="false">SUM(F89:J89)</f>
        <v>30.65</v>
      </c>
      <c r="H89" s="33" t="n">
        <v>30.65</v>
      </c>
    </row>
    <row r="90" customFormat="false" ht="15" hidden="false" customHeight="false" outlineLevel="0" collapsed="false">
      <c r="B90" s="32" t="s">
        <v>163</v>
      </c>
    </row>
    <row r="91" customFormat="false" ht="15" hidden="false" customHeight="false" outlineLevel="0" collapsed="false">
      <c r="B91" s="5" t="s">
        <v>164</v>
      </c>
      <c r="D91" s="33" t="n">
        <f aca="false">SUM(F91:J91)</f>
        <v>3154.94</v>
      </c>
      <c r="J91" s="33" t="n">
        <v>3154.94</v>
      </c>
    </row>
    <row r="92" customFormat="false" ht="15" hidden="false" customHeight="false" outlineLevel="0" collapsed="false">
      <c r="B92" s="5" t="s">
        <v>165</v>
      </c>
      <c r="D92" s="33" t="n">
        <f aca="false">SUM(F92:J92)</f>
        <v>5238.39</v>
      </c>
      <c r="J92" s="33" t="n">
        <v>5238.39</v>
      </c>
    </row>
    <row r="93" customFormat="false" ht="15" hidden="false" customHeight="false" outlineLevel="0" collapsed="false">
      <c r="B93" s="5" t="s">
        <v>166</v>
      </c>
      <c r="D93" s="33" t="n">
        <f aca="false">SUM(F93:J93)</f>
        <v>3486.17</v>
      </c>
      <c r="J93" s="33" t="n">
        <v>3486.17</v>
      </c>
    </row>
    <row r="94" customFormat="false" ht="15" hidden="false" customHeight="false" outlineLevel="0" collapsed="false">
      <c r="B94" s="5" t="s">
        <v>167</v>
      </c>
      <c r="D94" s="33" t="n">
        <f aca="false">SUM(F94:J94)</f>
        <v>3390.72</v>
      </c>
      <c r="J94" s="33" t="n">
        <v>3390.72</v>
      </c>
    </row>
    <row r="95" customFormat="false" ht="15" hidden="false" customHeight="false" outlineLevel="0" collapsed="false">
      <c r="B95" s="5" t="s">
        <v>168</v>
      </c>
      <c r="D95" s="33" t="n">
        <f aca="false">SUM(F95:J95)</f>
        <v>3067.72</v>
      </c>
      <c r="J95" s="33" t="n">
        <v>3067.72</v>
      </c>
    </row>
    <row r="96" customFormat="false" ht="15" hidden="false" customHeight="false" outlineLevel="0" collapsed="false">
      <c r="B96" s="5" t="s">
        <v>169</v>
      </c>
      <c r="D96" s="33" t="n">
        <f aca="false">SUM(F96:J96)</f>
        <v>213.56</v>
      </c>
      <c r="J96" s="33" t="n">
        <v>213.56</v>
      </c>
    </row>
    <row r="97" customFormat="false" ht="15" hidden="false" customHeight="false" outlineLevel="0" collapsed="false">
      <c r="B97" s="5" t="s">
        <v>170</v>
      </c>
      <c r="D97" s="33" t="n">
        <f aca="false">SUM(F97:J97)</f>
        <v>1769.68</v>
      </c>
      <c r="J97" s="33" t="n">
        <v>1769.68</v>
      </c>
    </row>
    <row r="98" customFormat="false" ht="15" hidden="false" customHeight="false" outlineLevel="0" collapsed="false">
      <c r="B98" s="5" t="s">
        <v>171</v>
      </c>
      <c r="D98" s="33" t="n">
        <f aca="false">SUM(F98:J98)</f>
        <v>2247.15</v>
      </c>
      <c r="J98" s="33" t="n">
        <v>2247.15</v>
      </c>
    </row>
    <row r="99" customFormat="false" ht="15" hidden="false" customHeight="false" outlineLevel="0" collapsed="false">
      <c r="B99" s="5" t="s">
        <v>172</v>
      </c>
      <c r="D99" s="33" t="n">
        <f aca="false">SUM(F99:J99)</f>
        <v>1838.84</v>
      </c>
      <c r="J99" s="33" t="n">
        <v>1838.84</v>
      </c>
    </row>
    <row r="100" customFormat="false" ht="15" hidden="false" customHeight="false" outlineLevel="0" collapsed="false">
      <c r="B100" s="5" t="s">
        <v>173</v>
      </c>
      <c r="D100" s="33" t="n">
        <f aca="false">SUM(F100:J100)</f>
        <v>1800.68</v>
      </c>
      <c r="J100" s="33" t="n">
        <v>1800.68</v>
      </c>
    </row>
    <row r="101" customFormat="false" ht="15" hidden="false" customHeight="false" outlineLevel="0" collapsed="false">
      <c r="B101" s="5" t="s">
        <v>174</v>
      </c>
      <c r="D101" s="33" t="n">
        <f aca="false">SUM(F101:J101)</f>
        <v>5040.91</v>
      </c>
      <c r="J101" s="33" t="n">
        <v>5040.91</v>
      </c>
    </row>
    <row r="102" customFormat="false" ht="15" hidden="false" customHeight="false" outlineLevel="0" collapsed="false">
      <c r="B102" s="5" t="s">
        <v>175</v>
      </c>
      <c r="D102" s="33" t="n">
        <f aca="false">SUM(F102:J102)</f>
        <v>1719.87</v>
      </c>
      <c r="J102" s="33" t="n">
        <v>1719.87</v>
      </c>
    </row>
    <row r="103" customFormat="false" ht="15" hidden="false" customHeight="false" outlineLevel="0" collapsed="false">
      <c r="B103" s="5" t="s">
        <v>176</v>
      </c>
      <c r="D103" s="33" t="n">
        <f aca="false">SUM(F103:J103)</f>
        <v>5655.94</v>
      </c>
      <c r="J103" s="33" t="n">
        <v>5655.94</v>
      </c>
    </row>
    <row r="104" customFormat="false" ht="15" hidden="false" customHeight="false" outlineLevel="0" collapsed="false">
      <c r="B104" s="5" t="s">
        <v>177</v>
      </c>
      <c r="D104" s="33" t="n">
        <f aca="false">SUM(F104:J104)</f>
        <v>795.83</v>
      </c>
      <c r="J104" s="33" t="n">
        <v>795.83</v>
      </c>
    </row>
    <row r="105" customFormat="false" ht="15" hidden="false" customHeight="false" outlineLevel="0" collapsed="false">
      <c r="B105" s="5" t="s">
        <v>178</v>
      </c>
      <c r="D105" s="33" t="n">
        <f aca="false">SUM(F105:J105)</f>
        <v>664.51</v>
      </c>
      <c r="J105" s="33" t="n">
        <v>664.51</v>
      </c>
    </row>
    <row r="106" customFormat="false" ht="15" hidden="false" customHeight="false" outlineLevel="0" collapsed="false">
      <c r="B106" s="5" t="s">
        <v>179</v>
      </c>
      <c r="D106" s="33" t="n">
        <f aca="false">SUM(F106:J106)</f>
        <v>550.2</v>
      </c>
      <c r="J106" s="33" t="n">
        <v>550.2</v>
      </c>
    </row>
    <row r="107" customFormat="false" ht="15" hidden="false" customHeight="false" outlineLevel="0" collapsed="false">
      <c r="B107" s="11" t="s">
        <v>135</v>
      </c>
      <c r="D107" s="34" t="n">
        <f aca="false">SUM(D70:D106)</f>
        <v>50736.5</v>
      </c>
      <c r="F107" s="34" t="n">
        <f aca="false">SUM(F70:F106)</f>
        <v>8750.07</v>
      </c>
      <c r="H107" s="34" t="n">
        <f aca="false">SUM(H70:H106)</f>
        <v>1351.32</v>
      </c>
      <c r="J107" s="34" t="n">
        <f aca="false">SUM(J70:J106)</f>
        <v>40635.11</v>
      </c>
    </row>
    <row r="108" customFormat="false" ht="15" hidden="false" customHeight="false" outlineLevel="0" collapsed="false">
      <c r="B108" s="30" t="s">
        <v>137</v>
      </c>
      <c r="F108" s="31" t="n">
        <f aca="false">F107/D107</f>
        <v>0.172461048751885</v>
      </c>
      <c r="H108" s="31" t="n">
        <f aca="false">H107/D107</f>
        <v>0.0266340800015768</v>
      </c>
      <c r="J108" s="31" t="n">
        <f aca="false">J107/D107</f>
        <v>0.800904871246539</v>
      </c>
    </row>
    <row r="110" customFormat="false" ht="15" hidden="false" customHeight="false" outlineLevel="0" collapsed="false">
      <c r="A110" s="10" t="s">
        <v>180</v>
      </c>
    </row>
    <row r="111" customFormat="false" ht="15" hidden="false" customHeight="false" outlineLevel="0" collapsed="false">
      <c r="B111" s="4" t="s">
        <v>181</v>
      </c>
      <c r="D111" s="4" t="s">
        <v>109</v>
      </c>
      <c r="F111" s="4" t="s">
        <v>142</v>
      </c>
      <c r="H111" s="4" t="s">
        <v>143</v>
      </c>
      <c r="J111" s="4" t="s">
        <v>144</v>
      </c>
    </row>
    <row r="112" customFormat="false" ht="15" hidden="false" customHeight="false" outlineLevel="0" collapsed="false">
      <c r="B112" s="5" t="str">
        <f aca="false">'540 Freedom'!B17</f>
        <v>17 - Land Improvements - Ames - 5yr</v>
      </c>
      <c r="D112" s="33" t="n">
        <f aca="false">SUM(F112:J112)</f>
        <v>1050</v>
      </c>
      <c r="F112" s="33" t="n">
        <f aca="false">'540 Freedom'!D17</f>
        <v>1050</v>
      </c>
    </row>
    <row r="113" customFormat="false" ht="15" hidden="false" customHeight="false" outlineLevel="0" collapsed="false">
      <c r="B113" s="5" t="str">
        <f aca="false">'540 Freedom'!B18</f>
        <v>17 - Land Improvements - Ames - 15yr</v>
      </c>
      <c r="D113" s="33" t="n">
        <f aca="false">SUM(F113:J113)</f>
        <v>162</v>
      </c>
      <c r="H113" s="33" t="n">
        <f aca="false">'540 Freedom'!D18</f>
        <v>162</v>
      </c>
    </row>
    <row r="114" customFormat="false" ht="15" hidden="false" customHeight="false" outlineLevel="0" collapsed="false">
      <c r="B114" s="5" t="str">
        <f aca="false">'540 Freedom'!B19</f>
        <v>17 - Land Improvements - Ames - 27.5yr</v>
      </c>
      <c r="D114" s="33" t="n">
        <f aca="false">SUM(F114:J114)</f>
        <v>4876</v>
      </c>
      <c r="J114" s="33" t="n">
        <f aca="false">'540 Freedom'!D19</f>
        <v>4876</v>
      </c>
    </row>
    <row r="115" customFormat="false" ht="15" hidden="false" customHeight="false" outlineLevel="0" collapsed="false">
      <c r="B115" s="5" t="str">
        <f aca="false">'540 Freedom'!B20</f>
        <v>18 - Buidling - Ames - 5yr</v>
      </c>
      <c r="D115" s="33" t="n">
        <f aca="false">SUM(F115:J115)</f>
        <v>13650</v>
      </c>
      <c r="F115" s="33" t="n">
        <f aca="false">'540 Freedom'!D20</f>
        <v>13650</v>
      </c>
    </row>
    <row r="116" customFormat="false" ht="15" hidden="false" customHeight="false" outlineLevel="0" collapsed="false">
      <c r="B116" s="5" t="str">
        <f aca="false">'540 Freedom'!B21</f>
        <v>18 - Buidling - Ames - 15yr</v>
      </c>
      <c r="D116" s="33" t="n">
        <f aca="false">SUM(F116:J116)</f>
        <v>2108</v>
      </c>
      <c r="H116" s="33" t="n">
        <f aca="false">'540 Freedom'!D21</f>
        <v>2108</v>
      </c>
    </row>
    <row r="117" customFormat="false" ht="15" hidden="false" customHeight="false" outlineLevel="0" collapsed="false">
      <c r="B117" s="5" t="str">
        <f aca="false">'540 Freedom'!B22</f>
        <v>18 - Buidling - Ames - 27.5yr</v>
      </c>
      <c r="D117" s="33" t="n">
        <f aca="false">SUM(F117:J117)</f>
        <v>63391</v>
      </c>
      <c r="J117" s="33" t="n">
        <f aca="false">'540 Freedom'!D22</f>
        <v>63391</v>
      </c>
    </row>
    <row r="118" customFormat="false" ht="15" hidden="false" customHeight="false" outlineLevel="0" collapsed="false">
      <c r="B118" s="5" t="str">
        <f aca="false">'540 Freedom'!B23</f>
        <v>19 - Equpiment - Ames - 5yr</v>
      </c>
      <c r="D118" s="33" t="n">
        <f aca="false">SUM(F118:J118)</f>
        <v>2800</v>
      </c>
      <c r="F118" s="33" t="n">
        <f aca="false">'540 Freedom'!D23</f>
        <v>2800</v>
      </c>
    </row>
    <row r="119" customFormat="false" ht="15" hidden="false" customHeight="false" outlineLevel="0" collapsed="false">
      <c r="B119" s="5" t="str">
        <f aca="false">'540 Freedom'!B24</f>
        <v>19 - Equpiment - Ames - 15yr</v>
      </c>
      <c r="D119" s="33" t="n">
        <f aca="false">SUM(F119:J119)</f>
        <v>432</v>
      </c>
      <c r="H119" s="33" t="n">
        <f aca="false">'540 Freedom'!D24</f>
        <v>432</v>
      </c>
    </row>
    <row r="120" customFormat="false" ht="15" hidden="false" customHeight="false" outlineLevel="0" collapsed="false">
      <c r="B120" s="5" t="str">
        <f aca="false">'540 Freedom'!B25</f>
        <v>19 - Equpiment - Ames - 27.5yr</v>
      </c>
      <c r="D120" s="33" t="n">
        <f aca="false">SUM(F120:J120)</f>
        <v>13004</v>
      </c>
      <c r="J120" s="33" t="n">
        <f aca="false">'540 Freedom'!D25</f>
        <v>13004</v>
      </c>
    </row>
    <row r="121" customFormat="false" ht="15" hidden="false" customHeight="false" outlineLevel="0" collapsed="false">
      <c r="B121" s="11" t="s">
        <v>182</v>
      </c>
      <c r="D121" s="34" t="n">
        <f aca="false">SUM(D112:D120)</f>
        <v>101473</v>
      </c>
      <c r="F121" s="34" t="n">
        <f aca="false">SUM(F112:F120)</f>
        <v>17500</v>
      </c>
      <c r="H121" s="34" t="n">
        <f aca="false">SUM(H112:H120)</f>
        <v>2702</v>
      </c>
      <c r="J121" s="34" t="n">
        <f aca="false">SUM(J112:J120)</f>
        <v>81271</v>
      </c>
    </row>
    <row r="122" customFormat="false" ht="15" hidden="false" customHeight="false" outlineLevel="0" collapsed="false">
      <c r="B122" s="16" t="s">
        <v>183</v>
      </c>
      <c r="D122" s="17" t="n">
        <f aca="false">D121-D107</f>
        <v>50736.5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187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21</v>
      </c>
      <c r="C10" s="23" t="s">
        <v>17</v>
      </c>
      <c r="D10" s="24" t="n">
        <v>43832</v>
      </c>
      <c r="E10" s="24" t="n">
        <v>0</v>
      </c>
      <c r="F10" s="24" t="n">
        <v>0</v>
      </c>
      <c r="G10" s="24" t="n">
        <v>20753.56</v>
      </c>
      <c r="H10" s="24" t="n">
        <v>2588.37</v>
      </c>
      <c r="I10" s="24" t="n">
        <f aca="false">G10+H10</f>
        <v>23341.93</v>
      </c>
      <c r="J10" s="24" t="n">
        <f aca="false">D10-I10</f>
        <v>20490.07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22</v>
      </c>
      <c r="C11" s="23" t="s">
        <v>17</v>
      </c>
      <c r="D11" s="24" t="n">
        <v>569814</v>
      </c>
      <c r="E11" s="24" t="n">
        <v>0</v>
      </c>
      <c r="F11" s="24" t="n">
        <v>0</v>
      </c>
      <c r="G11" s="24" t="n">
        <v>125185.59</v>
      </c>
      <c r="H11" s="24" t="n">
        <v>20720.33</v>
      </c>
      <c r="I11" s="24" t="n">
        <f aca="false">G11+H11</f>
        <v>145905.92</v>
      </c>
      <c r="J11" s="24" t="n">
        <f aca="false">D11-I11</f>
        <v>423908.08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23</v>
      </c>
      <c r="C12" s="23" t="s">
        <v>17</v>
      </c>
      <c r="D12" s="24" t="n">
        <v>116885</v>
      </c>
      <c r="E12" s="24" t="n">
        <v>0</v>
      </c>
      <c r="F12" s="24" t="n">
        <v>116885</v>
      </c>
      <c r="G12" s="24" t="n">
        <v>116885</v>
      </c>
      <c r="H12" s="24" t="n">
        <v>0</v>
      </c>
      <c r="I12" s="24" t="n">
        <f aca="false">G12+H12</f>
        <v>116885</v>
      </c>
      <c r="J12" s="24" t="n">
        <f aca="false">D12-I12</f>
        <v>0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730531</v>
      </c>
      <c r="E13" s="28" t="n">
        <f aca="false">SUM(E10:E12)</f>
        <v>0</v>
      </c>
      <c r="F13" s="28" t="n">
        <f aca="false">SUM(F10:F12)</f>
        <v>116885</v>
      </c>
      <c r="G13" s="28" t="n">
        <f aca="false">SUM(G10:G12)</f>
        <v>262824.15</v>
      </c>
      <c r="H13" s="28" t="n">
        <f aca="false">SUM(H10:H12)</f>
        <v>23308.7</v>
      </c>
      <c r="I13" s="28" t="n">
        <f aca="false">SUM(I10:I12)</f>
        <v>286132.85</v>
      </c>
      <c r="J13" s="28" t="n">
        <f aca="false">SUM(J10:J12)</f>
        <v>444398.15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46</v>
      </c>
      <c r="C17" s="23" t="s">
        <v>17</v>
      </c>
      <c r="D17" s="24" t="n">
        <v>8155</v>
      </c>
      <c r="E17" s="24" t="n">
        <v>0</v>
      </c>
      <c r="F17" s="24" t="n">
        <v>0</v>
      </c>
      <c r="G17" s="24" t="n">
        <v>8155</v>
      </c>
      <c r="H17" s="24" t="n">
        <v>0</v>
      </c>
      <c r="I17" s="24" t="n">
        <f aca="false">G17+H17</f>
        <v>8155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47</v>
      </c>
      <c r="C18" s="23" t="s">
        <v>17</v>
      </c>
      <c r="D18" s="24" t="n">
        <v>1280</v>
      </c>
      <c r="E18" s="24" t="n">
        <v>0</v>
      </c>
      <c r="F18" s="24" t="n">
        <v>0</v>
      </c>
      <c r="G18" s="24" t="n">
        <v>1280</v>
      </c>
      <c r="H18" s="24" t="n">
        <v>0</v>
      </c>
      <c r="I18" s="24" t="n">
        <f aca="false">G18+H18</f>
        <v>1280</v>
      </c>
      <c r="J18" s="24" t="n">
        <f aca="false">D18-I18</f>
        <v>0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48</v>
      </c>
      <c r="C19" s="23" t="s">
        <v>17</v>
      </c>
      <c r="D19" s="24" t="n">
        <v>34397</v>
      </c>
      <c r="E19" s="24" t="n">
        <v>0</v>
      </c>
      <c r="F19" s="24" t="n">
        <v>0</v>
      </c>
      <c r="G19" s="24" t="n">
        <v>7556.92</v>
      </c>
      <c r="H19" s="24" t="n">
        <v>1250.8</v>
      </c>
      <c r="I19" s="24" t="n">
        <f aca="false">G19+H19</f>
        <v>8807.72</v>
      </c>
      <c r="J19" s="24" t="n">
        <f aca="false">D19-I19</f>
        <v>25589.28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49</v>
      </c>
      <c r="C20" s="23" t="s">
        <v>17</v>
      </c>
      <c r="D20" s="24" t="n">
        <v>106017</v>
      </c>
      <c r="E20" s="24" t="n">
        <v>0</v>
      </c>
      <c r="F20" s="24" t="n">
        <v>106017</v>
      </c>
      <c r="G20" s="24" t="n">
        <v>106017</v>
      </c>
      <c r="H20" s="24" t="n">
        <v>0</v>
      </c>
      <c r="I20" s="24" t="n">
        <f aca="false">G20+H20</f>
        <v>106017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50</v>
      </c>
      <c r="C21" s="23" t="s">
        <v>17</v>
      </c>
      <c r="D21" s="24" t="n">
        <v>16634</v>
      </c>
      <c r="E21" s="24" t="n">
        <v>0</v>
      </c>
      <c r="F21" s="24" t="n">
        <v>16634</v>
      </c>
      <c r="G21" s="24" t="n">
        <v>16634</v>
      </c>
      <c r="H21" s="24" t="n">
        <v>0</v>
      </c>
      <c r="I21" s="24" t="n">
        <f aca="false">G21+H21</f>
        <v>16634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51</v>
      </c>
      <c r="C22" s="23" t="s">
        <v>17</v>
      </c>
      <c r="D22" s="24" t="n">
        <v>447163</v>
      </c>
      <c r="E22" s="24" t="n">
        <v>0</v>
      </c>
      <c r="F22" s="24" t="n">
        <v>0</v>
      </c>
      <c r="G22" s="24" t="n">
        <v>98240.34</v>
      </c>
      <c r="H22" s="24" t="n">
        <v>16260.47</v>
      </c>
      <c r="I22" s="24" t="n">
        <f aca="false">G22+H22</f>
        <v>114500.81</v>
      </c>
      <c r="J22" s="24" t="n">
        <f aca="false">D22-I22</f>
        <v>332662.19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52</v>
      </c>
      <c r="C23" s="23" t="s">
        <v>17</v>
      </c>
      <c r="D23" s="24" t="n">
        <v>21747</v>
      </c>
      <c r="E23" s="24" t="n">
        <v>0</v>
      </c>
      <c r="F23" s="24" t="n">
        <v>21747</v>
      </c>
      <c r="G23" s="24" t="n">
        <v>21747</v>
      </c>
      <c r="H23" s="24" t="n">
        <v>0</v>
      </c>
      <c r="I23" s="24" t="n">
        <f aca="false">G23+H23</f>
        <v>21747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53</v>
      </c>
      <c r="C24" s="23" t="s">
        <v>17</v>
      </c>
      <c r="D24" s="24" t="n">
        <v>3412</v>
      </c>
      <c r="E24" s="24" t="n">
        <v>0</v>
      </c>
      <c r="F24" s="24" t="n">
        <v>3412</v>
      </c>
      <c r="G24" s="24" t="n">
        <v>3412</v>
      </c>
      <c r="H24" s="24" t="n">
        <v>0</v>
      </c>
      <c r="I24" s="24" t="n">
        <f aca="false">G24+H24</f>
        <v>3412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54</v>
      </c>
      <c r="C25" s="23" t="s">
        <v>17</v>
      </c>
      <c r="D25" s="24" t="n">
        <v>91726</v>
      </c>
      <c r="E25" s="24" t="n">
        <v>0</v>
      </c>
      <c r="F25" s="24" t="n">
        <v>0</v>
      </c>
      <c r="G25" s="24" t="n">
        <v>20151.92</v>
      </c>
      <c r="H25" s="24" t="n">
        <v>3335.49</v>
      </c>
      <c r="I25" s="24" t="n">
        <f aca="false">G25+H25</f>
        <v>23487.41</v>
      </c>
      <c r="J25" s="24" t="n">
        <f aca="false">D25-I25</f>
        <v>68238.59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730531</v>
      </c>
      <c r="E26" s="28" t="n">
        <f aca="false">SUM(E17:E25)</f>
        <v>0</v>
      </c>
      <c r="F26" s="28" t="n">
        <f aca="false">SUM(F17:F25)</f>
        <v>147810</v>
      </c>
      <c r="G26" s="28" t="n">
        <f aca="false">SUM(G17:G25)</f>
        <v>283194.18</v>
      </c>
      <c r="H26" s="28" t="n">
        <f aca="false">SUM(H17:H25)</f>
        <v>20846.76</v>
      </c>
      <c r="I26" s="28" t="n">
        <f aca="false">SUM(I17:I25)</f>
        <v>304040.94</v>
      </c>
      <c r="J26" s="28" t="n">
        <f aca="false">SUM(J17:J25)</f>
        <v>426490.06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286132.85</v>
      </c>
    </row>
    <row r="30" customFormat="false" ht="15" hidden="false" customHeight="false" outlineLevel="0" collapsed="false">
      <c r="B30" s="5" t="s">
        <v>127</v>
      </c>
      <c r="D30" s="6" t="n">
        <f aca="false">I26</f>
        <v>304040.94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-17908.09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21</v>
      </c>
      <c r="C36" s="23" t="s">
        <v>17</v>
      </c>
      <c r="D36" s="24" t="n">
        <v>43832</v>
      </c>
      <c r="E36" s="24" t="n">
        <v>0</v>
      </c>
      <c r="F36" s="24" t="n">
        <v>0</v>
      </c>
      <c r="G36" s="24" t="n">
        <v>20753.56</v>
      </c>
      <c r="H36" s="24" t="n">
        <v>2588.37</v>
      </c>
      <c r="I36" s="24" t="n">
        <f aca="false">G36+H36</f>
        <v>23341.93</v>
      </c>
      <c r="J36" s="24" t="n">
        <f aca="false">D36-I36</f>
        <v>20490.07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22</v>
      </c>
      <c r="C37" s="23" t="s">
        <v>17</v>
      </c>
      <c r="D37" s="24" t="n">
        <v>569814</v>
      </c>
      <c r="E37" s="24" t="n">
        <v>0</v>
      </c>
      <c r="F37" s="24" t="n">
        <v>0</v>
      </c>
      <c r="G37" s="24" t="n">
        <v>125185.59</v>
      </c>
      <c r="H37" s="24" t="n">
        <v>20720.33</v>
      </c>
      <c r="I37" s="24" t="n">
        <f aca="false">G37+H37</f>
        <v>145905.92</v>
      </c>
      <c r="J37" s="24" t="n">
        <f aca="false">D37-I37</f>
        <v>423908.08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23</v>
      </c>
      <c r="C38" s="23" t="s">
        <v>17</v>
      </c>
      <c r="D38" s="24" t="n">
        <v>116885</v>
      </c>
      <c r="E38" s="24" t="n">
        <v>0</v>
      </c>
      <c r="F38" s="24" t="n">
        <v>116885</v>
      </c>
      <c r="G38" s="24" t="n">
        <v>116885</v>
      </c>
      <c r="H38" s="24" t="n">
        <v>0</v>
      </c>
      <c r="I38" s="24" t="n">
        <f aca="false">G38+H38</f>
        <v>116885</v>
      </c>
      <c r="J38" s="24" t="n">
        <f aca="false">D38-I38</f>
        <v>0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730531</v>
      </c>
      <c r="E39" s="28" t="n">
        <f aca="false">SUM(E36:E38)</f>
        <v>0</v>
      </c>
      <c r="F39" s="28" t="n">
        <f aca="false">SUM(F36:F38)</f>
        <v>116885</v>
      </c>
      <c r="G39" s="28" t="n">
        <f aca="false">SUM(G36:G38)</f>
        <v>262824.15</v>
      </c>
      <c r="H39" s="28" t="n">
        <f aca="false">SUM(H36:H38)</f>
        <v>23308.7</v>
      </c>
      <c r="I39" s="28" t="n">
        <f aca="false">SUM(I36:I38)</f>
        <v>286132.85</v>
      </c>
      <c r="J39" s="28" t="n">
        <f aca="false">SUM(J36:J38)</f>
        <v>444398.15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46</v>
      </c>
      <c r="C43" s="23" t="s">
        <v>17</v>
      </c>
      <c r="D43" s="24" t="n">
        <v>8155</v>
      </c>
      <c r="E43" s="24" t="n">
        <v>0</v>
      </c>
      <c r="F43" s="24" t="n">
        <v>0</v>
      </c>
      <c r="G43" s="24" t="n">
        <v>8155</v>
      </c>
      <c r="H43" s="24" t="n">
        <v>0</v>
      </c>
      <c r="I43" s="24" t="n">
        <f aca="false">G43+H43</f>
        <v>8155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47</v>
      </c>
      <c r="C44" s="23" t="s">
        <v>17</v>
      </c>
      <c r="D44" s="24" t="n">
        <v>1280</v>
      </c>
      <c r="E44" s="24" t="n">
        <v>0</v>
      </c>
      <c r="F44" s="24" t="n">
        <v>0</v>
      </c>
      <c r="G44" s="24" t="n">
        <v>1280</v>
      </c>
      <c r="H44" s="24" t="n">
        <v>0</v>
      </c>
      <c r="I44" s="24" t="n">
        <f aca="false">G44+H44</f>
        <v>1280</v>
      </c>
      <c r="J44" s="24" t="n">
        <f aca="false">D44-I44</f>
        <v>0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49</v>
      </c>
      <c r="C45" s="23" t="s">
        <v>17</v>
      </c>
      <c r="D45" s="24" t="n">
        <v>106017</v>
      </c>
      <c r="E45" s="24" t="n">
        <v>0</v>
      </c>
      <c r="F45" s="24" t="n">
        <v>106017</v>
      </c>
      <c r="G45" s="24" t="n">
        <v>106017</v>
      </c>
      <c r="H45" s="24" t="n">
        <v>0</v>
      </c>
      <c r="I45" s="24" t="n">
        <f aca="false">G45+H45</f>
        <v>106017</v>
      </c>
      <c r="J45" s="24" t="n">
        <f aca="false">D45-I45</f>
        <v>0</v>
      </c>
      <c r="K45" s="25" t="s">
        <v>124</v>
      </c>
      <c r="L45" s="25" t="s">
        <v>122</v>
      </c>
    </row>
    <row r="46" customFormat="false" ht="15" hidden="false" customHeight="false" outlineLevel="0" collapsed="false">
      <c r="A46" s="23" t="n">
        <v>4</v>
      </c>
      <c r="B46" s="23" t="s">
        <v>50</v>
      </c>
      <c r="C46" s="23" t="s">
        <v>17</v>
      </c>
      <c r="D46" s="24" t="n">
        <v>16634</v>
      </c>
      <c r="E46" s="24" t="n">
        <v>0</v>
      </c>
      <c r="F46" s="24" t="n">
        <v>16634</v>
      </c>
      <c r="G46" s="24" t="n">
        <v>16634</v>
      </c>
      <c r="H46" s="24" t="n">
        <v>0</v>
      </c>
      <c r="I46" s="24" t="n">
        <f aca="false">G46+H46</f>
        <v>16634</v>
      </c>
      <c r="J46" s="24" t="n">
        <f aca="false">D46-I46</f>
        <v>0</v>
      </c>
      <c r="K46" s="25" t="s">
        <v>118</v>
      </c>
      <c r="L46" s="25" t="s">
        <v>119</v>
      </c>
    </row>
    <row r="47" customFormat="false" ht="15" hidden="false" customHeight="false" outlineLevel="0" collapsed="false">
      <c r="A47" s="23" t="n">
        <v>5</v>
      </c>
      <c r="B47" s="23" t="s">
        <v>51</v>
      </c>
      <c r="C47" s="23" t="s">
        <v>17</v>
      </c>
      <c r="D47" s="24" t="n">
        <v>447163</v>
      </c>
      <c r="E47" s="24" t="n">
        <v>0</v>
      </c>
      <c r="F47" s="24" t="n">
        <v>0</v>
      </c>
      <c r="G47" s="24" t="n">
        <v>98240.34</v>
      </c>
      <c r="H47" s="24" t="n">
        <v>16260.47</v>
      </c>
      <c r="I47" s="24" t="n">
        <f aca="false">G47+H47</f>
        <v>114500.81</v>
      </c>
      <c r="J47" s="24" t="n">
        <f aca="false">D47-I47</f>
        <v>332662.19</v>
      </c>
      <c r="K47" s="25" t="s">
        <v>120</v>
      </c>
      <c r="L47" s="25" t="s">
        <v>121</v>
      </c>
    </row>
    <row r="48" customFormat="false" ht="15" hidden="false" customHeight="false" outlineLevel="0" collapsed="false">
      <c r="A48" s="23" t="n">
        <v>6</v>
      </c>
      <c r="B48" s="23" t="s">
        <v>52</v>
      </c>
      <c r="C48" s="23" t="s">
        <v>17</v>
      </c>
      <c r="D48" s="24" t="n">
        <v>21747</v>
      </c>
      <c r="E48" s="24" t="n">
        <v>0</v>
      </c>
      <c r="F48" s="24" t="n">
        <v>21747</v>
      </c>
      <c r="G48" s="24" t="n">
        <v>21747</v>
      </c>
      <c r="H48" s="24" t="n">
        <v>0</v>
      </c>
      <c r="I48" s="24" t="n">
        <f aca="false">G48+H48</f>
        <v>21747</v>
      </c>
      <c r="J48" s="24" t="n">
        <f aca="false">D48-I48</f>
        <v>0</v>
      </c>
      <c r="K48" s="25" t="s">
        <v>124</v>
      </c>
      <c r="L48" s="25" t="s">
        <v>122</v>
      </c>
    </row>
    <row r="49" customFormat="false" ht="15" hidden="false" customHeight="false" outlineLevel="0" collapsed="false">
      <c r="A49" s="23" t="n">
        <v>7</v>
      </c>
      <c r="B49" s="23" t="s">
        <v>53</v>
      </c>
      <c r="C49" s="23" t="s">
        <v>17</v>
      </c>
      <c r="D49" s="24" t="n">
        <v>3412</v>
      </c>
      <c r="E49" s="24" t="n">
        <v>0</v>
      </c>
      <c r="F49" s="24" t="n">
        <v>3412</v>
      </c>
      <c r="G49" s="24" t="n">
        <v>3412</v>
      </c>
      <c r="H49" s="24" t="n">
        <v>0</v>
      </c>
      <c r="I49" s="24" t="n">
        <f aca="false">G49+H49</f>
        <v>3412</v>
      </c>
      <c r="J49" s="24" t="n">
        <f aca="false">D49-I49</f>
        <v>0</v>
      </c>
      <c r="K49" s="25" t="s">
        <v>118</v>
      </c>
      <c r="L49" s="25" t="s">
        <v>119</v>
      </c>
    </row>
    <row r="50" customFormat="false" ht="15" hidden="false" customHeight="false" outlineLevel="0" collapsed="false">
      <c r="A50" s="23" t="n">
        <v>8</v>
      </c>
      <c r="B50" s="23" t="s">
        <v>54</v>
      </c>
      <c r="C50" s="23" t="s">
        <v>17</v>
      </c>
      <c r="D50" s="24" t="n">
        <v>91726</v>
      </c>
      <c r="E50" s="24" t="n">
        <v>0</v>
      </c>
      <c r="F50" s="24" t="n">
        <v>0</v>
      </c>
      <c r="G50" s="24" t="n">
        <v>20151.92</v>
      </c>
      <c r="H50" s="24" t="n">
        <v>3335.49</v>
      </c>
      <c r="I50" s="24" t="n">
        <f aca="false">G50+H50</f>
        <v>23487.41</v>
      </c>
      <c r="J50" s="24" t="n">
        <f aca="false">D50-I50</f>
        <v>68238.59</v>
      </c>
      <c r="K50" s="25" t="s">
        <v>120</v>
      </c>
      <c r="L50" s="25" t="s">
        <v>121</v>
      </c>
    </row>
    <row r="51" customFormat="false" ht="15" hidden="false" customHeight="false" outlineLevel="0" collapsed="false">
      <c r="A51" s="26"/>
      <c r="B51" s="27" t="s">
        <v>35</v>
      </c>
      <c r="C51" s="26"/>
      <c r="D51" s="28" t="n">
        <f aca="false">SUM(D43:D50)</f>
        <v>696134</v>
      </c>
      <c r="E51" s="28" t="n">
        <f aca="false">SUM(E43:E50)</f>
        <v>0</v>
      </c>
      <c r="F51" s="28" t="n">
        <f aca="false">SUM(F43:F50)</f>
        <v>147810</v>
      </c>
      <c r="G51" s="28" t="n">
        <f aca="false">SUM(G43:G50)</f>
        <v>275637.26</v>
      </c>
      <c r="H51" s="28" t="n">
        <f aca="false">SUM(H43:H50)</f>
        <v>19595.96</v>
      </c>
      <c r="I51" s="28" t="n">
        <f aca="false">SUM(I43:I50)</f>
        <v>295233.22</v>
      </c>
      <c r="J51" s="28" t="n">
        <f aca="false">SUM(J43:J50)</f>
        <v>400900.78</v>
      </c>
      <c r="K51" s="26"/>
      <c r="L51" s="26"/>
    </row>
    <row r="53" customFormat="false" ht="15" hidden="false" customHeight="false" outlineLevel="0" collapsed="false">
      <c r="B53" s="18" t="s">
        <v>133</v>
      </c>
    </row>
    <row r="54" customFormat="false" ht="15" hidden="false" customHeight="false" outlineLevel="0" collapsed="false">
      <c r="B54" s="5" t="s">
        <v>126</v>
      </c>
      <c r="D54" s="6" t="n">
        <f aca="false">I39</f>
        <v>286132.85</v>
      </c>
    </row>
    <row r="55" customFormat="false" ht="15" hidden="false" customHeight="false" outlineLevel="0" collapsed="false">
      <c r="B55" s="5" t="s">
        <v>127</v>
      </c>
      <c r="D55" s="6" t="n">
        <f aca="false">I51</f>
        <v>295233.22</v>
      </c>
    </row>
    <row r="56" customFormat="false" ht="15" hidden="false" customHeight="false" outlineLevel="0" collapsed="false">
      <c r="B56" s="11" t="s">
        <v>133</v>
      </c>
      <c r="D56" s="29" t="n">
        <f aca="false">D54-D55</f>
        <v>-9100.37</v>
      </c>
    </row>
    <row r="58" customFormat="false" ht="15" hidden="false" customHeight="false" outlineLevel="0" collapsed="false">
      <c r="A58" s="10" t="s">
        <v>134</v>
      </c>
    </row>
    <row r="59" customFormat="false" ht="15" hidden="false" customHeight="false" outlineLevel="0" collapsed="false">
      <c r="B59" s="11" t="s">
        <v>135</v>
      </c>
      <c r="D59" s="12" t="n">
        <f aca="false">D105</f>
        <v>37087.18</v>
      </c>
    </row>
    <row r="60" customFormat="false" ht="15" hidden="false" customHeight="false" outlineLevel="0" collapsed="false">
      <c r="B60" s="5" t="s">
        <v>136</v>
      </c>
      <c r="D60" s="6" t="n">
        <f aca="false">F105</f>
        <v>6317.92</v>
      </c>
    </row>
    <row r="61" customFormat="false" ht="15" hidden="false" customHeight="false" outlineLevel="0" collapsed="false">
      <c r="B61" s="30" t="s">
        <v>137</v>
      </c>
      <c r="D61" s="31" t="n">
        <f aca="false">F106</f>
        <v>0.170353205609054</v>
      </c>
    </row>
    <row r="62" customFormat="false" ht="15" hidden="false" customHeight="false" outlineLevel="0" collapsed="false">
      <c r="B62" s="5" t="s">
        <v>138</v>
      </c>
      <c r="D62" s="6" t="n">
        <f aca="false">H105</f>
        <v>1120.51</v>
      </c>
    </row>
    <row r="63" customFormat="false" ht="15" hidden="false" customHeight="false" outlineLevel="0" collapsed="false">
      <c r="B63" s="30" t="s">
        <v>137</v>
      </c>
      <c r="D63" s="31" t="n">
        <f aca="false">H106</f>
        <v>0.0302128660092248</v>
      </c>
    </row>
    <row r="64" customFormat="false" ht="15" hidden="false" customHeight="false" outlineLevel="0" collapsed="false">
      <c r="B64" s="5" t="s">
        <v>139</v>
      </c>
      <c r="D64" s="6" t="n">
        <f aca="false">J105</f>
        <v>29648.75</v>
      </c>
    </row>
    <row r="65" customFormat="false" ht="15" hidden="false" customHeight="false" outlineLevel="0" collapsed="false">
      <c r="B65" s="30" t="s">
        <v>137</v>
      </c>
      <c r="D65" s="31" t="n">
        <f aca="false">J106</f>
        <v>0.799433928381721</v>
      </c>
    </row>
    <row r="67" customFormat="false" ht="15" hidden="false" customHeight="false" outlineLevel="0" collapsed="false">
      <c r="A67" s="10" t="s">
        <v>140</v>
      </c>
    </row>
    <row r="68" customFormat="false" ht="15" hidden="false" customHeight="false" outlineLevel="0" collapsed="false">
      <c r="B68" s="4" t="s">
        <v>141</v>
      </c>
      <c r="D68" s="4" t="s">
        <v>109</v>
      </c>
      <c r="F68" s="4" t="s">
        <v>142</v>
      </c>
      <c r="H68" s="4" t="s">
        <v>143</v>
      </c>
      <c r="J68" s="4" t="s">
        <v>144</v>
      </c>
    </row>
    <row r="69" customFormat="false" ht="15" hidden="false" customHeight="false" outlineLevel="0" collapsed="false">
      <c r="B69" s="32" t="s">
        <v>145</v>
      </c>
    </row>
    <row r="70" customFormat="false" ht="15" hidden="false" customHeight="false" outlineLevel="0" collapsed="false">
      <c r="B70" s="5" t="s">
        <v>146</v>
      </c>
      <c r="D70" s="33" t="n">
        <f aca="false">SUM(F70:J70)</f>
        <v>857.75</v>
      </c>
      <c r="F70" s="33" t="n">
        <v>857.75</v>
      </c>
    </row>
    <row r="71" customFormat="false" ht="15" hidden="false" customHeight="false" outlineLevel="0" collapsed="false">
      <c r="B71" s="5" t="s">
        <v>147</v>
      </c>
      <c r="D71" s="33" t="n">
        <f aca="false">SUM(F71:J71)</f>
        <v>846.07</v>
      </c>
      <c r="F71" s="33" t="n">
        <v>846.07</v>
      </c>
    </row>
    <row r="72" customFormat="false" ht="15" hidden="false" customHeight="false" outlineLevel="0" collapsed="false">
      <c r="B72" s="5" t="s">
        <v>148</v>
      </c>
      <c r="D72" s="33" t="n">
        <f aca="false">SUM(F72:J72)</f>
        <v>2095.24</v>
      </c>
      <c r="F72" s="33" t="n">
        <v>2095.24</v>
      </c>
    </row>
    <row r="73" customFormat="false" ht="15" hidden="false" customHeight="false" outlineLevel="0" collapsed="false">
      <c r="B73" s="5" t="s">
        <v>149</v>
      </c>
      <c r="D73" s="33" t="n">
        <f aca="false">SUM(F73:J73)</f>
        <v>326.42</v>
      </c>
      <c r="F73" s="33" t="n">
        <v>326.42</v>
      </c>
    </row>
    <row r="74" customFormat="false" ht="15" hidden="false" customHeight="false" outlineLevel="0" collapsed="false">
      <c r="B74" s="5" t="s">
        <v>150</v>
      </c>
      <c r="D74" s="33" t="n">
        <f aca="false">SUM(F74:J74)</f>
        <v>208.64</v>
      </c>
      <c r="F74" s="33" t="n">
        <v>208.64</v>
      </c>
    </row>
    <row r="75" customFormat="false" ht="15" hidden="false" customHeight="false" outlineLevel="0" collapsed="false">
      <c r="B75" s="5" t="s">
        <v>151</v>
      </c>
      <c r="D75" s="33" t="n">
        <f aca="false">SUM(F75:J75)</f>
        <v>27.77</v>
      </c>
      <c r="F75" s="33" t="n">
        <v>27.77</v>
      </c>
    </row>
    <row r="76" customFormat="false" ht="15" hidden="false" customHeight="false" outlineLevel="0" collapsed="false">
      <c r="B76" s="5" t="s">
        <v>152</v>
      </c>
      <c r="D76" s="33" t="n">
        <f aca="false">SUM(F76:J76)</f>
        <v>18.26</v>
      </c>
      <c r="F76" s="33" t="n">
        <v>18.26</v>
      </c>
    </row>
    <row r="77" customFormat="false" ht="15" hidden="false" customHeight="false" outlineLevel="0" collapsed="false">
      <c r="B77" s="5" t="s">
        <v>153</v>
      </c>
      <c r="D77" s="33" t="n">
        <f aca="false">SUM(F77:J77)</f>
        <v>474.3</v>
      </c>
      <c r="F77" s="33" t="n">
        <v>474.3</v>
      </c>
    </row>
    <row r="78" customFormat="false" ht="15" hidden="false" customHeight="false" outlineLevel="0" collapsed="false">
      <c r="B78" s="5" t="s">
        <v>154</v>
      </c>
      <c r="D78" s="33" t="n">
        <f aca="false">SUM(F78:J78)</f>
        <v>274.37</v>
      </c>
      <c r="F78" s="33" t="n">
        <v>274.37</v>
      </c>
    </row>
    <row r="79" customFormat="false" ht="15" hidden="false" customHeight="false" outlineLevel="0" collapsed="false">
      <c r="B79" s="5" t="s">
        <v>155</v>
      </c>
      <c r="D79" s="33" t="n">
        <f aca="false">SUM(F79:J79)</f>
        <v>519.3</v>
      </c>
      <c r="F79" s="33" t="n">
        <v>519.3</v>
      </c>
    </row>
    <row r="80" customFormat="false" ht="15" hidden="false" customHeight="false" outlineLevel="0" collapsed="false">
      <c r="B80" s="5" t="s">
        <v>156</v>
      </c>
      <c r="D80" s="33" t="n">
        <f aca="false">SUM(F80:J80)</f>
        <v>103</v>
      </c>
      <c r="F80" s="33" t="n">
        <v>103</v>
      </c>
    </row>
    <row r="81" customFormat="false" ht="15" hidden="false" customHeight="false" outlineLevel="0" collapsed="false">
      <c r="B81" s="5" t="s">
        <v>188</v>
      </c>
      <c r="D81" s="33" t="n">
        <f aca="false">SUM(F81:J81)</f>
        <v>46.57</v>
      </c>
      <c r="F81" s="33" t="n">
        <v>46.57</v>
      </c>
    </row>
    <row r="82" customFormat="false" ht="15" hidden="false" customHeight="false" outlineLevel="0" collapsed="false">
      <c r="B82" s="5" t="s">
        <v>157</v>
      </c>
      <c r="D82" s="33" t="n">
        <f aca="false">SUM(F82:J82)</f>
        <v>520.23</v>
      </c>
      <c r="F82" s="33" t="n">
        <v>520.23</v>
      </c>
    </row>
    <row r="83" customFormat="false" ht="15" hidden="false" customHeight="false" outlineLevel="0" collapsed="false">
      <c r="B83" s="32" t="s">
        <v>158</v>
      </c>
    </row>
    <row r="84" customFormat="false" ht="15" hidden="false" customHeight="false" outlineLevel="0" collapsed="false">
      <c r="B84" s="5" t="s">
        <v>159</v>
      </c>
      <c r="D84" s="33" t="n">
        <f aca="false">SUM(F84:J84)</f>
        <v>938.31</v>
      </c>
      <c r="H84" s="33" t="n">
        <v>938.31</v>
      </c>
    </row>
    <row r="85" customFormat="false" ht="15" hidden="false" customHeight="false" outlineLevel="0" collapsed="false">
      <c r="B85" s="5" t="s">
        <v>160</v>
      </c>
      <c r="D85" s="33" t="n">
        <f aca="false">SUM(F85:J85)</f>
        <v>130.23</v>
      </c>
      <c r="H85" s="33" t="n">
        <v>130.23</v>
      </c>
    </row>
    <row r="86" customFormat="false" ht="15" hidden="false" customHeight="false" outlineLevel="0" collapsed="false">
      <c r="B86" s="5" t="s">
        <v>161</v>
      </c>
      <c r="D86" s="33" t="n">
        <f aca="false">SUM(F86:J86)</f>
        <v>32.07</v>
      </c>
      <c r="H86" s="33" t="n">
        <v>32.07</v>
      </c>
    </row>
    <row r="87" customFormat="false" ht="15" hidden="false" customHeight="false" outlineLevel="0" collapsed="false">
      <c r="B87" s="5" t="s">
        <v>162</v>
      </c>
      <c r="D87" s="33" t="n">
        <f aca="false">SUM(F87:J87)</f>
        <v>19.9</v>
      </c>
      <c r="H87" s="33" t="n">
        <v>19.9</v>
      </c>
    </row>
    <row r="88" customFormat="false" ht="15" hidden="false" customHeight="false" outlineLevel="0" collapsed="false">
      <c r="B88" s="32" t="s">
        <v>163</v>
      </c>
    </row>
    <row r="89" customFormat="false" ht="15" hidden="false" customHeight="false" outlineLevel="0" collapsed="false">
      <c r="B89" s="5" t="s">
        <v>164</v>
      </c>
      <c r="D89" s="33" t="n">
        <f aca="false">SUM(F89:J89)</f>
        <v>2029.7</v>
      </c>
      <c r="J89" s="33" t="n">
        <v>2029.7</v>
      </c>
    </row>
    <row r="90" customFormat="false" ht="15" hidden="false" customHeight="false" outlineLevel="0" collapsed="false">
      <c r="B90" s="5" t="s">
        <v>165</v>
      </c>
      <c r="D90" s="33" t="n">
        <f aca="false">SUM(F90:J90)</f>
        <v>4782.96</v>
      </c>
      <c r="J90" s="33" t="n">
        <v>4782.96</v>
      </c>
    </row>
    <row r="91" customFormat="false" ht="15" hidden="false" customHeight="false" outlineLevel="0" collapsed="false">
      <c r="B91" s="5" t="s">
        <v>166</v>
      </c>
      <c r="D91" s="33" t="n">
        <f aca="false">SUM(F91:J91)</f>
        <v>2829.99</v>
      </c>
      <c r="J91" s="33" t="n">
        <v>2829.99</v>
      </c>
    </row>
    <row r="92" customFormat="false" ht="15" hidden="false" customHeight="false" outlineLevel="0" collapsed="false">
      <c r="B92" s="5" t="s">
        <v>167</v>
      </c>
      <c r="D92" s="33" t="n">
        <f aca="false">SUM(F92:J92)</f>
        <v>2863.54</v>
      </c>
      <c r="J92" s="33" t="n">
        <v>2863.54</v>
      </c>
    </row>
    <row r="93" customFormat="false" ht="15" hidden="false" customHeight="false" outlineLevel="0" collapsed="false">
      <c r="B93" s="5" t="s">
        <v>168</v>
      </c>
      <c r="D93" s="33" t="n">
        <f aca="false">SUM(F93:J93)</f>
        <v>2484.23</v>
      </c>
      <c r="J93" s="33" t="n">
        <v>2484.23</v>
      </c>
    </row>
    <row r="94" customFormat="false" ht="15" hidden="false" customHeight="false" outlineLevel="0" collapsed="false">
      <c r="B94" s="5" t="s">
        <v>169</v>
      </c>
      <c r="D94" s="33" t="n">
        <f aca="false">SUM(F94:J94)</f>
        <v>138.55</v>
      </c>
      <c r="J94" s="33" t="n">
        <v>138.55</v>
      </c>
    </row>
    <row r="95" customFormat="false" ht="15" hidden="false" customHeight="false" outlineLevel="0" collapsed="false">
      <c r="B95" s="5" t="s">
        <v>170</v>
      </c>
      <c r="D95" s="33" t="n">
        <f aca="false">SUM(F95:J95)</f>
        <v>994.37</v>
      </c>
      <c r="J95" s="33" t="n">
        <v>994.37</v>
      </c>
    </row>
    <row r="96" customFormat="false" ht="15" hidden="false" customHeight="false" outlineLevel="0" collapsed="false">
      <c r="B96" s="5" t="s">
        <v>171</v>
      </c>
      <c r="D96" s="33" t="n">
        <f aca="false">SUM(F96:J96)</f>
        <v>1066.87</v>
      </c>
      <c r="J96" s="33" t="n">
        <v>1066.87</v>
      </c>
    </row>
    <row r="97" customFormat="false" ht="15" hidden="false" customHeight="false" outlineLevel="0" collapsed="false">
      <c r="B97" s="5" t="s">
        <v>172</v>
      </c>
      <c r="D97" s="33" t="n">
        <f aca="false">SUM(F97:J97)</f>
        <v>919.58</v>
      </c>
      <c r="J97" s="33" t="n">
        <v>919.58</v>
      </c>
    </row>
    <row r="98" customFormat="false" ht="15" hidden="false" customHeight="false" outlineLevel="0" collapsed="false">
      <c r="B98" s="5" t="s">
        <v>173</v>
      </c>
      <c r="D98" s="33" t="n">
        <f aca="false">SUM(F98:J98)</f>
        <v>1434.53</v>
      </c>
      <c r="J98" s="33" t="n">
        <v>1434.53</v>
      </c>
    </row>
    <row r="99" customFormat="false" ht="15" hidden="false" customHeight="false" outlineLevel="0" collapsed="false">
      <c r="B99" s="5" t="s">
        <v>174</v>
      </c>
      <c r="D99" s="33" t="n">
        <f aca="false">SUM(F99:J99)</f>
        <v>3724.72</v>
      </c>
      <c r="J99" s="33" t="n">
        <v>3724.72</v>
      </c>
    </row>
    <row r="100" customFormat="false" ht="15" hidden="false" customHeight="false" outlineLevel="0" collapsed="false">
      <c r="B100" s="5" t="s">
        <v>175</v>
      </c>
      <c r="D100" s="33" t="n">
        <f aca="false">SUM(F100:J100)</f>
        <v>1303.94</v>
      </c>
      <c r="J100" s="33" t="n">
        <v>1303.94</v>
      </c>
    </row>
    <row r="101" customFormat="false" ht="15" hidden="false" customHeight="false" outlineLevel="0" collapsed="false">
      <c r="B101" s="5" t="s">
        <v>176</v>
      </c>
      <c r="D101" s="33" t="n">
        <f aca="false">SUM(F101:J101)</f>
        <v>3740.14</v>
      </c>
      <c r="J101" s="33" t="n">
        <v>3740.14</v>
      </c>
    </row>
    <row r="102" customFormat="false" ht="15" hidden="false" customHeight="false" outlineLevel="0" collapsed="false">
      <c r="B102" s="5" t="s">
        <v>177</v>
      </c>
      <c r="D102" s="33" t="n">
        <f aca="false">SUM(F102:J102)</f>
        <v>647.78</v>
      </c>
      <c r="J102" s="33" t="n">
        <v>647.78</v>
      </c>
    </row>
    <row r="103" customFormat="false" ht="15" hidden="false" customHeight="false" outlineLevel="0" collapsed="false">
      <c r="B103" s="5" t="s">
        <v>178</v>
      </c>
      <c r="D103" s="33" t="n">
        <f aca="false">SUM(F103:J103)</f>
        <v>431.12</v>
      </c>
      <c r="J103" s="33" t="n">
        <v>431.12</v>
      </c>
    </row>
    <row r="104" customFormat="false" ht="15" hidden="false" customHeight="false" outlineLevel="0" collapsed="false">
      <c r="B104" s="5" t="s">
        <v>179</v>
      </c>
      <c r="D104" s="33" t="n">
        <f aca="false">SUM(F104:J104)</f>
        <v>256.73</v>
      </c>
      <c r="J104" s="33" t="n">
        <v>256.73</v>
      </c>
    </row>
    <row r="105" customFormat="false" ht="15" hidden="false" customHeight="false" outlineLevel="0" collapsed="false">
      <c r="B105" s="11" t="s">
        <v>135</v>
      </c>
      <c r="D105" s="34" t="n">
        <f aca="false">SUM(D69:D104)</f>
        <v>37087.18</v>
      </c>
      <c r="F105" s="34" t="n">
        <f aca="false">SUM(F69:F104)</f>
        <v>6317.92</v>
      </c>
      <c r="H105" s="34" t="n">
        <f aca="false">SUM(H69:H104)</f>
        <v>1120.51</v>
      </c>
      <c r="J105" s="34" t="n">
        <f aca="false">SUM(J69:J104)</f>
        <v>29648.75</v>
      </c>
    </row>
    <row r="106" customFormat="false" ht="15" hidden="false" customHeight="false" outlineLevel="0" collapsed="false">
      <c r="B106" s="30" t="s">
        <v>137</v>
      </c>
      <c r="F106" s="31" t="n">
        <f aca="false">F105/D105</f>
        <v>0.170353205609054</v>
      </c>
      <c r="H106" s="31" t="n">
        <f aca="false">H105/D105</f>
        <v>0.0302128660092248</v>
      </c>
      <c r="J106" s="31" t="n">
        <f aca="false">J105/D105</f>
        <v>0.799433928381721</v>
      </c>
    </row>
    <row r="108" customFormat="false" ht="15" hidden="false" customHeight="false" outlineLevel="0" collapsed="false">
      <c r="A108" s="10" t="s">
        <v>180</v>
      </c>
    </row>
    <row r="109" customFormat="false" ht="15" hidden="false" customHeight="false" outlineLevel="0" collapsed="false">
      <c r="B109" s="4" t="s">
        <v>181</v>
      </c>
      <c r="D109" s="4" t="s">
        <v>109</v>
      </c>
      <c r="F109" s="4" t="s">
        <v>142</v>
      </c>
      <c r="H109" s="4" t="s">
        <v>143</v>
      </c>
      <c r="J109" s="4" t="s">
        <v>144</v>
      </c>
    </row>
    <row r="110" customFormat="false" ht="15" hidden="false" customHeight="false" outlineLevel="0" collapsed="false">
      <c r="B110" s="5" t="str">
        <f aca="false">'1208 Smith'!B17</f>
        <v>12 - Land Improvements - Smith Square - 5yr</v>
      </c>
      <c r="D110" s="33" t="n">
        <f aca="false">SUM(F110:J110)</f>
        <v>8155</v>
      </c>
      <c r="F110" s="33" t="n">
        <f aca="false">'1208 Smith'!D17</f>
        <v>8155</v>
      </c>
    </row>
    <row r="111" customFormat="false" ht="15" hidden="false" customHeight="false" outlineLevel="0" collapsed="false">
      <c r="B111" s="5" t="str">
        <f aca="false">'1208 Smith'!B18</f>
        <v>12 - Land Improvements - Smith Square - 15yr</v>
      </c>
      <c r="D111" s="33" t="n">
        <f aca="false">SUM(F111:J111)</f>
        <v>1280</v>
      </c>
      <c r="H111" s="33" t="n">
        <f aca="false">'1208 Smith'!D18</f>
        <v>1280</v>
      </c>
    </row>
    <row r="112" customFormat="false" ht="15" hidden="false" customHeight="false" outlineLevel="0" collapsed="false">
      <c r="B112" s="5" t="str">
        <f aca="false">'1208 Smith'!B19</f>
        <v>12 - Land Improvements - Smith Square - 275yr</v>
      </c>
      <c r="D112" s="33" t="n">
        <f aca="false">SUM(F112:J112)</f>
        <v>34397</v>
      </c>
      <c r="J112" s="33" t="n">
        <f aca="false">'1208 Smith'!D19</f>
        <v>34397</v>
      </c>
    </row>
    <row r="113" customFormat="false" ht="15" hidden="false" customHeight="false" outlineLevel="0" collapsed="false">
      <c r="B113" s="5" t="str">
        <f aca="false">'1208 Smith'!B20</f>
        <v>13 - Buidling - Smith Square - 5yr</v>
      </c>
      <c r="D113" s="33" t="n">
        <f aca="false">SUM(F113:J113)</f>
        <v>106017</v>
      </c>
      <c r="F113" s="33" t="n">
        <f aca="false">'1208 Smith'!D20</f>
        <v>106017</v>
      </c>
    </row>
    <row r="114" customFormat="false" ht="15" hidden="false" customHeight="false" outlineLevel="0" collapsed="false">
      <c r="B114" s="5" t="str">
        <f aca="false">'1208 Smith'!B21</f>
        <v>13 - Buidling - Smith Square - 15yr</v>
      </c>
      <c r="D114" s="33" t="n">
        <f aca="false">SUM(F114:J114)</f>
        <v>16634</v>
      </c>
      <c r="H114" s="33" t="n">
        <f aca="false">'1208 Smith'!D21</f>
        <v>16634</v>
      </c>
    </row>
    <row r="115" customFormat="false" ht="15" hidden="false" customHeight="false" outlineLevel="0" collapsed="false">
      <c r="B115" s="5" t="str">
        <f aca="false">'1208 Smith'!B22</f>
        <v>13 - Buidling - Smith Square - 27.5yr</v>
      </c>
      <c r="D115" s="33" t="n">
        <f aca="false">SUM(F115:J115)</f>
        <v>447163</v>
      </c>
      <c r="J115" s="33" t="n">
        <f aca="false">'1208 Smith'!D22</f>
        <v>447163</v>
      </c>
    </row>
    <row r="116" customFormat="false" ht="15" hidden="false" customHeight="false" outlineLevel="0" collapsed="false">
      <c r="B116" s="5" t="str">
        <f aca="false">'1208 Smith'!B23</f>
        <v>14 - Equpiment - Smith Square - 5yr</v>
      </c>
      <c r="D116" s="33" t="n">
        <f aca="false">SUM(F116:J116)</f>
        <v>21747</v>
      </c>
      <c r="F116" s="33" t="n">
        <f aca="false">'1208 Smith'!D23</f>
        <v>21747</v>
      </c>
    </row>
    <row r="117" customFormat="false" ht="15" hidden="false" customHeight="false" outlineLevel="0" collapsed="false">
      <c r="B117" s="5" t="str">
        <f aca="false">'1208 Smith'!B24</f>
        <v>14 - Equpiment - Smith Square - 15yr</v>
      </c>
      <c r="D117" s="33" t="n">
        <f aca="false">SUM(F117:J117)</f>
        <v>3412</v>
      </c>
      <c r="H117" s="33" t="n">
        <f aca="false">'1208 Smith'!D24</f>
        <v>3412</v>
      </c>
    </row>
    <row r="118" customFormat="false" ht="15" hidden="false" customHeight="false" outlineLevel="0" collapsed="false">
      <c r="B118" s="5" t="str">
        <f aca="false">'1208 Smith'!B25</f>
        <v>14 - Equpiment - Smith Square - 27.5yr</v>
      </c>
      <c r="D118" s="33" t="n">
        <f aca="false">SUM(F118:J118)</f>
        <v>91726</v>
      </c>
      <c r="J118" s="33" t="n">
        <f aca="false">'1208 Smith'!D25</f>
        <v>91726</v>
      </c>
    </row>
    <row r="119" customFormat="false" ht="15" hidden="false" customHeight="false" outlineLevel="0" collapsed="false">
      <c r="B119" s="11" t="s">
        <v>182</v>
      </c>
      <c r="D119" s="34" t="n">
        <f aca="false">SUM(D110:D118)</f>
        <v>730531</v>
      </c>
      <c r="F119" s="34" t="n">
        <f aca="false">SUM(F110:F118)</f>
        <v>135919</v>
      </c>
      <c r="H119" s="34" t="n">
        <f aca="false">SUM(H110:H118)</f>
        <v>21326</v>
      </c>
      <c r="J119" s="34" t="n">
        <f aca="false">SUM(J110:J118)</f>
        <v>573286</v>
      </c>
    </row>
    <row r="120" customFormat="false" ht="15" hidden="false" customHeight="false" outlineLevel="0" collapsed="false">
      <c r="B120" s="16" t="s">
        <v>183</v>
      </c>
      <c r="D120" s="17" t="n">
        <f aca="false">D119-D105</f>
        <v>693443.82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189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21</v>
      </c>
      <c r="C10" s="23" t="s">
        <v>17</v>
      </c>
      <c r="D10" s="24" t="n">
        <v>8901</v>
      </c>
      <c r="E10" s="24" t="n">
        <v>0</v>
      </c>
      <c r="F10" s="24" t="n">
        <v>0</v>
      </c>
      <c r="G10" s="24" t="n">
        <v>4214.44</v>
      </c>
      <c r="H10" s="24" t="n">
        <v>525.63</v>
      </c>
      <c r="I10" s="24" t="n">
        <f aca="false">G10+H10</f>
        <v>4740.07</v>
      </c>
      <c r="J10" s="24" t="n">
        <f aca="false">D10-I10</f>
        <v>4160.93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22</v>
      </c>
      <c r="C11" s="23" t="s">
        <v>17</v>
      </c>
      <c r="D11" s="24" t="n">
        <v>115712</v>
      </c>
      <c r="E11" s="24" t="n">
        <v>0</v>
      </c>
      <c r="F11" s="24" t="n">
        <v>0</v>
      </c>
      <c r="G11" s="24" t="n">
        <v>25421.41</v>
      </c>
      <c r="H11" s="24" t="n">
        <v>4207.67</v>
      </c>
      <c r="I11" s="24" t="n">
        <f aca="false">G11+H11</f>
        <v>29629.08</v>
      </c>
      <c r="J11" s="24" t="n">
        <f aca="false">D11-I11</f>
        <v>86082.92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23</v>
      </c>
      <c r="C12" s="23" t="s">
        <v>17</v>
      </c>
      <c r="D12" s="24" t="n">
        <v>23736</v>
      </c>
      <c r="E12" s="24" t="n">
        <v>0</v>
      </c>
      <c r="F12" s="24" t="n">
        <v>23736</v>
      </c>
      <c r="G12" s="24" t="n">
        <v>23736</v>
      </c>
      <c r="H12" s="24" t="n">
        <v>0</v>
      </c>
      <c r="I12" s="24" t="n">
        <f aca="false">G12+H12</f>
        <v>23736</v>
      </c>
      <c r="J12" s="24" t="n">
        <f aca="false">D12-I12</f>
        <v>0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148349</v>
      </c>
      <c r="E13" s="28" t="n">
        <f aca="false">SUM(E10:E12)</f>
        <v>0</v>
      </c>
      <c r="F13" s="28" t="n">
        <f aca="false">SUM(F10:F12)</f>
        <v>23736</v>
      </c>
      <c r="G13" s="28" t="n">
        <f aca="false">SUM(G10:G12)</f>
        <v>53371.85</v>
      </c>
      <c r="H13" s="28" t="n">
        <f aca="false">SUM(H10:H12)</f>
        <v>4733.3</v>
      </c>
      <c r="I13" s="28" t="n">
        <f aca="false">SUM(I10:I12)</f>
        <v>58105.15</v>
      </c>
      <c r="J13" s="28" t="n">
        <f aca="false">SUM(J10:J12)</f>
        <v>90243.85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46</v>
      </c>
      <c r="C17" s="23" t="s">
        <v>17</v>
      </c>
      <c r="D17" s="24" t="n">
        <v>1516</v>
      </c>
      <c r="E17" s="24" t="n">
        <v>0</v>
      </c>
      <c r="F17" s="24" t="n">
        <v>0</v>
      </c>
      <c r="G17" s="24" t="n">
        <v>1516</v>
      </c>
      <c r="H17" s="24" t="n">
        <v>0</v>
      </c>
      <c r="I17" s="24" t="n">
        <f aca="false">G17+H17</f>
        <v>1516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47</v>
      </c>
      <c r="C18" s="23" t="s">
        <v>17</v>
      </c>
      <c r="D18" s="24" t="n">
        <v>269</v>
      </c>
      <c r="E18" s="24" t="n">
        <v>0</v>
      </c>
      <c r="F18" s="24" t="n">
        <v>269</v>
      </c>
      <c r="G18" s="24" t="n">
        <v>269</v>
      </c>
      <c r="H18" s="24" t="n">
        <v>0</v>
      </c>
      <c r="I18" s="24" t="n">
        <f aca="false">G18+H18</f>
        <v>269</v>
      </c>
      <c r="J18" s="24" t="n">
        <f aca="false">D18-I18</f>
        <v>0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48</v>
      </c>
      <c r="C19" s="23" t="s">
        <v>17</v>
      </c>
      <c r="D19" s="24" t="n">
        <v>7116</v>
      </c>
      <c r="E19" s="24" t="n">
        <v>0</v>
      </c>
      <c r="F19" s="24" t="n">
        <v>0</v>
      </c>
      <c r="G19" s="24" t="n">
        <v>1563.34</v>
      </c>
      <c r="H19" s="24" t="n">
        <v>258.76</v>
      </c>
      <c r="I19" s="24" t="n">
        <f aca="false">G19+H19</f>
        <v>1822.1</v>
      </c>
      <c r="J19" s="24" t="n">
        <f aca="false">D19-I19</f>
        <v>5293.9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49</v>
      </c>
      <c r="C20" s="23" t="s">
        <v>17</v>
      </c>
      <c r="D20" s="24" t="n">
        <v>19712</v>
      </c>
      <c r="E20" s="24" t="n">
        <v>0</v>
      </c>
      <c r="F20" s="24" t="n">
        <v>19712</v>
      </c>
      <c r="G20" s="24" t="n">
        <v>19712</v>
      </c>
      <c r="H20" s="24" t="n">
        <v>0</v>
      </c>
      <c r="I20" s="24" t="n">
        <f aca="false">G20+H20</f>
        <v>19712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50</v>
      </c>
      <c r="C21" s="23" t="s">
        <v>17</v>
      </c>
      <c r="D21" s="24" t="n">
        <v>3496</v>
      </c>
      <c r="E21" s="24" t="n">
        <v>0</v>
      </c>
      <c r="F21" s="24" t="n">
        <v>3496</v>
      </c>
      <c r="G21" s="24" t="n">
        <v>3496</v>
      </c>
      <c r="H21" s="24" t="n">
        <v>0</v>
      </c>
      <c r="I21" s="24" t="n">
        <f aca="false">G21+H21</f>
        <v>3496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51</v>
      </c>
      <c r="C22" s="23" t="s">
        <v>17</v>
      </c>
      <c r="D22" s="24" t="n">
        <v>92504</v>
      </c>
      <c r="E22" s="24" t="n">
        <v>0</v>
      </c>
      <c r="F22" s="24" t="n">
        <v>0</v>
      </c>
      <c r="G22" s="24" t="n">
        <v>20322.84</v>
      </c>
      <c r="H22" s="24" t="n">
        <v>3363.78</v>
      </c>
      <c r="I22" s="24" t="n">
        <f aca="false">G22+H22</f>
        <v>23686.62</v>
      </c>
      <c r="J22" s="24" t="n">
        <f aca="false">D22-I22</f>
        <v>68817.38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52</v>
      </c>
      <c r="C23" s="23" t="s">
        <v>17</v>
      </c>
      <c r="D23" s="24" t="n">
        <v>4043</v>
      </c>
      <c r="E23" s="24" t="n">
        <v>0</v>
      </c>
      <c r="F23" s="24" t="n">
        <v>4043</v>
      </c>
      <c r="G23" s="24" t="n">
        <v>4043</v>
      </c>
      <c r="H23" s="24" t="n">
        <v>0</v>
      </c>
      <c r="I23" s="24" t="n">
        <f aca="false">G23+H23</f>
        <v>4043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53</v>
      </c>
      <c r="C24" s="23" t="s">
        <v>17</v>
      </c>
      <c r="D24" s="24" t="n">
        <v>717</v>
      </c>
      <c r="E24" s="24" t="n">
        <v>0</v>
      </c>
      <c r="F24" s="24" t="n">
        <v>717</v>
      </c>
      <c r="G24" s="24" t="n">
        <v>717</v>
      </c>
      <c r="H24" s="24" t="n">
        <v>0</v>
      </c>
      <c r="I24" s="24" t="n">
        <f aca="false">G24+H24</f>
        <v>717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54</v>
      </c>
      <c r="C25" s="23" t="s">
        <v>17</v>
      </c>
      <c r="D25" s="24" t="n">
        <v>18976</v>
      </c>
      <c r="E25" s="24" t="n">
        <v>0</v>
      </c>
      <c r="F25" s="24" t="n">
        <v>0</v>
      </c>
      <c r="G25" s="24" t="n">
        <v>4168.75</v>
      </c>
      <c r="H25" s="24" t="n">
        <v>690.04</v>
      </c>
      <c r="I25" s="24" t="n">
        <f aca="false">G25+H25</f>
        <v>4858.79</v>
      </c>
      <c r="J25" s="24" t="n">
        <f aca="false">D25-I25</f>
        <v>14117.21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148349</v>
      </c>
      <c r="E26" s="28" t="n">
        <f aca="false">SUM(E17:E25)</f>
        <v>0</v>
      </c>
      <c r="F26" s="28" t="n">
        <f aca="false">SUM(F17:F25)</f>
        <v>28237</v>
      </c>
      <c r="G26" s="28" t="n">
        <f aca="false">SUM(G17:G25)</f>
        <v>55807.93</v>
      </c>
      <c r="H26" s="28" t="n">
        <f aca="false">SUM(H17:H25)</f>
        <v>4312.58</v>
      </c>
      <c r="I26" s="28" t="n">
        <f aca="false">SUM(I17:I25)</f>
        <v>60120.51</v>
      </c>
      <c r="J26" s="28" t="n">
        <f aca="false">SUM(J17:J25)</f>
        <v>88228.49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58105.15</v>
      </c>
    </row>
    <row r="30" customFormat="false" ht="15" hidden="false" customHeight="false" outlineLevel="0" collapsed="false">
      <c r="B30" s="5" t="s">
        <v>127</v>
      </c>
      <c r="D30" s="6" t="n">
        <f aca="false">I26</f>
        <v>60120.51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-2015.36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21</v>
      </c>
      <c r="C36" s="23" t="s">
        <v>17</v>
      </c>
      <c r="D36" s="24" t="n">
        <v>8901</v>
      </c>
      <c r="E36" s="24" t="n">
        <v>0</v>
      </c>
      <c r="F36" s="24" t="n">
        <v>0</v>
      </c>
      <c r="G36" s="24" t="n">
        <v>4214.44</v>
      </c>
      <c r="H36" s="24" t="n">
        <v>525.63</v>
      </c>
      <c r="I36" s="24" t="n">
        <f aca="false">G36+H36</f>
        <v>4740.07</v>
      </c>
      <c r="J36" s="24" t="n">
        <f aca="false">D36-I36</f>
        <v>4160.93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22</v>
      </c>
      <c r="C37" s="23" t="s">
        <v>17</v>
      </c>
      <c r="D37" s="24" t="n">
        <v>115712</v>
      </c>
      <c r="E37" s="24" t="n">
        <v>0</v>
      </c>
      <c r="F37" s="24" t="n">
        <v>0</v>
      </c>
      <c r="G37" s="24" t="n">
        <v>25421.41</v>
      </c>
      <c r="H37" s="24" t="n">
        <v>4207.67</v>
      </c>
      <c r="I37" s="24" t="n">
        <f aca="false">G37+H37</f>
        <v>29629.08</v>
      </c>
      <c r="J37" s="24" t="n">
        <f aca="false">D37-I37</f>
        <v>86082.92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23</v>
      </c>
      <c r="C38" s="23" t="s">
        <v>17</v>
      </c>
      <c r="D38" s="24" t="n">
        <v>23736</v>
      </c>
      <c r="E38" s="24" t="n">
        <v>0</v>
      </c>
      <c r="F38" s="24" t="n">
        <v>23736</v>
      </c>
      <c r="G38" s="24" t="n">
        <v>23736</v>
      </c>
      <c r="H38" s="24" t="n">
        <v>0</v>
      </c>
      <c r="I38" s="24" t="n">
        <f aca="false">G38+H38</f>
        <v>23736</v>
      </c>
      <c r="J38" s="24" t="n">
        <f aca="false">D38-I38</f>
        <v>0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148349</v>
      </c>
      <c r="E39" s="28" t="n">
        <f aca="false">SUM(E36:E38)</f>
        <v>0</v>
      </c>
      <c r="F39" s="28" t="n">
        <f aca="false">SUM(F36:F38)</f>
        <v>23736</v>
      </c>
      <c r="G39" s="28" t="n">
        <f aca="false">SUM(G36:G38)</f>
        <v>53371.85</v>
      </c>
      <c r="H39" s="28" t="n">
        <f aca="false">SUM(H36:H38)</f>
        <v>4733.3</v>
      </c>
      <c r="I39" s="28" t="n">
        <f aca="false">SUM(I36:I38)</f>
        <v>58105.15</v>
      </c>
      <c r="J39" s="28" t="n">
        <f aca="false">SUM(J36:J38)</f>
        <v>90243.85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46</v>
      </c>
      <c r="C43" s="23" t="s">
        <v>17</v>
      </c>
      <c r="D43" s="24" t="n">
        <v>1516</v>
      </c>
      <c r="E43" s="24" t="n">
        <v>0</v>
      </c>
      <c r="F43" s="24" t="n">
        <v>0</v>
      </c>
      <c r="G43" s="24" t="n">
        <v>1516</v>
      </c>
      <c r="H43" s="24" t="n">
        <v>0</v>
      </c>
      <c r="I43" s="24" t="n">
        <f aca="false">G43+H43</f>
        <v>1516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47</v>
      </c>
      <c r="C44" s="23" t="s">
        <v>17</v>
      </c>
      <c r="D44" s="24" t="n">
        <v>269</v>
      </c>
      <c r="E44" s="24" t="n">
        <v>0</v>
      </c>
      <c r="F44" s="24" t="n">
        <v>269</v>
      </c>
      <c r="G44" s="24" t="n">
        <v>269</v>
      </c>
      <c r="H44" s="24" t="n">
        <v>0</v>
      </c>
      <c r="I44" s="24" t="n">
        <f aca="false">G44+H44</f>
        <v>269</v>
      </c>
      <c r="J44" s="24" t="n">
        <f aca="false">D44-I44</f>
        <v>0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49</v>
      </c>
      <c r="C45" s="23" t="s">
        <v>17</v>
      </c>
      <c r="D45" s="24" t="n">
        <v>19712</v>
      </c>
      <c r="E45" s="24" t="n">
        <v>0</v>
      </c>
      <c r="F45" s="24" t="n">
        <v>19712</v>
      </c>
      <c r="G45" s="24" t="n">
        <v>19712</v>
      </c>
      <c r="H45" s="24" t="n">
        <v>0</v>
      </c>
      <c r="I45" s="24" t="n">
        <f aca="false">G45+H45</f>
        <v>19712</v>
      </c>
      <c r="J45" s="24" t="n">
        <f aca="false">D45-I45</f>
        <v>0</v>
      </c>
      <c r="K45" s="25" t="s">
        <v>124</v>
      </c>
      <c r="L45" s="25" t="s">
        <v>122</v>
      </c>
    </row>
    <row r="46" customFormat="false" ht="15" hidden="false" customHeight="false" outlineLevel="0" collapsed="false">
      <c r="A46" s="23" t="n">
        <v>4</v>
      </c>
      <c r="B46" s="23" t="s">
        <v>50</v>
      </c>
      <c r="C46" s="23" t="s">
        <v>17</v>
      </c>
      <c r="D46" s="24" t="n">
        <v>3496</v>
      </c>
      <c r="E46" s="24" t="n">
        <v>0</v>
      </c>
      <c r="F46" s="24" t="n">
        <v>3496</v>
      </c>
      <c r="G46" s="24" t="n">
        <v>3496</v>
      </c>
      <c r="H46" s="24" t="n">
        <v>0</v>
      </c>
      <c r="I46" s="24" t="n">
        <f aca="false">G46+H46</f>
        <v>3496</v>
      </c>
      <c r="J46" s="24" t="n">
        <f aca="false">D46-I46</f>
        <v>0</v>
      </c>
      <c r="K46" s="25" t="s">
        <v>118</v>
      </c>
      <c r="L46" s="25" t="s">
        <v>119</v>
      </c>
    </row>
    <row r="47" customFormat="false" ht="15" hidden="false" customHeight="false" outlineLevel="0" collapsed="false">
      <c r="A47" s="23" t="n">
        <v>5</v>
      </c>
      <c r="B47" s="23" t="s">
        <v>51</v>
      </c>
      <c r="C47" s="23" t="s">
        <v>17</v>
      </c>
      <c r="D47" s="24" t="n">
        <v>92504</v>
      </c>
      <c r="E47" s="24" t="n">
        <v>0</v>
      </c>
      <c r="F47" s="24" t="n">
        <v>0</v>
      </c>
      <c r="G47" s="24" t="n">
        <v>20322.84</v>
      </c>
      <c r="H47" s="24" t="n">
        <v>3363.78</v>
      </c>
      <c r="I47" s="24" t="n">
        <f aca="false">G47+H47</f>
        <v>23686.62</v>
      </c>
      <c r="J47" s="24" t="n">
        <f aca="false">D47-I47</f>
        <v>68817.38</v>
      </c>
      <c r="K47" s="25" t="s">
        <v>120</v>
      </c>
      <c r="L47" s="25" t="s">
        <v>121</v>
      </c>
    </row>
    <row r="48" customFormat="false" ht="15" hidden="false" customHeight="false" outlineLevel="0" collapsed="false">
      <c r="A48" s="23" t="n">
        <v>6</v>
      </c>
      <c r="B48" s="23" t="s">
        <v>52</v>
      </c>
      <c r="C48" s="23" t="s">
        <v>17</v>
      </c>
      <c r="D48" s="24" t="n">
        <v>4043</v>
      </c>
      <c r="E48" s="24" t="n">
        <v>0</v>
      </c>
      <c r="F48" s="24" t="n">
        <v>4043</v>
      </c>
      <c r="G48" s="24" t="n">
        <v>4043</v>
      </c>
      <c r="H48" s="24" t="n">
        <v>0</v>
      </c>
      <c r="I48" s="24" t="n">
        <f aca="false">G48+H48</f>
        <v>4043</v>
      </c>
      <c r="J48" s="24" t="n">
        <f aca="false">D48-I48</f>
        <v>0</v>
      </c>
      <c r="K48" s="25" t="s">
        <v>124</v>
      </c>
      <c r="L48" s="25" t="s">
        <v>122</v>
      </c>
    </row>
    <row r="49" customFormat="false" ht="15" hidden="false" customHeight="false" outlineLevel="0" collapsed="false">
      <c r="A49" s="23" t="n">
        <v>7</v>
      </c>
      <c r="B49" s="23" t="s">
        <v>53</v>
      </c>
      <c r="C49" s="23" t="s">
        <v>17</v>
      </c>
      <c r="D49" s="24" t="n">
        <v>717</v>
      </c>
      <c r="E49" s="24" t="n">
        <v>0</v>
      </c>
      <c r="F49" s="24" t="n">
        <v>717</v>
      </c>
      <c r="G49" s="24" t="n">
        <v>717</v>
      </c>
      <c r="H49" s="24" t="n">
        <v>0</v>
      </c>
      <c r="I49" s="24" t="n">
        <f aca="false">G49+H49</f>
        <v>717</v>
      </c>
      <c r="J49" s="24" t="n">
        <f aca="false">D49-I49</f>
        <v>0</v>
      </c>
      <c r="K49" s="25" t="s">
        <v>118</v>
      </c>
      <c r="L49" s="25" t="s">
        <v>119</v>
      </c>
    </row>
    <row r="50" customFormat="false" ht="15" hidden="false" customHeight="false" outlineLevel="0" collapsed="false">
      <c r="A50" s="23" t="n">
        <v>8</v>
      </c>
      <c r="B50" s="23" t="s">
        <v>54</v>
      </c>
      <c r="C50" s="23" t="s">
        <v>17</v>
      </c>
      <c r="D50" s="24" t="n">
        <v>18976</v>
      </c>
      <c r="E50" s="24" t="n">
        <v>0</v>
      </c>
      <c r="F50" s="24" t="n">
        <v>0</v>
      </c>
      <c r="G50" s="24" t="n">
        <v>4168.75</v>
      </c>
      <c r="H50" s="24" t="n">
        <v>690.04</v>
      </c>
      <c r="I50" s="24" t="n">
        <f aca="false">G50+H50</f>
        <v>4858.79</v>
      </c>
      <c r="J50" s="24" t="n">
        <f aca="false">D50-I50</f>
        <v>14117.21</v>
      </c>
      <c r="K50" s="25" t="s">
        <v>120</v>
      </c>
      <c r="L50" s="25" t="s">
        <v>121</v>
      </c>
    </row>
    <row r="51" customFormat="false" ht="15" hidden="false" customHeight="false" outlineLevel="0" collapsed="false">
      <c r="A51" s="26"/>
      <c r="B51" s="27" t="s">
        <v>35</v>
      </c>
      <c r="C51" s="26"/>
      <c r="D51" s="28" t="n">
        <f aca="false">SUM(D43:D50)</f>
        <v>141233</v>
      </c>
      <c r="E51" s="28" t="n">
        <f aca="false">SUM(E43:E50)</f>
        <v>0</v>
      </c>
      <c r="F51" s="28" t="n">
        <f aca="false">SUM(F43:F50)</f>
        <v>28237</v>
      </c>
      <c r="G51" s="28" t="n">
        <f aca="false">SUM(G43:G50)</f>
        <v>54244.59</v>
      </c>
      <c r="H51" s="28" t="n">
        <f aca="false">SUM(H43:H50)</f>
        <v>4053.82</v>
      </c>
      <c r="I51" s="28" t="n">
        <f aca="false">SUM(I43:I50)</f>
        <v>58298.41</v>
      </c>
      <c r="J51" s="28" t="n">
        <f aca="false">SUM(J43:J50)</f>
        <v>82934.59</v>
      </c>
      <c r="K51" s="26"/>
      <c r="L51" s="26"/>
    </row>
    <row r="53" customFormat="false" ht="15" hidden="false" customHeight="false" outlineLevel="0" collapsed="false">
      <c r="B53" s="18" t="s">
        <v>133</v>
      </c>
    </row>
    <row r="54" customFormat="false" ht="15" hidden="false" customHeight="false" outlineLevel="0" collapsed="false">
      <c r="B54" s="5" t="s">
        <v>126</v>
      </c>
      <c r="D54" s="6" t="n">
        <f aca="false">I39</f>
        <v>58105.15</v>
      </c>
    </row>
    <row r="55" customFormat="false" ht="15" hidden="false" customHeight="false" outlineLevel="0" collapsed="false">
      <c r="B55" s="5" t="s">
        <v>127</v>
      </c>
      <c r="D55" s="6" t="n">
        <f aca="false">I51</f>
        <v>58298.41</v>
      </c>
    </row>
    <row r="56" customFormat="false" ht="15" hidden="false" customHeight="false" outlineLevel="0" collapsed="false">
      <c r="B56" s="11" t="s">
        <v>133</v>
      </c>
      <c r="D56" s="29" t="n">
        <f aca="false">D54-D55</f>
        <v>-193.259999999995</v>
      </c>
    </row>
    <row r="58" customFormat="false" ht="15" hidden="false" customHeight="false" outlineLevel="0" collapsed="false">
      <c r="A58" s="10" t="s">
        <v>134</v>
      </c>
    </row>
    <row r="59" customFormat="false" ht="15" hidden="false" customHeight="false" outlineLevel="0" collapsed="false">
      <c r="B59" s="11" t="s">
        <v>135</v>
      </c>
      <c r="D59" s="12" t="n">
        <f aca="false">D105</f>
        <v>30438.8</v>
      </c>
    </row>
    <row r="60" customFormat="false" ht="15" hidden="false" customHeight="false" outlineLevel="0" collapsed="false">
      <c r="B60" s="5" t="s">
        <v>136</v>
      </c>
      <c r="D60" s="6" t="n">
        <f aca="false">F105</f>
        <v>5663.28</v>
      </c>
    </row>
    <row r="61" customFormat="false" ht="15" hidden="false" customHeight="false" outlineLevel="0" collapsed="false">
      <c r="B61" s="30" t="s">
        <v>137</v>
      </c>
      <c r="D61" s="31" t="n">
        <f aca="false">F106</f>
        <v>0.186054640787416</v>
      </c>
    </row>
    <row r="62" customFormat="false" ht="15" hidden="false" customHeight="false" outlineLevel="0" collapsed="false">
      <c r="B62" s="5" t="s">
        <v>138</v>
      </c>
      <c r="D62" s="6" t="n">
        <f aca="false">H105</f>
        <v>888.57</v>
      </c>
    </row>
    <row r="63" customFormat="false" ht="15" hidden="false" customHeight="false" outlineLevel="0" collapsed="false">
      <c r="B63" s="30" t="s">
        <v>137</v>
      </c>
      <c r="D63" s="31" t="n">
        <f aca="false">H106</f>
        <v>0.0291920180821846</v>
      </c>
    </row>
    <row r="64" customFormat="false" ht="15" hidden="false" customHeight="false" outlineLevel="0" collapsed="false">
      <c r="B64" s="5" t="s">
        <v>139</v>
      </c>
      <c r="D64" s="6" t="n">
        <f aca="false">J105</f>
        <v>23886.95</v>
      </c>
    </row>
    <row r="65" customFormat="false" ht="15" hidden="false" customHeight="false" outlineLevel="0" collapsed="false">
      <c r="B65" s="30" t="s">
        <v>137</v>
      </c>
      <c r="D65" s="31" t="n">
        <f aca="false">J106</f>
        <v>0.784753341130399</v>
      </c>
    </row>
    <row r="67" customFormat="false" ht="15" hidden="false" customHeight="false" outlineLevel="0" collapsed="false">
      <c r="A67" s="10" t="s">
        <v>140</v>
      </c>
    </row>
    <row r="68" customFormat="false" ht="15" hidden="false" customHeight="false" outlineLevel="0" collapsed="false">
      <c r="B68" s="4" t="s">
        <v>141</v>
      </c>
      <c r="D68" s="4" t="s">
        <v>109</v>
      </c>
      <c r="F68" s="4" t="s">
        <v>142</v>
      </c>
      <c r="H68" s="4" t="s">
        <v>143</v>
      </c>
      <c r="J68" s="4" t="s">
        <v>144</v>
      </c>
    </row>
    <row r="69" customFormat="false" ht="15" hidden="false" customHeight="false" outlineLevel="0" collapsed="false">
      <c r="B69" s="32" t="s">
        <v>145</v>
      </c>
    </row>
    <row r="70" customFormat="false" ht="15" hidden="false" customHeight="false" outlineLevel="0" collapsed="false">
      <c r="B70" s="5" t="s">
        <v>146</v>
      </c>
      <c r="D70" s="33" t="n">
        <f aca="false">SUM(F70:J70)</f>
        <v>990.47</v>
      </c>
      <c r="F70" s="33" t="n">
        <v>990.47</v>
      </c>
    </row>
    <row r="71" customFormat="false" ht="15" hidden="false" customHeight="false" outlineLevel="0" collapsed="false">
      <c r="B71" s="5" t="s">
        <v>147</v>
      </c>
      <c r="D71" s="33" t="n">
        <f aca="false">SUM(F71:J71)</f>
        <v>702.07</v>
      </c>
      <c r="F71" s="33" t="n">
        <v>702.07</v>
      </c>
    </row>
    <row r="72" customFormat="false" ht="15" hidden="false" customHeight="false" outlineLevel="0" collapsed="false">
      <c r="B72" s="5" t="s">
        <v>148</v>
      </c>
      <c r="D72" s="33" t="n">
        <f aca="false">SUM(F72:J72)</f>
        <v>1541.32</v>
      </c>
      <c r="F72" s="33" t="n">
        <v>1541.32</v>
      </c>
    </row>
    <row r="73" customFormat="false" ht="15" hidden="false" customHeight="false" outlineLevel="0" collapsed="false">
      <c r="B73" s="5" t="s">
        <v>149</v>
      </c>
      <c r="D73" s="33" t="n">
        <f aca="false">SUM(F73:J73)</f>
        <v>326.42</v>
      </c>
      <c r="F73" s="33" t="n">
        <v>326.42</v>
      </c>
    </row>
    <row r="74" customFormat="false" ht="15" hidden="false" customHeight="false" outlineLevel="0" collapsed="false">
      <c r="B74" s="5" t="s">
        <v>150</v>
      </c>
      <c r="D74" s="33" t="n">
        <f aca="false">SUM(F74:J74)</f>
        <v>191.73</v>
      </c>
      <c r="F74" s="33" t="n">
        <v>191.73</v>
      </c>
    </row>
    <row r="75" customFormat="false" ht="15" hidden="false" customHeight="false" outlineLevel="0" collapsed="false">
      <c r="B75" s="5" t="s">
        <v>151</v>
      </c>
      <c r="D75" s="33" t="n">
        <f aca="false">SUM(F75:J75)</f>
        <v>27.77</v>
      </c>
      <c r="F75" s="33" t="n">
        <v>27.77</v>
      </c>
    </row>
    <row r="76" customFormat="false" ht="15" hidden="false" customHeight="false" outlineLevel="0" collapsed="false">
      <c r="B76" s="5" t="s">
        <v>152</v>
      </c>
      <c r="D76" s="33" t="n">
        <f aca="false">SUM(F76:J76)</f>
        <v>18.26</v>
      </c>
      <c r="F76" s="33" t="n">
        <v>18.26</v>
      </c>
    </row>
    <row r="77" customFormat="false" ht="15" hidden="false" customHeight="false" outlineLevel="0" collapsed="false">
      <c r="B77" s="5" t="s">
        <v>153</v>
      </c>
      <c r="D77" s="33" t="n">
        <f aca="false">SUM(F77:J77)</f>
        <v>474.3</v>
      </c>
      <c r="F77" s="33" t="n">
        <v>474.3</v>
      </c>
    </row>
    <row r="78" customFormat="false" ht="15" hidden="false" customHeight="false" outlineLevel="0" collapsed="false">
      <c r="B78" s="5" t="s">
        <v>154</v>
      </c>
      <c r="D78" s="33" t="n">
        <f aca="false">SUM(F78:J78)</f>
        <v>201.84</v>
      </c>
      <c r="F78" s="33" t="n">
        <v>201.84</v>
      </c>
    </row>
    <row r="79" customFormat="false" ht="15" hidden="false" customHeight="false" outlineLevel="0" collapsed="false">
      <c r="B79" s="5" t="s">
        <v>155</v>
      </c>
      <c r="D79" s="33" t="n">
        <f aca="false">SUM(F79:J79)</f>
        <v>519.3</v>
      </c>
      <c r="F79" s="33" t="n">
        <v>519.3</v>
      </c>
    </row>
    <row r="80" customFormat="false" ht="15" hidden="false" customHeight="false" outlineLevel="0" collapsed="false">
      <c r="B80" s="5" t="s">
        <v>156</v>
      </c>
      <c r="D80" s="33" t="n">
        <f aca="false">SUM(F80:J80)</f>
        <v>103</v>
      </c>
      <c r="F80" s="33" t="n">
        <v>103</v>
      </c>
    </row>
    <row r="81" customFormat="false" ht="15" hidden="false" customHeight="false" outlineLevel="0" collapsed="false">
      <c r="B81" s="5" t="s">
        <v>188</v>
      </c>
      <c r="D81" s="33" t="n">
        <f aca="false">SUM(F81:J81)</f>
        <v>46.57</v>
      </c>
      <c r="F81" s="33" t="n">
        <v>46.57</v>
      </c>
    </row>
    <row r="82" customFormat="false" ht="15" hidden="false" customHeight="false" outlineLevel="0" collapsed="false">
      <c r="B82" s="5" t="s">
        <v>157</v>
      </c>
      <c r="D82" s="33" t="n">
        <f aca="false">SUM(F82:J82)</f>
        <v>520.23</v>
      </c>
      <c r="F82" s="33" t="n">
        <v>520.23</v>
      </c>
    </row>
    <row r="83" customFormat="false" ht="15" hidden="false" customHeight="false" outlineLevel="0" collapsed="false">
      <c r="B83" s="32" t="s">
        <v>158</v>
      </c>
    </row>
    <row r="84" customFormat="false" ht="15" hidden="false" customHeight="false" outlineLevel="0" collapsed="false">
      <c r="B84" s="5" t="s">
        <v>159</v>
      </c>
      <c r="D84" s="33" t="n">
        <f aca="false">SUM(F84:J84)</f>
        <v>685.64</v>
      </c>
      <c r="H84" s="33" t="n">
        <v>685.64</v>
      </c>
    </row>
    <row r="85" customFormat="false" ht="15" hidden="false" customHeight="false" outlineLevel="0" collapsed="false">
      <c r="B85" s="5" t="s">
        <v>160</v>
      </c>
      <c r="D85" s="33" t="n">
        <f aca="false">SUM(F85:J85)</f>
        <v>150.96</v>
      </c>
      <c r="H85" s="33" t="n">
        <v>150.96</v>
      </c>
    </row>
    <row r="86" customFormat="false" ht="15" hidden="false" customHeight="false" outlineLevel="0" collapsed="false">
      <c r="B86" s="5" t="s">
        <v>161</v>
      </c>
      <c r="D86" s="33" t="n">
        <f aca="false">SUM(F86:J86)</f>
        <v>32.07</v>
      </c>
      <c r="H86" s="33" t="n">
        <v>32.07</v>
      </c>
    </row>
    <row r="87" customFormat="false" ht="15" hidden="false" customHeight="false" outlineLevel="0" collapsed="false">
      <c r="B87" s="5" t="s">
        <v>162</v>
      </c>
      <c r="D87" s="33" t="n">
        <f aca="false">SUM(F87:J87)</f>
        <v>19.9</v>
      </c>
      <c r="H87" s="33" t="n">
        <v>19.9</v>
      </c>
    </row>
    <row r="88" customFormat="false" ht="15" hidden="false" customHeight="false" outlineLevel="0" collapsed="false">
      <c r="B88" s="32" t="s">
        <v>163</v>
      </c>
    </row>
    <row r="89" customFormat="false" ht="15" hidden="false" customHeight="false" outlineLevel="0" collapsed="false">
      <c r="B89" s="5" t="s">
        <v>164</v>
      </c>
      <c r="D89" s="33" t="n">
        <f aca="false">SUM(F89:J89)</f>
        <v>1795.53</v>
      </c>
      <c r="J89" s="33" t="n">
        <v>1795.53</v>
      </c>
    </row>
    <row r="90" customFormat="false" ht="15" hidden="false" customHeight="false" outlineLevel="0" collapsed="false">
      <c r="B90" s="5" t="s">
        <v>165</v>
      </c>
      <c r="D90" s="33" t="n">
        <f aca="false">SUM(F90:J90)</f>
        <v>3640.65</v>
      </c>
      <c r="J90" s="33" t="n">
        <v>3640.65</v>
      </c>
    </row>
    <row r="91" customFormat="false" ht="15" hidden="false" customHeight="false" outlineLevel="0" collapsed="false">
      <c r="B91" s="5" t="s">
        <v>166</v>
      </c>
      <c r="D91" s="33" t="n">
        <f aca="false">SUM(F91:J91)</f>
        <v>2074.48</v>
      </c>
      <c r="J91" s="33" t="n">
        <v>2074.48</v>
      </c>
    </row>
    <row r="92" customFormat="false" ht="15" hidden="false" customHeight="false" outlineLevel="0" collapsed="false">
      <c r="B92" s="5" t="s">
        <v>167</v>
      </c>
      <c r="D92" s="33" t="n">
        <f aca="false">SUM(F92:J92)</f>
        <v>1981.12</v>
      </c>
      <c r="J92" s="33" t="n">
        <v>1981.12</v>
      </c>
    </row>
    <row r="93" customFormat="false" ht="15" hidden="false" customHeight="false" outlineLevel="0" collapsed="false">
      <c r="B93" s="5" t="s">
        <v>168</v>
      </c>
      <c r="D93" s="33" t="n">
        <f aca="false">SUM(F93:J93)</f>
        <v>1827.48</v>
      </c>
      <c r="J93" s="33" t="n">
        <v>1827.48</v>
      </c>
    </row>
    <row r="94" customFormat="false" ht="15" hidden="false" customHeight="false" outlineLevel="0" collapsed="false">
      <c r="B94" s="5" t="s">
        <v>169</v>
      </c>
      <c r="D94" s="33" t="n">
        <f aca="false">SUM(F94:J94)</f>
        <v>110.84</v>
      </c>
      <c r="J94" s="33" t="n">
        <v>110.84</v>
      </c>
    </row>
    <row r="95" customFormat="false" ht="15" hidden="false" customHeight="false" outlineLevel="0" collapsed="false">
      <c r="B95" s="5" t="s">
        <v>170</v>
      </c>
      <c r="D95" s="33" t="n">
        <f aca="false">SUM(F95:J95)</f>
        <v>1031.81</v>
      </c>
      <c r="J95" s="33" t="n">
        <v>1031.81</v>
      </c>
    </row>
    <row r="96" customFormat="false" ht="15" hidden="false" customHeight="false" outlineLevel="0" collapsed="false">
      <c r="B96" s="5" t="s">
        <v>171</v>
      </c>
      <c r="D96" s="33" t="n">
        <f aca="false">SUM(F96:J96)</f>
        <v>953.01</v>
      </c>
      <c r="J96" s="33" t="n">
        <v>953.01</v>
      </c>
    </row>
    <row r="97" customFormat="false" ht="15" hidden="false" customHeight="false" outlineLevel="0" collapsed="false">
      <c r="B97" s="5" t="s">
        <v>172</v>
      </c>
      <c r="D97" s="33" t="n">
        <f aca="false">SUM(F97:J97)</f>
        <v>845.03</v>
      </c>
      <c r="J97" s="33" t="n">
        <v>845.03</v>
      </c>
    </row>
    <row r="98" customFormat="false" ht="15" hidden="false" customHeight="false" outlineLevel="0" collapsed="false">
      <c r="B98" s="5" t="s">
        <v>173</v>
      </c>
      <c r="D98" s="33" t="n">
        <f aca="false">SUM(F98:J98)</f>
        <v>1080.49</v>
      </c>
      <c r="J98" s="33" t="n">
        <v>1080.49</v>
      </c>
    </row>
    <row r="99" customFormat="false" ht="15" hidden="false" customHeight="false" outlineLevel="0" collapsed="false">
      <c r="B99" s="5" t="s">
        <v>174</v>
      </c>
      <c r="D99" s="33" t="n">
        <f aca="false">SUM(F99:J99)</f>
        <v>3076.64</v>
      </c>
      <c r="J99" s="33" t="n">
        <v>3076.64</v>
      </c>
    </row>
    <row r="100" customFormat="false" ht="15" hidden="false" customHeight="false" outlineLevel="0" collapsed="false">
      <c r="B100" s="5" t="s">
        <v>175</v>
      </c>
      <c r="D100" s="33" t="n">
        <f aca="false">SUM(F100:J100)</f>
        <v>1043.32</v>
      </c>
      <c r="J100" s="33" t="n">
        <v>1043.32</v>
      </c>
    </row>
    <row r="101" customFormat="false" ht="15" hidden="false" customHeight="false" outlineLevel="0" collapsed="false">
      <c r="B101" s="5" t="s">
        <v>176</v>
      </c>
      <c r="D101" s="33" t="n">
        <f aca="false">SUM(F101:J101)</f>
        <v>3237.39</v>
      </c>
      <c r="J101" s="33" t="n">
        <v>3237.39</v>
      </c>
    </row>
    <row r="102" customFormat="false" ht="15" hidden="false" customHeight="false" outlineLevel="0" collapsed="false">
      <c r="B102" s="5" t="s">
        <v>177</v>
      </c>
      <c r="D102" s="33" t="n">
        <f aca="false">SUM(F102:J102)</f>
        <v>320.35</v>
      </c>
      <c r="J102" s="33" t="n">
        <v>320.35</v>
      </c>
    </row>
    <row r="103" customFormat="false" ht="15" hidden="false" customHeight="false" outlineLevel="0" collapsed="false">
      <c r="B103" s="5" t="s">
        <v>178</v>
      </c>
      <c r="D103" s="33" t="n">
        <f aca="false">SUM(F103:J103)</f>
        <v>441.33</v>
      </c>
      <c r="J103" s="33" t="n">
        <v>441.33</v>
      </c>
    </row>
    <row r="104" customFormat="false" ht="15" hidden="false" customHeight="false" outlineLevel="0" collapsed="false">
      <c r="B104" s="5" t="s">
        <v>179</v>
      </c>
      <c r="D104" s="33" t="n">
        <f aca="false">SUM(F104:J104)</f>
        <v>427.48</v>
      </c>
      <c r="J104" s="33" t="n">
        <v>427.48</v>
      </c>
    </row>
    <row r="105" customFormat="false" ht="15" hidden="false" customHeight="false" outlineLevel="0" collapsed="false">
      <c r="B105" s="11" t="s">
        <v>135</v>
      </c>
      <c r="D105" s="34" t="n">
        <f aca="false">SUM(D69:D104)</f>
        <v>30438.8</v>
      </c>
      <c r="F105" s="34" t="n">
        <f aca="false">SUM(F69:F104)</f>
        <v>5663.28</v>
      </c>
      <c r="H105" s="34" t="n">
        <f aca="false">SUM(H69:H104)</f>
        <v>888.57</v>
      </c>
      <c r="J105" s="34" t="n">
        <f aca="false">SUM(J69:J104)</f>
        <v>23886.95</v>
      </c>
    </row>
    <row r="106" customFormat="false" ht="15" hidden="false" customHeight="false" outlineLevel="0" collapsed="false">
      <c r="B106" s="30" t="s">
        <v>137</v>
      </c>
      <c r="F106" s="31" t="n">
        <f aca="false">F105/D105</f>
        <v>0.186054640787416</v>
      </c>
      <c r="H106" s="31" t="n">
        <f aca="false">H105/D105</f>
        <v>0.0291920180821846</v>
      </c>
      <c r="J106" s="31" t="n">
        <f aca="false">J105/D105</f>
        <v>0.784753341130399</v>
      </c>
    </row>
    <row r="108" customFormat="false" ht="15" hidden="false" customHeight="false" outlineLevel="0" collapsed="false">
      <c r="A108" s="10" t="s">
        <v>180</v>
      </c>
    </row>
    <row r="109" customFormat="false" ht="15" hidden="false" customHeight="false" outlineLevel="0" collapsed="false">
      <c r="B109" s="4" t="s">
        <v>181</v>
      </c>
      <c r="D109" s="4" t="s">
        <v>109</v>
      </c>
      <c r="F109" s="4" t="s">
        <v>142</v>
      </c>
      <c r="H109" s="4" t="s">
        <v>143</v>
      </c>
      <c r="J109" s="4" t="s">
        <v>144</v>
      </c>
    </row>
    <row r="110" customFormat="false" ht="15" hidden="false" customHeight="false" outlineLevel="0" collapsed="false">
      <c r="B110" s="5" t="str">
        <f aca="false">'1209 Smith'!B17</f>
        <v>12 - Land Improvements - Smith Square - 5yr</v>
      </c>
      <c r="D110" s="33" t="n">
        <f aca="false">SUM(F110:J110)</f>
        <v>1516</v>
      </c>
      <c r="F110" s="33" t="n">
        <f aca="false">'1209 Smith'!D17</f>
        <v>1516</v>
      </c>
    </row>
    <row r="111" customFormat="false" ht="15" hidden="false" customHeight="false" outlineLevel="0" collapsed="false">
      <c r="B111" s="5" t="str">
        <f aca="false">'1209 Smith'!B18</f>
        <v>12 - Land Improvements - Smith Square - 15yr</v>
      </c>
      <c r="D111" s="33" t="n">
        <f aca="false">SUM(F111:J111)</f>
        <v>269</v>
      </c>
      <c r="H111" s="33" t="n">
        <f aca="false">'1209 Smith'!D18</f>
        <v>269</v>
      </c>
    </row>
    <row r="112" customFormat="false" ht="15" hidden="false" customHeight="false" outlineLevel="0" collapsed="false">
      <c r="B112" s="5" t="str">
        <f aca="false">'1209 Smith'!B19</f>
        <v>12 - Land Improvements - Smith Square - 275yr</v>
      </c>
      <c r="D112" s="33" t="n">
        <f aca="false">SUM(F112:J112)</f>
        <v>7116</v>
      </c>
      <c r="J112" s="33" t="n">
        <f aca="false">'1209 Smith'!D19</f>
        <v>7116</v>
      </c>
    </row>
    <row r="113" customFormat="false" ht="15" hidden="false" customHeight="false" outlineLevel="0" collapsed="false">
      <c r="B113" s="5" t="str">
        <f aca="false">'1209 Smith'!B20</f>
        <v>13 - Buidling - Smith Square - 5yr</v>
      </c>
      <c r="D113" s="33" t="n">
        <f aca="false">SUM(F113:J113)</f>
        <v>19712</v>
      </c>
      <c r="F113" s="33" t="n">
        <f aca="false">'1209 Smith'!D20</f>
        <v>19712</v>
      </c>
    </row>
    <row r="114" customFormat="false" ht="15" hidden="false" customHeight="false" outlineLevel="0" collapsed="false">
      <c r="B114" s="5" t="str">
        <f aca="false">'1209 Smith'!B21</f>
        <v>13 - Buidling - Smith Square - 15yr</v>
      </c>
      <c r="D114" s="33" t="n">
        <f aca="false">SUM(F114:J114)</f>
        <v>3496</v>
      </c>
      <c r="H114" s="33" t="n">
        <f aca="false">'1209 Smith'!D21</f>
        <v>3496</v>
      </c>
    </row>
    <row r="115" customFormat="false" ht="15" hidden="false" customHeight="false" outlineLevel="0" collapsed="false">
      <c r="B115" s="5" t="str">
        <f aca="false">'1209 Smith'!B22</f>
        <v>13 - Buidling - Smith Square - 27.5yr</v>
      </c>
      <c r="D115" s="33" t="n">
        <f aca="false">SUM(F115:J115)</f>
        <v>92504</v>
      </c>
      <c r="J115" s="33" t="n">
        <f aca="false">'1209 Smith'!D22</f>
        <v>92504</v>
      </c>
    </row>
    <row r="116" customFormat="false" ht="15" hidden="false" customHeight="false" outlineLevel="0" collapsed="false">
      <c r="B116" s="5" t="str">
        <f aca="false">'1209 Smith'!B23</f>
        <v>14 - Equpiment - Smith Square - 5yr</v>
      </c>
      <c r="D116" s="33" t="n">
        <f aca="false">SUM(F116:J116)</f>
        <v>4043</v>
      </c>
      <c r="F116" s="33" t="n">
        <f aca="false">'1209 Smith'!D23</f>
        <v>4043</v>
      </c>
    </row>
    <row r="117" customFormat="false" ht="15" hidden="false" customHeight="false" outlineLevel="0" collapsed="false">
      <c r="B117" s="5" t="str">
        <f aca="false">'1209 Smith'!B24</f>
        <v>14 - Equpiment - Smith Square - 15yr</v>
      </c>
      <c r="D117" s="33" t="n">
        <f aca="false">SUM(F117:J117)</f>
        <v>717</v>
      </c>
      <c r="H117" s="33" t="n">
        <f aca="false">'1209 Smith'!D24</f>
        <v>717</v>
      </c>
    </row>
    <row r="118" customFormat="false" ht="15" hidden="false" customHeight="false" outlineLevel="0" collapsed="false">
      <c r="B118" s="5" t="str">
        <f aca="false">'1209 Smith'!B25</f>
        <v>14 - Equpiment - Smith Square - 27.5yr</v>
      </c>
      <c r="D118" s="33" t="n">
        <f aca="false">SUM(F118:J118)</f>
        <v>18976</v>
      </c>
      <c r="J118" s="33" t="n">
        <f aca="false">'1209 Smith'!D25</f>
        <v>18976</v>
      </c>
    </row>
    <row r="119" customFormat="false" ht="15" hidden="false" customHeight="false" outlineLevel="0" collapsed="false">
      <c r="B119" s="11" t="s">
        <v>182</v>
      </c>
      <c r="D119" s="34" t="n">
        <f aca="false">SUM(D110:D118)</f>
        <v>148349</v>
      </c>
      <c r="F119" s="34" t="n">
        <f aca="false">SUM(F110:F118)</f>
        <v>25271</v>
      </c>
      <c r="H119" s="34" t="n">
        <f aca="false">SUM(H110:H118)</f>
        <v>4482</v>
      </c>
      <c r="J119" s="34" t="n">
        <f aca="false">SUM(J110:J118)</f>
        <v>118596</v>
      </c>
    </row>
    <row r="120" customFormat="false" ht="15" hidden="false" customHeight="false" outlineLevel="0" collapsed="false">
      <c r="B120" s="16" t="s">
        <v>183</v>
      </c>
      <c r="D120" s="17" t="n">
        <f aca="false">D119-D105</f>
        <v>117910.2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190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24</v>
      </c>
      <c r="C10" s="23" t="s">
        <v>17</v>
      </c>
      <c r="D10" s="24" t="n">
        <v>47472</v>
      </c>
      <c r="E10" s="24" t="n">
        <v>0</v>
      </c>
      <c r="F10" s="24" t="n">
        <v>0</v>
      </c>
      <c r="G10" s="24" t="n">
        <v>22477.31</v>
      </c>
      <c r="H10" s="24" t="n">
        <v>2803.31</v>
      </c>
      <c r="I10" s="24" t="n">
        <f aca="false">G10+H10</f>
        <v>25280.62</v>
      </c>
      <c r="J10" s="24" t="n">
        <f aca="false">D10-I10</f>
        <v>22191.38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25</v>
      </c>
      <c r="C11" s="23" t="s">
        <v>17</v>
      </c>
      <c r="D11" s="24" t="n">
        <v>617127</v>
      </c>
      <c r="E11" s="24" t="n">
        <v>0</v>
      </c>
      <c r="F11" s="24" t="n">
        <v>0</v>
      </c>
      <c r="G11" s="24" t="n">
        <v>135580.9</v>
      </c>
      <c r="H11" s="24" t="n">
        <v>22440.93</v>
      </c>
      <c r="I11" s="24" t="n">
        <f aca="false">G11+H11</f>
        <v>158021.83</v>
      </c>
      <c r="J11" s="24" t="n">
        <f aca="false">D11-I11</f>
        <v>459105.17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26</v>
      </c>
      <c r="C12" s="23" t="s">
        <v>17</v>
      </c>
      <c r="D12" s="24" t="n">
        <v>126590</v>
      </c>
      <c r="E12" s="24" t="n">
        <v>0</v>
      </c>
      <c r="F12" s="24" t="n">
        <v>126590</v>
      </c>
      <c r="G12" s="24" t="n">
        <v>126590</v>
      </c>
      <c r="H12" s="24" t="n">
        <v>0</v>
      </c>
      <c r="I12" s="24" t="n">
        <f aca="false">G12+H12</f>
        <v>126590</v>
      </c>
      <c r="J12" s="24" t="n">
        <f aca="false">D12-I12</f>
        <v>0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791189</v>
      </c>
      <c r="E13" s="28" t="n">
        <f aca="false">SUM(E10:E12)</f>
        <v>0</v>
      </c>
      <c r="F13" s="28" t="n">
        <f aca="false">SUM(F10:F12)</f>
        <v>126590</v>
      </c>
      <c r="G13" s="28" t="n">
        <f aca="false">SUM(G10:G12)</f>
        <v>284648.21</v>
      </c>
      <c r="H13" s="28" t="n">
        <f aca="false">SUM(H10:H12)</f>
        <v>25244.24</v>
      </c>
      <c r="I13" s="28" t="n">
        <f aca="false">SUM(I10:I12)</f>
        <v>309892.45</v>
      </c>
      <c r="J13" s="28" t="n">
        <f aca="false">SUM(J10:J12)</f>
        <v>481296.55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55</v>
      </c>
      <c r="C17" s="23" t="s">
        <v>17</v>
      </c>
      <c r="D17" s="24" t="n">
        <v>8161</v>
      </c>
      <c r="E17" s="24" t="n">
        <v>0</v>
      </c>
      <c r="F17" s="24" t="n">
        <v>0</v>
      </c>
      <c r="G17" s="24" t="n">
        <v>8161</v>
      </c>
      <c r="H17" s="24" t="n">
        <v>0</v>
      </c>
      <c r="I17" s="24" t="n">
        <f aca="false">G17+H17</f>
        <v>8161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56</v>
      </c>
      <c r="C18" s="23" t="s">
        <v>17</v>
      </c>
      <c r="D18" s="24" t="n">
        <v>1164</v>
      </c>
      <c r="E18" s="24" t="n">
        <v>0</v>
      </c>
      <c r="F18" s="24" t="n">
        <v>0</v>
      </c>
      <c r="G18" s="24" t="n">
        <v>1164</v>
      </c>
      <c r="H18" s="24" t="n">
        <v>0</v>
      </c>
      <c r="I18" s="24" t="n">
        <f aca="false">G18+H18</f>
        <v>1164</v>
      </c>
      <c r="J18" s="24" t="n">
        <f aca="false">D18-I18</f>
        <v>0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57</v>
      </c>
      <c r="C19" s="23" t="s">
        <v>17</v>
      </c>
      <c r="D19" s="24" t="n">
        <v>38146</v>
      </c>
      <c r="E19" s="24" t="n">
        <v>0</v>
      </c>
      <c r="F19" s="24" t="n">
        <v>0</v>
      </c>
      <c r="G19" s="24" t="n">
        <v>8380.76</v>
      </c>
      <c r="H19" s="24" t="n">
        <v>1387.13</v>
      </c>
      <c r="I19" s="24" t="n">
        <f aca="false">G19+H19</f>
        <v>9767.89</v>
      </c>
      <c r="J19" s="24" t="n">
        <f aca="false">D19-I19</f>
        <v>28378.11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58</v>
      </c>
      <c r="C20" s="23" t="s">
        <v>17</v>
      </c>
      <c r="D20" s="24" t="n">
        <v>106098</v>
      </c>
      <c r="E20" s="24" t="n">
        <v>0</v>
      </c>
      <c r="F20" s="24" t="n">
        <v>106098</v>
      </c>
      <c r="G20" s="24" t="n">
        <v>106098</v>
      </c>
      <c r="H20" s="24" t="n">
        <v>0</v>
      </c>
      <c r="I20" s="24" t="n">
        <f aca="false">G20+H20</f>
        <v>106098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59</v>
      </c>
      <c r="C21" s="23" t="s">
        <v>17</v>
      </c>
      <c r="D21" s="24" t="n">
        <v>15130</v>
      </c>
      <c r="E21" s="24" t="n">
        <v>0</v>
      </c>
      <c r="F21" s="24" t="n">
        <v>15130</v>
      </c>
      <c r="G21" s="24" t="n">
        <v>15130</v>
      </c>
      <c r="H21" s="24" t="n">
        <v>0</v>
      </c>
      <c r="I21" s="24" t="n">
        <f aca="false">G21+H21</f>
        <v>15130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60</v>
      </c>
      <c r="C22" s="23" t="s">
        <v>17</v>
      </c>
      <c r="D22" s="24" t="n">
        <v>495900</v>
      </c>
      <c r="E22" s="24" t="n">
        <v>0</v>
      </c>
      <c r="F22" s="24" t="n">
        <v>0</v>
      </c>
      <c r="G22" s="24" t="n">
        <v>108947.74</v>
      </c>
      <c r="H22" s="24" t="n">
        <v>18032.73</v>
      </c>
      <c r="I22" s="24" t="n">
        <f aca="false">G22+H22</f>
        <v>126980.47</v>
      </c>
      <c r="J22" s="24" t="n">
        <f aca="false">D22-I22</f>
        <v>368919.53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61</v>
      </c>
      <c r="C23" s="23" t="s">
        <v>17</v>
      </c>
      <c r="D23" s="24" t="n">
        <v>21764</v>
      </c>
      <c r="E23" s="24" t="n">
        <v>0</v>
      </c>
      <c r="F23" s="24" t="n">
        <v>21764</v>
      </c>
      <c r="G23" s="24" t="n">
        <v>21764</v>
      </c>
      <c r="H23" s="24" t="n">
        <v>0</v>
      </c>
      <c r="I23" s="24" t="n">
        <f aca="false">G23+H23</f>
        <v>21764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62</v>
      </c>
      <c r="C24" s="23" t="s">
        <v>17</v>
      </c>
      <c r="D24" s="24" t="n">
        <v>3103</v>
      </c>
      <c r="E24" s="24" t="n">
        <v>0</v>
      </c>
      <c r="F24" s="24" t="n">
        <v>3103</v>
      </c>
      <c r="G24" s="24" t="n">
        <v>3103</v>
      </c>
      <c r="H24" s="24" t="n">
        <v>0</v>
      </c>
      <c r="I24" s="24" t="n">
        <f aca="false">G24+H24</f>
        <v>3103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62</v>
      </c>
      <c r="C25" s="23" t="s">
        <v>17</v>
      </c>
      <c r="D25" s="24" t="n">
        <v>101723</v>
      </c>
      <c r="E25" s="24" t="n">
        <v>0</v>
      </c>
      <c r="F25" s="24" t="n">
        <v>0</v>
      </c>
      <c r="G25" s="24" t="n">
        <v>22348.25</v>
      </c>
      <c r="H25" s="24" t="n">
        <v>3699.02</v>
      </c>
      <c r="I25" s="24" t="n">
        <f aca="false">G25+H25</f>
        <v>26047.27</v>
      </c>
      <c r="J25" s="24" t="n">
        <f aca="false">D25-I25</f>
        <v>75675.73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791189</v>
      </c>
      <c r="E26" s="28" t="n">
        <f aca="false">SUM(E17:E25)</f>
        <v>0</v>
      </c>
      <c r="F26" s="28" t="n">
        <f aca="false">SUM(F17:F25)</f>
        <v>146095</v>
      </c>
      <c r="G26" s="28" t="n">
        <f aca="false">SUM(G17:G25)</f>
        <v>295096.75</v>
      </c>
      <c r="H26" s="28" t="n">
        <f aca="false">SUM(H17:H25)</f>
        <v>23118.88</v>
      </c>
      <c r="I26" s="28" t="n">
        <f aca="false">SUM(I17:I25)</f>
        <v>318215.63</v>
      </c>
      <c r="J26" s="28" t="n">
        <f aca="false">SUM(J17:J25)</f>
        <v>472973.37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309892.45</v>
      </c>
    </row>
    <row r="30" customFormat="false" ht="15" hidden="false" customHeight="false" outlineLevel="0" collapsed="false">
      <c r="B30" s="5" t="s">
        <v>127</v>
      </c>
      <c r="D30" s="6" t="n">
        <f aca="false">I26</f>
        <v>318215.63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-8323.18000000005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24</v>
      </c>
      <c r="C36" s="23" t="s">
        <v>17</v>
      </c>
      <c r="D36" s="24" t="n">
        <v>47472</v>
      </c>
      <c r="E36" s="24" t="n">
        <v>0</v>
      </c>
      <c r="F36" s="24" t="n">
        <v>0</v>
      </c>
      <c r="G36" s="24" t="n">
        <v>22477.31</v>
      </c>
      <c r="H36" s="24" t="n">
        <v>2803.31</v>
      </c>
      <c r="I36" s="24" t="n">
        <f aca="false">G36+H36</f>
        <v>25280.62</v>
      </c>
      <c r="J36" s="24" t="n">
        <f aca="false">D36-I36</f>
        <v>22191.38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25</v>
      </c>
      <c r="C37" s="23" t="s">
        <v>17</v>
      </c>
      <c r="D37" s="24" t="n">
        <v>617127</v>
      </c>
      <c r="E37" s="24" t="n">
        <v>0</v>
      </c>
      <c r="F37" s="24" t="n">
        <v>0</v>
      </c>
      <c r="G37" s="24" t="n">
        <v>135580.9</v>
      </c>
      <c r="H37" s="24" t="n">
        <v>22440.93</v>
      </c>
      <c r="I37" s="24" t="n">
        <f aca="false">G37+H37</f>
        <v>158021.83</v>
      </c>
      <c r="J37" s="24" t="n">
        <f aca="false">D37-I37</f>
        <v>459105.17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26</v>
      </c>
      <c r="C38" s="23" t="s">
        <v>17</v>
      </c>
      <c r="D38" s="24" t="n">
        <v>126590</v>
      </c>
      <c r="E38" s="24" t="n">
        <v>0</v>
      </c>
      <c r="F38" s="24" t="n">
        <v>126590</v>
      </c>
      <c r="G38" s="24" t="n">
        <v>126590</v>
      </c>
      <c r="H38" s="24" t="n">
        <v>0</v>
      </c>
      <c r="I38" s="24" t="n">
        <f aca="false">G38+H38</f>
        <v>126590</v>
      </c>
      <c r="J38" s="24" t="n">
        <f aca="false">D38-I38</f>
        <v>0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791189</v>
      </c>
      <c r="E39" s="28" t="n">
        <f aca="false">SUM(E36:E38)</f>
        <v>0</v>
      </c>
      <c r="F39" s="28" t="n">
        <f aca="false">SUM(F36:F38)</f>
        <v>126590</v>
      </c>
      <c r="G39" s="28" t="n">
        <f aca="false">SUM(G36:G38)</f>
        <v>284648.21</v>
      </c>
      <c r="H39" s="28" t="n">
        <f aca="false">SUM(H36:H38)</f>
        <v>25244.24</v>
      </c>
      <c r="I39" s="28" t="n">
        <f aca="false">SUM(I36:I38)</f>
        <v>309892.45</v>
      </c>
      <c r="J39" s="28" t="n">
        <f aca="false">SUM(J36:J38)</f>
        <v>481296.55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55</v>
      </c>
      <c r="C43" s="23" t="s">
        <v>17</v>
      </c>
      <c r="D43" s="24" t="n">
        <v>8161</v>
      </c>
      <c r="E43" s="24" t="n">
        <v>0</v>
      </c>
      <c r="F43" s="24" t="n">
        <v>0</v>
      </c>
      <c r="G43" s="24" t="n">
        <v>8161</v>
      </c>
      <c r="H43" s="24" t="n">
        <v>0</v>
      </c>
      <c r="I43" s="24" t="n">
        <f aca="false">G43+H43</f>
        <v>8161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56</v>
      </c>
      <c r="C44" s="23" t="s">
        <v>17</v>
      </c>
      <c r="D44" s="24" t="n">
        <v>1164</v>
      </c>
      <c r="E44" s="24" t="n">
        <v>0</v>
      </c>
      <c r="F44" s="24" t="n">
        <v>0</v>
      </c>
      <c r="G44" s="24" t="n">
        <v>1164</v>
      </c>
      <c r="H44" s="24" t="n">
        <v>0</v>
      </c>
      <c r="I44" s="24" t="n">
        <f aca="false">G44+H44</f>
        <v>1164</v>
      </c>
      <c r="J44" s="24" t="n">
        <f aca="false">D44-I44</f>
        <v>0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57</v>
      </c>
      <c r="C45" s="23" t="s">
        <v>17</v>
      </c>
      <c r="D45" s="24" t="n">
        <v>38146</v>
      </c>
      <c r="E45" s="24" t="n">
        <v>0</v>
      </c>
      <c r="F45" s="24" t="n">
        <v>0</v>
      </c>
      <c r="G45" s="24" t="n">
        <v>8380.76</v>
      </c>
      <c r="H45" s="24" t="n">
        <v>1387.13</v>
      </c>
      <c r="I45" s="24" t="n">
        <f aca="false">G45+H45</f>
        <v>9767.89</v>
      </c>
      <c r="J45" s="24" t="n">
        <f aca="false">D45-I45</f>
        <v>28378.11</v>
      </c>
      <c r="K45" s="25" t="s">
        <v>120</v>
      </c>
      <c r="L45" s="25" t="s">
        <v>121</v>
      </c>
    </row>
    <row r="46" customFormat="false" ht="15" hidden="false" customHeight="false" outlineLevel="0" collapsed="false">
      <c r="A46" s="23" t="n">
        <v>4</v>
      </c>
      <c r="B46" s="23" t="s">
        <v>58</v>
      </c>
      <c r="C46" s="23" t="s">
        <v>17</v>
      </c>
      <c r="D46" s="24" t="n">
        <v>106098</v>
      </c>
      <c r="E46" s="24" t="n">
        <v>0</v>
      </c>
      <c r="F46" s="24" t="n">
        <v>106098</v>
      </c>
      <c r="G46" s="24" t="n">
        <v>106098</v>
      </c>
      <c r="H46" s="24" t="n">
        <v>0</v>
      </c>
      <c r="I46" s="24" t="n">
        <f aca="false">G46+H46</f>
        <v>106098</v>
      </c>
      <c r="J46" s="24" t="n">
        <f aca="false">D46-I46</f>
        <v>0</v>
      </c>
      <c r="K46" s="25" t="s">
        <v>124</v>
      </c>
      <c r="L46" s="25" t="s">
        <v>122</v>
      </c>
    </row>
    <row r="47" customFormat="false" ht="15" hidden="false" customHeight="false" outlineLevel="0" collapsed="false">
      <c r="A47" s="23" t="n">
        <v>5</v>
      </c>
      <c r="B47" s="23" t="s">
        <v>59</v>
      </c>
      <c r="C47" s="23" t="s">
        <v>17</v>
      </c>
      <c r="D47" s="24" t="n">
        <v>15130</v>
      </c>
      <c r="E47" s="24" t="n">
        <v>0</v>
      </c>
      <c r="F47" s="24" t="n">
        <v>15130</v>
      </c>
      <c r="G47" s="24" t="n">
        <v>15130</v>
      </c>
      <c r="H47" s="24" t="n">
        <v>0</v>
      </c>
      <c r="I47" s="24" t="n">
        <f aca="false">G47+H47</f>
        <v>15130</v>
      </c>
      <c r="J47" s="24" t="n">
        <f aca="false">D47-I47</f>
        <v>0</v>
      </c>
      <c r="K47" s="25" t="s">
        <v>118</v>
      </c>
      <c r="L47" s="25" t="s">
        <v>119</v>
      </c>
    </row>
    <row r="48" customFormat="false" ht="15" hidden="false" customHeight="false" outlineLevel="0" collapsed="false">
      <c r="A48" s="23" t="n">
        <v>6</v>
      </c>
      <c r="B48" s="23" t="s">
        <v>60</v>
      </c>
      <c r="C48" s="23" t="s">
        <v>17</v>
      </c>
      <c r="D48" s="24" t="n">
        <v>495900</v>
      </c>
      <c r="E48" s="24" t="n">
        <v>0</v>
      </c>
      <c r="F48" s="24" t="n">
        <v>0</v>
      </c>
      <c r="G48" s="24" t="n">
        <v>108947.74</v>
      </c>
      <c r="H48" s="24" t="n">
        <v>18032.73</v>
      </c>
      <c r="I48" s="24" t="n">
        <f aca="false">G48+H48</f>
        <v>126980.47</v>
      </c>
      <c r="J48" s="24" t="n">
        <f aca="false">D48-I48</f>
        <v>368919.53</v>
      </c>
      <c r="K48" s="25" t="s">
        <v>120</v>
      </c>
      <c r="L48" s="25" t="s">
        <v>121</v>
      </c>
    </row>
    <row r="49" customFormat="false" ht="15" hidden="false" customHeight="false" outlineLevel="0" collapsed="false">
      <c r="A49" s="23" t="n">
        <v>7</v>
      </c>
      <c r="B49" s="23" t="s">
        <v>61</v>
      </c>
      <c r="C49" s="23" t="s">
        <v>17</v>
      </c>
      <c r="D49" s="24" t="n">
        <v>21764</v>
      </c>
      <c r="E49" s="24" t="n">
        <v>0</v>
      </c>
      <c r="F49" s="24" t="n">
        <v>21764</v>
      </c>
      <c r="G49" s="24" t="n">
        <v>21764</v>
      </c>
      <c r="H49" s="24" t="n">
        <v>0</v>
      </c>
      <c r="I49" s="24" t="n">
        <f aca="false">G49+H49</f>
        <v>21764</v>
      </c>
      <c r="J49" s="24" t="n">
        <f aca="false">D49-I49</f>
        <v>0</v>
      </c>
      <c r="K49" s="25" t="s">
        <v>124</v>
      </c>
      <c r="L49" s="25" t="s">
        <v>122</v>
      </c>
    </row>
    <row r="50" customFormat="false" ht="15" hidden="false" customHeight="false" outlineLevel="0" collapsed="false">
      <c r="A50" s="23" t="n">
        <v>8</v>
      </c>
      <c r="B50" s="23" t="s">
        <v>62</v>
      </c>
      <c r="C50" s="23" t="s">
        <v>17</v>
      </c>
      <c r="D50" s="24" t="n">
        <v>3103</v>
      </c>
      <c r="E50" s="24" t="n">
        <v>0</v>
      </c>
      <c r="F50" s="24" t="n">
        <v>3103</v>
      </c>
      <c r="G50" s="24" t="n">
        <v>3103</v>
      </c>
      <c r="H50" s="24" t="n">
        <v>0</v>
      </c>
      <c r="I50" s="24" t="n">
        <f aca="false">G50+H50</f>
        <v>3103</v>
      </c>
      <c r="J50" s="24" t="n">
        <f aca="false">D50-I50</f>
        <v>0</v>
      </c>
      <c r="K50" s="25" t="s">
        <v>118</v>
      </c>
      <c r="L50" s="25" t="s">
        <v>119</v>
      </c>
    </row>
    <row r="51" customFormat="false" ht="15" hidden="false" customHeight="false" outlineLevel="0" collapsed="false">
      <c r="A51" s="23" t="n">
        <v>9</v>
      </c>
      <c r="B51" s="23" t="s">
        <v>62</v>
      </c>
      <c r="C51" s="23" t="s">
        <v>17</v>
      </c>
      <c r="D51" s="24" t="n">
        <v>101723</v>
      </c>
      <c r="E51" s="24" t="n">
        <v>0</v>
      </c>
      <c r="F51" s="24" t="n">
        <v>0</v>
      </c>
      <c r="G51" s="24" t="n">
        <v>22348.25</v>
      </c>
      <c r="H51" s="24" t="n">
        <v>3699.02</v>
      </c>
      <c r="I51" s="24" t="n">
        <f aca="false">G51+H51</f>
        <v>26047.27</v>
      </c>
      <c r="J51" s="24" t="n">
        <f aca="false">D51-I51</f>
        <v>75675.73</v>
      </c>
      <c r="K51" s="25" t="s">
        <v>120</v>
      </c>
      <c r="L51" s="25" t="s">
        <v>121</v>
      </c>
    </row>
    <row r="52" customFormat="false" ht="15" hidden="false" customHeight="false" outlineLevel="0" collapsed="false">
      <c r="A52" s="26"/>
      <c r="B52" s="27" t="s">
        <v>35</v>
      </c>
      <c r="C52" s="26"/>
      <c r="D52" s="28" t="n">
        <f aca="false">SUM(D43:D51)</f>
        <v>791189</v>
      </c>
      <c r="E52" s="28" t="n">
        <f aca="false">SUM(E43:E51)</f>
        <v>0</v>
      </c>
      <c r="F52" s="28" t="n">
        <f aca="false">SUM(F43:F51)</f>
        <v>146095</v>
      </c>
      <c r="G52" s="28" t="n">
        <f aca="false">SUM(G43:G51)</f>
        <v>295096.75</v>
      </c>
      <c r="H52" s="28" t="n">
        <f aca="false">SUM(H43:H51)</f>
        <v>23118.88</v>
      </c>
      <c r="I52" s="28" t="n">
        <f aca="false">SUM(I43:I51)</f>
        <v>318215.63</v>
      </c>
      <c r="J52" s="28" t="n">
        <f aca="false">SUM(J43:J51)</f>
        <v>472973.37</v>
      </c>
      <c r="K52" s="26"/>
      <c r="L52" s="26"/>
    </row>
    <row r="54" customFormat="false" ht="15" hidden="false" customHeight="false" outlineLevel="0" collapsed="false">
      <c r="B54" s="18" t="s">
        <v>133</v>
      </c>
    </row>
    <row r="55" customFormat="false" ht="15" hidden="false" customHeight="false" outlineLevel="0" collapsed="false">
      <c r="B55" s="5" t="s">
        <v>126</v>
      </c>
      <c r="D55" s="6" t="n">
        <f aca="false">I39</f>
        <v>309892.45</v>
      </c>
    </row>
    <row r="56" customFormat="false" ht="15" hidden="false" customHeight="false" outlineLevel="0" collapsed="false">
      <c r="B56" s="5" t="s">
        <v>127</v>
      </c>
      <c r="D56" s="6" t="n">
        <f aca="false">I52</f>
        <v>318215.63</v>
      </c>
    </row>
    <row r="57" customFormat="false" ht="15" hidden="false" customHeight="false" outlineLevel="0" collapsed="false">
      <c r="B57" s="11" t="s">
        <v>133</v>
      </c>
      <c r="D57" s="29" t="n">
        <f aca="false">D55-D56</f>
        <v>-8323.18000000005</v>
      </c>
    </row>
    <row r="59" customFormat="false" ht="15" hidden="false" customHeight="false" outlineLevel="0" collapsed="false">
      <c r="A59" s="10" t="s">
        <v>134</v>
      </c>
    </row>
    <row r="60" customFormat="false" ht="15" hidden="false" customHeight="false" outlineLevel="0" collapsed="false">
      <c r="B60" s="11" t="s">
        <v>135</v>
      </c>
      <c r="D60" s="12" t="n">
        <f aca="false">D110</f>
        <v>41641.47</v>
      </c>
    </row>
    <row r="61" customFormat="false" ht="15" hidden="false" customHeight="false" outlineLevel="0" collapsed="false">
      <c r="B61" s="5" t="s">
        <v>136</v>
      </c>
      <c r="D61" s="6" t="n">
        <f aca="false">F110</f>
        <v>7159.08</v>
      </c>
    </row>
    <row r="62" customFormat="false" ht="15" hidden="false" customHeight="false" outlineLevel="0" collapsed="false">
      <c r="B62" s="30" t="s">
        <v>137</v>
      </c>
      <c r="D62" s="31" t="n">
        <f aca="false">F111</f>
        <v>0.171921884602057</v>
      </c>
    </row>
    <row r="63" customFormat="false" ht="15" hidden="false" customHeight="false" outlineLevel="0" collapsed="false">
      <c r="B63" s="5" t="s">
        <v>138</v>
      </c>
      <c r="D63" s="6" t="n">
        <f aca="false">H110</f>
        <v>1020.89</v>
      </c>
    </row>
    <row r="64" customFormat="false" ht="15" hidden="false" customHeight="false" outlineLevel="0" collapsed="false">
      <c r="B64" s="30" t="s">
        <v>137</v>
      </c>
      <c r="D64" s="31" t="n">
        <f aca="false">H111</f>
        <v>0.0245161854276518</v>
      </c>
    </row>
    <row r="65" customFormat="false" ht="15" hidden="false" customHeight="false" outlineLevel="0" collapsed="false">
      <c r="B65" s="5" t="s">
        <v>139</v>
      </c>
      <c r="D65" s="6" t="n">
        <f aca="false">J110</f>
        <v>33461.5</v>
      </c>
    </row>
    <row r="66" customFormat="false" ht="15" hidden="false" customHeight="false" outlineLevel="0" collapsed="false">
      <c r="B66" s="30" t="s">
        <v>137</v>
      </c>
      <c r="D66" s="31" t="n">
        <f aca="false">J111</f>
        <v>0.803561929970292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B69" s="4" t="s">
        <v>141</v>
      </c>
      <c r="D69" s="4" t="s">
        <v>109</v>
      </c>
      <c r="F69" s="4" t="s">
        <v>142</v>
      </c>
      <c r="H69" s="4" t="s">
        <v>143</v>
      </c>
      <c r="J69" s="4" t="s">
        <v>144</v>
      </c>
    </row>
    <row r="70" customFormat="false" ht="15" hidden="false" customHeight="false" outlineLevel="0" collapsed="false">
      <c r="B70" s="32" t="s">
        <v>145</v>
      </c>
    </row>
    <row r="71" customFormat="false" ht="15" hidden="false" customHeight="false" outlineLevel="0" collapsed="false">
      <c r="B71" s="5" t="s">
        <v>146</v>
      </c>
      <c r="D71" s="33" t="n">
        <f aca="false">SUM(F71:J71)</f>
        <v>1065.36</v>
      </c>
      <c r="F71" s="33" t="n">
        <v>1065.36</v>
      </c>
    </row>
    <row r="72" customFormat="false" ht="15" hidden="false" customHeight="false" outlineLevel="0" collapsed="false">
      <c r="B72" s="5" t="s">
        <v>147</v>
      </c>
      <c r="D72" s="33" t="n">
        <f aca="false">SUM(F72:J72)</f>
        <v>894.1</v>
      </c>
      <c r="F72" s="33" t="n">
        <v>894.1</v>
      </c>
    </row>
    <row r="73" customFormat="false" ht="15" hidden="false" customHeight="false" outlineLevel="0" collapsed="false">
      <c r="B73" s="5" t="s">
        <v>148</v>
      </c>
      <c r="D73" s="33" t="n">
        <f aca="false">SUM(F73:J73)</f>
        <v>1954.35</v>
      </c>
      <c r="F73" s="33" t="n">
        <v>1954.35</v>
      </c>
    </row>
    <row r="74" customFormat="false" ht="15" hidden="false" customHeight="false" outlineLevel="0" collapsed="false">
      <c r="B74" s="5" t="s">
        <v>149</v>
      </c>
      <c r="D74" s="33" t="n">
        <f aca="false">SUM(F74:J74)</f>
        <v>613.8</v>
      </c>
      <c r="F74" s="33" t="n">
        <v>613.8</v>
      </c>
    </row>
    <row r="75" customFormat="false" ht="15" hidden="false" customHeight="false" outlineLevel="0" collapsed="false">
      <c r="B75" s="5" t="s">
        <v>191</v>
      </c>
      <c r="D75" s="33" t="n">
        <f aca="false">SUM(F75:J75)</f>
        <v>136.47</v>
      </c>
      <c r="F75" s="33" t="n">
        <v>136.47</v>
      </c>
    </row>
    <row r="76" customFormat="false" ht="15" hidden="false" customHeight="false" outlineLevel="0" collapsed="false">
      <c r="B76" s="5" t="s">
        <v>150</v>
      </c>
      <c r="D76" s="33" t="n">
        <f aca="false">SUM(F76:J76)</f>
        <v>302.35</v>
      </c>
      <c r="F76" s="33" t="n">
        <v>302.35</v>
      </c>
    </row>
    <row r="77" customFormat="false" ht="15" hidden="false" customHeight="false" outlineLevel="0" collapsed="false">
      <c r="B77" s="5" t="s">
        <v>151</v>
      </c>
      <c r="D77" s="33" t="n">
        <f aca="false">SUM(F77:J77)</f>
        <v>30.15</v>
      </c>
      <c r="F77" s="33" t="n">
        <v>30.15</v>
      </c>
    </row>
    <row r="78" customFormat="false" ht="15" hidden="false" customHeight="false" outlineLevel="0" collapsed="false">
      <c r="B78" s="5" t="s">
        <v>152</v>
      </c>
      <c r="D78" s="33" t="n">
        <f aca="false">SUM(F78:J78)</f>
        <v>19.82</v>
      </c>
      <c r="F78" s="33" t="n">
        <v>19.82</v>
      </c>
    </row>
    <row r="79" customFormat="false" ht="15" hidden="false" customHeight="false" outlineLevel="0" collapsed="false">
      <c r="B79" s="5" t="s">
        <v>153</v>
      </c>
      <c r="D79" s="33" t="n">
        <f aca="false">SUM(F79:J79)</f>
        <v>514.89</v>
      </c>
      <c r="F79" s="33" t="n">
        <v>514.89</v>
      </c>
    </row>
    <row r="80" customFormat="false" ht="15" hidden="false" customHeight="false" outlineLevel="0" collapsed="false">
      <c r="B80" s="5" t="s">
        <v>154</v>
      </c>
      <c r="D80" s="33" t="n">
        <f aca="false">SUM(F80:J80)</f>
        <v>255.92</v>
      </c>
      <c r="F80" s="33" t="n">
        <v>255.92</v>
      </c>
    </row>
    <row r="81" customFormat="false" ht="15" hidden="false" customHeight="false" outlineLevel="0" collapsed="false">
      <c r="B81" s="5" t="s">
        <v>155</v>
      </c>
      <c r="D81" s="33" t="n">
        <f aca="false">SUM(F81:J81)</f>
        <v>563.75</v>
      </c>
      <c r="F81" s="33" t="n">
        <v>563.75</v>
      </c>
    </row>
    <row r="82" customFormat="false" ht="15" hidden="false" customHeight="false" outlineLevel="0" collapsed="false">
      <c r="B82" s="5" t="s">
        <v>156</v>
      </c>
      <c r="D82" s="33" t="n">
        <f aca="false">SUM(F82:J82)</f>
        <v>192.79</v>
      </c>
      <c r="F82" s="33" t="n">
        <v>192.79</v>
      </c>
    </row>
    <row r="83" customFormat="false" ht="15" hidden="false" customHeight="false" outlineLevel="0" collapsed="false">
      <c r="B83" s="5" t="s">
        <v>188</v>
      </c>
      <c r="D83" s="33" t="n">
        <f aca="false">SUM(F83:J83)</f>
        <v>50.57</v>
      </c>
      <c r="F83" s="33" t="n">
        <v>50.57</v>
      </c>
    </row>
    <row r="84" customFormat="false" ht="15" hidden="false" customHeight="false" outlineLevel="0" collapsed="false">
      <c r="B84" s="5" t="s">
        <v>157</v>
      </c>
      <c r="D84" s="33" t="n">
        <f aca="false">SUM(F84:J84)</f>
        <v>564.76</v>
      </c>
      <c r="F84" s="33" t="n">
        <v>564.76</v>
      </c>
    </row>
    <row r="85" customFormat="false" ht="15" hidden="false" customHeight="false" outlineLevel="0" collapsed="false">
      <c r="B85" s="32" t="s">
        <v>158</v>
      </c>
    </row>
    <row r="86" customFormat="false" ht="15" hidden="false" customHeight="false" outlineLevel="0" collapsed="false">
      <c r="B86" s="5" t="s">
        <v>159</v>
      </c>
      <c r="D86" s="33" t="n">
        <f aca="false">SUM(F86:J86)</f>
        <v>679.12</v>
      </c>
      <c r="H86" s="33" t="n">
        <v>679.12</v>
      </c>
    </row>
    <row r="87" customFormat="false" ht="15" hidden="false" customHeight="false" outlineLevel="0" collapsed="false">
      <c r="B87" s="5" t="s">
        <v>160</v>
      </c>
      <c r="D87" s="33" t="n">
        <f aca="false">SUM(F87:J87)</f>
        <v>285.36</v>
      </c>
      <c r="H87" s="33" t="n">
        <v>285.36</v>
      </c>
    </row>
    <row r="88" customFormat="false" ht="15" hidden="false" customHeight="false" outlineLevel="0" collapsed="false">
      <c r="B88" s="5" t="s">
        <v>161</v>
      </c>
      <c r="D88" s="33" t="n">
        <f aca="false">SUM(F88:J88)</f>
        <v>34.81</v>
      </c>
      <c r="H88" s="33" t="n">
        <v>34.81</v>
      </c>
    </row>
    <row r="89" customFormat="false" ht="15" hidden="false" customHeight="false" outlineLevel="0" collapsed="false">
      <c r="B89" s="5" t="s">
        <v>162</v>
      </c>
      <c r="D89" s="33" t="n">
        <f aca="false">SUM(F89:J89)</f>
        <v>21.6</v>
      </c>
      <c r="H89" s="33" t="n">
        <v>21.6</v>
      </c>
    </row>
    <row r="90" customFormat="false" ht="15" hidden="false" customHeight="false" outlineLevel="0" collapsed="false">
      <c r="B90" s="32" t="s">
        <v>163</v>
      </c>
    </row>
    <row r="91" customFormat="false" ht="15" hidden="false" customHeight="false" outlineLevel="0" collapsed="false">
      <c r="B91" s="5" t="s">
        <v>164</v>
      </c>
      <c r="D91" s="33" t="n">
        <f aca="false">SUM(F91:J91)</f>
        <v>2393.31</v>
      </c>
      <c r="J91" s="33" t="n">
        <v>2393.31</v>
      </c>
    </row>
    <row r="92" customFormat="false" ht="15" hidden="false" customHeight="false" outlineLevel="0" collapsed="false">
      <c r="B92" s="5" t="s">
        <v>165</v>
      </c>
      <c r="D92" s="33" t="n">
        <f aca="false">SUM(F92:J92)</f>
        <v>5241.81</v>
      </c>
      <c r="J92" s="33" t="n">
        <v>5241.81</v>
      </c>
    </row>
    <row r="93" customFormat="false" ht="15" hidden="false" customHeight="false" outlineLevel="0" collapsed="false">
      <c r="B93" s="5" t="s">
        <v>166</v>
      </c>
      <c r="D93" s="33" t="n">
        <f aca="false">SUM(F93:J93)</f>
        <v>2635.44</v>
      </c>
      <c r="J93" s="33" t="n">
        <v>2635.44</v>
      </c>
    </row>
    <row r="94" customFormat="false" ht="15" hidden="false" customHeight="false" outlineLevel="0" collapsed="false">
      <c r="B94" s="5" t="s">
        <v>167</v>
      </c>
      <c r="D94" s="33" t="n">
        <f aca="false">SUM(F94:J94)</f>
        <v>2808.52</v>
      </c>
      <c r="J94" s="33" t="n">
        <v>2808.52</v>
      </c>
    </row>
    <row r="95" customFormat="false" ht="15" hidden="false" customHeight="false" outlineLevel="0" collapsed="false">
      <c r="B95" s="5" t="s">
        <v>168</v>
      </c>
      <c r="D95" s="33" t="n">
        <f aca="false">SUM(F95:J95)</f>
        <v>2317.18</v>
      </c>
      <c r="J95" s="33" t="n">
        <v>2317.18</v>
      </c>
    </row>
    <row r="96" customFormat="false" ht="15" hidden="false" customHeight="false" outlineLevel="0" collapsed="false">
      <c r="B96" s="5" t="s">
        <v>169</v>
      </c>
      <c r="D96" s="33" t="n">
        <f aca="false">SUM(F96:J96)</f>
        <v>120.33</v>
      </c>
      <c r="J96" s="33" t="n">
        <v>120.33</v>
      </c>
    </row>
    <row r="97" customFormat="false" ht="15" hidden="false" customHeight="false" outlineLevel="0" collapsed="false">
      <c r="B97" s="5" t="s">
        <v>170</v>
      </c>
      <c r="D97" s="33" t="n">
        <f aca="false">SUM(F97:J97)</f>
        <v>1467.77</v>
      </c>
      <c r="J97" s="33" t="n">
        <v>1467.77</v>
      </c>
    </row>
    <row r="98" customFormat="false" ht="15" hidden="false" customHeight="false" outlineLevel="0" collapsed="false">
      <c r="B98" s="5" t="s">
        <v>171</v>
      </c>
      <c r="D98" s="33" t="n">
        <f aca="false">SUM(F98:J98)</f>
        <v>1559.85</v>
      </c>
      <c r="J98" s="33" t="n">
        <v>1559.85</v>
      </c>
    </row>
    <row r="99" customFormat="false" ht="15" hidden="false" customHeight="false" outlineLevel="0" collapsed="false">
      <c r="B99" s="5" t="s">
        <v>172</v>
      </c>
      <c r="D99" s="33" t="n">
        <f aca="false">SUM(F99:J99)</f>
        <v>1214.17</v>
      </c>
      <c r="J99" s="33" t="n">
        <v>1214.17</v>
      </c>
    </row>
    <row r="100" customFormat="false" ht="15" hidden="false" customHeight="false" outlineLevel="0" collapsed="false">
      <c r="B100" s="5" t="s">
        <v>173</v>
      </c>
      <c r="D100" s="33" t="n">
        <f aca="false">SUM(F100:J100)</f>
        <v>1352.65</v>
      </c>
      <c r="J100" s="33" t="n">
        <v>1352.65</v>
      </c>
    </row>
    <row r="101" customFormat="false" ht="15" hidden="false" customHeight="false" outlineLevel="0" collapsed="false">
      <c r="B101" s="5" t="s">
        <v>174</v>
      </c>
      <c r="D101" s="33" t="n">
        <f aca="false">SUM(F101:J101)</f>
        <v>4299.13</v>
      </c>
      <c r="J101" s="33" t="n">
        <v>4299.13</v>
      </c>
    </row>
    <row r="102" customFormat="false" ht="15" hidden="false" customHeight="false" outlineLevel="0" collapsed="false">
      <c r="B102" s="5" t="s">
        <v>175</v>
      </c>
      <c r="D102" s="33" t="n">
        <f aca="false">SUM(F102:J102)</f>
        <v>1422.08</v>
      </c>
      <c r="J102" s="33" t="n">
        <v>1422.08</v>
      </c>
    </row>
    <row r="103" customFormat="false" ht="15" hidden="false" customHeight="false" outlineLevel="0" collapsed="false">
      <c r="B103" s="5" t="s">
        <v>192</v>
      </c>
      <c r="D103" s="33" t="n">
        <f aca="false">SUM(F103:J103)</f>
        <v>537.9</v>
      </c>
      <c r="J103" s="33" t="n">
        <v>537.9</v>
      </c>
    </row>
    <row r="104" customFormat="false" ht="15" hidden="false" customHeight="false" outlineLevel="0" collapsed="false">
      <c r="B104" s="5" t="s">
        <v>176</v>
      </c>
      <c r="D104" s="33" t="n">
        <f aca="false">SUM(F104:J104)</f>
        <v>4290.9</v>
      </c>
      <c r="J104" s="33" t="n">
        <v>4290.9</v>
      </c>
    </row>
    <row r="105" customFormat="false" ht="15" hidden="false" customHeight="false" outlineLevel="0" collapsed="false">
      <c r="B105" s="5" t="s">
        <v>177</v>
      </c>
      <c r="D105" s="33" t="n">
        <f aca="false">SUM(F105:J105)</f>
        <v>470.52</v>
      </c>
      <c r="J105" s="33" t="n">
        <v>470.52</v>
      </c>
    </row>
    <row r="106" customFormat="false" ht="15" hidden="false" customHeight="false" outlineLevel="0" collapsed="false">
      <c r="B106" s="5" t="s">
        <v>193</v>
      </c>
      <c r="D106" s="33" t="n">
        <f aca="false">SUM(F106:J106)</f>
        <v>397.47</v>
      </c>
      <c r="J106" s="33" t="n">
        <v>397.47</v>
      </c>
    </row>
    <row r="107" customFormat="false" ht="15" hidden="false" customHeight="false" outlineLevel="0" collapsed="false">
      <c r="B107" s="5" t="s">
        <v>194</v>
      </c>
      <c r="D107" s="33" t="n">
        <f aca="false">SUM(F107:J107)</f>
        <v>45.13</v>
      </c>
      <c r="J107" s="33" t="n">
        <v>45.13</v>
      </c>
    </row>
    <row r="108" customFormat="false" ht="15" hidden="false" customHeight="false" outlineLevel="0" collapsed="false">
      <c r="B108" s="5" t="s">
        <v>178</v>
      </c>
      <c r="D108" s="33" t="n">
        <f aca="false">SUM(F108:J108)</f>
        <v>468.02</v>
      </c>
      <c r="J108" s="33" t="n">
        <v>468.02</v>
      </c>
    </row>
    <row r="109" customFormat="false" ht="15" hidden="false" customHeight="false" outlineLevel="0" collapsed="false">
      <c r="B109" s="5" t="s">
        <v>179</v>
      </c>
      <c r="D109" s="33" t="n">
        <f aca="false">SUM(F109:J109)</f>
        <v>419.32</v>
      </c>
      <c r="J109" s="33" t="n">
        <v>419.32</v>
      </c>
    </row>
    <row r="110" customFormat="false" ht="15" hidden="false" customHeight="false" outlineLevel="0" collapsed="false">
      <c r="B110" s="11" t="s">
        <v>135</v>
      </c>
      <c r="D110" s="34" t="n">
        <f aca="false">SUM(D70:D109)</f>
        <v>41641.47</v>
      </c>
      <c r="F110" s="34" t="n">
        <f aca="false">SUM(F70:F109)</f>
        <v>7159.08</v>
      </c>
      <c r="H110" s="34" t="n">
        <f aca="false">SUM(H70:H109)</f>
        <v>1020.89</v>
      </c>
      <c r="J110" s="34" t="n">
        <f aca="false">SUM(J70:J109)</f>
        <v>33461.5</v>
      </c>
    </row>
    <row r="111" customFormat="false" ht="15" hidden="false" customHeight="false" outlineLevel="0" collapsed="false">
      <c r="B111" s="30" t="s">
        <v>137</v>
      </c>
      <c r="F111" s="31" t="n">
        <f aca="false">F110/D110</f>
        <v>0.171921884602057</v>
      </c>
      <c r="H111" s="31" t="n">
        <f aca="false">H110/D110</f>
        <v>0.0245161854276518</v>
      </c>
      <c r="J111" s="31" t="n">
        <f aca="false">J110/D110</f>
        <v>0.803561929970292</v>
      </c>
    </row>
    <row r="113" customFormat="false" ht="15" hidden="false" customHeight="false" outlineLevel="0" collapsed="false">
      <c r="A113" s="10" t="s">
        <v>180</v>
      </c>
    </row>
    <row r="114" customFormat="false" ht="15" hidden="false" customHeight="false" outlineLevel="0" collapsed="false">
      <c r="B114" s="4" t="s">
        <v>181</v>
      </c>
      <c r="D114" s="4" t="s">
        <v>109</v>
      </c>
      <c r="F114" s="4" t="s">
        <v>142</v>
      </c>
      <c r="H114" s="4" t="s">
        <v>143</v>
      </c>
      <c r="J114" s="4" t="s">
        <v>144</v>
      </c>
    </row>
    <row r="115" customFormat="false" ht="15" hidden="false" customHeight="false" outlineLevel="0" collapsed="false">
      <c r="B115" s="5" t="str">
        <f aca="false">'3112 Havenwood'!B17</f>
        <v>2 - Land Improvements - Havenwood -5yr</v>
      </c>
      <c r="D115" s="33" t="n">
        <f aca="false">SUM(F115:J115)</f>
        <v>8161</v>
      </c>
      <c r="F115" s="33" t="n">
        <f aca="false">'3112 Havenwood'!D17</f>
        <v>8161</v>
      </c>
    </row>
    <row r="116" customFormat="false" ht="15" hidden="false" customHeight="false" outlineLevel="0" collapsed="false">
      <c r="B116" s="5" t="str">
        <f aca="false">'3112 Havenwood'!B18</f>
        <v>2 - Land Improvements - Havenwood -15yr</v>
      </c>
      <c r="D116" s="33" t="n">
        <f aca="false">SUM(F116:J116)</f>
        <v>1164</v>
      </c>
      <c r="H116" s="33" t="n">
        <f aca="false">'3112 Havenwood'!D18</f>
        <v>1164</v>
      </c>
    </row>
    <row r="117" customFormat="false" ht="15" hidden="false" customHeight="false" outlineLevel="0" collapsed="false">
      <c r="B117" s="5" t="str">
        <f aca="false">'3112 Havenwood'!B19</f>
        <v>2 - Land Improvements - Havenwood -27.5yr</v>
      </c>
      <c r="D117" s="33" t="n">
        <f aca="false">SUM(F117:J117)</f>
        <v>38146</v>
      </c>
      <c r="J117" s="33" t="n">
        <f aca="false">'3112 Havenwood'!D19</f>
        <v>38146</v>
      </c>
    </row>
    <row r="118" customFormat="false" ht="15" hidden="false" customHeight="false" outlineLevel="0" collapsed="false">
      <c r="B118" s="5" t="str">
        <f aca="false">'3112 Havenwood'!B20</f>
        <v>13 - Buidling - Havenwood - 5yr</v>
      </c>
      <c r="D118" s="33" t="n">
        <f aca="false">SUM(F118:J118)</f>
        <v>106098</v>
      </c>
      <c r="F118" s="33" t="n">
        <f aca="false">'3112 Havenwood'!D20</f>
        <v>106098</v>
      </c>
    </row>
    <row r="119" customFormat="false" ht="15" hidden="false" customHeight="false" outlineLevel="0" collapsed="false">
      <c r="B119" s="5" t="str">
        <f aca="false">'3112 Havenwood'!B21</f>
        <v>13 - Buidling - Havenwood - 15yr</v>
      </c>
      <c r="D119" s="33" t="n">
        <f aca="false">SUM(F119:J119)</f>
        <v>15130</v>
      </c>
      <c r="H119" s="33" t="n">
        <f aca="false">'3112 Havenwood'!D21</f>
        <v>15130</v>
      </c>
    </row>
    <row r="120" customFormat="false" ht="15" hidden="false" customHeight="false" outlineLevel="0" collapsed="false">
      <c r="B120" s="5" t="str">
        <f aca="false">'3112 Havenwood'!B22</f>
        <v>13 - Buidling - Havenwood - 27.5yr</v>
      </c>
      <c r="D120" s="33" t="n">
        <f aca="false">SUM(F120:J120)</f>
        <v>495900</v>
      </c>
      <c r="J120" s="33" t="n">
        <f aca="false">'3112 Havenwood'!D22</f>
        <v>495900</v>
      </c>
    </row>
    <row r="121" customFormat="false" ht="15" hidden="false" customHeight="false" outlineLevel="0" collapsed="false">
      <c r="B121" s="5" t="str">
        <f aca="false">'3112 Havenwood'!B23</f>
        <v>14 - Equipment - Havenwood - 5yr</v>
      </c>
      <c r="D121" s="33" t="n">
        <f aca="false">SUM(F121:J121)</f>
        <v>21764</v>
      </c>
      <c r="F121" s="33" t="n">
        <f aca="false">'3112 Havenwood'!D23</f>
        <v>21764</v>
      </c>
    </row>
    <row r="122" customFormat="false" ht="15" hidden="false" customHeight="false" outlineLevel="0" collapsed="false">
      <c r="B122" s="5" t="str">
        <f aca="false">'3112 Havenwood'!B24</f>
        <v>14 - Equipment - Havenwood - 15yr</v>
      </c>
      <c r="D122" s="33" t="n">
        <f aca="false">SUM(F122:J122)</f>
        <v>3103</v>
      </c>
      <c r="H122" s="33" t="n">
        <f aca="false">'3112 Havenwood'!D24</f>
        <v>3103</v>
      </c>
    </row>
    <row r="123" customFormat="false" ht="15" hidden="false" customHeight="false" outlineLevel="0" collapsed="false">
      <c r="B123" s="5" t="str">
        <f aca="false">'3112 Havenwood'!B25</f>
        <v>14 - Equipment - Havenwood - 15yr</v>
      </c>
      <c r="D123" s="33" t="n">
        <f aca="false">SUM(F123:J123)</f>
        <v>101723</v>
      </c>
      <c r="J123" s="33" t="n">
        <f aca="false">'3112 Havenwood'!D25</f>
        <v>101723</v>
      </c>
    </row>
    <row r="124" customFormat="false" ht="15" hidden="false" customHeight="false" outlineLevel="0" collapsed="false">
      <c r="B124" s="11" t="s">
        <v>182</v>
      </c>
      <c r="D124" s="34" t="n">
        <f aca="false">SUM(D115:D123)</f>
        <v>791189</v>
      </c>
      <c r="F124" s="34" t="n">
        <f aca="false">SUM(F115:F123)</f>
        <v>136023</v>
      </c>
      <c r="H124" s="34" t="n">
        <f aca="false">SUM(H115:H123)</f>
        <v>19397</v>
      </c>
      <c r="J124" s="34" t="n">
        <f aca="false">SUM(J115:J123)</f>
        <v>635769</v>
      </c>
    </row>
    <row r="125" customFormat="false" ht="15" hidden="false" customHeight="false" outlineLevel="0" collapsed="false">
      <c r="B125" s="16" t="s">
        <v>183</v>
      </c>
      <c r="D125" s="17" t="n">
        <f aca="false">D124-D110</f>
        <v>749547.53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195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24</v>
      </c>
      <c r="C10" s="23" t="s">
        <v>17</v>
      </c>
      <c r="D10" s="24" t="n">
        <v>7649</v>
      </c>
      <c r="E10" s="24" t="n">
        <v>0</v>
      </c>
      <c r="F10" s="24" t="n">
        <v>0</v>
      </c>
      <c r="G10" s="24" t="n">
        <v>3621.69</v>
      </c>
      <c r="H10" s="24" t="n">
        <v>451.69</v>
      </c>
      <c r="I10" s="24" t="n">
        <f aca="false">G10+H10</f>
        <v>4073.38</v>
      </c>
      <c r="J10" s="24" t="n">
        <f aca="false">D10-I10</f>
        <v>3575.62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25</v>
      </c>
      <c r="C11" s="23" t="s">
        <v>17</v>
      </c>
      <c r="D11" s="24" t="n">
        <v>99442</v>
      </c>
      <c r="E11" s="24" t="n">
        <v>0</v>
      </c>
      <c r="F11" s="24" t="n">
        <v>0</v>
      </c>
      <c r="G11" s="24" t="n">
        <v>21847.1</v>
      </c>
      <c r="H11" s="24" t="n">
        <v>3616.07</v>
      </c>
      <c r="I11" s="24" t="n">
        <f aca="false">G11+H11</f>
        <v>25463.17</v>
      </c>
      <c r="J11" s="24" t="n">
        <f aca="false">D11-I11</f>
        <v>73978.83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26</v>
      </c>
      <c r="C12" s="23" t="s">
        <v>17</v>
      </c>
      <c r="D12" s="24" t="n">
        <v>20398</v>
      </c>
      <c r="E12" s="24" t="n">
        <v>0</v>
      </c>
      <c r="F12" s="24" t="n">
        <v>20398</v>
      </c>
      <c r="G12" s="24" t="n">
        <v>20398</v>
      </c>
      <c r="H12" s="24" t="n">
        <v>0</v>
      </c>
      <c r="I12" s="24" t="n">
        <f aca="false">G12+H12</f>
        <v>20398</v>
      </c>
      <c r="J12" s="24" t="n">
        <f aca="false">D12-I12</f>
        <v>0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127489</v>
      </c>
      <c r="E13" s="28" t="n">
        <f aca="false">SUM(E10:E12)</f>
        <v>0</v>
      </c>
      <c r="F13" s="28" t="n">
        <f aca="false">SUM(F10:F12)</f>
        <v>20398</v>
      </c>
      <c r="G13" s="28" t="n">
        <f aca="false">SUM(G10:G12)</f>
        <v>45866.79</v>
      </c>
      <c r="H13" s="28" t="n">
        <f aca="false">SUM(H10:H12)</f>
        <v>4067.76</v>
      </c>
      <c r="I13" s="28" t="n">
        <f aca="false">SUM(I10:I12)</f>
        <v>49934.55</v>
      </c>
      <c r="J13" s="28" t="n">
        <f aca="false">SUM(J10:J12)</f>
        <v>77554.45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63</v>
      </c>
      <c r="C17" s="23" t="s">
        <v>17</v>
      </c>
      <c r="D17" s="24" t="n">
        <v>1030</v>
      </c>
      <c r="E17" s="24" t="n">
        <v>0</v>
      </c>
      <c r="F17" s="24" t="n">
        <v>0</v>
      </c>
      <c r="G17" s="24" t="n">
        <v>1030</v>
      </c>
      <c r="H17" s="24" t="n">
        <v>0</v>
      </c>
      <c r="I17" s="24" t="n">
        <f aca="false">G17+H17</f>
        <v>1030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64</v>
      </c>
      <c r="C18" s="23" t="s">
        <v>17</v>
      </c>
      <c r="D18" s="24" t="n">
        <v>127</v>
      </c>
      <c r="E18" s="24" t="n">
        <v>0</v>
      </c>
      <c r="F18" s="24" t="n">
        <v>0</v>
      </c>
      <c r="G18" s="24" t="n">
        <v>63.27</v>
      </c>
      <c r="H18" s="24" t="n">
        <v>7.5</v>
      </c>
      <c r="I18" s="24" t="n">
        <f aca="false">G18+H18</f>
        <v>70.77</v>
      </c>
      <c r="J18" s="24" t="n">
        <f aca="false">D18-I18</f>
        <v>56.23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65</v>
      </c>
      <c r="C19" s="23" t="s">
        <v>17</v>
      </c>
      <c r="D19" s="24" t="n">
        <v>6493</v>
      </c>
      <c r="E19" s="24" t="n">
        <v>0</v>
      </c>
      <c r="F19" s="24" t="n">
        <v>0</v>
      </c>
      <c r="G19" s="24" t="n">
        <v>1426.26</v>
      </c>
      <c r="H19" s="24" t="n">
        <v>236.11</v>
      </c>
      <c r="I19" s="24" t="n">
        <f aca="false">G19+H19</f>
        <v>1662.37</v>
      </c>
      <c r="J19" s="24" t="n">
        <f aca="false">D19-I19</f>
        <v>4830.63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66</v>
      </c>
      <c r="C20" s="23" t="s">
        <v>17</v>
      </c>
      <c r="D20" s="24" t="n">
        <v>13389</v>
      </c>
      <c r="E20" s="24" t="n">
        <v>0</v>
      </c>
      <c r="F20" s="24" t="n">
        <v>13389</v>
      </c>
      <c r="G20" s="24" t="n">
        <v>13389</v>
      </c>
      <c r="H20" s="24" t="n">
        <v>0</v>
      </c>
      <c r="I20" s="24" t="n">
        <f aca="false">G20+H20</f>
        <v>13389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67</v>
      </c>
      <c r="C21" s="23" t="s">
        <v>17</v>
      </c>
      <c r="D21" s="24" t="n">
        <v>1655</v>
      </c>
      <c r="E21" s="24" t="n">
        <v>0</v>
      </c>
      <c r="F21" s="24" t="n">
        <v>1655</v>
      </c>
      <c r="G21" s="24" t="n">
        <v>1655</v>
      </c>
      <c r="H21" s="24" t="n">
        <v>0</v>
      </c>
      <c r="I21" s="24" t="n">
        <f aca="false">G21+H21</f>
        <v>1655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68</v>
      </c>
      <c r="C22" s="23" t="s">
        <v>17</v>
      </c>
      <c r="D22" s="24" t="n">
        <v>84398</v>
      </c>
      <c r="E22" s="24" t="n">
        <v>0</v>
      </c>
      <c r="F22" s="24" t="n">
        <v>0</v>
      </c>
      <c r="G22" s="24" t="n">
        <v>18542</v>
      </c>
      <c r="H22" s="24" t="n">
        <v>3069.02</v>
      </c>
      <c r="I22" s="24" t="n">
        <f aca="false">G22+H22</f>
        <v>21611.02</v>
      </c>
      <c r="J22" s="24" t="n">
        <f aca="false">D22-I22</f>
        <v>62786.98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69</v>
      </c>
      <c r="C23" s="23" t="s">
        <v>17</v>
      </c>
      <c r="D23" s="24" t="n">
        <v>2746</v>
      </c>
      <c r="E23" s="24" t="n">
        <v>0</v>
      </c>
      <c r="F23" s="24" t="n">
        <v>2746</v>
      </c>
      <c r="G23" s="24" t="n">
        <v>2746</v>
      </c>
      <c r="H23" s="24" t="n">
        <v>0</v>
      </c>
      <c r="I23" s="24" t="n">
        <f aca="false">G23+H23</f>
        <v>2746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70</v>
      </c>
      <c r="C24" s="23" t="s">
        <v>17</v>
      </c>
      <c r="D24" s="24" t="n">
        <v>340</v>
      </c>
      <c r="E24" s="24" t="n">
        <v>0</v>
      </c>
      <c r="F24" s="24" t="n">
        <v>340</v>
      </c>
      <c r="G24" s="24" t="n">
        <v>340</v>
      </c>
      <c r="H24" s="24" t="n">
        <v>0</v>
      </c>
      <c r="I24" s="24" t="n">
        <f aca="false">G24+H24</f>
        <v>340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71</v>
      </c>
      <c r="C25" s="23" t="s">
        <v>17</v>
      </c>
      <c r="D25" s="24" t="n">
        <v>17312</v>
      </c>
      <c r="E25" s="24" t="n">
        <v>0</v>
      </c>
      <c r="F25" s="24" t="n">
        <v>0</v>
      </c>
      <c r="G25" s="24" t="n">
        <v>3803.41</v>
      </c>
      <c r="H25" s="24" t="n">
        <v>629.53</v>
      </c>
      <c r="I25" s="24" t="n">
        <f aca="false">G25+H25</f>
        <v>4432.94</v>
      </c>
      <c r="J25" s="24" t="n">
        <f aca="false">D25-I25</f>
        <v>12879.06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127490</v>
      </c>
      <c r="E26" s="28" t="n">
        <f aca="false">SUM(E17:E25)</f>
        <v>0</v>
      </c>
      <c r="F26" s="28" t="n">
        <f aca="false">SUM(F17:F25)</f>
        <v>18130</v>
      </c>
      <c r="G26" s="28" t="n">
        <f aca="false">SUM(G17:G25)</f>
        <v>42994.94</v>
      </c>
      <c r="H26" s="28" t="n">
        <f aca="false">SUM(H17:H25)</f>
        <v>3942.16</v>
      </c>
      <c r="I26" s="28" t="n">
        <f aca="false">SUM(I17:I25)</f>
        <v>46937.1</v>
      </c>
      <c r="J26" s="28" t="n">
        <f aca="false">SUM(J17:J25)</f>
        <v>80552.9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49934.55</v>
      </c>
    </row>
    <row r="30" customFormat="false" ht="15" hidden="false" customHeight="false" outlineLevel="0" collapsed="false">
      <c r="B30" s="5" t="s">
        <v>127</v>
      </c>
      <c r="D30" s="6" t="n">
        <f aca="false">I26</f>
        <v>46937.1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2997.45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24</v>
      </c>
      <c r="C36" s="23" t="s">
        <v>17</v>
      </c>
      <c r="D36" s="24" t="n">
        <v>7649</v>
      </c>
      <c r="E36" s="24" t="n">
        <v>0</v>
      </c>
      <c r="F36" s="24" t="n">
        <v>0</v>
      </c>
      <c r="G36" s="24" t="n">
        <v>3621.69</v>
      </c>
      <c r="H36" s="24" t="n">
        <v>451.69</v>
      </c>
      <c r="I36" s="24" t="n">
        <f aca="false">G36+H36</f>
        <v>4073.38</v>
      </c>
      <c r="J36" s="24" t="n">
        <f aca="false">D36-I36</f>
        <v>3575.62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25</v>
      </c>
      <c r="C37" s="23" t="s">
        <v>17</v>
      </c>
      <c r="D37" s="24" t="n">
        <v>99442</v>
      </c>
      <c r="E37" s="24" t="n">
        <v>0</v>
      </c>
      <c r="F37" s="24" t="n">
        <v>0</v>
      </c>
      <c r="G37" s="24" t="n">
        <v>21847.1</v>
      </c>
      <c r="H37" s="24" t="n">
        <v>3616.07</v>
      </c>
      <c r="I37" s="24" t="n">
        <f aca="false">G37+H37</f>
        <v>25463.17</v>
      </c>
      <c r="J37" s="24" t="n">
        <f aca="false">D37-I37</f>
        <v>73978.83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26</v>
      </c>
      <c r="C38" s="23" t="s">
        <v>17</v>
      </c>
      <c r="D38" s="24" t="n">
        <v>20398</v>
      </c>
      <c r="E38" s="24" t="n">
        <v>0</v>
      </c>
      <c r="F38" s="24" t="n">
        <v>20398</v>
      </c>
      <c r="G38" s="24" t="n">
        <v>20398</v>
      </c>
      <c r="H38" s="24" t="n">
        <v>0</v>
      </c>
      <c r="I38" s="24" t="n">
        <f aca="false">G38+H38</f>
        <v>20398</v>
      </c>
      <c r="J38" s="24" t="n">
        <f aca="false">D38-I38</f>
        <v>0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127489</v>
      </c>
      <c r="E39" s="28" t="n">
        <f aca="false">SUM(E36:E38)</f>
        <v>0</v>
      </c>
      <c r="F39" s="28" t="n">
        <f aca="false">SUM(F36:F38)</f>
        <v>20398</v>
      </c>
      <c r="G39" s="28" t="n">
        <f aca="false">SUM(G36:G38)</f>
        <v>45866.79</v>
      </c>
      <c r="H39" s="28" t="n">
        <f aca="false">SUM(H36:H38)</f>
        <v>4067.76</v>
      </c>
      <c r="I39" s="28" t="n">
        <f aca="false">SUM(I36:I38)</f>
        <v>49934.55</v>
      </c>
      <c r="J39" s="28" t="n">
        <f aca="false">SUM(J36:J38)</f>
        <v>77554.45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63</v>
      </c>
      <c r="C43" s="23" t="s">
        <v>17</v>
      </c>
      <c r="D43" s="24" t="n">
        <v>1030</v>
      </c>
      <c r="E43" s="24" t="n">
        <v>0</v>
      </c>
      <c r="F43" s="24" t="n">
        <v>0</v>
      </c>
      <c r="G43" s="24" t="n">
        <v>1030</v>
      </c>
      <c r="H43" s="24" t="n">
        <v>0</v>
      </c>
      <c r="I43" s="24" t="n">
        <f aca="false">G43+H43</f>
        <v>1030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64</v>
      </c>
      <c r="C44" s="23" t="s">
        <v>17</v>
      </c>
      <c r="D44" s="24" t="n">
        <v>127</v>
      </c>
      <c r="E44" s="24" t="n">
        <v>0</v>
      </c>
      <c r="F44" s="24" t="n">
        <v>0</v>
      </c>
      <c r="G44" s="24" t="n">
        <v>63.27</v>
      </c>
      <c r="H44" s="24" t="n">
        <v>7.5</v>
      </c>
      <c r="I44" s="24" t="n">
        <f aca="false">G44+H44</f>
        <v>70.77</v>
      </c>
      <c r="J44" s="24" t="n">
        <f aca="false">D44-I44</f>
        <v>56.23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65</v>
      </c>
      <c r="C45" s="23" t="s">
        <v>17</v>
      </c>
      <c r="D45" s="24" t="n">
        <v>6493</v>
      </c>
      <c r="E45" s="24" t="n">
        <v>0</v>
      </c>
      <c r="F45" s="24" t="n">
        <v>0</v>
      </c>
      <c r="G45" s="24" t="n">
        <v>1426.26</v>
      </c>
      <c r="H45" s="24" t="n">
        <v>236.11</v>
      </c>
      <c r="I45" s="24" t="n">
        <f aca="false">G45+H45</f>
        <v>1662.37</v>
      </c>
      <c r="J45" s="24" t="n">
        <f aca="false">D45-I45</f>
        <v>4830.63</v>
      </c>
      <c r="K45" s="25" t="s">
        <v>120</v>
      </c>
      <c r="L45" s="25" t="s">
        <v>121</v>
      </c>
    </row>
    <row r="46" customFormat="false" ht="15" hidden="false" customHeight="false" outlineLevel="0" collapsed="false">
      <c r="A46" s="23" t="n">
        <v>4</v>
      </c>
      <c r="B46" s="23" t="s">
        <v>66</v>
      </c>
      <c r="C46" s="23" t="s">
        <v>17</v>
      </c>
      <c r="D46" s="24" t="n">
        <v>13389</v>
      </c>
      <c r="E46" s="24" t="n">
        <v>0</v>
      </c>
      <c r="F46" s="24" t="n">
        <v>13389</v>
      </c>
      <c r="G46" s="24" t="n">
        <v>13389</v>
      </c>
      <c r="H46" s="24" t="n">
        <v>0</v>
      </c>
      <c r="I46" s="24" t="n">
        <f aca="false">G46+H46</f>
        <v>13389</v>
      </c>
      <c r="J46" s="24" t="n">
        <f aca="false">D46-I46</f>
        <v>0</v>
      </c>
      <c r="K46" s="25" t="s">
        <v>124</v>
      </c>
      <c r="L46" s="25" t="s">
        <v>122</v>
      </c>
    </row>
    <row r="47" customFormat="false" ht="15" hidden="false" customHeight="false" outlineLevel="0" collapsed="false">
      <c r="A47" s="23" t="n">
        <v>5</v>
      </c>
      <c r="B47" s="23" t="s">
        <v>67</v>
      </c>
      <c r="C47" s="23" t="s">
        <v>17</v>
      </c>
      <c r="D47" s="24" t="n">
        <v>1655</v>
      </c>
      <c r="E47" s="24" t="n">
        <v>0</v>
      </c>
      <c r="F47" s="24" t="n">
        <v>1655</v>
      </c>
      <c r="G47" s="24" t="n">
        <v>1655</v>
      </c>
      <c r="H47" s="24" t="n">
        <v>0</v>
      </c>
      <c r="I47" s="24" t="n">
        <f aca="false">G47+H47</f>
        <v>1655</v>
      </c>
      <c r="J47" s="24" t="n">
        <f aca="false">D47-I47</f>
        <v>0</v>
      </c>
      <c r="K47" s="25" t="s">
        <v>118</v>
      </c>
      <c r="L47" s="25" t="s">
        <v>119</v>
      </c>
    </row>
    <row r="48" customFormat="false" ht="15" hidden="false" customHeight="false" outlineLevel="0" collapsed="false">
      <c r="A48" s="23" t="n">
        <v>6</v>
      </c>
      <c r="B48" s="23" t="s">
        <v>68</v>
      </c>
      <c r="C48" s="23" t="s">
        <v>17</v>
      </c>
      <c r="D48" s="24" t="n">
        <v>84398</v>
      </c>
      <c r="E48" s="24" t="n">
        <v>0</v>
      </c>
      <c r="F48" s="24" t="n">
        <v>0</v>
      </c>
      <c r="G48" s="24" t="n">
        <v>18542</v>
      </c>
      <c r="H48" s="24" t="n">
        <v>3069.02</v>
      </c>
      <c r="I48" s="24" t="n">
        <f aca="false">G48+H48</f>
        <v>21611.02</v>
      </c>
      <c r="J48" s="24" t="n">
        <f aca="false">D48-I48</f>
        <v>62786.98</v>
      </c>
      <c r="K48" s="25" t="s">
        <v>120</v>
      </c>
      <c r="L48" s="25" t="s">
        <v>121</v>
      </c>
    </row>
    <row r="49" customFormat="false" ht="15" hidden="false" customHeight="false" outlineLevel="0" collapsed="false">
      <c r="A49" s="23" t="n">
        <v>7</v>
      </c>
      <c r="B49" s="23" t="s">
        <v>69</v>
      </c>
      <c r="C49" s="23" t="s">
        <v>17</v>
      </c>
      <c r="D49" s="24" t="n">
        <v>2746</v>
      </c>
      <c r="E49" s="24" t="n">
        <v>0</v>
      </c>
      <c r="F49" s="24" t="n">
        <v>2746</v>
      </c>
      <c r="G49" s="24" t="n">
        <v>2746</v>
      </c>
      <c r="H49" s="24" t="n">
        <v>0</v>
      </c>
      <c r="I49" s="24" t="n">
        <f aca="false">G49+H49</f>
        <v>2746</v>
      </c>
      <c r="J49" s="24" t="n">
        <f aca="false">D49-I49</f>
        <v>0</v>
      </c>
      <c r="K49" s="25" t="s">
        <v>124</v>
      </c>
      <c r="L49" s="25" t="s">
        <v>122</v>
      </c>
    </row>
    <row r="50" customFormat="false" ht="15" hidden="false" customHeight="false" outlineLevel="0" collapsed="false">
      <c r="A50" s="23" t="n">
        <v>8</v>
      </c>
      <c r="B50" s="23" t="s">
        <v>70</v>
      </c>
      <c r="C50" s="23" t="s">
        <v>17</v>
      </c>
      <c r="D50" s="24" t="n">
        <v>340</v>
      </c>
      <c r="E50" s="24" t="n">
        <v>0</v>
      </c>
      <c r="F50" s="24" t="n">
        <v>340</v>
      </c>
      <c r="G50" s="24" t="n">
        <v>340</v>
      </c>
      <c r="H50" s="24" t="n">
        <v>0</v>
      </c>
      <c r="I50" s="24" t="n">
        <f aca="false">G50+H50</f>
        <v>340</v>
      </c>
      <c r="J50" s="24" t="n">
        <f aca="false">D50-I50</f>
        <v>0</v>
      </c>
      <c r="K50" s="25" t="s">
        <v>118</v>
      </c>
      <c r="L50" s="25" t="s">
        <v>119</v>
      </c>
    </row>
    <row r="51" customFormat="false" ht="15" hidden="false" customHeight="false" outlineLevel="0" collapsed="false">
      <c r="A51" s="23" t="n">
        <v>9</v>
      </c>
      <c r="B51" s="23" t="s">
        <v>71</v>
      </c>
      <c r="C51" s="23" t="s">
        <v>17</v>
      </c>
      <c r="D51" s="24" t="n">
        <v>17312</v>
      </c>
      <c r="E51" s="24" t="n">
        <v>0</v>
      </c>
      <c r="F51" s="24" t="n">
        <v>0</v>
      </c>
      <c r="G51" s="24" t="n">
        <v>3803.41</v>
      </c>
      <c r="H51" s="24" t="n">
        <v>629.53</v>
      </c>
      <c r="I51" s="24" t="n">
        <f aca="false">G51+H51</f>
        <v>4432.94</v>
      </c>
      <c r="J51" s="24" t="n">
        <f aca="false">D51-I51</f>
        <v>12879.06</v>
      </c>
      <c r="K51" s="25" t="s">
        <v>120</v>
      </c>
      <c r="L51" s="25" t="s">
        <v>121</v>
      </c>
    </row>
    <row r="52" customFormat="false" ht="15" hidden="false" customHeight="false" outlineLevel="0" collapsed="false">
      <c r="A52" s="26"/>
      <c r="B52" s="27" t="s">
        <v>35</v>
      </c>
      <c r="C52" s="26"/>
      <c r="D52" s="28" t="n">
        <f aca="false">SUM(D43:D51)</f>
        <v>127490</v>
      </c>
      <c r="E52" s="28" t="n">
        <f aca="false">SUM(E43:E51)</f>
        <v>0</v>
      </c>
      <c r="F52" s="28" t="n">
        <f aca="false">SUM(F43:F51)</f>
        <v>18130</v>
      </c>
      <c r="G52" s="28" t="n">
        <f aca="false">SUM(G43:G51)</f>
        <v>42994.94</v>
      </c>
      <c r="H52" s="28" t="n">
        <f aca="false">SUM(H43:H51)</f>
        <v>3942.16</v>
      </c>
      <c r="I52" s="28" t="n">
        <f aca="false">SUM(I43:I51)</f>
        <v>46937.1</v>
      </c>
      <c r="J52" s="28" t="n">
        <f aca="false">SUM(J43:J51)</f>
        <v>80552.9</v>
      </c>
      <c r="K52" s="26"/>
      <c r="L52" s="26"/>
    </row>
    <row r="54" customFormat="false" ht="15" hidden="false" customHeight="false" outlineLevel="0" collapsed="false">
      <c r="B54" s="18" t="s">
        <v>133</v>
      </c>
    </row>
    <row r="55" customFormat="false" ht="15" hidden="false" customHeight="false" outlineLevel="0" collapsed="false">
      <c r="B55" s="5" t="s">
        <v>126</v>
      </c>
      <c r="D55" s="6" t="n">
        <f aca="false">I39</f>
        <v>49934.55</v>
      </c>
    </row>
    <row r="56" customFormat="false" ht="15" hidden="false" customHeight="false" outlineLevel="0" collapsed="false">
      <c r="B56" s="5" t="s">
        <v>127</v>
      </c>
      <c r="D56" s="6" t="n">
        <f aca="false">I52</f>
        <v>46937.1</v>
      </c>
    </row>
    <row r="57" customFormat="false" ht="15" hidden="false" customHeight="false" outlineLevel="0" collapsed="false">
      <c r="B57" s="11" t="s">
        <v>133</v>
      </c>
      <c r="D57" s="29" t="n">
        <f aca="false">D55-D56</f>
        <v>2997.45</v>
      </c>
    </row>
    <row r="59" customFormat="false" ht="15" hidden="false" customHeight="false" outlineLevel="0" collapsed="false">
      <c r="A59" s="10" t="s">
        <v>134</v>
      </c>
    </row>
    <row r="60" customFormat="false" ht="15" hidden="false" customHeight="false" outlineLevel="0" collapsed="false">
      <c r="B60" s="11" t="s">
        <v>135</v>
      </c>
      <c r="D60" s="12" t="n">
        <f aca="false">D109</f>
        <v>42496.66</v>
      </c>
    </row>
    <row r="61" customFormat="false" ht="15" hidden="false" customHeight="false" outlineLevel="0" collapsed="false">
      <c r="B61" s="5" t="s">
        <v>136</v>
      </c>
      <c r="D61" s="6" t="n">
        <f aca="false">F109</f>
        <v>5721.63</v>
      </c>
    </row>
    <row r="62" customFormat="false" ht="15" hidden="false" customHeight="false" outlineLevel="0" collapsed="false">
      <c r="B62" s="30" t="s">
        <v>137</v>
      </c>
      <c r="D62" s="31" t="n">
        <f aca="false">F110</f>
        <v>0.134637169132821</v>
      </c>
    </row>
    <row r="63" customFormat="false" ht="15" hidden="false" customHeight="false" outlineLevel="0" collapsed="false">
      <c r="B63" s="5" t="s">
        <v>138</v>
      </c>
      <c r="D63" s="6" t="n">
        <f aca="false">H109</f>
        <v>707.48</v>
      </c>
    </row>
    <row r="64" customFormat="false" ht="15" hidden="false" customHeight="false" outlineLevel="0" collapsed="false">
      <c r="B64" s="30" t="s">
        <v>137</v>
      </c>
      <c r="D64" s="31" t="n">
        <f aca="false">H110</f>
        <v>0.0166478965641064</v>
      </c>
    </row>
    <row r="65" customFormat="false" ht="15" hidden="false" customHeight="false" outlineLevel="0" collapsed="false">
      <c r="B65" s="5" t="s">
        <v>139</v>
      </c>
      <c r="D65" s="6" t="n">
        <f aca="false">J109</f>
        <v>36067.55</v>
      </c>
    </row>
    <row r="66" customFormat="false" ht="15" hidden="false" customHeight="false" outlineLevel="0" collapsed="false">
      <c r="B66" s="30" t="s">
        <v>137</v>
      </c>
      <c r="D66" s="31" t="n">
        <f aca="false">J110</f>
        <v>0.848714934303072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B69" s="4" t="s">
        <v>141</v>
      </c>
      <c r="D69" s="4" t="s">
        <v>109</v>
      </c>
      <c r="F69" s="4" t="s">
        <v>142</v>
      </c>
      <c r="H69" s="4" t="s">
        <v>143</v>
      </c>
      <c r="J69" s="4" t="s">
        <v>144</v>
      </c>
    </row>
    <row r="70" customFormat="false" ht="15" hidden="false" customHeight="false" outlineLevel="0" collapsed="false">
      <c r="B70" s="32" t="s">
        <v>145</v>
      </c>
    </row>
    <row r="71" customFormat="false" ht="15" hidden="false" customHeight="false" outlineLevel="0" collapsed="false">
      <c r="B71" s="5" t="s">
        <v>146</v>
      </c>
      <c r="D71" s="33" t="n">
        <f aca="false">SUM(F71:J71)</f>
        <v>1194.23</v>
      </c>
      <c r="F71" s="33" t="n">
        <v>1194.23</v>
      </c>
    </row>
    <row r="72" customFormat="false" ht="15" hidden="false" customHeight="false" outlineLevel="0" collapsed="false">
      <c r="B72" s="5" t="s">
        <v>147</v>
      </c>
      <c r="D72" s="33" t="n">
        <f aca="false">SUM(F72:J72)</f>
        <v>892.45</v>
      </c>
      <c r="F72" s="33" t="n">
        <v>892.45</v>
      </c>
    </row>
    <row r="73" customFormat="false" ht="15" hidden="false" customHeight="false" outlineLevel="0" collapsed="false">
      <c r="B73" s="5" t="s">
        <v>148</v>
      </c>
      <c r="D73" s="33" t="n">
        <f aca="false">SUM(F73:J73)</f>
        <v>772.85</v>
      </c>
      <c r="F73" s="33" t="n">
        <v>772.85</v>
      </c>
    </row>
    <row r="74" customFormat="false" ht="15" hidden="false" customHeight="false" outlineLevel="0" collapsed="false">
      <c r="B74" s="5" t="s">
        <v>149</v>
      </c>
      <c r="D74" s="33" t="n">
        <f aca="false">SUM(F74:J74)</f>
        <v>479.69</v>
      </c>
      <c r="F74" s="33" t="n">
        <v>479.69</v>
      </c>
    </row>
    <row r="75" customFormat="false" ht="15" hidden="false" customHeight="false" outlineLevel="0" collapsed="false">
      <c r="B75" s="5" t="s">
        <v>150</v>
      </c>
      <c r="D75" s="33" t="n">
        <f aca="false">SUM(F75:J75)</f>
        <v>324.2</v>
      </c>
      <c r="F75" s="33" t="n">
        <v>324.2</v>
      </c>
    </row>
    <row r="76" customFormat="false" ht="15" hidden="false" customHeight="false" outlineLevel="0" collapsed="false">
      <c r="B76" s="5" t="s">
        <v>151</v>
      </c>
      <c r="D76" s="33" t="n">
        <f aca="false">SUM(F76:J76)</f>
        <v>30.15</v>
      </c>
      <c r="F76" s="33" t="n">
        <v>30.15</v>
      </c>
    </row>
    <row r="77" customFormat="false" ht="15" hidden="false" customHeight="false" outlineLevel="0" collapsed="false">
      <c r="B77" s="5" t="s">
        <v>152</v>
      </c>
      <c r="D77" s="33" t="n">
        <f aca="false">SUM(F77:J77)</f>
        <v>19.82</v>
      </c>
      <c r="F77" s="33" t="n">
        <v>19.82</v>
      </c>
    </row>
    <row r="78" customFormat="false" ht="15" hidden="false" customHeight="false" outlineLevel="0" collapsed="false">
      <c r="B78" s="5" t="s">
        <v>153</v>
      </c>
      <c r="D78" s="33" t="n">
        <f aca="false">SUM(F78:J78)</f>
        <v>514.89</v>
      </c>
      <c r="F78" s="33" t="n">
        <v>514.89</v>
      </c>
    </row>
    <row r="79" customFormat="false" ht="15" hidden="false" customHeight="false" outlineLevel="0" collapsed="false">
      <c r="B79" s="5" t="s">
        <v>154</v>
      </c>
      <c r="D79" s="33" t="n">
        <f aca="false">SUM(F79:J79)</f>
        <v>253.01</v>
      </c>
      <c r="F79" s="33" t="n">
        <v>253.01</v>
      </c>
    </row>
    <row r="80" customFormat="false" ht="15" hidden="false" customHeight="false" outlineLevel="0" collapsed="false">
      <c r="B80" s="5" t="s">
        <v>155</v>
      </c>
      <c r="D80" s="33" t="n">
        <f aca="false">SUM(F80:J80)</f>
        <v>563.75</v>
      </c>
      <c r="F80" s="33" t="n">
        <v>563.75</v>
      </c>
    </row>
    <row r="81" customFormat="false" ht="15" hidden="false" customHeight="false" outlineLevel="0" collapsed="false">
      <c r="B81" s="5" t="s">
        <v>156</v>
      </c>
      <c r="D81" s="33" t="n">
        <f aca="false">SUM(F81:J81)</f>
        <v>111.83</v>
      </c>
      <c r="F81" s="33" t="n">
        <v>111.83</v>
      </c>
    </row>
    <row r="82" customFormat="false" ht="15" hidden="false" customHeight="false" outlineLevel="0" collapsed="false">
      <c r="B82" s="5" t="s">
        <v>157</v>
      </c>
      <c r="D82" s="33" t="n">
        <f aca="false">SUM(F82:J82)</f>
        <v>564.76</v>
      </c>
      <c r="F82" s="33" t="n">
        <v>564.76</v>
      </c>
    </row>
    <row r="83" customFormat="false" ht="15" hidden="false" customHeight="false" outlineLevel="0" collapsed="false">
      <c r="B83" s="32" t="s">
        <v>158</v>
      </c>
    </row>
    <row r="84" customFormat="false" ht="15" hidden="false" customHeight="false" outlineLevel="0" collapsed="false">
      <c r="B84" s="5" t="s">
        <v>159</v>
      </c>
      <c r="D84" s="33" t="n">
        <f aca="false">SUM(F84:J84)</f>
        <v>508.62</v>
      </c>
      <c r="H84" s="33" t="n">
        <v>508.62</v>
      </c>
    </row>
    <row r="85" customFormat="false" ht="15" hidden="false" customHeight="false" outlineLevel="0" collapsed="false">
      <c r="B85" s="5" t="s">
        <v>160</v>
      </c>
      <c r="D85" s="33" t="n">
        <f aca="false">SUM(F85:J85)</f>
        <v>142.45</v>
      </c>
      <c r="H85" s="33" t="n">
        <v>142.45</v>
      </c>
    </row>
    <row r="86" customFormat="false" ht="15" hidden="false" customHeight="false" outlineLevel="0" collapsed="false">
      <c r="B86" s="5" t="s">
        <v>161</v>
      </c>
      <c r="D86" s="33" t="n">
        <f aca="false">SUM(F86:J86)</f>
        <v>34.81</v>
      </c>
      <c r="H86" s="33" t="n">
        <v>34.81</v>
      </c>
    </row>
    <row r="87" customFormat="false" ht="15" hidden="false" customHeight="false" outlineLevel="0" collapsed="false">
      <c r="B87" s="5" t="s">
        <v>162</v>
      </c>
      <c r="D87" s="33" t="n">
        <f aca="false">SUM(F87:J87)</f>
        <v>21.6</v>
      </c>
      <c r="H87" s="33" t="n">
        <v>21.6</v>
      </c>
    </row>
    <row r="88" customFormat="false" ht="15" hidden="false" customHeight="false" outlineLevel="0" collapsed="false">
      <c r="B88" s="32" t="s">
        <v>163</v>
      </c>
    </row>
    <row r="89" customFormat="false" ht="15" hidden="false" customHeight="false" outlineLevel="0" collapsed="false">
      <c r="B89" s="5" t="s">
        <v>164</v>
      </c>
      <c r="D89" s="33" t="n">
        <f aca="false">SUM(F89:J89)</f>
        <v>2544.9</v>
      </c>
      <c r="J89" s="33" t="n">
        <v>2544.9</v>
      </c>
    </row>
    <row r="90" customFormat="false" ht="15" hidden="false" customHeight="false" outlineLevel="0" collapsed="false">
      <c r="B90" s="5" t="s">
        <v>165</v>
      </c>
      <c r="D90" s="33" t="n">
        <f aca="false">SUM(F90:J90)</f>
        <v>5290.6</v>
      </c>
      <c r="J90" s="33" t="n">
        <v>5290.6</v>
      </c>
    </row>
    <row r="91" customFormat="false" ht="15" hidden="false" customHeight="false" outlineLevel="0" collapsed="false">
      <c r="B91" s="5" t="s">
        <v>166</v>
      </c>
      <c r="D91" s="33" t="n">
        <f aca="false">SUM(F91:J91)</f>
        <v>2605.13</v>
      </c>
      <c r="J91" s="33" t="n">
        <v>2605.13</v>
      </c>
    </row>
    <row r="92" customFormat="false" ht="15" hidden="false" customHeight="false" outlineLevel="0" collapsed="false">
      <c r="B92" s="5" t="s">
        <v>167</v>
      </c>
      <c r="D92" s="33" t="n">
        <f aca="false">SUM(F92:J92)</f>
        <v>2808.12</v>
      </c>
      <c r="J92" s="33" t="n">
        <v>2808.12</v>
      </c>
    </row>
    <row r="93" customFormat="false" ht="15" hidden="false" customHeight="false" outlineLevel="0" collapsed="false">
      <c r="B93" s="5" t="s">
        <v>168</v>
      </c>
      <c r="D93" s="33" t="n">
        <f aca="false">SUM(F93:J93)</f>
        <v>2290.83</v>
      </c>
      <c r="J93" s="33" t="n">
        <v>2290.83</v>
      </c>
    </row>
    <row r="94" customFormat="false" ht="15" hidden="false" customHeight="false" outlineLevel="0" collapsed="false">
      <c r="B94" s="5" t="s">
        <v>169</v>
      </c>
      <c r="D94" s="33" t="n">
        <f aca="false">SUM(F94:J94)</f>
        <v>150.42</v>
      </c>
      <c r="J94" s="33" t="n">
        <v>150.42</v>
      </c>
    </row>
    <row r="95" customFormat="false" ht="15" hidden="false" customHeight="false" outlineLevel="0" collapsed="false">
      <c r="B95" s="5" t="s">
        <v>170</v>
      </c>
      <c r="D95" s="33" t="n">
        <f aca="false">SUM(F95:J95)</f>
        <v>1919.86</v>
      </c>
      <c r="J95" s="33" t="n">
        <v>1919.86</v>
      </c>
    </row>
    <row r="96" customFormat="false" ht="15" hidden="false" customHeight="false" outlineLevel="0" collapsed="false">
      <c r="B96" s="5" t="s">
        <v>171</v>
      </c>
      <c r="D96" s="33" t="n">
        <f aca="false">SUM(F96:J96)</f>
        <v>1776.29</v>
      </c>
      <c r="J96" s="33" t="n">
        <v>1776.29</v>
      </c>
    </row>
    <row r="97" customFormat="false" ht="15" hidden="false" customHeight="false" outlineLevel="0" collapsed="false">
      <c r="B97" s="5" t="s">
        <v>172</v>
      </c>
      <c r="D97" s="33" t="n">
        <f aca="false">SUM(F97:J97)</f>
        <v>1322.1</v>
      </c>
      <c r="J97" s="33" t="n">
        <v>1322.1</v>
      </c>
    </row>
    <row r="98" customFormat="false" ht="15" hidden="false" customHeight="false" outlineLevel="0" collapsed="false">
      <c r="B98" s="5" t="s">
        <v>173</v>
      </c>
      <c r="D98" s="33" t="n">
        <f aca="false">SUM(F98:J98)</f>
        <v>1338.43</v>
      </c>
      <c r="J98" s="33" t="n">
        <v>1338.43</v>
      </c>
    </row>
    <row r="99" customFormat="false" ht="15" hidden="false" customHeight="false" outlineLevel="0" collapsed="false">
      <c r="B99" s="5" t="s">
        <v>174</v>
      </c>
      <c r="D99" s="33" t="n">
        <f aca="false">SUM(F99:J99)</f>
        <v>4310.61</v>
      </c>
      <c r="J99" s="33" t="n">
        <v>4310.61</v>
      </c>
    </row>
    <row r="100" customFormat="false" ht="15" hidden="false" customHeight="false" outlineLevel="0" collapsed="false">
      <c r="B100" s="5" t="s">
        <v>175</v>
      </c>
      <c r="D100" s="33" t="n">
        <f aca="false">SUM(F100:J100)</f>
        <v>1420.92</v>
      </c>
      <c r="J100" s="33" t="n">
        <v>1420.92</v>
      </c>
    </row>
    <row r="101" customFormat="false" ht="15" hidden="false" customHeight="false" outlineLevel="0" collapsed="false">
      <c r="B101" s="5" t="s">
        <v>192</v>
      </c>
      <c r="D101" s="33" t="n">
        <f aca="false">SUM(F101:J101)</f>
        <v>509.47</v>
      </c>
      <c r="J101" s="33" t="n">
        <v>509.47</v>
      </c>
    </row>
    <row r="102" customFormat="false" ht="15" hidden="false" customHeight="false" outlineLevel="0" collapsed="false">
      <c r="B102" s="5" t="s">
        <v>176</v>
      </c>
      <c r="D102" s="33" t="n">
        <f aca="false">SUM(F102:J102)</f>
        <v>4496.26</v>
      </c>
      <c r="J102" s="33" t="n">
        <v>4496.26</v>
      </c>
    </row>
    <row r="103" customFormat="false" ht="15" hidden="false" customHeight="false" outlineLevel="0" collapsed="false">
      <c r="B103" s="5" t="s">
        <v>177</v>
      </c>
      <c r="D103" s="33" t="n">
        <f aca="false">SUM(F103:J103)</f>
        <v>373.61</v>
      </c>
      <c r="J103" s="33" t="n">
        <v>373.61</v>
      </c>
    </row>
    <row r="104" customFormat="false" ht="15" hidden="false" customHeight="false" outlineLevel="0" collapsed="false">
      <c r="B104" s="5" t="s">
        <v>193</v>
      </c>
      <c r="D104" s="33" t="n">
        <f aca="false">SUM(F104:J104)</f>
        <v>397.47</v>
      </c>
      <c r="J104" s="33" t="n">
        <v>397.47</v>
      </c>
    </row>
    <row r="105" customFormat="false" ht="15" hidden="false" customHeight="false" outlineLevel="0" collapsed="false">
      <c r="B105" s="5" t="s">
        <v>194</v>
      </c>
      <c r="D105" s="33" t="n">
        <f aca="false">SUM(F105:J105)</f>
        <v>52.64</v>
      </c>
      <c r="J105" s="33" t="n">
        <v>52.64</v>
      </c>
    </row>
    <row r="106" customFormat="false" ht="15" hidden="false" customHeight="false" outlineLevel="0" collapsed="false">
      <c r="B106" s="5" t="s">
        <v>178</v>
      </c>
      <c r="D106" s="33" t="n">
        <f aca="false">SUM(F106:J106)</f>
        <v>468.02</v>
      </c>
      <c r="J106" s="33" t="n">
        <v>468.02</v>
      </c>
    </row>
    <row r="107" customFormat="false" ht="15" hidden="false" customHeight="false" outlineLevel="0" collapsed="false">
      <c r="B107" s="5" t="s">
        <v>196</v>
      </c>
      <c r="D107" s="33" t="n">
        <f aca="false">SUM(F107:J107)</f>
        <v>1629.46</v>
      </c>
      <c r="J107" s="33" t="n">
        <v>1629.46</v>
      </c>
    </row>
    <row r="108" customFormat="false" ht="15" hidden="false" customHeight="false" outlineLevel="0" collapsed="false">
      <c r="B108" s="5" t="s">
        <v>179</v>
      </c>
      <c r="D108" s="33" t="n">
        <f aca="false">SUM(F108:J108)</f>
        <v>362.41</v>
      </c>
      <c r="J108" s="33" t="n">
        <v>362.41</v>
      </c>
    </row>
    <row r="109" customFormat="false" ht="15" hidden="false" customHeight="false" outlineLevel="0" collapsed="false">
      <c r="B109" s="11" t="s">
        <v>135</v>
      </c>
      <c r="D109" s="34" t="n">
        <f aca="false">SUM(D70:D108)</f>
        <v>42496.66</v>
      </c>
      <c r="F109" s="34" t="n">
        <f aca="false">SUM(F70:F108)</f>
        <v>5721.63</v>
      </c>
      <c r="H109" s="34" t="n">
        <f aca="false">SUM(H70:H108)</f>
        <v>707.48</v>
      </c>
      <c r="J109" s="34" t="n">
        <f aca="false">SUM(J70:J108)</f>
        <v>36067.55</v>
      </c>
    </row>
    <row r="110" customFormat="false" ht="15" hidden="false" customHeight="false" outlineLevel="0" collapsed="false">
      <c r="B110" s="30" t="s">
        <v>137</v>
      </c>
      <c r="F110" s="31" t="n">
        <f aca="false">F109/D109</f>
        <v>0.134637169132821</v>
      </c>
      <c r="H110" s="31" t="n">
        <f aca="false">H109/D109</f>
        <v>0.0166478965641064</v>
      </c>
      <c r="J110" s="31" t="n">
        <f aca="false">J109/D109</f>
        <v>0.848714934303072</v>
      </c>
    </row>
    <row r="112" customFormat="false" ht="15" hidden="false" customHeight="false" outlineLevel="0" collapsed="false">
      <c r="A112" s="10" t="s">
        <v>180</v>
      </c>
    </row>
    <row r="113" customFormat="false" ht="15" hidden="false" customHeight="false" outlineLevel="0" collapsed="false">
      <c r="B113" s="4" t="s">
        <v>181</v>
      </c>
      <c r="D113" s="4" t="s">
        <v>109</v>
      </c>
      <c r="F113" s="4" t="s">
        <v>142</v>
      </c>
      <c r="H113" s="4" t="s">
        <v>143</v>
      </c>
      <c r="J113" s="4" t="s">
        <v>144</v>
      </c>
    </row>
    <row r="114" customFormat="false" ht="15" hidden="false" customHeight="false" outlineLevel="0" collapsed="false">
      <c r="B114" s="5" t="str">
        <f aca="false">'3117 Barbwood'!B17</f>
        <v>2 - Land Improvements - Havenwood - 5yr</v>
      </c>
      <c r="D114" s="33" t="n">
        <f aca="false">SUM(F114:J114)</f>
        <v>1030</v>
      </c>
      <c r="F114" s="33" t="n">
        <f aca="false">'3117 Barbwood'!D17</f>
        <v>1030</v>
      </c>
    </row>
    <row r="115" customFormat="false" ht="15" hidden="false" customHeight="false" outlineLevel="0" collapsed="false">
      <c r="B115" s="5" t="str">
        <f aca="false">'3117 Barbwood'!B18</f>
        <v>2 - Land Improvements - Havenwood - 15yr</v>
      </c>
      <c r="D115" s="33" t="n">
        <f aca="false">SUM(F115:J115)</f>
        <v>127</v>
      </c>
      <c r="H115" s="33" t="n">
        <f aca="false">'3117 Barbwood'!D18</f>
        <v>127</v>
      </c>
    </row>
    <row r="116" customFormat="false" ht="15" hidden="false" customHeight="false" outlineLevel="0" collapsed="false">
      <c r="B116" s="5" t="str">
        <f aca="false">'3117 Barbwood'!B19</f>
        <v>2 - Land Improvements - Havenwood - 27.5yr</v>
      </c>
      <c r="D116" s="33" t="n">
        <f aca="false">SUM(F116:J116)</f>
        <v>6493</v>
      </c>
      <c r="J116" s="33" t="n">
        <f aca="false">'3117 Barbwood'!D19</f>
        <v>6493</v>
      </c>
    </row>
    <row r="117" customFormat="false" ht="15" hidden="false" customHeight="false" outlineLevel="0" collapsed="false">
      <c r="B117" s="5" t="str">
        <f aca="false">'3117 Barbwood'!B20</f>
        <v>3 - Buidling - Havenwood - 5yr</v>
      </c>
      <c r="D117" s="33" t="n">
        <f aca="false">SUM(F117:J117)</f>
        <v>13389</v>
      </c>
      <c r="F117" s="33" t="n">
        <f aca="false">'3117 Barbwood'!D20</f>
        <v>13389</v>
      </c>
    </row>
    <row r="118" customFormat="false" ht="15" hidden="false" customHeight="false" outlineLevel="0" collapsed="false">
      <c r="B118" s="5" t="str">
        <f aca="false">'3117 Barbwood'!B21</f>
        <v>3 - Buidling - Havenwood - 15yr</v>
      </c>
      <c r="D118" s="33" t="n">
        <f aca="false">SUM(F118:J118)</f>
        <v>1655</v>
      </c>
      <c r="H118" s="33" t="n">
        <f aca="false">'3117 Barbwood'!D21</f>
        <v>1655</v>
      </c>
    </row>
    <row r="119" customFormat="false" ht="15" hidden="false" customHeight="false" outlineLevel="0" collapsed="false">
      <c r="B119" s="5" t="str">
        <f aca="false">'3117 Barbwood'!B22</f>
        <v>3 - Buidling - Havenwood - 27.5yr</v>
      </c>
      <c r="D119" s="33" t="n">
        <f aca="false">SUM(F119:J119)</f>
        <v>84398</v>
      </c>
      <c r="J119" s="33" t="n">
        <f aca="false">'3117 Barbwood'!D22</f>
        <v>84398</v>
      </c>
    </row>
    <row r="120" customFormat="false" ht="15" hidden="false" customHeight="false" outlineLevel="0" collapsed="false">
      <c r="B120" s="5" t="str">
        <f aca="false">'3117 Barbwood'!B23</f>
        <v>4 - Equipment - Havenwood - 5yr</v>
      </c>
      <c r="D120" s="33" t="n">
        <f aca="false">SUM(F120:J120)</f>
        <v>2746</v>
      </c>
      <c r="F120" s="33" t="n">
        <f aca="false">'3117 Barbwood'!D23</f>
        <v>2746</v>
      </c>
    </row>
    <row r="121" customFormat="false" ht="15" hidden="false" customHeight="false" outlineLevel="0" collapsed="false">
      <c r="B121" s="5" t="str">
        <f aca="false">'3117 Barbwood'!B24</f>
        <v>4 - Equipment - Havenwood - 15yr</v>
      </c>
      <c r="D121" s="33" t="n">
        <f aca="false">SUM(F121:J121)</f>
        <v>340</v>
      </c>
      <c r="H121" s="33" t="n">
        <f aca="false">'3117 Barbwood'!D24</f>
        <v>340</v>
      </c>
    </row>
    <row r="122" customFormat="false" ht="15" hidden="false" customHeight="false" outlineLevel="0" collapsed="false">
      <c r="B122" s="5" t="str">
        <f aca="false">'3117 Barbwood'!B25</f>
        <v>4 - Equipment - Havenwood - 27.5yr</v>
      </c>
      <c r="D122" s="33" t="n">
        <f aca="false">SUM(F122:J122)</f>
        <v>17312</v>
      </c>
      <c r="J122" s="33" t="n">
        <f aca="false">'3117 Barbwood'!D25</f>
        <v>17312</v>
      </c>
    </row>
    <row r="123" customFormat="false" ht="15" hidden="false" customHeight="false" outlineLevel="0" collapsed="false">
      <c r="B123" s="11" t="s">
        <v>182</v>
      </c>
      <c r="D123" s="34" t="n">
        <f aca="false">SUM(D114:D122)</f>
        <v>127490</v>
      </c>
      <c r="F123" s="34" t="n">
        <f aca="false">SUM(F114:F122)</f>
        <v>17165</v>
      </c>
      <c r="H123" s="34" t="n">
        <f aca="false">SUM(H114:H122)</f>
        <v>2122</v>
      </c>
      <c r="J123" s="34" t="n">
        <f aca="false">SUM(J114:J122)</f>
        <v>108203</v>
      </c>
    </row>
    <row r="124" customFormat="false" ht="15" hidden="false" customHeight="false" outlineLevel="0" collapsed="false">
      <c r="B124" s="16" t="s">
        <v>183</v>
      </c>
      <c r="D124" s="17" t="n">
        <f aca="false">D123-D109</f>
        <v>84993.34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197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28</v>
      </c>
      <c r="C10" s="23" t="s">
        <v>27</v>
      </c>
      <c r="D10" s="24" t="n">
        <v>40887</v>
      </c>
      <c r="E10" s="24" t="n">
        <v>0</v>
      </c>
      <c r="F10" s="24" t="n">
        <v>0</v>
      </c>
      <c r="G10" s="24" t="n">
        <v>40887</v>
      </c>
      <c r="H10" s="24" t="n">
        <v>0</v>
      </c>
      <c r="I10" s="24" t="n">
        <f aca="false">G10+H10</f>
        <v>40887</v>
      </c>
      <c r="J10" s="24" t="n">
        <f aca="false">D10-I10</f>
        <v>0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30</v>
      </c>
      <c r="C11" s="23" t="s">
        <v>29</v>
      </c>
      <c r="D11" s="24" t="n">
        <v>1131216</v>
      </c>
      <c r="E11" s="24" t="n">
        <v>0</v>
      </c>
      <c r="F11" s="24" t="n">
        <v>0</v>
      </c>
      <c r="G11" s="24" t="n">
        <v>245097.45</v>
      </c>
      <c r="H11" s="24" t="n">
        <v>41135.17</v>
      </c>
      <c r="I11" s="24" t="n">
        <f aca="false">G11+H11</f>
        <v>286232.62</v>
      </c>
      <c r="J11" s="24" t="n">
        <f aca="false">D11-I11</f>
        <v>844983.38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31</v>
      </c>
      <c r="C12" s="23" t="s">
        <v>29</v>
      </c>
      <c r="D12" s="24" t="n">
        <v>190807</v>
      </c>
      <c r="E12" s="24" t="n">
        <v>0</v>
      </c>
      <c r="F12" s="24" t="n">
        <v>190807</v>
      </c>
      <c r="G12" s="24" t="n">
        <v>190807</v>
      </c>
      <c r="H12" s="24" t="n">
        <v>0</v>
      </c>
      <c r="I12" s="24" t="n">
        <f aca="false">G12+H12</f>
        <v>190807</v>
      </c>
      <c r="J12" s="24" t="n">
        <f aca="false">D12-I12</f>
        <v>0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1362910</v>
      </c>
      <c r="E13" s="28" t="n">
        <f aca="false">SUM(E10:E12)</f>
        <v>0</v>
      </c>
      <c r="F13" s="28" t="n">
        <f aca="false">SUM(F10:F12)</f>
        <v>190807</v>
      </c>
      <c r="G13" s="28" t="n">
        <f aca="false">SUM(G10:G12)</f>
        <v>476791.45</v>
      </c>
      <c r="H13" s="28" t="n">
        <f aca="false">SUM(H10:H12)</f>
        <v>41135.17</v>
      </c>
      <c r="I13" s="28" t="n">
        <f aca="false">SUM(I10:I12)</f>
        <v>517926.62</v>
      </c>
      <c r="J13" s="28" t="n">
        <f aca="false">SUM(J10:J12)</f>
        <v>844983.38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72</v>
      </c>
      <c r="C17" s="23" t="s">
        <v>27</v>
      </c>
      <c r="D17" s="24" t="n">
        <v>6134</v>
      </c>
      <c r="E17" s="24" t="n">
        <v>0</v>
      </c>
      <c r="F17" s="24" t="n">
        <v>0</v>
      </c>
      <c r="G17" s="24" t="n">
        <v>6134</v>
      </c>
      <c r="H17" s="24" t="n">
        <v>0</v>
      </c>
      <c r="I17" s="24" t="n">
        <f aca="false">G17+H17</f>
        <v>6134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73</v>
      </c>
      <c r="C18" s="23" t="s">
        <v>27</v>
      </c>
      <c r="D18" s="24" t="n">
        <v>692</v>
      </c>
      <c r="E18" s="24" t="n">
        <v>0</v>
      </c>
      <c r="F18" s="24" t="n">
        <v>0</v>
      </c>
      <c r="G18" s="24" t="n">
        <v>692</v>
      </c>
      <c r="H18" s="24" t="n">
        <v>0</v>
      </c>
      <c r="I18" s="24" t="n">
        <f aca="false">G18+H18</f>
        <v>692</v>
      </c>
      <c r="J18" s="24" t="n">
        <f aca="false">D18-I18</f>
        <v>0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74</v>
      </c>
      <c r="C19" s="23" t="s">
        <v>27</v>
      </c>
      <c r="D19" s="24" t="n">
        <v>34061</v>
      </c>
      <c r="E19" s="24" t="n">
        <v>0</v>
      </c>
      <c r="F19" s="24" t="n">
        <v>0</v>
      </c>
      <c r="G19" s="24" t="n">
        <v>7379.87</v>
      </c>
      <c r="H19" s="24" t="n">
        <v>1238.58</v>
      </c>
      <c r="I19" s="24" t="n">
        <f aca="false">G19+H19</f>
        <v>8618.45</v>
      </c>
      <c r="J19" s="24" t="n">
        <f aca="false">D19-I19</f>
        <v>25442.55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75</v>
      </c>
      <c r="C20" s="23" t="s">
        <v>29</v>
      </c>
      <c r="D20" s="24" t="n">
        <v>169707</v>
      </c>
      <c r="E20" s="24" t="n">
        <v>0</v>
      </c>
      <c r="F20" s="24" t="n">
        <v>169707</v>
      </c>
      <c r="G20" s="24" t="n">
        <v>169707</v>
      </c>
      <c r="H20" s="24" t="n">
        <v>0</v>
      </c>
      <c r="I20" s="24" t="n">
        <f aca="false">G20+H20</f>
        <v>169707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76</v>
      </c>
      <c r="C21" s="23" t="s">
        <v>29</v>
      </c>
      <c r="D21" s="24" t="n">
        <v>19148</v>
      </c>
      <c r="E21" s="24" t="n">
        <v>0</v>
      </c>
      <c r="F21" s="24" t="n">
        <v>19148</v>
      </c>
      <c r="G21" s="24" t="n">
        <v>19148</v>
      </c>
      <c r="H21" s="24" t="n">
        <v>0</v>
      </c>
      <c r="I21" s="24" t="n">
        <f aca="false">G21+H21</f>
        <v>19148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77</v>
      </c>
      <c r="C22" s="23" t="s">
        <v>29</v>
      </c>
      <c r="D22" s="24" t="n">
        <v>942361</v>
      </c>
      <c r="E22" s="24" t="n">
        <v>0</v>
      </c>
      <c r="F22" s="24" t="n">
        <v>0</v>
      </c>
      <c r="G22" s="24" t="n">
        <v>204178.2</v>
      </c>
      <c r="H22" s="24" t="n">
        <v>34267.67</v>
      </c>
      <c r="I22" s="24" t="n">
        <f aca="false">G22+H22</f>
        <v>238445.87</v>
      </c>
      <c r="J22" s="24" t="n">
        <f aca="false">D22-I22</f>
        <v>703915.13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78</v>
      </c>
      <c r="C23" s="23" t="s">
        <v>29</v>
      </c>
      <c r="D23" s="24" t="n">
        <v>28625</v>
      </c>
      <c r="E23" s="24" t="n">
        <v>0</v>
      </c>
      <c r="F23" s="24" t="n">
        <v>28625</v>
      </c>
      <c r="G23" s="24" t="n">
        <v>28625</v>
      </c>
      <c r="H23" s="24" t="n">
        <v>0</v>
      </c>
      <c r="I23" s="24" t="n">
        <f aca="false">G23+H23</f>
        <v>28625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79</v>
      </c>
      <c r="C24" s="23" t="s">
        <v>29</v>
      </c>
      <c r="D24" s="24" t="n">
        <v>3230</v>
      </c>
      <c r="E24" s="24" t="n">
        <v>0</v>
      </c>
      <c r="F24" s="24" t="n">
        <v>3230</v>
      </c>
      <c r="G24" s="24" t="n">
        <v>3230</v>
      </c>
      <c r="H24" s="24" t="n">
        <v>0</v>
      </c>
      <c r="I24" s="24" t="n">
        <f aca="false">G24+H24</f>
        <v>3230</v>
      </c>
      <c r="J24" s="24" t="n">
        <f aca="false">D24-I24</f>
        <v>0</v>
      </c>
      <c r="K24" s="25" t="s">
        <v>124</v>
      </c>
      <c r="L24" s="25" t="s">
        <v>122</v>
      </c>
    </row>
    <row r="25" customFormat="false" ht="15" hidden="false" customHeight="false" outlineLevel="0" collapsed="false">
      <c r="A25" s="23" t="n">
        <v>9</v>
      </c>
      <c r="B25" s="23" t="s">
        <v>80</v>
      </c>
      <c r="C25" s="23" t="s">
        <v>29</v>
      </c>
      <c r="D25" s="24" t="n">
        <v>158953</v>
      </c>
      <c r="E25" s="24" t="n">
        <v>0</v>
      </c>
      <c r="F25" s="24" t="n">
        <v>0</v>
      </c>
      <c r="G25" s="24" t="n">
        <v>34439.59</v>
      </c>
      <c r="H25" s="24" t="n">
        <v>5780.11</v>
      </c>
      <c r="I25" s="24" t="n">
        <f aca="false">G25+H25</f>
        <v>40219.7</v>
      </c>
      <c r="J25" s="24" t="n">
        <f aca="false">D25-I25</f>
        <v>118733.3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1362911</v>
      </c>
      <c r="E26" s="28" t="n">
        <f aca="false">SUM(E17:E25)</f>
        <v>0</v>
      </c>
      <c r="F26" s="28" t="n">
        <f aca="false">SUM(F17:F25)</f>
        <v>220710</v>
      </c>
      <c r="G26" s="28" t="n">
        <f aca="false">SUM(G17:G25)</f>
        <v>473533.66</v>
      </c>
      <c r="H26" s="28" t="n">
        <f aca="false">SUM(H17:H25)</f>
        <v>41286.36</v>
      </c>
      <c r="I26" s="28" t="n">
        <f aca="false">SUM(I17:I25)</f>
        <v>514820.02</v>
      </c>
      <c r="J26" s="28" t="n">
        <f aca="false">SUM(J17:J25)</f>
        <v>848090.98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517926.62</v>
      </c>
    </row>
    <row r="30" customFormat="false" ht="15" hidden="false" customHeight="false" outlineLevel="0" collapsed="false">
      <c r="B30" s="5" t="s">
        <v>127</v>
      </c>
      <c r="D30" s="6" t="n">
        <f aca="false">I26</f>
        <v>514820.02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3106.59999999998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28</v>
      </c>
      <c r="C36" s="23" t="s">
        <v>27</v>
      </c>
      <c r="D36" s="24" t="n">
        <v>40887</v>
      </c>
      <c r="E36" s="24" t="n">
        <v>0</v>
      </c>
      <c r="F36" s="24" t="n">
        <v>0</v>
      </c>
      <c r="G36" s="24" t="n">
        <v>40887</v>
      </c>
      <c r="H36" s="24" t="n">
        <v>0</v>
      </c>
      <c r="I36" s="24" t="n">
        <f aca="false">G36+H36</f>
        <v>40887</v>
      </c>
      <c r="J36" s="24" t="n">
        <f aca="false">D36-I36</f>
        <v>0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30</v>
      </c>
      <c r="C37" s="23" t="s">
        <v>29</v>
      </c>
      <c r="D37" s="24" t="n">
        <v>1131216</v>
      </c>
      <c r="E37" s="24" t="n">
        <v>0</v>
      </c>
      <c r="F37" s="24" t="n">
        <v>0</v>
      </c>
      <c r="G37" s="24" t="n">
        <v>245097.45</v>
      </c>
      <c r="H37" s="24" t="n">
        <v>41135.17</v>
      </c>
      <c r="I37" s="24" t="n">
        <f aca="false">G37+H37</f>
        <v>286232.62</v>
      </c>
      <c r="J37" s="24" t="n">
        <f aca="false">D37-I37</f>
        <v>844983.38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31</v>
      </c>
      <c r="C38" s="23" t="s">
        <v>29</v>
      </c>
      <c r="D38" s="24" t="n">
        <v>190807</v>
      </c>
      <c r="E38" s="24" t="n">
        <v>0</v>
      </c>
      <c r="F38" s="24" t="n">
        <v>190807</v>
      </c>
      <c r="G38" s="24" t="n">
        <v>190807</v>
      </c>
      <c r="H38" s="24" t="n">
        <v>0</v>
      </c>
      <c r="I38" s="24" t="n">
        <f aca="false">G38+H38</f>
        <v>190807</v>
      </c>
      <c r="J38" s="24" t="n">
        <f aca="false">D38-I38</f>
        <v>0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1362910</v>
      </c>
      <c r="E39" s="28" t="n">
        <f aca="false">SUM(E36:E38)</f>
        <v>0</v>
      </c>
      <c r="F39" s="28" t="n">
        <f aca="false">SUM(F36:F38)</f>
        <v>190807</v>
      </c>
      <c r="G39" s="28" t="n">
        <f aca="false">SUM(G36:G38)</f>
        <v>476791.45</v>
      </c>
      <c r="H39" s="28" t="n">
        <f aca="false">SUM(H36:H38)</f>
        <v>41135.17</v>
      </c>
      <c r="I39" s="28" t="n">
        <f aca="false">SUM(I36:I38)</f>
        <v>517926.62</v>
      </c>
      <c r="J39" s="28" t="n">
        <f aca="false">SUM(J36:J38)</f>
        <v>844983.38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72</v>
      </c>
      <c r="C43" s="23" t="s">
        <v>27</v>
      </c>
      <c r="D43" s="24" t="n">
        <v>6134</v>
      </c>
      <c r="E43" s="24" t="n">
        <v>0</v>
      </c>
      <c r="F43" s="24" t="n">
        <v>0</v>
      </c>
      <c r="G43" s="24" t="n">
        <v>6134</v>
      </c>
      <c r="H43" s="24" t="n">
        <v>0</v>
      </c>
      <c r="I43" s="24" t="n">
        <f aca="false">G43+H43</f>
        <v>6134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73</v>
      </c>
      <c r="C44" s="23" t="s">
        <v>27</v>
      </c>
      <c r="D44" s="24" t="n">
        <v>692</v>
      </c>
      <c r="E44" s="24" t="n">
        <v>0</v>
      </c>
      <c r="F44" s="24" t="n">
        <v>0</v>
      </c>
      <c r="G44" s="24" t="n">
        <v>692</v>
      </c>
      <c r="H44" s="24" t="n">
        <v>0</v>
      </c>
      <c r="I44" s="24" t="n">
        <f aca="false">G44+H44</f>
        <v>692</v>
      </c>
      <c r="J44" s="24" t="n">
        <f aca="false">D44-I44</f>
        <v>0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74</v>
      </c>
      <c r="C45" s="23" t="s">
        <v>27</v>
      </c>
      <c r="D45" s="24" t="n">
        <v>34061</v>
      </c>
      <c r="E45" s="24" t="n">
        <v>0</v>
      </c>
      <c r="F45" s="24" t="n">
        <v>0</v>
      </c>
      <c r="G45" s="24" t="n">
        <v>7379.87</v>
      </c>
      <c r="H45" s="24" t="n">
        <v>1238.58</v>
      </c>
      <c r="I45" s="24" t="n">
        <f aca="false">G45+H45</f>
        <v>8618.45</v>
      </c>
      <c r="J45" s="24" t="n">
        <f aca="false">D45-I45</f>
        <v>25442.55</v>
      </c>
      <c r="K45" s="25" t="s">
        <v>120</v>
      </c>
      <c r="L45" s="25" t="s">
        <v>121</v>
      </c>
    </row>
    <row r="46" customFormat="false" ht="15" hidden="false" customHeight="false" outlineLevel="0" collapsed="false">
      <c r="A46" s="23" t="n">
        <v>4</v>
      </c>
      <c r="B46" s="23" t="s">
        <v>75</v>
      </c>
      <c r="C46" s="23" t="s">
        <v>29</v>
      </c>
      <c r="D46" s="24" t="n">
        <v>169707</v>
      </c>
      <c r="E46" s="24" t="n">
        <v>0</v>
      </c>
      <c r="F46" s="24" t="n">
        <v>169707</v>
      </c>
      <c r="G46" s="24" t="n">
        <v>169707</v>
      </c>
      <c r="H46" s="24" t="n">
        <v>0</v>
      </c>
      <c r="I46" s="24" t="n">
        <f aca="false">G46+H46</f>
        <v>169707</v>
      </c>
      <c r="J46" s="24" t="n">
        <f aca="false">D46-I46</f>
        <v>0</v>
      </c>
      <c r="K46" s="25" t="s">
        <v>124</v>
      </c>
      <c r="L46" s="25" t="s">
        <v>122</v>
      </c>
    </row>
    <row r="47" customFormat="false" ht="15" hidden="false" customHeight="false" outlineLevel="0" collapsed="false">
      <c r="A47" s="23" t="n">
        <v>5</v>
      </c>
      <c r="B47" s="23" t="s">
        <v>76</v>
      </c>
      <c r="C47" s="23" t="s">
        <v>29</v>
      </c>
      <c r="D47" s="24" t="n">
        <v>19148</v>
      </c>
      <c r="E47" s="24" t="n">
        <v>0</v>
      </c>
      <c r="F47" s="24" t="n">
        <v>19148</v>
      </c>
      <c r="G47" s="24" t="n">
        <v>19148</v>
      </c>
      <c r="H47" s="24" t="n">
        <v>0</v>
      </c>
      <c r="I47" s="24" t="n">
        <f aca="false">G47+H47</f>
        <v>19148</v>
      </c>
      <c r="J47" s="24" t="n">
        <f aca="false">D47-I47</f>
        <v>0</v>
      </c>
      <c r="K47" s="25" t="s">
        <v>118</v>
      </c>
      <c r="L47" s="25" t="s">
        <v>119</v>
      </c>
    </row>
    <row r="48" customFormat="false" ht="15" hidden="false" customHeight="false" outlineLevel="0" collapsed="false">
      <c r="A48" s="23" t="n">
        <v>6</v>
      </c>
      <c r="B48" s="23" t="s">
        <v>77</v>
      </c>
      <c r="C48" s="23" t="s">
        <v>29</v>
      </c>
      <c r="D48" s="24" t="n">
        <v>942361</v>
      </c>
      <c r="E48" s="24" t="n">
        <v>0</v>
      </c>
      <c r="F48" s="24" t="n">
        <v>0</v>
      </c>
      <c r="G48" s="24" t="n">
        <v>204178.2</v>
      </c>
      <c r="H48" s="24" t="n">
        <v>34267.67</v>
      </c>
      <c r="I48" s="24" t="n">
        <f aca="false">G48+H48</f>
        <v>238445.87</v>
      </c>
      <c r="J48" s="24" t="n">
        <f aca="false">D48-I48</f>
        <v>703915.13</v>
      </c>
      <c r="K48" s="25" t="s">
        <v>120</v>
      </c>
      <c r="L48" s="25" t="s">
        <v>121</v>
      </c>
    </row>
    <row r="49" customFormat="false" ht="15" hidden="false" customHeight="false" outlineLevel="0" collapsed="false">
      <c r="A49" s="23" t="n">
        <v>7</v>
      </c>
      <c r="B49" s="23" t="s">
        <v>78</v>
      </c>
      <c r="C49" s="23" t="s">
        <v>29</v>
      </c>
      <c r="D49" s="24" t="n">
        <v>28625</v>
      </c>
      <c r="E49" s="24" t="n">
        <v>0</v>
      </c>
      <c r="F49" s="24" t="n">
        <v>28625</v>
      </c>
      <c r="G49" s="24" t="n">
        <v>28625</v>
      </c>
      <c r="H49" s="24" t="n">
        <v>0</v>
      </c>
      <c r="I49" s="24" t="n">
        <f aca="false">G49+H49</f>
        <v>28625</v>
      </c>
      <c r="J49" s="24" t="n">
        <f aca="false">D49-I49</f>
        <v>0</v>
      </c>
      <c r="K49" s="25" t="s">
        <v>124</v>
      </c>
      <c r="L49" s="25" t="s">
        <v>122</v>
      </c>
    </row>
    <row r="50" customFormat="false" ht="15" hidden="false" customHeight="false" outlineLevel="0" collapsed="false">
      <c r="A50" s="23" t="n">
        <v>8</v>
      </c>
      <c r="B50" s="23" t="s">
        <v>79</v>
      </c>
      <c r="C50" s="23" t="s">
        <v>29</v>
      </c>
      <c r="D50" s="24" t="n">
        <v>3230</v>
      </c>
      <c r="E50" s="24" t="n">
        <v>0</v>
      </c>
      <c r="F50" s="24" t="n">
        <v>3230</v>
      </c>
      <c r="G50" s="24" t="n">
        <v>3230</v>
      </c>
      <c r="H50" s="24" t="n">
        <v>0</v>
      </c>
      <c r="I50" s="24" t="n">
        <f aca="false">G50+H50</f>
        <v>3230</v>
      </c>
      <c r="J50" s="24" t="n">
        <f aca="false">D50-I50</f>
        <v>0</v>
      </c>
      <c r="K50" s="25" t="s">
        <v>124</v>
      </c>
      <c r="L50" s="25" t="s">
        <v>122</v>
      </c>
    </row>
    <row r="51" customFormat="false" ht="15" hidden="false" customHeight="false" outlineLevel="0" collapsed="false">
      <c r="A51" s="23" t="n">
        <v>9</v>
      </c>
      <c r="B51" s="23" t="s">
        <v>80</v>
      </c>
      <c r="C51" s="23" t="s">
        <v>29</v>
      </c>
      <c r="D51" s="24" t="n">
        <v>158953</v>
      </c>
      <c r="E51" s="24" t="n">
        <v>0</v>
      </c>
      <c r="F51" s="24" t="n">
        <v>0</v>
      </c>
      <c r="G51" s="24" t="n">
        <v>34439.59</v>
      </c>
      <c r="H51" s="24" t="n">
        <v>5780.11</v>
      </c>
      <c r="I51" s="24" t="n">
        <f aca="false">G51+H51</f>
        <v>40219.7</v>
      </c>
      <c r="J51" s="24" t="n">
        <f aca="false">D51-I51</f>
        <v>118733.3</v>
      </c>
      <c r="K51" s="25" t="s">
        <v>120</v>
      </c>
      <c r="L51" s="25" t="s">
        <v>121</v>
      </c>
    </row>
    <row r="52" customFormat="false" ht="15" hidden="false" customHeight="false" outlineLevel="0" collapsed="false">
      <c r="A52" s="26"/>
      <c r="B52" s="27" t="s">
        <v>35</v>
      </c>
      <c r="C52" s="26"/>
      <c r="D52" s="28" t="n">
        <f aca="false">SUM(D43:D51)</f>
        <v>1362911</v>
      </c>
      <c r="E52" s="28" t="n">
        <f aca="false">SUM(E43:E51)</f>
        <v>0</v>
      </c>
      <c r="F52" s="28" t="n">
        <f aca="false">SUM(F43:F51)</f>
        <v>220710</v>
      </c>
      <c r="G52" s="28" t="n">
        <f aca="false">SUM(G43:G51)</f>
        <v>473533.66</v>
      </c>
      <c r="H52" s="28" t="n">
        <f aca="false">SUM(H43:H51)</f>
        <v>41286.36</v>
      </c>
      <c r="I52" s="28" t="n">
        <f aca="false">SUM(I43:I51)</f>
        <v>514820.02</v>
      </c>
      <c r="J52" s="28" t="n">
        <f aca="false">SUM(J43:J51)</f>
        <v>848090.98</v>
      </c>
      <c r="K52" s="26"/>
      <c r="L52" s="26"/>
    </row>
    <row r="54" customFormat="false" ht="15" hidden="false" customHeight="false" outlineLevel="0" collapsed="false">
      <c r="B54" s="18" t="s">
        <v>133</v>
      </c>
    </row>
    <row r="55" customFormat="false" ht="15" hidden="false" customHeight="false" outlineLevel="0" collapsed="false">
      <c r="B55" s="5" t="s">
        <v>126</v>
      </c>
      <c r="D55" s="6" t="n">
        <f aca="false">I39</f>
        <v>517926.62</v>
      </c>
    </row>
    <row r="56" customFormat="false" ht="15" hidden="false" customHeight="false" outlineLevel="0" collapsed="false">
      <c r="B56" s="5" t="s">
        <v>127</v>
      </c>
      <c r="D56" s="6" t="n">
        <f aca="false">I52</f>
        <v>514820.02</v>
      </c>
    </row>
    <row r="57" customFormat="false" ht="15" hidden="false" customHeight="false" outlineLevel="0" collapsed="false">
      <c r="B57" s="11" t="s">
        <v>133</v>
      </c>
      <c r="D57" s="29" t="n">
        <f aca="false">D55-D56</f>
        <v>3106.59999999998</v>
      </c>
    </row>
    <row r="59" customFormat="false" ht="15" hidden="false" customHeight="false" outlineLevel="0" collapsed="false">
      <c r="A59" s="10" t="s">
        <v>134</v>
      </c>
    </row>
    <row r="60" customFormat="false" ht="15" hidden="false" customHeight="false" outlineLevel="0" collapsed="false">
      <c r="B60" s="11" t="s">
        <v>135</v>
      </c>
      <c r="D60" s="12" t="n">
        <f aca="false">D110</f>
        <v>42590.96</v>
      </c>
    </row>
    <row r="61" customFormat="false" ht="15" hidden="false" customHeight="false" outlineLevel="0" collapsed="false">
      <c r="B61" s="5" t="s">
        <v>136</v>
      </c>
      <c r="D61" s="6" t="n">
        <f aca="false">F110</f>
        <v>6389.57</v>
      </c>
    </row>
    <row r="62" customFormat="false" ht="15" hidden="false" customHeight="false" outlineLevel="0" collapsed="false">
      <c r="B62" s="30" t="s">
        <v>137</v>
      </c>
      <c r="D62" s="31" t="n">
        <f aca="false">F111</f>
        <v>0.150021741702934</v>
      </c>
    </row>
    <row r="63" customFormat="false" ht="15" hidden="false" customHeight="false" outlineLevel="0" collapsed="false">
      <c r="B63" s="5" t="s">
        <v>138</v>
      </c>
      <c r="D63" s="6" t="n">
        <f aca="false">H110</f>
        <v>720.93</v>
      </c>
    </row>
    <row r="64" customFormat="false" ht="15" hidden="false" customHeight="false" outlineLevel="0" collapsed="false">
      <c r="B64" s="30" t="s">
        <v>137</v>
      </c>
      <c r="D64" s="31" t="n">
        <f aca="false">H111</f>
        <v>0.0169268314215035</v>
      </c>
    </row>
    <row r="65" customFormat="false" ht="15" hidden="false" customHeight="false" outlineLevel="0" collapsed="false">
      <c r="B65" s="5" t="s">
        <v>139</v>
      </c>
      <c r="D65" s="6" t="n">
        <f aca="false">J110</f>
        <v>35480.46</v>
      </c>
    </row>
    <row r="66" customFormat="false" ht="15" hidden="false" customHeight="false" outlineLevel="0" collapsed="false">
      <c r="B66" s="30" t="s">
        <v>137</v>
      </c>
      <c r="D66" s="31" t="n">
        <f aca="false">J111</f>
        <v>0.833051426875562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B69" s="4" t="s">
        <v>141</v>
      </c>
      <c r="D69" s="4" t="s">
        <v>109</v>
      </c>
      <c r="F69" s="4" t="s">
        <v>142</v>
      </c>
      <c r="H69" s="4" t="s">
        <v>143</v>
      </c>
      <c r="J69" s="4" t="s">
        <v>144</v>
      </c>
    </row>
    <row r="70" customFormat="false" ht="15" hidden="false" customHeight="false" outlineLevel="0" collapsed="false">
      <c r="B70" s="32" t="s">
        <v>145</v>
      </c>
    </row>
    <row r="71" customFormat="false" ht="15" hidden="false" customHeight="false" outlineLevel="0" collapsed="false">
      <c r="B71" s="5" t="s">
        <v>146</v>
      </c>
      <c r="D71" s="33" t="n">
        <f aca="false">SUM(F71:J71)</f>
        <v>769.54</v>
      </c>
      <c r="F71" s="33" t="n">
        <v>769.54</v>
      </c>
    </row>
    <row r="72" customFormat="false" ht="15" hidden="false" customHeight="false" outlineLevel="0" collapsed="false">
      <c r="B72" s="5" t="s">
        <v>147</v>
      </c>
      <c r="D72" s="33" t="n">
        <f aca="false">SUM(F72:J72)</f>
        <v>1073.38</v>
      </c>
      <c r="F72" s="33" t="n">
        <v>1073.38</v>
      </c>
    </row>
    <row r="73" customFormat="false" ht="15" hidden="false" customHeight="false" outlineLevel="0" collapsed="false">
      <c r="B73" s="5" t="s">
        <v>148</v>
      </c>
      <c r="D73" s="33" t="n">
        <f aca="false">SUM(F73:J73)</f>
        <v>1525.14</v>
      </c>
      <c r="F73" s="33" t="n">
        <v>1525.14</v>
      </c>
    </row>
    <row r="74" customFormat="false" ht="15" hidden="false" customHeight="false" outlineLevel="0" collapsed="false">
      <c r="B74" s="5" t="s">
        <v>149</v>
      </c>
      <c r="D74" s="33" t="n">
        <f aca="false">SUM(F74:J74)</f>
        <v>391.94</v>
      </c>
      <c r="F74" s="33" t="n">
        <v>391.94</v>
      </c>
    </row>
    <row r="75" customFormat="false" ht="15" hidden="false" customHeight="false" outlineLevel="0" collapsed="false">
      <c r="B75" s="5" t="s">
        <v>150</v>
      </c>
      <c r="D75" s="33" t="n">
        <f aca="false">SUM(F75:J75)</f>
        <v>399.45</v>
      </c>
      <c r="F75" s="33" t="n">
        <v>399.45</v>
      </c>
    </row>
    <row r="76" customFormat="false" ht="15" hidden="false" customHeight="false" outlineLevel="0" collapsed="false">
      <c r="B76" s="5" t="s">
        <v>151</v>
      </c>
      <c r="D76" s="33" t="n">
        <f aca="false">SUM(F76:J76)</f>
        <v>33.34</v>
      </c>
      <c r="F76" s="33" t="n">
        <v>33.34</v>
      </c>
    </row>
    <row r="77" customFormat="false" ht="15" hidden="false" customHeight="false" outlineLevel="0" collapsed="false">
      <c r="B77" s="5" t="s">
        <v>152</v>
      </c>
      <c r="D77" s="33" t="n">
        <f aca="false">SUM(F77:J77)</f>
        <v>21.93</v>
      </c>
      <c r="F77" s="33" t="n">
        <v>21.93</v>
      </c>
    </row>
    <row r="78" customFormat="false" ht="15" hidden="false" customHeight="false" outlineLevel="0" collapsed="false">
      <c r="B78" s="5" t="s">
        <v>153</v>
      </c>
      <c r="D78" s="33" t="n">
        <f aca="false">SUM(F78:J78)</f>
        <v>569.4</v>
      </c>
      <c r="F78" s="33" t="n">
        <v>569.4</v>
      </c>
    </row>
    <row r="79" customFormat="false" ht="15" hidden="false" customHeight="false" outlineLevel="0" collapsed="false">
      <c r="B79" s="5" t="s">
        <v>154</v>
      </c>
      <c r="D79" s="33" t="n">
        <f aca="false">SUM(F79:J79)</f>
        <v>233.79</v>
      </c>
      <c r="F79" s="33" t="n">
        <v>233.79</v>
      </c>
    </row>
    <row r="80" customFormat="false" ht="15" hidden="false" customHeight="false" outlineLevel="0" collapsed="false">
      <c r="B80" s="5" t="s">
        <v>155</v>
      </c>
      <c r="D80" s="33" t="n">
        <f aca="false">SUM(F80:J80)</f>
        <v>623.44</v>
      </c>
      <c r="F80" s="33" t="n">
        <v>623.44</v>
      </c>
    </row>
    <row r="81" customFormat="false" ht="15" hidden="false" customHeight="false" outlineLevel="0" collapsed="false">
      <c r="B81" s="5" t="s">
        <v>156</v>
      </c>
      <c r="D81" s="33" t="n">
        <f aca="false">SUM(F81:J81)</f>
        <v>123.66</v>
      </c>
      <c r="F81" s="33" t="n">
        <v>123.66</v>
      </c>
    </row>
    <row r="82" customFormat="false" ht="15" hidden="false" customHeight="false" outlineLevel="0" collapsed="false">
      <c r="B82" s="5" t="s">
        <v>157</v>
      </c>
      <c r="D82" s="33" t="n">
        <f aca="false">SUM(F82:J82)</f>
        <v>624.56</v>
      </c>
      <c r="F82" s="33" t="n">
        <v>624.56</v>
      </c>
    </row>
    <row r="83" customFormat="false" ht="15" hidden="false" customHeight="false" outlineLevel="0" collapsed="false">
      <c r="B83" s="32" t="s">
        <v>158</v>
      </c>
    </row>
    <row r="84" customFormat="false" ht="15" hidden="false" customHeight="false" outlineLevel="0" collapsed="false">
      <c r="B84" s="5" t="s">
        <v>159</v>
      </c>
      <c r="D84" s="33" t="n">
        <f aca="false">SUM(F84:J84)</f>
        <v>462.21</v>
      </c>
      <c r="H84" s="33" t="n">
        <v>462.21</v>
      </c>
    </row>
    <row r="85" customFormat="false" ht="15" hidden="false" customHeight="false" outlineLevel="0" collapsed="false">
      <c r="B85" s="5" t="s">
        <v>160</v>
      </c>
      <c r="D85" s="33" t="n">
        <f aca="false">SUM(F85:J85)</f>
        <v>179.88</v>
      </c>
      <c r="H85" s="33" t="n">
        <v>179.88</v>
      </c>
    </row>
    <row r="86" customFormat="false" ht="15" hidden="false" customHeight="false" outlineLevel="0" collapsed="false">
      <c r="B86" s="5" t="s">
        <v>198</v>
      </c>
      <c r="D86" s="33" t="n">
        <f aca="false">SUM(F86:J86)</f>
        <v>16.47</v>
      </c>
      <c r="H86" s="33" t="n">
        <v>16.47</v>
      </c>
    </row>
    <row r="87" customFormat="false" ht="15" hidden="false" customHeight="false" outlineLevel="0" collapsed="false">
      <c r="B87" s="5" t="s">
        <v>161</v>
      </c>
      <c r="D87" s="33" t="n">
        <f aca="false">SUM(F87:J87)</f>
        <v>38.5</v>
      </c>
      <c r="H87" s="33" t="n">
        <v>38.5</v>
      </c>
    </row>
    <row r="88" customFormat="false" ht="15" hidden="false" customHeight="false" outlineLevel="0" collapsed="false">
      <c r="B88" s="5" t="s">
        <v>162</v>
      </c>
      <c r="D88" s="33" t="n">
        <f aca="false">SUM(F88:J88)</f>
        <v>23.87</v>
      </c>
      <c r="H88" s="33" t="n">
        <v>23.87</v>
      </c>
    </row>
    <row r="89" customFormat="false" ht="15" hidden="false" customHeight="false" outlineLevel="0" collapsed="false">
      <c r="B89" s="32" t="s">
        <v>163</v>
      </c>
    </row>
    <row r="90" customFormat="false" ht="15" hidden="false" customHeight="false" outlineLevel="0" collapsed="false">
      <c r="B90" s="5" t="s">
        <v>164</v>
      </c>
      <c r="D90" s="33" t="n">
        <f aca="false">SUM(F90:J90)</f>
        <v>2692.77</v>
      </c>
      <c r="J90" s="33" t="n">
        <v>2692.77</v>
      </c>
    </row>
    <row r="91" customFormat="false" ht="15" hidden="false" customHeight="false" outlineLevel="0" collapsed="false">
      <c r="B91" s="5" t="s">
        <v>165</v>
      </c>
      <c r="D91" s="33" t="n">
        <f aca="false">SUM(F91:J91)</f>
        <v>4528.89</v>
      </c>
      <c r="J91" s="33" t="n">
        <v>4528.89</v>
      </c>
    </row>
    <row r="92" customFormat="false" ht="15" hidden="false" customHeight="false" outlineLevel="0" collapsed="false">
      <c r="B92" s="5" t="s">
        <v>166</v>
      </c>
      <c r="D92" s="33" t="n">
        <f aca="false">SUM(F92:J92)</f>
        <v>2401.76</v>
      </c>
      <c r="J92" s="33" t="n">
        <v>2401.76</v>
      </c>
    </row>
    <row r="93" customFormat="false" ht="15" hidden="false" customHeight="false" outlineLevel="0" collapsed="false">
      <c r="B93" s="5" t="s">
        <v>167</v>
      </c>
      <c r="D93" s="33" t="n">
        <f aca="false">SUM(F93:J93)</f>
        <v>2545.73</v>
      </c>
      <c r="J93" s="33" t="n">
        <v>2545.73</v>
      </c>
    </row>
    <row r="94" customFormat="false" ht="15" hidden="false" customHeight="false" outlineLevel="0" collapsed="false">
      <c r="B94" s="5" t="s">
        <v>168</v>
      </c>
      <c r="D94" s="33" t="n">
        <f aca="false">SUM(F94:J94)</f>
        <v>2116.83</v>
      </c>
      <c r="J94" s="33" t="n">
        <v>2116.83</v>
      </c>
    </row>
    <row r="95" customFormat="false" ht="15" hidden="false" customHeight="false" outlineLevel="0" collapsed="false">
      <c r="B95" s="5" t="s">
        <v>169</v>
      </c>
      <c r="D95" s="33" t="n">
        <f aca="false">SUM(F95:J95)</f>
        <v>133.07</v>
      </c>
      <c r="J95" s="33" t="n">
        <v>133.07</v>
      </c>
    </row>
    <row r="96" customFormat="false" ht="15" hidden="false" customHeight="false" outlineLevel="0" collapsed="false">
      <c r="B96" s="5" t="s">
        <v>170</v>
      </c>
      <c r="D96" s="33" t="n">
        <f aca="false">SUM(F96:J96)</f>
        <v>2525.75</v>
      </c>
      <c r="J96" s="33" t="n">
        <v>2525.75</v>
      </c>
    </row>
    <row r="97" customFormat="false" ht="15" hidden="false" customHeight="false" outlineLevel="0" collapsed="false">
      <c r="B97" s="5" t="s">
        <v>171</v>
      </c>
      <c r="D97" s="33" t="n">
        <f aca="false">SUM(F97:J97)</f>
        <v>1588.26</v>
      </c>
      <c r="J97" s="33" t="n">
        <v>1588.26</v>
      </c>
    </row>
    <row r="98" customFormat="false" ht="15" hidden="false" customHeight="false" outlineLevel="0" collapsed="false">
      <c r="B98" s="5" t="s">
        <v>172</v>
      </c>
      <c r="D98" s="33" t="n">
        <f aca="false">SUM(F98:J98)</f>
        <v>1402.38</v>
      </c>
      <c r="J98" s="33" t="n">
        <v>1402.38</v>
      </c>
    </row>
    <row r="99" customFormat="false" ht="15" hidden="false" customHeight="false" outlineLevel="0" collapsed="false">
      <c r="B99" s="5" t="s">
        <v>173</v>
      </c>
      <c r="D99" s="33" t="n">
        <f aca="false">SUM(F99:J99)</f>
        <v>1255.57</v>
      </c>
      <c r="J99" s="33" t="n">
        <v>1255.57</v>
      </c>
    </row>
    <row r="100" customFormat="false" ht="15" hidden="false" customHeight="false" outlineLevel="0" collapsed="false">
      <c r="B100" s="5" t="s">
        <v>174</v>
      </c>
      <c r="D100" s="33" t="n">
        <f aca="false">SUM(F100:J100)</f>
        <v>5166.35</v>
      </c>
      <c r="J100" s="33" t="n">
        <v>5166.35</v>
      </c>
    </row>
    <row r="101" customFormat="false" ht="15" hidden="false" customHeight="false" outlineLevel="0" collapsed="false">
      <c r="B101" s="5" t="s">
        <v>175</v>
      </c>
      <c r="D101" s="33" t="n">
        <f aca="false">SUM(F101:J101)</f>
        <v>1609.06</v>
      </c>
      <c r="J101" s="33" t="n">
        <v>1609.06</v>
      </c>
    </row>
    <row r="102" customFormat="false" ht="15" hidden="false" customHeight="false" outlineLevel="0" collapsed="false">
      <c r="B102" s="5" t="s">
        <v>192</v>
      </c>
      <c r="D102" s="33" t="n">
        <f aca="false">SUM(F102:J102)</f>
        <v>510.29</v>
      </c>
      <c r="J102" s="33" t="n">
        <v>510.29</v>
      </c>
    </row>
    <row r="103" customFormat="false" ht="15" hidden="false" customHeight="false" outlineLevel="0" collapsed="false">
      <c r="B103" s="5" t="s">
        <v>176</v>
      </c>
      <c r="D103" s="33" t="n">
        <f aca="false">SUM(F103:J103)</f>
        <v>4954.03</v>
      </c>
      <c r="J103" s="33" t="n">
        <v>4954.03</v>
      </c>
    </row>
    <row r="104" customFormat="false" ht="15" hidden="false" customHeight="false" outlineLevel="0" collapsed="false">
      <c r="B104" s="5" t="s">
        <v>177</v>
      </c>
      <c r="D104" s="33" t="n">
        <f aca="false">SUM(F104:J104)</f>
        <v>363.68</v>
      </c>
      <c r="J104" s="33" t="n">
        <v>363.68</v>
      </c>
    </row>
    <row r="105" customFormat="false" ht="15" hidden="false" customHeight="false" outlineLevel="0" collapsed="false">
      <c r="B105" s="5" t="s">
        <v>193</v>
      </c>
      <c r="D105" s="33" t="n">
        <f aca="false">SUM(F105:J105)</f>
        <v>439.55</v>
      </c>
      <c r="J105" s="33" t="n">
        <v>439.55</v>
      </c>
    </row>
    <row r="106" customFormat="false" ht="15" hidden="false" customHeight="false" outlineLevel="0" collapsed="false">
      <c r="B106" s="5" t="s">
        <v>194</v>
      </c>
      <c r="D106" s="33" t="n">
        <f aca="false">SUM(F106:J106)</f>
        <v>58.21</v>
      </c>
      <c r="J106" s="33" t="n">
        <v>58.21</v>
      </c>
    </row>
    <row r="107" customFormat="false" ht="15" hidden="false" customHeight="false" outlineLevel="0" collapsed="false">
      <c r="B107" s="5" t="s">
        <v>178</v>
      </c>
      <c r="D107" s="33" t="n">
        <f aca="false">SUM(F107:J107)</f>
        <v>517.57</v>
      </c>
      <c r="J107" s="33" t="n">
        <v>517.57</v>
      </c>
    </row>
    <row r="108" customFormat="false" ht="15" hidden="false" customHeight="false" outlineLevel="0" collapsed="false">
      <c r="B108" s="5" t="s">
        <v>196</v>
      </c>
      <c r="D108" s="33" t="n">
        <f aca="false">SUM(F108:J108)</f>
        <v>365.76</v>
      </c>
      <c r="J108" s="33" t="n">
        <v>365.76</v>
      </c>
    </row>
    <row r="109" customFormat="false" ht="15" hidden="false" customHeight="false" outlineLevel="0" collapsed="false">
      <c r="B109" s="5" t="s">
        <v>179</v>
      </c>
      <c r="D109" s="33" t="n">
        <f aca="false">SUM(F109:J109)</f>
        <v>304.95</v>
      </c>
      <c r="J109" s="33" t="n">
        <v>304.95</v>
      </c>
    </row>
    <row r="110" customFormat="false" ht="15" hidden="false" customHeight="false" outlineLevel="0" collapsed="false">
      <c r="B110" s="11" t="s">
        <v>135</v>
      </c>
      <c r="D110" s="34" t="n">
        <f aca="false">SUM(D70:D109)</f>
        <v>42590.96</v>
      </c>
      <c r="F110" s="34" t="n">
        <f aca="false">SUM(F70:F109)</f>
        <v>6389.57</v>
      </c>
      <c r="H110" s="34" t="n">
        <f aca="false">SUM(H70:H109)</f>
        <v>720.93</v>
      </c>
      <c r="J110" s="34" t="n">
        <f aca="false">SUM(J70:J109)</f>
        <v>35480.46</v>
      </c>
    </row>
    <row r="111" customFormat="false" ht="15" hidden="false" customHeight="false" outlineLevel="0" collapsed="false">
      <c r="B111" s="30" t="s">
        <v>137</v>
      </c>
      <c r="F111" s="31" t="n">
        <f aca="false">F110/D110</f>
        <v>0.150021741702934</v>
      </c>
      <c r="H111" s="31" t="n">
        <f aca="false">H110/D110</f>
        <v>0.0169268314215035</v>
      </c>
      <c r="J111" s="31" t="n">
        <f aca="false">J110/D110</f>
        <v>0.833051426875562</v>
      </c>
    </row>
    <row r="113" customFormat="false" ht="15" hidden="false" customHeight="false" outlineLevel="0" collapsed="false">
      <c r="A113" s="10" t="s">
        <v>180</v>
      </c>
    </row>
    <row r="114" customFormat="false" ht="15" hidden="false" customHeight="false" outlineLevel="0" collapsed="false">
      <c r="B114" s="4" t="s">
        <v>181</v>
      </c>
      <c r="D114" s="4" t="s">
        <v>109</v>
      </c>
      <c r="F114" s="4" t="s">
        <v>142</v>
      </c>
      <c r="H114" s="4" t="s">
        <v>143</v>
      </c>
      <c r="J114" s="4" t="s">
        <v>144</v>
      </c>
    </row>
    <row r="115" customFormat="false" ht="15" hidden="false" customHeight="false" outlineLevel="0" collapsed="false">
      <c r="B115" s="5" t="str">
        <f aca="false">'6805 Sayres'!B17</f>
        <v>22 - Land Improvements - Gentry - 5yr</v>
      </c>
      <c r="D115" s="33" t="n">
        <f aca="false">SUM(F115:J115)</f>
        <v>6134</v>
      </c>
      <c r="F115" s="33" t="n">
        <f aca="false">'6805 Sayres'!D17</f>
        <v>6134</v>
      </c>
    </row>
    <row r="116" customFormat="false" ht="15" hidden="false" customHeight="false" outlineLevel="0" collapsed="false">
      <c r="B116" s="5" t="str">
        <f aca="false">'6805 Sayres'!B18</f>
        <v>22 - Land Improvements - Gentry - 15yr</v>
      </c>
      <c r="D116" s="33" t="n">
        <f aca="false">SUM(F116:J116)</f>
        <v>692</v>
      </c>
      <c r="H116" s="33" t="n">
        <f aca="false">'6805 Sayres'!D18</f>
        <v>692</v>
      </c>
    </row>
    <row r="117" customFormat="false" ht="15" hidden="false" customHeight="false" outlineLevel="0" collapsed="false">
      <c r="B117" s="5" t="str">
        <f aca="false">'6805 Sayres'!B19</f>
        <v>22 - Land Improvements - Gentry - 27.5yr</v>
      </c>
      <c r="D117" s="33" t="n">
        <f aca="false">SUM(F117:J117)</f>
        <v>34061</v>
      </c>
      <c r="J117" s="33" t="n">
        <f aca="false">'6805 Sayres'!D19</f>
        <v>34061</v>
      </c>
    </row>
    <row r="118" customFormat="false" ht="15" hidden="false" customHeight="false" outlineLevel="0" collapsed="false">
      <c r="B118" s="5" t="str">
        <f aca="false">'6805 Sayres'!B20</f>
        <v>23 - Buidling - Gentry - 5yr</v>
      </c>
      <c r="D118" s="33" t="n">
        <f aca="false">SUM(F118:J118)</f>
        <v>169707</v>
      </c>
      <c r="F118" s="33" t="n">
        <f aca="false">'6805 Sayres'!D20</f>
        <v>169707</v>
      </c>
    </row>
    <row r="119" customFormat="false" ht="15" hidden="false" customHeight="false" outlineLevel="0" collapsed="false">
      <c r="B119" s="5" t="str">
        <f aca="false">'6805 Sayres'!B21</f>
        <v>23 - Buidling - Gentry - 15yr</v>
      </c>
      <c r="D119" s="33" t="n">
        <f aca="false">SUM(F119:J119)</f>
        <v>19148</v>
      </c>
      <c r="H119" s="33" t="n">
        <f aca="false">'6805 Sayres'!D21</f>
        <v>19148</v>
      </c>
    </row>
    <row r="120" customFormat="false" ht="15" hidden="false" customHeight="false" outlineLevel="0" collapsed="false">
      <c r="B120" s="5" t="str">
        <f aca="false">'6805 Sayres'!B22</f>
        <v>23 - Buidling - Gentry - 27.5yr</v>
      </c>
      <c r="D120" s="33" t="n">
        <f aca="false">SUM(F120:J120)</f>
        <v>942361</v>
      </c>
      <c r="J120" s="33" t="n">
        <f aca="false">'6805 Sayres'!D22</f>
        <v>942361</v>
      </c>
    </row>
    <row r="121" customFormat="false" ht="15" hidden="false" customHeight="false" outlineLevel="0" collapsed="false">
      <c r="B121" s="5" t="str">
        <f aca="false">'6805 Sayres'!B23</f>
        <v>24 - Equipment - Gentry - 5yr</v>
      </c>
      <c r="D121" s="33" t="n">
        <f aca="false">SUM(F121:J121)</f>
        <v>28625</v>
      </c>
      <c r="F121" s="33" t="n">
        <f aca="false">'6805 Sayres'!D23</f>
        <v>28625</v>
      </c>
    </row>
    <row r="122" customFormat="false" ht="15" hidden="false" customHeight="false" outlineLevel="0" collapsed="false">
      <c r="B122" s="5" t="str">
        <f aca="false">'6805 Sayres'!B24</f>
        <v>24 - Equipment - Gentry - 15yr</v>
      </c>
      <c r="D122" s="33" t="n">
        <f aca="false">SUM(F122:J122)</f>
        <v>3230</v>
      </c>
      <c r="F122" s="33" t="n">
        <f aca="false">'6805 Sayres'!D24</f>
        <v>3230</v>
      </c>
    </row>
    <row r="123" customFormat="false" ht="15" hidden="false" customHeight="false" outlineLevel="0" collapsed="false">
      <c r="B123" s="5" t="str">
        <f aca="false">'6805 Sayres'!B25</f>
        <v>24 - Equipment - Gentry - 27.5yr</v>
      </c>
      <c r="D123" s="33" t="n">
        <f aca="false">SUM(F123:J123)</f>
        <v>158953</v>
      </c>
      <c r="J123" s="33" t="n">
        <f aca="false">'6805 Sayres'!D25</f>
        <v>158953</v>
      </c>
    </row>
    <row r="124" customFormat="false" ht="15" hidden="false" customHeight="false" outlineLevel="0" collapsed="false">
      <c r="B124" s="11" t="s">
        <v>182</v>
      </c>
      <c r="D124" s="34" t="n">
        <f aca="false">SUM(D115:D123)</f>
        <v>1362911</v>
      </c>
      <c r="F124" s="34" t="n">
        <f aca="false">SUM(F115:F123)</f>
        <v>207696</v>
      </c>
      <c r="H124" s="34" t="n">
        <f aca="false">SUM(H115:H123)</f>
        <v>19840</v>
      </c>
      <c r="J124" s="34" t="n">
        <f aca="false">SUM(J115:J123)</f>
        <v>1135375</v>
      </c>
    </row>
    <row r="125" customFormat="false" ht="15" hidden="false" customHeight="false" outlineLevel="0" collapsed="false">
      <c r="B125" s="16" t="s">
        <v>183</v>
      </c>
      <c r="D125" s="17" t="n">
        <f aca="false">D124-D110</f>
        <v>1320320.04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199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28</v>
      </c>
      <c r="C10" s="23" t="s">
        <v>27</v>
      </c>
      <c r="D10" s="24" t="n">
        <v>8075</v>
      </c>
      <c r="E10" s="24" t="n">
        <v>0</v>
      </c>
      <c r="F10" s="24" t="n">
        <v>0</v>
      </c>
      <c r="G10" s="24" t="n">
        <v>8075</v>
      </c>
      <c r="H10" s="24" t="n">
        <v>0</v>
      </c>
      <c r="I10" s="24" t="n">
        <f aca="false">G10+H10</f>
        <v>8075</v>
      </c>
      <c r="J10" s="24" t="n">
        <f aca="false">D10-I10</f>
        <v>0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30</v>
      </c>
      <c r="C11" s="23" t="s">
        <v>29</v>
      </c>
      <c r="D11" s="24" t="n">
        <v>223405</v>
      </c>
      <c r="E11" s="24" t="n">
        <v>0</v>
      </c>
      <c r="F11" s="24" t="n">
        <v>0</v>
      </c>
      <c r="G11" s="24" t="n">
        <v>48404.55</v>
      </c>
      <c r="H11" s="24" t="n">
        <v>8123.83</v>
      </c>
      <c r="I11" s="24" t="n">
        <f aca="false">G11+H11</f>
        <v>56528.38</v>
      </c>
      <c r="J11" s="24" t="n">
        <f aca="false">D11-I11</f>
        <v>166876.62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31</v>
      </c>
      <c r="C12" s="23" t="s">
        <v>29</v>
      </c>
      <c r="D12" s="24" t="n">
        <v>37683</v>
      </c>
      <c r="E12" s="24" t="n">
        <v>0</v>
      </c>
      <c r="F12" s="24" t="n">
        <v>37682</v>
      </c>
      <c r="G12" s="24" t="n">
        <v>37682</v>
      </c>
      <c r="H12" s="24" t="n">
        <v>0</v>
      </c>
      <c r="I12" s="24" t="n">
        <f aca="false">G12+H12</f>
        <v>37682</v>
      </c>
      <c r="J12" s="24" t="n">
        <f aca="false">D12-I12</f>
        <v>1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269163</v>
      </c>
      <c r="E13" s="28" t="n">
        <f aca="false">SUM(E10:E12)</f>
        <v>0</v>
      </c>
      <c r="F13" s="28" t="n">
        <f aca="false">SUM(F10:F12)</f>
        <v>37682</v>
      </c>
      <c r="G13" s="28" t="n">
        <f aca="false">SUM(G10:G12)</f>
        <v>94161.55</v>
      </c>
      <c r="H13" s="28" t="n">
        <f aca="false">SUM(H10:H12)</f>
        <v>8123.83</v>
      </c>
      <c r="I13" s="28" t="n">
        <f aca="false">SUM(I10:I12)</f>
        <v>102285.38</v>
      </c>
      <c r="J13" s="28" t="n">
        <f aca="false">SUM(J10:J12)</f>
        <v>166877.62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72</v>
      </c>
      <c r="C17" s="23" t="s">
        <v>27</v>
      </c>
      <c r="D17" s="24" t="n">
        <v>1300</v>
      </c>
      <c r="E17" s="24" t="n">
        <v>0</v>
      </c>
      <c r="F17" s="24" t="n">
        <v>0</v>
      </c>
      <c r="G17" s="24" t="n">
        <v>1300</v>
      </c>
      <c r="H17" s="24" t="n">
        <v>0</v>
      </c>
      <c r="I17" s="24" t="n">
        <f aca="false">G17+H17</f>
        <v>1300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73</v>
      </c>
      <c r="C18" s="23" t="s">
        <v>27</v>
      </c>
      <c r="D18" s="24" t="n">
        <v>185</v>
      </c>
      <c r="E18" s="24" t="n">
        <v>0</v>
      </c>
      <c r="F18" s="24" t="n">
        <v>0</v>
      </c>
      <c r="G18" s="24" t="n">
        <v>185</v>
      </c>
      <c r="H18" s="24" t="n">
        <v>0</v>
      </c>
      <c r="I18" s="24" t="n">
        <f aca="false">G18+H18</f>
        <v>185</v>
      </c>
      <c r="J18" s="24" t="n">
        <f aca="false">D18-I18</f>
        <v>0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74</v>
      </c>
      <c r="C19" s="23" t="s">
        <v>27</v>
      </c>
      <c r="D19" s="24" t="n">
        <v>6590</v>
      </c>
      <c r="E19" s="24" t="n">
        <v>0</v>
      </c>
      <c r="F19" s="24" t="n">
        <v>0</v>
      </c>
      <c r="G19" s="24" t="n">
        <v>1427.85</v>
      </c>
      <c r="H19" s="24" t="n">
        <v>239.64</v>
      </c>
      <c r="I19" s="24" t="n">
        <f aca="false">G19+H19</f>
        <v>1667.49</v>
      </c>
      <c r="J19" s="24" t="n">
        <f aca="false">D19-I19</f>
        <v>4922.51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75</v>
      </c>
      <c r="C20" s="23" t="s">
        <v>29</v>
      </c>
      <c r="D20" s="24" t="n">
        <v>35968</v>
      </c>
      <c r="E20" s="24" t="n">
        <v>0</v>
      </c>
      <c r="F20" s="24" t="n">
        <v>35968</v>
      </c>
      <c r="G20" s="24" t="n">
        <v>35968</v>
      </c>
      <c r="H20" s="24" t="n">
        <v>0</v>
      </c>
      <c r="I20" s="24" t="n">
        <f aca="false">G20+H20</f>
        <v>35968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76</v>
      </c>
      <c r="C21" s="23" t="s">
        <v>29</v>
      </c>
      <c r="D21" s="24" t="n">
        <v>5106</v>
      </c>
      <c r="E21" s="24" t="n">
        <v>0</v>
      </c>
      <c r="F21" s="24" t="n">
        <v>5106</v>
      </c>
      <c r="G21" s="24" t="n">
        <v>5106</v>
      </c>
      <c r="H21" s="24" t="n">
        <v>0</v>
      </c>
      <c r="I21" s="24" t="n">
        <f aca="false">G21+H21</f>
        <v>5106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77</v>
      </c>
      <c r="C22" s="23" t="s">
        <v>29</v>
      </c>
      <c r="D22" s="24" t="n">
        <v>182331</v>
      </c>
      <c r="E22" s="24" t="n">
        <v>0</v>
      </c>
      <c r="F22" s="24" t="n">
        <v>0</v>
      </c>
      <c r="G22" s="24" t="n">
        <v>39505.06</v>
      </c>
      <c r="H22" s="24" t="n">
        <v>6630.22</v>
      </c>
      <c r="I22" s="24" t="n">
        <f aca="false">G22+H22</f>
        <v>46135.28</v>
      </c>
      <c r="J22" s="24" t="n">
        <f aca="false">D22-I22</f>
        <v>136195.72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78</v>
      </c>
      <c r="C23" s="23" t="s">
        <v>29</v>
      </c>
      <c r="D23" s="24" t="n">
        <v>6067</v>
      </c>
      <c r="E23" s="24" t="n">
        <v>0</v>
      </c>
      <c r="F23" s="24" t="n">
        <v>6067</v>
      </c>
      <c r="G23" s="24" t="n">
        <v>6067</v>
      </c>
      <c r="H23" s="24" t="n">
        <v>0</v>
      </c>
      <c r="I23" s="24" t="n">
        <f aca="false">G23+H23</f>
        <v>6067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79</v>
      </c>
      <c r="C24" s="23" t="s">
        <v>29</v>
      </c>
      <c r="D24" s="24" t="n">
        <v>861</v>
      </c>
      <c r="E24" s="24" t="n">
        <v>0</v>
      </c>
      <c r="F24" s="24" t="n">
        <v>861</v>
      </c>
      <c r="G24" s="24" t="n">
        <v>861</v>
      </c>
      <c r="H24" s="24" t="n">
        <v>0</v>
      </c>
      <c r="I24" s="24" t="n">
        <f aca="false">G24+H24</f>
        <v>861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80</v>
      </c>
      <c r="C25" s="23" t="s">
        <v>29</v>
      </c>
      <c r="D25" s="24" t="n">
        <v>30755</v>
      </c>
      <c r="E25" s="24" t="n">
        <v>0</v>
      </c>
      <c r="F25" s="24" t="n">
        <v>0</v>
      </c>
      <c r="G25" s="24" t="n">
        <v>6663.57</v>
      </c>
      <c r="H25" s="24" t="n">
        <v>1118.36</v>
      </c>
      <c r="I25" s="24" t="n">
        <f aca="false">G25+H25</f>
        <v>7781.93</v>
      </c>
      <c r="J25" s="24" t="n">
        <f aca="false">D25-I25</f>
        <v>22973.07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269163</v>
      </c>
      <c r="E26" s="28" t="n">
        <f aca="false">SUM(E17:E25)</f>
        <v>0</v>
      </c>
      <c r="F26" s="28" t="n">
        <f aca="false">SUM(F17:F25)</f>
        <v>48002</v>
      </c>
      <c r="G26" s="28" t="n">
        <f aca="false">SUM(G17:G25)</f>
        <v>97083.48</v>
      </c>
      <c r="H26" s="28" t="n">
        <f aca="false">SUM(H17:H25)</f>
        <v>7988.22</v>
      </c>
      <c r="I26" s="28" t="n">
        <f aca="false">SUM(I17:I25)</f>
        <v>105071.7</v>
      </c>
      <c r="J26" s="28" t="n">
        <f aca="false">SUM(J17:J25)</f>
        <v>164091.3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102285.38</v>
      </c>
    </row>
    <row r="30" customFormat="false" ht="15" hidden="false" customHeight="false" outlineLevel="0" collapsed="false">
      <c r="B30" s="5" t="s">
        <v>127</v>
      </c>
      <c r="D30" s="6" t="n">
        <f aca="false">I26</f>
        <v>105071.7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-2786.31999999999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28</v>
      </c>
      <c r="C36" s="23" t="s">
        <v>27</v>
      </c>
      <c r="D36" s="24" t="n">
        <v>8075</v>
      </c>
      <c r="E36" s="24" t="n">
        <v>0</v>
      </c>
      <c r="F36" s="24" t="n">
        <v>0</v>
      </c>
      <c r="G36" s="24" t="n">
        <v>8075</v>
      </c>
      <c r="H36" s="24" t="n">
        <v>0</v>
      </c>
      <c r="I36" s="24" t="n">
        <f aca="false">G36+H36</f>
        <v>8075</v>
      </c>
      <c r="J36" s="24" t="n">
        <f aca="false">D36-I36</f>
        <v>0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30</v>
      </c>
      <c r="C37" s="23" t="s">
        <v>29</v>
      </c>
      <c r="D37" s="24" t="n">
        <v>223405</v>
      </c>
      <c r="E37" s="24" t="n">
        <v>0</v>
      </c>
      <c r="F37" s="24" t="n">
        <v>0</v>
      </c>
      <c r="G37" s="24" t="n">
        <v>48404.55</v>
      </c>
      <c r="H37" s="24" t="n">
        <v>8123.83</v>
      </c>
      <c r="I37" s="24" t="n">
        <f aca="false">G37+H37</f>
        <v>56528.38</v>
      </c>
      <c r="J37" s="24" t="n">
        <f aca="false">D37-I37</f>
        <v>166876.62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31</v>
      </c>
      <c r="C38" s="23" t="s">
        <v>29</v>
      </c>
      <c r="D38" s="24" t="n">
        <v>37683</v>
      </c>
      <c r="E38" s="24" t="n">
        <v>0</v>
      </c>
      <c r="F38" s="24" t="n">
        <v>37682</v>
      </c>
      <c r="G38" s="24" t="n">
        <v>37682</v>
      </c>
      <c r="H38" s="24" t="n">
        <v>0</v>
      </c>
      <c r="I38" s="24" t="n">
        <f aca="false">G38+H38</f>
        <v>37682</v>
      </c>
      <c r="J38" s="24" t="n">
        <f aca="false">D38-I38</f>
        <v>1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269163</v>
      </c>
      <c r="E39" s="28" t="n">
        <f aca="false">SUM(E36:E38)</f>
        <v>0</v>
      </c>
      <c r="F39" s="28" t="n">
        <f aca="false">SUM(F36:F38)</f>
        <v>37682</v>
      </c>
      <c r="G39" s="28" t="n">
        <f aca="false">SUM(G36:G38)</f>
        <v>94161.55</v>
      </c>
      <c r="H39" s="28" t="n">
        <f aca="false">SUM(H36:H38)</f>
        <v>8123.83</v>
      </c>
      <c r="I39" s="28" t="n">
        <f aca="false">SUM(I36:I38)</f>
        <v>102285.38</v>
      </c>
      <c r="J39" s="28" t="n">
        <f aca="false">SUM(J36:J38)</f>
        <v>166877.62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72</v>
      </c>
      <c r="C43" s="23" t="s">
        <v>27</v>
      </c>
      <c r="D43" s="24" t="n">
        <v>1300</v>
      </c>
      <c r="E43" s="24" t="n">
        <v>0</v>
      </c>
      <c r="F43" s="24" t="n">
        <v>0</v>
      </c>
      <c r="G43" s="24" t="n">
        <v>1300</v>
      </c>
      <c r="H43" s="24" t="n">
        <v>0</v>
      </c>
      <c r="I43" s="24" t="n">
        <f aca="false">G43+H43</f>
        <v>1300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73</v>
      </c>
      <c r="C44" s="23" t="s">
        <v>27</v>
      </c>
      <c r="D44" s="24" t="n">
        <v>185</v>
      </c>
      <c r="E44" s="24" t="n">
        <v>0</v>
      </c>
      <c r="F44" s="24" t="n">
        <v>0</v>
      </c>
      <c r="G44" s="24" t="n">
        <v>185</v>
      </c>
      <c r="H44" s="24" t="n">
        <v>0</v>
      </c>
      <c r="I44" s="24" t="n">
        <f aca="false">G44+H44</f>
        <v>185</v>
      </c>
      <c r="J44" s="24" t="n">
        <f aca="false">D44-I44</f>
        <v>0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74</v>
      </c>
      <c r="C45" s="23" t="s">
        <v>27</v>
      </c>
      <c r="D45" s="24" t="n">
        <v>6590</v>
      </c>
      <c r="E45" s="24" t="n">
        <v>0</v>
      </c>
      <c r="F45" s="24" t="n">
        <v>0</v>
      </c>
      <c r="G45" s="24" t="n">
        <v>1427.85</v>
      </c>
      <c r="H45" s="24" t="n">
        <v>239.64</v>
      </c>
      <c r="I45" s="24" t="n">
        <f aca="false">G45+H45</f>
        <v>1667.49</v>
      </c>
      <c r="J45" s="24" t="n">
        <f aca="false">D45-I45</f>
        <v>4922.51</v>
      </c>
      <c r="K45" s="25" t="s">
        <v>120</v>
      </c>
      <c r="L45" s="25" t="s">
        <v>121</v>
      </c>
    </row>
    <row r="46" customFormat="false" ht="15" hidden="false" customHeight="false" outlineLevel="0" collapsed="false">
      <c r="A46" s="23" t="n">
        <v>4</v>
      </c>
      <c r="B46" s="23" t="s">
        <v>75</v>
      </c>
      <c r="C46" s="23" t="s">
        <v>29</v>
      </c>
      <c r="D46" s="24" t="n">
        <v>35968</v>
      </c>
      <c r="E46" s="24" t="n">
        <v>0</v>
      </c>
      <c r="F46" s="24" t="n">
        <v>35968</v>
      </c>
      <c r="G46" s="24" t="n">
        <v>35968</v>
      </c>
      <c r="H46" s="24" t="n">
        <v>0</v>
      </c>
      <c r="I46" s="24" t="n">
        <f aca="false">G46+H46</f>
        <v>35968</v>
      </c>
      <c r="J46" s="24" t="n">
        <f aca="false">D46-I46</f>
        <v>0</v>
      </c>
      <c r="K46" s="25" t="s">
        <v>124</v>
      </c>
      <c r="L46" s="25" t="s">
        <v>122</v>
      </c>
    </row>
    <row r="47" customFormat="false" ht="15" hidden="false" customHeight="false" outlineLevel="0" collapsed="false">
      <c r="A47" s="23" t="n">
        <v>5</v>
      </c>
      <c r="B47" s="23" t="s">
        <v>76</v>
      </c>
      <c r="C47" s="23" t="s">
        <v>29</v>
      </c>
      <c r="D47" s="24" t="n">
        <v>5106</v>
      </c>
      <c r="E47" s="24" t="n">
        <v>0</v>
      </c>
      <c r="F47" s="24" t="n">
        <v>5106</v>
      </c>
      <c r="G47" s="24" t="n">
        <v>5106</v>
      </c>
      <c r="H47" s="24" t="n">
        <v>0</v>
      </c>
      <c r="I47" s="24" t="n">
        <f aca="false">G47+H47</f>
        <v>5106</v>
      </c>
      <c r="J47" s="24" t="n">
        <f aca="false">D47-I47</f>
        <v>0</v>
      </c>
      <c r="K47" s="25" t="s">
        <v>118</v>
      </c>
      <c r="L47" s="25" t="s">
        <v>119</v>
      </c>
    </row>
    <row r="48" customFormat="false" ht="15" hidden="false" customHeight="false" outlineLevel="0" collapsed="false">
      <c r="A48" s="23" t="n">
        <v>6</v>
      </c>
      <c r="B48" s="23" t="s">
        <v>77</v>
      </c>
      <c r="C48" s="23" t="s">
        <v>29</v>
      </c>
      <c r="D48" s="24" t="n">
        <v>182331</v>
      </c>
      <c r="E48" s="24" t="n">
        <v>0</v>
      </c>
      <c r="F48" s="24" t="n">
        <v>0</v>
      </c>
      <c r="G48" s="24" t="n">
        <v>39505.06</v>
      </c>
      <c r="H48" s="24" t="n">
        <v>6630.22</v>
      </c>
      <c r="I48" s="24" t="n">
        <f aca="false">G48+H48</f>
        <v>46135.28</v>
      </c>
      <c r="J48" s="24" t="n">
        <f aca="false">D48-I48</f>
        <v>136195.72</v>
      </c>
      <c r="K48" s="25" t="s">
        <v>120</v>
      </c>
      <c r="L48" s="25" t="s">
        <v>121</v>
      </c>
    </row>
    <row r="49" customFormat="false" ht="15" hidden="false" customHeight="false" outlineLevel="0" collapsed="false">
      <c r="A49" s="23" t="n">
        <v>7</v>
      </c>
      <c r="B49" s="23" t="s">
        <v>78</v>
      </c>
      <c r="C49" s="23" t="s">
        <v>29</v>
      </c>
      <c r="D49" s="24" t="n">
        <v>6067</v>
      </c>
      <c r="E49" s="24" t="n">
        <v>0</v>
      </c>
      <c r="F49" s="24" t="n">
        <v>6067</v>
      </c>
      <c r="G49" s="24" t="n">
        <v>6067</v>
      </c>
      <c r="H49" s="24" t="n">
        <v>0</v>
      </c>
      <c r="I49" s="24" t="n">
        <f aca="false">G49+H49</f>
        <v>6067</v>
      </c>
      <c r="J49" s="24" t="n">
        <f aca="false">D49-I49</f>
        <v>0</v>
      </c>
      <c r="K49" s="25" t="s">
        <v>124</v>
      </c>
      <c r="L49" s="25" t="s">
        <v>122</v>
      </c>
    </row>
    <row r="50" customFormat="false" ht="15" hidden="false" customHeight="false" outlineLevel="0" collapsed="false">
      <c r="A50" s="23" t="n">
        <v>8</v>
      </c>
      <c r="B50" s="23" t="s">
        <v>79</v>
      </c>
      <c r="C50" s="23" t="s">
        <v>29</v>
      </c>
      <c r="D50" s="24" t="n">
        <v>861</v>
      </c>
      <c r="E50" s="24" t="n">
        <v>0</v>
      </c>
      <c r="F50" s="24" t="n">
        <v>861</v>
      </c>
      <c r="G50" s="24" t="n">
        <v>861</v>
      </c>
      <c r="H50" s="24" t="n">
        <v>0</v>
      </c>
      <c r="I50" s="24" t="n">
        <f aca="false">G50+H50</f>
        <v>861</v>
      </c>
      <c r="J50" s="24" t="n">
        <f aca="false">D50-I50</f>
        <v>0</v>
      </c>
      <c r="K50" s="25" t="s">
        <v>118</v>
      </c>
      <c r="L50" s="25" t="s">
        <v>119</v>
      </c>
    </row>
    <row r="51" customFormat="false" ht="15" hidden="false" customHeight="false" outlineLevel="0" collapsed="false">
      <c r="A51" s="23" t="n">
        <v>9</v>
      </c>
      <c r="B51" s="23" t="s">
        <v>80</v>
      </c>
      <c r="C51" s="23" t="s">
        <v>29</v>
      </c>
      <c r="D51" s="24" t="n">
        <v>30755</v>
      </c>
      <c r="E51" s="24" t="n">
        <v>0</v>
      </c>
      <c r="F51" s="24" t="n">
        <v>0</v>
      </c>
      <c r="G51" s="24" t="n">
        <v>6663.57</v>
      </c>
      <c r="H51" s="24" t="n">
        <v>1118.36</v>
      </c>
      <c r="I51" s="24" t="n">
        <f aca="false">G51+H51</f>
        <v>7781.93</v>
      </c>
      <c r="J51" s="24" t="n">
        <f aca="false">D51-I51</f>
        <v>22973.07</v>
      </c>
      <c r="K51" s="25" t="s">
        <v>120</v>
      </c>
      <c r="L51" s="25" t="s">
        <v>121</v>
      </c>
    </row>
    <row r="52" customFormat="false" ht="15" hidden="false" customHeight="false" outlineLevel="0" collapsed="false">
      <c r="A52" s="26"/>
      <c r="B52" s="27" t="s">
        <v>35</v>
      </c>
      <c r="C52" s="26"/>
      <c r="D52" s="28" t="n">
        <f aca="false">SUM(D43:D51)</f>
        <v>269163</v>
      </c>
      <c r="E52" s="28" t="n">
        <f aca="false">SUM(E43:E51)</f>
        <v>0</v>
      </c>
      <c r="F52" s="28" t="n">
        <f aca="false">SUM(F43:F51)</f>
        <v>48002</v>
      </c>
      <c r="G52" s="28" t="n">
        <f aca="false">SUM(G43:G51)</f>
        <v>97083.48</v>
      </c>
      <c r="H52" s="28" t="n">
        <f aca="false">SUM(H43:H51)</f>
        <v>7988.22</v>
      </c>
      <c r="I52" s="28" t="n">
        <f aca="false">SUM(I43:I51)</f>
        <v>105071.7</v>
      </c>
      <c r="J52" s="28" t="n">
        <f aca="false">SUM(J43:J51)</f>
        <v>164091.3</v>
      </c>
      <c r="K52" s="26"/>
      <c r="L52" s="26"/>
    </row>
    <row r="54" customFormat="false" ht="15" hidden="false" customHeight="false" outlineLevel="0" collapsed="false">
      <c r="B54" s="18" t="s">
        <v>133</v>
      </c>
    </row>
    <row r="55" customFormat="false" ht="15" hidden="false" customHeight="false" outlineLevel="0" collapsed="false">
      <c r="B55" s="5" t="s">
        <v>126</v>
      </c>
      <c r="D55" s="6" t="n">
        <f aca="false">I39</f>
        <v>102285.38</v>
      </c>
    </row>
    <row r="56" customFormat="false" ht="15" hidden="false" customHeight="false" outlineLevel="0" collapsed="false">
      <c r="B56" s="5" t="s">
        <v>127</v>
      </c>
      <c r="D56" s="6" t="n">
        <f aca="false">I52</f>
        <v>105071.7</v>
      </c>
    </row>
    <row r="57" customFormat="false" ht="15" hidden="false" customHeight="false" outlineLevel="0" collapsed="false">
      <c r="B57" s="11" t="s">
        <v>133</v>
      </c>
      <c r="D57" s="29" t="n">
        <f aca="false">D55-D56</f>
        <v>-2786.31999999999</v>
      </c>
    </row>
    <row r="59" customFormat="false" ht="15" hidden="false" customHeight="false" outlineLevel="0" collapsed="false">
      <c r="A59" s="10" t="s">
        <v>134</v>
      </c>
    </row>
    <row r="60" customFormat="false" ht="15" hidden="false" customHeight="false" outlineLevel="0" collapsed="false">
      <c r="B60" s="11" t="s">
        <v>135</v>
      </c>
      <c r="D60" s="12" t="n">
        <f aca="false">D112</f>
        <v>44860.39</v>
      </c>
    </row>
    <row r="61" customFormat="false" ht="15" hidden="false" customHeight="false" outlineLevel="0" collapsed="false">
      <c r="B61" s="5" t="s">
        <v>136</v>
      </c>
      <c r="D61" s="6" t="n">
        <f aca="false">F112</f>
        <v>7222.56</v>
      </c>
    </row>
    <row r="62" customFormat="false" ht="15" hidden="false" customHeight="false" outlineLevel="0" collapsed="false">
      <c r="B62" s="30" t="s">
        <v>137</v>
      </c>
      <c r="D62" s="31" t="n">
        <f aca="false">F113</f>
        <v>0.161000829462249</v>
      </c>
    </row>
    <row r="63" customFormat="false" ht="15" hidden="false" customHeight="false" outlineLevel="0" collapsed="false">
      <c r="B63" s="5" t="s">
        <v>138</v>
      </c>
      <c r="D63" s="6" t="n">
        <f aca="false">H112</f>
        <v>1025.24</v>
      </c>
    </row>
    <row r="64" customFormat="false" ht="15" hidden="false" customHeight="false" outlineLevel="0" collapsed="false">
      <c r="B64" s="30" t="s">
        <v>137</v>
      </c>
      <c r="D64" s="31" t="n">
        <f aca="false">H113</f>
        <v>0.0228540144211854</v>
      </c>
    </row>
    <row r="65" customFormat="false" ht="15" hidden="false" customHeight="false" outlineLevel="0" collapsed="false">
      <c r="B65" s="5" t="s">
        <v>139</v>
      </c>
      <c r="D65" s="6" t="n">
        <f aca="false">J112</f>
        <v>36612.59</v>
      </c>
    </row>
    <row r="66" customFormat="false" ht="15" hidden="false" customHeight="false" outlineLevel="0" collapsed="false">
      <c r="B66" s="30" t="s">
        <v>137</v>
      </c>
      <c r="D66" s="31" t="n">
        <f aca="false">J113</f>
        <v>0.816145156116565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B69" s="4" t="s">
        <v>141</v>
      </c>
      <c r="D69" s="4" t="s">
        <v>109</v>
      </c>
      <c r="F69" s="4" t="s">
        <v>142</v>
      </c>
      <c r="H69" s="4" t="s">
        <v>143</v>
      </c>
      <c r="J69" s="4" t="s">
        <v>144</v>
      </c>
    </row>
    <row r="70" customFormat="false" ht="15" hidden="false" customHeight="false" outlineLevel="0" collapsed="false">
      <c r="B70" s="32" t="s">
        <v>145</v>
      </c>
    </row>
    <row r="71" customFormat="false" ht="15" hidden="false" customHeight="false" outlineLevel="0" collapsed="false">
      <c r="B71" s="5" t="s">
        <v>146</v>
      </c>
      <c r="D71" s="33" t="n">
        <f aca="false">SUM(F71:J71)</f>
        <v>835.76</v>
      </c>
      <c r="F71" s="33" t="n">
        <v>835.76</v>
      </c>
    </row>
    <row r="72" customFormat="false" ht="15" hidden="false" customHeight="false" outlineLevel="0" collapsed="false">
      <c r="B72" s="5" t="s">
        <v>147</v>
      </c>
      <c r="D72" s="33" t="n">
        <f aca="false">SUM(F72:J72)</f>
        <v>712.35</v>
      </c>
      <c r="F72" s="33" t="n">
        <v>712.35</v>
      </c>
    </row>
    <row r="73" customFormat="false" ht="15" hidden="false" customHeight="false" outlineLevel="0" collapsed="false">
      <c r="B73" s="5" t="s">
        <v>186</v>
      </c>
      <c r="D73" s="33" t="n">
        <f aca="false">SUM(F73:J73)</f>
        <v>1187.54</v>
      </c>
      <c r="F73" s="33" t="n">
        <v>1187.54</v>
      </c>
    </row>
    <row r="74" customFormat="false" ht="15" hidden="false" customHeight="false" outlineLevel="0" collapsed="false">
      <c r="B74" s="5" t="s">
        <v>148</v>
      </c>
      <c r="D74" s="33" t="n">
        <f aca="false">SUM(F74:J74)</f>
        <v>1052.42</v>
      </c>
      <c r="F74" s="33" t="n">
        <v>1052.42</v>
      </c>
    </row>
    <row r="75" customFormat="false" ht="15" hidden="false" customHeight="false" outlineLevel="0" collapsed="false">
      <c r="B75" s="5" t="s">
        <v>149</v>
      </c>
      <c r="D75" s="33" t="n">
        <f aca="false">SUM(F75:J75)</f>
        <v>530.5</v>
      </c>
      <c r="F75" s="33" t="n">
        <v>530.5</v>
      </c>
    </row>
    <row r="76" customFormat="false" ht="15" hidden="false" customHeight="false" outlineLevel="0" collapsed="false">
      <c r="B76" s="5" t="s">
        <v>150</v>
      </c>
      <c r="D76" s="33" t="n">
        <f aca="false">SUM(F76:J76)</f>
        <v>622.76</v>
      </c>
      <c r="F76" s="33" t="n">
        <v>622.76</v>
      </c>
    </row>
    <row r="77" customFormat="false" ht="15" hidden="false" customHeight="false" outlineLevel="0" collapsed="false">
      <c r="B77" s="5" t="s">
        <v>151</v>
      </c>
      <c r="D77" s="33" t="n">
        <f aca="false">SUM(F77:J77)</f>
        <v>33.34</v>
      </c>
      <c r="F77" s="33" t="n">
        <v>33.34</v>
      </c>
    </row>
    <row r="78" customFormat="false" ht="15" hidden="false" customHeight="false" outlineLevel="0" collapsed="false">
      <c r="B78" s="5" t="s">
        <v>152</v>
      </c>
      <c r="D78" s="33" t="n">
        <f aca="false">SUM(F78:J78)</f>
        <v>21.93</v>
      </c>
      <c r="F78" s="33" t="n">
        <v>21.93</v>
      </c>
    </row>
    <row r="79" customFormat="false" ht="15" hidden="false" customHeight="false" outlineLevel="0" collapsed="false">
      <c r="B79" s="5" t="s">
        <v>153</v>
      </c>
      <c r="D79" s="33" t="n">
        <f aca="false">SUM(F79:J79)</f>
        <v>569.4</v>
      </c>
      <c r="F79" s="33" t="n">
        <v>569.4</v>
      </c>
    </row>
    <row r="80" customFormat="false" ht="15" hidden="false" customHeight="false" outlineLevel="0" collapsed="false">
      <c r="B80" s="5" t="s">
        <v>154</v>
      </c>
      <c r="D80" s="33" t="n">
        <f aca="false">SUM(F80:J80)</f>
        <v>284.9</v>
      </c>
      <c r="F80" s="33" t="n">
        <v>284.9</v>
      </c>
    </row>
    <row r="81" customFormat="false" ht="15" hidden="false" customHeight="false" outlineLevel="0" collapsed="false">
      <c r="B81" s="5" t="s">
        <v>155</v>
      </c>
      <c r="D81" s="33" t="n">
        <f aca="false">SUM(F81:J81)</f>
        <v>623.44</v>
      </c>
      <c r="F81" s="33" t="n">
        <v>623.44</v>
      </c>
    </row>
    <row r="82" customFormat="false" ht="15" hidden="false" customHeight="false" outlineLevel="0" collapsed="false">
      <c r="B82" s="5" t="s">
        <v>156</v>
      </c>
      <c r="D82" s="33" t="n">
        <f aca="false">SUM(F82:J82)</f>
        <v>123.66</v>
      </c>
      <c r="F82" s="33" t="n">
        <v>123.66</v>
      </c>
    </row>
    <row r="83" customFormat="false" ht="15" hidden="false" customHeight="false" outlineLevel="0" collapsed="false">
      <c r="B83" s="5" t="s">
        <v>157</v>
      </c>
      <c r="D83" s="33" t="n">
        <f aca="false">SUM(F83:J83)</f>
        <v>624.56</v>
      </c>
      <c r="F83" s="33" t="n">
        <v>624.56</v>
      </c>
    </row>
    <row r="84" customFormat="false" ht="15" hidden="false" customHeight="false" outlineLevel="0" collapsed="false">
      <c r="B84" s="32" t="s">
        <v>158</v>
      </c>
    </row>
    <row r="85" customFormat="false" ht="15" hidden="false" customHeight="false" outlineLevel="0" collapsed="false">
      <c r="B85" s="5" t="s">
        <v>159</v>
      </c>
      <c r="D85" s="33" t="n">
        <f aca="false">SUM(F85:J85)</f>
        <v>669.91</v>
      </c>
      <c r="H85" s="33" t="n">
        <v>669.91</v>
      </c>
    </row>
    <row r="86" customFormat="false" ht="15" hidden="false" customHeight="false" outlineLevel="0" collapsed="false">
      <c r="B86" s="5" t="s">
        <v>160</v>
      </c>
      <c r="D86" s="33" t="n">
        <f aca="false">SUM(F86:J86)</f>
        <v>276.49</v>
      </c>
      <c r="H86" s="33" t="n">
        <v>276.49</v>
      </c>
    </row>
    <row r="87" customFormat="false" ht="15" hidden="false" customHeight="false" outlineLevel="0" collapsed="false">
      <c r="B87" s="5" t="s">
        <v>198</v>
      </c>
      <c r="D87" s="33" t="n">
        <f aca="false">SUM(F87:J87)</f>
        <v>16.47</v>
      </c>
      <c r="H87" s="33" t="n">
        <v>16.47</v>
      </c>
    </row>
    <row r="88" customFormat="false" ht="15" hidden="false" customHeight="false" outlineLevel="0" collapsed="false">
      <c r="B88" s="5" t="s">
        <v>161</v>
      </c>
      <c r="D88" s="33" t="n">
        <f aca="false">SUM(F88:J88)</f>
        <v>38.5</v>
      </c>
      <c r="H88" s="33" t="n">
        <v>38.5</v>
      </c>
    </row>
    <row r="89" customFormat="false" ht="15" hidden="false" customHeight="false" outlineLevel="0" collapsed="false">
      <c r="B89" s="5" t="s">
        <v>162</v>
      </c>
      <c r="D89" s="33" t="n">
        <f aca="false">SUM(F89:J89)</f>
        <v>23.87</v>
      </c>
      <c r="H89" s="33" t="n">
        <v>23.87</v>
      </c>
    </row>
    <row r="90" customFormat="false" ht="15" hidden="false" customHeight="false" outlineLevel="0" collapsed="false">
      <c r="B90" s="32" t="s">
        <v>163</v>
      </c>
    </row>
    <row r="91" customFormat="false" ht="15" hidden="false" customHeight="false" outlineLevel="0" collapsed="false">
      <c r="B91" s="5" t="s">
        <v>164</v>
      </c>
      <c r="D91" s="33" t="n">
        <f aca="false">SUM(F91:J91)</f>
        <v>1690.23</v>
      </c>
      <c r="J91" s="33" t="n">
        <v>1690.23</v>
      </c>
    </row>
    <row r="92" customFormat="false" ht="15" hidden="false" customHeight="false" outlineLevel="0" collapsed="false">
      <c r="B92" s="5" t="s">
        <v>165</v>
      </c>
      <c r="D92" s="33" t="n">
        <f aca="false">SUM(F92:J92)</f>
        <v>2714.92</v>
      </c>
      <c r="J92" s="33" t="n">
        <v>2714.92</v>
      </c>
    </row>
    <row r="93" customFormat="false" ht="15" hidden="false" customHeight="false" outlineLevel="0" collapsed="false">
      <c r="B93" s="5" t="s">
        <v>166</v>
      </c>
      <c r="D93" s="33" t="n">
        <f aca="false">SUM(F93:J93)</f>
        <v>2934.13</v>
      </c>
      <c r="J93" s="33" t="n">
        <v>2934.13</v>
      </c>
    </row>
    <row r="94" customFormat="false" ht="15" hidden="false" customHeight="false" outlineLevel="0" collapsed="false">
      <c r="B94" s="5" t="s">
        <v>167</v>
      </c>
      <c r="D94" s="33" t="n">
        <f aca="false">SUM(F94:J94)</f>
        <v>3148.18</v>
      </c>
      <c r="J94" s="33" t="n">
        <v>3148.18</v>
      </c>
    </row>
    <row r="95" customFormat="false" ht="15" hidden="false" customHeight="false" outlineLevel="0" collapsed="false">
      <c r="B95" s="5" t="s">
        <v>168</v>
      </c>
      <c r="D95" s="33" t="n">
        <f aca="false">SUM(F95:J95)</f>
        <v>2579.61</v>
      </c>
      <c r="J95" s="33" t="n">
        <v>2579.61</v>
      </c>
    </row>
    <row r="96" customFormat="false" ht="15" hidden="false" customHeight="false" outlineLevel="0" collapsed="false">
      <c r="B96" s="5" t="s">
        <v>169</v>
      </c>
      <c r="D96" s="33" t="n">
        <f aca="false">SUM(F96:J96)</f>
        <v>199.61</v>
      </c>
      <c r="J96" s="33" t="n">
        <v>199.61</v>
      </c>
    </row>
    <row r="97" customFormat="false" ht="15" hidden="false" customHeight="false" outlineLevel="0" collapsed="false">
      <c r="B97" s="5" t="s">
        <v>170</v>
      </c>
      <c r="D97" s="33" t="n">
        <f aca="false">SUM(F97:J97)</f>
        <v>2160.08</v>
      </c>
      <c r="J97" s="33" t="n">
        <v>2160.08</v>
      </c>
    </row>
    <row r="98" customFormat="false" ht="15" hidden="false" customHeight="false" outlineLevel="0" collapsed="false">
      <c r="B98" s="5" t="s">
        <v>171</v>
      </c>
      <c r="D98" s="33" t="n">
        <f aca="false">SUM(F98:J98)</f>
        <v>1998.37</v>
      </c>
      <c r="J98" s="33" t="n">
        <v>1998.37</v>
      </c>
    </row>
    <row r="99" customFormat="false" ht="15" hidden="false" customHeight="false" outlineLevel="0" collapsed="false">
      <c r="B99" s="5" t="s">
        <v>172</v>
      </c>
      <c r="D99" s="33" t="n">
        <f aca="false">SUM(F99:J99)</f>
        <v>1909.62</v>
      </c>
      <c r="J99" s="33" t="n">
        <v>1909.62</v>
      </c>
    </row>
    <row r="100" customFormat="false" ht="15" hidden="false" customHeight="false" outlineLevel="0" collapsed="false">
      <c r="B100" s="5" t="s">
        <v>173</v>
      </c>
      <c r="D100" s="33" t="n">
        <f aca="false">SUM(F100:J100)</f>
        <v>1505.06</v>
      </c>
      <c r="J100" s="33" t="n">
        <v>1505.06</v>
      </c>
    </row>
    <row r="101" customFormat="false" ht="15" hidden="false" customHeight="false" outlineLevel="0" collapsed="false">
      <c r="B101" s="5" t="s">
        <v>174</v>
      </c>
      <c r="D101" s="33" t="n">
        <f aca="false">SUM(F101:J101)</f>
        <v>5656.78</v>
      </c>
      <c r="J101" s="33" t="n">
        <v>5656.78</v>
      </c>
    </row>
    <row r="102" customFormat="false" ht="15" hidden="false" customHeight="false" outlineLevel="0" collapsed="false">
      <c r="B102" s="5" t="s">
        <v>175</v>
      </c>
      <c r="D102" s="33" t="n">
        <f aca="false">SUM(F102:J102)</f>
        <v>1800.79</v>
      </c>
      <c r="J102" s="33" t="n">
        <v>1800.79</v>
      </c>
    </row>
    <row r="103" customFormat="false" ht="15" hidden="false" customHeight="false" outlineLevel="0" collapsed="false">
      <c r="B103" s="5" t="s">
        <v>192</v>
      </c>
      <c r="D103" s="33" t="n">
        <f aca="false">SUM(F103:J103)</f>
        <v>563.39</v>
      </c>
      <c r="J103" s="33" t="n">
        <v>563.39</v>
      </c>
    </row>
    <row r="104" customFormat="false" ht="15" hidden="false" customHeight="false" outlineLevel="0" collapsed="false">
      <c r="B104" s="5" t="s">
        <v>176</v>
      </c>
      <c r="D104" s="33" t="n">
        <f aca="false">SUM(F104:J104)</f>
        <v>5028.83</v>
      </c>
      <c r="J104" s="33" t="n">
        <v>5028.83</v>
      </c>
    </row>
    <row r="105" customFormat="false" ht="15" hidden="false" customHeight="false" outlineLevel="0" collapsed="false">
      <c r="B105" s="5" t="s">
        <v>177</v>
      </c>
      <c r="D105" s="33" t="n">
        <f aca="false">SUM(F105:J105)</f>
        <v>476.38</v>
      </c>
      <c r="J105" s="33" t="n">
        <v>476.38</v>
      </c>
    </row>
    <row r="106" customFormat="false" ht="15" hidden="false" customHeight="false" outlineLevel="0" collapsed="false">
      <c r="B106" s="5" t="s">
        <v>200</v>
      </c>
      <c r="D106" s="33" t="n">
        <f aca="false">SUM(F106:J106)</f>
        <v>845.93</v>
      </c>
      <c r="J106" s="33" t="n">
        <v>845.93</v>
      </c>
    </row>
    <row r="107" customFormat="false" ht="15" hidden="false" customHeight="false" outlineLevel="0" collapsed="false">
      <c r="B107" s="5" t="s">
        <v>193</v>
      </c>
      <c r="D107" s="33" t="n">
        <f aca="false">SUM(F107:J107)</f>
        <v>439.55</v>
      </c>
      <c r="J107" s="33" t="n">
        <v>439.55</v>
      </c>
    </row>
    <row r="108" customFormat="false" ht="15" hidden="false" customHeight="false" outlineLevel="0" collapsed="false">
      <c r="B108" s="5" t="s">
        <v>194</v>
      </c>
      <c r="D108" s="33" t="n">
        <f aca="false">SUM(F108:J108)</f>
        <v>54.06</v>
      </c>
      <c r="J108" s="33" t="n">
        <v>54.06</v>
      </c>
    </row>
    <row r="109" customFormat="false" ht="15" hidden="false" customHeight="false" outlineLevel="0" collapsed="false">
      <c r="B109" s="5" t="s">
        <v>178</v>
      </c>
      <c r="D109" s="33" t="n">
        <f aca="false">SUM(F109:J109)</f>
        <v>517.57</v>
      </c>
      <c r="J109" s="33" t="n">
        <v>517.57</v>
      </c>
    </row>
    <row r="110" customFormat="false" ht="15" hidden="false" customHeight="false" outlineLevel="0" collapsed="false">
      <c r="B110" s="5" t="s">
        <v>196</v>
      </c>
      <c r="D110" s="33" t="n">
        <f aca="false">SUM(F110:J110)</f>
        <v>81.28</v>
      </c>
      <c r="J110" s="33" t="n">
        <v>81.28</v>
      </c>
    </row>
    <row r="111" customFormat="false" ht="15" hidden="false" customHeight="false" outlineLevel="0" collapsed="false">
      <c r="B111" s="5" t="s">
        <v>179</v>
      </c>
      <c r="D111" s="33" t="n">
        <f aca="false">SUM(F111:J111)</f>
        <v>308.22</v>
      </c>
      <c r="J111" s="33" t="n">
        <v>308.22</v>
      </c>
    </row>
    <row r="112" customFormat="false" ht="15" hidden="false" customHeight="false" outlineLevel="0" collapsed="false">
      <c r="B112" s="11" t="s">
        <v>135</v>
      </c>
      <c r="D112" s="34" t="n">
        <f aca="false">SUM(D70:D111)</f>
        <v>44860.39</v>
      </c>
      <c r="F112" s="34" t="n">
        <f aca="false">SUM(F70:F111)</f>
        <v>7222.56</v>
      </c>
      <c r="H112" s="34" t="n">
        <f aca="false">SUM(H70:H111)</f>
        <v>1025.24</v>
      </c>
      <c r="J112" s="34" t="n">
        <f aca="false">SUM(J70:J111)</f>
        <v>36612.59</v>
      </c>
    </row>
    <row r="113" customFormat="false" ht="15" hidden="false" customHeight="false" outlineLevel="0" collapsed="false">
      <c r="B113" s="30" t="s">
        <v>137</v>
      </c>
      <c r="F113" s="31" t="n">
        <f aca="false">F112/D112</f>
        <v>0.161000829462249</v>
      </c>
      <c r="H113" s="31" t="n">
        <f aca="false">H112/D112</f>
        <v>0.0228540144211854</v>
      </c>
      <c r="J113" s="31" t="n">
        <f aca="false">J112/D112</f>
        <v>0.816145156116565</v>
      </c>
    </row>
    <row r="115" customFormat="false" ht="15" hidden="false" customHeight="false" outlineLevel="0" collapsed="false">
      <c r="A115" s="10" t="s">
        <v>180</v>
      </c>
    </row>
    <row r="116" customFormat="false" ht="15" hidden="false" customHeight="false" outlineLevel="0" collapsed="false">
      <c r="B116" s="4" t="s">
        <v>181</v>
      </c>
      <c r="D116" s="4" t="s">
        <v>109</v>
      </c>
      <c r="F116" s="4" t="s">
        <v>142</v>
      </c>
      <c r="H116" s="4" t="s">
        <v>143</v>
      </c>
      <c r="J116" s="4" t="s">
        <v>144</v>
      </c>
    </row>
    <row r="117" customFormat="false" ht="15" hidden="false" customHeight="false" outlineLevel="0" collapsed="false">
      <c r="B117" s="5" t="str">
        <f aca="false">'6800 Sayres'!B17</f>
        <v>22 - Land Improvements - Gentry - 5yr</v>
      </c>
      <c r="D117" s="33" t="n">
        <f aca="false">SUM(F117:J117)</f>
        <v>1300</v>
      </c>
      <c r="F117" s="33" t="n">
        <f aca="false">'6800 Sayres'!D17</f>
        <v>1300</v>
      </c>
    </row>
    <row r="118" customFormat="false" ht="15" hidden="false" customHeight="false" outlineLevel="0" collapsed="false">
      <c r="B118" s="5" t="str">
        <f aca="false">'6800 Sayres'!B18</f>
        <v>22 - Land Improvements - Gentry - 15yr</v>
      </c>
      <c r="D118" s="33" t="n">
        <f aca="false">SUM(F118:J118)</f>
        <v>185</v>
      </c>
      <c r="H118" s="33" t="n">
        <f aca="false">'6800 Sayres'!D18</f>
        <v>185</v>
      </c>
    </row>
    <row r="119" customFormat="false" ht="15" hidden="false" customHeight="false" outlineLevel="0" collapsed="false">
      <c r="B119" s="5" t="str">
        <f aca="false">'6800 Sayres'!B19</f>
        <v>22 - Land Improvements - Gentry - 27.5yr</v>
      </c>
      <c r="D119" s="33" t="n">
        <f aca="false">SUM(F119:J119)</f>
        <v>6590</v>
      </c>
      <c r="J119" s="33" t="n">
        <f aca="false">'6800 Sayres'!D19</f>
        <v>6590</v>
      </c>
    </row>
    <row r="120" customFormat="false" ht="15" hidden="false" customHeight="false" outlineLevel="0" collapsed="false">
      <c r="B120" s="5" t="str">
        <f aca="false">'6800 Sayres'!B20</f>
        <v>23 - Buidling - Gentry - 5yr</v>
      </c>
      <c r="D120" s="33" t="n">
        <f aca="false">SUM(F120:J120)</f>
        <v>35968</v>
      </c>
      <c r="F120" s="33" t="n">
        <f aca="false">'6800 Sayres'!D20</f>
        <v>35968</v>
      </c>
    </row>
    <row r="121" customFormat="false" ht="15" hidden="false" customHeight="false" outlineLevel="0" collapsed="false">
      <c r="B121" s="5" t="str">
        <f aca="false">'6800 Sayres'!B21</f>
        <v>23 - Buidling - Gentry - 15yr</v>
      </c>
      <c r="D121" s="33" t="n">
        <f aca="false">SUM(F121:J121)</f>
        <v>5106</v>
      </c>
      <c r="H121" s="33" t="n">
        <f aca="false">'6800 Sayres'!D21</f>
        <v>5106</v>
      </c>
    </row>
    <row r="122" customFormat="false" ht="15" hidden="false" customHeight="false" outlineLevel="0" collapsed="false">
      <c r="B122" s="5" t="str">
        <f aca="false">'6800 Sayres'!B22</f>
        <v>23 - Buidling - Gentry - 27.5yr</v>
      </c>
      <c r="D122" s="33" t="n">
        <f aca="false">SUM(F122:J122)</f>
        <v>182331</v>
      </c>
      <c r="J122" s="33" t="n">
        <f aca="false">'6800 Sayres'!D22</f>
        <v>182331</v>
      </c>
    </row>
    <row r="123" customFormat="false" ht="15" hidden="false" customHeight="false" outlineLevel="0" collapsed="false">
      <c r="B123" s="5" t="str">
        <f aca="false">'6800 Sayres'!B23</f>
        <v>24 - Equipment - Gentry - 5yr</v>
      </c>
      <c r="D123" s="33" t="n">
        <f aca="false">SUM(F123:J123)</f>
        <v>6067</v>
      </c>
      <c r="F123" s="33" t="n">
        <f aca="false">'6800 Sayres'!D23</f>
        <v>6067</v>
      </c>
    </row>
    <row r="124" customFormat="false" ht="15" hidden="false" customHeight="false" outlineLevel="0" collapsed="false">
      <c r="B124" s="5" t="str">
        <f aca="false">'6800 Sayres'!B24</f>
        <v>24 - Equipment - Gentry - 15yr</v>
      </c>
      <c r="D124" s="33" t="n">
        <f aca="false">SUM(F124:J124)</f>
        <v>861</v>
      </c>
      <c r="H124" s="33" t="n">
        <f aca="false">'6800 Sayres'!D24</f>
        <v>861</v>
      </c>
    </row>
    <row r="125" customFormat="false" ht="15" hidden="false" customHeight="false" outlineLevel="0" collapsed="false">
      <c r="B125" s="5" t="str">
        <f aca="false">'6800 Sayres'!B25</f>
        <v>24 - Equipment - Gentry - 27.5yr</v>
      </c>
      <c r="D125" s="33" t="n">
        <f aca="false">SUM(F125:J125)</f>
        <v>30755</v>
      </c>
      <c r="J125" s="33" t="n">
        <f aca="false">'6800 Sayres'!D25</f>
        <v>30755</v>
      </c>
    </row>
    <row r="126" customFormat="false" ht="15" hidden="false" customHeight="false" outlineLevel="0" collapsed="false">
      <c r="B126" s="11" t="s">
        <v>182</v>
      </c>
      <c r="D126" s="34" t="n">
        <f aca="false">SUM(D117:D125)</f>
        <v>269163</v>
      </c>
      <c r="F126" s="34" t="n">
        <f aca="false">SUM(F117:F125)</f>
        <v>43335</v>
      </c>
      <c r="H126" s="34" t="n">
        <f aca="false">SUM(H117:H125)</f>
        <v>6152</v>
      </c>
      <c r="J126" s="34" t="n">
        <f aca="false">SUM(J117:J125)</f>
        <v>219676</v>
      </c>
    </row>
    <row r="127" customFormat="false" ht="15" hidden="false" customHeight="false" outlineLevel="0" collapsed="false">
      <c r="B127" s="16" t="s">
        <v>183</v>
      </c>
      <c r="D127" s="17" t="n">
        <f aca="false">D126-D112</f>
        <v>224302.61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201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32</v>
      </c>
      <c r="C10" s="23" t="s">
        <v>17</v>
      </c>
      <c r="D10" s="24" t="n">
        <v>80244</v>
      </c>
      <c r="E10" s="24" t="n">
        <v>0</v>
      </c>
      <c r="F10" s="24" t="n">
        <v>0</v>
      </c>
      <c r="G10" s="24" t="n">
        <v>37993.4</v>
      </c>
      <c r="H10" s="24" t="n">
        <v>4738.57</v>
      </c>
      <c r="I10" s="24" t="n">
        <f aca="false">G10+H10</f>
        <v>42731.97</v>
      </c>
      <c r="J10" s="24" t="n">
        <f aca="false">D10-I10</f>
        <v>37512.03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33</v>
      </c>
      <c r="C11" s="23" t="s">
        <v>17</v>
      </c>
      <c r="D11" s="24" t="n">
        <v>1043171</v>
      </c>
      <c r="E11" s="24" t="n">
        <v>0</v>
      </c>
      <c r="F11" s="24" t="n">
        <v>0</v>
      </c>
      <c r="G11" s="24" t="n">
        <v>229182.26</v>
      </c>
      <c r="H11" s="24" t="n">
        <v>37933.65</v>
      </c>
      <c r="I11" s="24" t="n">
        <f aca="false">G11+H11</f>
        <v>267115.91</v>
      </c>
      <c r="J11" s="24" t="n">
        <f aca="false">D11-I11</f>
        <v>776055.09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34</v>
      </c>
      <c r="C12" s="23" t="s">
        <v>17</v>
      </c>
      <c r="D12" s="24" t="n">
        <v>213983</v>
      </c>
      <c r="E12" s="24" t="n">
        <v>0</v>
      </c>
      <c r="F12" s="24" t="n">
        <v>213983</v>
      </c>
      <c r="G12" s="24" t="n">
        <v>213983</v>
      </c>
      <c r="H12" s="24" t="n">
        <v>0</v>
      </c>
      <c r="I12" s="24" t="n">
        <f aca="false">G12+H12</f>
        <v>213983</v>
      </c>
      <c r="J12" s="24" t="n">
        <f aca="false">D12-I12</f>
        <v>0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1337398</v>
      </c>
      <c r="E13" s="28" t="n">
        <f aca="false">SUM(E10:E12)</f>
        <v>0</v>
      </c>
      <c r="F13" s="28" t="n">
        <f aca="false">SUM(F10:F12)</f>
        <v>213983</v>
      </c>
      <c r="G13" s="28" t="n">
        <f aca="false">SUM(G10:G12)</f>
        <v>481158.66</v>
      </c>
      <c r="H13" s="28" t="n">
        <f aca="false">SUM(H10:H12)</f>
        <v>42672.22</v>
      </c>
      <c r="I13" s="28" t="n">
        <f aca="false">SUM(I10:I12)</f>
        <v>523830.88</v>
      </c>
      <c r="J13" s="28" t="n">
        <f aca="false">SUM(J10:J12)</f>
        <v>813567.12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81</v>
      </c>
      <c r="C17" s="23" t="s">
        <v>17</v>
      </c>
      <c r="D17" s="24" t="n">
        <v>13399</v>
      </c>
      <c r="E17" s="24" t="n">
        <v>0</v>
      </c>
      <c r="F17" s="24" t="n">
        <v>0</v>
      </c>
      <c r="G17" s="24" t="n">
        <v>13399</v>
      </c>
      <c r="H17" s="24" t="n">
        <v>0</v>
      </c>
      <c r="I17" s="24" t="n">
        <f aca="false">G17+H17</f>
        <v>13399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82</v>
      </c>
      <c r="C18" s="23" t="s">
        <v>17</v>
      </c>
      <c r="D18" s="24" t="n">
        <v>1194</v>
      </c>
      <c r="E18" s="24" t="n">
        <v>0</v>
      </c>
      <c r="F18" s="24" t="n">
        <v>0</v>
      </c>
      <c r="G18" s="24" t="n">
        <v>1194</v>
      </c>
      <c r="H18" s="24" t="n">
        <v>0</v>
      </c>
      <c r="I18" s="24" t="n">
        <f aca="false">G18+H18</f>
        <v>1194</v>
      </c>
      <c r="J18" s="24" t="n">
        <f aca="false">D18-I18</f>
        <v>0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83</v>
      </c>
      <c r="C19" s="23" t="s">
        <v>17</v>
      </c>
      <c r="D19" s="24" t="n">
        <v>65650</v>
      </c>
      <c r="E19" s="24" t="n">
        <v>0</v>
      </c>
      <c r="F19" s="24" t="n">
        <v>0</v>
      </c>
      <c r="G19" s="24" t="n">
        <v>14423.09</v>
      </c>
      <c r="H19" s="24" t="n">
        <v>2387.27</v>
      </c>
      <c r="I19" s="24" t="n">
        <f aca="false">G19+H19</f>
        <v>16810.36</v>
      </c>
      <c r="J19" s="24" t="n">
        <f aca="false">D19-I19</f>
        <v>48839.64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84</v>
      </c>
      <c r="C20" s="23" t="s">
        <v>17</v>
      </c>
      <c r="D20" s="24" t="n">
        <v>174191</v>
      </c>
      <c r="E20" s="24" t="n">
        <v>0</v>
      </c>
      <c r="F20" s="24" t="n">
        <v>174191</v>
      </c>
      <c r="G20" s="24" t="n">
        <v>174191</v>
      </c>
      <c r="H20" s="24" t="n">
        <v>0</v>
      </c>
      <c r="I20" s="24" t="n">
        <f aca="false">G20+H20</f>
        <v>174191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85</v>
      </c>
      <c r="C21" s="23" t="s">
        <v>17</v>
      </c>
      <c r="D21" s="24" t="n">
        <v>15524</v>
      </c>
      <c r="E21" s="24" t="n">
        <v>0</v>
      </c>
      <c r="F21" s="24" t="n">
        <v>15524</v>
      </c>
      <c r="G21" s="24" t="n">
        <v>15524</v>
      </c>
      <c r="H21" s="24" t="n">
        <v>0</v>
      </c>
      <c r="I21" s="24" t="n">
        <f aca="false">G21+H21</f>
        <v>15524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86</v>
      </c>
      <c r="C22" s="23" t="s">
        <v>17</v>
      </c>
      <c r="D22" s="24" t="n">
        <v>853456</v>
      </c>
      <c r="E22" s="24" t="n">
        <v>0</v>
      </c>
      <c r="F22" s="24" t="n">
        <v>0</v>
      </c>
      <c r="G22" s="24" t="n">
        <v>187501.68</v>
      </c>
      <c r="H22" s="24" t="n">
        <v>31034.76</v>
      </c>
      <c r="I22" s="24" t="n">
        <f aca="false">G22+H22</f>
        <v>218536.44</v>
      </c>
      <c r="J22" s="24" t="n">
        <f aca="false">D22-I22</f>
        <v>634919.56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87</v>
      </c>
      <c r="C23" s="23" t="s">
        <v>17</v>
      </c>
      <c r="D23" s="24" t="n">
        <v>35731</v>
      </c>
      <c r="E23" s="24" t="n">
        <v>0</v>
      </c>
      <c r="F23" s="24" t="n">
        <v>35731</v>
      </c>
      <c r="G23" s="24" t="n">
        <v>35731</v>
      </c>
      <c r="H23" s="24" t="n">
        <v>0</v>
      </c>
      <c r="I23" s="24" t="n">
        <f aca="false">G23+H23</f>
        <v>35731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88</v>
      </c>
      <c r="C24" s="23" t="s">
        <v>17</v>
      </c>
      <c r="D24" s="24" t="n">
        <v>3185</v>
      </c>
      <c r="E24" s="24" t="n">
        <v>0</v>
      </c>
      <c r="F24" s="24" t="n">
        <v>3185</v>
      </c>
      <c r="G24" s="24" t="n">
        <v>3185</v>
      </c>
      <c r="H24" s="24" t="n">
        <v>0</v>
      </c>
      <c r="I24" s="24" t="n">
        <f aca="false">G24+H24</f>
        <v>3185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89</v>
      </c>
      <c r="C25" s="23" t="s">
        <v>17</v>
      </c>
      <c r="D25" s="24" t="n">
        <v>175068</v>
      </c>
      <c r="E25" s="24" t="n">
        <v>0</v>
      </c>
      <c r="F25" s="24" t="n">
        <v>0</v>
      </c>
      <c r="G25" s="24" t="n">
        <v>38461.91</v>
      </c>
      <c r="H25" s="24" t="n">
        <v>6366.11</v>
      </c>
      <c r="I25" s="24" t="n">
        <f aca="false">G25+H25</f>
        <v>44828.02</v>
      </c>
      <c r="J25" s="24" t="n">
        <f aca="false">D25-I25</f>
        <v>130239.98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1337398</v>
      </c>
      <c r="E26" s="28" t="n">
        <f aca="false">SUM(E17:E25)</f>
        <v>0</v>
      </c>
      <c r="F26" s="28" t="n">
        <f aca="false">SUM(F17:F25)</f>
        <v>228631</v>
      </c>
      <c r="G26" s="28" t="n">
        <f aca="false">SUM(G17:G25)</f>
        <v>483610.68</v>
      </c>
      <c r="H26" s="28" t="n">
        <f aca="false">SUM(H17:H25)</f>
        <v>39788.14</v>
      </c>
      <c r="I26" s="28" t="n">
        <f aca="false">SUM(I17:I25)</f>
        <v>523398.82</v>
      </c>
      <c r="J26" s="28" t="n">
        <f aca="false">SUM(J17:J25)</f>
        <v>813999.18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523830.88</v>
      </c>
    </row>
    <row r="30" customFormat="false" ht="15" hidden="false" customHeight="false" outlineLevel="0" collapsed="false">
      <c r="B30" s="5" t="s">
        <v>127</v>
      </c>
      <c r="D30" s="6" t="n">
        <f aca="false">I26</f>
        <v>523398.82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432.059999999998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32</v>
      </c>
      <c r="C36" s="23" t="s">
        <v>17</v>
      </c>
      <c r="D36" s="24" t="n">
        <v>80244</v>
      </c>
      <c r="E36" s="24" t="n">
        <v>0</v>
      </c>
      <c r="F36" s="24" t="n">
        <v>0</v>
      </c>
      <c r="G36" s="24" t="n">
        <v>37993.4</v>
      </c>
      <c r="H36" s="24" t="n">
        <v>4738.57</v>
      </c>
      <c r="I36" s="24" t="n">
        <f aca="false">G36+H36</f>
        <v>42731.97</v>
      </c>
      <c r="J36" s="24" t="n">
        <f aca="false">D36-I36</f>
        <v>37512.03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33</v>
      </c>
      <c r="C37" s="23" t="s">
        <v>17</v>
      </c>
      <c r="D37" s="24" t="n">
        <v>1043171</v>
      </c>
      <c r="E37" s="24" t="n">
        <v>0</v>
      </c>
      <c r="F37" s="24" t="n">
        <v>0</v>
      </c>
      <c r="G37" s="24" t="n">
        <v>229182.26</v>
      </c>
      <c r="H37" s="24" t="n">
        <v>37933.65</v>
      </c>
      <c r="I37" s="24" t="n">
        <f aca="false">G37+H37</f>
        <v>267115.91</v>
      </c>
      <c r="J37" s="24" t="n">
        <f aca="false">D37-I37</f>
        <v>776055.09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34</v>
      </c>
      <c r="C38" s="23" t="s">
        <v>17</v>
      </c>
      <c r="D38" s="24" t="n">
        <v>213983</v>
      </c>
      <c r="E38" s="24" t="n">
        <v>0</v>
      </c>
      <c r="F38" s="24" t="n">
        <v>213983</v>
      </c>
      <c r="G38" s="24" t="n">
        <v>213983</v>
      </c>
      <c r="H38" s="24" t="n">
        <v>0</v>
      </c>
      <c r="I38" s="24" t="n">
        <f aca="false">G38+H38</f>
        <v>213983</v>
      </c>
      <c r="J38" s="24" t="n">
        <f aca="false">D38-I38</f>
        <v>0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1337398</v>
      </c>
      <c r="E39" s="28" t="n">
        <f aca="false">SUM(E36:E38)</f>
        <v>0</v>
      </c>
      <c r="F39" s="28" t="n">
        <f aca="false">SUM(F36:F38)</f>
        <v>213983</v>
      </c>
      <c r="G39" s="28" t="n">
        <f aca="false">SUM(G36:G38)</f>
        <v>481158.66</v>
      </c>
      <c r="H39" s="28" t="n">
        <f aca="false">SUM(H36:H38)</f>
        <v>42672.22</v>
      </c>
      <c r="I39" s="28" t="n">
        <f aca="false">SUM(I36:I38)</f>
        <v>523830.88</v>
      </c>
      <c r="J39" s="28" t="n">
        <f aca="false">SUM(J36:J38)</f>
        <v>813567.12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81</v>
      </c>
      <c r="C43" s="23" t="s">
        <v>17</v>
      </c>
      <c r="D43" s="24" t="n">
        <v>13399</v>
      </c>
      <c r="E43" s="24" t="n">
        <v>0</v>
      </c>
      <c r="F43" s="24" t="n">
        <v>0</v>
      </c>
      <c r="G43" s="24" t="n">
        <v>13399</v>
      </c>
      <c r="H43" s="24" t="n">
        <v>0</v>
      </c>
      <c r="I43" s="24" t="n">
        <f aca="false">G43+H43</f>
        <v>13399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82</v>
      </c>
      <c r="C44" s="23" t="s">
        <v>17</v>
      </c>
      <c r="D44" s="24" t="n">
        <v>1194</v>
      </c>
      <c r="E44" s="24" t="n">
        <v>0</v>
      </c>
      <c r="F44" s="24" t="n">
        <v>0</v>
      </c>
      <c r="G44" s="24" t="n">
        <v>1194</v>
      </c>
      <c r="H44" s="24" t="n">
        <v>0</v>
      </c>
      <c r="I44" s="24" t="n">
        <f aca="false">G44+H44</f>
        <v>1194</v>
      </c>
      <c r="J44" s="24" t="n">
        <f aca="false">D44-I44</f>
        <v>0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83</v>
      </c>
      <c r="C45" s="23" t="s">
        <v>17</v>
      </c>
      <c r="D45" s="24" t="n">
        <v>65650</v>
      </c>
      <c r="E45" s="24" t="n">
        <v>0</v>
      </c>
      <c r="F45" s="24" t="n">
        <v>0</v>
      </c>
      <c r="G45" s="24" t="n">
        <v>14423.09</v>
      </c>
      <c r="H45" s="24" t="n">
        <v>2387.27</v>
      </c>
      <c r="I45" s="24" t="n">
        <f aca="false">G45+H45</f>
        <v>16810.36</v>
      </c>
      <c r="J45" s="24" t="n">
        <f aca="false">D45-I45</f>
        <v>48839.64</v>
      </c>
      <c r="K45" s="25" t="s">
        <v>120</v>
      </c>
      <c r="L45" s="25" t="s">
        <v>121</v>
      </c>
    </row>
    <row r="46" customFormat="false" ht="15" hidden="false" customHeight="false" outlineLevel="0" collapsed="false">
      <c r="A46" s="23" t="n">
        <v>4</v>
      </c>
      <c r="B46" s="23" t="s">
        <v>84</v>
      </c>
      <c r="C46" s="23" t="s">
        <v>17</v>
      </c>
      <c r="D46" s="24" t="n">
        <v>174191</v>
      </c>
      <c r="E46" s="24" t="n">
        <v>0</v>
      </c>
      <c r="F46" s="24" t="n">
        <v>174191</v>
      </c>
      <c r="G46" s="24" t="n">
        <v>174191</v>
      </c>
      <c r="H46" s="24" t="n">
        <v>0</v>
      </c>
      <c r="I46" s="24" t="n">
        <f aca="false">G46+H46</f>
        <v>174191</v>
      </c>
      <c r="J46" s="24" t="n">
        <f aca="false">D46-I46</f>
        <v>0</v>
      </c>
      <c r="K46" s="25" t="s">
        <v>124</v>
      </c>
      <c r="L46" s="25" t="s">
        <v>122</v>
      </c>
    </row>
    <row r="47" customFormat="false" ht="15" hidden="false" customHeight="false" outlineLevel="0" collapsed="false">
      <c r="A47" s="23" t="n">
        <v>5</v>
      </c>
      <c r="B47" s="23" t="s">
        <v>85</v>
      </c>
      <c r="C47" s="23" t="s">
        <v>17</v>
      </c>
      <c r="D47" s="24" t="n">
        <v>15524</v>
      </c>
      <c r="E47" s="24" t="n">
        <v>0</v>
      </c>
      <c r="F47" s="24" t="n">
        <v>15524</v>
      </c>
      <c r="G47" s="24" t="n">
        <v>15524</v>
      </c>
      <c r="H47" s="24" t="n">
        <v>0</v>
      </c>
      <c r="I47" s="24" t="n">
        <f aca="false">G47+H47</f>
        <v>15524</v>
      </c>
      <c r="J47" s="24" t="n">
        <f aca="false">D47-I47</f>
        <v>0</v>
      </c>
      <c r="K47" s="25" t="s">
        <v>118</v>
      </c>
      <c r="L47" s="25" t="s">
        <v>119</v>
      </c>
    </row>
    <row r="48" customFormat="false" ht="15" hidden="false" customHeight="false" outlineLevel="0" collapsed="false">
      <c r="A48" s="23" t="n">
        <v>6</v>
      </c>
      <c r="B48" s="23" t="s">
        <v>86</v>
      </c>
      <c r="C48" s="23" t="s">
        <v>17</v>
      </c>
      <c r="D48" s="24" t="n">
        <v>853456</v>
      </c>
      <c r="E48" s="24" t="n">
        <v>0</v>
      </c>
      <c r="F48" s="24" t="n">
        <v>0</v>
      </c>
      <c r="G48" s="24" t="n">
        <v>187501.68</v>
      </c>
      <c r="H48" s="24" t="n">
        <v>31034.76</v>
      </c>
      <c r="I48" s="24" t="n">
        <f aca="false">G48+H48</f>
        <v>218536.44</v>
      </c>
      <c r="J48" s="24" t="n">
        <f aca="false">D48-I48</f>
        <v>634919.56</v>
      </c>
      <c r="K48" s="25" t="s">
        <v>120</v>
      </c>
      <c r="L48" s="25" t="s">
        <v>121</v>
      </c>
    </row>
    <row r="49" customFormat="false" ht="15" hidden="false" customHeight="false" outlineLevel="0" collapsed="false">
      <c r="A49" s="23" t="n">
        <v>7</v>
      </c>
      <c r="B49" s="23" t="s">
        <v>87</v>
      </c>
      <c r="C49" s="23" t="s">
        <v>17</v>
      </c>
      <c r="D49" s="24" t="n">
        <v>35731</v>
      </c>
      <c r="E49" s="24" t="n">
        <v>0</v>
      </c>
      <c r="F49" s="24" t="n">
        <v>35731</v>
      </c>
      <c r="G49" s="24" t="n">
        <v>35731</v>
      </c>
      <c r="H49" s="24" t="n">
        <v>0</v>
      </c>
      <c r="I49" s="24" t="n">
        <f aca="false">G49+H49</f>
        <v>35731</v>
      </c>
      <c r="J49" s="24" t="n">
        <f aca="false">D49-I49</f>
        <v>0</v>
      </c>
      <c r="K49" s="25" t="s">
        <v>124</v>
      </c>
      <c r="L49" s="25" t="s">
        <v>122</v>
      </c>
    </row>
    <row r="50" customFormat="false" ht="15" hidden="false" customHeight="false" outlineLevel="0" collapsed="false">
      <c r="A50" s="23" t="n">
        <v>8</v>
      </c>
      <c r="B50" s="23" t="s">
        <v>88</v>
      </c>
      <c r="C50" s="23" t="s">
        <v>17</v>
      </c>
      <c r="D50" s="24" t="n">
        <v>3185</v>
      </c>
      <c r="E50" s="24" t="n">
        <v>0</v>
      </c>
      <c r="F50" s="24" t="n">
        <v>3185</v>
      </c>
      <c r="G50" s="24" t="n">
        <v>3185</v>
      </c>
      <c r="H50" s="24" t="n">
        <v>0</v>
      </c>
      <c r="I50" s="24" t="n">
        <f aca="false">G50+H50</f>
        <v>3185</v>
      </c>
      <c r="J50" s="24" t="n">
        <f aca="false">D50-I50</f>
        <v>0</v>
      </c>
      <c r="K50" s="25" t="s">
        <v>118</v>
      </c>
      <c r="L50" s="25" t="s">
        <v>119</v>
      </c>
    </row>
    <row r="51" customFormat="false" ht="15" hidden="false" customHeight="false" outlineLevel="0" collapsed="false">
      <c r="A51" s="23" t="n">
        <v>9</v>
      </c>
      <c r="B51" s="23" t="s">
        <v>89</v>
      </c>
      <c r="C51" s="23" t="s">
        <v>17</v>
      </c>
      <c r="D51" s="24" t="n">
        <v>175068</v>
      </c>
      <c r="E51" s="24" t="n">
        <v>0</v>
      </c>
      <c r="F51" s="24" t="n">
        <v>0</v>
      </c>
      <c r="G51" s="24" t="n">
        <v>38461.91</v>
      </c>
      <c r="H51" s="24" t="n">
        <v>6366.11</v>
      </c>
      <c r="I51" s="24" t="n">
        <f aca="false">G51+H51</f>
        <v>44828.02</v>
      </c>
      <c r="J51" s="24" t="n">
        <f aca="false">D51-I51</f>
        <v>130239.98</v>
      </c>
      <c r="K51" s="25" t="s">
        <v>120</v>
      </c>
      <c r="L51" s="25" t="s">
        <v>121</v>
      </c>
    </row>
    <row r="52" customFormat="false" ht="15" hidden="false" customHeight="false" outlineLevel="0" collapsed="false">
      <c r="A52" s="26"/>
      <c r="B52" s="27" t="s">
        <v>35</v>
      </c>
      <c r="C52" s="26"/>
      <c r="D52" s="28" t="n">
        <f aca="false">SUM(D43:D51)</f>
        <v>1337398</v>
      </c>
      <c r="E52" s="28" t="n">
        <f aca="false">SUM(E43:E51)</f>
        <v>0</v>
      </c>
      <c r="F52" s="28" t="n">
        <f aca="false">SUM(F43:F51)</f>
        <v>228631</v>
      </c>
      <c r="G52" s="28" t="n">
        <f aca="false">SUM(G43:G51)</f>
        <v>483610.68</v>
      </c>
      <c r="H52" s="28" t="n">
        <f aca="false">SUM(H43:H51)</f>
        <v>39788.14</v>
      </c>
      <c r="I52" s="28" t="n">
        <f aca="false">SUM(I43:I51)</f>
        <v>523398.82</v>
      </c>
      <c r="J52" s="28" t="n">
        <f aca="false">SUM(J43:J51)</f>
        <v>813999.18</v>
      </c>
      <c r="K52" s="26"/>
      <c r="L52" s="26"/>
    </row>
    <row r="54" customFormat="false" ht="15" hidden="false" customHeight="false" outlineLevel="0" collapsed="false">
      <c r="B54" s="18" t="s">
        <v>133</v>
      </c>
    </row>
    <row r="55" customFormat="false" ht="15" hidden="false" customHeight="false" outlineLevel="0" collapsed="false">
      <c r="B55" s="5" t="s">
        <v>126</v>
      </c>
      <c r="D55" s="6" t="n">
        <f aca="false">I39</f>
        <v>523830.88</v>
      </c>
    </row>
    <row r="56" customFormat="false" ht="15" hidden="false" customHeight="false" outlineLevel="0" collapsed="false">
      <c r="B56" s="5" t="s">
        <v>127</v>
      </c>
      <c r="D56" s="6" t="n">
        <f aca="false">I52</f>
        <v>523398.82</v>
      </c>
    </row>
    <row r="57" customFormat="false" ht="15" hidden="false" customHeight="false" outlineLevel="0" collapsed="false">
      <c r="B57" s="11" t="s">
        <v>133</v>
      </c>
      <c r="D57" s="29" t="n">
        <f aca="false">D55-D56</f>
        <v>432.059999999998</v>
      </c>
    </row>
    <row r="59" customFormat="false" ht="15" hidden="false" customHeight="false" outlineLevel="0" collapsed="false">
      <c r="A59" s="10" t="s">
        <v>134</v>
      </c>
    </row>
    <row r="60" customFormat="false" ht="15" hidden="false" customHeight="false" outlineLevel="0" collapsed="false">
      <c r="B60" s="11" t="s">
        <v>135</v>
      </c>
      <c r="D60" s="12" t="n">
        <f aca="false">D107</f>
        <v>44579.92</v>
      </c>
    </row>
    <row r="61" customFormat="false" ht="15" hidden="false" customHeight="false" outlineLevel="0" collapsed="false">
      <c r="B61" s="5" t="s">
        <v>136</v>
      </c>
      <c r="D61" s="6" t="n">
        <f aca="false">F107</f>
        <v>7444.03</v>
      </c>
    </row>
    <row r="62" customFormat="false" ht="15" hidden="false" customHeight="false" outlineLevel="0" collapsed="false">
      <c r="B62" s="30" t="s">
        <v>137</v>
      </c>
      <c r="D62" s="31" t="n">
        <f aca="false">F108</f>
        <v>0.166981681438639</v>
      </c>
    </row>
    <row r="63" customFormat="false" ht="15" hidden="false" customHeight="false" outlineLevel="0" collapsed="false">
      <c r="B63" s="5" t="s">
        <v>138</v>
      </c>
      <c r="D63" s="6" t="n">
        <f aca="false">H107</f>
        <v>663.44</v>
      </c>
    </row>
    <row r="64" customFormat="false" ht="15" hidden="false" customHeight="false" outlineLevel="0" collapsed="false">
      <c r="B64" s="30" t="s">
        <v>137</v>
      </c>
      <c r="D64" s="31" t="n">
        <f aca="false">H108</f>
        <v>0.0148820365761087</v>
      </c>
    </row>
    <row r="65" customFormat="false" ht="15" hidden="false" customHeight="false" outlineLevel="0" collapsed="false">
      <c r="B65" s="5" t="s">
        <v>139</v>
      </c>
      <c r="D65" s="6" t="n">
        <f aca="false">J107</f>
        <v>36472.45</v>
      </c>
    </row>
    <row r="66" customFormat="false" ht="15" hidden="false" customHeight="false" outlineLevel="0" collapsed="false">
      <c r="B66" s="30" t="s">
        <v>137</v>
      </c>
      <c r="D66" s="31" t="n">
        <f aca="false">J108</f>
        <v>0.818136281985252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B69" s="4" t="s">
        <v>141</v>
      </c>
      <c r="D69" s="4" t="s">
        <v>109</v>
      </c>
      <c r="F69" s="4" t="s">
        <v>142</v>
      </c>
      <c r="H69" s="4" t="s">
        <v>143</v>
      </c>
      <c r="J69" s="4" t="s">
        <v>144</v>
      </c>
    </row>
    <row r="70" customFormat="false" ht="15" hidden="false" customHeight="false" outlineLevel="0" collapsed="false">
      <c r="B70" s="32" t="s">
        <v>145</v>
      </c>
    </row>
    <row r="71" customFormat="false" ht="15" hidden="false" customHeight="false" outlineLevel="0" collapsed="false">
      <c r="B71" s="5" t="s">
        <v>146</v>
      </c>
      <c r="D71" s="33" t="n">
        <f aca="false">SUM(F71:J71)</f>
        <v>1253.18</v>
      </c>
      <c r="F71" s="33" t="n">
        <v>1253.18</v>
      </c>
    </row>
    <row r="72" customFormat="false" ht="15" hidden="false" customHeight="false" outlineLevel="0" collapsed="false">
      <c r="B72" s="5" t="s">
        <v>147</v>
      </c>
      <c r="D72" s="33" t="n">
        <f aca="false">SUM(F72:J72)</f>
        <v>1025.1</v>
      </c>
      <c r="F72" s="33" t="n">
        <v>1025.1</v>
      </c>
    </row>
    <row r="73" customFormat="false" ht="15" hidden="false" customHeight="false" outlineLevel="0" collapsed="false">
      <c r="B73" s="5" t="s">
        <v>148</v>
      </c>
      <c r="D73" s="33" t="n">
        <f aca="false">SUM(F73:J73)</f>
        <v>1949.87</v>
      </c>
      <c r="F73" s="33" t="n">
        <v>1949.87</v>
      </c>
    </row>
    <row r="74" customFormat="false" ht="15" hidden="false" customHeight="false" outlineLevel="0" collapsed="false">
      <c r="B74" s="5" t="s">
        <v>149</v>
      </c>
      <c r="D74" s="33" t="n">
        <f aca="false">SUM(F74:J74)</f>
        <v>539.2</v>
      </c>
      <c r="F74" s="33" t="n">
        <v>539.2</v>
      </c>
    </row>
    <row r="75" customFormat="false" ht="15" hidden="false" customHeight="false" outlineLevel="0" collapsed="false">
      <c r="B75" s="5" t="s">
        <v>150</v>
      </c>
      <c r="D75" s="33" t="n">
        <f aca="false">SUM(F75:J75)</f>
        <v>392.2</v>
      </c>
      <c r="F75" s="33" t="n">
        <v>392.2</v>
      </c>
    </row>
    <row r="76" customFormat="false" ht="15" hidden="false" customHeight="false" outlineLevel="0" collapsed="false">
      <c r="B76" s="5" t="s">
        <v>151</v>
      </c>
      <c r="D76" s="33" t="n">
        <f aca="false">SUM(F76:J76)</f>
        <v>33.89</v>
      </c>
      <c r="F76" s="33" t="n">
        <v>33.89</v>
      </c>
    </row>
    <row r="77" customFormat="false" ht="15" hidden="false" customHeight="false" outlineLevel="0" collapsed="false">
      <c r="B77" s="5" t="s">
        <v>152</v>
      </c>
      <c r="D77" s="33" t="n">
        <f aca="false">SUM(F77:J77)</f>
        <v>22.29</v>
      </c>
      <c r="F77" s="33" t="n">
        <v>22.29</v>
      </c>
    </row>
    <row r="78" customFormat="false" ht="15" hidden="false" customHeight="false" outlineLevel="0" collapsed="false">
      <c r="B78" s="5" t="s">
        <v>153</v>
      </c>
      <c r="D78" s="33" t="n">
        <f aca="false">SUM(F78:J78)</f>
        <v>578.78</v>
      </c>
      <c r="F78" s="33" t="n">
        <v>578.78</v>
      </c>
    </row>
    <row r="79" customFormat="false" ht="15" hidden="false" customHeight="false" outlineLevel="0" collapsed="false">
      <c r="B79" s="5" t="s">
        <v>154</v>
      </c>
      <c r="D79" s="33" t="n">
        <f aca="false">SUM(F79:J79)</f>
        <v>255.33</v>
      </c>
      <c r="F79" s="33" t="n">
        <v>255.33</v>
      </c>
    </row>
    <row r="80" customFormat="false" ht="15" hidden="false" customHeight="false" outlineLevel="0" collapsed="false">
      <c r="B80" s="5" t="s">
        <v>155</v>
      </c>
      <c r="D80" s="33" t="n">
        <f aca="false">SUM(F80:J80)</f>
        <v>633.66</v>
      </c>
      <c r="F80" s="33" t="n">
        <v>633.66</v>
      </c>
    </row>
    <row r="81" customFormat="false" ht="15" hidden="false" customHeight="false" outlineLevel="0" collapsed="false">
      <c r="B81" s="5" t="s">
        <v>156</v>
      </c>
      <c r="D81" s="33" t="n">
        <f aca="false">SUM(F81:J81)</f>
        <v>125.71</v>
      </c>
      <c r="F81" s="33" t="n">
        <v>125.71</v>
      </c>
    </row>
    <row r="82" customFormat="false" ht="15" hidden="false" customHeight="false" outlineLevel="0" collapsed="false">
      <c r="B82" s="5" t="s">
        <v>157</v>
      </c>
      <c r="D82" s="33" t="n">
        <f aca="false">SUM(F82:J82)</f>
        <v>634.82</v>
      </c>
      <c r="F82" s="33" t="n">
        <v>634.82</v>
      </c>
    </row>
    <row r="83" customFormat="false" ht="15" hidden="false" customHeight="false" outlineLevel="0" collapsed="false">
      <c r="B83" s="32" t="s">
        <v>158</v>
      </c>
    </row>
    <row r="84" customFormat="false" ht="15" hidden="false" customHeight="false" outlineLevel="0" collapsed="false">
      <c r="B84" s="5" t="s">
        <v>159</v>
      </c>
      <c r="D84" s="33" t="n">
        <f aca="false">SUM(F84:J84)</f>
        <v>440.5</v>
      </c>
      <c r="H84" s="33" t="n">
        <v>440.5</v>
      </c>
    </row>
    <row r="85" customFormat="false" ht="15" hidden="false" customHeight="false" outlineLevel="0" collapsed="false">
      <c r="B85" s="5" t="s">
        <v>160</v>
      </c>
      <c r="D85" s="33" t="n">
        <f aca="false">SUM(F85:J85)</f>
        <v>159.55</v>
      </c>
      <c r="H85" s="33" t="n">
        <v>159.55</v>
      </c>
    </row>
    <row r="86" customFormat="false" ht="15" hidden="false" customHeight="false" outlineLevel="0" collapsed="false">
      <c r="B86" s="5" t="s">
        <v>161</v>
      </c>
      <c r="D86" s="33" t="n">
        <f aca="false">SUM(F86:J86)</f>
        <v>39.13</v>
      </c>
      <c r="H86" s="33" t="n">
        <v>39.13</v>
      </c>
    </row>
    <row r="87" customFormat="false" ht="15" hidden="false" customHeight="false" outlineLevel="0" collapsed="false">
      <c r="B87" s="5" t="s">
        <v>162</v>
      </c>
      <c r="D87" s="33" t="n">
        <f aca="false">SUM(F87:J87)</f>
        <v>24.26</v>
      </c>
      <c r="H87" s="33" t="n">
        <v>24.26</v>
      </c>
    </row>
    <row r="88" customFormat="false" ht="15" hidden="false" customHeight="false" outlineLevel="0" collapsed="false">
      <c r="B88" s="32" t="s">
        <v>163</v>
      </c>
    </row>
    <row r="89" customFormat="false" ht="15" hidden="false" customHeight="false" outlineLevel="0" collapsed="false">
      <c r="B89" s="5" t="s">
        <v>164</v>
      </c>
      <c r="D89" s="33" t="n">
        <f aca="false">SUM(F89:J89)</f>
        <v>2834.33</v>
      </c>
      <c r="J89" s="33" t="n">
        <v>2834.33</v>
      </c>
    </row>
    <row r="90" customFormat="false" ht="15" hidden="false" customHeight="false" outlineLevel="0" collapsed="false">
      <c r="B90" s="5" t="s">
        <v>165</v>
      </c>
      <c r="D90" s="33" t="n">
        <f aca="false">SUM(F90:J90)</f>
        <v>5611.36</v>
      </c>
      <c r="J90" s="33" t="n">
        <v>5611.36</v>
      </c>
    </row>
    <row r="91" customFormat="false" ht="15" hidden="false" customHeight="false" outlineLevel="0" collapsed="false">
      <c r="B91" s="5" t="s">
        <v>166</v>
      </c>
      <c r="D91" s="33" t="n">
        <f aca="false">SUM(F91:J91)</f>
        <v>2625.61</v>
      </c>
      <c r="J91" s="33" t="n">
        <v>2625.61</v>
      </c>
    </row>
    <row r="92" customFormat="false" ht="15" hidden="false" customHeight="false" outlineLevel="0" collapsed="false">
      <c r="B92" s="5" t="s">
        <v>167</v>
      </c>
      <c r="D92" s="33" t="n">
        <f aca="false">SUM(F92:J92)</f>
        <v>2802.9</v>
      </c>
      <c r="J92" s="33" t="n">
        <v>2802.9</v>
      </c>
    </row>
    <row r="93" customFormat="false" ht="15" hidden="false" customHeight="false" outlineLevel="0" collapsed="false">
      <c r="B93" s="5" t="s">
        <v>168</v>
      </c>
      <c r="D93" s="33" t="n">
        <f aca="false">SUM(F93:J93)</f>
        <v>2311.88</v>
      </c>
      <c r="J93" s="33" t="n">
        <v>2311.88</v>
      </c>
    </row>
    <row r="94" customFormat="false" ht="15" hidden="false" customHeight="false" outlineLevel="0" collapsed="false">
      <c r="B94" s="5" t="s">
        <v>169</v>
      </c>
      <c r="D94" s="33" t="n">
        <f aca="false">SUM(F94:J94)</f>
        <v>135.25</v>
      </c>
      <c r="J94" s="33" t="n">
        <v>135.25</v>
      </c>
    </row>
    <row r="95" customFormat="false" ht="15" hidden="false" customHeight="false" outlineLevel="0" collapsed="false">
      <c r="B95" s="5" t="s">
        <v>170</v>
      </c>
      <c r="D95" s="33" t="n">
        <f aca="false">SUM(F95:J95)</f>
        <v>2244.42</v>
      </c>
      <c r="J95" s="33" t="n">
        <v>2244.42</v>
      </c>
    </row>
    <row r="96" customFormat="false" ht="15" hidden="false" customHeight="false" outlineLevel="0" collapsed="false">
      <c r="B96" s="5" t="s">
        <v>171</v>
      </c>
      <c r="D96" s="33" t="n">
        <f aca="false">SUM(F96:J96)</f>
        <v>1579.74</v>
      </c>
      <c r="J96" s="33" t="n">
        <v>1579.74</v>
      </c>
    </row>
    <row r="97" customFormat="false" ht="15" hidden="false" customHeight="false" outlineLevel="0" collapsed="false">
      <c r="B97" s="5" t="s">
        <v>172</v>
      </c>
      <c r="D97" s="33" t="n">
        <f aca="false">SUM(F97:J97)</f>
        <v>1728.69</v>
      </c>
      <c r="J97" s="33" t="n">
        <v>1728.69</v>
      </c>
    </row>
    <row r="98" customFormat="false" ht="15" hidden="false" customHeight="false" outlineLevel="0" collapsed="false">
      <c r="B98" s="5" t="s">
        <v>173</v>
      </c>
      <c r="D98" s="33" t="n">
        <f aca="false">SUM(F98:J98)</f>
        <v>1362.6</v>
      </c>
      <c r="J98" s="33" t="n">
        <v>1362.6</v>
      </c>
    </row>
    <row r="99" customFormat="false" ht="15" hidden="false" customHeight="false" outlineLevel="0" collapsed="false">
      <c r="B99" s="5" t="s">
        <v>174</v>
      </c>
      <c r="D99" s="33" t="n">
        <f aca="false">SUM(F99:J99)</f>
        <v>4921.02</v>
      </c>
      <c r="J99" s="33" t="n">
        <v>4921.02</v>
      </c>
    </row>
    <row r="100" customFormat="false" ht="15" hidden="false" customHeight="false" outlineLevel="0" collapsed="false">
      <c r="B100" s="5" t="s">
        <v>175</v>
      </c>
      <c r="D100" s="33" t="n">
        <f aca="false">SUM(F100:J100)</f>
        <v>1576.54</v>
      </c>
      <c r="J100" s="33" t="n">
        <v>1576.54</v>
      </c>
    </row>
    <row r="101" customFormat="false" ht="15" hidden="false" customHeight="false" outlineLevel="0" collapsed="false">
      <c r="B101" s="5" t="s">
        <v>176</v>
      </c>
      <c r="D101" s="33" t="n">
        <f aca="false">SUM(F101:J101)</f>
        <v>5014.17</v>
      </c>
      <c r="J101" s="33" t="n">
        <v>5014.17</v>
      </c>
    </row>
    <row r="102" customFormat="false" ht="15" hidden="false" customHeight="false" outlineLevel="0" collapsed="false">
      <c r="B102" s="5" t="s">
        <v>177</v>
      </c>
      <c r="D102" s="33" t="n">
        <f aca="false">SUM(F102:J102)</f>
        <v>380.3</v>
      </c>
      <c r="J102" s="33" t="n">
        <v>380.3</v>
      </c>
    </row>
    <row r="103" customFormat="false" ht="15" hidden="false" customHeight="false" outlineLevel="0" collapsed="false">
      <c r="B103" s="5" t="s">
        <v>193</v>
      </c>
      <c r="D103" s="33" t="n">
        <f aca="false">SUM(F103:J103)</f>
        <v>446.76</v>
      </c>
      <c r="J103" s="33" t="n">
        <v>446.76</v>
      </c>
    </row>
    <row r="104" customFormat="false" ht="15" hidden="false" customHeight="false" outlineLevel="0" collapsed="false">
      <c r="B104" s="5" t="s">
        <v>194</v>
      </c>
      <c r="D104" s="33" t="n">
        <f aca="false">SUM(F104:J104)</f>
        <v>59.17</v>
      </c>
      <c r="J104" s="33" t="n">
        <v>59.17</v>
      </c>
    </row>
    <row r="105" customFormat="false" ht="15" hidden="false" customHeight="false" outlineLevel="0" collapsed="false">
      <c r="B105" s="5" t="s">
        <v>178</v>
      </c>
      <c r="D105" s="33" t="n">
        <f aca="false">SUM(F105:J105)</f>
        <v>526.09</v>
      </c>
      <c r="J105" s="33" t="n">
        <v>526.09</v>
      </c>
    </row>
    <row r="106" customFormat="false" ht="15" hidden="false" customHeight="false" outlineLevel="0" collapsed="false">
      <c r="B106" s="5" t="s">
        <v>179</v>
      </c>
      <c r="D106" s="33" t="n">
        <f aca="false">SUM(F106:J106)</f>
        <v>311.62</v>
      </c>
      <c r="J106" s="33" t="n">
        <v>311.62</v>
      </c>
    </row>
    <row r="107" customFormat="false" ht="15" hidden="false" customHeight="false" outlineLevel="0" collapsed="false">
      <c r="B107" s="11" t="s">
        <v>135</v>
      </c>
      <c r="D107" s="34" t="n">
        <f aca="false">SUM(D70:D106)</f>
        <v>44579.92</v>
      </c>
      <c r="F107" s="34" t="n">
        <f aca="false">SUM(F70:F106)</f>
        <v>7444.03</v>
      </c>
      <c r="H107" s="34" t="n">
        <f aca="false">SUM(H70:H106)</f>
        <v>663.44</v>
      </c>
      <c r="J107" s="34" t="n">
        <f aca="false">SUM(J70:J106)</f>
        <v>36472.45</v>
      </c>
    </row>
    <row r="108" customFormat="false" ht="15" hidden="false" customHeight="false" outlineLevel="0" collapsed="false">
      <c r="B108" s="30" t="s">
        <v>137</v>
      </c>
      <c r="F108" s="31" t="n">
        <f aca="false">F107/D107</f>
        <v>0.166981681438639</v>
      </c>
      <c r="H108" s="31" t="n">
        <f aca="false">H107/D107</f>
        <v>0.0148820365761087</v>
      </c>
      <c r="J108" s="31" t="n">
        <f aca="false">J107/D107</f>
        <v>0.818136281985252</v>
      </c>
    </row>
    <row r="110" customFormat="false" ht="15" hidden="false" customHeight="false" outlineLevel="0" collapsed="false">
      <c r="A110" s="10" t="s">
        <v>180</v>
      </c>
    </row>
    <row r="111" customFormat="false" ht="15" hidden="false" customHeight="false" outlineLevel="0" collapsed="false">
      <c r="B111" s="4" t="s">
        <v>181</v>
      </c>
      <c r="D111" s="4" t="s">
        <v>109</v>
      </c>
      <c r="F111" s="4" t="s">
        <v>142</v>
      </c>
      <c r="H111" s="4" t="s">
        <v>143</v>
      </c>
      <c r="J111" s="4" t="s">
        <v>144</v>
      </c>
    </row>
    <row r="112" customFormat="false" ht="15" hidden="false" customHeight="false" outlineLevel="0" collapsed="false">
      <c r="B112" s="5" t="str">
        <f aca="false">'7112 Kayla'!B17</f>
        <v>7 - Land Improvements - Kayla - 5yr</v>
      </c>
      <c r="D112" s="33" t="n">
        <f aca="false">SUM(F112:J112)</f>
        <v>13399</v>
      </c>
      <c r="F112" s="33" t="n">
        <f aca="false">'7112 Kayla'!D17</f>
        <v>13399</v>
      </c>
    </row>
    <row r="113" customFormat="false" ht="15" hidden="false" customHeight="false" outlineLevel="0" collapsed="false">
      <c r="B113" s="5" t="str">
        <f aca="false">'7112 Kayla'!B18</f>
        <v>7 - Land Improvements - Kayla - 15yr</v>
      </c>
      <c r="D113" s="33" t="n">
        <f aca="false">SUM(F113:J113)</f>
        <v>1194</v>
      </c>
      <c r="H113" s="33" t="n">
        <f aca="false">'7112 Kayla'!D18</f>
        <v>1194</v>
      </c>
    </row>
    <row r="114" customFormat="false" ht="15" hidden="false" customHeight="false" outlineLevel="0" collapsed="false">
      <c r="B114" s="5" t="str">
        <f aca="false">'7112 Kayla'!B19</f>
        <v>7 - Land Improvements - Kayla - 27.5yr</v>
      </c>
      <c r="D114" s="33" t="n">
        <f aca="false">SUM(F114:J114)</f>
        <v>65650</v>
      </c>
      <c r="J114" s="33" t="n">
        <f aca="false">'7112 Kayla'!D19</f>
        <v>65650</v>
      </c>
    </row>
    <row r="115" customFormat="false" ht="15" hidden="false" customHeight="false" outlineLevel="0" collapsed="false">
      <c r="B115" s="5" t="str">
        <f aca="false">'7112 Kayla'!B20</f>
        <v>8 - Buidling - Kayla - 5yr</v>
      </c>
      <c r="D115" s="33" t="n">
        <f aca="false">SUM(F115:J115)</f>
        <v>174191</v>
      </c>
      <c r="F115" s="33" t="n">
        <f aca="false">'7112 Kayla'!D20</f>
        <v>174191</v>
      </c>
    </row>
    <row r="116" customFormat="false" ht="15" hidden="false" customHeight="false" outlineLevel="0" collapsed="false">
      <c r="B116" s="5" t="str">
        <f aca="false">'7112 Kayla'!B21</f>
        <v>8 - Buidling - Kayla - 15yr</v>
      </c>
      <c r="D116" s="33" t="n">
        <f aca="false">SUM(F116:J116)</f>
        <v>15524</v>
      </c>
      <c r="H116" s="33" t="n">
        <f aca="false">'7112 Kayla'!D21</f>
        <v>15524</v>
      </c>
    </row>
    <row r="117" customFormat="false" ht="15" hidden="false" customHeight="false" outlineLevel="0" collapsed="false">
      <c r="B117" s="5" t="str">
        <f aca="false">'7112 Kayla'!B22</f>
        <v>8 - Buidling - Kayla - 27.5yr</v>
      </c>
      <c r="D117" s="33" t="n">
        <f aca="false">SUM(F117:J117)</f>
        <v>853456</v>
      </c>
      <c r="J117" s="33" t="n">
        <f aca="false">'7112 Kayla'!D22</f>
        <v>853456</v>
      </c>
    </row>
    <row r="118" customFormat="false" ht="15" hidden="false" customHeight="false" outlineLevel="0" collapsed="false">
      <c r="B118" s="5" t="str">
        <f aca="false">'7112 Kayla'!B23</f>
        <v>9 - Equipment - Kayla - 5yr</v>
      </c>
      <c r="D118" s="33" t="n">
        <f aca="false">SUM(F118:J118)</f>
        <v>35731</v>
      </c>
      <c r="F118" s="33" t="n">
        <f aca="false">'7112 Kayla'!D23</f>
        <v>35731</v>
      </c>
    </row>
    <row r="119" customFormat="false" ht="15" hidden="false" customHeight="false" outlineLevel="0" collapsed="false">
      <c r="B119" s="5" t="str">
        <f aca="false">'7112 Kayla'!B24</f>
        <v>9 - Equipment - Kayla - 15yr</v>
      </c>
      <c r="D119" s="33" t="n">
        <f aca="false">SUM(F119:J119)</f>
        <v>3185</v>
      </c>
      <c r="H119" s="33" t="n">
        <f aca="false">'7112 Kayla'!D24</f>
        <v>3185</v>
      </c>
    </row>
    <row r="120" customFormat="false" ht="15" hidden="false" customHeight="false" outlineLevel="0" collapsed="false">
      <c r="B120" s="5" t="str">
        <f aca="false">'7112 Kayla'!B25</f>
        <v>9 - Equipment - Kayla - 27.5yr</v>
      </c>
      <c r="D120" s="33" t="n">
        <f aca="false">SUM(F120:J120)</f>
        <v>175068</v>
      </c>
      <c r="J120" s="33" t="n">
        <f aca="false">'7112 Kayla'!D25</f>
        <v>175068</v>
      </c>
    </row>
    <row r="121" customFormat="false" ht="15" hidden="false" customHeight="false" outlineLevel="0" collapsed="false">
      <c r="B121" s="11" t="s">
        <v>182</v>
      </c>
      <c r="D121" s="34" t="n">
        <f aca="false">SUM(D112:D120)</f>
        <v>1337398</v>
      </c>
      <c r="F121" s="34" t="n">
        <f aca="false">SUM(F112:F120)</f>
        <v>223321</v>
      </c>
      <c r="H121" s="34" t="n">
        <f aca="false">SUM(H112:H120)</f>
        <v>19903</v>
      </c>
      <c r="J121" s="34" t="n">
        <f aca="false">SUM(J112:J120)</f>
        <v>1094174</v>
      </c>
    </row>
    <row r="122" customFormat="false" ht="15" hidden="false" customHeight="false" outlineLevel="0" collapsed="false">
      <c r="B122" s="16" t="s">
        <v>183</v>
      </c>
      <c r="D122" s="17" t="n">
        <f aca="false">D121-D107</f>
        <v>1292818.08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202</v>
      </c>
    </row>
    <row r="5" customFormat="false" ht="15" hidden="false" customHeight="false" outlineLevel="0" collapsed="false">
      <c r="A5" s="16" t="s">
        <v>103</v>
      </c>
    </row>
    <row r="7" customFormat="false" ht="15" hidden="false" customHeight="false" outlineLevel="0" collapsed="false">
      <c r="A7" s="10" t="s">
        <v>104</v>
      </c>
    </row>
    <row r="8" customFormat="false" ht="15" hidden="false" customHeight="false" outlineLevel="0" collapsed="false">
      <c r="A8" s="21" t="s">
        <v>105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</row>
    <row r="10" customFormat="false" ht="15" hidden="false" customHeight="false" outlineLevel="0" collapsed="false">
      <c r="A10" s="23" t="n">
        <v>1</v>
      </c>
      <c r="B10" s="23" t="s">
        <v>32</v>
      </c>
      <c r="C10" s="23" t="s">
        <v>17</v>
      </c>
      <c r="D10" s="24" t="n">
        <v>18110</v>
      </c>
      <c r="E10" s="24" t="n">
        <v>0</v>
      </c>
      <c r="F10" s="24" t="n">
        <v>0</v>
      </c>
      <c r="G10" s="24" t="n">
        <v>8574.6</v>
      </c>
      <c r="H10" s="24" t="n">
        <v>1069.43</v>
      </c>
      <c r="I10" s="24" t="n">
        <f aca="false">G10+H10</f>
        <v>9644.03</v>
      </c>
      <c r="J10" s="24" t="n">
        <f aca="false">D10-I10</f>
        <v>8465.97</v>
      </c>
      <c r="K10" s="25" t="s">
        <v>118</v>
      </c>
      <c r="L10" s="25" t="s">
        <v>119</v>
      </c>
    </row>
    <row r="11" customFormat="false" ht="15" hidden="false" customHeight="false" outlineLevel="0" collapsed="false">
      <c r="A11" s="23" t="n">
        <v>2</v>
      </c>
      <c r="B11" s="23" t="s">
        <v>33</v>
      </c>
      <c r="C11" s="23" t="s">
        <v>17</v>
      </c>
      <c r="D11" s="24" t="n">
        <v>235436</v>
      </c>
      <c r="E11" s="24" t="n">
        <v>0</v>
      </c>
      <c r="F11" s="24" t="n">
        <v>0</v>
      </c>
      <c r="G11" s="24" t="n">
        <v>51724.74</v>
      </c>
      <c r="H11" s="24" t="n">
        <v>8561.35</v>
      </c>
      <c r="I11" s="24" t="n">
        <f aca="false">G11+H11</f>
        <v>60286.09</v>
      </c>
      <c r="J11" s="24" t="n">
        <f aca="false">D11-I11</f>
        <v>175149.91</v>
      </c>
      <c r="K11" s="25" t="s">
        <v>120</v>
      </c>
      <c r="L11" s="25" t="s">
        <v>121</v>
      </c>
    </row>
    <row r="12" customFormat="false" ht="15" hidden="false" customHeight="false" outlineLevel="0" collapsed="false">
      <c r="A12" s="23" t="n">
        <v>3</v>
      </c>
      <c r="B12" s="23" t="s">
        <v>34</v>
      </c>
      <c r="C12" s="23" t="s">
        <v>17</v>
      </c>
      <c r="D12" s="24" t="n">
        <v>48295</v>
      </c>
      <c r="E12" s="24" t="n">
        <v>0</v>
      </c>
      <c r="F12" s="24" t="n">
        <v>48295</v>
      </c>
      <c r="G12" s="24" t="n">
        <v>48295</v>
      </c>
      <c r="H12" s="24" t="n">
        <v>0</v>
      </c>
      <c r="I12" s="24" t="n">
        <f aca="false">G12+H12</f>
        <v>48295</v>
      </c>
      <c r="J12" s="24" t="n">
        <f aca="false">D12-I12</f>
        <v>0</v>
      </c>
      <c r="K12" s="25" t="s">
        <v>124</v>
      </c>
      <c r="L12" s="25" t="s">
        <v>122</v>
      </c>
    </row>
    <row r="13" customFormat="false" ht="15" hidden="false" customHeight="false" outlineLevel="0" collapsed="false">
      <c r="A13" s="26"/>
      <c r="B13" s="27" t="s">
        <v>35</v>
      </c>
      <c r="C13" s="26"/>
      <c r="D13" s="28" t="n">
        <f aca="false">SUM(D10:D12)</f>
        <v>301841</v>
      </c>
      <c r="E13" s="28" t="n">
        <f aca="false">SUM(E10:E12)</f>
        <v>0</v>
      </c>
      <c r="F13" s="28" t="n">
        <f aca="false">SUM(F10:F12)</f>
        <v>48295</v>
      </c>
      <c r="G13" s="28" t="n">
        <f aca="false">SUM(G10:G12)</f>
        <v>108594.34</v>
      </c>
      <c r="H13" s="28" t="n">
        <f aca="false">SUM(H10:H12)</f>
        <v>9630.78</v>
      </c>
      <c r="I13" s="28" t="n">
        <f aca="false">SUM(I10:I12)</f>
        <v>118225.12</v>
      </c>
      <c r="J13" s="28" t="n">
        <f aca="false">SUM(J10:J12)</f>
        <v>183615.88</v>
      </c>
      <c r="K13" s="26"/>
      <c r="L13" s="26"/>
    </row>
    <row r="15" customFormat="false" ht="15" hidden="false" customHeight="false" outlineLevel="0" collapsed="false">
      <c r="A15" s="21" t="s">
        <v>123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customFormat="false" ht="22.35" hidden="false" customHeight="false" outlineLevel="0" collapsed="false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  <c r="L16" s="4" t="s">
        <v>117</v>
      </c>
    </row>
    <row r="17" customFormat="false" ht="15" hidden="false" customHeight="false" outlineLevel="0" collapsed="false">
      <c r="A17" s="23" t="n">
        <v>1</v>
      </c>
      <c r="B17" s="23" t="s">
        <v>81</v>
      </c>
      <c r="C17" s="23" t="s">
        <v>17</v>
      </c>
      <c r="D17" s="24" t="n">
        <v>2962</v>
      </c>
      <c r="E17" s="24" t="n">
        <v>0</v>
      </c>
      <c r="F17" s="24" t="n">
        <v>0</v>
      </c>
      <c r="G17" s="24" t="n">
        <v>2962</v>
      </c>
      <c r="H17" s="24" t="n">
        <v>0</v>
      </c>
      <c r="I17" s="24" t="n">
        <f aca="false">G17+H17</f>
        <v>2962</v>
      </c>
      <c r="J17" s="24" t="n">
        <f aca="false">D17-I17</f>
        <v>0</v>
      </c>
      <c r="K17" s="25" t="s">
        <v>124</v>
      </c>
      <c r="L17" s="25" t="s">
        <v>122</v>
      </c>
    </row>
    <row r="18" customFormat="false" ht="15" hidden="false" customHeight="false" outlineLevel="0" collapsed="false">
      <c r="A18" s="23" t="n">
        <v>2</v>
      </c>
      <c r="B18" s="23" t="s">
        <v>82</v>
      </c>
      <c r="C18" s="23" t="s">
        <v>17</v>
      </c>
      <c r="D18" s="24" t="n">
        <v>336</v>
      </c>
      <c r="E18" s="24" t="n">
        <v>0</v>
      </c>
      <c r="F18" s="24" t="n">
        <v>0</v>
      </c>
      <c r="G18" s="24" t="n">
        <v>336</v>
      </c>
      <c r="H18" s="24" t="n">
        <v>0</v>
      </c>
      <c r="I18" s="24" t="n">
        <f aca="false">G18+H18</f>
        <v>336</v>
      </c>
      <c r="J18" s="24" t="n">
        <f aca="false">D18-I18</f>
        <v>0</v>
      </c>
      <c r="K18" s="25" t="s">
        <v>118</v>
      </c>
      <c r="L18" s="25" t="s">
        <v>119</v>
      </c>
    </row>
    <row r="19" customFormat="false" ht="15" hidden="false" customHeight="false" outlineLevel="0" collapsed="false">
      <c r="A19" s="23" t="n">
        <v>3</v>
      </c>
      <c r="B19" s="23" t="s">
        <v>83</v>
      </c>
      <c r="C19" s="23" t="s">
        <v>17</v>
      </c>
      <c r="D19" s="24" t="n">
        <v>14813</v>
      </c>
      <c r="E19" s="24" t="n">
        <v>0</v>
      </c>
      <c r="F19" s="24" t="n">
        <v>0</v>
      </c>
      <c r="G19" s="24" t="n">
        <v>3254.34</v>
      </c>
      <c r="H19" s="24" t="n">
        <v>538.65</v>
      </c>
      <c r="I19" s="24" t="n">
        <f aca="false">G19+H19</f>
        <v>3792.99</v>
      </c>
      <c r="J19" s="24" t="n">
        <f aca="false">D19-I19</f>
        <v>11020.01</v>
      </c>
      <c r="K19" s="25" t="s">
        <v>120</v>
      </c>
      <c r="L19" s="25" t="s">
        <v>121</v>
      </c>
    </row>
    <row r="20" customFormat="false" ht="15" hidden="false" customHeight="false" outlineLevel="0" collapsed="false">
      <c r="A20" s="23" t="n">
        <v>4</v>
      </c>
      <c r="B20" s="23" t="s">
        <v>84</v>
      </c>
      <c r="C20" s="23" t="s">
        <v>17</v>
      </c>
      <c r="D20" s="24" t="n">
        <v>38500</v>
      </c>
      <c r="E20" s="24" t="n">
        <v>0</v>
      </c>
      <c r="F20" s="24" t="n">
        <v>38500</v>
      </c>
      <c r="G20" s="24" t="n">
        <v>38500</v>
      </c>
      <c r="H20" s="24" t="n">
        <v>0</v>
      </c>
      <c r="I20" s="24" t="n">
        <f aca="false">G20+H20</f>
        <v>38500</v>
      </c>
      <c r="J20" s="24" t="n">
        <f aca="false">D20-I20</f>
        <v>0</v>
      </c>
      <c r="K20" s="25" t="s">
        <v>124</v>
      </c>
      <c r="L20" s="25" t="s">
        <v>122</v>
      </c>
    </row>
    <row r="21" customFormat="false" ht="15" hidden="false" customHeight="false" outlineLevel="0" collapsed="false">
      <c r="A21" s="23" t="n">
        <v>5</v>
      </c>
      <c r="B21" s="23" t="s">
        <v>85</v>
      </c>
      <c r="C21" s="23" t="s">
        <v>17</v>
      </c>
      <c r="D21" s="24" t="n">
        <v>4364</v>
      </c>
      <c r="E21" s="24" t="n">
        <v>0</v>
      </c>
      <c r="F21" s="24" t="n">
        <v>4364</v>
      </c>
      <c r="G21" s="24" t="n">
        <v>4364</v>
      </c>
      <c r="H21" s="24" t="n">
        <v>0</v>
      </c>
      <c r="I21" s="24" t="n">
        <f aca="false">G21+H21</f>
        <v>4364</v>
      </c>
      <c r="J21" s="24" t="n">
        <f aca="false">D21-I21</f>
        <v>0</v>
      </c>
      <c r="K21" s="25" t="s">
        <v>118</v>
      </c>
      <c r="L21" s="25" t="s">
        <v>119</v>
      </c>
    </row>
    <row r="22" customFormat="false" ht="15" hidden="false" customHeight="false" outlineLevel="0" collapsed="false">
      <c r="A22" s="23" t="n">
        <v>6</v>
      </c>
      <c r="B22" s="23" t="s">
        <v>86</v>
      </c>
      <c r="C22" s="23" t="s">
        <v>17</v>
      </c>
      <c r="D22" s="24" t="n">
        <v>192572</v>
      </c>
      <c r="E22" s="24" t="n">
        <v>0</v>
      </c>
      <c r="F22" s="24" t="n">
        <v>0</v>
      </c>
      <c r="G22" s="24" t="n">
        <v>42307.5</v>
      </c>
      <c r="H22" s="24" t="n">
        <v>7002.62</v>
      </c>
      <c r="I22" s="24" t="n">
        <f aca="false">G22+H22</f>
        <v>49310.12</v>
      </c>
      <c r="J22" s="24" t="n">
        <f aca="false">D22-I22</f>
        <v>143261.88</v>
      </c>
      <c r="K22" s="25" t="s">
        <v>120</v>
      </c>
      <c r="L22" s="25" t="s">
        <v>121</v>
      </c>
    </row>
    <row r="23" customFormat="false" ht="15" hidden="false" customHeight="false" outlineLevel="0" collapsed="false">
      <c r="A23" s="23" t="n">
        <v>7</v>
      </c>
      <c r="B23" s="23" t="s">
        <v>87</v>
      </c>
      <c r="C23" s="23" t="s">
        <v>17</v>
      </c>
      <c r="D23" s="24" t="n">
        <v>7898</v>
      </c>
      <c r="E23" s="24" t="n">
        <v>0</v>
      </c>
      <c r="F23" s="24" t="n">
        <v>7898</v>
      </c>
      <c r="G23" s="24" t="n">
        <v>7898</v>
      </c>
      <c r="H23" s="24" t="n">
        <v>0</v>
      </c>
      <c r="I23" s="24" t="n">
        <f aca="false">G23+H23</f>
        <v>7898</v>
      </c>
      <c r="J23" s="24" t="n">
        <f aca="false">D23-I23</f>
        <v>0</v>
      </c>
      <c r="K23" s="25" t="s">
        <v>124</v>
      </c>
      <c r="L23" s="25" t="s">
        <v>122</v>
      </c>
    </row>
    <row r="24" customFormat="false" ht="15" hidden="false" customHeight="false" outlineLevel="0" collapsed="false">
      <c r="A24" s="23" t="n">
        <v>8</v>
      </c>
      <c r="B24" s="23" t="s">
        <v>88</v>
      </c>
      <c r="C24" s="23" t="s">
        <v>17</v>
      </c>
      <c r="D24" s="24" t="n">
        <v>895</v>
      </c>
      <c r="E24" s="24" t="n">
        <v>0</v>
      </c>
      <c r="F24" s="24" t="n">
        <v>895</v>
      </c>
      <c r="G24" s="24" t="n">
        <v>895</v>
      </c>
      <c r="H24" s="24" t="n">
        <v>0</v>
      </c>
      <c r="I24" s="24" t="n">
        <f aca="false">G24+H24</f>
        <v>895</v>
      </c>
      <c r="J24" s="24" t="n">
        <f aca="false">D24-I24</f>
        <v>0</v>
      </c>
      <c r="K24" s="25" t="s">
        <v>118</v>
      </c>
      <c r="L24" s="25" t="s">
        <v>119</v>
      </c>
    </row>
    <row r="25" customFormat="false" ht="15" hidden="false" customHeight="false" outlineLevel="0" collapsed="false">
      <c r="A25" s="23" t="n">
        <v>9</v>
      </c>
      <c r="B25" s="23" t="s">
        <v>89</v>
      </c>
      <c r="C25" s="23" t="s">
        <v>17</v>
      </c>
      <c r="D25" s="24" t="n">
        <v>39501</v>
      </c>
      <c r="E25" s="24" t="n">
        <v>0</v>
      </c>
      <c r="F25" s="24" t="n">
        <v>0</v>
      </c>
      <c r="G25" s="24" t="n">
        <v>8678.49</v>
      </c>
      <c r="H25" s="24" t="n">
        <v>1436.4</v>
      </c>
      <c r="I25" s="24" t="n">
        <f aca="false">G25+H25</f>
        <v>10114.89</v>
      </c>
      <c r="J25" s="24" t="n">
        <f aca="false">D25-I25</f>
        <v>29386.11</v>
      </c>
      <c r="K25" s="25" t="s">
        <v>120</v>
      </c>
      <c r="L25" s="25" t="s">
        <v>121</v>
      </c>
    </row>
    <row r="26" customFormat="false" ht="15" hidden="false" customHeight="false" outlineLevel="0" collapsed="false">
      <c r="A26" s="26"/>
      <c r="B26" s="27" t="s">
        <v>35</v>
      </c>
      <c r="C26" s="26"/>
      <c r="D26" s="28" t="n">
        <f aca="false">SUM(D17:D25)</f>
        <v>301841</v>
      </c>
      <c r="E26" s="28" t="n">
        <f aca="false">SUM(E17:E25)</f>
        <v>0</v>
      </c>
      <c r="F26" s="28" t="n">
        <f aca="false">SUM(F17:F25)</f>
        <v>51657</v>
      </c>
      <c r="G26" s="28" t="n">
        <f aca="false">SUM(G17:G25)</f>
        <v>109195.33</v>
      </c>
      <c r="H26" s="28" t="n">
        <f aca="false">SUM(H17:H25)</f>
        <v>8977.67</v>
      </c>
      <c r="I26" s="28" t="n">
        <f aca="false">SUM(I17:I25)</f>
        <v>118173</v>
      </c>
      <c r="J26" s="28" t="n">
        <f aca="false">SUM(J17:J25)</f>
        <v>183668</v>
      </c>
      <c r="K26" s="26"/>
      <c r="L26" s="26"/>
    </row>
    <row r="28" customFormat="false" ht="15" hidden="false" customHeight="false" outlineLevel="0" collapsed="false">
      <c r="B28" s="18" t="s">
        <v>125</v>
      </c>
    </row>
    <row r="29" customFormat="false" ht="15" hidden="false" customHeight="false" outlineLevel="0" collapsed="false">
      <c r="B29" s="5" t="s">
        <v>126</v>
      </c>
      <c r="D29" s="6" t="n">
        <f aca="false">I13</f>
        <v>118225.12</v>
      </c>
    </row>
    <row r="30" customFormat="false" ht="15" hidden="false" customHeight="false" outlineLevel="0" collapsed="false">
      <c r="B30" s="5" t="s">
        <v>127</v>
      </c>
      <c r="D30" s="6" t="n">
        <f aca="false">I26</f>
        <v>118173</v>
      </c>
    </row>
    <row r="31" customFormat="false" ht="15" hidden="false" customHeight="false" outlineLevel="0" collapsed="false">
      <c r="B31" s="11" t="s">
        <v>125</v>
      </c>
      <c r="D31" s="29" t="n">
        <f aca="false">D29-D30</f>
        <v>52.1199999999953</v>
      </c>
    </row>
    <row r="33" customFormat="false" ht="15" hidden="false" customHeight="false" outlineLevel="0" collapsed="false">
      <c r="A33" s="10" t="s">
        <v>128</v>
      </c>
    </row>
    <row r="34" customFormat="false" ht="15" hidden="false" customHeight="false" outlineLevel="0" collapsed="false">
      <c r="A34" s="21" t="s">
        <v>129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4" t="s">
        <v>106</v>
      </c>
      <c r="B35" s="4" t="s">
        <v>107</v>
      </c>
      <c r="C35" s="4" t="s">
        <v>108</v>
      </c>
      <c r="D35" s="4" t="s">
        <v>109</v>
      </c>
      <c r="E35" s="4" t="s">
        <v>110</v>
      </c>
      <c r="F35" s="4" t="s">
        <v>111</v>
      </c>
      <c r="G35" s="4" t="s">
        <v>130</v>
      </c>
      <c r="H35" s="4" t="s">
        <v>131</v>
      </c>
      <c r="I35" s="4" t="s">
        <v>114</v>
      </c>
      <c r="J35" s="4" t="s">
        <v>115</v>
      </c>
      <c r="K35" s="4" t="s">
        <v>116</v>
      </c>
      <c r="L35" s="4" t="s">
        <v>117</v>
      </c>
    </row>
    <row r="36" customFormat="false" ht="15" hidden="false" customHeight="false" outlineLevel="0" collapsed="false">
      <c r="A36" s="23" t="n">
        <v>1</v>
      </c>
      <c r="B36" s="23" t="s">
        <v>32</v>
      </c>
      <c r="C36" s="23" t="s">
        <v>17</v>
      </c>
      <c r="D36" s="24" t="n">
        <v>18110</v>
      </c>
      <c r="E36" s="24" t="n">
        <v>0</v>
      </c>
      <c r="F36" s="24" t="n">
        <v>0</v>
      </c>
      <c r="G36" s="24" t="n">
        <v>8574.6</v>
      </c>
      <c r="H36" s="24" t="n">
        <v>1069.43</v>
      </c>
      <c r="I36" s="24" t="n">
        <f aca="false">G36+H36</f>
        <v>9644.03</v>
      </c>
      <c r="J36" s="24" t="n">
        <f aca="false">D36-I36</f>
        <v>8465.97</v>
      </c>
      <c r="K36" s="25" t="s">
        <v>118</v>
      </c>
      <c r="L36" s="25" t="s">
        <v>119</v>
      </c>
    </row>
    <row r="37" customFormat="false" ht="15" hidden="false" customHeight="false" outlineLevel="0" collapsed="false">
      <c r="A37" s="23" t="n">
        <v>2</v>
      </c>
      <c r="B37" s="23" t="s">
        <v>33</v>
      </c>
      <c r="C37" s="23" t="s">
        <v>17</v>
      </c>
      <c r="D37" s="24" t="n">
        <v>235436</v>
      </c>
      <c r="E37" s="24" t="n">
        <v>0</v>
      </c>
      <c r="F37" s="24" t="n">
        <v>0</v>
      </c>
      <c r="G37" s="24" t="n">
        <v>51724.74</v>
      </c>
      <c r="H37" s="24" t="n">
        <v>8561.35</v>
      </c>
      <c r="I37" s="24" t="n">
        <f aca="false">G37+H37</f>
        <v>60286.09</v>
      </c>
      <c r="J37" s="24" t="n">
        <f aca="false">D37-I37</f>
        <v>175149.91</v>
      </c>
      <c r="K37" s="25" t="s">
        <v>120</v>
      </c>
      <c r="L37" s="25" t="s">
        <v>121</v>
      </c>
    </row>
    <row r="38" customFormat="false" ht="15" hidden="false" customHeight="false" outlineLevel="0" collapsed="false">
      <c r="A38" s="23" t="n">
        <v>3</v>
      </c>
      <c r="B38" s="23" t="s">
        <v>34</v>
      </c>
      <c r="C38" s="23" t="s">
        <v>17</v>
      </c>
      <c r="D38" s="24" t="n">
        <v>48295</v>
      </c>
      <c r="E38" s="24" t="n">
        <v>0</v>
      </c>
      <c r="F38" s="24" t="n">
        <v>48295</v>
      </c>
      <c r="G38" s="24" t="n">
        <v>48295</v>
      </c>
      <c r="H38" s="24" t="n">
        <v>0</v>
      </c>
      <c r="I38" s="24" t="n">
        <f aca="false">G38+H38</f>
        <v>48295</v>
      </c>
      <c r="J38" s="24" t="n">
        <f aca="false">D38-I38</f>
        <v>0</v>
      </c>
      <c r="K38" s="25" t="s">
        <v>124</v>
      </c>
      <c r="L38" s="25" t="s">
        <v>122</v>
      </c>
    </row>
    <row r="39" customFormat="false" ht="15" hidden="false" customHeight="false" outlineLevel="0" collapsed="false">
      <c r="A39" s="26"/>
      <c r="B39" s="27" t="s">
        <v>35</v>
      </c>
      <c r="C39" s="26"/>
      <c r="D39" s="28" t="n">
        <f aca="false">SUM(D36:D38)</f>
        <v>301841</v>
      </c>
      <c r="E39" s="28" t="n">
        <f aca="false">SUM(E36:E38)</f>
        <v>0</v>
      </c>
      <c r="F39" s="28" t="n">
        <f aca="false">SUM(F36:F38)</f>
        <v>48295</v>
      </c>
      <c r="G39" s="28" t="n">
        <f aca="false">SUM(G36:G38)</f>
        <v>108594.34</v>
      </c>
      <c r="H39" s="28" t="n">
        <f aca="false">SUM(H36:H38)</f>
        <v>9630.78</v>
      </c>
      <c r="I39" s="28" t="n">
        <f aca="false">SUM(I36:I38)</f>
        <v>118225.12</v>
      </c>
      <c r="J39" s="28" t="n">
        <f aca="false">SUM(J36:J38)</f>
        <v>183615.88</v>
      </c>
      <c r="K39" s="26"/>
      <c r="L39" s="26"/>
    </row>
    <row r="41" customFormat="false" ht="15" hidden="false" customHeight="false" outlineLevel="0" collapsed="false">
      <c r="A41" s="21" t="s">
        <v>132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  <row r="42" customFormat="false" ht="22.35" hidden="false" customHeight="false" outlineLevel="0" collapsed="false">
      <c r="A42" s="4" t="s">
        <v>106</v>
      </c>
      <c r="B42" s="4" t="s">
        <v>107</v>
      </c>
      <c r="C42" s="4" t="s">
        <v>108</v>
      </c>
      <c r="D42" s="4" t="s">
        <v>109</v>
      </c>
      <c r="E42" s="4" t="s">
        <v>110</v>
      </c>
      <c r="F42" s="4" t="s">
        <v>111</v>
      </c>
      <c r="G42" s="4" t="s">
        <v>130</v>
      </c>
      <c r="H42" s="4" t="s">
        <v>131</v>
      </c>
      <c r="I42" s="4" t="s">
        <v>114</v>
      </c>
      <c r="J42" s="4" t="s">
        <v>115</v>
      </c>
      <c r="K42" s="4" t="s">
        <v>116</v>
      </c>
      <c r="L42" s="4" t="s">
        <v>117</v>
      </c>
    </row>
    <row r="43" customFormat="false" ht="15" hidden="false" customHeight="false" outlineLevel="0" collapsed="false">
      <c r="A43" s="23" t="n">
        <v>1</v>
      </c>
      <c r="B43" s="23" t="s">
        <v>81</v>
      </c>
      <c r="C43" s="23" t="s">
        <v>17</v>
      </c>
      <c r="D43" s="24" t="n">
        <v>2962</v>
      </c>
      <c r="E43" s="24" t="n">
        <v>0</v>
      </c>
      <c r="F43" s="24" t="n">
        <v>0</v>
      </c>
      <c r="G43" s="24" t="n">
        <v>2962</v>
      </c>
      <c r="H43" s="24" t="n">
        <v>0</v>
      </c>
      <c r="I43" s="24" t="n">
        <f aca="false">G43+H43</f>
        <v>2962</v>
      </c>
      <c r="J43" s="24" t="n">
        <f aca="false">D43-I43</f>
        <v>0</v>
      </c>
      <c r="K43" s="25" t="s">
        <v>124</v>
      </c>
      <c r="L43" s="25" t="s">
        <v>122</v>
      </c>
    </row>
    <row r="44" customFormat="false" ht="15" hidden="false" customHeight="false" outlineLevel="0" collapsed="false">
      <c r="A44" s="23" t="n">
        <v>2</v>
      </c>
      <c r="B44" s="23" t="s">
        <v>82</v>
      </c>
      <c r="C44" s="23" t="s">
        <v>17</v>
      </c>
      <c r="D44" s="24" t="n">
        <v>336</v>
      </c>
      <c r="E44" s="24" t="n">
        <v>0</v>
      </c>
      <c r="F44" s="24" t="n">
        <v>0</v>
      </c>
      <c r="G44" s="24" t="n">
        <v>336</v>
      </c>
      <c r="H44" s="24" t="n">
        <v>0</v>
      </c>
      <c r="I44" s="24" t="n">
        <f aca="false">G44+H44</f>
        <v>336</v>
      </c>
      <c r="J44" s="24" t="n">
        <f aca="false">D44-I44</f>
        <v>0</v>
      </c>
      <c r="K44" s="25" t="s">
        <v>118</v>
      </c>
      <c r="L44" s="25" t="s">
        <v>119</v>
      </c>
    </row>
    <row r="45" customFormat="false" ht="15" hidden="false" customHeight="false" outlineLevel="0" collapsed="false">
      <c r="A45" s="23" t="n">
        <v>3</v>
      </c>
      <c r="B45" s="23" t="s">
        <v>83</v>
      </c>
      <c r="C45" s="23" t="s">
        <v>17</v>
      </c>
      <c r="D45" s="24" t="n">
        <v>14813</v>
      </c>
      <c r="E45" s="24" t="n">
        <v>0</v>
      </c>
      <c r="F45" s="24" t="n">
        <v>0</v>
      </c>
      <c r="G45" s="24" t="n">
        <v>3254.34</v>
      </c>
      <c r="H45" s="24" t="n">
        <v>538.65</v>
      </c>
      <c r="I45" s="24" t="n">
        <f aca="false">G45+H45</f>
        <v>3792.99</v>
      </c>
      <c r="J45" s="24" t="n">
        <f aca="false">D45-I45</f>
        <v>11020.01</v>
      </c>
      <c r="K45" s="25" t="s">
        <v>120</v>
      </c>
      <c r="L45" s="25" t="s">
        <v>121</v>
      </c>
    </row>
    <row r="46" customFormat="false" ht="15" hidden="false" customHeight="false" outlineLevel="0" collapsed="false">
      <c r="A46" s="23" t="n">
        <v>4</v>
      </c>
      <c r="B46" s="23" t="s">
        <v>84</v>
      </c>
      <c r="C46" s="23" t="s">
        <v>17</v>
      </c>
      <c r="D46" s="24" t="n">
        <v>38500</v>
      </c>
      <c r="E46" s="24" t="n">
        <v>0</v>
      </c>
      <c r="F46" s="24" t="n">
        <v>38500</v>
      </c>
      <c r="G46" s="24" t="n">
        <v>38500</v>
      </c>
      <c r="H46" s="24" t="n">
        <v>0</v>
      </c>
      <c r="I46" s="24" t="n">
        <f aca="false">G46+H46</f>
        <v>38500</v>
      </c>
      <c r="J46" s="24" t="n">
        <f aca="false">D46-I46</f>
        <v>0</v>
      </c>
      <c r="K46" s="25" t="s">
        <v>124</v>
      </c>
      <c r="L46" s="25" t="s">
        <v>122</v>
      </c>
    </row>
    <row r="47" customFormat="false" ht="15" hidden="false" customHeight="false" outlineLevel="0" collapsed="false">
      <c r="A47" s="23" t="n">
        <v>5</v>
      </c>
      <c r="B47" s="23" t="s">
        <v>85</v>
      </c>
      <c r="C47" s="23" t="s">
        <v>17</v>
      </c>
      <c r="D47" s="24" t="n">
        <v>4364</v>
      </c>
      <c r="E47" s="24" t="n">
        <v>0</v>
      </c>
      <c r="F47" s="24" t="n">
        <v>4364</v>
      </c>
      <c r="G47" s="24" t="n">
        <v>4364</v>
      </c>
      <c r="H47" s="24" t="n">
        <v>0</v>
      </c>
      <c r="I47" s="24" t="n">
        <f aca="false">G47+H47</f>
        <v>4364</v>
      </c>
      <c r="J47" s="24" t="n">
        <f aca="false">D47-I47</f>
        <v>0</v>
      </c>
      <c r="K47" s="25" t="s">
        <v>118</v>
      </c>
      <c r="L47" s="25" t="s">
        <v>119</v>
      </c>
    </row>
    <row r="48" customFormat="false" ht="15" hidden="false" customHeight="false" outlineLevel="0" collapsed="false">
      <c r="A48" s="23" t="n">
        <v>6</v>
      </c>
      <c r="B48" s="23" t="s">
        <v>86</v>
      </c>
      <c r="C48" s="23" t="s">
        <v>17</v>
      </c>
      <c r="D48" s="24" t="n">
        <v>192572</v>
      </c>
      <c r="E48" s="24" t="n">
        <v>0</v>
      </c>
      <c r="F48" s="24" t="n">
        <v>0</v>
      </c>
      <c r="G48" s="24" t="n">
        <v>42307.5</v>
      </c>
      <c r="H48" s="24" t="n">
        <v>7002.62</v>
      </c>
      <c r="I48" s="24" t="n">
        <f aca="false">G48+H48</f>
        <v>49310.12</v>
      </c>
      <c r="J48" s="24" t="n">
        <f aca="false">D48-I48</f>
        <v>143261.88</v>
      </c>
      <c r="K48" s="25" t="s">
        <v>120</v>
      </c>
      <c r="L48" s="25" t="s">
        <v>121</v>
      </c>
    </row>
    <row r="49" customFormat="false" ht="15" hidden="false" customHeight="false" outlineLevel="0" collapsed="false">
      <c r="A49" s="23" t="n">
        <v>7</v>
      </c>
      <c r="B49" s="23" t="s">
        <v>87</v>
      </c>
      <c r="C49" s="23" t="s">
        <v>17</v>
      </c>
      <c r="D49" s="24" t="n">
        <v>7898</v>
      </c>
      <c r="E49" s="24" t="n">
        <v>0</v>
      </c>
      <c r="F49" s="24" t="n">
        <v>7898</v>
      </c>
      <c r="G49" s="24" t="n">
        <v>7898</v>
      </c>
      <c r="H49" s="24" t="n">
        <v>0</v>
      </c>
      <c r="I49" s="24" t="n">
        <f aca="false">G49+H49</f>
        <v>7898</v>
      </c>
      <c r="J49" s="24" t="n">
        <f aca="false">D49-I49</f>
        <v>0</v>
      </c>
      <c r="K49" s="25" t="s">
        <v>124</v>
      </c>
      <c r="L49" s="25" t="s">
        <v>122</v>
      </c>
    </row>
    <row r="50" customFormat="false" ht="15" hidden="false" customHeight="false" outlineLevel="0" collapsed="false">
      <c r="A50" s="23" t="n">
        <v>8</v>
      </c>
      <c r="B50" s="23" t="s">
        <v>88</v>
      </c>
      <c r="C50" s="23" t="s">
        <v>17</v>
      </c>
      <c r="D50" s="24" t="n">
        <v>895</v>
      </c>
      <c r="E50" s="24" t="n">
        <v>0</v>
      </c>
      <c r="F50" s="24" t="n">
        <v>895</v>
      </c>
      <c r="G50" s="24" t="n">
        <v>895</v>
      </c>
      <c r="H50" s="24" t="n">
        <v>0</v>
      </c>
      <c r="I50" s="24" t="n">
        <f aca="false">G50+H50</f>
        <v>895</v>
      </c>
      <c r="J50" s="24" t="n">
        <f aca="false">D50-I50</f>
        <v>0</v>
      </c>
      <c r="K50" s="25" t="s">
        <v>118</v>
      </c>
      <c r="L50" s="25" t="s">
        <v>119</v>
      </c>
    </row>
    <row r="51" customFormat="false" ht="15" hidden="false" customHeight="false" outlineLevel="0" collapsed="false">
      <c r="A51" s="23" t="n">
        <v>9</v>
      </c>
      <c r="B51" s="23" t="s">
        <v>89</v>
      </c>
      <c r="C51" s="23" t="s">
        <v>17</v>
      </c>
      <c r="D51" s="24" t="n">
        <v>39501</v>
      </c>
      <c r="E51" s="24" t="n">
        <v>0</v>
      </c>
      <c r="F51" s="24" t="n">
        <v>0</v>
      </c>
      <c r="G51" s="24" t="n">
        <v>8678.49</v>
      </c>
      <c r="H51" s="24" t="n">
        <v>1436.4</v>
      </c>
      <c r="I51" s="24" t="n">
        <f aca="false">G51+H51</f>
        <v>10114.89</v>
      </c>
      <c r="J51" s="24" t="n">
        <f aca="false">D51-I51</f>
        <v>29386.11</v>
      </c>
      <c r="K51" s="25" t="s">
        <v>120</v>
      </c>
      <c r="L51" s="25" t="s">
        <v>121</v>
      </c>
    </row>
    <row r="52" customFormat="false" ht="15" hidden="false" customHeight="false" outlineLevel="0" collapsed="false">
      <c r="A52" s="26"/>
      <c r="B52" s="27" t="s">
        <v>35</v>
      </c>
      <c r="C52" s="26"/>
      <c r="D52" s="28" t="n">
        <f aca="false">SUM(D43:D51)</f>
        <v>301841</v>
      </c>
      <c r="E52" s="28" t="n">
        <f aca="false">SUM(E43:E51)</f>
        <v>0</v>
      </c>
      <c r="F52" s="28" t="n">
        <f aca="false">SUM(F43:F51)</f>
        <v>51657</v>
      </c>
      <c r="G52" s="28" t="n">
        <f aca="false">SUM(G43:G51)</f>
        <v>109195.33</v>
      </c>
      <c r="H52" s="28" t="n">
        <f aca="false">SUM(H43:H51)</f>
        <v>8977.67</v>
      </c>
      <c r="I52" s="28" t="n">
        <f aca="false">SUM(I43:I51)</f>
        <v>118173</v>
      </c>
      <c r="J52" s="28" t="n">
        <f aca="false">SUM(J43:J51)</f>
        <v>183668</v>
      </c>
      <c r="K52" s="26"/>
      <c r="L52" s="26"/>
    </row>
    <row r="54" customFormat="false" ht="15" hidden="false" customHeight="false" outlineLevel="0" collapsed="false">
      <c r="B54" s="18" t="s">
        <v>133</v>
      </c>
    </row>
    <row r="55" customFormat="false" ht="15" hidden="false" customHeight="false" outlineLevel="0" collapsed="false">
      <c r="B55" s="5" t="s">
        <v>126</v>
      </c>
      <c r="D55" s="6" t="n">
        <f aca="false">I39</f>
        <v>118225.12</v>
      </c>
    </row>
    <row r="56" customFormat="false" ht="15" hidden="false" customHeight="false" outlineLevel="0" collapsed="false">
      <c r="B56" s="5" t="s">
        <v>127</v>
      </c>
      <c r="D56" s="6" t="n">
        <f aca="false">I52</f>
        <v>118173</v>
      </c>
    </row>
    <row r="57" customFormat="false" ht="15" hidden="false" customHeight="false" outlineLevel="0" collapsed="false">
      <c r="B57" s="11" t="s">
        <v>133</v>
      </c>
      <c r="D57" s="29" t="n">
        <f aca="false">D55-D56</f>
        <v>52.1199999999953</v>
      </c>
    </row>
    <row r="59" customFormat="false" ht="15" hidden="false" customHeight="false" outlineLevel="0" collapsed="false">
      <c r="A59" s="10" t="s">
        <v>134</v>
      </c>
    </row>
    <row r="60" customFormat="false" ht="15" hidden="false" customHeight="false" outlineLevel="0" collapsed="false">
      <c r="B60" s="11" t="s">
        <v>135</v>
      </c>
      <c r="D60" s="12" t="n">
        <f aca="false">D107</f>
        <v>43120.19</v>
      </c>
    </row>
    <row r="61" customFormat="false" ht="15" hidden="false" customHeight="false" outlineLevel="0" collapsed="false">
      <c r="B61" s="5" t="s">
        <v>136</v>
      </c>
      <c r="D61" s="6" t="n">
        <f aca="false">F107</f>
        <v>7051.36</v>
      </c>
    </row>
    <row r="62" customFormat="false" ht="15" hidden="false" customHeight="false" outlineLevel="0" collapsed="false">
      <c r="B62" s="30" t="s">
        <v>137</v>
      </c>
      <c r="D62" s="31" t="n">
        <f aca="false">F108</f>
        <v>0.163528036402437</v>
      </c>
    </row>
    <row r="63" customFormat="false" ht="15" hidden="false" customHeight="false" outlineLevel="0" collapsed="false">
      <c r="B63" s="5" t="s">
        <v>138</v>
      </c>
      <c r="D63" s="6" t="n">
        <f aca="false">H107</f>
        <v>799.21</v>
      </c>
    </row>
    <row r="64" customFormat="false" ht="15" hidden="false" customHeight="false" outlineLevel="0" collapsed="false">
      <c r="B64" s="30" t="s">
        <v>137</v>
      </c>
      <c r="D64" s="31" t="n">
        <f aca="false">H108</f>
        <v>0.0185344730623868</v>
      </c>
    </row>
    <row r="65" customFormat="false" ht="15" hidden="false" customHeight="false" outlineLevel="0" collapsed="false">
      <c r="B65" s="5" t="s">
        <v>139</v>
      </c>
      <c r="D65" s="6" t="n">
        <f aca="false">J107</f>
        <v>35269.62</v>
      </c>
    </row>
    <row r="66" customFormat="false" ht="15" hidden="false" customHeight="false" outlineLevel="0" collapsed="false">
      <c r="B66" s="30" t="s">
        <v>137</v>
      </c>
      <c r="D66" s="31" t="n">
        <f aca="false">J108</f>
        <v>0.817937490535176</v>
      </c>
    </row>
    <row r="68" customFormat="false" ht="15" hidden="false" customHeight="false" outlineLevel="0" collapsed="false">
      <c r="A68" s="10" t="s">
        <v>140</v>
      </c>
    </row>
    <row r="69" customFormat="false" ht="15" hidden="false" customHeight="false" outlineLevel="0" collapsed="false">
      <c r="B69" s="4" t="s">
        <v>141</v>
      </c>
      <c r="D69" s="4" t="s">
        <v>109</v>
      </c>
      <c r="F69" s="4" t="s">
        <v>142</v>
      </c>
      <c r="H69" s="4" t="s">
        <v>143</v>
      </c>
      <c r="J69" s="4" t="s">
        <v>144</v>
      </c>
    </row>
    <row r="70" customFormat="false" ht="15" hidden="false" customHeight="false" outlineLevel="0" collapsed="false">
      <c r="B70" s="32" t="s">
        <v>145</v>
      </c>
    </row>
    <row r="71" customFormat="false" ht="15" hidden="false" customHeight="false" outlineLevel="0" collapsed="false">
      <c r="B71" s="5" t="s">
        <v>146</v>
      </c>
      <c r="D71" s="33" t="n">
        <f aca="false">SUM(F71:J71)</f>
        <v>1224.05</v>
      </c>
      <c r="F71" s="33" t="n">
        <v>1224.05</v>
      </c>
    </row>
    <row r="72" customFormat="false" ht="15" hidden="false" customHeight="false" outlineLevel="0" collapsed="false">
      <c r="B72" s="5" t="s">
        <v>147</v>
      </c>
      <c r="D72" s="33" t="n">
        <f aca="false">SUM(F72:J72)</f>
        <v>1003.14</v>
      </c>
      <c r="F72" s="33" t="n">
        <v>1003.14</v>
      </c>
    </row>
    <row r="73" customFormat="false" ht="15" hidden="false" customHeight="false" outlineLevel="0" collapsed="false">
      <c r="B73" s="5" t="s">
        <v>148</v>
      </c>
      <c r="D73" s="33" t="n">
        <f aca="false">SUM(F73:J73)</f>
        <v>1894.04</v>
      </c>
      <c r="F73" s="33" t="n">
        <v>1894.04</v>
      </c>
    </row>
    <row r="74" customFormat="false" ht="15" hidden="false" customHeight="false" outlineLevel="0" collapsed="false">
      <c r="B74" s="5" t="s">
        <v>149</v>
      </c>
      <c r="D74" s="33" t="n">
        <f aca="false">SUM(F74:J74)</f>
        <v>398.36</v>
      </c>
      <c r="F74" s="33" t="n">
        <v>398.36</v>
      </c>
    </row>
    <row r="75" customFormat="false" ht="15" hidden="false" customHeight="false" outlineLevel="0" collapsed="false">
      <c r="B75" s="5" t="s">
        <v>150</v>
      </c>
      <c r="D75" s="33" t="n">
        <f aca="false">SUM(F75:J75)</f>
        <v>254.6</v>
      </c>
      <c r="F75" s="33" t="n">
        <v>254.6</v>
      </c>
    </row>
    <row r="76" customFormat="false" ht="15" hidden="false" customHeight="false" outlineLevel="0" collapsed="false">
      <c r="B76" s="5" t="s">
        <v>151</v>
      </c>
      <c r="D76" s="33" t="n">
        <f aca="false">SUM(F76:J76)</f>
        <v>33.89</v>
      </c>
      <c r="F76" s="33" t="n">
        <v>33.89</v>
      </c>
    </row>
    <row r="77" customFormat="false" ht="15" hidden="false" customHeight="false" outlineLevel="0" collapsed="false">
      <c r="B77" s="5" t="s">
        <v>152</v>
      </c>
      <c r="D77" s="33" t="n">
        <f aca="false">SUM(F77:J77)</f>
        <v>22.29</v>
      </c>
      <c r="F77" s="33" t="n">
        <v>22.29</v>
      </c>
    </row>
    <row r="78" customFormat="false" ht="15" hidden="false" customHeight="false" outlineLevel="0" collapsed="false">
      <c r="B78" s="5" t="s">
        <v>153</v>
      </c>
      <c r="D78" s="33" t="n">
        <f aca="false">SUM(F78:J78)</f>
        <v>578.78</v>
      </c>
      <c r="F78" s="33" t="n">
        <v>578.78</v>
      </c>
    </row>
    <row r="79" customFormat="false" ht="15" hidden="false" customHeight="false" outlineLevel="0" collapsed="false">
      <c r="B79" s="5" t="s">
        <v>154</v>
      </c>
      <c r="D79" s="33" t="n">
        <f aca="false">SUM(F79:J79)</f>
        <v>248.02</v>
      </c>
      <c r="F79" s="33" t="n">
        <v>248.02</v>
      </c>
    </row>
    <row r="80" customFormat="false" ht="15" hidden="false" customHeight="false" outlineLevel="0" collapsed="false">
      <c r="B80" s="5" t="s">
        <v>155</v>
      </c>
      <c r="D80" s="33" t="n">
        <f aca="false">SUM(F80:J80)</f>
        <v>633.66</v>
      </c>
      <c r="F80" s="33" t="n">
        <v>633.66</v>
      </c>
    </row>
    <row r="81" customFormat="false" ht="15" hidden="false" customHeight="false" outlineLevel="0" collapsed="false">
      <c r="B81" s="5" t="s">
        <v>156</v>
      </c>
      <c r="D81" s="33" t="n">
        <f aca="false">SUM(F81:J81)</f>
        <v>125.71</v>
      </c>
      <c r="F81" s="33" t="n">
        <v>125.71</v>
      </c>
    </row>
    <row r="82" customFormat="false" ht="15" hidden="false" customHeight="false" outlineLevel="0" collapsed="false">
      <c r="B82" s="5" t="s">
        <v>157</v>
      </c>
      <c r="D82" s="33" t="n">
        <f aca="false">SUM(F82:J82)</f>
        <v>634.82</v>
      </c>
      <c r="F82" s="33" t="n">
        <v>634.82</v>
      </c>
    </row>
    <row r="83" customFormat="false" ht="15" hidden="false" customHeight="false" outlineLevel="0" collapsed="false">
      <c r="B83" s="32" t="s">
        <v>158</v>
      </c>
    </row>
    <row r="84" customFormat="false" ht="15" hidden="false" customHeight="false" outlineLevel="0" collapsed="false">
      <c r="B84" s="5" t="s">
        <v>159</v>
      </c>
      <c r="D84" s="33" t="n">
        <f aca="false">SUM(F84:J84)</f>
        <v>506.65</v>
      </c>
      <c r="H84" s="33" t="n">
        <v>506.65</v>
      </c>
    </row>
    <row r="85" customFormat="false" ht="15" hidden="false" customHeight="false" outlineLevel="0" collapsed="false">
      <c r="B85" s="5" t="s">
        <v>160</v>
      </c>
      <c r="D85" s="33" t="n">
        <f aca="false">SUM(F85:J85)</f>
        <v>229.17</v>
      </c>
      <c r="H85" s="33" t="n">
        <v>229.17</v>
      </c>
    </row>
    <row r="86" customFormat="false" ht="15" hidden="false" customHeight="false" outlineLevel="0" collapsed="false">
      <c r="B86" s="5" t="s">
        <v>161</v>
      </c>
      <c r="D86" s="33" t="n">
        <f aca="false">SUM(F86:J86)</f>
        <v>39.13</v>
      </c>
      <c r="H86" s="33" t="n">
        <v>39.13</v>
      </c>
    </row>
    <row r="87" customFormat="false" ht="15" hidden="false" customHeight="false" outlineLevel="0" collapsed="false">
      <c r="B87" s="5" t="s">
        <v>162</v>
      </c>
      <c r="D87" s="33" t="n">
        <f aca="false">SUM(F87:J87)</f>
        <v>24.26</v>
      </c>
      <c r="H87" s="33" t="n">
        <v>24.26</v>
      </c>
    </row>
    <row r="88" customFormat="false" ht="15" hidden="false" customHeight="false" outlineLevel="0" collapsed="false">
      <c r="B88" s="32" t="s">
        <v>163</v>
      </c>
    </row>
    <row r="89" customFormat="false" ht="15" hidden="false" customHeight="false" outlineLevel="0" collapsed="false">
      <c r="B89" s="5" t="s">
        <v>164</v>
      </c>
      <c r="D89" s="33" t="n">
        <f aca="false">SUM(F89:J89)</f>
        <v>2548.43</v>
      </c>
      <c r="J89" s="33" t="n">
        <v>2548.43</v>
      </c>
    </row>
    <row r="90" customFormat="false" ht="15" hidden="false" customHeight="false" outlineLevel="0" collapsed="false">
      <c r="B90" s="5" t="s">
        <v>165</v>
      </c>
      <c r="D90" s="33" t="n">
        <f aca="false">SUM(F90:J90)</f>
        <v>5484.79</v>
      </c>
      <c r="J90" s="33" t="n">
        <v>5484.79</v>
      </c>
    </row>
    <row r="91" customFormat="false" ht="15" hidden="false" customHeight="false" outlineLevel="0" collapsed="false">
      <c r="B91" s="5" t="s">
        <v>166</v>
      </c>
      <c r="D91" s="33" t="n">
        <f aca="false">SUM(F91:J91)</f>
        <v>2549.45</v>
      </c>
      <c r="J91" s="33" t="n">
        <v>2549.45</v>
      </c>
    </row>
    <row r="92" customFormat="false" ht="15" hidden="false" customHeight="false" outlineLevel="0" collapsed="false">
      <c r="B92" s="5" t="s">
        <v>167</v>
      </c>
      <c r="D92" s="33" t="n">
        <f aca="false">SUM(F92:J92)</f>
        <v>2713.95</v>
      </c>
      <c r="J92" s="33" t="n">
        <v>2713.95</v>
      </c>
    </row>
    <row r="93" customFormat="false" ht="15" hidden="false" customHeight="false" outlineLevel="0" collapsed="false">
      <c r="B93" s="5" t="s">
        <v>168</v>
      </c>
      <c r="D93" s="33" t="n">
        <f aca="false">SUM(F93:J93)</f>
        <v>2245.68</v>
      </c>
      <c r="J93" s="33" t="n">
        <v>2245.68</v>
      </c>
    </row>
    <row r="94" customFormat="false" ht="15" hidden="false" customHeight="false" outlineLevel="0" collapsed="false">
      <c r="B94" s="5" t="s">
        <v>169</v>
      </c>
      <c r="D94" s="33" t="n">
        <f aca="false">SUM(F94:J94)</f>
        <v>169.07</v>
      </c>
      <c r="J94" s="33" t="n">
        <v>169.07</v>
      </c>
    </row>
    <row r="95" customFormat="false" ht="15" hidden="false" customHeight="false" outlineLevel="0" collapsed="false">
      <c r="B95" s="5" t="s">
        <v>170</v>
      </c>
      <c r="D95" s="33" t="n">
        <f aca="false">SUM(F95:J95)</f>
        <v>2358.3</v>
      </c>
      <c r="J95" s="33" t="n">
        <v>2358.3</v>
      </c>
    </row>
    <row r="96" customFormat="false" ht="15" hidden="false" customHeight="false" outlineLevel="0" collapsed="false">
      <c r="B96" s="5" t="s">
        <v>171</v>
      </c>
      <c r="D96" s="33" t="n">
        <f aca="false">SUM(F96:J96)</f>
        <v>1892.23</v>
      </c>
      <c r="J96" s="33" t="n">
        <v>1892.23</v>
      </c>
    </row>
    <row r="97" customFormat="false" ht="15" hidden="false" customHeight="false" outlineLevel="0" collapsed="false">
      <c r="B97" s="5" t="s">
        <v>172</v>
      </c>
      <c r="D97" s="33" t="n">
        <f aca="false">SUM(F97:J97)</f>
        <v>1122.14</v>
      </c>
      <c r="J97" s="33" t="n">
        <v>1122.14</v>
      </c>
    </row>
    <row r="98" customFormat="false" ht="15" hidden="false" customHeight="false" outlineLevel="0" collapsed="false">
      <c r="B98" s="5" t="s">
        <v>173</v>
      </c>
      <c r="D98" s="33" t="n">
        <f aca="false">SUM(F98:J98)</f>
        <v>1326.93</v>
      </c>
      <c r="J98" s="33" t="n">
        <v>1326.93</v>
      </c>
    </row>
    <row r="99" customFormat="false" ht="15" hidden="false" customHeight="false" outlineLevel="0" collapsed="false">
      <c r="B99" s="5" t="s">
        <v>174</v>
      </c>
      <c r="D99" s="33" t="n">
        <f aca="false">SUM(F99:J99)</f>
        <v>4881.53</v>
      </c>
      <c r="J99" s="33" t="n">
        <v>4881.53</v>
      </c>
    </row>
    <row r="100" customFormat="false" ht="15" hidden="false" customHeight="false" outlineLevel="0" collapsed="false">
      <c r="B100" s="5" t="s">
        <v>175</v>
      </c>
      <c r="D100" s="33" t="n">
        <f aca="false">SUM(F100:J100)</f>
        <v>1557.23</v>
      </c>
      <c r="J100" s="33" t="n">
        <v>1557.23</v>
      </c>
    </row>
    <row r="101" customFormat="false" ht="15" hidden="false" customHeight="false" outlineLevel="0" collapsed="false">
      <c r="B101" s="5" t="s">
        <v>176</v>
      </c>
      <c r="D101" s="33" t="n">
        <f aca="false">SUM(F101:J101)</f>
        <v>4653.25</v>
      </c>
      <c r="J101" s="33" t="n">
        <v>4653.25</v>
      </c>
    </row>
    <row r="102" customFormat="false" ht="15" hidden="false" customHeight="false" outlineLevel="0" collapsed="false">
      <c r="B102" s="5" t="s">
        <v>177</v>
      </c>
      <c r="D102" s="33" t="n">
        <f aca="false">SUM(F102:J102)</f>
        <v>419.93</v>
      </c>
      <c r="J102" s="33" t="n">
        <v>419.93</v>
      </c>
    </row>
    <row r="103" customFormat="false" ht="15" hidden="false" customHeight="false" outlineLevel="0" collapsed="false">
      <c r="B103" s="5" t="s">
        <v>193</v>
      </c>
      <c r="D103" s="33" t="n">
        <f aca="false">SUM(F103:J103)</f>
        <v>446.76</v>
      </c>
      <c r="J103" s="33" t="n">
        <v>446.76</v>
      </c>
    </row>
    <row r="104" customFormat="false" ht="15" hidden="false" customHeight="false" outlineLevel="0" collapsed="false">
      <c r="B104" s="5" t="s">
        <v>194</v>
      </c>
      <c r="D104" s="33" t="n">
        <f aca="false">SUM(F104:J104)</f>
        <v>59.17</v>
      </c>
      <c r="J104" s="33" t="n">
        <v>59.17</v>
      </c>
    </row>
    <row r="105" customFormat="false" ht="15" hidden="false" customHeight="false" outlineLevel="0" collapsed="false">
      <c r="B105" s="5" t="s">
        <v>178</v>
      </c>
      <c r="D105" s="33" t="n">
        <f aca="false">SUM(F105:J105)</f>
        <v>526.09</v>
      </c>
      <c r="J105" s="33" t="n">
        <v>526.09</v>
      </c>
    </row>
    <row r="106" customFormat="false" ht="15" hidden="false" customHeight="false" outlineLevel="0" collapsed="false">
      <c r="B106" s="5" t="s">
        <v>179</v>
      </c>
      <c r="D106" s="33" t="n">
        <f aca="false">SUM(F106:J106)</f>
        <v>314.69</v>
      </c>
      <c r="J106" s="33" t="n">
        <v>314.69</v>
      </c>
    </row>
    <row r="107" customFormat="false" ht="15" hidden="false" customHeight="false" outlineLevel="0" collapsed="false">
      <c r="B107" s="11" t="s">
        <v>135</v>
      </c>
      <c r="D107" s="34" t="n">
        <f aca="false">SUM(D70:D106)</f>
        <v>43120.19</v>
      </c>
      <c r="F107" s="34" t="n">
        <f aca="false">SUM(F70:F106)</f>
        <v>7051.36</v>
      </c>
      <c r="H107" s="34" t="n">
        <f aca="false">SUM(H70:H106)</f>
        <v>799.21</v>
      </c>
      <c r="J107" s="34" t="n">
        <f aca="false">SUM(J70:J106)</f>
        <v>35269.62</v>
      </c>
    </row>
    <row r="108" customFormat="false" ht="15" hidden="false" customHeight="false" outlineLevel="0" collapsed="false">
      <c r="B108" s="30" t="s">
        <v>137</v>
      </c>
      <c r="F108" s="31" t="n">
        <f aca="false">F107/D107</f>
        <v>0.163528036402437</v>
      </c>
      <c r="H108" s="31" t="n">
        <f aca="false">H107/D107</f>
        <v>0.0185344730623868</v>
      </c>
      <c r="J108" s="31" t="n">
        <f aca="false">J107/D107</f>
        <v>0.817937490535176</v>
      </c>
    </row>
    <row r="110" customFormat="false" ht="15" hidden="false" customHeight="false" outlineLevel="0" collapsed="false">
      <c r="A110" s="10" t="s">
        <v>180</v>
      </c>
    </row>
    <row r="111" customFormat="false" ht="15" hidden="false" customHeight="false" outlineLevel="0" collapsed="false">
      <c r="B111" s="4" t="s">
        <v>181</v>
      </c>
      <c r="D111" s="4" t="s">
        <v>109</v>
      </c>
      <c r="F111" s="4" t="s">
        <v>142</v>
      </c>
      <c r="H111" s="4" t="s">
        <v>143</v>
      </c>
      <c r="J111" s="4" t="s">
        <v>144</v>
      </c>
    </row>
    <row r="112" customFormat="false" ht="15" hidden="false" customHeight="false" outlineLevel="0" collapsed="false">
      <c r="B112" s="5" t="str">
        <f aca="false">'7141 Kayla'!B17</f>
        <v>7 - Land Improvements - Kayla - 5yr</v>
      </c>
      <c r="D112" s="33" t="n">
        <f aca="false">SUM(F112:J112)</f>
        <v>2962</v>
      </c>
      <c r="F112" s="33" t="n">
        <f aca="false">'7141 Kayla'!D17</f>
        <v>2962</v>
      </c>
    </row>
    <row r="113" customFormat="false" ht="15" hidden="false" customHeight="false" outlineLevel="0" collapsed="false">
      <c r="B113" s="5" t="str">
        <f aca="false">'7141 Kayla'!B18</f>
        <v>7 - Land Improvements - Kayla - 15yr</v>
      </c>
      <c r="D113" s="33" t="n">
        <f aca="false">SUM(F113:J113)</f>
        <v>336</v>
      </c>
      <c r="H113" s="33" t="n">
        <f aca="false">'7141 Kayla'!D18</f>
        <v>336</v>
      </c>
    </row>
    <row r="114" customFormat="false" ht="15" hidden="false" customHeight="false" outlineLevel="0" collapsed="false">
      <c r="B114" s="5" t="str">
        <f aca="false">'7141 Kayla'!B19</f>
        <v>7 - Land Improvements - Kayla - 27.5yr</v>
      </c>
      <c r="D114" s="33" t="n">
        <f aca="false">SUM(F114:J114)</f>
        <v>14813</v>
      </c>
      <c r="J114" s="33" t="n">
        <f aca="false">'7141 Kayla'!D19</f>
        <v>14813</v>
      </c>
    </row>
    <row r="115" customFormat="false" ht="15" hidden="false" customHeight="false" outlineLevel="0" collapsed="false">
      <c r="B115" s="5" t="str">
        <f aca="false">'7141 Kayla'!B20</f>
        <v>8 - Buidling - Kayla - 5yr</v>
      </c>
      <c r="D115" s="33" t="n">
        <f aca="false">SUM(F115:J115)</f>
        <v>38500</v>
      </c>
      <c r="F115" s="33" t="n">
        <f aca="false">'7141 Kayla'!D20</f>
        <v>38500</v>
      </c>
    </row>
    <row r="116" customFormat="false" ht="15" hidden="false" customHeight="false" outlineLevel="0" collapsed="false">
      <c r="B116" s="5" t="str">
        <f aca="false">'7141 Kayla'!B21</f>
        <v>8 - Buidling - Kayla - 15yr</v>
      </c>
      <c r="D116" s="33" t="n">
        <f aca="false">SUM(F116:J116)</f>
        <v>4364</v>
      </c>
      <c r="H116" s="33" t="n">
        <f aca="false">'7141 Kayla'!D21</f>
        <v>4364</v>
      </c>
    </row>
    <row r="117" customFormat="false" ht="15" hidden="false" customHeight="false" outlineLevel="0" collapsed="false">
      <c r="B117" s="5" t="str">
        <f aca="false">'7141 Kayla'!B22</f>
        <v>8 - Buidling - Kayla - 27.5yr</v>
      </c>
      <c r="D117" s="33" t="n">
        <f aca="false">SUM(F117:J117)</f>
        <v>192572</v>
      </c>
      <c r="J117" s="33" t="n">
        <f aca="false">'7141 Kayla'!D22</f>
        <v>192572</v>
      </c>
    </row>
    <row r="118" customFormat="false" ht="15" hidden="false" customHeight="false" outlineLevel="0" collapsed="false">
      <c r="B118" s="5" t="str">
        <f aca="false">'7141 Kayla'!B23</f>
        <v>9 - Equipment - Kayla - 5yr</v>
      </c>
      <c r="D118" s="33" t="n">
        <f aca="false">SUM(F118:J118)</f>
        <v>7898</v>
      </c>
      <c r="F118" s="33" t="n">
        <f aca="false">'7141 Kayla'!D23</f>
        <v>7898</v>
      </c>
    </row>
    <row r="119" customFormat="false" ht="15" hidden="false" customHeight="false" outlineLevel="0" collapsed="false">
      <c r="B119" s="5" t="str">
        <f aca="false">'7141 Kayla'!B24</f>
        <v>9 - Equipment - Kayla - 15yr</v>
      </c>
      <c r="D119" s="33" t="n">
        <f aca="false">SUM(F119:J119)</f>
        <v>895</v>
      </c>
      <c r="H119" s="33" t="n">
        <f aca="false">'7141 Kayla'!D24</f>
        <v>895</v>
      </c>
    </row>
    <row r="120" customFormat="false" ht="15" hidden="false" customHeight="false" outlineLevel="0" collapsed="false">
      <c r="B120" s="5" t="str">
        <f aca="false">'7141 Kayla'!B25</f>
        <v>9 - Equipment - Kayla - 27.5yr</v>
      </c>
      <c r="D120" s="33" t="n">
        <f aca="false">SUM(F120:J120)</f>
        <v>39501</v>
      </c>
      <c r="J120" s="33" t="n">
        <f aca="false">'7141 Kayla'!D25</f>
        <v>39501</v>
      </c>
    </row>
    <row r="121" customFormat="false" ht="15" hidden="false" customHeight="false" outlineLevel="0" collapsed="false">
      <c r="B121" s="11" t="s">
        <v>182</v>
      </c>
      <c r="D121" s="34" t="n">
        <f aca="false">SUM(D112:D120)</f>
        <v>301841</v>
      </c>
      <c r="F121" s="34" t="n">
        <f aca="false">SUM(F112:F120)</f>
        <v>49360</v>
      </c>
      <c r="H121" s="34" t="n">
        <f aca="false">SUM(H112:H120)</f>
        <v>5595</v>
      </c>
      <c r="J121" s="34" t="n">
        <f aca="false">SUM(J112:J120)</f>
        <v>246886</v>
      </c>
    </row>
    <row r="122" customFormat="false" ht="15" hidden="false" customHeight="false" outlineLevel="0" collapsed="false">
      <c r="B122" s="16" t="s">
        <v>183</v>
      </c>
      <c r="D122" s="17" t="n">
        <f aca="false">D121-D107</f>
        <v>258720.81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2026-07-17T19:11:02Z</dcterms:created>
  <dc:creator>openpyxl</dc:creator>
  <dc:description/>
  <dc:language>en-US</dc:language>
  <cp:lastModifiedBy/>
  <dcterms:modified xsi:type="dcterms:W3CDTF">2026-07-17T19:11:02Z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