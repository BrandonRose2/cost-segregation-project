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9.xml" ContentType="application/vnd.openxmlformats-officedocument.spreadsheetml.worksheet+xml"/>
  <Override PartName="/xl/worksheets/sheet1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ite" sheetId="2" state="visible" r:id="rId4"/>
    <sheet name="Clubhouse" sheetId="3" state="visible" r:id="rId5"/>
    <sheet name="Building 1" sheetId="4" state="visible" r:id="rId6"/>
    <sheet name="Building 2" sheetId="5" state="visible" r:id="rId7"/>
    <sheet name="Building 3" sheetId="6" state="visible" r:id="rId8"/>
    <sheet name="Building 4" sheetId="7" state="visible" r:id="rId9"/>
    <sheet name="Building 5" sheetId="8" state="visible" r:id="rId10"/>
    <sheet name="Building 6" sheetId="9" state="visible" r:id="rId11"/>
    <sheet name="Building 7" sheetId="10" state="visible" r:id="rId12"/>
    <sheet name="Building 8" sheetId="11" state="visible" r:id="rId13"/>
    <sheet name="Building 9" sheetId="12" state="visible" r:id="rId14"/>
    <sheet name="Building 10" sheetId="13" state="visible" r:id="rId15"/>
    <sheet name="Building 11" sheetId="14" state="visible" r:id="rId16"/>
    <sheet name="Building 12" sheetId="15" state="visible" r:id="rId17"/>
    <sheet name="Building 13" sheetId="16" state="visible" r:id="rId18"/>
    <sheet name="Building 14" sheetId="17" state="visible" r:id="rId19"/>
    <sheet name="Building 15" sheetId="18" state="visible" r:id="rId20"/>
    <sheet name="Building 16" sheetId="19" state="visible" r:id="rId21"/>
    <sheet name="Building 17" sheetId="20" state="visible" r:id="rId22"/>
    <sheet name="Building 18" sheetId="21" state="visible" r:id="rId23"/>
    <sheet name="Building 19" sheetId="22" state="visible" r:id="rId24"/>
    <sheet name="Building 20" sheetId="23" state="visible" r:id="rId25"/>
    <sheet name="Building 21" sheetId="24" state="visible" r:id="rId26"/>
    <sheet name="Building 22" sheetId="25" state="visible" r:id="rId27"/>
    <sheet name="Building 23" sheetId="26" state="visible" r:id="rId28"/>
    <sheet name="Building 24" sheetId="27" state="visible" r:id="rId29"/>
    <sheet name="Building 25" sheetId="28" state="visible" r:id="rId30"/>
    <sheet name="Storage" sheetId="29" state="visible" r:id="rId3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<sst xmlns="http://schemas.openxmlformats.org/spreadsheetml/2006/main" count="6235" uniqueCount="229">
  <si>
    <t xml:space="preserve">Grace Townhomes Housing, LLC</t>
  </si>
  <si>
    <t xml:space="preserve">Grace Townhomes — 1212 Grace Cir, Ennis, TX 75119</t>
  </si>
  <si>
    <t xml:space="preserve">EIN: 47-5360069    ·    FYE: December 31, 2024    ·    Year of Change: 1/1/2024</t>
  </si>
  <si>
    <t xml:space="preserve">Summary of Cost Segregation Adjustments — CSSI Report #107752-11 (CAM — DCN #7)</t>
  </si>
  <si>
    <t xml:space="preserve">Acq Date</t>
  </si>
  <si>
    <t xml:space="preserve">Asset Description</t>
  </si>
  <si>
    <t xml:space="preserve">Total</t>
  </si>
  <si>
    <t xml:space="preserve">Site</t>
  </si>
  <si>
    <t xml:space="preserve">Clubhouse</t>
  </si>
  <si>
    <t xml:space="preserve">Building 1</t>
  </si>
  <si>
    <t xml:space="preserve">Building 2</t>
  </si>
  <si>
    <t xml:space="preserve">Building 3</t>
  </si>
  <si>
    <t xml:space="preserve">Building 4</t>
  </si>
  <si>
    <t xml:space="preserve">Building 5</t>
  </si>
  <si>
    <t xml:space="preserve">Building 6</t>
  </si>
  <si>
    <t xml:space="preserve">Building 7</t>
  </si>
  <si>
    <t xml:space="preserve">Building 8</t>
  </si>
  <si>
    <t xml:space="preserve">Building 9</t>
  </si>
  <si>
    <t xml:space="preserve">Building 10</t>
  </si>
  <si>
    <t xml:space="preserve">Building 11</t>
  </si>
  <si>
    <t xml:space="preserve">Building 12</t>
  </si>
  <si>
    <t xml:space="preserve">Building 13</t>
  </si>
  <si>
    <t xml:space="preserve">Building 14</t>
  </si>
  <si>
    <t xml:space="preserve">Building 15</t>
  </si>
  <si>
    <t xml:space="preserve">Building 16</t>
  </si>
  <si>
    <t xml:space="preserve">Building 17</t>
  </si>
  <si>
    <t xml:space="preserve">Building 18</t>
  </si>
  <si>
    <t xml:space="preserve">Building 19</t>
  </si>
  <si>
    <t xml:space="preserve">Building 20</t>
  </si>
  <si>
    <t xml:space="preserve">Building 21</t>
  </si>
  <si>
    <t xml:space="preserve">Building 22</t>
  </si>
  <si>
    <t xml:space="preserve">Building 23</t>
  </si>
  <si>
    <t xml:space="preserve">Building 24</t>
  </si>
  <si>
    <t xml:space="preserve">Building 25</t>
  </si>
  <si>
    <t xml:space="preserve">Storage</t>
  </si>
  <si>
    <t xml:space="preserve">12/17/15</t>
  </si>
  <si>
    <t xml:space="preserve">1 - Buillding - Site</t>
  </si>
  <si>
    <t xml:space="preserve">1/14/16</t>
  </si>
  <si>
    <t xml:space="preserve">5 - Building - Site</t>
  </si>
  <si>
    <t xml:space="preserve">3 - Land Improvements - Site</t>
  </si>
  <si>
    <t xml:space="preserve">4 - Equipment - Site</t>
  </si>
  <si>
    <t xml:space="preserve">1 - Buillding - Clubhouse</t>
  </si>
  <si>
    <t xml:space="preserve">5 - Building - Clubhouse</t>
  </si>
  <si>
    <t xml:space="preserve">3 - Land Improvements - Clubhouse</t>
  </si>
  <si>
    <t xml:space="preserve">4 - Equipment - Clubhouse</t>
  </si>
  <si>
    <t xml:space="preserve">1 - Buillding - Apt</t>
  </si>
  <si>
    <t xml:space="preserve">5 - Building - Apt</t>
  </si>
  <si>
    <t xml:space="preserve">3 - Land Improvements - Apt</t>
  </si>
  <si>
    <t xml:space="preserve">4 - Equipment - Apt</t>
  </si>
  <si>
    <t xml:space="preserve">1 - Buillding - Storage</t>
  </si>
  <si>
    <t xml:space="preserve">5 - Building - Storage</t>
  </si>
  <si>
    <t xml:space="preserve">3 - Land Improvements - Storage</t>
  </si>
  <si>
    <t xml:space="preserve">4 - Equipment - Storage</t>
  </si>
  <si>
    <t xml:space="preserve">Grand Total</t>
  </si>
  <si>
    <t xml:space="preserve">MACRS Reclassification</t>
  </si>
  <si>
    <t xml:space="preserve">1 - Buillding - Site - 15yr</t>
  </si>
  <si>
    <t xml:space="preserve">1 - Buillding - Site - 27.5yr</t>
  </si>
  <si>
    <t xml:space="preserve">5 - Building - Site - 15yr</t>
  </si>
  <si>
    <t xml:space="preserve">5 - Building - Site - 27.5yr</t>
  </si>
  <si>
    <t xml:space="preserve">3 - Land Improvements - Site - 15yr</t>
  </si>
  <si>
    <t xml:space="preserve">3 - Land Improvements - Site - 27.5yr</t>
  </si>
  <si>
    <t xml:space="preserve">4 - Equipment - Site - 15yr</t>
  </si>
  <si>
    <t xml:space="preserve">4 - Equipment - Site - 27.5yr</t>
  </si>
  <si>
    <t xml:space="preserve">1 - Buillding - Clubhouse - 5yr</t>
  </si>
  <si>
    <t xml:space="preserve">1 - Buillding - Clubhouse - 27.5yr</t>
  </si>
  <si>
    <t xml:space="preserve">5 - Building - Clubhouse - 5yr</t>
  </si>
  <si>
    <t xml:space="preserve">5 - Building - Clubhouse - 27.5yr</t>
  </si>
  <si>
    <t xml:space="preserve">3 - Land Improvements - Clubhouse - 5yr</t>
  </si>
  <si>
    <t xml:space="preserve">3 - Land Improvements - Clubhouse - 27.5yr</t>
  </si>
  <si>
    <t xml:space="preserve">4 - Equipment - Clubhouse - 5yr</t>
  </si>
  <si>
    <t xml:space="preserve">4 - Equipment - Clubhouse - 27.5yr</t>
  </si>
  <si>
    <t xml:space="preserve">1 - Buillding - Apt - 5yr</t>
  </si>
  <si>
    <t xml:space="preserve">1 - Buillding - Apt - 27.5yr</t>
  </si>
  <si>
    <t xml:space="preserve">5 - Building - Apt - 5yr</t>
  </si>
  <si>
    <t xml:space="preserve">5 - Building - Apt - 27.5yr</t>
  </si>
  <si>
    <t xml:space="preserve">3 - Land Improvements - Apt - 5yr</t>
  </si>
  <si>
    <t xml:space="preserve">3 - Land Improvements - Apt - 27.5yr</t>
  </si>
  <si>
    <t xml:space="preserve">4 - Equipment - Apt - 5yr</t>
  </si>
  <si>
    <t xml:space="preserve">4 - Equipment - Apt - 27.5yr</t>
  </si>
  <si>
    <t xml:space="preserve">3 - Land Improvements - Apt 5yr</t>
  </si>
  <si>
    <t xml:space="preserve">3 - Land Improvements - Apt 27.5yr</t>
  </si>
  <si>
    <t xml:space="preserve">1 - Buillding - Storage - 5yr</t>
  </si>
  <si>
    <t xml:space="preserve">1 - Buillding - Storage - 27.5yr</t>
  </si>
  <si>
    <t xml:space="preserve">5 - Building - Storage - 5yr</t>
  </si>
  <si>
    <t xml:space="preserve">5 - Building - Storage - 27.5yr</t>
  </si>
  <si>
    <t xml:space="preserve">3 - Land Improvements - Storage - 5yr</t>
  </si>
  <si>
    <t xml:space="preserve">3 - Land Improvements - Storage - 27.5yr</t>
  </si>
  <si>
    <t xml:space="preserve">4 - Equipment - Storage - 5yr</t>
  </si>
  <si>
    <t xml:space="preserve">4 - Equipment - Storage - 27.5yr</t>
  </si>
  <si>
    <t xml:space="preserve">Total MACRS Reclassification</t>
  </si>
  <si>
    <t xml:space="preserve">Difference (should be zero)</t>
  </si>
  <si>
    <t xml:space="preserve">End Depreciation Reconciliation</t>
  </si>
  <si>
    <t xml:space="preserve">Before Cost Segregation (As Previously Filed)</t>
  </si>
  <si>
    <t xml:space="preserve">After Cost Segregation (Corrected)</t>
  </si>
  <si>
    <t xml:space="preserve">Section 481(a) Adjustment</t>
  </si>
  <si>
    <t xml:space="preserve">Check vs. unit-tab 481(a) cells (should be zero)</t>
  </si>
  <si>
    <t xml:space="preserve">Notes</t>
  </si>
  <si>
    <t xml:space="preserve">1. Total footed §481(a) adjustment across all units: -205,582.84 (Regular Tax; AMT equals Regular Tax on every unit in this report).</t>
  </si>
  <si>
    <t xml:space="preserve">2. The CSSI report's own Before/After schedules carry small cost-basis rounding variances on: Building 4 (+0.02); Building 11 (+0.02); Building 15 (+0.02); Building 18 (+0.02); Building 20 (+0.02). The Difference row reflects the source PDF verbatim; these are cents-to-$1 rounding artifacts in the CSSI schedules, not transcription errors.</t>
  </si>
  <si>
    <t xml:space="preserve">3. The Form 3115 face page states a tax year of change beginning 1/1/2025, while the attached statements and all 481(a) schedules use a year of change beginning 1/1/2024 (FYE 12/31/2024). Confirm the intended year of change with the preparer before filing.</t>
  </si>
  <si>
    <t xml:space="preserve">4. All End Depreciation, Net Book Value, totals, and 481(a) cells are live formulas; asset-level inputs are transcribed from the CSSI PDF. The Difference and Check rows must remain zero after any edit.</t>
  </si>
  <si>
    <t xml:space="preserve">Site — Attachment to Form 3115 (DCN #7, Rev. Proc. 2024-23 §6.01)</t>
  </si>
  <si>
    <t xml:space="preserve">Source: CSSI Report #107752-11, "#107752-11_Grace Townhomes - 3115 - Combined R2.pdf"</t>
  </si>
  <si>
    <t xml:space="preserve">CALCULATION OF §481(a) ADJUSTMENT — REGULAR TAX</t>
  </si>
  <si>
    <t xml:space="preserve">As Previously Filed</t>
  </si>
  <si>
    <t xml:space="preserve">Asset</t>
  </si>
  <si>
    <t xml:space="preserve">Property Description</t>
  </si>
  <si>
    <t xml:space="preserve">Date In Service</t>
  </si>
  <si>
    <t xml:space="preserve">Cost</t>
  </si>
  <si>
    <t xml:space="preserve">Sec 179 Exp</t>
  </si>
  <si>
    <t xml:space="preserve">Bonus Amt</t>
  </si>
  <si>
    <t xml:space="preserve">Tax Prior Depreciation</t>
  </si>
  <si>
    <t xml:space="preserve">Tax Current Depreciation</t>
  </si>
  <si>
    <t xml:space="preserve">End Depreciation</t>
  </si>
  <si>
    <t xml:space="preserve">Net Book Value</t>
  </si>
  <si>
    <t xml:space="preserve">Method</t>
  </si>
  <si>
    <t xml:space="preserve">Period</t>
  </si>
  <si>
    <t xml:space="preserve">S/L</t>
  </si>
  <si>
    <t xml:space="preserve">27.5</t>
  </si>
  <si>
    <t xml:space="preserve">150DB</t>
  </si>
  <si>
    <t xml:space="preserve">15.0</t>
  </si>
  <si>
    <t xml:space="preserve">200DB</t>
  </si>
  <si>
    <t xml:space="preserve">5.0</t>
  </si>
  <si>
    <t xml:space="preserve">After Cost Segregation Correction</t>
  </si>
  <si>
    <t xml:space="preserve">Section 481(a) Adjustment — Regular Tax</t>
  </si>
  <si>
    <t xml:space="preserve">Depreciation reported previously</t>
  </si>
  <si>
    <t xml:space="preserve">Cost Segregation Corrected Depreciation</t>
  </si>
  <si>
    <t xml:space="preserve">CALCULATION OF §481(a) ADJUSTMENT — AMT</t>
  </si>
  <si>
    <t xml:space="preserve">As Previously Filed — AMT</t>
  </si>
  <si>
    <t xml:space="preserve">AMT Prior Depreciation</t>
  </si>
  <si>
    <t xml:space="preserve">AMT Current Depreciation</t>
  </si>
  <si>
    <t xml:space="preserve">After Cost Segregation Correction — AMT</t>
  </si>
  <si>
    <t xml:space="preserve">Section 481(a) Adjustment — AMT</t>
  </si>
  <si>
    <t xml:space="preserve">COST SEGREGATION STUDY — COST SUMMARY</t>
  </si>
  <si>
    <t xml:space="preserve">Total Site Cost</t>
  </si>
  <si>
    <t xml:space="preserve">Site Improvements: 15 Year</t>
  </si>
  <si>
    <t xml:space="preserve">% of Cost</t>
  </si>
  <si>
    <t xml:space="preserve">Site Utilities: 27.5 Year</t>
  </si>
  <si>
    <t xml:space="preserve">COST SEGREGATION STUDY — COST DETAIL</t>
  </si>
  <si>
    <t xml:space="preserve">Property Category</t>
  </si>
  <si>
    <t xml:space="preserve">15 Year</t>
  </si>
  <si>
    <t xml:space="preserve">27.5 Year</t>
  </si>
  <si>
    <t xml:space="preserve">Site Work / Improvements</t>
  </si>
  <si>
    <t xml:space="preserve">Site Drainage</t>
  </si>
  <si>
    <t xml:space="preserve">Parking Lot</t>
  </si>
  <si>
    <t xml:space="preserve">Exterior Signage</t>
  </si>
  <si>
    <t xml:space="preserve">Parking Lot Striping / Barriers</t>
  </si>
  <si>
    <t xml:space="preserve">Sidewalks / Curbs</t>
  </si>
  <si>
    <t xml:space="preserve">Landscaping</t>
  </si>
  <si>
    <t xml:space="preserve">Security Lighting Poles</t>
  </si>
  <si>
    <t xml:space="preserve">Exterior Fencing</t>
  </si>
  <si>
    <t xml:space="preserve">Dumpster Enclosures</t>
  </si>
  <si>
    <t xml:space="preserve">Swimming Pool &amp; Spa</t>
  </si>
  <si>
    <t xml:space="preserve">Fire Hydrants</t>
  </si>
  <si>
    <t xml:space="preserve">Exterior Equipment Concrete Pads</t>
  </si>
  <si>
    <t xml:space="preserve">Playgrounds</t>
  </si>
  <si>
    <t xml:space="preserve">Site Utilities</t>
  </si>
  <si>
    <t xml:space="preserve">ASSET ALLOCATION (per After Cost Segregation schedule)</t>
  </si>
  <si>
    <t xml:space="preserve">Asset (as reclassified)</t>
  </si>
  <si>
    <t xml:space="preserve">Total Allocation</t>
  </si>
  <si>
    <t xml:space="preserve">Check: Allocation vs. Cost Detail (should be zero)</t>
  </si>
  <si>
    <t xml:space="preserve">Clubhouse — Attachment to Form 3115 (DCN #7, Rev. Proc. 2024-23 §6.01)</t>
  </si>
  <si>
    <t xml:space="preserve">Total Building Cost</t>
  </si>
  <si>
    <t xml:space="preserve">Building Components: 5 Year</t>
  </si>
  <si>
    <t xml:space="preserve">Building Structure: 27.5 Year</t>
  </si>
  <si>
    <t xml:space="preserve">5 Year</t>
  </si>
  <si>
    <t xml:space="preserve">Building Components</t>
  </si>
  <si>
    <t xml:space="preserve">Cabinets / Millwork</t>
  </si>
  <si>
    <t xml:space="preserve">Moldings</t>
  </si>
  <si>
    <t xml:space="preserve">Flooring - Vinyl Plank</t>
  </si>
  <si>
    <t xml:space="preserve">Security System</t>
  </si>
  <si>
    <t xml:space="preserve">Window Treatments</t>
  </si>
  <si>
    <t xml:space="preserve">Specialty Electrical - Appliances</t>
  </si>
  <si>
    <t xml:space="preserve">Communication / Data</t>
  </si>
  <si>
    <t xml:space="preserve">Specialty Plumbing - Kitchen Sink</t>
  </si>
  <si>
    <t xml:space="preserve">Security / Exterior Lighting</t>
  </si>
  <si>
    <t xml:space="preserve">Mailboxes</t>
  </si>
  <si>
    <t xml:space="preserve">Building Structure</t>
  </si>
  <si>
    <t xml:space="preserve">Roofing Systems</t>
  </si>
  <si>
    <t xml:space="preserve">Foundations</t>
  </si>
  <si>
    <t xml:space="preserve">HVAC</t>
  </si>
  <si>
    <t xml:space="preserve">Electrical</t>
  </si>
  <si>
    <t xml:space="preserve">Plumbing</t>
  </si>
  <si>
    <t xml:space="preserve">Fire Protection &amp; Alarm</t>
  </si>
  <si>
    <t xml:space="preserve">Exterior Façade / Building Skin</t>
  </si>
  <si>
    <t xml:space="preserve">Doors &amp; Frames</t>
  </si>
  <si>
    <t xml:space="preserve">Windows</t>
  </si>
  <si>
    <t xml:space="preserve">Ceiling Systems</t>
  </si>
  <si>
    <t xml:space="preserve">Interior Framing / Partitions</t>
  </si>
  <si>
    <t xml:space="preserve">Painting</t>
  </si>
  <si>
    <t xml:space="preserve">Gutter Systems</t>
  </si>
  <si>
    <t xml:space="preserve">Emergency Lighting</t>
  </si>
  <si>
    <t xml:space="preserve">Structural Framing</t>
  </si>
  <si>
    <t xml:space="preserve">Bathroom Accessories</t>
  </si>
  <si>
    <t xml:space="preserve">Ceramic Tile Flooring</t>
  </si>
  <si>
    <t xml:space="preserve">Building 1 — Attachment to Form 3115 (DCN #7, Rev. Proc. 2024-23 §6.01)</t>
  </si>
  <si>
    <t xml:space="preserve">Specialty HVAC - Dryer Vents</t>
  </si>
  <si>
    <t xml:space="preserve">Building Signage</t>
  </si>
  <si>
    <t xml:space="preserve">Specialty Plumbing - Kitchen Sinks / Laundry</t>
  </si>
  <si>
    <t xml:space="preserve">Access Control</t>
  </si>
  <si>
    <t xml:space="preserve">Appliances</t>
  </si>
  <si>
    <t xml:space="preserve">Stairs / Balconies</t>
  </si>
  <si>
    <t xml:space="preserve">Cabinets / Millwork - Restrooms</t>
  </si>
  <si>
    <t xml:space="preserve">Building 2 — Attachment to Form 3115 (DCN #7, Rev. Proc. 2024-23 §6.01)</t>
  </si>
  <si>
    <t xml:space="preserve">Building 3 — Attachment to Form 3115 (DCN #7, Rev. Proc. 2024-23 §6.01)</t>
  </si>
  <si>
    <t xml:space="preserve">Building 4 — Attachment to Form 3115 (DCN #7, Rev. Proc. 2024-23 §6.01)</t>
  </si>
  <si>
    <t xml:space="preserve">Building 5 — Attachment to Form 3115 (DCN #7, Rev. Proc. 2024-23 §6.01)</t>
  </si>
  <si>
    <t xml:space="preserve">Building 6 — Attachment to Form 3115 (DCN #7, Rev. Proc. 2024-23 §6.01)</t>
  </si>
  <si>
    <t xml:space="preserve">Building 7 — Attachment to Form 3115 (DCN #7, Rev. Proc. 2024-23 §6.01)</t>
  </si>
  <si>
    <t xml:space="preserve">Building 8 — Attachment to Form 3115 (DCN #7, Rev. Proc. 2024-23 §6.01)</t>
  </si>
  <si>
    <t xml:space="preserve">Building 9 — Attachment to Form 3115 (DCN #7, Rev. Proc. 2024-23 §6.01)</t>
  </si>
  <si>
    <t xml:space="preserve">Building 10 — Attachment to Form 3115 (DCN #7, Rev. Proc. 2024-23 §6.01)</t>
  </si>
  <si>
    <t xml:space="preserve">Building 11 — Attachment to Form 3115 (DCN #7, Rev. Proc. 2024-23 §6.01)</t>
  </si>
  <si>
    <t xml:space="preserve">Building 12 — Attachment to Form 3115 (DCN #7, Rev. Proc. 2024-23 §6.01)</t>
  </si>
  <si>
    <t xml:space="preserve">Building 13 — Attachment to Form 3115 (DCN #7, Rev. Proc. 2024-23 §6.01)</t>
  </si>
  <si>
    <t xml:space="preserve">Building 14 — Attachment to Form 3115 (DCN #7, Rev. Proc. 2024-23 §6.01)</t>
  </si>
  <si>
    <t xml:space="preserve">Building 15 — Attachment to Form 3115 (DCN #7, Rev. Proc. 2024-23 §6.01)</t>
  </si>
  <si>
    <t xml:space="preserve">Building 16 — Attachment to Form 3115 (DCN #7, Rev. Proc. 2024-23 §6.01)</t>
  </si>
  <si>
    <t xml:space="preserve">Building 17 — Attachment to Form 3115 (DCN #7, Rev. Proc. 2024-23 §6.01)</t>
  </si>
  <si>
    <t xml:space="preserve">Building 18 — Attachment to Form 3115 (DCN #7, Rev. Proc. 2024-23 §6.01)</t>
  </si>
  <si>
    <t xml:space="preserve">Building 19 — Attachment to Form 3115 (DCN #7, Rev. Proc. 2024-23 §6.01)</t>
  </si>
  <si>
    <t xml:space="preserve">Building 20 — Attachment to Form 3115 (DCN #7, Rev. Proc. 2024-23 §6.01)</t>
  </si>
  <si>
    <t xml:space="preserve">Building 21 — Attachment to Form 3115 (DCN #7, Rev. Proc. 2024-23 §6.01)</t>
  </si>
  <si>
    <t xml:space="preserve">Building 22 — Attachment to Form 3115 (DCN #7, Rev. Proc. 2024-23 §6.01)</t>
  </si>
  <si>
    <t xml:space="preserve">Building 23 — Attachment to Form 3115 (DCN #7, Rev. Proc. 2024-23 §6.01)</t>
  </si>
  <si>
    <t xml:space="preserve">Building 24 — Attachment to Form 3115 (DCN #7, Rev. Proc. 2024-23 §6.01)</t>
  </si>
  <si>
    <t xml:space="preserve">Building 25 — Attachment to Form 3115 (DCN #7, Rev. Proc. 2024-23 §6.01)</t>
  </si>
  <si>
    <t xml:space="preserve">Storage — Attachment to Form 3115 (DCN #7, Rev. Proc. 2024-23 §6.01)</t>
  </si>
  <si>
    <t xml:space="preserve">Flooring - Sealed Concrete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</si>
</sst>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&quot;($&quot;#,##0.00\)"/>
    <numFmt numFmtId="166" formatCode="#,##0.00;\(#,##0.00\)"/>
    <numFmt numFmtId="167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8"/>
      <color rgb="FF40404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2"/>
        <bgColor rgb="FFF2F2F2"/>
      </patternFill>
    </fill>
    <fill>
      <patternFill patternType="solid">
        <fgColor rgb="FFFCE4CF"/>
        <bgColor rgb="FFF2F2F2"/>
      </patternFill>
    </fill>
    <fill>
      <patternFill patternType="solid">
        <fgColor rgb="FFF2F2F2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double"/>
      <bottom style="thin">
        <color rgb="FFBFBFBF"/>
      </bottom>
      <diagonal/>
    </border>
    <border diagonalUp="false" diagonalDown="false">
      <left/>
      <right/>
      <top style="thin">
        <color rgb="FFBFBFBF"/>
      </top>
      <bottom style="double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C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31" min="4" style="0" width="12.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3</v>
      </c>
    </row>
    <row r="7" customFormat="false" ht="15" hidden="false" customHeight="false" outlineLevel="0" collapsed="false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4" t="s">
        <v>18</v>
      </c>
      <c r="P7" s="4" t="s">
        <v>19</v>
      </c>
      <c r="Q7" s="4" t="s">
        <v>20</v>
      </c>
      <c r="R7" s="4" t="s">
        <v>21</v>
      </c>
      <c r="S7" s="4" t="s">
        <v>22</v>
      </c>
      <c r="T7" s="4" t="s">
        <v>23</v>
      </c>
      <c r="U7" s="4" t="s">
        <v>24</v>
      </c>
      <c r="V7" s="4" t="s">
        <v>25</v>
      </c>
      <c r="W7" s="4" t="s">
        <v>26</v>
      </c>
      <c r="X7" s="4" t="s">
        <v>27</v>
      </c>
      <c r="Y7" s="4" t="s">
        <v>28</v>
      </c>
      <c r="Z7" s="4" t="s">
        <v>29</v>
      </c>
      <c r="AA7" s="4" t="s">
        <v>30</v>
      </c>
      <c r="AB7" s="4" t="s">
        <v>31</v>
      </c>
      <c r="AC7" s="4" t="s">
        <v>32</v>
      </c>
      <c r="AD7" s="4" t="s">
        <v>33</v>
      </c>
      <c r="AE7" s="4" t="s">
        <v>34</v>
      </c>
    </row>
    <row r="8" customFormat="false" ht="15" hidden="false" customHeight="false" outlineLevel="0" collapsed="false">
      <c r="A8" s="5" t="s">
        <v>35</v>
      </c>
      <c r="B8" s="5" t="s">
        <v>36</v>
      </c>
      <c r="C8" s="6" t="n">
        <f aca="false">SUM(D8:AE8)</f>
        <v>636512.99</v>
      </c>
      <c r="D8" s="6" t="n">
        <f aca="false">Site!$D$10</f>
        <v>636512.99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customFormat="false" ht="15" hidden="false" customHeight="false" outlineLevel="0" collapsed="false">
      <c r="A9" s="5" t="s">
        <v>37</v>
      </c>
      <c r="B9" s="5" t="s">
        <v>38</v>
      </c>
      <c r="C9" s="6" t="n">
        <f aca="false">SUM(D9:AE9)</f>
        <v>1159.28</v>
      </c>
      <c r="D9" s="6" t="n">
        <f aca="false">Site!$D$11</f>
        <v>1159.28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customFormat="false" ht="15" hidden="false" customHeight="false" outlineLevel="0" collapsed="false">
      <c r="A10" s="5" t="s">
        <v>35</v>
      </c>
      <c r="B10" s="5" t="s">
        <v>39</v>
      </c>
      <c r="C10" s="6" t="n">
        <f aca="false">SUM(D10:AE10)</f>
        <v>60048.41</v>
      </c>
      <c r="D10" s="6" t="n">
        <f aca="false">Site!$D$12</f>
        <v>60048.41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customFormat="false" ht="15" hidden="false" customHeight="false" outlineLevel="0" collapsed="false">
      <c r="A11" s="5" t="s">
        <v>35</v>
      </c>
      <c r="B11" s="5" t="s">
        <v>40</v>
      </c>
      <c r="C11" s="6" t="n">
        <f aca="false">SUM(D11:AE11)</f>
        <v>108770.22</v>
      </c>
      <c r="D11" s="6" t="n">
        <f aca="false">Site!$D$13</f>
        <v>108770.22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customFormat="false" ht="15" hidden="false" customHeight="false" outlineLevel="0" collapsed="false">
      <c r="A12" s="5" t="s">
        <v>35</v>
      </c>
      <c r="B12" s="5" t="s">
        <v>41</v>
      </c>
      <c r="C12" s="6" t="n">
        <f aca="false">SUM(D12:AE12)</f>
        <v>87855.35</v>
      </c>
      <c r="D12" s="6"/>
      <c r="E12" s="6" t="n">
        <f aca="false">Clubhouse!$D$10</f>
        <v>87855.35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customFormat="false" ht="15" hidden="false" customHeight="false" outlineLevel="0" collapsed="false">
      <c r="A13" s="5" t="s">
        <v>37</v>
      </c>
      <c r="B13" s="5" t="s">
        <v>42</v>
      </c>
      <c r="C13" s="6" t="n">
        <f aca="false">SUM(D13:AE13)</f>
        <v>160.01</v>
      </c>
      <c r="D13" s="6"/>
      <c r="E13" s="6" t="n">
        <f aca="false">Clubhouse!$D$11</f>
        <v>160.01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customFormat="false" ht="15" hidden="false" customHeight="false" outlineLevel="0" collapsed="false">
      <c r="A14" s="5" t="s">
        <v>35</v>
      </c>
      <c r="B14" s="5" t="s">
        <v>43</v>
      </c>
      <c r="C14" s="6" t="n">
        <f aca="false">SUM(D14:AE14)</f>
        <v>8288.23</v>
      </c>
      <c r="D14" s="6"/>
      <c r="E14" s="6" t="n">
        <f aca="false">Clubhouse!$D$12</f>
        <v>8288.23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customFormat="false" ht="15" hidden="false" customHeight="false" outlineLevel="0" collapsed="false">
      <c r="A15" s="5" t="s">
        <v>35</v>
      </c>
      <c r="B15" s="5" t="s">
        <v>44</v>
      </c>
      <c r="C15" s="6" t="n">
        <f aca="false">SUM(D15:AE15)</f>
        <v>15013.12</v>
      </c>
      <c r="D15" s="6"/>
      <c r="E15" s="6" t="n">
        <f aca="false">Clubhouse!$D$13</f>
        <v>15013.12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customFormat="false" ht="15" hidden="false" customHeight="false" outlineLevel="0" collapsed="false">
      <c r="A16" s="5" t="s">
        <v>35</v>
      </c>
      <c r="B16" s="5" t="s">
        <v>45</v>
      </c>
      <c r="C16" s="6" t="n">
        <f aca="false">SUM(D16:AE16)</f>
        <v>3337378.81</v>
      </c>
      <c r="D16" s="6"/>
      <c r="E16" s="6"/>
      <c r="F16" s="6" t="n">
        <f aca="false">'Building 1'!$D$10</f>
        <v>212191.05</v>
      </c>
      <c r="G16" s="6" t="n">
        <f aca="false">'Building 2'!$D$10</f>
        <v>212191.05</v>
      </c>
      <c r="H16" s="6" t="n">
        <f aca="false">'Building 3'!$D$10</f>
        <v>116723.12</v>
      </c>
      <c r="I16" s="6" t="n">
        <f aca="false">'Building 4'!$D$10</f>
        <v>91140.5</v>
      </c>
      <c r="J16" s="6" t="n">
        <f aca="false">'Building 5'!$D$10</f>
        <v>116723.12</v>
      </c>
      <c r="K16" s="6" t="n">
        <f aca="false">'Building 6'!$D$10</f>
        <v>116723.12</v>
      </c>
      <c r="L16" s="6" t="n">
        <f aca="false">'Building 7'!$D$10</f>
        <v>116723.12</v>
      </c>
      <c r="M16" s="6" t="n">
        <f aca="false">'Building 8'!$D$10</f>
        <v>116723.12</v>
      </c>
      <c r="N16" s="6" t="n">
        <f aca="false">'Building 9'!$D$10</f>
        <v>116723.12</v>
      </c>
      <c r="O16" s="6" t="n">
        <f aca="false">'Building 10'!$D$10</f>
        <v>116723.12</v>
      </c>
      <c r="P16" s="6" t="n">
        <f aca="false">'Building 11'!$D$10</f>
        <v>91140.5</v>
      </c>
      <c r="Q16" s="6" t="n">
        <f aca="false">'Building 12'!$D$10</f>
        <v>212191.05</v>
      </c>
      <c r="R16" s="6" t="n">
        <f aca="false">'Building 13'!$D$10</f>
        <v>282065.31</v>
      </c>
      <c r="S16" s="6" t="n">
        <f aca="false">'Building 14'!$D$10</f>
        <v>212191.05</v>
      </c>
      <c r="T16" s="6" t="n">
        <f aca="false">'Building 15'!$D$10</f>
        <v>91140.5</v>
      </c>
      <c r="U16" s="6" t="n">
        <f aca="false">'Building 16'!$D$10</f>
        <v>116723.12</v>
      </c>
      <c r="V16" s="6" t="n">
        <f aca="false">'Building 17'!$D$10</f>
        <v>116723.12</v>
      </c>
      <c r="W16" s="6" t="n">
        <f aca="false">'Building 18'!$D$10</f>
        <v>91140.5</v>
      </c>
      <c r="X16" s="6" t="n">
        <f aca="false">'Building 19'!$D$10</f>
        <v>116723.12</v>
      </c>
      <c r="Y16" s="6" t="n">
        <f aca="false">'Building 20'!$D$10</f>
        <v>91140.5</v>
      </c>
      <c r="Z16" s="6" t="n">
        <f aca="false">'Building 21'!$D$10</f>
        <v>116723.12</v>
      </c>
      <c r="AA16" s="6" t="n">
        <f aca="false">'Building 22'!$D$10</f>
        <v>116723.12</v>
      </c>
      <c r="AB16" s="6" t="n">
        <f aca="false">'Building 23'!$D$10</f>
        <v>116723.12</v>
      </c>
      <c r="AC16" s="6" t="n">
        <f aca="false">'Building 24'!$D$10</f>
        <v>116723.12</v>
      </c>
      <c r="AD16" s="6" t="n">
        <f aca="false">'Building 25'!$D$10</f>
        <v>116723.12</v>
      </c>
      <c r="AE16" s="6"/>
    </row>
    <row r="17" customFormat="false" ht="15" hidden="false" customHeight="false" outlineLevel="0" collapsed="false">
      <c r="A17" s="5" t="s">
        <v>37</v>
      </c>
      <c r="B17" s="5" t="s">
        <v>46</v>
      </c>
      <c r="C17" s="6" t="n">
        <f aca="false">SUM(D17:AE17)</f>
        <v>6078.16</v>
      </c>
      <c r="D17" s="6"/>
      <c r="E17" s="6"/>
      <c r="F17" s="6" t="n">
        <f aca="false">'Building 1'!$D$11</f>
        <v>386.45</v>
      </c>
      <c r="G17" s="6" t="n">
        <f aca="false">'Building 2'!$D$11</f>
        <v>386.45</v>
      </c>
      <c r="H17" s="6" t="n">
        <f aca="false">'Building 3'!$D$11</f>
        <v>212.58</v>
      </c>
      <c r="I17" s="6" t="n">
        <f aca="false">'Building 4'!$D$11</f>
        <v>165.99</v>
      </c>
      <c r="J17" s="6" t="n">
        <f aca="false">'Building 5'!$D$11</f>
        <v>212.58</v>
      </c>
      <c r="K17" s="6" t="n">
        <f aca="false">'Building 6'!$D$11</f>
        <v>212.58</v>
      </c>
      <c r="L17" s="6" t="n">
        <f aca="false">'Building 7'!$D$11</f>
        <v>212.58</v>
      </c>
      <c r="M17" s="6" t="n">
        <f aca="false">'Building 8'!$D$11</f>
        <v>212.58</v>
      </c>
      <c r="N17" s="6" t="n">
        <f aca="false">'Building 9'!$D$11</f>
        <v>212.58</v>
      </c>
      <c r="O17" s="6" t="n">
        <f aca="false">'Building 10'!$D$11</f>
        <v>212.58</v>
      </c>
      <c r="P17" s="6" t="n">
        <f aca="false">'Building 11'!$D$11</f>
        <v>165.99</v>
      </c>
      <c r="Q17" s="6" t="n">
        <f aca="false">'Building 12'!$D$11</f>
        <v>386.45</v>
      </c>
      <c r="R17" s="6" t="n">
        <f aca="false">'Building 13'!$D$11</f>
        <v>513.71</v>
      </c>
      <c r="S17" s="6" t="n">
        <f aca="false">'Building 14'!$D$11</f>
        <v>386.45</v>
      </c>
      <c r="T17" s="6" t="n">
        <f aca="false">'Building 15'!$D$11</f>
        <v>165.99</v>
      </c>
      <c r="U17" s="6" t="n">
        <f aca="false">'Building 16'!$D$11</f>
        <v>212.58</v>
      </c>
      <c r="V17" s="6" t="n">
        <f aca="false">'Building 17'!$D$11</f>
        <v>212.58</v>
      </c>
      <c r="W17" s="6" t="n">
        <f aca="false">'Building 18'!$D$11</f>
        <v>165.99</v>
      </c>
      <c r="X17" s="6" t="n">
        <f aca="false">'Building 19'!$D$11</f>
        <v>212.58</v>
      </c>
      <c r="Y17" s="6" t="n">
        <f aca="false">'Building 20'!$D$11</f>
        <v>165.99</v>
      </c>
      <c r="Z17" s="6" t="n">
        <f aca="false">'Building 21'!$D$11</f>
        <v>212.58</v>
      </c>
      <c r="AA17" s="6" t="n">
        <f aca="false">'Building 22'!$D$11</f>
        <v>212.58</v>
      </c>
      <c r="AB17" s="6" t="n">
        <f aca="false">'Building 23'!$D$11</f>
        <v>212.58</v>
      </c>
      <c r="AC17" s="6" t="n">
        <f aca="false">'Building 24'!$D$11</f>
        <v>212.58</v>
      </c>
      <c r="AD17" s="6" t="n">
        <f aca="false">'Building 25'!$D$11</f>
        <v>212.58</v>
      </c>
      <c r="AE17" s="6"/>
    </row>
    <row r="18" customFormat="false" ht="15" hidden="false" customHeight="false" outlineLevel="0" collapsed="false">
      <c r="A18" s="5" t="s">
        <v>35</v>
      </c>
      <c r="B18" s="5" t="s">
        <v>47</v>
      </c>
      <c r="C18" s="6" t="n">
        <f aca="false">SUM(D18:AE18)</f>
        <v>314846.66</v>
      </c>
      <c r="D18" s="6"/>
      <c r="E18" s="6"/>
      <c r="F18" s="6" t="n">
        <f aca="false">'Building 1'!$D$12</f>
        <v>20018</v>
      </c>
      <c r="G18" s="6" t="n">
        <f aca="false">'Building 2'!$D$12</f>
        <v>20018</v>
      </c>
      <c r="H18" s="6" t="n">
        <f aca="false">'Building 3'!$D$12</f>
        <v>11011.6</v>
      </c>
      <c r="I18" s="6" t="n">
        <f aca="false">'Building 4'!$D$12</f>
        <v>8598.15</v>
      </c>
      <c r="J18" s="6" t="n">
        <f aca="false">'Building 5'!$D$12</f>
        <v>11011.6</v>
      </c>
      <c r="K18" s="6" t="n">
        <f aca="false">'Building 6'!$D$12</f>
        <v>11011.6</v>
      </c>
      <c r="L18" s="6" t="n">
        <f aca="false">'Building 7'!$D$12</f>
        <v>11011.6</v>
      </c>
      <c r="M18" s="6" t="n">
        <f aca="false">'Building 8'!$D$12</f>
        <v>11011.6</v>
      </c>
      <c r="N18" s="6" t="n">
        <f aca="false">'Building 9'!$D$12</f>
        <v>11011.6</v>
      </c>
      <c r="O18" s="6" t="n">
        <f aca="false">'Building 10'!$D$12</f>
        <v>11011.6</v>
      </c>
      <c r="P18" s="6" t="n">
        <f aca="false">'Building 11'!$D$12</f>
        <v>8598.15</v>
      </c>
      <c r="Q18" s="6" t="n">
        <f aca="false">'Building 12'!$D$12</f>
        <v>20018</v>
      </c>
      <c r="R18" s="6" t="n">
        <f aca="false">'Building 13'!$D$12</f>
        <v>26609.91</v>
      </c>
      <c r="S18" s="6" t="n">
        <f aca="false">'Building 14'!$D$12</f>
        <v>20018</v>
      </c>
      <c r="T18" s="6" t="n">
        <f aca="false">'Building 15'!$D$12</f>
        <v>8598.15</v>
      </c>
      <c r="U18" s="6" t="n">
        <f aca="false">'Building 16'!$D$12</f>
        <v>11011.6</v>
      </c>
      <c r="V18" s="6" t="n">
        <f aca="false">'Building 17'!$D$12</f>
        <v>11011.6</v>
      </c>
      <c r="W18" s="6" t="n">
        <f aca="false">'Building 18'!$D$12</f>
        <v>8598.15</v>
      </c>
      <c r="X18" s="6" t="n">
        <f aca="false">'Building 19'!$D$12</f>
        <v>11011.6</v>
      </c>
      <c r="Y18" s="6" t="n">
        <f aca="false">'Building 20'!$D$12</f>
        <v>8598.15</v>
      </c>
      <c r="Z18" s="6" t="n">
        <f aca="false">'Building 21'!$D$12</f>
        <v>11011.6</v>
      </c>
      <c r="AA18" s="6" t="n">
        <f aca="false">'Building 22'!$D$12</f>
        <v>11011.6</v>
      </c>
      <c r="AB18" s="6" t="n">
        <f aca="false">'Building 23'!$D$12</f>
        <v>11011.6</v>
      </c>
      <c r="AC18" s="6" t="n">
        <f aca="false">'Building 24'!$D$12</f>
        <v>11011.6</v>
      </c>
      <c r="AD18" s="6" t="n">
        <f aca="false">'Building 25'!$D$12</f>
        <v>11011.6</v>
      </c>
      <c r="AE18" s="6"/>
    </row>
    <row r="19" customFormat="false" ht="15" hidden="false" customHeight="false" outlineLevel="0" collapsed="false">
      <c r="A19" s="5" t="s">
        <v>35</v>
      </c>
      <c r="B19" s="5" t="s">
        <v>48</v>
      </c>
      <c r="C19" s="6" t="n">
        <f aca="false">SUM(D19:AE19)</f>
        <v>570306.32</v>
      </c>
      <c r="D19" s="6"/>
      <c r="E19" s="6"/>
      <c r="F19" s="6" t="n">
        <f aca="false">'Building 1'!$D$13</f>
        <v>36260.17</v>
      </c>
      <c r="G19" s="6" t="n">
        <f aca="false">'Building 2'!$D$13</f>
        <v>36260.17</v>
      </c>
      <c r="H19" s="6" t="n">
        <f aca="false">'Building 3'!$D$13</f>
        <v>19946.17</v>
      </c>
      <c r="I19" s="6" t="n">
        <f aca="false">'Building 4'!$D$13</f>
        <v>15574.5</v>
      </c>
      <c r="J19" s="6" t="n">
        <f aca="false">'Building 5'!$D$13</f>
        <v>19946.17</v>
      </c>
      <c r="K19" s="6" t="n">
        <f aca="false">'Building 6'!$D$13</f>
        <v>19946.17</v>
      </c>
      <c r="L19" s="6" t="n">
        <f aca="false">'Building 7'!$D$13</f>
        <v>19946.17</v>
      </c>
      <c r="M19" s="6" t="n">
        <f aca="false">'Building 8'!$D$13</f>
        <v>19946.17</v>
      </c>
      <c r="N19" s="6" t="n">
        <f aca="false">'Building 9'!$D$13</f>
        <v>19946.17</v>
      </c>
      <c r="O19" s="6" t="n">
        <f aca="false">'Building 10'!$D$13</f>
        <v>19946.17</v>
      </c>
      <c r="P19" s="6" t="n">
        <f aca="false">'Building 11'!$D$13</f>
        <v>15574.5</v>
      </c>
      <c r="Q19" s="6" t="n">
        <f aca="false">'Building 12'!$D$13</f>
        <v>36260.17</v>
      </c>
      <c r="R19" s="6" t="n">
        <f aca="false">'Building 13'!$D$13</f>
        <v>48200.59</v>
      </c>
      <c r="S19" s="6" t="n">
        <f aca="false">'Building 14'!$D$13</f>
        <v>36260.17</v>
      </c>
      <c r="T19" s="6" t="n">
        <f aca="false">'Building 15'!$D$13</f>
        <v>15574.5</v>
      </c>
      <c r="U19" s="6" t="n">
        <f aca="false">'Building 16'!$D$13</f>
        <v>19946.17</v>
      </c>
      <c r="V19" s="6" t="n">
        <f aca="false">'Building 17'!$D$13</f>
        <v>19946.17</v>
      </c>
      <c r="W19" s="6" t="n">
        <f aca="false">'Building 18'!$D$13</f>
        <v>15574.5</v>
      </c>
      <c r="X19" s="6" t="n">
        <f aca="false">'Building 19'!$D$13</f>
        <v>19946.17</v>
      </c>
      <c r="Y19" s="6" t="n">
        <f aca="false">'Building 20'!$D$13</f>
        <v>15574.5</v>
      </c>
      <c r="Z19" s="6" t="n">
        <f aca="false">'Building 21'!$D$13</f>
        <v>19946.17</v>
      </c>
      <c r="AA19" s="6" t="n">
        <f aca="false">'Building 22'!$D$13</f>
        <v>19946.17</v>
      </c>
      <c r="AB19" s="6" t="n">
        <f aca="false">'Building 23'!$D$13</f>
        <v>19946.17</v>
      </c>
      <c r="AC19" s="6" t="n">
        <f aca="false">'Building 24'!$D$13</f>
        <v>19946.17</v>
      </c>
      <c r="AD19" s="6" t="n">
        <f aca="false">'Building 25'!$D$13</f>
        <v>19946.17</v>
      </c>
      <c r="AE19" s="6"/>
    </row>
    <row r="20" customFormat="false" ht="15" hidden="false" customHeight="false" outlineLevel="0" collapsed="false">
      <c r="A20" s="5" t="s">
        <v>35</v>
      </c>
      <c r="B20" s="5" t="s">
        <v>49</v>
      </c>
      <c r="C20" s="6" t="n">
        <f aca="false">SUM(D20:AE20)</f>
        <v>12928.85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 t="n">
        <f aca="false">Storage!$D$10</f>
        <v>12928.85</v>
      </c>
    </row>
    <row r="21" customFormat="false" ht="15" hidden="false" customHeight="false" outlineLevel="0" collapsed="false">
      <c r="A21" s="5" t="s">
        <v>37</v>
      </c>
      <c r="B21" s="5" t="s">
        <v>50</v>
      </c>
      <c r="C21" s="6" t="n">
        <f aca="false">SUM(D21:AE21)</f>
        <v>23.55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 t="n">
        <f aca="false">Storage!$D$11</f>
        <v>23.55</v>
      </c>
    </row>
    <row r="22" customFormat="false" ht="15" hidden="false" customHeight="false" outlineLevel="0" collapsed="false">
      <c r="A22" s="5" t="s">
        <v>35</v>
      </c>
      <c r="B22" s="5" t="s">
        <v>51</v>
      </c>
      <c r="C22" s="6" t="n">
        <f aca="false">SUM(D22:AE22)</f>
        <v>1219.7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 t="n">
        <f aca="false">Storage!$D$12</f>
        <v>1219.7</v>
      </c>
    </row>
    <row r="23" customFormat="false" ht="15" hidden="false" customHeight="false" outlineLevel="0" collapsed="false">
      <c r="A23" s="5" t="s">
        <v>35</v>
      </c>
      <c r="B23" s="5" t="s">
        <v>52</v>
      </c>
      <c r="C23" s="6" t="n">
        <f aca="false">SUM(D23:AE23)</f>
        <v>2209.34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 t="n">
        <f aca="false">Storage!$D$13</f>
        <v>2209.34</v>
      </c>
    </row>
    <row r="24" customFormat="false" ht="15" hidden="false" customHeight="false" outlineLevel="0" collapsed="false">
      <c r="A24" s="7"/>
      <c r="B24" s="8" t="s">
        <v>53</v>
      </c>
      <c r="C24" s="9" t="n">
        <f aca="false">SUM(C8:C23)</f>
        <v>5162799</v>
      </c>
      <c r="D24" s="9" t="n">
        <f aca="false">SUM(D8:D23)</f>
        <v>806490.9</v>
      </c>
      <c r="E24" s="9" t="n">
        <f aca="false">SUM(E8:E23)</f>
        <v>111316.71</v>
      </c>
      <c r="F24" s="9" t="n">
        <f aca="false">SUM(F8:F23)</f>
        <v>268855.67</v>
      </c>
      <c r="G24" s="9" t="n">
        <f aca="false">SUM(G8:G23)</f>
        <v>268855.67</v>
      </c>
      <c r="H24" s="9" t="n">
        <f aca="false">SUM(H8:H23)</f>
        <v>147893.47</v>
      </c>
      <c r="I24" s="9" t="n">
        <f aca="false">SUM(I8:I23)</f>
        <v>115479.14</v>
      </c>
      <c r="J24" s="9" t="n">
        <f aca="false">SUM(J8:J23)</f>
        <v>147893.47</v>
      </c>
      <c r="K24" s="9" t="n">
        <f aca="false">SUM(K8:K23)</f>
        <v>147893.47</v>
      </c>
      <c r="L24" s="9" t="n">
        <f aca="false">SUM(L8:L23)</f>
        <v>147893.47</v>
      </c>
      <c r="M24" s="9" t="n">
        <f aca="false">SUM(M8:M23)</f>
        <v>147893.47</v>
      </c>
      <c r="N24" s="9" t="n">
        <f aca="false">SUM(N8:N23)</f>
        <v>147893.47</v>
      </c>
      <c r="O24" s="9" t="n">
        <f aca="false">SUM(O8:O23)</f>
        <v>147893.47</v>
      </c>
      <c r="P24" s="9" t="n">
        <f aca="false">SUM(P8:P23)</f>
        <v>115479.14</v>
      </c>
      <c r="Q24" s="9" t="n">
        <f aca="false">SUM(Q8:Q23)</f>
        <v>268855.67</v>
      </c>
      <c r="R24" s="9" t="n">
        <f aca="false">SUM(R8:R23)</f>
        <v>357389.52</v>
      </c>
      <c r="S24" s="9" t="n">
        <f aca="false">SUM(S8:S23)</f>
        <v>268855.67</v>
      </c>
      <c r="T24" s="9" t="n">
        <f aca="false">SUM(T8:T23)</f>
        <v>115479.14</v>
      </c>
      <c r="U24" s="9" t="n">
        <f aca="false">SUM(U8:U23)</f>
        <v>147893.47</v>
      </c>
      <c r="V24" s="9" t="n">
        <f aca="false">SUM(V8:V23)</f>
        <v>147893.47</v>
      </c>
      <c r="W24" s="9" t="n">
        <f aca="false">SUM(W8:W23)</f>
        <v>115479.14</v>
      </c>
      <c r="X24" s="9" t="n">
        <f aca="false">SUM(X8:X23)</f>
        <v>147893.47</v>
      </c>
      <c r="Y24" s="9" t="n">
        <f aca="false">SUM(Y8:Y23)</f>
        <v>115479.14</v>
      </c>
      <c r="Z24" s="9" t="n">
        <f aca="false">SUM(Z8:Z23)</f>
        <v>147893.47</v>
      </c>
      <c r="AA24" s="9" t="n">
        <f aca="false">SUM(AA8:AA23)</f>
        <v>147893.47</v>
      </c>
      <c r="AB24" s="9" t="n">
        <f aca="false">SUM(AB8:AB23)</f>
        <v>147893.47</v>
      </c>
      <c r="AC24" s="9" t="n">
        <f aca="false">SUM(AC8:AC23)</f>
        <v>147893.47</v>
      </c>
      <c r="AD24" s="9" t="n">
        <f aca="false">SUM(AD8:AD23)</f>
        <v>147893.47</v>
      </c>
      <c r="AE24" s="9" t="n">
        <f aca="false">SUM(AE8:AE23)</f>
        <v>16381.44</v>
      </c>
    </row>
    <row r="26" customFormat="false" ht="15" hidden="false" customHeight="false" outlineLevel="0" collapsed="false">
      <c r="B26" s="10" t="s">
        <v>54</v>
      </c>
    </row>
    <row r="27" customFormat="false" ht="15" hidden="false" customHeight="false" outlineLevel="0" collapsed="false">
      <c r="A27" s="5" t="s">
        <v>35</v>
      </c>
      <c r="B27" s="5" t="s">
        <v>55</v>
      </c>
      <c r="C27" s="6" t="n">
        <f aca="false">SUM(D27:AE27)</f>
        <v>385433.18</v>
      </c>
      <c r="D27" s="6" t="n">
        <f aca="false">Site!$D$18</f>
        <v>385433.18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 customFormat="false" ht="15" hidden="false" customHeight="false" outlineLevel="0" collapsed="false">
      <c r="A28" s="5" t="s">
        <v>35</v>
      </c>
      <c r="B28" s="5" t="s">
        <v>56</v>
      </c>
      <c r="C28" s="6" t="n">
        <f aca="false">SUM(D28:AE28)</f>
        <v>251079.81</v>
      </c>
      <c r="D28" s="6" t="n">
        <f aca="false">Site!$D$19</f>
        <v>251079.81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customFormat="false" ht="15" hidden="false" customHeight="false" outlineLevel="0" collapsed="false">
      <c r="A29" s="5" t="s">
        <v>37</v>
      </c>
      <c r="B29" s="5" t="s">
        <v>57</v>
      </c>
      <c r="C29" s="6" t="n">
        <f aca="false">SUM(D29:AE29)</f>
        <v>701.99</v>
      </c>
      <c r="D29" s="6" t="n">
        <f aca="false">Site!$D$20</f>
        <v>701.99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 customFormat="false" ht="15" hidden="false" customHeight="false" outlineLevel="0" collapsed="false">
      <c r="A30" s="5" t="s">
        <v>37</v>
      </c>
      <c r="B30" s="5" t="s">
        <v>58</v>
      </c>
      <c r="C30" s="6" t="n">
        <f aca="false">SUM(D30:AE30)</f>
        <v>457.29</v>
      </c>
      <c r="D30" s="6" t="n">
        <f aca="false">Site!$D$21</f>
        <v>457.29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 customFormat="false" ht="15" hidden="false" customHeight="false" outlineLevel="0" collapsed="false">
      <c r="A31" s="5" t="s">
        <v>35</v>
      </c>
      <c r="B31" s="5" t="s">
        <v>59</v>
      </c>
      <c r="C31" s="6" t="n">
        <f aca="false">SUM(D31:AE31)</f>
        <v>36361.63</v>
      </c>
      <c r="D31" s="6" t="n">
        <f aca="false">Site!$D$22</f>
        <v>36361.63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customFormat="false" ht="15" hidden="false" customHeight="false" outlineLevel="0" collapsed="false">
      <c r="A32" s="5" t="s">
        <v>35</v>
      </c>
      <c r="B32" s="5" t="s">
        <v>60</v>
      </c>
      <c r="C32" s="6" t="n">
        <f aca="false">SUM(D32:AE32)</f>
        <v>23686.78</v>
      </c>
      <c r="D32" s="6" t="n">
        <f aca="false">Site!$D$23</f>
        <v>23686.78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 customFormat="false" ht="15" hidden="false" customHeight="false" outlineLevel="0" collapsed="false">
      <c r="A33" s="5" t="s">
        <v>35</v>
      </c>
      <c r="B33" s="5" t="s">
        <v>61</v>
      </c>
      <c r="C33" s="6" t="n">
        <f aca="false">SUM(D33:AE33)</f>
        <v>65864.56</v>
      </c>
      <c r="D33" s="6" t="n">
        <f aca="false">Site!$D$24</f>
        <v>65864.56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customFormat="false" ht="15" hidden="false" customHeight="false" outlineLevel="0" collapsed="false">
      <c r="A34" s="5" t="s">
        <v>35</v>
      </c>
      <c r="B34" s="5" t="s">
        <v>62</v>
      </c>
      <c r="C34" s="6" t="n">
        <f aca="false">SUM(D34:AE34)</f>
        <v>42905.66</v>
      </c>
      <c r="D34" s="6" t="n">
        <f aca="false">Site!$D$25</f>
        <v>42905.66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 customFormat="false" ht="15" hidden="false" customHeight="false" outlineLevel="0" collapsed="false">
      <c r="A35" s="5" t="s">
        <v>35</v>
      </c>
      <c r="B35" s="5" t="s">
        <v>63</v>
      </c>
      <c r="C35" s="6" t="n">
        <f aca="false">SUM(D35:AE35)</f>
        <v>15749.94</v>
      </c>
      <c r="D35" s="6"/>
      <c r="E35" s="6" t="n">
        <f aca="false">Clubhouse!$D$18</f>
        <v>15749.94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customFormat="false" ht="15" hidden="false" customHeight="false" outlineLevel="0" collapsed="false">
      <c r="A36" s="5" t="s">
        <v>35</v>
      </c>
      <c r="B36" s="5" t="s">
        <v>64</v>
      </c>
      <c r="C36" s="6" t="n">
        <f aca="false">SUM(D36:AE36)</f>
        <v>72105.41</v>
      </c>
      <c r="D36" s="6"/>
      <c r="E36" s="6" t="n">
        <f aca="false">Clubhouse!$D$19</f>
        <v>72105.41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 customFormat="false" ht="15" hidden="false" customHeight="false" outlineLevel="0" collapsed="false">
      <c r="A37" s="5" t="s">
        <v>37</v>
      </c>
      <c r="B37" s="5" t="s">
        <v>65</v>
      </c>
      <c r="C37" s="6" t="n">
        <f aca="false">SUM(D37:AE37)</f>
        <v>28.69</v>
      </c>
      <c r="D37" s="6"/>
      <c r="E37" s="6" t="n">
        <f aca="false">Clubhouse!$D$20</f>
        <v>28.69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 customFormat="false" ht="15" hidden="false" customHeight="false" outlineLevel="0" collapsed="false">
      <c r="A38" s="5" t="s">
        <v>37</v>
      </c>
      <c r="B38" s="5" t="s">
        <v>66</v>
      </c>
      <c r="C38" s="6" t="n">
        <f aca="false">SUM(D38:AE38)</f>
        <v>131.32</v>
      </c>
      <c r="D38" s="6"/>
      <c r="E38" s="6" t="n">
        <f aca="false">Clubhouse!$D$21</f>
        <v>131.32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 customFormat="false" ht="15" hidden="false" customHeight="false" outlineLevel="0" collapsed="false">
      <c r="A39" s="5" t="s">
        <v>35</v>
      </c>
      <c r="B39" s="5" t="s">
        <v>67</v>
      </c>
      <c r="C39" s="6" t="n">
        <f aca="false">SUM(D39:AE39)</f>
        <v>1485.84</v>
      </c>
      <c r="D39" s="6"/>
      <c r="E39" s="6" t="n">
        <f aca="false">Clubhouse!$D$22</f>
        <v>1485.84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customFormat="false" ht="15" hidden="false" customHeight="false" outlineLevel="0" collapsed="false">
      <c r="A40" s="5" t="s">
        <v>35</v>
      </c>
      <c r="B40" s="5" t="s">
        <v>68</v>
      </c>
      <c r="C40" s="6" t="n">
        <f aca="false">SUM(D40:AE40)</f>
        <v>6802.39</v>
      </c>
      <c r="D40" s="6"/>
      <c r="E40" s="6" t="n">
        <f aca="false">Clubhouse!$D$23</f>
        <v>6802.39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 customFormat="false" ht="15" hidden="false" customHeight="false" outlineLevel="0" collapsed="false">
      <c r="A41" s="5" t="s">
        <v>35</v>
      </c>
      <c r="B41" s="5" t="s">
        <v>69</v>
      </c>
      <c r="C41" s="6" t="n">
        <f aca="false">SUM(D41:AE41)</f>
        <v>2691.42</v>
      </c>
      <c r="D41" s="6"/>
      <c r="E41" s="6" t="n">
        <f aca="false">Clubhouse!$D$24</f>
        <v>2691.42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 customFormat="false" ht="15" hidden="false" customHeight="false" outlineLevel="0" collapsed="false">
      <c r="A42" s="5" t="s">
        <v>35</v>
      </c>
      <c r="B42" s="5" t="s">
        <v>70</v>
      </c>
      <c r="C42" s="6" t="n">
        <f aca="false">SUM(D42:AE42)</f>
        <v>12321.7</v>
      </c>
      <c r="D42" s="6"/>
      <c r="E42" s="6" t="n">
        <f aca="false">Clubhouse!$D$25</f>
        <v>12321.7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 customFormat="false" ht="15" hidden="false" customHeight="false" outlineLevel="0" collapsed="false">
      <c r="A43" s="5" t="s">
        <v>35</v>
      </c>
      <c r="B43" s="5" t="s">
        <v>71</v>
      </c>
      <c r="C43" s="6" t="n">
        <f aca="false">SUM(D43:AE43)</f>
        <v>692389.05</v>
      </c>
      <c r="D43" s="6"/>
      <c r="E43" s="6"/>
      <c r="F43" s="6" t="n">
        <f aca="false">'Building 1'!$D$18</f>
        <v>41085.46</v>
      </c>
      <c r="G43" s="6" t="n">
        <f aca="false">'Building 2'!$D$18</f>
        <v>41085.46</v>
      </c>
      <c r="H43" s="6" t="n">
        <f aca="false">'Building 3'!$D$18</f>
        <v>24387.48</v>
      </c>
      <c r="I43" s="6" t="n">
        <f aca="false">'Building 4'!$D$18</f>
        <v>21279.35</v>
      </c>
      <c r="J43" s="6" t="n">
        <f aca="false">'Building 5'!$D$18</f>
        <v>24387.48</v>
      </c>
      <c r="K43" s="6" t="n">
        <f aca="false">'Building 6'!$D$18</f>
        <v>24387.48</v>
      </c>
      <c r="L43" s="6" t="n">
        <f aca="false">'Building 7'!$D$18</f>
        <v>24387.48</v>
      </c>
      <c r="M43" s="6" t="n">
        <f aca="false">'Building 8'!$D$18</f>
        <v>24387.48</v>
      </c>
      <c r="N43" s="6" t="n">
        <f aca="false">'Building 9'!$D$18</f>
        <v>24387.48</v>
      </c>
      <c r="O43" s="6" t="n">
        <f aca="false">'Building 10'!$D$18</f>
        <v>24387.48</v>
      </c>
      <c r="P43" s="6" t="n">
        <f aca="false">'Building 11'!$D$18</f>
        <v>21279.35</v>
      </c>
      <c r="Q43" s="6" t="n">
        <f aca="false">'Building 12'!$D$18</f>
        <v>41085.46</v>
      </c>
      <c r="R43" s="6" t="n">
        <f aca="false">'Building 13'!$D$18</f>
        <v>55838.26</v>
      </c>
      <c r="S43" s="6" t="n">
        <f aca="false">'Building 14'!$D$18</f>
        <v>41085.46</v>
      </c>
      <c r="T43" s="6" t="n">
        <f aca="false">'Building 15'!$D$18</f>
        <v>21279.35</v>
      </c>
      <c r="U43" s="6" t="n">
        <f aca="false">'Building 16'!$D$18</f>
        <v>24387.48</v>
      </c>
      <c r="V43" s="6" t="n">
        <f aca="false">'Building 17'!$D$18</f>
        <v>24387.48</v>
      </c>
      <c r="W43" s="6" t="n">
        <f aca="false">'Building 18'!$D$18</f>
        <v>21279.35</v>
      </c>
      <c r="X43" s="6" t="n">
        <f aca="false">'Building 19'!$D$18</f>
        <v>24387.48</v>
      </c>
      <c r="Y43" s="6" t="n">
        <f aca="false">'Building 20'!$D$18</f>
        <v>21279.35</v>
      </c>
      <c r="Z43" s="6" t="n">
        <f aca="false">'Building 21'!$D$18</f>
        <v>24387.48</v>
      </c>
      <c r="AA43" s="6" t="n">
        <f aca="false">'Building 22'!$D$18</f>
        <v>24387.48</v>
      </c>
      <c r="AB43" s="6" t="n">
        <f aca="false">'Building 23'!$D$18</f>
        <v>24387.48</v>
      </c>
      <c r="AC43" s="6" t="n">
        <f aca="false">'Building 24'!$D$18</f>
        <v>24387.48</v>
      </c>
      <c r="AD43" s="6" t="n">
        <f aca="false">'Building 25'!$D$18</f>
        <v>24387.48</v>
      </c>
      <c r="AE43" s="6"/>
    </row>
    <row r="44" customFormat="false" ht="15" hidden="false" customHeight="false" outlineLevel="0" collapsed="false">
      <c r="A44" s="5" t="s">
        <v>35</v>
      </c>
      <c r="B44" s="5" t="s">
        <v>72</v>
      </c>
      <c r="C44" s="6" t="n">
        <f aca="false">SUM(D44:AE44)</f>
        <v>2644989.76</v>
      </c>
      <c r="D44" s="6"/>
      <c r="E44" s="6"/>
      <c r="F44" s="6" t="n">
        <f aca="false">'Building 1'!$D$19</f>
        <v>171105.59</v>
      </c>
      <c r="G44" s="6" t="n">
        <f aca="false">'Building 2'!$D$19</f>
        <v>171105.59</v>
      </c>
      <c r="H44" s="6" t="n">
        <f aca="false">'Building 3'!$D$19</f>
        <v>92335.64</v>
      </c>
      <c r="I44" s="6" t="n">
        <f aca="false">'Building 4'!$D$19</f>
        <v>69861.15</v>
      </c>
      <c r="J44" s="6" t="n">
        <f aca="false">'Building 5'!$D$19</f>
        <v>92335.64</v>
      </c>
      <c r="K44" s="6" t="n">
        <f aca="false">'Building 6'!$D$19</f>
        <v>92335.64</v>
      </c>
      <c r="L44" s="6" t="n">
        <f aca="false">'Building 7'!$D$19</f>
        <v>92335.64</v>
      </c>
      <c r="M44" s="6" t="n">
        <f aca="false">'Building 8'!$D$19</f>
        <v>92335.64</v>
      </c>
      <c r="N44" s="6" t="n">
        <f aca="false">'Building 9'!$D$19</f>
        <v>92335.64</v>
      </c>
      <c r="O44" s="6" t="n">
        <f aca="false">'Building 10'!$D$19</f>
        <v>92335.64</v>
      </c>
      <c r="P44" s="6" t="n">
        <f aca="false">'Building 11'!$D$19</f>
        <v>69861.15</v>
      </c>
      <c r="Q44" s="6" t="n">
        <f aca="false">'Building 12'!$D$19</f>
        <v>171105.59</v>
      </c>
      <c r="R44" s="6" t="n">
        <f aca="false">'Building 13'!$D$19</f>
        <v>226227.05</v>
      </c>
      <c r="S44" s="6" t="n">
        <f aca="false">'Building 14'!$D$19</f>
        <v>171105.59</v>
      </c>
      <c r="T44" s="6" t="n">
        <f aca="false">'Building 15'!$D$19</f>
        <v>69861.15</v>
      </c>
      <c r="U44" s="6" t="n">
        <f aca="false">'Building 16'!$D$19</f>
        <v>92335.64</v>
      </c>
      <c r="V44" s="6" t="n">
        <f aca="false">'Building 17'!$D$19</f>
        <v>92335.64</v>
      </c>
      <c r="W44" s="6" t="n">
        <f aca="false">'Building 18'!$D$19</f>
        <v>69861.15</v>
      </c>
      <c r="X44" s="6" t="n">
        <f aca="false">'Building 19'!$D$19</f>
        <v>92335.64</v>
      </c>
      <c r="Y44" s="6" t="n">
        <f aca="false">'Building 20'!$D$19</f>
        <v>69861.15</v>
      </c>
      <c r="Z44" s="6" t="n">
        <f aca="false">'Building 21'!$D$19</f>
        <v>92335.64</v>
      </c>
      <c r="AA44" s="6" t="n">
        <f aca="false">'Building 22'!$D$19</f>
        <v>92335.64</v>
      </c>
      <c r="AB44" s="6" t="n">
        <f aca="false">'Building 23'!$D$19</f>
        <v>92335.64</v>
      </c>
      <c r="AC44" s="6" t="n">
        <f aca="false">'Building 24'!$D$19</f>
        <v>92335.64</v>
      </c>
      <c r="AD44" s="6" t="n">
        <f aca="false">'Building 25'!$D$19</f>
        <v>92335.64</v>
      </c>
      <c r="AE44" s="6"/>
    </row>
    <row r="45" customFormat="false" ht="15" hidden="false" customHeight="false" outlineLevel="0" collapsed="false">
      <c r="A45" s="5" t="s">
        <v>37</v>
      </c>
      <c r="B45" s="5" t="s">
        <v>73</v>
      </c>
      <c r="C45" s="6" t="n">
        <f aca="false">SUM(D45:AE45)</f>
        <v>1261.12</v>
      </c>
      <c r="D45" s="6"/>
      <c r="E45" s="6"/>
      <c r="F45" s="6" t="n">
        <f aca="false">'Building 1'!$D$20</f>
        <v>74.83</v>
      </c>
      <c r="G45" s="6" t="n">
        <f aca="false">'Building 2'!$D$20</f>
        <v>74.83</v>
      </c>
      <c r="H45" s="6" t="n">
        <f aca="false">'Building 3'!$D$20</f>
        <v>44.42</v>
      </c>
      <c r="I45" s="6" t="n">
        <f aca="false">'Building 4'!$D$20</f>
        <v>38.76</v>
      </c>
      <c r="J45" s="6" t="n">
        <f aca="false">'Building 5'!$D$20</f>
        <v>44.42</v>
      </c>
      <c r="K45" s="6" t="n">
        <f aca="false">'Building 6'!$D$20</f>
        <v>44.42</v>
      </c>
      <c r="L45" s="6" t="n">
        <f aca="false">'Building 7'!$D$20</f>
        <v>44.42</v>
      </c>
      <c r="M45" s="6" t="n">
        <f aca="false">'Building 8'!$D$20</f>
        <v>44.42</v>
      </c>
      <c r="N45" s="6" t="n">
        <f aca="false">'Building 9'!$D$20</f>
        <v>44.42</v>
      </c>
      <c r="O45" s="6" t="n">
        <f aca="false">'Building 10'!$D$20</f>
        <v>44.42</v>
      </c>
      <c r="P45" s="6" t="n">
        <f aca="false">'Building 11'!$D$20</f>
        <v>38.76</v>
      </c>
      <c r="Q45" s="6" t="n">
        <f aca="false">'Building 12'!$D$20</f>
        <v>74.83</v>
      </c>
      <c r="R45" s="6" t="n">
        <f aca="false">'Building 13'!$D$20</f>
        <v>101.7</v>
      </c>
      <c r="S45" s="6" t="n">
        <f aca="false">'Building 14'!$D$20</f>
        <v>74.83</v>
      </c>
      <c r="T45" s="6" t="n">
        <f aca="false">'Building 15'!$D$20</f>
        <v>38.76</v>
      </c>
      <c r="U45" s="6" t="n">
        <f aca="false">'Building 16'!$D$20</f>
        <v>44.42</v>
      </c>
      <c r="V45" s="6" t="n">
        <f aca="false">'Building 17'!$D$20</f>
        <v>44.42</v>
      </c>
      <c r="W45" s="6" t="n">
        <f aca="false">'Building 18'!$D$20</f>
        <v>38.76</v>
      </c>
      <c r="X45" s="6" t="n">
        <f aca="false">'Building 19'!$D$20</f>
        <v>44.42</v>
      </c>
      <c r="Y45" s="6" t="n">
        <f aca="false">'Building 20'!$D$20</f>
        <v>38.76</v>
      </c>
      <c r="Z45" s="6" t="n">
        <f aca="false">'Building 21'!$D$20</f>
        <v>44.42</v>
      </c>
      <c r="AA45" s="6" t="n">
        <f aca="false">'Building 22'!$D$20</f>
        <v>44.42</v>
      </c>
      <c r="AB45" s="6" t="n">
        <f aca="false">'Building 23'!$D$20</f>
        <v>44.42</v>
      </c>
      <c r="AC45" s="6" t="n">
        <f aca="false">'Building 24'!$D$20</f>
        <v>44.42</v>
      </c>
      <c r="AD45" s="6" t="n">
        <f aca="false">'Building 25'!$D$20</f>
        <v>44.42</v>
      </c>
      <c r="AE45" s="6"/>
    </row>
    <row r="46" customFormat="false" ht="15" hidden="false" customHeight="false" outlineLevel="0" collapsed="false">
      <c r="A46" s="5" t="s">
        <v>37</v>
      </c>
      <c r="B46" s="5" t="s">
        <v>74</v>
      </c>
      <c r="C46" s="6" t="n">
        <f aca="false">SUM(D46:AE46)</f>
        <v>4817.04</v>
      </c>
      <c r="D46" s="6"/>
      <c r="E46" s="6"/>
      <c r="F46" s="6" t="n">
        <f aca="false">'Building 1'!$D$21</f>
        <v>311.62</v>
      </c>
      <c r="G46" s="6" t="n">
        <f aca="false">'Building 2'!$D$21</f>
        <v>311.62</v>
      </c>
      <c r="H46" s="6" t="n">
        <f aca="false">'Building 3'!$D$21</f>
        <v>168.16</v>
      </c>
      <c r="I46" s="6" t="n">
        <f aca="false">'Building 4'!$D$21</f>
        <v>127.23</v>
      </c>
      <c r="J46" s="6" t="n">
        <f aca="false">'Building 5'!$D$21</f>
        <v>168.16</v>
      </c>
      <c r="K46" s="6" t="n">
        <f aca="false">'Building 6'!$D$21</f>
        <v>168.16</v>
      </c>
      <c r="L46" s="6" t="n">
        <f aca="false">'Building 7'!$D$21</f>
        <v>168.16</v>
      </c>
      <c r="M46" s="6" t="n">
        <f aca="false">'Building 8'!$D$21</f>
        <v>168.16</v>
      </c>
      <c r="N46" s="6" t="n">
        <f aca="false">'Building 9'!$D$21</f>
        <v>168.16</v>
      </c>
      <c r="O46" s="6" t="n">
        <f aca="false">'Building 10'!$D$21</f>
        <v>168.16</v>
      </c>
      <c r="P46" s="6" t="n">
        <f aca="false">'Building 11'!$D$21</f>
        <v>127.23</v>
      </c>
      <c r="Q46" s="6" t="n">
        <f aca="false">'Building 12'!$D$21</f>
        <v>311.62</v>
      </c>
      <c r="R46" s="6" t="n">
        <f aca="false">'Building 13'!$D$21</f>
        <v>412.01</v>
      </c>
      <c r="S46" s="6" t="n">
        <f aca="false">'Building 14'!$D$21</f>
        <v>311.62</v>
      </c>
      <c r="T46" s="6" t="n">
        <f aca="false">'Building 15'!$D$21</f>
        <v>127.23</v>
      </c>
      <c r="U46" s="6" t="n">
        <f aca="false">'Building 16'!$D$21</f>
        <v>168.16</v>
      </c>
      <c r="V46" s="6" t="n">
        <f aca="false">'Building 17'!$D$21</f>
        <v>168.16</v>
      </c>
      <c r="W46" s="6" t="n">
        <f aca="false">'Building 18'!$D$21</f>
        <v>127.23</v>
      </c>
      <c r="X46" s="6" t="n">
        <f aca="false">'Building 19'!$D$21</f>
        <v>168.16</v>
      </c>
      <c r="Y46" s="6" t="n">
        <f aca="false">'Building 20'!$D$21</f>
        <v>127.23</v>
      </c>
      <c r="Z46" s="6" t="n">
        <f aca="false">'Building 21'!$D$21</f>
        <v>168.16</v>
      </c>
      <c r="AA46" s="6" t="n">
        <f aca="false">'Building 22'!$D$21</f>
        <v>168.16</v>
      </c>
      <c r="AB46" s="6" t="n">
        <f aca="false">'Building 23'!$D$21</f>
        <v>168.16</v>
      </c>
      <c r="AC46" s="6" t="n">
        <f aca="false">'Building 24'!$D$21</f>
        <v>168.16</v>
      </c>
      <c r="AD46" s="6" t="n">
        <f aca="false">'Building 25'!$D$21</f>
        <v>168.16</v>
      </c>
      <c r="AE46" s="6"/>
    </row>
    <row r="47" customFormat="false" ht="15" hidden="false" customHeight="false" outlineLevel="0" collapsed="false">
      <c r="A47" s="5" t="s">
        <v>35</v>
      </c>
      <c r="B47" s="5" t="s">
        <v>75</v>
      </c>
      <c r="C47" s="6" t="n">
        <f aca="false">SUM(D47:AE47)</f>
        <v>55282.18</v>
      </c>
      <c r="D47" s="6"/>
      <c r="E47" s="6"/>
      <c r="F47" s="6" t="n">
        <f aca="false">'Building 1'!$D$22</f>
        <v>3875.98</v>
      </c>
      <c r="G47" s="6" t="n">
        <f aca="false">'Building 2'!$D$22</f>
        <v>3875.98</v>
      </c>
      <c r="H47" s="6" t="n">
        <f aca="false">'Building 3'!$D$22</f>
        <v>2300.7</v>
      </c>
      <c r="I47" s="6"/>
      <c r="J47" s="6" t="n">
        <f aca="false">'Building 5'!$D$22</f>
        <v>2300.7</v>
      </c>
      <c r="K47" s="6" t="n">
        <f aca="false">'Building 6'!$D$22</f>
        <v>2300.7</v>
      </c>
      <c r="L47" s="6" t="n">
        <f aca="false">'Building 7'!$D$22</f>
        <v>2300.7</v>
      </c>
      <c r="M47" s="6" t="n">
        <f aca="false">'Building 8'!$D$22</f>
        <v>2300.7</v>
      </c>
      <c r="N47" s="6" t="n">
        <f aca="false">'Building 9'!$D$22</f>
        <v>2300.7</v>
      </c>
      <c r="O47" s="6" t="n">
        <f aca="false">'Building 10'!$D$22</f>
        <v>2300.7</v>
      </c>
      <c r="P47" s="6"/>
      <c r="Q47" s="6" t="n">
        <f aca="false">'Building 12'!$D$22</f>
        <v>3875.98</v>
      </c>
      <c r="R47" s="6" t="n">
        <f aca="false">'Building 13'!$D$22</f>
        <v>5267.76</v>
      </c>
      <c r="S47" s="6" t="n">
        <f aca="false">'Building 14'!$D$22</f>
        <v>3875.98</v>
      </c>
      <c r="T47" s="6"/>
      <c r="U47" s="6" t="n">
        <f aca="false">'Building 16'!$D$22</f>
        <v>2300.7</v>
      </c>
      <c r="V47" s="6" t="n">
        <f aca="false">'Building 17'!$D$22</f>
        <v>2300.7</v>
      </c>
      <c r="W47" s="6"/>
      <c r="X47" s="6" t="n">
        <f aca="false">'Building 19'!$D$22</f>
        <v>2300.7</v>
      </c>
      <c r="Y47" s="6"/>
      <c r="Z47" s="6" t="n">
        <f aca="false">'Building 21'!$D$22</f>
        <v>2300.7</v>
      </c>
      <c r="AA47" s="6" t="n">
        <f aca="false">'Building 22'!$D$22</f>
        <v>2300.7</v>
      </c>
      <c r="AB47" s="6" t="n">
        <f aca="false">'Building 23'!$D$22</f>
        <v>2300.7</v>
      </c>
      <c r="AC47" s="6" t="n">
        <f aca="false">'Building 24'!$D$22</f>
        <v>2300.7</v>
      </c>
      <c r="AD47" s="6" t="n">
        <f aca="false">'Building 25'!$D$22</f>
        <v>2300.7</v>
      </c>
      <c r="AE47" s="6"/>
    </row>
    <row r="48" customFormat="false" ht="15" hidden="false" customHeight="false" outlineLevel="0" collapsed="false">
      <c r="A48" s="5" t="s">
        <v>35</v>
      </c>
      <c r="B48" s="5" t="s">
        <v>76</v>
      </c>
      <c r="C48" s="6" t="n">
        <f aca="false">SUM(D48:AE48)</f>
        <v>216573.73</v>
      </c>
      <c r="D48" s="6"/>
      <c r="E48" s="6"/>
      <c r="F48" s="6" t="n">
        <f aca="false">'Building 1'!$D$23</f>
        <v>16142.02</v>
      </c>
      <c r="G48" s="6" t="n">
        <f aca="false">'Building 2'!$D$23</f>
        <v>16142.02</v>
      </c>
      <c r="H48" s="6" t="n">
        <f aca="false">'Building 3'!$D$23</f>
        <v>8710.9</v>
      </c>
      <c r="I48" s="6"/>
      <c r="J48" s="6" t="n">
        <f aca="false">'Building 5'!$D$23</f>
        <v>8710.9</v>
      </c>
      <c r="K48" s="6" t="n">
        <f aca="false">'Building 6'!$D$23</f>
        <v>8710.9</v>
      </c>
      <c r="L48" s="6" t="n">
        <f aca="false">'Building 7'!$D$23</f>
        <v>8710.9</v>
      </c>
      <c r="M48" s="6" t="n">
        <f aca="false">'Building 8'!$D$23</f>
        <v>8710.9</v>
      </c>
      <c r="N48" s="6" t="n">
        <f aca="false">'Building 9'!$D$23</f>
        <v>8710.9</v>
      </c>
      <c r="O48" s="6" t="n">
        <f aca="false">'Building 10'!$D$23</f>
        <v>8710.9</v>
      </c>
      <c r="P48" s="6"/>
      <c r="Q48" s="6" t="n">
        <f aca="false">'Building 12'!$D$23</f>
        <v>16142.02</v>
      </c>
      <c r="R48" s="6" t="n">
        <f aca="false">'Building 13'!$D$23</f>
        <v>21342.15</v>
      </c>
      <c r="S48" s="6" t="n">
        <f aca="false">'Building 14'!$D$23</f>
        <v>16142.02</v>
      </c>
      <c r="T48" s="6"/>
      <c r="U48" s="6" t="n">
        <f aca="false">'Building 16'!$D$23</f>
        <v>8710.9</v>
      </c>
      <c r="V48" s="6" t="n">
        <f aca="false">'Building 17'!$D$23</f>
        <v>8710.9</v>
      </c>
      <c r="W48" s="6"/>
      <c r="X48" s="6" t="n">
        <f aca="false">'Building 19'!$D$23</f>
        <v>8710.9</v>
      </c>
      <c r="Y48" s="6"/>
      <c r="Z48" s="6" t="n">
        <f aca="false">'Building 21'!$D$23</f>
        <v>8710.9</v>
      </c>
      <c r="AA48" s="6" t="n">
        <f aca="false">'Building 22'!$D$23</f>
        <v>8710.9</v>
      </c>
      <c r="AB48" s="6" t="n">
        <f aca="false">'Building 23'!$D$23</f>
        <v>8710.9</v>
      </c>
      <c r="AC48" s="6" t="n">
        <f aca="false">'Building 24'!$D$23</f>
        <v>8710.9</v>
      </c>
      <c r="AD48" s="6" t="n">
        <f aca="false">'Building 25'!$D$23</f>
        <v>8710.9</v>
      </c>
      <c r="AE48" s="6"/>
    </row>
    <row r="49" customFormat="false" ht="15" hidden="false" customHeight="false" outlineLevel="0" collapsed="false">
      <c r="A49" s="5" t="s">
        <v>35</v>
      </c>
      <c r="B49" s="5" t="s">
        <v>77</v>
      </c>
      <c r="C49" s="6" t="n">
        <f aca="false">SUM(D49:AE49)</f>
        <v>118318.61</v>
      </c>
      <c r="D49" s="6"/>
      <c r="E49" s="6"/>
      <c r="F49" s="6" t="n">
        <f aca="false">'Building 1'!$D$24</f>
        <v>7020.87</v>
      </c>
      <c r="G49" s="6" t="n">
        <f aca="false">'Building 2'!$D$24</f>
        <v>7020.87</v>
      </c>
      <c r="H49" s="6" t="n">
        <f aca="false">'Building 3'!$D$24</f>
        <v>4167.44</v>
      </c>
      <c r="I49" s="6" t="n">
        <f aca="false">'Building 4'!$D$24</f>
        <v>3636.33</v>
      </c>
      <c r="J49" s="6" t="n">
        <f aca="false">'Building 5'!$D$24</f>
        <v>4167.44</v>
      </c>
      <c r="K49" s="6" t="n">
        <f aca="false">'Building 6'!$D$24</f>
        <v>4167.44</v>
      </c>
      <c r="L49" s="6" t="n">
        <f aca="false">'Building 7'!$D$24</f>
        <v>4167.44</v>
      </c>
      <c r="M49" s="6" t="n">
        <f aca="false">'Building 8'!$D$24</f>
        <v>4167.44</v>
      </c>
      <c r="N49" s="6" t="n">
        <f aca="false">'Building 9'!$D$24</f>
        <v>4167.44</v>
      </c>
      <c r="O49" s="6" t="n">
        <f aca="false">'Building 10'!$D$24</f>
        <v>4167.44</v>
      </c>
      <c r="P49" s="6" t="n">
        <f aca="false">'Building 11'!$D$24</f>
        <v>3636.33</v>
      </c>
      <c r="Q49" s="6" t="n">
        <f aca="false">'Building 12'!$D$24</f>
        <v>7020.87</v>
      </c>
      <c r="R49" s="6" t="n">
        <f aca="false">'Building 13'!$D$24</f>
        <v>9541.88</v>
      </c>
      <c r="S49" s="6" t="n">
        <f aca="false">'Building 14'!$D$24</f>
        <v>7020.87</v>
      </c>
      <c r="T49" s="6" t="n">
        <f aca="false">'Building 15'!$D$24</f>
        <v>3636.33</v>
      </c>
      <c r="U49" s="6" t="n">
        <f aca="false">'Building 16'!$D$24</f>
        <v>4167.44</v>
      </c>
      <c r="V49" s="6" t="n">
        <f aca="false">'Building 17'!$D$24</f>
        <v>4167.44</v>
      </c>
      <c r="W49" s="6" t="n">
        <f aca="false">'Building 18'!$D$24</f>
        <v>3636.33</v>
      </c>
      <c r="X49" s="6" t="n">
        <f aca="false">'Building 19'!$D$24</f>
        <v>4167.44</v>
      </c>
      <c r="Y49" s="6" t="n">
        <f aca="false">'Building 20'!$D$24</f>
        <v>3636.33</v>
      </c>
      <c r="Z49" s="6" t="n">
        <f aca="false">'Building 21'!$D$24</f>
        <v>4167.44</v>
      </c>
      <c r="AA49" s="6" t="n">
        <f aca="false">'Building 22'!$D$24</f>
        <v>4167.44</v>
      </c>
      <c r="AB49" s="6" t="n">
        <f aca="false">'Building 23'!$D$24</f>
        <v>4167.44</v>
      </c>
      <c r="AC49" s="6" t="n">
        <f aca="false">'Building 24'!$D$24</f>
        <v>4167.44</v>
      </c>
      <c r="AD49" s="6" t="n">
        <f aca="false">'Building 25'!$D$24</f>
        <v>4167.44</v>
      </c>
      <c r="AE49" s="6"/>
    </row>
    <row r="50" customFormat="false" ht="15" hidden="false" customHeight="false" outlineLevel="0" collapsed="false">
      <c r="A50" s="5" t="s">
        <v>35</v>
      </c>
      <c r="B50" s="5" t="s">
        <v>78</v>
      </c>
      <c r="C50" s="6" t="n">
        <f aca="false">SUM(D50:AE50)</f>
        <v>451987.81</v>
      </c>
      <c r="D50" s="6"/>
      <c r="E50" s="6"/>
      <c r="F50" s="6" t="n">
        <f aca="false">'Building 1'!$D$25</f>
        <v>29239.3</v>
      </c>
      <c r="G50" s="6" t="n">
        <f aca="false">'Building 2'!$D$25</f>
        <v>29239.3</v>
      </c>
      <c r="H50" s="6" t="n">
        <f aca="false">'Building 3'!$D$25</f>
        <v>15778.73</v>
      </c>
      <c r="I50" s="6" t="n">
        <f aca="false">'Building 4'!$D$25</f>
        <v>11938.19</v>
      </c>
      <c r="J50" s="6" t="n">
        <f aca="false">'Building 5'!$D$25</f>
        <v>15778.73</v>
      </c>
      <c r="K50" s="6" t="n">
        <f aca="false">'Building 6'!$D$25</f>
        <v>15778.73</v>
      </c>
      <c r="L50" s="6" t="n">
        <f aca="false">'Building 7'!$D$25</f>
        <v>15778.73</v>
      </c>
      <c r="M50" s="6" t="n">
        <f aca="false">'Building 8'!$D$25</f>
        <v>15778.73</v>
      </c>
      <c r="N50" s="6" t="n">
        <f aca="false">'Building 9'!$D$25</f>
        <v>15778.73</v>
      </c>
      <c r="O50" s="6" t="n">
        <f aca="false">'Building 10'!$D$25</f>
        <v>15778.73</v>
      </c>
      <c r="P50" s="6" t="n">
        <f aca="false">'Building 11'!$D$25</f>
        <v>11938.19</v>
      </c>
      <c r="Q50" s="6" t="n">
        <f aca="false">'Building 12'!$D$25</f>
        <v>29239.3</v>
      </c>
      <c r="R50" s="6" t="n">
        <f aca="false">'Building 13'!$D$25</f>
        <v>38658.71</v>
      </c>
      <c r="S50" s="6" t="n">
        <f aca="false">'Building 14'!$D$25</f>
        <v>29239.3</v>
      </c>
      <c r="T50" s="6" t="n">
        <f aca="false">'Building 15'!$D$25</f>
        <v>11938.19</v>
      </c>
      <c r="U50" s="6" t="n">
        <f aca="false">'Building 16'!$D$25</f>
        <v>15778.73</v>
      </c>
      <c r="V50" s="6" t="n">
        <f aca="false">'Building 17'!$D$25</f>
        <v>15778.73</v>
      </c>
      <c r="W50" s="6" t="n">
        <f aca="false">'Building 18'!$D$25</f>
        <v>11938.19</v>
      </c>
      <c r="X50" s="6" t="n">
        <f aca="false">'Building 19'!$D$25</f>
        <v>15778.73</v>
      </c>
      <c r="Y50" s="6" t="n">
        <f aca="false">'Building 20'!$D$25</f>
        <v>11938.19</v>
      </c>
      <c r="Z50" s="6" t="n">
        <f aca="false">'Building 21'!$D$25</f>
        <v>15778.73</v>
      </c>
      <c r="AA50" s="6" t="n">
        <f aca="false">'Building 22'!$D$25</f>
        <v>15778.73</v>
      </c>
      <c r="AB50" s="6" t="n">
        <f aca="false">'Building 23'!$D$25</f>
        <v>15778.73</v>
      </c>
      <c r="AC50" s="6" t="n">
        <f aca="false">'Building 24'!$D$25</f>
        <v>15778.73</v>
      </c>
      <c r="AD50" s="6" t="n">
        <f aca="false">'Building 25'!$D$25</f>
        <v>15778.73</v>
      </c>
      <c r="AE50" s="6"/>
    </row>
    <row r="51" customFormat="false" ht="15" hidden="false" customHeight="false" outlineLevel="0" collapsed="false">
      <c r="A51" s="5" t="s">
        <v>35</v>
      </c>
      <c r="B51" s="5" t="s">
        <v>79</v>
      </c>
      <c r="C51" s="6" t="n">
        <f aca="false">SUM(D51:AE51)</f>
        <v>10037.4</v>
      </c>
      <c r="D51" s="6"/>
      <c r="E51" s="6"/>
      <c r="F51" s="6"/>
      <c r="G51" s="6"/>
      <c r="H51" s="6"/>
      <c r="I51" s="6" t="n">
        <f aca="false">'Building 4'!$D$22</f>
        <v>2007.48</v>
      </c>
      <c r="J51" s="6"/>
      <c r="K51" s="6"/>
      <c r="L51" s="6"/>
      <c r="M51" s="6"/>
      <c r="N51" s="6"/>
      <c r="O51" s="6"/>
      <c r="P51" s="6" t="n">
        <f aca="false">'Building 11'!$D$22</f>
        <v>2007.48</v>
      </c>
      <c r="Q51" s="6"/>
      <c r="R51" s="6"/>
      <c r="S51" s="6"/>
      <c r="T51" s="6" t="n">
        <f aca="false">'Building 15'!$D$22</f>
        <v>2007.48</v>
      </c>
      <c r="U51" s="6"/>
      <c r="V51" s="6"/>
      <c r="W51" s="6" t="n">
        <f aca="false">'Building 18'!$D$22</f>
        <v>2007.48</v>
      </c>
      <c r="X51" s="6"/>
      <c r="Y51" s="6" t="n">
        <f aca="false">'Building 20'!$D$22</f>
        <v>2007.48</v>
      </c>
      <c r="Z51" s="6"/>
      <c r="AA51" s="6"/>
      <c r="AB51" s="6"/>
      <c r="AC51" s="6"/>
      <c r="AD51" s="6"/>
      <c r="AE51" s="6"/>
    </row>
    <row r="52" customFormat="false" ht="15" hidden="false" customHeight="false" outlineLevel="0" collapsed="false">
      <c r="A52" s="5" t="s">
        <v>35</v>
      </c>
      <c r="B52" s="5" t="s">
        <v>80</v>
      </c>
      <c r="C52" s="6" t="n">
        <f aca="false">SUM(D52:AE52)</f>
        <v>32953.35</v>
      </c>
      <c r="D52" s="6"/>
      <c r="E52" s="6"/>
      <c r="F52" s="6"/>
      <c r="G52" s="6"/>
      <c r="H52" s="6"/>
      <c r="I52" s="6" t="n">
        <f aca="false">'Building 4'!$D$23</f>
        <v>6590.67</v>
      </c>
      <c r="J52" s="6"/>
      <c r="K52" s="6"/>
      <c r="L52" s="6"/>
      <c r="M52" s="6"/>
      <c r="N52" s="6"/>
      <c r="O52" s="6"/>
      <c r="P52" s="6" t="n">
        <f aca="false">'Building 11'!$D$23</f>
        <v>6590.67</v>
      </c>
      <c r="Q52" s="6"/>
      <c r="R52" s="6"/>
      <c r="S52" s="6"/>
      <c r="T52" s="6" t="n">
        <f aca="false">'Building 15'!$D$23</f>
        <v>6590.67</v>
      </c>
      <c r="U52" s="6"/>
      <c r="V52" s="6"/>
      <c r="W52" s="6" t="n">
        <f aca="false">'Building 18'!$D$23</f>
        <v>6590.67</v>
      </c>
      <c r="X52" s="6"/>
      <c r="Y52" s="6" t="n">
        <f aca="false">'Building 20'!$D$23</f>
        <v>6590.67</v>
      </c>
      <c r="Z52" s="6"/>
      <c r="AA52" s="6"/>
      <c r="AB52" s="6"/>
      <c r="AC52" s="6"/>
      <c r="AD52" s="6"/>
      <c r="AE52" s="6"/>
    </row>
    <row r="53" customFormat="false" ht="15" hidden="false" customHeight="false" outlineLevel="0" collapsed="false">
      <c r="A53" s="5" t="s">
        <v>35</v>
      </c>
      <c r="B53" s="5" t="s">
        <v>81</v>
      </c>
      <c r="C53" s="6" t="n">
        <f aca="false">SUM(D53:AE53)</f>
        <v>368.29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 t="n">
        <f aca="false">Storage!$D$18</f>
        <v>368.29</v>
      </c>
    </row>
    <row r="54" customFormat="false" ht="15" hidden="false" customHeight="false" outlineLevel="0" collapsed="false">
      <c r="A54" s="5" t="s">
        <v>35</v>
      </c>
      <c r="B54" s="5" t="s">
        <v>82</v>
      </c>
      <c r="C54" s="6" t="n">
        <f aca="false">SUM(D54:AE54)</f>
        <v>12560.56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 t="n">
        <f aca="false">Storage!$D$19</f>
        <v>12560.56</v>
      </c>
    </row>
    <row r="55" customFormat="false" ht="15" hidden="false" customHeight="false" outlineLevel="0" collapsed="false">
      <c r="A55" s="5" t="s">
        <v>37</v>
      </c>
      <c r="B55" s="5" t="s">
        <v>83</v>
      </c>
      <c r="C55" s="6" t="n">
        <f aca="false">SUM(D55:AE55)</f>
        <v>0.67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 t="n">
        <f aca="false">Storage!$D$20</f>
        <v>0.67</v>
      </c>
    </row>
    <row r="56" customFormat="false" ht="15" hidden="false" customHeight="false" outlineLevel="0" collapsed="false">
      <c r="A56" s="5" t="s">
        <v>37</v>
      </c>
      <c r="B56" s="5" t="s">
        <v>84</v>
      </c>
      <c r="C56" s="6" t="n">
        <f aca="false">SUM(D56:AE56)</f>
        <v>22.88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 t="n">
        <f aca="false">Storage!$D$21</f>
        <v>22.88</v>
      </c>
    </row>
    <row r="57" customFormat="false" ht="15" hidden="false" customHeight="false" outlineLevel="0" collapsed="false">
      <c r="A57" s="5" t="s">
        <v>35</v>
      </c>
      <c r="B57" s="5" t="s">
        <v>85</v>
      </c>
      <c r="C57" s="6" t="n">
        <f aca="false">SUM(D57:AE57)</f>
        <v>34.74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 t="n">
        <f aca="false">Storage!$D$22</f>
        <v>34.74</v>
      </c>
    </row>
    <row r="58" customFormat="false" ht="15" hidden="false" customHeight="false" outlineLevel="0" collapsed="false">
      <c r="A58" s="5" t="s">
        <v>35</v>
      </c>
      <c r="B58" s="5" t="s">
        <v>86</v>
      </c>
      <c r="C58" s="6" t="n">
        <f aca="false">SUM(D58:AE58)</f>
        <v>1184.96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 t="n">
        <f aca="false">Storage!$D$23</f>
        <v>1184.96</v>
      </c>
    </row>
    <row r="59" customFormat="false" ht="15" hidden="false" customHeight="false" outlineLevel="0" collapsed="false">
      <c r="A59" s="5" t="s">
        <v>35</v>
      </c>
      <c r="B59" s="5" t="s">
        <v>87</v>
      </c>
      <c r="C59" s="6" t="n">
        <f aca="false">SUM(D59:AE59)</f>
        <v>62.94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 t="n">
        <f aca="false">Storage!$D$24</f>
        <v>62.94</v>
      </c>
    </row>
    <row r="60" customFormat="false" ht="15" hidden="false" customHeight="false" outlineLevel="0" collapsed="false">
      <c r="A60" s="5" t="s">
        <v>35</v>
      </c>
      <c r="B60" s="5" t="s">
        <v>88</v>
      </c>
      <c r="C60" s="6" t="n">
        <f aca="false">SUM(D60:AE60)</f>
        <v>2146.4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 t="n">
        <f aca="false">Storage!$D$25</f>
        <v>2146.4</v>
      </c>
    </row>
    <row r="61" customFormat="false" ht="15" hidden="false" customHeight="false" outlineLevel="0" collapsed="false">
      <c r="A61" s="7"/>
      <c r="B61" s="8" t="s">
        <v>89</v>
      </c>
      <c r="C61" s="9" t="n">
        <f aca="false">SUM(C27:C60)</f>
        <v>5162799.1</v>
      </c>
      <c r="D61" s="9" t="n">
        <f aca="false">SUM(D27:D60)</f>
        <v>806490.9</v>
      </c>
      <c r="E61" s="9" t="n">
        <f aca="false">SUM(E27:E60)</f>
        <v>111316.71</v>
      </c>
      <c r="F61" s="9" t="n">
        <f aca="false">SUM(F27:F60)</f>
        <v>268855.67</v>
      </c>
      <c r="G61" s="9" t="n">
        <f aca="false">SUM(G27:G60)</f>
        <v>268855.67</v>
      </c>
      <c r="H61" s="9" t="n">
        <f aca="false">SUM(H27:H60)</f>
        <v>147893.47</v>
      </c>
      <c r="I61" s="9" t="n">
        <f aca="false">SUM(I27:I60)</f>
        <v>115479.16</v>
      </c>
      <c r="J61" s="9" t="n">
        <f aca="false">SUM(J27:J60)</f>
        <v>147893.47</v>
      </c>
      <c r="K61" s="9" t="n">
        <f aca="false">SUM(K27:K60)</f>
        <v>147893.47</v>
      </c>
      <c r="L61" s="9" t="n">
        <f aca="false">SUM(L27:L60)</f>
        <v>147893.47</v>
      </c>
      <c r="M61" s="9" t="n">
        <f aca="false">SUM(M27:M60)</f>
        <v>147893.47</v>
      </c>
      <c r="N61" s="9" t="n">
        <f aca="false">SUM(N27:N60)</f>
        <v>147893.47</v>
      </c>
      <c r="O61" s="9" t="n">
        <f aca="false">SUM(O27:O60)</f>
        <v>147893.47</v>
      </c>
      <c r="P61" s="9" t="n">
        <f aca="false">SUM(P27:P60)</f>
        <v>115479.16</v>
      </c>
      <c r="Q61" s="9" t="n">
        <f aca="false">SUM(Q27:Q60)</f>
        <v>268855.67</v>
      </c>
      <c r="R61" s="9" t="n">
        <f aca="false">SUM(R27:R60)</f>
        <v>357389.52</v>
      </c>
      <c r="S61" s="9" t="n">
        <f aca="false">SUM(S27:S60)</f>
        <v>268855.67</v>
      </c>
      <c r="T61" s="9" t="n">
        <f aca="false">SUM(T27:T60)</f>
        <v>115479.16</v>
      </c>
      <c r="U61" s="9" t="n">
        <f aca="false">SUM(U27:U60)</f>
        <v>147893.47</v>
      </c>
      <c r="V61" s="9" t="n">
        <f aca="false">SUM(V27:V60)</f>
        <v>147893.47</v>
      </c>
      <c r="W61" s="9" t="n">
        <f aca="false">SUM(W27:W60)</f>
        <v>115479.16</v>
      </c>
      <c r="X61" s="9" t="n">
        <f aca="false">SUM(X27:X60)</f>
        <v>147893.47</v>
      </c>
      <c r="Y61" s="9" t="n">
        <f aca="false">SUM(Y27:Y60)</f>
        <v>115479.16</v>
      </c>
      <c r="Z61" s="9" t="n">
        <f aca="false">SUM(Z27:Z60)</f>
        <v>147893.47</v>
      </c>
      <c r="AA61" s="9" t="n">
        <f aca="false">SUM(AA27:AA60)</f>
        <v>147893.47</v>
      </c>
      <c r="AB61" s="9" t="n">
        <f aca="false">SUM(AB27:AB60)</f>
        <v>147893.47</v>
      </c>
      <c r="AC61" s="9" t="n">
        <f aca="false">SUM(AC27:AC60)</f>
        <v>147893.47</v>
      </c>
      <c r="AD61" s="9" t="n">
        <f aca="false">SUM(AD27:AD60)</f>
        <v>147893.47</v>
      </c>
      <c r="AE61" s="9" t="n">
        <f aca="false">SUM(AE27:AE60)</f>
        <v>16381.44</v>
      </c>
    </row>
    <row r="62" customFormat="false" ht="15" hidden="false" customHeight="false" outlineLevel="0" collapsed="false">
      <c r="B62" s="11" t="s">
        <v>90</v>
      </c>
      <c r="C62" s="12" t="n">
        <f aca="false">C24-C61</f>
        <v>-0.100000000558794</v>
      </c>
      <c r="D62" s="12" t="n">
        <f aca="false">D24-D61</f>
        <v>0</v>
      </c>
      <c r="E62" s="12" t="n">
        <f aca="false">E24-E61</f>
        <v>0</v>
      </c>
      <c r="F62" s="12" t="n">
        <f aca="false">F24-F61</f>
        <v>0</v>
      </c>
      <c r="G62" s="12" t="n">
        <f aca="false">G24-G61</f>
        <v>0</v>
      </c>
      <c r="H62" s="12" t="n">
        <f aca="false">H24-H61</f>
        <v>0</v>
      </c>
      <c r="I62" s="12" t="n">
        <f aca="false">I24-I61</f>
        <v>-0.0199999999895226</v>
      </c>
      <c r="J62" s="12" t="n">
        <f aca="false">J24-J61</f>
        <v>0</v>
      </c>
      <c r="K62" s="12" t="n">
        <f aca="false">K24-K61</f>
        <v>0</v>
      </c>
      <c r="L62" s="12" t="n">
        <f aca="false">L24-L61</f>
        <v>0</v>
      </c>
      <c r="M62" s="12" t="n">
        <f aca="false">M24-M61</f>
        <v>0</v>
      </c>
      <c r="N62" s="12" t="n">
        <f aca="false">N24-N61</f>
        <v>0</v>
      </c>
      <c r="O62" s="12" t="n">
        <f aca="false">O24-O61</f>
        <v>0</v>
      </c>
      <c r="P62" s="12" t="n">
        <f aca="false">P24-P61</f>
        <v>-0.0199999999895226</v>
      </c>
      <c r="Q62" s="12" t="n">
        <f aca="false">Q24-Q61</f>
        <v>0</v>
      </c>
      <c r="R62" s="12" t="n">
        <f aca="false">R24-R61</f>
        <v>0</v>
      </c>
      <c r="S62" s="12" t="n">
        <f aca="false">S24-S61</f>
        <v>0</v>
      </c>
      <c r="T62" s="12" t="n">
        <f aca="false">T24-T61</f>
        <v>-0.0199999999895226</v>
      </c>
      <c r="U62" s="12" t="n">
        <f aca="false">U24-U61</f>
        <v>0</v>
      </c>
      <c r="V62" s="12" t="n">
        <f aca="false">V24-V61</f>
        <v>0</v>
      </c>
      <c r="W62" s="12" t="n">
        <f aca="false">W24-W61</f>
        <v>-0.0199999999895226</v>
      </c>
      <c r="X62" s="12" t="n">
        <f aca="false">X24-X61</f>
        <v>0</v>
      </c>
      <c r="Y62" s="12" t="n">
        <f aca="false">Y24-Y61</f>
        <v>-0.0199999999895226</v>
      </c>
      <c r="Z62" s="12" t="n">
        <f aca="false">Z24-Z61</f>
        <v>0</v>
      </c>
      <c r="AA62" s="12" t="n">
        <f aca="false">AA24-AA61</f>
        <v>0</v>
      </c>
      <c r="AB62" s="12" t="n">
        <f aca="false">AB24-AB61</f>
        <v>0</v>
      </c>
      <c r="AC62" s="12" t="n">
        <f aca="false">AC24-AC61</f>
        <v>0</v>
      </c>
      <c r="AD62" s="12" t="n">
        <f aca="false">AD24-AD61</f>
        <v>0</v>
      </c>
      <c r="AE62" s="12" t="n">
        <f aca="false">AE24-AE61</f>
        <v>0</v>
      </c>
    </row>
    <row r="64" customFormat="false" ht="15" hidden="false" customHeight="false" outlineLevel="0" collapsed="false">
      <c r="B64" s="10" t="s">
        <v>91</v>
      </c>
    </row>
    <row r="65" customFormat="false" ht="15" hidden="false" customHeight="false" outlineLevel="0" collapsed="false">
      <c r="B65" s="11" t="s">
        <v>92</v>
      </c>
      <c r="C65" s="12" t="n">
        <f aca="false">SUM(D65:AE65)</f>
        <v>2263046.91</v>
      </c>
      <c r="D65" s="12" t="n">
        <f aca="false">Site!$I$14</f>
        <v>353546.9</v>
      </c>
      <c r="E65" s="12" t="n">
        <f aca="false">Clubhouse!$I$14</f>
        <v>48793.35</v>
      </c>
      <c r="F65" s="12" t="n">
        <f aca="false">'Building 1'!$I$14</f>
        <v>117847.47</v>
      </c>
      <c r="G65" s="12" t="n">
        <f aca="false">'Building 2'!$I$14</f>
        <v>117847.47</v>
      </c>
      <c r="H65" s="12" t="n">
        <f aca="false">'Building 3'!$I$14</f>
        <v>64826.13</v>
      </c>
      <c r="I65" s="12" t="n">
        <f aca="false">'Building 4'!$I$14</f>
        <v>50617.97</v>
      </c>
      <c r="J65" s="12" t="n">
        <f aca="false">'Building 5'!$I$14</f>
        <v>64826.13</v>
      </c>
      <c r="K65" s="12" t="n">
        <f aca="false">'Building 6'!$I$14</f>
        <v>64826.13</v>
      </c>
      <c r="L65" s="12" t="n">
        <f aca="false">'Building 7'!$I$14</f>
        <v>64826.13</v>
      </c>
      <c r="M65" s="12" t="n">
        <f aca="false">'Building 8'!$I$14</f>
        <v>64826.13</v>
      </c>
      <c r="N65" s="12" t="n">
        <f aca="false">'Building 9'!$I$14</f>
        <v>64826.13</v>
      </c>
      <c r="O65" s="12" t="n">
        <f aca="false">'Building 10'!$I$14</f>
        <v>64826.13</v>
      </c>
      <c r="P65" s="12" t="n">
        <f aca="false">'Building 11'!$I$14</f>
        <v>50617.97</v>
      </c>
      <c r="Q65" s="12" t="n">
        <f aca="false">'Building 12'!$I$14</f>
        <v>117847.47</v>
      </c>
      <c r="R65" s="12" t="n">
        <f aca="false">'Building 13'!$I$14</f>
        <v>156654.5</v>
      </c>
      <c r="S65" s="12" t="n">
        <f aca="false">'Building 14'!$I$14</f>
        <v>117847.47</v>
      </c>
      <c r="T65" s="12" t="n">
        <f aca="false">'Building 15'!$I$14</f>
        <v>50617.97</v>
      </c>
      <c r="U65" s="12" t="n">
        <f aca="false">'Building 16'!$I$14</f>
        <v>64826.13</v>
      </c>
      <c r="V65" s="12" t="n">
        <f aca="false">'Building 17'!$I$14</f>
        <v>64826.13</v>
      </c>
      <c r="W65" s="12" t="n">
        <f aca="false">'Building 18'!$I$14</f>
        <v>50617.97</v>
      </c>
      <c r="X65" s="12" t="n">
        <f aca="false">'Building 19'!$I$14</f>
        <v>64826.13</v>
      </c>
      <c r="Y65" s="12" t="n">
        <f aca="false">'Building 20'!$I$14</f>
        <v>50617.97</v>
      </c>
      <c r="Z65" s="12" t="n">
        <f aca="false">'Building 21'!$I$14</f>
        <v>64826.13</v>
      </c>
      <c r="AA65" s="12" t="n">
        <f aca="false">'Building 22'!$I$14</f>
        <v>64826.13</v>
      </c>
      <c r="AB65" s="12" t="n">
        <f aca="false">'Building 23'!$I$14</f>
        <v>64826.13</v>
      </c>
      <c r="AC65" s="12" t="n">
        <f aca="false">'Building 24'!$I$14</f>
        <v>64826.13</v>
      </c>
      <c r="AD65" s="12" t="n">
        <f aca="false">'Building 25'!$I$14</f>
        <v>64826.13</v>
      </c>
      <c r="AE65" s="12" t="n">
        <f aca="false">Storage!$I$14</f>
        <v>7180.48</v>
      </c>
    </row>
    <row r="66" customFormat="false" ht="15" hidden="false" customHeight="false" outlineLevel="0" collapsed="false">
      <c r="B66" s="5" t="s">
        <v>55</v>
      </c>
      <c r="C66" s="6" t="n">
        <f aca="false">SUM(D66:AE66)</f>
        <v>260256.23</v>
      </c>
      <c r="D66" s="6" t="n">
        <f aca="false">Site!$I$18</f>
        <v>260256.23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 customFormat="false" ht="15" hidden="false" customHeight="false" outlineLevel="0" collapsed="false">
      <c r="B67" s="5" t="s">
        <v>56</v>
      </c>
      <c r="C67" s="6" t="n">
        <f aca="false">SUM(D67:AE67)</f>
        <v>82551.95</v>
      </c>
      <c r="D67" s="6" t="n">
        <f aca="false">Site!$I$19</f>
        <v>82551.95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 customFormat="false" ht="15" hidden="false" customHeight="false" outlineLevel="0" collapsed="false">
      <c r="B68" s="5" t="s">
        <v>57</v>
      </c>
      <c r="C68" s="6" t="n">
        <f aca="false">SUM(D68:AE68)</f>
        <v>432.55</v>
      </c>
      <c r="D68" s="6" t="n">
        <f aca="false">Site!$I$20</f>
        <v>432.55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 customFormat="false" ht="15" hidden="false" customHeight="false" outlineLevel="0" collapsed="false">
      <c r="B69" s="5" t="s">
        <v>58</v>
      </c>
      <c r="C69" s="6" t="n">
        <f aca="false">SUM(D69:AE69)</f>
        <v>148.98</v>
      </c>
      <c r="D69" s="6" t="n">
        <f aca="false">Site!$I$21</f>
        <v>148.98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 customFormat="false" ht="15" hidden="false" customHeight="false" outlineLevel="0" collapsed="false">
      <c r="B70" s="5" t="s">
        <v>59</v>
      </c>
      <c r="C70" s="6" t="n">
        <f aca="false">SUM(D70:AE70)</f>
        <v>24031.1</v>
      </c>
      <c r="D70" s="6" t="n">
        <f aca="false">Site!$I$22</f>
        <v>24031.1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 customFormat="false" ht="15" hidden="false" customHeight="false" outlineLevel="0" collapsed="false">
      <c r="B71" s="5" t="s">
        <v>60</v>
      </c>
      <c r="C71" s="6" t="n">
        <f aca="false">SUM(D71:AE71)</f>
        <v>7787.95</v>
      </c>
      <c r="D71" s="6" t="n">
        <f aca="false">Site!$I$23</f>
        <v>7787.95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 customFormat="false" ht="15" hidden="false" customHeight="false" outlineLevel="0" collapsed="false">
      <c r="B72" s="5" t="s">
        <v>61</v>
      </c>
      <c r="C72" s="6" t="n">
        <f aca="false">SUM(D72:AE72)</f>
        <v>44473.77</v>
      </c>
      <c r="D72" s="6" t="n">
        <f aca="false">Site!$I$24</f>
        <v>44473.77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 customFormat="false" ht="15" hidden="false" customHeight="false" outlineLevel="0" collapsed="false">
      <c r="B73" s="5" t="s">
        <v>62</v>
      </c>
      <c r="C73" s="6" t="n">
        <f aca="false">SUM(D73:AE73)</f>
        <v>14106.9</v>
      </c>
      <c r="D73" s="6" t="n">
        <f aca="false">Site!$I$25</f>
        <v>14106.9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 customFormat="false" ht="15" hidden="false" customHeight="false" outlineLevel="0" collapsed="false">
      <c r="B74" s="5" t="s">
        <v>63</v>
      </c>
      <c r="C74" s="6" t="n">
        <f aca="false">SUM(D74:AE74)</f>
        <v>15749.94</v>
      </c>
      <c r="D74" s="6"/>
      <c r="E74" s="6" t="n">
        <f aca="false">Clubhouse!$I$18</f>
        <v>15749.94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 customFormat="false" ht="15" hidden="false" customHeight="false" outlineLevel="0" collapsed="false">
      <c r="B75" s="5" t="s">
        <v>64</v>
      </c>
      <c r="C75" s="6" t="n">
        <f aca="false">SUM(D75:AE75)</f>
        <v>23707.34</v>
      </c>
      <c r="D75" s="6"/>
      <c r="E75" s="6" t="n">
        <f aca="false">Clubhouse!$I$19</f>
        <v>23707.34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 customFormat="false" ht="15" hidden="false" customHeight="false" outlineLevel="0" collapsed="false">
      <c r="B76" s="5" t="s">
        <v>65</v>
      </c>
      <c r="C76" s="6" t="n">
        <f aca="false">SUM(D76:AE76)</f>
        <v>28.69</v>
      </c>
      <c r="D76" s="6"/>
      <c r="E76" s="6" t="n">
        <f aca="false">Clubhouse!$I$20</f>
        <v>28.69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 customFormat="false" ht="15" hidden="false" customHeight="false" outlineLevel="0" collapsed="false">
      <c r="B77" s="5" t="s">
        <v>66</v>
      </c>
      <c r="C77" s="6" t="n">
        <f aca="false">SUM(D77:AE77)</f>
        <v>42.82</v>
      </c>
      <c r="D77" s="6"/>
      <c r="E77" s="6" t="n">
        <f aca="false">Clubhouse!$I$21</f>
        <v>42.82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 customFormat="false" ht="15" hidden="false" customHeight="false" outlineLevel="0" collapsed="false">
      <c r="B78" s="5" t="s">
        <v>67</v>
      </c>
      <c r="C78" s="6" t="n">
        <f aca="false">SUM(D78:AE78)</f>
        <v>1485.84</v>
      </c>
      <c r="D78" s="6"/>
      <c r="E78" s="6" t="n">
        <f aca="false">Clubhouse!$I$22</f>
        <v>1485.84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 customFormat="false" ht="15" hidden="false" customHeight="false" outlineLevel="0" collapsed="false">
      <c r="B79" s="5" t="s">
        <v>68</v>
      </c>
      <c r="C79" s="6" t="n">
        <f aca="false">SUM(D79:AE79)</f>
        <v>2236.55</v>
      </c>
      <c r="D79" s="6"/>
      <c r="E79" s="6" t="n">
        <f aca="false">Clubhouse!$I$23</f>
        <v>2236.55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 customFormat="false" ht="15" hidden="false" customHeight="false" outlineLevel="0" collapsed="false">
      <c r="B80" s="5" t="s">
        <v>69</v>
      </c>
      <c r="C80" s="6" t="n">
        <f aca="false">SUM(D80:AE80)</f>
        <v>2691.42</v>
      </c>
      <c r="D80" s="6"/>
      <c r="E80" s="6" t="n">
        <f aca="false">Clubhouse!$I$24</f>
        <v>2691.42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customFormat="false" ht="15" hidden="false" customHeight="false" outlineLevel="0" collapsed="false">
      <c r="B81" s="5" t="s">
        <v>70</v>
      </c>
      <c r="C81" s="6" t="n">
        <f aca="false">SUM(D81:AE81)</f>
        <v>4051.21</v>
      </c>
      <c r="D81" s="6"/>
      <c r="E81" s="6" t="n">
        <f aca="false">Clubhouse!$I$25</f>
        <v>4051.21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 customFormat="false" ht="15" hidden="false" customHeight="false" outlineLevel="0" collapsed="false">
      <c r="B82" s="5" t="s">
        <v>71</v>
      </c>
      <c r="C82" s="6" t="n">
        <f aca="false">SUM(D82:AE82)</f>
        <v>692389.05</v>
      </c>
      <c r="D82" s="6"/>
      <c r="E82" s="6"/>
      <c r="F82" s="6" t="n">
        <f aca="false">'Building 1'!$I$18</f>
        <v>41085.46</v>
      </c>
      <c r="G82" s="6" t="n">
        <f aca="false">'Building 2'!$I$18</f>
        <v>41085.46</v>
      </c>
      <c r="H82" s="6" t="n">
        <f aca="false">'Building 3'!$I$18</f>
        <v>24387.48</v>
      </c>
      <c r="I82" s="6" t="n">
        <f aca="false">'Building 4'!$I$18</f>
        <v>21279.35</v>
      </c>
      <c r="J82" s="6" t="n">
        <f aca="false">'Building 5'!$I$18</f>
        <v>24387.48</v>
      </c>
      <c r="K82" s="6" t="n">
        <f aca="false">'Building 6'!$I$18</f>
        <v>24387.48</v>
      </c>
      <c r="L82" s="6" t="n">
        <f aca="false">'Building 7'!$I$18</f>
        <v>24387.48</v>
      </c>
      <c r="M82" s="6" t="n">
        <f aca="false">'Building 8'!$I$18</f>
        <v>24387.48</v>
      </c>
      <c r="N82" s="6" t="n">
        <f aca="false">'Building 9'!$I$18</f>
        <v>24387.48</v>
      </c>
      <c r="O82" s="6" t="n">
        <f aca="false">'Building 10'!$I$18</f>
        <v>24387.48</v>
      </c>
      <c r="P82" s="6" t="n">
        <f aca="false">'Building 11'!$I$18</f>
        <v>21279.35</v>
      </c>
      <c r="Q82" s="6" t="n">
        <f aca="false">'Building 12'!$I$18</f>
        <v>41085.46</v>
      </c>
      <c r="R82" s="6" t="n">
        <f aca="false">'Building 13'!$I$18</f>
        <v>55838.26</v>
      </c>
      <c r="S82" s="6" t="n">
        <f aca="false">'Building 14'!$I$18</f>
        <v>41085.46</v>
      </c>
      <c r="T82" s="6" t="n">
        <f aca="false">'Building 15'!$I$18</f>
        <v>21279.35</v>
      </c>
      <c r="U82" s="6" t="n">
        <f aca="false">'Building 16'!$I$18</f>
        <v>24387.48</v>
      </c>
      <c r="V82" s="6" t="n">
        <f aca="false">'Building 17'!$I$18</f>
        <v>24387.48</v>
      </c>
      <c r="W82" s="6" t="n">
        <f aca="false">'Building 18'!$I$18</f>
        <v>21279.35</v>
      </c>
      <c r="X82" s="6" t="n">
        <f aca="false">'Building 19'!$I$18</f>
        <v>24387.48</v>
      </c>
      <c r="Y82" s="6" t="n">
        <f aca="false">'Building 20'!$I$18</f>
        <v>21279.35</v>
      </c>
      <c r="Z82" s="6" t="n">
        <f aca="false">'Building 21'!$I$18</f>
        <v>24387.48</v>
      </c>
      <c r="AA82" s="6" t="n">
        <f aca="false">'Building 22'!$I$18</f>
        <v>24387.48</v>
      </c>
      <c r="AB82" s="6" t="n">
        <f aca="false">'Building 23'!$I$18</f>
        <v>24387.48</v>
      </c>
      <c r="AC82" s="6" t="n">
        <f aca="false">'Building 24'!$I$18</f>
        <v>24387.48</v>
      </c>
      <c r="AD82" s="6" t="n">
        <f aca="false">'Building 25'!$I$18</f>
        <v>24387.48</v>
      </c>
      <c r="AE82" s="6"/>
    </row>
    <row r="83" customFormat="false" ht="15" hidden="false" customHeight="false" outlineLevel="0" collapsed="false">
      <c r="B83" s="5" t="s">
        <v>72</v>
      </c>
      <c r="C83" s="6" t="n">
        <f aca="false">SUM(D83:AE83)</f>
        <v>869640.75</v>
      </c>
      <c r="D83" s="6"/>
      <c r="E83" s="6"/>
      <c r="F83" s="6" t="n">
        <f aca="false">'Building 1'!$I$19</f>
        <v>56257.43</v>
      </c>
      <c r="G83" s="6" t="n">
        <f aca="false">'Building 2'!$I$19</f>
        <v>56257.43</v>
      </c>
      <c r="H83" s="6" t="n">
        <f aca="false">'Building 3'!$I$19</f>
        <v>30358.84</v>
      </c>
      <c r="I83" s="6" t="n">
        <f aca="false">'Building 4'!$I$19</f>
        <v>22969.54</v>
      </c>
      <c r="J83" s="6" t="n">
        <f aca="false">'Building 5'!$I$19</f>
        <v>30358.84</v>
      </c>
      <c r="K83" s="6" t="n">
        <f aca="false">'Building 6'!$I$19</f>
        <v>30358.84</v>
      </c>
      <c r="L83" s="6" t="n">
        <f aca="false">'Building 7'!$I$19</f>
        <v>30358.84</v>
      </c>
      <c r="M83" s="6" t="n">
        <f aca="false">'Building 8'!$I$19</f>
        <v>30358.84</v>
      </c>
      <c r="N83" s="6" t="n">
        <f aca="false">'Building 9'!$I$19</f>
        <v>30358.84</v>
      </c>
      <c r="O83" s="6" t="n">
        <f aca="false">'Building 10'!$I$19</f>
        <v>30358.84</v>
      </c>
      <c r="P83" s="6" t="n">
        <f aca="false">'Building 11'!$I$19</f>
        <v>22969.54</v>
      </c>
      <c r="Q83" s="6" t="n">
        <f aca="false">'Building 12'!$I$19</f>
        <v>56257.43</v>
      </c>
      <c r="R83" s="6" t="n">
        <f aca="false">'Building 13'!$I$19</f>
        <v>74380.73</v>
      </c>
      <c r="S83" s="6" t="n">
        <f aca="false">'Building 14'!$I$19</f>
        <v>56257.43</v>
      </c>
      <c r="T83" s="6" t="n">
        <f aca="false">'Building 15'!$I$19</f>
        <v>22969.54</v>
      </c>
      <c r="U83" s="6" t="n">
        <f aca="false">'Building 16'!$I$19</f>
        <v>30358.84</v>
      </c>
      <c r="V83" s="6" t="n">
        <f aca="false">'Building 17'!$I$19</f>
        <v>30358.84</v>
      </c>
      <c r="W83" s="6" t="n">
        <f aca="false">'Building 18'!$I$19</f>
        <v>22969.54</v>
      </c>
      <c r="X83" s="6" t="n">
        <f aca="false">'Building 19'!$I$19</f>
        <v>30358.84</v>
      </c>
      <c r="Y83" s="6" t="n">
        <f aca="false">'Building 20'!$I$19</f>
        <v>22969.54</v>
      </c>
      <c r="Z83" s="6" t="n">
        <f aca="false">'Building 21'!$I$19</f>
        <v>30358.84</v>
      </c>
      <c r="AA83" s="6" t="n">
        <f aca="false">'Building 22'!$I$19</f>
        <v>30358.84</v>
      </c>
      <c r="AB83" s="6" t="n">
        <f aca="false">'Building 23'!$I$19</f>
        <v>30358.84</v>
      </c>
      <c r="AC83" s="6" t="n">
        <f aca="false">'Building 24'!$I$19</f>
        <v>30358.84</v>
      </c>
      <c r="AD83" s="6" t="n">
        <f aca="false">'Building 25'!$I$19</f>
        <v>30358.84</v>
      </c>
      <c r="AE83" s="6"/>
    </row>
    <row r="84" customFormat="false" ht="15" hidden="false" customHeight="false" outlineLevel="0" collapsed="false">
      <c r="B84" s="5" t="s">
        <v>73</v>
      </c>
      <c r="C84" s="6" t="n">
        <f aca="false">SUM(D84:AE84)</f>
        <v>1261.12</v>
      </c>
      <c r="D84" s="6"/>
      <c r="E84" s="6"/>
      <c r="F84" s="6" t="n">
        <f aca="false">'Building 1'!$I$20</f>
        <v>74.83</v>
      </c>
      <c r="G84" s="6" t="n">
        <f aca="false">'Building 2'!$I$20</f>
        <v>74.83</v>
      </c>
      <c r="H84" s="6" t="n">
        <f aca="false">'Building 3'!$I$20</f>
        <v>44.42</v>
      </c>
      <c r="I84" s="6" t="n">
        <f aca="false">'Building 4'!$I$20</f>
        <v>38.76</v>
      </c>
      <c r="J84" s="6" t="n">
        <f aca="false">'Building 5'!$I$20</f>
        <v>44.42</v>
      </c>
      <c r="K84" s="6" t="n">
        <f aca="false">'Building 6'!$I$20</f>
        <v>44.42</v>
      </c>
      <c r="L84" s="6" t="n">
        <f aca="false">'Building 7'!$I$20</f>
        <v>44.42</v>
      </c>
      <c r="M84" s="6" t="n">
        <f aca="false">'Building 8'!$I$20</f>
        <v>44.42</v>
      </c>
      <c r="N84" s="6" t="n">
        <f aca="false">'Building 9'!$I$20</f>
        <v>44.42</v>
      </c>
      <c r="O84" s="6" t="n">
        <f aca="false">'Building 10'!$I$20</f>
        <v>44.42</v>
      </c>
      <c r="P84" s="6" t="n">
        <f aca="false">'Building 11'!$I$20</f>
        <v>38.76</v>
      </c>
      <c r="Q84" s="6" t="n">
        <f aca="false">'Building 12'!$I$20</f>
        <v>74.83</v>
      </c>
      <c r="R84" s="6" t="n">
        <f aca="false">'Building 13'!$I$20</f>
        <v>101.7</v>
      </c>
      <c r="S84" s="6" t="n">
        <f aca="false">'Building 14'!$I$20</f>
        <v>74.83</v>
      </c>
      <c r="T84" s="6" t="n">
        <f aca="false">'Building 15'!$I$20</f>
        <v>38.76</v>
      </c>
      <c r="U84" s="6" t="n">
        <f aca="false">'Building 16'!$I$20</f>
        <v>44.42</v>
      </c>
      <c r="V84" s="6" t="n">
        <f aca="false">'Building 17'!$I$20</f>
        <v>44.42</v>
      </c>
      <c r="W84" s="6" t="n">
        <f aca="false">'Building 18'!$I$20</f>
        <v>38.76</v>
      </c>
      <c r="X84" s="6" t="n">
        <f aca="false">'Building 19'!$I$20</f>
        <v>44.42</v>
      </c>
      <c r="Y84" s="6" t="n">
        <f aca="false">'Building 20'!$I$20</f>
        <v>38.76</v>
      </c>
      <c r="Z84" s="6" t="n">
        <f aca="false">'Building 21'!$I$20</f>
        <v>44.42</v>
      </c>
      <c r="AA84" s="6" t="n">
        <f aca="false">'Building 22'!$I$20</f>
        <v>44.42</v>
      </c>
      <c r="AB84" s="6" t="n">
        <f aca="false">'Building 23'!$I$20</f>
        <v>44.42</v>
      </c>
      <c r="AC84" s="6" t="n">
        <f aca="false">'Building 24'!$I$20</f>
        <v>44.42</v>
      </c>
      <c r="AD84" s="6" t="n">
        <f aca="false">'Building 25'!$I$20</f>
        <v>44.42</v>
      </c>
      <c r="AE84" s="6"/>
    </row>
    <row r="85" customFormat="false" ht="15" hidden="false" customHeight="false" outlineLevel="0" collapsed="false">
      <c r="B85" s="5" t="s">
        <v>74</v>
      </c>
      <c r="C85" s="6" t="n">
        <f aca="false">SUM(D85:AE85)</f>
        <v>1568.65</v>
      </c>
      <c r="D85" s="6"/>
      <c r="E85" s="6"/>
      <c r="F85" s="6" t="n">
        <f aca="false">'Building 1'!$I$21</f>
        <v>101.5</v>
      </c>
      <c r="G85" s="6" t="n">
        <f aca="false">'Building 2'!$I$21</f>
        <v>101.5</v>
      </c>
      <c r="H85" s="6" t="n">
        <f aca="false">'Building 3'!$I$21</f>
        <v>54.74</v>
      </c>
      <c r="I85" s="6" t="n">
        <f aca="false">'Building 4'!$I$21</f>
        <v>41.47</v>
      </c>
      <c r="J85" s="6" t="n">
        <f aca="false">'Building 5'!$I$21</f>
        <v>54.74</v>
      </c>
      <c r="K85" s="6" t="n">
        <f aca="false">'Building 6'!$I$21</f>
        <v>54.74</v>
      </c>
      <c r="L85" s="6" t="n">
        <f aca="false">'Building 7'!$I$21</f>
        <v>54.74</v>
      </c>
      <c r="M85" s="6" t="n">
        <f aca="false">'Building 8'!$I$21</f>
        <v>54.74</v>
      </c>
      <c r="N85" s="6" t="n">
        <f aca="false">'Building 9'!$I$21</f>
        <v>54.74</v>
      </c>
      <c r="O85" s="6" t="n">
        <f aca="false">'Building 10'!$I$21</f>
        <v>54.74</v>
      </c>
      <c r="P85" s="6" t="n">
        <f aca="false">'Building 11'!$I$21</f>
        <v>41.47</v>
      </c>
      <c r="Q85" s="6" t="n">
        <f aca="false">'Building 12'!$I$21</f>
        <v>101.5</v>
      </c>
      <c r="R85" s="6" t="n">
        <f aca="false">'Building 13'!$I$21</f>
        <v>134.2</v>
      </c>
      <c r="S85" s="6" t="n">
        <f aca="false">'Building 14'!$I$21</f>
        <v>101.5</v>
      </c>
      <c r="T85" s="6" t="n">
        <f aca="false">'Building 15'!$I$21</f>
        <v>41.47</v>
      </c>
      <c r="U85" s="6" t="n">
        <f aca="false">'Building 16'!$I$21</f>
        <v>54.74</v>
      </c>
      <c r="V85" s="6" t="n">
        <f aca="false">'Building 17'!$I$21</f>
        <v>54.74</v>
      </c>
      <c r="W85" s="6" t="n">
        <f aca="false">'Building 18'!$I$21</f>
        <v>41.47</v>
      </c>
      <c r="X85" s="6" t="n">
        <f aca="false">'Building 19'!$I$21</f>
        <v>54.74</v>
      </c>
      <c r="Y85" s="6" t="n">
        <f aca="false">'Building 20'!$I$21</f>
        <v>41.47</v>
      </c>
      <c r="Z85" s="6" t="n">
        <f aca="false">'Building 21'!$I$21</f>
        <v>54.74</v>
      </c>
      <c r="AA85" s="6" t="n">
        <f aca="false">'Building 22'!$I$21</f>
        <v>54.74</v>
      </c>
      <c r="AB85" s="6" t="n">
        <f aca="false">'Building 23'!$I$21</f>
        <v>54.74</v>
      </c>
      <c r="AC85" s="6" t="n">
        <f aca="false">'Building 24'!$I$21</f>
        <v>54.74</v>
      </c>
      <c r="AD85" s="6" t="n">
        <f aca="false">'Building 25'!$I$21</f>
        <v>54.74</v>
      </c>
      <c r="AE85" s="6"/>
    </row>
    <row r="86" customFormat="false" ht="15" hidden="false" customHeight="false" outlineLevel="0" collapsed="false">
      <c r="B86" s="5" t="s">
        <v>75</v>
      </c>
      <c r="C86" s="6" t="n">
        <f aca="false">SUM(D86:AE86)</f>
        <v>55282.18</v>
      </c>
      <c r="D86" s="6"/>
      <c r="E86" s="6"/>
      <c r="F86" s="6" t="n">
        <f aca="false">'Building 1'!$I$22</f>
        <v>3875.98</v>
      </c>
      <c r="G86" s="6" t="n">
        <f aca="false">'Building 2'!$I$22</f>
        <v>3875.98</v>
      </c>
      <c r="H86" s="6" t="n">
        <f aca="false">'Building 3'!$I$22</f>
        <v>2300.7</v>
      </c>
      <c r="I86" s="6"/>
      <c r="J86" s="6" t="n">
        <f aca="false">'Building 5'!$I$22</f>
        <v>2300.7</v>
      </c>
      <c r="K86" s="6" t="n">
        <f aca="false">'Building 6'!$I$22</f>
        <v>2300.7</v>
      </c>
      <c r="L86" s="6" t="n">
        <f aca="false">'Building 7'!$I$22</f>
        <v>2300.7</v>
      </c>
      <c r="M86" s="6" t="n">
        <f aca="false">'Building 8'!$I$22</f>
        <v>2300.7</v>
      </c>
      <c r="N86" s="6" t="n">
        <f aca="false">'Building 9'!$I$22</f>
        <v>2300.7</v>
      </c>
      <c r="O86" s="6" t="n">
        <f aca="false">'Building 10'!$I$22</f>
        <v>2300.7</v>
      </c>
      <c r="P86" s="6"/>
      <c r="Q86" s="6" t="n">
        <f aca="false">'Building 12'!$I$22</f>
        <v>3875.98</v>
      </c>
      <c r="R86" s="6" t="n">
        <f aca="false">'Building 13'!$I$22</f>
        <v>5267.76</v>
      </c>
      <c r="S86" s="6" t="n">
        <f aca="false">'Building 14'!$I$22</f>
        <v>3875.98</v>
      </c>
      <c r="T86" s="6"/>
      <c r="U86" s="6" t="n">
        <f aca="false">'Building 16'!$I$22</f>
        <v>2300.7</v>
      </c>
      <c r="V86" s="6" t="n">
        <f aca="false">'Building 17'!$I$22</f>
        <v>2300.7</v>
      </c>
      <c r="W86" s="6"/>
      <c r="X86" s="6" t="n">
        <f aca="false">'Building 19'!$I$22</f>
        <v>2300.7</v>
      </c>
      <c r="Y86" s="6"/>
      <c r="Z86" s="6" t="n">
        <f aca="false">'Building 21'!$I$22</f>
        <v>2300.7</v>
      </c>
      <c r="AA86" s="6" t="n">
        <f aca="false">'Building 22'!$I$22</f>
        <v>2300.7</v>
      </c>
      <c r="AB86" s="6" t="n">
        <f aca="false">'Building 23'!$I$22</f>
        <v>2300.7</v>
      </c>
      <c r="AC86" s="6" t="n">
        <f aca="false">'Building 24'!$I$22</f>
        <v>2300.7</v>
      </c>
      <c r="AD86" s="6" t="n">
        <f aca="false">'Building 25'!$I$22</f>
        <v>2300.7</v>
      </c>
      <c r="AE86" s="6"/>
    </row>
    <row r="87" customFormat="false" ht="15" hidden="false" customHeight="false" outlineLevel="0" collapsed="false">
      <c r="B87" s="5" t="s">
        <v>76</v>
      </c>
      <c r="C87" s="6" t="n">
        <f aca="false">SUM(D87:AE87)</f>
        <v>71206.78</v>
      </c>
      <c r="D87" s="6"/>
      <c r="E87" s="6"/>
      <c r="F87" s="6" t="n">
        <f aca="false">'Building 1'!$I$23</f>
        <v>5307.28</v>
      </c>
      <c r="G87" s="6" t="n">
        <f aca="false">'Building 2'!$I$23</f>
        <v>5307.28</v>
      </c>
      <c r="H87" s="6" t="n">
        <f aca="false">'Building 3'!$I$23</f>
        <v>2864.04</v>
      </c>
      <c r="I87" s="6"/>
      <c r="J87" s="6" t="n">
        <f aca="false">'Building 5'!$I$23</f>
        <v>2864.04</v>
      </c>
      <c r="K87" s="6" t="n">
        <f aca="false">'Building 6'!$I$23</f>
        <v>2864.04</v>
      </c>
      <c r="L87" s="6" t="n">
        <f aca="false">'Building 7'!$I$23</f>
        <v>2864.04</v>
      </c>
      <c r="M87" s="6" t="n">
        <f aca="false">'Building 8'!$I$23</f>
        <v>2864.04</v>
      </c>
      <c r="N87" s="6" t="n">
        <f aca="false">'Building 9'!$I$23</f>
        <v>2864.04</v>
      </c>
      <c r="O87" s="6" t="n">
        <f aca="false">'Building 10'!$I$23</f>
        <v>2864.04</v>
      </c>
      <c r="P87" s="6"/>
      <c r="Q87" s="6" t="n">
        <f aca="false">'Building 12'!$I$23</f>
        <v>5307.28</v>
      </c>
      <c r="R87" s="6" t="n">
        <f aca="false">'Building 13'!$I$23</f>
        <v>7017.06</v>
      </c>
      <c r="S87" s="6" t="n">
        <f aca="false">'Building 14'!$I$23</f>
        <v>5307.28</v>
      </c>
      <c r="T87" s="6"/>
      <c r="U87" s="6" t="n">
        <f aca="false">'Building 16'!$I$23</f>
        <v>2864.04</v>
      </c>
      <c r="V87" s="6" t="n">
        <f aca="false">'Building 17'!$I$23</f>
        <v>2864.04</v>
      </c>
      <c r="W87" s="6"/>
      <c r="X87" s="6" t="n">
        <f aca="false">'Building 19'!$I$23</f>
        <v>2864.04</v>
      </c>
      <c r="Y87" s="6"/>
      <c r="Z87" s="6" t="n">
        <f aca="false">'Building 21'!$I$23</f>
        <v>2864.04</v>
      </c>
      <c r="AA87" s="6" t="n">
        <f aca="false">'Building 22'!$I$23</f>
        <v>2864.04</v>
      </c>
      <c r="AB87" s="6" t="n">
        <f aca="false">'Building 23'!$I$23</f>
        <v>2864.04</v>
      </c>
      <c r="AC87" s="6" t="n">
        <f aca="false">'Building 24'!$I$23</f>
        <v>2864.04</v>
      </c>
      <c r="AD87" s="6" t="n">
        <f aca="false">'Building 25'!$I$23</f>
        <v>2864.04</v>
      </c>
      <c r="AE87" s="6"/>
    </row>
    <row r="88" customFormat="false" ht="15" hidden="false" customHeight="false" outlineLevel="0" collapsed="false">
      <c r="B88" s="5" t="s">
        <v>77</v>
      </c>
      <c r="C88" s="6" t="n">
        <f aca="false">SUM(D88:AE88)</f>
        <v>118318.61</v>
      </c>
      <c r="D88" s="6"/>
      <c r="E88" s="6"/>
      <c r="F88" s="6" t="n">
        <f aca="false">'Building 1'!$I$24</f>
        <v>7020.87</v>
      </c>
      <c r="G88" s="6" t="n">
        <f aca="false">'Building 2'!$I$24</f>
        <v>7020.87</v>
      </c>
      <c r="H88" s="6" t="n">
        <f aca="false">'Building 3'!$I$24</f>
        <v>4167.44</v>
      </c>
      <c r="I88" s="6" t="n">
        <f aca="false">'Building 4'!$I$24</f>
        <v>3636.33</v>
      </c>
      <c r="J88" s="6" t="n">
        <f aca="false">'Building 5'!$I$24</f>
        <v>4167.44</v>
      </c>
      <c r="K88" s="6" t="n">
        <f aca="false">'Building 6'!$I$24</f>
        <v>4167.44</v>
      </c>
      <c r="L88" s="6" t="n">
        <f aca="false">'Building 7'!$I$24</f>
        <v>4167.44</v>
      </c>
      <c r="M88" s="6" t="n">
        <f aca="false">'Building 8'!$I$24</f>
        <v>4167.44</v>
      </c>
      <c r="N88" s="6" t="n">
        <f aca="false">'Building 9'!$I$24</f>
        <v>4167.44</v>
      </c>
      <c r="O88" s="6" t="n">
        <f aca="false">'Building 10'!$I$24</f>
        <v>4167.44</v>
      </c>
      <c r="P88" s="6" t="n">
        <f aca="false">'Building 11'!$I$24</f>
        <v>3636.33</v>
      </c>
      <c r="Q88" s="6" t="n">
        <f aca="false">'Building 12'!$I$24</f>
        <v>7020.87</v>
      </c>
      <c r="R88" s="6" t="n">
        <f aca="false">'Building 13'!$I$24</f>
        <v>9541.88</v>
      </c>
      <c r="S88" s="6" t="n">
        <f aca="false">'Building 14'!$I$24</f>
        <v>7020.87</v>
      </c>
      <c r="T88" s="6" t="n">
        <f aca="false">'Building 15'!$I$24</f>
        <v>3636.33</v>
      </c>
      <c r="U88" s="6" t="n">
        <f aca="false">'Building 16'!$I$24</f>
        <v>4167.44</v>
      </c>
      <c r="V88" s="6" t="n">
        <f aca="false">'Building 17'!$I$24</f>
        <v>4167.44</v>
      </c>
      <c r="W88" s="6" t="n">
        <f aca="false">'Building 18'!$I$24</f>
        <v>3636.33</v>
      </c>
      <c r="X88" s="6" t="n">
        <f aca="false">'Building 19'!$I$24</f>
        <v>4167.44</v>
      </c>
      <c r="Y88" s="6" t="n">
        <f aca="false">'Building 20'!$I$24</f>
        <v>3636.33</v>
      </c>
      <c r="Z88" s="6" t="n">
        <f aca="false">'Building 21'!$I$24</f>
        <v>4167.44</v>
      </c>
      <c r="AA88" s="6" t="n">
        <f aca="false">'Building 22'!$I$24</f>
        <v>4167.44</v>
      </c>
      <c r="AB88" s="6" t="n">
        <f aca="false">'Building 23'!$I$24</f>
        <v>4167.44</v>
      </c>
      <c r="AC88" s="6" t="n">
        <f aca="false">'Building 24'!$I$24</f>
        <v>4167.44</v>
      </c>
      <c r="AD88" s="6" t="n">
        <f aca="false">'Building 25'!$I$24</f>
        <v>4167.44</v>
      </c>
      <c r="AE88" s="6"/>
    </row>
    <row r="89" customFormat="false" ht="15" hidden="false" customHeight="false" outlineLevel="0" collapsed="false">
      <c r="B89" s="5" t="s">
        <v>78</v>
      </c>
      <c r="C89" s="6" t="n">
        <f aca="false">SUM(D89:AE89)</f>
        <v>148608.15</v>
      </c>
      <c r="D89" s="6"/>
      <c r="E89" s="6"/>
      <c r="F89" s="6" t="n">
        <f aca="false">'Building 1'!$I$25</f>
        <v>9613.55</v>
      </c>
      <c r="G89" s="6" t="n">
        <f aca="false">'Building 2'!$I$25</f>
        <v>9613.55</v>
      </c>
      <c r="H89" s="6" t="n">
        <f aca="false">'Building 3'!$I$25</f>
        <v>5187.84</v>
      </c>
      <c r="I89" s="6" t="n">
        <f aca="false">'Building 4'!$I$25</f>
        <v>3925.17</v>
      </c>
      <c r="J89" s="6" t="n">
        <f aca="false">'Building 5'!$I$25</f>
        <v>5187.84</v>
      </c>
      <c r="K89" s="6" t="n">
        <f aca="false">'Building 6'!$I$25</f>
        <v>5187.84</v>
      </c>
      <c r="L89" s="6" t="n">
        <f aca="false">'Building 7'!$I$25</f>
        <v>5187.84</v>
      </c>
      <c r="M89" s="6" t="n">
        <f aca="false">'Building 8'!$I$25</f>
        <v>5187.84</v>
      </c>
      <c r="N89" s="6" t="n">
        <f aca="false">'Building 9'!$I$25</f>
        <v>5187.84</v>
      </c>
      <c r="O89" s="6" t="n">
        <f aca="false">'Building 10'!$I$25</f>
        <v>5187.84</v>
      </c>
      <c r="P89" s="6" t="n">
        <f aca="false">'Building 11'!$I$25</f>
        <v>3925.17</v>
      </c>
      <c r="Q89" s="6" t="n">
        <f aca="false">'Building 12'!$I$25</f>
        <v>9613.55</v>
      </c>
      <c r="R89" s="6" t="n">
        <f aca="false">'Building 13'!$I$25</f>
        <v>12710.5</v>
      </c>
      <c r="S89" s="6" t="n">
        <f aca="false">'Building 14'!$I$25</f>
        <v>9613.55</v>
      </c>
      <c r="T89" s="6" t="n">
        <f aca="false">'Building 15'!$I$25</f>
        <v>3925.17</v>
      </c>
      <c r="U89" s="6" t="n">
        <f aca="false">'Building 16'!$I$25</f>
        <v>5187.84</v>
      </c>
      <c r="V89" s="6" t="n">
        <f aca="false">'Building 17'!$I$25</f>
        <v>5187.84</v>
      </c>
      <c r="W89" s="6" t="n">
        <f aca="false">'Building 18'!$I$25</f>
        <v>3925.17</v>
      </c>
      <c r="X89" s="6" t="n">
        <f aca="false">'Building 19'!$I$25</f>
        <v>5187.84</v>
      </c>
      <c r="Y89" s="6" t="n">
        <f aca="false">'Building 20'!$I$25</f>
        <v>3925.17</v>
      </c>
      <c r="Z89" s="6" t="n">
        <f aca="false">'Building 21'!$I$25</f>
        <v>5187.84</v>
      </c>
      <c r="AA89" s="6" t="n">
        <f aca="false">'Building 22'!$I$25</f>
        <v>5187.84</v>
      </c>
      <c r="AB89" s="6" t="n">
        <f aca="false">'Building 23'!$I$25</f>
        <v>5187.84</v>
      </c>
      <c r="AC89" s="6" t="n">
        <f aca="false">'Building 24'!$I$25</f>
        <v>5187.84</v>
      </c>
      <c r="AD89" s="6" t="n">
        <f aca="false">'Building 25'!$I$25</f>
        <v>5187.84</v>
      </c>
      <c r="AE89" s="6"/>
    </row>
    <row r="90" customFormat="false" ht="15" hidden="false" customHeight="false" outlineLevel="0" collapsed="false">
      <c r="B90" s="5" t="s">
        <v>79</v>
      </c>
      <c r="C90" s="6" t="n">
        <f aca="false">SUM(D90:AE90)</f>
        <v>10037.4</v>
      </c>
      <c r="D90" s="6"/>
      <c r="E90" s="6"/>
      <c r="F90" s="6"/>
      <c r="G90" s="6"/>
      <c r="H90" s="6"/>
      <c r="I90" s="6" t="n">
        <f aca="false">'Building 4'!$I$22</f>
        <v>2007.48</v>
      </c>
      <c r="J90" s="6"/>
      <c r="K90" s="6"/>
      <c r="L90" s="6"/>
      <c r="M90" s="6"/>
      <c r="N90" s="6"/>
      <c r="O90" s="6"/>
      <c r="P90" s="6" t="n">
        <f aca="false">'Building 11'!$I$22</f>
        <v>2007.48</v>
      </c>
      <c r="Q90" s="6"/>
      <c r="R90" s="6"/>
      <c r="S90" s="6"/>
      <c r="T90" s="6" t="n">
        <f aca="false">'Building 15'!$I$22</f>
        <v>2007.48</v>
      </c>
      <c r="U90" s="6"/>
      <c r="V90" s="6"/>
      <c r="W90" s="6" t="n">
        <f aca="false">'Building 18'!$I$22</f>
        <v>2007.48</v>
      </c>
      <c r="X90" s="6"/>
      <c r="Y90" s="6" t="n">
        <f aca="false">'Building 20'!$I$22</f>
        <v>2007.48</v>
      </c>
      <c r="Z90" s="6"/>
      <c r="AA90" s="6"/>
      <c r="AB90" s="6"/>
      <c r="AC90" s="6"/>
      <c r="AD90" s="6"/>
      <c r="AE90" s="6"/>
    </row>
    <row r="91" customFormat="false" ht="15" hidden="false" customHeight="false" outlineLevel="0" collapsed="false">
      <c r="B91" s="5" t="s">
        <v>80</v>
      </c>
      <c r="C91" s="6" t="n">
        <f aca="false">SUM(D91:AE91)</f>
        <v>10834.65</v>
      </c>
      <c r="D91" s="6"/>
      <c r="E91" s="6"/>
      <c r="F91" s="6"/>
      <c r="G91" s="6"/>
      <c r="H91" s="6"/>
      <c r="I91" s="6" t="n">
        <f aca="false">'Building 4'!$I$23</f>
        <v>2166.93</v>
      </c>
      <c r="J91" s="6"/>
      <c r="K91" s="6"/>
      <c r="L91" s="6"/>
      <c r="M91" s="6"/>
      <c r="N91" s="6"/>
      <c r="O91" s="6"/>
      <c r="P91" s="6" t="n">
        <f aca="false">'Building 11'!$I$23</f>
        <v>2166.93</v>
      </c>
      <c r="Q91" s="6"/>
      <c r="R91" s="6"/>
      <c r="S91" s="6"/>
      <c r="T91" s="6" t="n">
        <f aca="false">'Building 15'!$I$23</f>
        <v>2166.93</v>
      </c>
      <c r="U91" s="6"/>
      <c r="V91" s="6"/>
      <c r="W91" s="6" t="n">
        <f aca="false">'Building 18'!$I$23</f>
        <v>2166.93</v>
      </c>
      <c r="X91" s="6"/>
      <c r="Y91" s="6" t="n">
        <f aca="false">'Building 20'!$I$23</f>
        <v>2166.93</v>
      </c>
      <c r="Z91" s="6"/>
      <c r="AA91" s="6"/>
      <c r="AB91" s="6"/>
      <c r="AC91" s="6"/>
      <c r="AD91" s="6"/>
      <c r="AE91" s="6"/>
    </row>
    <row r="92" customFormat="false" ht="15" hidden="false" customHeight="false" outlineLevel="0" collapsed="false">
      <c r="B92" s="5" t="s">
        <v>81</v>
      </c>
      <c r="C92" s="6" t="n">
        <f aca="false">SUM(D92:AE92)</f>
        <v>368.29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 t="n">
        <f aca="false">Storage!$I$18</f>
        <v>368.29</v>
      </c>
    </row>
    <row r="93" customFormat="false" ht="15" hidden="false" customHeight="false" outlineLevel="0" collapsed="false">
      <c r="B93" s="5" t="s">
        <v>82</v>
      </c>
      <c r="C93" s="6" t="n">
        <f aca="false">SUM(D93:AE93)</f>
        <v>4129.78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 t="n">
        <f aca="false">Storage!$I$19</f>
        <v>4129.78</v>
      </c>
    </row>
    <row r="94" customFormat="false" ht="15" hidden="false" customHeight="false" outlineLevel="0" collapsed="false">
      <c r="B94" s="5" t="s">
        <v>83</v>
      </c>
      <c r="C94" s="6" t="n">
        <f aca="false">SUM(D94:AE94)</f>
        <v>0.67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 t="n">
        <f aca="false">Storage!$I$20</f>
        <v>0.67</v>
      </c>
    </row>
    <row r="95" customFormat="false" ht="15" hidden="false" customHeight="false" outlineLevel="0" collapsed="false">
      <c r="B95" s="5" t="s">
        <v>84</v>
      </c>
      <c r="C95" s="6" t="n">
        <f aca="false">SUM(D95:AE95)</f>
        <v>7.44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 t="n">
        <f aca="false">Storage!$I$21</f>
        <v>7.44</v>
      </c>
    </row>
    <row r="96" customFormat="false" ht="15" hidden="false" customHeight="false" outlineLevel="0" collapsed="false">
      <c r="B96" s="5" t="s">
        <v>85</v>
      </c>
      <c r="C96" s="6" t="n">
        <f aca="false">SUM(D96:AE96)</f>
        <v>34.74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 t="n">
        <f aca="false">Storage!$I$22</f>
        <v>34.74</v>
      </c>
    </row>
    <row r="97" customFormat="false" ht="15" hidden="false" customHeight="false" outlineLevel="0" collapsed="false">
      <c r="B97" s="5" t="s">
        <v>86</v>
      </c>
      <c r="C97" s="6" t="n">
        <f aca="false">SUM(D97:AE97)</f>
        <v>389.61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 t="n">
        <f aca="false">Storage!$I$23</f>
        <v>389.61</v>
      </c>
    </row>
    <row r="98" customFormat="false" ht="15" hidden="false" customHeight="false" outlineLevel="0" collapsed="false">
      <c r="B98" s="5" t="s">
        <v>87</v>
      </c>
      <c r="C98" s="6" t="n">
        <f aca="false">SUM(D98:AE98)</f>
        <v>62.94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 t="n">
        <f aca="false">Storage!$I$24</f>
        <v>62.94</v>
      </c>
    </row>
    <row r="99" customFormat="false" ht="15" hidden="false" customHeight="false" outlineLevel="0" collapsed="false">
      <c r="B99" s="5" t="s">
        <v>88</v>
      </c>
      <c r="C99" s="6" t="n">
        <f aca="false">SUM(D99:AE99)</f>
        <v>705.7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 t="n">
        <f aca="false">Storage!$I$25</f>
        <v>705.7</v>
      </c>
    </row>
    <row r="100" customFormat="false" ht="15" hidden="false" customHeight="false" outlineLevel="0" collapsed="false">
      <c r="A100" s="7"/>
      <c r="B100" s="8" t="s">
        <v>93</v>
      </c>
      <c r="C100" s="9" t="n">
        <f aca="false">SUM(C66:C99)</f>
        <v>2468629.75</v>
      </c>
      <c r="D100" s="9" t="n">
        <f aca="false">SUM(D66:D99)</f>
        <v>433789.43</v>
      </c>
      <c r="E100" s="9" t="n">
        <f aca="false">SUM(E66:E99)</f>
        <v>49993.81</v>
      </c>
      <c r="F100" s="9" t="n">
        <f aca="false">SUM(F66:F99)</f>
        <v>123336.9</v>
      </c>
      <c r="G100" s="9" t="n">
        <f aca="false">SUM(G66:G99)</f>
        <v>123336.9</v>
      </c>
      <c r="H100" s="9" t="n">
        <f aca="false">SUM(H66:H99)</f>
        <v>69365.5</v>
      </c>
      <c r="I100" s="9" t="n">
        <f aca="false">SUM(I66:I99)</f>
        <v>56065.03</v>
      </c>
      <c r="J100" s="9" t="n">
        <f aca="false">SUM(J66:J99)</f>
        <v>69365.5</v>
      </c>
      <c r="K100" s="9" t="n">
        <f aca="false">SUM(K66:K99)</f>
        <v>69365.5</v>
      </c>
      <c r="L100" s="9" t="n">
        <f aca="false">SUM(L66:L99)</f>
        <v>69365.5</v>
      </c>
      <c r="M100" s="9" t="n">
        <f aca="false">SUM(M66:M99)</f>
        <v>69365.5</v>
      </c>
      <c r="N100" s="9" t="n">
        <f aca="false">SUM(N66:N99)</f>
        <v>69365.5</v>
      </c>
      <c r="O100" s="9" t="n">
        <f aca="false">SUM(O66:O99)</f>
        <v>69365.5</v>
      </c>
      <c r="P100" s="9" t="n">
        <f aca="false">SUM(P66:P99)</f>
        <v>56065.03</v>
      </c>
      <c r="Q100" s="9" t="n">
        <f aca="false">SUM(Q66:Q99)</f>
        <v>123336.9</v>
      </c>
      <c r="R100" s="9" t="n">
        <f aca="false">SUM(R66:R99)</f>
        <v>164992.09</v>
      </c>
      <c r="S100" s="9" t="n">
        <f aca="false">SUM(S66:S99)</f>
        <v>123336.9</v>
      </c>
      <c r="T100" s="9" t="n">
        <f aca="false">SUM(T66:T99)</f>
        <v>56065.03</v>
      </c>
      <c r="U100" s="9" t="n">
        <f aca="false">SUM(U66:U99)</f>
        <v>69365.5</v>
      </c>
      <c r="V100" s="9" t="n">
        <f aca="false">SUM(V66:V99)</f>
        <v>69365.5</v>
      </c>
      <c r="W100" s="9" t="n">
        <f aca="false">SUM(W66:W99)</f>
        <v>56065.03</v>
      </c>
      <c r="X100" s="9" t="n">
        <f aca="false">SUM(X66:X99)</f>
        <v>69365.5</v>
      </c>
      <c r="Y100" s="9" t="n">
        <f aca="false">SUM(Y66:Y99)</f>
        <v>56065.03</v>
      </c>
      <c r="Z100" s="9" t="n">
        <f aca="false">SUM(Z66:Z99)</f>
        <v>69365.5</v>
      </c>
      <c r="AA100" s="9" t="n">
        <f aca="false">SUM(AA66:AA99)</f>
        <v>69365.5</v>
      </c>
      <c r="AB100" s="9" t="n">
        <f aca="false">SUM(AB66:AB99)</f>
        <v>69365.5</v>
      </c>
      <c r="AC100" s="9" t="n">
        <f aca="false">SUM(AC66:AC99)</f>
        <v>69365.5</v>
      </c>
      <c r="AD100" s="9" t="n">
        <f aca="false">SUM(AD66:AD99)</f>
        <v>69365.5</v>
      </c>
      <c r="AE100" s="9" t="n">
        <f aca="false">SUM(AE66:AE99)</f>
        <v>5699.17</v>
      </c>
    </row>
    <row r="101" customFormat="false" ht="15" hidden="false" customHeight="false" outlineLevel="0" collapsed="false">
      <c r="A101" s="13"/>
      <c r="B101" s="14" t="s">
        <v>94</v>
      </c>
      <c r="C101" s="15" t="n">
        <f aca="false">C65-C100</f>
        <v>-205582.84</v>
      </c>
      <c r="D101" s="15" t="n">
        <f aca="false">D65-D100</f>
        <v>-80242.53</v>
      </c>
      <c r="E101" s="15" t="n">
        <f aca="false">E65-E100</f>
        <v>-1200.46000000001</v>
      </c>
      <c r="F101" s="15" t="n">
        <f aca="false">F65-F100</f>
        <v>-5489.43000000001</v>
      </c>
      <c r="G101" s="15" t="n">
        <f aca="false">G65-G100</f>
        <v>-5489.43000000001</v>
      </c>
      <c r="H101" s="15" t="n">
        <f aca="false">H65-H100</f>
        <v>-4539.37</v>
      </c>
      <c r="I101" s="15" t="n">
        <f aca="false">I65-I100</f>
        <v>-5447.06</v>
      </c>
      <c r="J101" s="15" t="n">
        <f aca="false">J65-J100</f>
        <v>-4539.37</v>
      </c>
      <c r="K101" s="15" t="n">
        <f aca="false">K65-K100</f>
        <v>-4539.37</v>
      </c>
      <c r="L101" s="15" t="n">
        <f aca="false">L65-L100</f>
        <v>-4539.37</v>
      </c>
      <c r="M101" s="15" t="n">
        <f aca="false">M65-M100</f>
        <v>-4539.37</v>
      </c>
      <c r="N101" s="15" t="n">
        <f aca="false">N65-N100</f>
        <v>-4539.37</v>
      </c>
      <c r="O101" s="15" t="n">
        <f aca="false">O65-O100</f>
        <v>-4539.37</v>
      </c>
      <c r="P101" s="15" t="n">
        <f aca="false">P65-P100</f>
        <v>-5447.06</v>
      </c>
      <c r="Q101" s="15" t="n">
        <f aca="false">Q65-Q100</f>
        <v>-5489.43000000001</v>
      </c>
      <c r="R101" s="15" t="n">
        <f aca="false">R65-R100</f>
        <v>-8337.59</v>
      </c>
      <c r="S101" s="15" t="n">
        <f aca="false">S65-S100</f>
        <v>-5489.43000000001</v>
      </c>
      <c r="T101" s="15" t="n">
        <f aca="false">T65-T100</f>
        <v>-5447.06</v>
      </c>
      <c r="U101" s="15" t="n">
        <f aca="false">U65-U100</f>
        <v>-4539.37</v>
      </c>
      <c r="V101" s="15" t="n">
        <f aca="false">V65-V100</f>
        <v>-4539.37</v>
      </c>
      <c r="W101" s="15" t="n">
        <f aca="false">W65-W100</f>
        <v>-5447.06</v>
      </c>
      <c r="X101" s="15" t="n">
        <f aca="false">X65-X100</f>
        <v>-4539.37</v>
      </c>
      <c r="Y101" s="15" t="n">
        <f aca="false">Y65-Y100</f>
        <v>-5447.06</v>
      </c>
      <c r="Z101" s="15" t="n">
        <f aca="false">Z65-Z100</f>
        <v>-4539.37</v>
      </c>
      <c r="AA101" s="15" t="n">
        <f aca="false">AA65-AA100</f>
        <v>-4539.37</v>
      </c>
      <c r="AB101" s="15" t="n">
        <f aca="false">AB65-AB100</f>
        <v>-4539.37</v>
      </c>
      <c r="AC101" s="15" t="n">
        <f aca="false">AC65-AC100</f>
        <v>-4539.37</v>
      </c>
      <c r="AD101" s="15" t="n">
        <f aca="false">AD65-AD100</f>
        <v>-4539.37</v>
      </c>
      <c r="AE101" s="15" t="n">
        <f aca="false">AE65-AE100</f>
        <v>1481.31</v>
      </c>
    </row>
    <row r="102" customFormat="false" ht="15" hidden="false" customHeight="false" outlineLevel="0" collapsed="false">
      <c r="B102" s="16" t="s">
        <v>95</v>
      </c>
      <c r="C102" s="17" t="n">
        <f aca="false">C101-(-205582.84)</f>
        <v>0</v>
      </c>
      <c r="D102" s="17" t="n">
        <f aca="false">D101-Site!$D$31</f>
        <v>0</v>
      </c>
      <c r="E102" s="17" t="n">
        <f aca="false">E101-Clubhouse!$D$31</f>
        <v>0</v>
      </c>
      <c r="F102" s="17" t="n">
        <f aca="false">F101-'Building 1'!$D$31</f>
        <v>0</v>
      </c>
      <c r="G102" s="17" t="n">
        <f aca="false">G101-'Building 2'!$D$31</f>
        <v>0</v>
      </c>
      <c r="H102" s="17" t="n">
        <f aca="false">H101-'Building 3'!$D$31</f>
        <v>0</v>
      </c>
      <c r="I102" s="17" t="n">
        <f aca="false">I101-'Building 4'!$D$31</f>
        <v>0</v>
      </c>
      <c r="J102" s="17" t="n">
        <f aca="false">J101-'Building 5'!$D$31</f>
        <v>0</v>
      </c>
      <c r="K102" s="17" t="n">
        <f aca="false">K101-'Building 6'!$D$31</f>
        <v>0</v>
      </c>
      <c r="L102" s="17" t="n">
        <f aca="false">L101-'Building 7'!$D$31</f>
        <v>0</v>
      </c>
      <c r="M102" s="17" t="n">
        <f aca="false">M101-'Building 8'!$D$31</f>
        <v>0</v>
      </c>
      <c r="N102" s="17" t="n">
        <f aca="false">N101-'Building 9'!$D$31</f>
        <v>0</v>
      </c>
      <c r="O102" s="17" t="n">
        <f aca="false">O101-'Building 10'!$D$31</f>
        <v>0</v>
      </c>
      <c r="P102" s="17" t="n">
        <f aca="false">P101-'Building 11'!$D$31</f>
        <v>0</v>
      </c>
      <c r="Q102" s="17" t="n">
        <f aca="false">Q101-'Building 12'!$D$31</f>
        <v>0</v>
      </c>
      <c r="R102" s="17" t="n">
        <f aca="false">R101-'Building 13'!$D$31</f>
        <v>0</v>
      </c>
      <c r="S102" s="17" t="n">
        <f aca="false">S101-'Building 14'!$D$31</f>
        <v>0</v>
      </c>
      <c r="T102" s="17" t="n">
        <f aca="false">T101-'Building 15'!$D$31</f>
        <v>0</v>
      </c>
      <c r="U102" s="17" t="n">
        <f aca="false">U101-'Building 16'!$D$31</f>
        <v>0</v>
      </c>
      <c r="V102" s="17" t="n">
        <f aca="false">V101-'Building 17'!$D$31</f>
        <v>0</v>
      </c>
      <c r="W102" s="17" t="n">
        <f aca="false">W101-'Building 18'!$D$31</f>
        <v>0</v>
      </c>
      <c r="X102" s="17" t="n">
        <f aca="false">X101-'Building 19'!$D$31</f>
        <v>0</v>
      </c>
      <c r="Y102" s="17" t="n">
        <f aca="false">Y101-'Building 20'!$D$31</f>
        <v>0</v>
      </c>
      <c r="Z102" s="17" t="n">
        <f aca="false">Z101-'Building 21'!$D$31</f>
        <v>0</v>
      </c>
      <c r="AA102" s="17" t="n">
        <f aca="false">AA101-'Building 22'!$D$31</f>
        <v>0</v>
      </c>
      <c r="AB102" s="17" t="n">
        <f aca="false">AB101-'Building 23'!$D$31</f>
        <v>0</v>
      </c>
      <c r="AC102" s="17" t="n">
        <f aca="false">AC101-'Building 24'!$D$31</f>
        <v>0</v>
      </c>
      <c r="AD102" s="17" t="n">
        <f aca="false">AD101-'Building 25'!$D$31</f>
        <v>0</v>
      </c>
      <c r="AE102" s="17" t="n">
        <f aca="false">AE101-Storage!$D$31</f>
        <v>0</v>
      </c>
    </row>
    <row r="104" customFormat="false" ht="15" hidden="false" customHeight="false" outlineLevel="0" collapsed="false">
      <c r="B104" s="18" t="s">
        <v>96</v>
      </c>
    </row>
    <row r="105" customFormat="false" ht="15" hidden="false" customHeight="false" outlineLevel="0" collapsed="false">
      <c r="B105" s="19" t="s">
        <v>97</v>
      </c>
    </row>
    <row r="106" customFormat="false" ht="15" hidden="false" customHeight="false" outlineLevel="0" collapsed="false">
      <c r="B106" s="19" t="s">
        <v>98</v>
      </c>
    </row>
    <row r="107" customFormat="false" ht="15" hidden="false" customHeight="false" outlineLevel="0" collapsed="false">
      <c r="B107" s="19" t="s">
        <v>99</v>
      </c>
    </row>
    <row r="108" customFormat="false" ht="15" hidden="false" customHeight="false" outlineLevel="0" collapsed="false">
      <c r="B108" s="19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101</v>
      </c>
    </row>
    <row r="5" customFormat="false" ht="15" hidden="false" customHeight="false" outlineLevel="0" collapsed="false">
      <c r="A5" s="16" t="s">
        <v>102</v>
      </c>
    </row>
    <row r="7" customFormat="false" ht="15" hidden="false" customHeight="false" outlineLevel="0" collapsed="false">
      <c r="A7" s="10" t="s">
        <v>103</v>
      </c>
    </row>
    <row r="8" customFormat="false" ht="15" hidden="false" customHeight="false" outlineLevel="0" collapsed="false">
      <c r="A8" s="21" t="s">
        <v>104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105</v>
      </c>
      <c r="B9" s="4" t="s">
        <v>106</v>
      </c>
      <c r="C9" s="4" t="s">
        <v>107</v>
      </c>
      <c r="D9" s="4" t="s">
        <v>108</v>
      </c>
      <c r="E9" s="4" t="s">
        <v>109</v>
      </c>
      <c r="F9" s="4" t="s">
        <v>110</v>
      </c>
      <c r="G9" s="4" t="s">
        <v>111</v>
      </c>
      <c r="H9" s="4" t="s">
        <v>112</v>
      </c>
      <c r="I9" s="4" t="s">
        <v>113</v>
      </c>
      <c r="J9" s="4" t="s">
        <v>114</v>
      </c>
      <c r="K9" s="4" t="s">
        <v>115</v>
      </c>
      <c r="L9" s="4" t="s">
        <v>116</v>
      </c>
    </row>
    <row r="10" customFormat="false" ht="15" hidden="false" customHeight="false" outlineLevel="0" collapsed="false">
      <c r="A10" s="23" t="n">
        <v>1</v>
      </c>
      <c r="B10" s="23" t="s">
        <v>36</v>
      </c>
      <c r="C10" s="23" t="s">
        <v>35</v>
      </c>
      <c r="D10" s="24" t="n">
        <v>636512.99</v>
      </c>
      <c r="E10" s="24" t="n">
        <v>0</v>
      </c>
      <c r="F10" s="24" t="n">
        <v>0</v>
      </c>
      <c r="G10" s="24" t="n">
        <v>186129.48</v>
      </c>
      <c r="H10" s="24" t="n">
        <v>23145.82</v>
      </c>
      <c r="I10" s="24" t="n">
        <f aca="false">G10+H10</f>
        <v>209275.3</v>
      </c>
      <c r="J10" s="24" t="n">
        <f aca="false">D10-I10</f>
        <v>427237.69</v>
      </c>
      <c r="K10" s="25" t="s">
        <v>117</v>
      </c>
      <c r="L10" s="25" t="s">
        <v>118</v>
      </c>
    </row>
    <row r="11" customFormat="false" ht="15" hidden="false" customHeight="false" outlineLevel="0" collapsed="false">
      <c r="A11" s="23" t="n">
        <v>2</v>
      </c>
      <c r="B11" s="23" t="s">
        <v>38</v>
      </c>
      <c r="C11" s="23" t="s">
        <v>37</v>
      </c>
      <c r="D11" s="24" t="n">
        <v>1159.28</v>
      </c>
      <c r="E11" s="24" t="n">
        <v>0</v>
      </c>
      <c r="F11" s="24" t="n">
        <v>0</v>
      </c>
      <c r="G11" s="24" t="n">
        <v>335.69</v>
      </c>
      <c r="H11" s="24" t="n">
        <v>42.24</v>
      </c>
      <c r="I11" s="24" t="n">
        <f aca="false">G11+H11</f>
        <v>377.93</v>
      </c>
      <c r="J11" s="24" t="n">
        <f aca="false">D11-I11</f>
        <v>781.35</v>
      </c>
      <c r="K11" s="25" t="s">
        <v>117</v>
      </c>
      <c r="L11" s="25" t="s">
        <v>118</v>
      </c>
    </row>
    <row r="12" customFormat="false" ht="15" hidden="false" customHeight="false" outlineLevel="0" collapsed="false">
      <c r="A12" s="23" t="n">
        <v>3</v>
      </c>
      <c r="B12" s="23" t="s">
        <v>39</v>
      </c>
      <c r="C12" s="23" t="s">
        <v>35</v>
      </c>
      <c r="D12" s="24" t="n">
        <v>60048.41</v>
      </c>
      <c r="E12" s="24" t="n">
        <v>0</v>
      </c>
      <c r="F12" s="24" t="n">
        <v>0</v>
      </c>
      <c r="G12" s="24" t="n">
        <v>35168.3</v>
      </c>
      <c r="H12" s="24" t="n">
        <v>3580.9</v>
      </c>
      <c r="I12" s="24" t="n">
        <f aca="false">G12+H12</f>
        <v>38749.2</v>
      </c>
      <c r="J12" s="24" t="n">
        <f aca="false">D12-I12</f>
        <v>21299.21</v>
      </c>
      <c r="K12" s="25" t="s">
        <v>119</v>
      </c>
      <c r="L12" s="25" t="s">
        <v>120</v>
      </c>
    </row>
    <row r="13" customFormat="false" ht="15" hidden="false" customHeight="false" outlineLevel="0" collapsed="false">
      <c r="A13" s="23" t="n">
        <v>4</v>
      </c>
      <c r="B13" s="23" t="s">
        <v>40</v>
      </c>
      <c r="C13" s="23" t="s">
        <v>35</v>
      </c>
      <c r="D13" s="24" t="n">
        <v>108770.22</v>
      </c>
      <c r="E13" s="24" t="n">
        <v>0</v>
      </c>
      <c r="F13" s="24" t="n">
        <v>0</v>
      </c>
      <c r="G13" s="24" t="n">
        <v>105144.47</v>
      </c>
      <c r="H13" s="24" t="n">
        <v>0</v>
      </c>
      <c r="I13" s="24" t="n">
        <f aca="false">G13+H13</f>
        <v>105144.47</v>
      </c>
      <c r="J13" s="24" t="n">
        <f aca="false">D13-I13</f>
        <v>3625.75</v>
      </c>
      <c r="K13" s="25" t="s">
        <v>121</v>
      </c>
      <c r="L13" s="25" t="s">
        <v>122</v>
      </c>
    </row>
    <row r="14" customFormat="false" ht="15" hidden="false" customHeight="false" outlineLevel="0" collapsed="false">
      <c r="A14" s="26"/>
      <c r="B14" s="27" t="s">
        <v>53</v>
      </c>
      <c r="C14" s="26"/>
      <c r="D14" s="28" t="n">
        <f aca="false">SUM(D10:D13)</f>
        <v>806490.9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326777.94</v>
      </c>
      <c r="H14" s="28" t="n">
        <f aca="false">SUM(H10:H13)</f>
        <v>26768.96</v>
      </c>
      <c r="I14" s="28" t="n">
        <f aca="false">SUM(I10:I13)</f>
        <v>353546.9</v>
      </c>
      <c r="J14" s="28" t="n">
        <f aca="false">SUM(J10:J13)</f>
        <v>452944</v>
      </c>
      <c r="K14" s="26"/>
      <c r="L14" s="26"/>
    </row>
    <row r="16" customFormat="false" ht="15" hidden="false" customHeight="false" outlineLevel="0" collapsed="false">
      <c r="A16" s="21" t="s">
        <v>123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4" t="s">
        <v>105</v>
      </c>
      <c r="B17" s="4" t="s">
        <v>106</v>
      </c>
      <c r="C17" s="4" t="s">
        <v>107</v>
      </c>
      <c r="D17" s="4" t="s">
        <v>108</v>
      </c>
      <c r="E17" s="4" t="s">
        <v>109</v>
      </c>
      <c r="F17" s="4" t="s">
        <v>110</v>
      </c>
      <c r="G17" s="4" t="s">
        <v>111</v>
      </c>
      <c r="H17" s="4" t="s">
        <v>112</v>
      </c>
      <c r="I17" s="4" t="s">
        <v>113</v>
      </c>
      <c r="J17" s="4" t="s">
        <v>114</v>
      </c>
      <c r="K17" s="4" t="s">
        <v>115</v>
      </c>
      <c r="L17" s="4" t="s">
        <v>116</v>
      </c>
    </row>
    <row r="18" customFormat="false" ht="15" hidden="false" customHeight="false" outlineLevel="0" collapsed="false">
      <c r="A18" s="23" t="n">
        <v>1</v>
      </c>
      <c r="B18" s="23" t="s">
        <v>55</v>
      </c>
      <c r="C18" s="23" t="s">
        <v>35</v>
      </c>
      <c r="D18" s="24" t="n">
        <v>385433.18</v>
      </c>
      <c r="E18" s="24" t="n">
        <v>0</v>
      </c>
      <c r="F18" s="24" t="n">
        <v>0</v>
      </c>
      <c r="G18" s="24" t="n">
        <v>237496.79</v>
      </c>
      <c r="H18" s="24" t="n">
        <v>22759.44</v>
      </c>
      <c r="I18" s="24" t="n">
        <f aca="false">G18+H18</f>
        <v>260256.23</v>
      </c>
      <c r="J18" s="24" t="n">
        <f aca="false">D18-I18</f>
        <v>125176.95</v>
      </c>
      <c r="K18" s="25" t="s">
        <v>119</v>
      </c>
      <c r="L18" s="25" t="s">
        <v>120</v>
      </c>
    </row>
    <row r="19" customFormat="false" ht="15" hidden="false" customHeight="false" outlineLevel="0" collapsed="false">
      <c r="A19" s="23" t="n">
        <v>2</v>
      </c>
      <c r="B19" s="23" t="s">
        <v>56</v>
      </c>
      <c r="C19" s="23" t="s">
        <v>35</v>
      </c>
      <c r="D19" s="24" t="n">
        <v>251079.81</v>
      </c>
      <c r="E19" s="24" t="n">
        <v>0</v>
      </c>
      <c r="F19" s="24" t="n">
        <v>0</v>
      </c>
      <c r="G19" s="24" t="n">
        <v>73421.78</v>
      </c>
      <c r="H19" s="24" t="n">
        <v>9130.17</v>
      </c>
      <c r="I19" s="24" t="n">
        <f aca="false">G19+H19</f>
        <v>82551.95</v>
      </c>
      <c r="J19" s="24" t="n">
        <f aca="false">D19-I19</f>
        <v>168527.86</v>
      </c>
      <c r="K19" s="25" t="s">
        <v>117</v>
      </c>
      <c r="L19" s="25" t="s">
        <v>118</v>
      </c>
    </row>
    <row r="20" customFormat="false" ht="15" hidden="false" customHeight="false" outlineLevel="0" collapsed="false">
      <c r="A20" s="23" t="n">
        <v>3</v>
      </c>
      <c r="B20" s="23" t="s">
        <v>57</v>
      </c>
      <c r="C20" s="23" t="s">
        <v>37</v>
      </c>
      <c r="D20" s="24" t="n">
        <v>701.99</v>
      </c>
      <c r="E20" s="24" t="n">
        <v>0</v>
      </c>
      <c r="F20" s="24" t="n">
        <v>0</v>
      </c>
      <c r="G20" s="24" t="n">
        <v>391.1</v>
      </c>
      <c r="H20" s="24" t="n">
        <v>41.45</v>
      </c>
      <c r="I20" s="24" t="n">
        <f aca="false">G20+H20</f>
        <v>432.55</v>
      </c>
      <c r="J20" s="24" t="n">
        <f aca="false">D20-I20</f>
        <v>269.44</v>
      </c>
      <c r="K20" s="25" t="s">
        <v>119</v>
      </c>
      <c r="L20" s="25" t="s">
        <v>120</v>
      </c>
    </row>
    <row r="21" customFormat="false" ht="15" hidden="false" customHeight="false" outlineLevel="0" collapsed="false">
      <c r="A21" s="23" t="n">
        <v>4</v>
      </c>
      <c r="B21" s="23" t="s">
        <v>58</v>
      </c>
      <c r="C21" s="23" t="s">
        <v>37</v>
      </c>
      <c r="D21" s="24" t="n">
        <v>457.29</v>
      </c>
      <c r="E21" s="24" t="n">
        <v>0</v>
      </c>
      <c r="F21" s="24" t="n">
        <v>0</v>
      </c>
      <c r="G21" s="24" t="n">
        <v>132.35</v>
      </c>
      <c r="H21" s="24" t="n">
        <v>16.63</v>
      </c>
      <c r="I21" s="24" t="n">
        <f aca="false">G21+H21</f>
        <v>148.98</v>
      </c>
      <c r="J21" s="24" t="n">
        <f aca="false">D21-I21</f>
        <v>308.31</v>
      </c>
      <c r="K21" s="25" t="s">
        <v>117</v>
      </c>
      <c r="L21" s="25" t="s">
        <v>118</v>
      </c>
    </row>
    <row r="22" customFormat="false" ht="15" hidden="false" customHeight="false" outlineLevel="0" collapsed="false">
      <c r="A22" s="23" t="n">
        <v>5</v>
      </c>
      <c r="B22" s="23" t="s">
        <v>59</v>
      </c>
      <c r="C22" s="23" t="s">
        <v>35</v>
      </c>
      <c r="D22" s="24" t="n">
        <v>36361.63</v>
      </c>
      <c r="E22" s="24" t="n">
        <v>0</v>
      </c>
      <c r="F22" s="24" t="n">
        <v>0</v>
      </c>
      <c r="G22" s="24" t="n">
        <v>21789.19</v>
      </c>
      <c r="H22" s="24" t="n">
        <v>2241.91</v>
      </c>
      <c r="I22" s="24" t="n">
        <f aca="false">G22+H22</f>
        <v>24031.1</v>
      </c>
      <c r="J22" s="24" t="n">
        <f aca="false">D22-I22</f>
        <v>12330.53</v>
      </c>
      <c r="K22" s="25" t="s">
        <v>119</v>
      </c>
      <c r="L22" s="25" t="s">
        <v>120</v>
      </c>
    </row>
    <row r="23" customFormat="false" ht="15" hidden="false" customHeight="false" outlineLevel="0" collapsed="false">
      <c r="A23" s="23" t="n">
        <v>6</v>
      </c>
      <c r="B23" s="23" t="s">
        <v>60</v>
      </c>
      <c r="C23" s="23" t="s">
        <v>35</v>
      </c>
      <c r="D23" s="24" t="n">
        <v>23686.78</v>
      </c>
      <c r="E23" s="24" t="n">
        <v>0</v>
      </c>
      <c r="F23" s="24" t="n">
        <v>0</v>
      </c>
      <c r="G23" s="24" t="n">
        <v>6926.61</v>
      </c>
      <c r="H23" s="24" t="n">
        <v>861.34</v>
      </c>
      <c r="I23" s="24" t="n">
        <f aca="false">G23+H23</f>
        <v>7787.95</v>
      </c>
      <c r="J23" s="24" t="n">
        <f aca="false">D23-I23</f>
        <v>15898.83</v>
      </c>
      <c r="K23" s="25" t="s">
        <v>117</v>
      </c>
      <c r="L23" s="25" t="s">
        <v>118</v>
      </c>
    </row>
    <row r="24" customFormat="false" ht="15" hidden="false" customHeight="false" outlineLevel="0" collapsed="false">
      <c r="A24" s="23" t="n">
        <v>7</v>
      </c>
      <c r="B24" s="23" t="s">
        <v>61</v>
      </c>
      <c r="C24" s="23" t="s">
        <v>35</v>
      </c>
      <c r="D24" s="24" t="n">
        <v>65864.56</v>
      </c>
      <c r="E24" s="24" t="n">
        <v>0</v>
      </c>
      <c r="F24" s="24" t="n">
        <v>0</v>
      </c>
      <c r="G24" s="24" t="n">
        <v>40584.53</v>
      </c>
      <c r="H24" s="24" t="n">
        <v>3889.24</v>
      </c>
      <c r="I24" s="24" t="n">
        <f aca="false">G24+H24</f>
        <v>44473.77</v>
      </c>
      <c r="J24" s="24" t="n">
        <f aca="false">D24-I24</f>
        <v>21390.79</v>
      </c>
      <c r="K24" s="25" t="s">
        <v>119</v>
      </c>
      <c r="L24" s="25" t="s">
        <v>120</v>
      </c>
    </row>
    <row r="25" customFormat="false" ht="15" hidden="false" customHeight="false" outlineLevel="0" collapsed="false">
      <c r="A25" s="23" t="n">
        <v>8</v>
      </c>
      <c r="B25" s="23" t="s">
        <v>62</v>
      </c>
      <c r="C25" s="23" t="s">
        <v>35</v>
      </c>
      <c r="D25" s="24" t="n">
        <v>42905.66</v>
      </c>
      <c r="E25" s="24" t="n">
        <v>0</v>
      </c>
      <c r="F25" s="24" t="n">
        <v>0</v>
      </c>
      <c r="G25" s="24" t="n">
        <v>12546.69</v>
      </c>
      <c r="H25" s="24" t="n">
        <v>1560.21</v>
      </c>
      <c r="I25" s="24" t="n">
        <f aca="false">G25+H25</f>
        <v>14106.9</v>
      </c>
      <c r="J25" s="24" t="n">
        <f aca="false">D25-I25</f>
        <v>28798.76</v>
      </c>
      <c r="K25" s="25" t="s">
        <v>117</v>
      </c>
      <c r="L25" s="25" t="s">
        <v>118</v>
      </c>
    </row>
    <row r="26" customFormat="false" ht="15" hidden="false" customHeight="false" outlineLevel="0" collapsed="false">
      <c r="A26" s="26"/>
      <c r="B26" s="27" t="s">
        <v>53</v>
      </c>
      <c r="C26" s="26"/>
      <c r="D26" s="28" t="n">
        <f aca="false">SUM(D18:D25)</f>
        <v>806490.9</v>
      </c>
      <c r="E26" s="28" t="n">
        <f aca="false">SUM(E18:E25)</f>
        <v>0</v>
      </c>
      <c r="F26" s="28" t="n">
        <f aca="false">SUM(F18:F25)</f>
        <v>0</v>
      </c>
      <c r="G26" s="28" t="n">
        <f aca="false">SUM(G18:G25)</f>
        <v>393289.04</v>
      </c>
      <c r="H26" s="28" t="n">
        <f aca="false">SUM(H18:H25)</f>
        <v>40500.39</v>
      </c>
      <c r="I26" s="28" t="n">
        <f aca="false">SUM(I18:I25)</f>
        <v>433789.43</v>
      </c>
      <c r="J26" s="28" t="n">
        <f aca="false">SUM(J18:J25)</f>
        <v>372701.47</v>
      </c>
      <c r="K26" s="26"/>
      <c r="L26" s="26"/>
    </row>
    <row r="28" customFormat="false" ht="15" hidden="false" customHeight="false" outlineLevel="0" collapsed="false">
      <c r="B28" s="18" t="s">
        <v>124</v>
      </c>
    </row>
    <row r="29" customFormat="false" ht="15" hidden="false" customHeight="false" outlineLevel="0" collapsed="false">
      <c r="B29" s="5" t="s">
        <v>125</v>
      </c>
      <c r="D29" s="6" t="n">
        <f aca="false">I14</f>
        <v>353546.9</v>
      </c>
    </row>
    <row r="30" customFormat="false" ht="15" hidden="false" customHeight="false" outlineLevel="0" collapsed="false">
      <c r="B30" s="5" t="s">
        <v>126</v>
      </c>
      <c r="D30" s="6" t="n">
        <f aca="false">I26</f>
        <v>433789.43</v>
      </c>
    </row>
    <row r="31" customFormat="false" ht="15" hidden="false" customHeight="false" outlineLevel="0" collapsed="false">
      <c r="B31" s="11" t="s">
        <v>124</v>
      </c>
      <c r="D31" s="29" t="n">
        <f aca="false">D29-D30</f>
        <v>-80242.53</v>
      </c>
    </row>
    <row r="33" customFormat="false" ht="15" hidden="false" customHeight="false" outlineLevel="0" collapsed="false">
      <c r="A33" s="10" t="s">
        <v>127</v>
      </c>
    </row>
    <row r="34" customFormat="false" ht="15" hidden="false" customHeight="false" outlineLevel="0" collapsed="false">
      <c r="A34" s="21" t="s">
        <v>128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4" t="s">
        <v>105</v>
      </c>
      <c r="B35" s="4" t="s">
        <v>106</v>
      </c>
      <c r="C35" s="4" t="s">
        <v>107</v>
      </c>
      <c r="D35" s="4" t="s">
        <v>108</v>
      </c>
      <c r="E35" s="4" t="s">
        <v>109</v>
      </c>
      <c r="F35" s="4" t="s">
        <v>110</v>
      </c>
      <c r="G35" s="4" t="s">
        <v>129</v>
      </c>
      <c r="H35" s="4" t="s">
        <v>130</v>
      </c>
      <c r="I35" s="4" t="s">
        <v>113</v>
      </c>
      <c r="J35" s="4" t="s">
        <v>114</v>
      </c>
      <c r="K35" s="4" t="s">
        <v>115</v>
      </c>
      <c r="L35" s="4" t="s">
        <v>116</v>
      </c>
    </row>
    <row r="36" customFormat="false" ht="15" hidden="false" customHeight="false" outlineLevel="0" collapsed="false">
      <c r="A36" s="23" t="n">
        <v>1</v>
      </c>
      <c r="B36" s="23" t="s">
        <v>36</v>
      </c>
      <c r="C36" s="23" t="s">
        <v>35</v>
      </c>
      <c r="D36" s="24" t="n">
        <v>636512.99</v>
      </c>
      <c r="E36" s="24" t="n">
        <v>0</v>
      </c>
      <c r="F36" s="24" t="n">
        <v>0</v>
      </c>
      <c r="G36" s="24" t="n">
        <v>186129.48</v>
      </c>
      <c r="H36" s="24" t="n">
        <v>23145.82</v>
      </c>
      <c r="I36" s="24" t="n">
        <f aca="false">G36+H36</f>
        <v>209275.3</v>
      </c>
      <c r="J36" s="24" t="n">
        <f aca="false">D36-I36</f>
        <v>427237.69</v>
      </c>
      <c r="K36" s="25" t="s">
        <v>117</v>
      </c>
      <c r="L36" s="25" t="s">
        <v>118</v>
      </c>
    </row>
    <row r="37" customFormat="false" ht="15" hidden="false" customHeight="false" outlineLevel="0" collapsed="false">
      <c r="A37" s="23" t="n">
        <v>2</v>
      </c>
      <c r="B37" s="23" t="s">
        <v>38</v>
      </c>
      <c r="C37" s="23" t="s">
        <v>37</v>
      </c>
      <c r="D37" s="24" t="n">
        <v>1159.28</v>
      </c>
      <c r="E37" s="24" t="n">
        <v>0</v>
      </c>
      <c r="F37" s="24" t="n">
        <v>0</v>
      </c>
      <c r="G37" s="24" t="n">
        <v>335.69</v>
      </c>
      <c r="H37" s="24" t="n">
        <v>42.24</v>
      </c>
      <c r="I37" s="24" t="n">
        <f aca="false">G37+H37</f>
        <v>377.93</v>
      </c>
      <c r="J37" s="24" t="n">
        <f aca="false">D37-I37</f>
        <v>781.35</v>
      </c>
      <c r="K37" s="25" t="s">
        <v>117</v>
      </c>
      <c r="L37" s="25" t="s">
        <v>118</v>
      </c>
    </row>
    <row r="38" customFormat="false" ht="15" hidden="false" customHeight="false" outlineLevel="0" collapsed="false">
      <c r="A38" s="23" t="n">
        <v>3</v>
      </c>
      <c r="B38" s="23" t="s">
        <v>39</v>
      </c>
      <c r="C38" s="23" t="s">
        <v>35</v>
      </c>
      <c r="D38" s="24" t="n">
        <v>60048.41</v>
      </c>
      <c r="E38" s="24" t="n">
        <v>0</v>
      </c>
      <c r="F38" s="24" t="n">
        <v>0</v>
      </c>
      <c r="G38" s="24" t="n">
        <v>35168.3</v>
      </c>
      <c r="H38" s="24" t="n">
        <v>3580.9</v>
      </c>
      <c r="I38" s="24" t="n">
        <f aca="false">G38+H38</f>
        <v>38749.2</v>
      </c>
      <c r="J38" s="24" t="n">
        <f aca="false">D38-I38</f>
        <v>21299.21</v>
      </c>
      <c r="K38" s="25" t="s">
        <v>119</v>
      </c>
      <c r="L38" s="25" t="s">
        <v>120</v>
      </c>
    </row>
    <row r="39" customFormat="false" ht="15" hidden="false" customHeight="false" outlineLevel="0" collapsed="false">
      <c r="A39" s="23" t="n">
        <v>4</v>
      </c>
      <c r="B39" s="23" t="s">
        <v>40</v>
      </c>
      <c r="C39" s="23" t="s">
        <v>35</v>
      </c>
      <c r="D39" s="24" t="n">
        <v>108770.22</v>
      </c>
      <c r="E39" s="24" t="n">
        <v>0</v>
      </c>
      <c r="F39" s="24" t="n">
        <v>0</v>
      </c>
      <c r="G39" s="24" t="n">
        <v>105144.47</v>
      </c>
      <c r="H39" s="24" t="n">
        <v>0</v>
      </c>
      <c r="I39" s="24" t="n">
        <f aca="false">G39+H39</f>
        <v>105144.47</v>
      </c>
      <c r="J39" s="24" t="n">
        <f aca="false">D39-I39</f>
        <v>3625.75</v>
      </c>
      <c r="K39" s="25" t="s">
        <v>121</v>
      </c>
      <c r="L39" s="25" t="s">
        <v>122</v>
      </c>
    </row>
    <row r="40" customFormat="false" ht="15" hidden="false" customHeight="false" outlineLevel="0" collapsed="false">
      <c r="A40" s="26"/>
      <c r="B40" s="27" t="s">
        <v>53</v>
      </c>
      <c r="C40" s="26"/>
      <c r="D40" s="28" t="n">
        <f aca="false">SUM(D36:D39)</f>
        <v>806490.9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326777.94</v>
      </c>
      <c r="H40" s="28" t="n">
        <f aca="false">SUM(H36:H39)</f>
        <v>26768.96</v>
      </c>
      <c r="I40" s="28" t="n">
        <f aca="false">SUM(I36:I39)</f>
        <v>353546.9</v>
      </c>
      <c r="J40" s="28" t="n">
        <f aca="false">SUM(J36:J39)</f>
        <v>452944</v>
      </c>
      <c r="K40" s="26"/>
      <c r="L40" s="26"/>
    </row>
    <row r="42" customFormat="false" ht="15" hidden="false" customHeight="false" outlineLevel="0" collapsed="false">
      <c r="A42" s="21" t="s">
        <v>131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4" t="s">
        <v>105</v>
      </c>
      <c r="B43" s="4" t="s">
        <v>106</v>
      </c>
      <c r="C43" s="4" t="s">
        <v>107</v>
      </c>
      <c r="D43" s="4" t="s">
        <v>108</v>
      </c>
      <c r="E43" s="4" t="s">
        <v>109</v>
      </c>
      <c r="F43" s="4" t="s">
        <v>110</v>
      </c>
      <c r="G43" s="4" t="s">
        <v>129</v>
      </c>
      <c r="H43" s="4" t="s">
        <v>130</v>
      </c>
      <c r="I43" s="4" t="s">
        <v>113</v>
      </c>
      <c r="J43" s="4" t="s">
        <v>114</v>
      </c>
      <c r="K43" s="4" t="s">
        <v>115</v>
      </c>
      <c r="L43" s="4" t="s">
        <v>116</v>
      </c>
    </row>
    <row r="44" customFormat="false" ht="15" hidden="false" customHeight="false" outlineLevel="0" collapsed="false">
      <c r="A44" s="23" t="n">
        <v>1</v>
      </c>
      <c r="B44" s="23" t="s">
        <v>55</v>
      </c>
      <c r="C44" s="23" t="s">
        <v>35</v>
      </c>
      <c r="D44" s="24" t="n">
        <v>385433.18</v>
      </c>
      <c r="E44" s="24" t="n">
        <v>0</v>
      </c>
      <c r="F44" s="24" t="n">
        <v>0</v>
      </c>
      <c r="G44" s="24" t="n">
        <v>237496.79</v>
      </c>
      <c r="H44" s="24" t="n">
        <v>22759.44</v>
      </c>
      <c r="I44" s="24" t="n">
        <f aca="false">G44+H44</f>
        <v>260256.23</v>
      </c>
      <c r="J44" s="24" t="n">
        <f aca="false">D44-I44</f>
        <v>125176.95</v>
      </c>
      <c r="K44" s="25" t="s">
        <v>119</v>
      </c>
      <c r="L44" s="25" t="s">
        <v>120</v>
      </c>
    </row>
    <row r="45" customFormat="false" ht="15" hidden="false" customHeight="false" outlineLevel="0" collapsed="false">
      <c r="A45" s="23" t="n">
        <v>2</v>
      </c>
      <c r="B45" s="23" t="s">
        <v>56</v>
      </c>
      <c r="C45" s="23" t="s">
        <v>35</v>
      </c>
      <c r="D45" s="24" t="n">
        <v>251079.81</v>
      </c>
      <c r="E45" s="24" t="n">
        <v>0</v>
      </c>
      <c r="F45" s="24" t="n">
        <v>0</v>
      </c>
      <c r="G45" s="24" t="n">
        <v>73421.78</v>
      </c>
      <c r="H45" s="24" t="n">
        <v>9130.17</v>
      </c>
      <c r="I45" s="24" t="n">
        <f aca="false">G45+H45</f>
        <v>82551.95</v>
      </c>
      <c r="J45" s="24" t="n">
        <f aca="false">D45-I45</f>
        <v>168527.86</v>
      </c>
      <c r="K45" s="25" t="s">
        <v>117</v>
      </c>
      <c r="L45" s="25" t="s">
        <v>118</v>
      </c>
    </row>
    <row r="46" customFormat="false" ht="15" hidden="false" customHeight="false" outlineLevel="0" collapsed="false">
      <c r="A46" s="23" t="n">
        <v>3</v>
      </c>
      <c r="B46" s="23" t="s">
        <v>57</v>
      </c>
      <c r="C46" s="23" t="s">
        <v>37</v>
      </c>
      <c r="D46" s="24" t="n">
        <v>701.99</v>
      </c>
      <c r="E46" s="24" t="n">
        <v>0</v>
      </c>
      <c r="F46" s="24" t="n">
        <v>0</v>
      </c>
      <c r="G46" s="24" t="n">
        <v>391.1</v>
      </c>
      <c r="H46" s="24" t="n">
        <v>41.45</v>
      </c>
      <c r="I46" s="24" t="n">
        <f aca="false">G46+H46</f>
        <v>432.55</v>
      </c>
      <c r="J46" s="24" t="n">
        <f aca="false">D46-I46</f>
        <v>269.44</v>
      </c>
      <c r="K46" s="25" t="s">
        <v>119</v>
      </c>
      <c r="L46" s="25" t="s">
        <v>120</v>
      </c>
    </row>
    <row r="47" customFormat="false" ht="15" hidden="false" customHeight="false" outlineLevel="0" collapsed="false">
      <c r="A47" s="23" t="n">
        <v>4</v>
      </c>
      <c r="B47" s="23" t="s">
        <v>58</v>
      </c>
      <c r="C47" s="23" t="s">
        <v>37</v>
      </c>
      <c r="D47" s="24" t="n">
        <v>457.29</v>
      </c>
      <c r="E47" s="24" t="n">
        <v>0</v>
      </c>
      <c r="F47" s="24" t="n">
        <v>0</v>
      </c>
      <c r="G47" s="24" t="n">
        <v>132.35</v>
      </c>
      <c r="H47" s="24" t="n">
        <v>16.63</v>
      </c>
      <c r="I47" s="24" t="n">
        <f aca="false">G47+H47</f>
        <v>148.98</v>
      </c>
      <c r="J47" s="24" t="n">
        <f aca="false">D47-I47</f>
        <v>308.31</v>
      </c>
      <c r="K47" s="25" t="s">
        <v>117</v>
      </c>
      <c r="L47" s="25" t="s">
        <v>118</v>
      </c>
    </row>
    <row r="48" customFormat="false" ht="15" hidden="false" customHeight="false" outlineLevel="0" collapsed="false">
      <c r="A48" s="23" t="n">
        <v>5</v>
      </c>
      <c r="B48" s="23" t="s">
        <v>59</v>
      </c>
      <c r="C48" s="23" t="s">
        <v>35</v>
      </c>
      <c r="D48" s="24" t="n">
        <v>36361.63</v>
      </c>
      <c r="E48" s="24" t="n">
        <v>0</v>
      </c>
      <c r="F48" s="24" t="n">
        <v>0</v>
      </c>
      <c r="G48" s="24" t="n">
        <v>21789.19</v>
      </c>
      <c r="H48" s="24" t="n">
        <v>2241.91</v>
      </c>
      <c r="I48" s="24" t="n">
        <f aca="false">G48+H48</f>
        <v>24031.1</v>
      </c>
      <c r="J48" s="24" t="n">
        <f aca="false">D48-I48</f>
        <v>12330.53</v>
      </c>
      <c r="K48" s="25" t="s">
        <v>119</v>
      </c>
      <c r="L48" s="25" t="s">
        <v>120</v>
      </c>
    </row>
    <row r="49" customFormat="false" ht="15" hidden="false" customHeight="false" outlineLevel="0" collapsed="false">
      <c r="A49" s="23" t="n">
        <v>6</v>
      </c>
      <c r="B49" s="23" t="s">
        <v>60</v>
      </c>
      <c r="C49" s="23" t="s">
        <v>35</v>
      </c>
      <c r="D49" s="24" t="n">
        <v>23686.78</v>
      </c>
      <c r="E49" s="24" t="n">
        <v>0</v>
      </c>
      <c r="F49" s="24" t="n">
        <v>0</v>
      </c>
      <c r="G49" s="24" t="n">
        <v>6926.61</v>
      </c>
      <c r="H49" s="24" t="n">
        <v>861.34</v>
      </c>
      <c r="I49" s="24" t="n">
        <f aca="false">G49+H49</f>
        <v>7787.95</v>
      </c>
      <c r="J49" s="24" t="n">
        <f aca="false">D49-I49</f>
        <v>15898.83</v>
      </c>
      <c r="K49" s="25" t="s">
        <v>117</v>
      </c>
      <c r="L49" s="25" t="s">
        <v>118</v>
      </c>
    </row>
    <row r="50" customFormat="false" ht="15" hidden="false" customHeight="false" outlineLevel="0" collapsed="false">
      <c r="A50" s="23" t="n">
        <v>7</v>
      </c>
      <c r="B50" s="23" t="s">
        <v>61</v>
      </c>
      <c r="C50" s="23" t="s">
        <v>35</v>
      </c>
      <c r="D50" s="24" t="n">
        <v>65864.56</v>
      </c>
      <c r="E50" s="24" t="n">
        <v>0</v>
      </c>
      <c r="F50" s="24" t="n">
        <v>0</v>
      </c>
      <c r="G50" s="24" t="n">
        <v>40584.53</v>
      </c>
      <c r="H50" s="24" t="n">
        <v>3889.24</v>
      </c>
      <c r="I50" s="24" t="n">
        <f aca="false">G50+H50</f>
        <v>44473.77</v>
      </c>
      <c r="J50" s="24" t="n">
        <f aca="false">D50-I50</f>
        <v>21390.79</v>
      </c>
      <c r="K50" s="25" t="s">
        <v>119</v>
      </c>
      <c r="L50" s="25" t="s">
        <v>120</v>
      </c>
    </row>
    <row r="51" customFormat="false" ht="15" hidden="false" customHeight="false" outlineLevel="0" collapsed="false">
      <c r="A51" s="23" t="n">
        <v>8</v>
      </c>
      <c r="B51" s="23" t="s">
        <v>62</v>
      </c>
      <c r="C51" s="23" t="s">
        <v>35</v>
      </c>
      <c r="D51" s="24" t="n">
        <v>42905.66</v>
      </c>
      <c r="E51" s="24" t="n">
        <v>0</v>
      </c>
      <c r="F51" s="24" t="n">
        <v>0</v>
      </c>
      <c r="G51" s="24" t="n">
        <v>12546.69</v>
      </c>
      <c r="H51" s="24" t="n">
        <v>1560.21</v>
      </c>
      <c r="I51" s="24" t="n">
        <f aca="false">G51+H51</f>
        <v>14106.9</v>
      </c>
      <c r="J51" s="24" t="n">
        <f aca="false">D51-I51</f>
        <v>28798.76</v>
      </c>
      <c r="K51" s="25" t="s">
        <v>117</v>
      </c>
      <c r="L51" s="25" t="s">
        <v>118</v>
      </c>
    </row>
    <row r="52" customFormat="false" ht="15" hidden="false" customHeight="false" outlineLevel="0" collapsed="false">
      <c r="A52" s="26"/>
      <c r="B52" s="27" t="s">
        <v>53</v>
      </c>
      <c r="C52" s="26"/>
      <c r="D52" s="28" t="n">
        <f aca="false">SUM(D44:D51)</f>
        <v>806490.9</v>
      </c>
      <c r="E52" s="28" t="n">
        <f aca="false">SUM(E44:E51)</f>
        <v>0</v>
      </c>
      <c r="F52" s="28" t="n">
        <f aca="false">SUM(F44:F51)</f>
        <v>0</v>
      </c>
      <c r="G52" s="28" t="n">
        <f aca="false">SUM(G44:G51)</f>
        <v>393289.04</v>
      </c>
      <c r="H52" s="28" t="n">
        <f aca="false">SUM(H44:H51)</f>
        <v>40500.39</v>
      </c>
      <c r="I52" s="28" t="n">
        <f aca="false">SUM(I44:I51)</f>
        <v>433789.43</v>
      </c>
      <c r="J52" s="28" t="n">
        <f aca="false">SUM(J44:J51)</f>
        <v>372701.47</v>
      </c>
      <c r="K52" s="26"/>
      <c r="L52" s="26"/>
    </row>
    <row r="54" customFormat="false" ht="15" hidden="false" customHeight="false" outlineLevel="0" collapsed="false">
      <c r="B54" s="18" t="s">
        <v>132</v>
      </c>
    </row>
    <row r="55" customFormat="false" ht="15" hidden="false" customHeight="false" outlineLevel="0" collapsed="false">
      <c r="B55" s="5" t="s">
        <v>125</v>
      </c>
      <c r="D55" s="6" t="n">
        <f aca="false">I40</f>
        <v>353546.9</v>
      </c>
    </row>
    <row r="56" customFormat="false" ht="15" hidden="false" customHeight="false" outlineLevel="0" collapsed="false">
      <c r="B56" s="5" t="s">
        <v>126</v>
      </c>
      <c r="D56" s="6" t="n">
        <f aca="false">I52</f>
        <v>433789.43</v>
      </c>
    </row>
    <row r="57" customFormat="false" ht="15" hidden="false" customHeight="false" outlineLevel="0" collapsed="false">
      <c r="B57" s="11" t="s">
        <v>132</v>
      </c>
      <c r="D57" s="29" t="n">
        <f aca="false">D55-D56</f>
        <v>-80242.53</v>
      </c>
    </row>
    <row r="59" customFormat="false" ht="15" hidden="false" customHeight="false" outlineLevel="0" collapsed="false">
      <c r="A59" s="10" t="s">
        <v>133</v>
      </c>
    </row>
    <row r="60" customFormat="false" ht="15" hidden="false" customHeight="false" outlineLevel="0" collapsed="false">
      <c r="B60" s="11" t="s">
        <v>134</v>
      </c>
      <c r="D60" s="12" t="n">
        <f aca="false">D84</f>
        <v>806490.9</v>
      </c>
    </row>
    <row r="61" customFormat="false" ht="15" hidden="false" customHeight="false" outlineLevel="0" collapsed="false">
      <c r="B61" s="5" t="s">
        <v>135</v>
      </c>
      <c r="D61" s="6" t="n">
        <f aca="false">F84</f>
        <v>488361.36</v>
      </c>
    </row>
    <row r="62" customFormat="false" ht="15" hidden="false" customHeight="false" outlineLevel="0" collapsed="false">
      <c r="B62" s="30" t="s">
        <v>136</v>
      </c>
      <c r="D62" s="31" t="n">
        <f aca="false">F85</f>
        <v>0.605538586982197</v>
      </c>
    </row>
    <row r="63" customFormat="false" ht="15" hidden="false" customHeight="false" outlineLevel="0" collapsed="false">
      <c r="B63" s="5" t="s">
        <v>137</v>
      </c>
      <c r="D63" s="6" t="n">
        <f aca="false">H84</f>
        <v>318129.54</v>
      </c>
    </row>
    <row r="64" customFormat="false" ht="15" hidden="false" customHeight="false" outlineLevel="0" collapsed="false">
      <c r="B64" s="30" t="s">
        <v>136</v>
      </c>
      <c r="D64" s="31" t="n">
        <f aca="false">H85</f>
        <v>0.394461413017803</v>
      </c>
    </row>
    <row r="66" customFormat="false" ht="15" hidden="false" customHeight="false" outlineLevel="0" collapsed="false">
      <c r="A66" s="10" t="s">
        <v>138</v>
      </c>
    </row>
    <row r="67" customFormat="false" ht="15" hidden="false" customHeight="false" outlineLevel="0" collapsed="false">
      <c r="B67" s="4" t="s">
        <v>139</v>
      </c>
      <c r="D67" s="4" t="s">
        <v>108</v>
      </c>
      <c r="F67" s="4" t="s">
        <v>140</v>
      </c>
      <c r="H67" s="4" t="s">
        <v>141</v>
      </c>
    </row>
    <row r="68" customFormat="false" ht="15" hidden="false" customHeight="false" outlineLevel="0" collapsed="false">
      <c r="B68" s="32" t="s">
        <v>142</v>
      </c>
    </row>
    <row r="69" customFormat="false" ht="15" hidden="false" customHeight="false" outlineLevel="0" collapsed="false">
      <c r="B69" s="5" t="s">
        <v>143</v>
      </c>
      <c r="D69" s="33" t="n">
        <f aca="false">SUM(F69:H69)</f>
        <v>6585</v>
      </c>
      <c r="F69" s="33" t="n">
        <v>6585</v>
      </c>
    </row>
    <row r="70" customFormat="false" ht="15" hidden="false" customHeight="false" outlineLevel="0" collapsed="false">
      <c r="B70" s="5" t="s">
        <v>144</v>
      </c>
      <c r="D70" s="33" t="n">
        <f aca="false">SUM(F70:H70)</f>
        <v>197049.29</v>
      </c>
      <c r="F70" s="33" t="n">
        <v>197049.29</v>
      </c>
    </row>
    <row r="71" customFormat="false" ht="15" hidden="false" customHeight="false" outlineLevel="0" collapsed="false">
      <c r="B71" s="5" t="s">
        <v>145</v>
      </c>
      <c r="D71" s="33" t="n">
        <f aca="false">SUM(F71:H71)</f>
        <v>1558.83</v>
      </c>
      <c r="F71" s="33" t="n">
        <v>1558.83</v>
      </c>
    </row>
    <row r="72" customFormat="false" ht="15" hidden="false" customHeight="false" outlineLevel="0" collapsed="false">
      <c r="B72" s="5" t="s">
        <v>146</v>
      </c>
      <c r="D72" s="33" t="n">
        <f aca="false">SUM(F72:H72)</f>
        <v>3348.88</v>
      </c>
      <c r="F72" s="33" t="n">
        <v>3348.88</v>
      </c>
    </row>
    <row r="73" customFormat="false" ht="15" hidden="false" customHeight="false" outlineLevel="0" collapsed="false">
      <c r="B73" s="5" t="s">
        <v>147</v>
      </c>
      <c r="D73" s="33" t="n">
        <f aca="false">SUM(F73:H73)</f>
        <v>171862.61</v>
      </c>
      <c r="F73" s="33" t="n">
        <v>171862.61</v>
      </c>
    </row>
    <row r="74" customFormat="false" ht="15" hidden="false" customHeight="false" outlineLevel="0" collapsed="false">
      <c r="B74" s="5" t="s">
        <v>148</v>
      </c>
      <c r="D74" s="33" t="n">
        <f aca="false">SUM(F74:H74)</f>
        <v>3748.12</v>
      </c>
      <c r="F74" s="33" t="n">
        <v>3748.12</v>
      </c>
    </row>
    <row r="75" customFormat="false" ht="15" hidden="false" customHeight="false" outlineLevel="0" collapsed="false">
      <c r="B75" s="5" t="s">
        <v>149</v>
      </c>
      <c r="D75" s="33" t="n">
        <f aca="false">SUM(F75:H75)</f>
        <v>5352.49</v>
      </c>
      <c r="F75" s="33" t="n">
        <v>5352.49</v>
      </c>
    </row>
    <row r="76" customFormat="false" ht="15" hidden="false" customHeight="false" outlineLevel="0" collapsed="false">
      <c r="B76" s="5" t="s">
        <v>150</v>
      </c>
      <c r="D76" s="33" t="n">
        <f aca="false">SUM(F76:H76)</f>
        <v>43171.77</v>
      </c>
      <c r="F76" s="33" t="n">
        <v>43171.77</v>
      </c>
    </row>
    <row r="77" customFormat="false" ht="15" hidden="false" customHeight="false" outlineLevel="0" collapsed="false">
      <c r="B77" s="5" t="s">
        <v>151</v>
      </c>
      <c r="D77" s="33" t="n">
        <f aca="false">SUM(F77:H77)</f>
        <v>3820.42</v>
      </c>
      <c r="F77" s="33" t="n">
        <v>3820.42</v>
      </c>
    </row>
    <row r="78" customFormat="false" ht="15" hidden="false" customHeight="false" outlineLevel="0" collapsed="false">
      <c r="B78" s="5" t="s">
        <v>152</v>
      </c>
      <c r="D78" s="33" t="n">
        <f aca="false">SUM(F78:H78)</f>
        <v>29214.83</v>
      </c>
      <c r="F78" s="33" t="n">
        <v>29214.83</v>
      </c>
    </row>
    <row r="79" customFormat="false" ht="15" hidden="false" customHeight="false" outlineLevel="0" collapsed="false">
      <c r="B79" s="5" t="s">
        <v>153</v>
      </c>
      <c r="D79" s="33" t="n">
        <f aca="false">SUM(F79:H79)</f>
        <v>5694.27</v>
      </c>
      <c r="F79" s="33" t="n">
        <v>5694.27</v>
      </c>
    </row>
    <row r="80" customFormat="false" ht="15" hidden="false" customHeight="false" outlineLevel="0" collapsed="false">
      <c r="B80" s="5" t="s">
        <v>154</v>
      </c>
      <c r="D80" s="33" t="n">
        <f aca="false">SUM(F80:H80)</f>
        <v>6803.37</v>
      </c>
      <c r="F80" s="33" t="n">
        <v>6803.37</v>
      </c>
    </row>
    <row r="81" customFormat="false" ht="15" hidden="false" customHeight="false" outlineLevel="0" collapsed="false">
      <c r="B81" s="5" t="s">
        <v>155</v>
      </c>
      <c r="D81" s="33" t="n">
        <f aca="false">SUM(F81:H81)</f>
        <v>10151.48</v>
      </c>
      <c r="F81" s="33" t="n">
        <v>10151.48</v>
      </c>
    </row>
    <row r="82" customFormat="false" ht="15" hidden="false" customHeight="false" outlineLevel="0" collapsed="false">
      <c r="B82" s="32" t="s">
        <v>156</v>
      </c>
    </row>
    <row r="83" customFormat="false" ht="15" hidden="false" customHeight="false" outlineLevel="0" collapsed="false">
      <c r="B83" s="5" t="s">
        <v>156</v>
      </c>
      <c r="D83" s="33" t="n">
        <f aca="false">SUM(F83:H83)</f>
        <v>318129.54</v>
      </c>
      <c r="H83" s="33" t="n">
        <v>318129.54</v>
      </c>
    </row>
    <row r="84" customFormat="false" ht="15" hidden="false" customHeight="false" outlineLevel="0" collapsed="false">
      <c r="B84" s="11" t="s">
        <v>134</v>
      </c>
      <c r="D84" s="34" t="n">
        <f aca="false">SUM(D68:D83)</f>
        <v>806490.9</v>
      </c>
      <c r="F84" s="34" t="n">
        <f aca="false">SUM(F68:F83)</f>
        <v>488361.36</v>
      </c>
      <c r="H84" s="34" t="n">
        <f aca="false">SUM(H68:H83)</f>
        <v>318129.54</v>
      </c>
    </row>
    <row r="85" customFormat="false" ht="15" hidden="false" customHeight="false" outlineLevel="0" collapsed="false">
      <c r="B85" s="30" t="s">
        <v>136</v>
      </c>
      <c r="F85" s="31" t="n">
        <f aca="false">F84/D84</f>
        <v>0.605538586982197</v>
      </c>
      <c r="H85" s="31" t="n">
        <f aca="false">H84/D84</f>
        <v>0.394461413017803</v>
      </c>
    </row>
    <row r="87" customFormat="false" ht="15" hidden="false" customHeight="false" outlineLevel="0" collapsed="false">
      <c r="A87" s="10" t="s">
        <v>157</v>
      </c>
    </row>
    <row r="88" customFormat="false" ht="15" hidden="false" customHeight="false" outlineLevel="0" collapsed="false">
      <c r="B88" s="4" t="s">
        <v>158</v>
      </c>
      <c r="D88" s="4" t="s">
        <v>108</v>
      </c>
      <c r="F88" s="4" t="s">
        <v>140</v>
      </c>
      <c r="H88" s="4" t="s">
        <v>141</v>
      </c>
    </row>
    <row r="89" customFormat="false" ht="15" hidden="false" customHeight="false" outlineLevel="0" collapsed="false">
      <c r="B89" s="5" t="str">
        <f aca="false">Site!B18</f>
        <v>1 - Buillding - Site - 15yr</v>
      </c>
      <c r="D89" s="33" t="n">
        <f aca="false">SUM(F89:H89)</f>
        <v>385433.18</v>
      </c>
      <c r="F89" s="33" t="n">
        <f aca="false">Site!D18</f>
        <v>385433.18</v>
      </c>
    </row>
    <row r="90" customFormat="false" ht="15" hidden="false" customHeight="false" outlineLevel="0" collapsed="false">
      <c r="B90" s="5" t="str">
        <f aca="false">Site!B19</f>
        <v>1 - Buillding - Site - 27.5yr</v>
      </c>
      <c r="D90" s="33" t="n">
        <f aca="false">SUM(F90:H90)</f>
        <v>251079.81</v>
      </c>
      <c r="H90" s="33" t="n">
        <f aca="false">Site!D19</f>
        <v>251079.81</v>
      </c>
    </row>
    <row r="91" customFormat="false" ht="15" hidden="false" customHeight="false" outlineLevel="0" collapsed="false">
      <c r="B91" s="5" t="str">
        <f aca="false">Site!B20</f>
        <v>5 - Building - Site - 15yr</v>
      </c>
      <c r="D91" s="33" t="n">
        <f aca="false">SUM(F91:H91)</f>
        <v>701.99</v>
      </c>
      <c r="F91" s="33" t="n">
        <f aca="false">Site!D20</f>
        <v>701.99</v>
      </c>
    </row>
    <row r="92" customFormat="false" ht="15" hidden="false" customHeight="false" outlineLevel="0" collapsed="false">
      <c r="B92" s="5" t="str">
        <f aca="false">Site!B21</f>
        <v>5 - Building - Site - 27.5yr</v>
      </c>
      <c r="D92" s="33" t="n">
        <f aca="false">SUM(F92:H92)</f>
        <v>457.29</v>
      </c>
      <c r="H92" s="33" t="n">
        <f aca="false">Site!D21</f>
        <v>457.29</v>
      </c>
    </row>
    <row r="93" customFormat="false" ht="15" hidden="false" customHeight="false" outlineLevel="0" collapsed="false">
      <c r="B93" s="5" t="str">
        <f aca="false">Site!B22</f>
        <v>3 - Land Improvements - Site - 15yr</v>
      </c>
      <c r="D93" s="33" t="n">
        <f aca="false">SUM(F93:H93)</f>
        <v>36361.63</v>
      </c>
      <c r="F93" s="33" t="n">
        <f aca="false">Site!D22</f>
        <v>36361.63</v>
      </c>
    </row>
    <row r="94" customFormat="false" ht="15" hidden="false" customHeight="false" outlineLevel="0" collapsed="false">
      <c r="B94" s="5" t="str">
        <f aca="false">Site!B23</f>
        <v>3 - Land Improvements - Site - 27.5yr</v>
      </c>
      <c r="D94" s="33" t="n">
        <f aca="false">SUM(F94:H94)</f>
        <v>23686.78</v>
      </c>
      <c r="H94" s="33" t="n">
        <f aca="false">Site!D23</f>
        <v>23686.78</v>
      </c>
    </row>
    <row r="95" customFormat="false" ht="15" hidden="false" customHeight="false" outlineLevel="0" collapsed="false">
      <c r="B95" s="5" t="str">
        <f aca="false">Site!B24</f>
        <v>4 - Equipment - Site - 15yr</v>
      </c>
      <c r="D95" s="33" t="n">
        <f aca="false">SUM(F95:H95)</f>
        <v>65864.56</v>
      </c>
      <c r="F95" s="33" t="n">
        <f aca="false">Site!D24</f>
        <v>65864.56</v>
      </c>
    </row>
    <row r="96" customFormat="false" ht="15" hidden="false" customHeight="false" outlineLevel="0" collapsed="false">
      <c r="B96" s="5" t="str">
        <f aca="false">Site!B25</f>
        <v>4 - Equipment - Site - 27.5yr</v>
      </c>
      <c r="D96" s="33" t="n">
        <f aca="false">SUM(F96:H96)</f>
        <v>42905.66</v>
      </c>
      <c r="H96" s="33" t="n">
        <f aca="false">Site!D25</f>
        <v>42905.66</v>
      </c>
    </row>
    <row r="97" customFormat="false" ht="15" hidden="false" customHeight="false" outlineLevel="0" collapsed="false">
      <c r="B97" s="11" t="s">
        <v>159</v>
      </c>
      <c r="D97" s="34" t="n">
        <f aca="false">SUM(D89:D96)</f>
        <v>806490.9</v>
      </c>
      <c r="F97" s="34" t="n">
        <f aca="false">SUM(F89:F96)</f>
        <v>488361.36</v>
      </c>
      <c r="H97" s="34" t="n">
        <f aca="false">SUM(H89:H96)</f>
        <v>318129.54</v>
      </c>
    </row>
    <row r="98" customFormat="false" ht="15" hidden="false" customHeight="false" outlineLevel="0" collapsed="false">
      <c r="B98" s="16" t="s">
        <v>160</v>
      </c>
      <c r="D98" s="17" t="n">
        <f aca="false">D97-D84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161</v>
      </c>
    </row>
    <row r="5" customFormat="false" ht="15" hidden="false" customHeight="false" outlineLevel="0" collapsed="false">
      <c r="A5" s="16" t="s">
        <v>102</v>
      </c>
    </row>
    <row r="7" customFormat="false" ht="15" hidden="false" customHeight="false" outlineLevel="0" collapsed="false">
      <c r="A7" s="10" t="s">
        <v>103</v>
      </c>
    </row>
    <row r="8" customFormat="false" ht="15" hidden="false" customHeight="false" outlineLevel="0" collapsed="false">
      <c r="A8" s="21" t="s">
        <v>104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105</v>
      </c>
      <c r="B9" s="4" t="s">
        <v>106</v>
      </c>
      <c r="C9" s="4" t="s">
        <v>107</v>
      </c>
      <c r="D9" s="4" t="s">
        <v>108</v>
      </c>
      <c r="E9" s="4" t="s">
        <v>109</v>
      </c>
      <c r="F9" s="4" t="s">
        <v>110</v>
      </c>
      <c r="G9" s="4" t="s">
        <v>111</v>
      </c>
      <c r="H9" s="4" t="s">
        <v>112</v>
      </c>
      <c r="I9" s="4" t="s">
        <v>113</v>
      </c>
      <c r="J9" s="4" t="s">
        <v>114</v>
      </c>
      <c r="K9" s="4" t="s">
        <v>115</v>
      </c>
      <c r="L9" s="4" t="s">
        <v>116</v>
      </c>
    </row>
    <row r="10" customFormat="false" ht="15" hidden="false" customHeight="false" outlineLevel="0" collapsed="false">
      <c r="A10" s="23" t="n">
        <v>1</v>
      </c>
      <c r="B10" s="23" t="s">
        <v>41</v>
      </c>
      <c r="C10" s="23" t="s">
        <v>35</v>
      </c>
      <c r="D10" s="24" t="n">
        <v>87855.35</v>
      </c>
      <c r="E10" s="24" t="n">
        <v>0</v>
      </c>
      <c r="F10" s="24" t="n">
        <v>0</v>
      </c>
      <c r="G10" s="24" t="n">
        <v>25690.6</v>
      </c>
      <c r="H10" s="24" t="n">
        <v>3194.76</v>
      </c>
      <c r="I10" s="24" t="n">
        <f aca="false">G10+H10</f>
        <v>28885.36</v>
      </c>
      <c r="J10" s="24" t="n">
        <f aca="false">D10-I10</f>
        <v>58969.99</v>
      </c>
      <c r="K10" s="25" t="s">
        <v>117</v>
      </c>
      <c r="L10" s="25" t="s">
        <v>118</v>
      </c>
    </row>
    <row r="11" customFormat="false" ht="15" hidden="false" customHeight="false" outlineLevel="0" collapsed="false">
      <c r="A11" s="23" t="n">
        <v>2</v>
      </c>
      <c r="B11" s="23" t="s">
        <v>42</v>
      </c>
      <c r="C11" s="23" t="s">
        <v>37</v>
      </c>
      <c r="D11" s="24" t="n">
        <v>160.01</v>
      </c>
      <c r="E11" s="24" t="n">
        <v>0</v>
      </c>
      <c r="F11" s="24" t="n">
        <v>0</v>
      </c>
      <c r="G11" s="24" t="n">
        <v>46.34</v>
      </c>
      <c r="H11" s="24" t="n">
        <v>5.82</v>
      </c>
      <c r="I11" s="24" t="n">
        <f aca="false">G11+H11</f>
        <v>52.16</v>
      </c>
      <c r="J11" s="24" t="n">
        <f aca="false">D11-I11</f>
        <v>107.85</v>
      </c>
      <c r="K11" s="25" t="s">
        <v>117</v>
      </c>
      <c r="L11" s="25" t="s">
        <v>118</v>
      </c>
    </row>
    <row r="12" customFormat="false" ht="15" hidden="false" customHeight="false" outlineLevel="0" collapsed="false">
      <c r="A12" s="23" t="n">
        <v>3</v>
      </c>
      <c r="B12" s="23" t="s">
        <v>43</v>
      </c>
      <c r="C12" s="23" t="s">
        <v>35</v>
      </c>
      <c r="D12" s="24" t="n">
        <v>8288.23</v>
      </c>
      <c r="E12" s="24" t="n">
        <v>0</v>
      </c>
      <c r="F12" s="24" t="n">
        <v>0</v>
      </c>
      <c r="G12" s="24" t="n">
        <v>4854.14</v>
      </c>
      <c r="H12" s="24" t="n">
        <v>489.01</v>
      </c>
      <c r="I12" s="24" t="n">
        <f aca="false">G12+H12</f>
        <v>5343.15</v>
      </c>
      <c r="J12" s="24" t="n">
        <f aca="false">D12-I12</f>
        <v>2945.08</v>
      </c>
      <c r="K12" s="25" t="s">
        <v>119</v>
      </c>
      <c r="L12" s="25" t="s">
        <v>120</v>
      </c>
    </row>
    <row r="13" customFormat="false" ht="15" hidden="false" customHeight="false" outlineLevel="0" collapsed="false">
      <c r="A13" s="23" t="n">
        <v>4</v>
      </c>
      <c r="B13" s="23" t="s">
        <v>44</v>
      </c>
      <c r="C13" s="23" t="s">
        <v>35</v>
      </c>
      <c r="D13" s="24" t="n">
        <v>15013.12</v>
      </c>
      <c r="E13" s="24" t="n">
        <v>0</v>
      </c>
      <c r="F13" s="24" t="n">
        <v>0</v>
      </c>
      <c r="G13" s="24" t="n">
        <v>14512.68</v>
      </c>
      <c r="H13" s="24" t="n">
        <v>0</v>
      </c>
      <c r="I13" s="24" t="n">
        <f aca="false">G13+H13</f>
        <v>14512.68</v>
      </c>
      <c r="J13" s="24" t="n">
        <f aca="false">D13-I13</f>
        <v>500.440000000001</v>
      </c>
      <c r="K13" s="25" t="s">
        <v>121</v>
      </c>
      <c r="L13" s="25" t="s">
        <v>122</v>
      </c>
    </row>
    <row r="14" customFormat="false" ht="15" hidden="false" customHeight="false" outlineLevel="0" collapsed="false">
      <c r="A14" s="26"/>
      <c r="B14" s="27" t="s">
        <v>53</v>
      </c>
      <c r="C14" s="26"/>
      <c r="D14" s="28" t="n">
        <f aca="false">SUM(D10:D13)</f>
        <v>111316.71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45103.76</v>
      </c>
      <c r="H14" s="28" t="n">
        <f aca="false">SUM(H10:H13)</f>
        <v>3689.59</v>
      </c>
      <c r="I14" s="28" t="n">
        <f aca="false">SUM(I10:I13)</f>
        <v>48793.35</v>
      </c>
      <c r="J14" s="28" t="n">
        <f aca="false">SUM(J10:J13)</f>
        <v>62523.36</v>
      </c>
      <c r="K14" s="26"/>
      <c r="L14" s="26"/>
    </row>
    <row r="16" customFormat="false" ht="15" hidden="false" customHeight="false" outlineLevel="0" collapsed="false">
      <c r="A16" s="21" t="s">
        <v>123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4" t="s">
        <v>105</v>
      </c>
      <c r="B17" s="4" t="s">
        <v>106</v>
      </c>
      <c r="C17" s="4" t="s">
        <v>107</v>
      </c>
      <c r="D17" s="4" t="s">
        <v>108</v>
      </c>
      <c r="E17" s="4" t="s">
        <v>109</v>
      </c>
      <c r="F17" s="4" t="s">
        <v>110</v>
      </c>
      <c r="G17" s="4" t="s">
        <v>111</v>
      </c>
      <c r="H17" s="4" t="s">
        <v>112</v>
      </c>
      <c r="I17" s="4" t="s">
        <v>113</v>
      </c>
      <c r="J17" s="4" t="s">
        <v>114</v>
      </c>
      <c r="K17" s="4" t="s">
        <v>115</v>
      </c>
      <c r="L17" s="4" t="s">
        <v>116</v>
      </c>
    </row>
    <row r="18" customFormat="false" ht="15" hidden="false" customHeight="false" outlineLevel="0" collapsed="false">
      <c r="A18" s="23" t="n">
        <v>1</v>
      </c>
      <c r="B18" s="23" t="s">
        <v>63</v>
      </c>
      <c r="C18" s="23" t="s">
        <v>35</v>
      </c>
      <c r="D18" s="24" t="n">
        <v>15749.94</v>
      </c>
      <c r="E18" s="24" t="n">
        <v>0</v>
      </c>
      <c r="F18" s="24" t="n">
        <v>0</v>
      </c>
      <c r="G18" s="24" t="n">
        <v>15749.94</v>
      </c>
      <c r="H18" s="24" t="n">
        <v>0</v>
      </c>
      <c r="I18" s="24" t="n">
        <f aca="false">G18+H18</f>
        <v>15749.94</v>
      </c>
      <c r="J18" s="24" t="n">
        <f aca="false">D18-I18</f>
        <v>0</v>
      </c>
      <c r="K18" s="25" t="s">
        <v>121</v>
      </c>
      <c r="L18" s="25" t="s">
        <v>122</v>
      </c>
    </row>
    <row r="19" customFormat="false" ht="15" hidden="false" customHeight="false" outlineLevel="0" collapsed="false">
      <c r="A19" s="23" t="n">
        <v>2</v>
      </c>
      <c r="B19" s="23" t="s">
        <v>64</v>
      </c>
      <c r="C19" s="23" t="s">
        <v>35</v>
      </c>
      <c r="D19" s="24" t="n">
        <v>72105.41</v>
      </c>
      <c r="E19" s="24" t="n">
        <v>0</v>
      </c>
      <c r="F19" s="24" t="n">
        <v>0</v>
      </c>
      <c r="G19" s="24" t="n">
        <v>21085.33</v>
      </c>
      <c r="H19" s="24" t="n">
        <v>2622.01</v>
      </c>
      <c r="I19" s="24" t="n">
        <f aca="false">G19+H19</f>
        <v>23707.34</v>
      </c>
      <c r="J19" s="24" t="n">
        <f aca="false">D19-I19</f>
        <v>48398.07</v>
      </c>
      <c r="K19" s="25" t="s">
        <v>117</v>
      </c>
      <c r="L19" s="25" t="s">
        <v>118</v>
      </c>
    </row>
    <row r="20" customFormat="false" ht="15" hidden="false" customHeight="false" outlineLevel="0" collapsed="false">
      <c r="A20" s="23" t="n">
        <v>3</v>
      </c>
      <c r="B20" s="23" t="s">
        <v>65</v>
      </c>
      <c r="C20" s="23" t="s">
        <v>37</v>
      </c>
      <c r="D20" s="24" t="n">
        <v>28.69</v>
      </c>
      <c r="E20" s="24" t="n">
        <v>0</v>
      </c>
      <c r="F20" s="24" t="n">
        <v>0</v>
      </c>
      <c r="G20" s="24" t="n">
        <v>28.69</v>
      </c>
      <c r="H20" s="24" t="n">
        <v>0</v>
      </c>
      <c r="I20" s="24" t="n">
        <f aca="false">G20+H20</f>
        <v>28.69</v>
      </c>
      <c r="J20" s="24" t="n">
        <f aca="false">D20-I20</f>
        <v>0</v>
      </c>
      <c r="K20" s="25" t="s">
        <v>121</v>
      </c>
      <c r="L20" s="25" t="s">
        <v>122</v>
      </c>
    </row>
    <row r="21" customFormat="false" ht="15" hidden="false" customHeight="false" outlineLevel="0" collapsed="false">
      <c r="A21" s="23" t="n">
        <v>4</v>
      </c>
      <c r="B21" s="23" t="s">
        <v>66</v>
      </c>
      <c r="C21" s="23" t="s">
        <v>37</v>
      </c>
      <c r="D21" s="24" t="n">
        <v>131.32</v>
      </c>
      <c r="E21" s="24" t="n">
        <v>0</v>
      </c>
      <c r="F21" s="24" t="n">
        <v>0</v>
      </c>
      <c r="G21" s="24" t="n">
        <v>38.04</v>
      </c>
      <c r="H21" s="24" t="n">
        <v>4.78</v>
      </c>
      <c r="I21" s="24" t="n">
        <f aca="false">G21+H21</f>
        <v>42.82</v>
      </c>
      <c r="J21" s="24" t="n">
        <f aca="false">D21-I21</f>
        <v>88.5</v>
      </c>
      <c r="K21" s="25" t="s">
        <v>117</v>
      </c>
      <c r="L21" s="25" t="s">
        <v>118</v>
      </c>
    </row>
    <row r="22" customFormat="false" ht="15" hidden="false" customHeight="false" outlineLevel="0" collapsed="false">
      <c r="A22" s="23" t="n">
        <v>5</v>
      </c>
      <c r="B22" s="23" t="s">
        <v>67</v>
      </c>
      <c r="C22" s="23" t="s">
        <v>35</v>
      </c>
      <c r="D22" s="24" t="n">
        <v>1485.84</v>
      </c>
      <c r="E22" s="24" t="n">
        <v>0</v>
      </c>
      <c r="F22" s="24" t="n">
        <v>0</v>
      </c>
      <c r="G22" s="24" t="n">
        <v>1485.84</v>
      </c>
      <c r="H22" s="24" t="n">
        <v>0</v>
      </c>
      <c r="I22" s="24" t="n">
        <f aca="false">G22+H22</f>
        <v>1485.84</v>
      </c>
      <c r="J22" s="24" t="n">
        <f aca="false">D22-I22</f>
        <v>0</v>
      </c>
      <c r="K22" s="25" t="s">
        <v>121</v>
      </c>
      <c r="L22" s="25" t="s">
        <v>122</v>
      </c>
    </row>
    <row r="23" customFormat="false" ht="15" hidden="false" customHeight="false" outlineLevel="0" collapsed="false">
      <c r="A23" s="23" t="n">
        <v>6</v>
      </c>
      <c r="B23" s="23" t="s">
        <v>68</v>
      </c>
      <c r="C23" s="23" t="s">
        <v>35</v>
      </c>
      <c r="D23" s="24" t="n">
        <v>6802.39</v>
      </c>
      <c r="E23" s="24" t="n">
        <v>0</v>
      </c>
      <c r="F23" s="24" t="n">
        <v>0</v>
      </c>
      <c r="G23" s="24" t="n">
        <v>1989.19</v>
      </c>
      <c r="H23" s="24" t="n">
        <v>247.36</v>
      </c>
      <c r="I23" s="24" t="n">
        <f aca="false">G23+H23</f>
        <v>2236.55</v>
      </c>
      <c r="J23" s="24" t="n">
        <f aca="false">D23-I23</f>
        <v>4565.84</v>
      </c>
      <c r="K23" s="25" t="s">
        <v>117</v>
      </c>
      <c r="L23" s="25" t="s">
        <v>118</v>
      </c>
    </row>
    <row r="24" customFormat="false" ht="15" hidden="false" customHeight="false" outlineLevel="0" collapsed="false">
      <c r="A24" s="23" t="n">
        <v>7</v>
      </c>
      <c r="B24" s="23" t="s">
        <v>69</v>
      </c>
      <c r="C24" s="23" t="s">
        <v>35</v>
      </c>
      <c r="D24" s="24" t="n">
        <v>2691.42</v>
      </c>
      <c r="E24" s="24" t="n">
        <v>0</v>
      </c>
      <c r="F24" s="24" t="n">
        <v>0</v>
      </c>
      <c r="G24" s="24" t="n">
        <v>2691.42</v>
      </c>
      <c r="H24" s="24" t="n">
        <v>0</v>
      </c>
      <c r="I24" s="24" t="n">
        <f aca="false">G24+H24</f>
        <v>2691.42</v>
      </c>
      <c r="J24" s="24" t="n">
        <f aca="false">D24-I24</f>
        <v>0</v>
      </c>
      <c r="K24" s="25" t="s">
        <v>121</v>
      </c>
      <c r="L24" s="25" t="s">
        <v>122</v>
      </c>
    </row>
    <row r="25" customFormat="false" ht="15" hidden="false" customHeight="false" outlineLevel="0" collapsed="false">
      <c r="A25" s="23" t="n">
        <v>8</v>
      </c>
      <c r="B25" s="23" t="s">
        <v>70</v>
      </c>
      <c r="C25" s="23" t="s">
        <v>35</v>
      </c>
      <c r="D25" s="24" t="n">
        <v>12321.7</v>
      </c>
      <c r="E25" s="24" t="n">
        <v>0</v>
      </c>
      <c r="F25" s="24" t="n">
        <v>0</v>
      </c>
      <c r="G25" s="24" t="n">
        <v>3603.15</v>
      </c>
      <c r="H25" s="24" t="n">
        <v>448.06</v>
      </c>
      <c r="I25" s="24" t="n">
        <f aca="false">G25+H25</f>
        <v>4051.21</v>
      </c>
      <c r="J25" s="24" t="n">
        <f aca="false">D25-I25</f>
        <v>8270.49</v>
      </c>
      <c r="K25" s="25" t="s">
        <v>117</v>
      </c>
      <c r="L25" s="25" t="s">
        <v>118</v>
      </c>
    </row>
    <row r="26" customFormat="false" ht="15" hidden="false" customHeight="false" outlineLevel="0" collapsed="false">
      <c r="A26" s="26"/>
      <c r="B26" s="27" t="s">
        <v>53</v>
      </c>
      <c r="C26" s="26"/>
      <c r="D26" s="28" t="n">
        <f aca="false">SUM(D18:D25)</f>
        <v>111316.71</v>
      </c>
      <c r="E26" s="28" t="n">
        <f aca="false">SUM(E18:E25)</f>
        <v>0</v>
      </c>
      <c r="F26" s="28" t="n">
        <f aca="false">SUM(F18:F25)</f>
        <v>0</v>
      </c>
      <c r="G26" s="28" t="n">
        <f aca="false">SUM(G18:G25)</f>
        <v>46671.6</v>
      </c>
      <c r="H26" s="28" t="n">
        <f aca="false">SUM(H18:H25)</f>
        <v>3322.21</v>
      </c>
      <c r="I26" s="28" t="n">
        <f aca="false">SUM(I18:I25)</f>
        <v>49993.81</v>
      </c>
      <c r="J26" s="28" t="n">
        <f aca="false">SUM(J18:J25)</f>
        <v>61322.9</v>
      </c>
      <c r="K26" s="26"/>
      <c r="L26" s="26"/>
    </row>
    <row r="28" customFormat="false" ht="15" hidden="false" customHeight="false" outlineLevel="0" collapsed="false">
      <c r="B28" s="18" t="s">
        <v>124</v>
      </c>
    </row>
    <row r="29" customFormat="false" ht="15" hidden="false" customHeight="false" outlineLevel="0" collapsed="false">
      <c r="B29" s="5" t="s">
        <v>125</v>
      </c>
      <c r="D29" s="6" t="n">
        <f aca="false">I14</f>
        <v>48793.35</v>
      </c>
    </row>
    <row r="30" customFormat="false" ht="15" hidden="false" customHeight="false" outlineLevel="0" collapsed="false">
      <c r="B30" s="5" t="s">
        <v>126</v>
      </c>
      <c r="D30" s="6" t="n">
        <f aca="false">I26</f>
        <v>49993.81</v>
      </c>
    </row>
    <row r="31" customFormat="false" ht="15" hidden="false" customHeight="false" outlineLevel="0" collapsed="false">
      <c r="B31" s="11" t="s">
        <v>124</v>
      </c>
      <c r="D31" s="29" t="n">
        <f aca="false">D29-D30</f>
        <v>-1200.46000000001</v>
      </c>
    </row>
    <row r="33" customFormat="false" ht="15" hidden="false" customHeight="false" outlineLevel="0" collapsed="false">
      <c r="A33" s="10" t="s">
        <v>127</v>
      </c>
    </row>
    <row r="34" customFormat="false" ht="15" hidden="false" customHeight="false" outlineLevel="0" collapsed="false">
      <c r="A34" s="21" t="s">
        <v>128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4" t="s">
        <v>105</v>
      </c>
      <c r="B35" s="4" t="s">
        <v>106</v>
      </c>
      <c r="C35" s="4" t="s">
        <v>107</v>
      </c>
      <c r="D35" s="4" t="s">
        <v>108</v>
      </c>
      <c r="E35" s="4" t="s">
        <v>109</v>
      </c>
      <c r="F35" s="4" t="s">
        <v>110</v>
      </c>
      <c r="G35" s="4" t="s">
        <v>129</v>
      </c>
      <c r="H35" s="4" t="s">
        <v>130</v>
      </c>
      <c r="I35" s="4" t="s">
        <v>113</v>
      </c>
      <c r="J35" s="4" t="s">
        <v>114</v>
      </c>
      <c r="K35" s="4" t="s">
        <v>115</v>
      </c>
      <c r="L35" s="4" t="s">
        <v>116</v>
      </c>
    </row>
    <row r="36" customFormat="false" ht="15" hidden="false" customHeight="false" outlineLevel="0" collapsed="false">
      <c r="A36" s="23" t="n">
        <v>1</v>
      </c>
      <c r="B36" s="23" t="s">
        <v>41</v>
      </c>
      <c r="C36" s="23" t="s">
        <v>35</v>
      </c>
      <c r="D36" s="24" t="n">
        <v>87855.35</v>
      </c>
      <c r="E36" s="24" t="n">
        <v>0</v>
      </c>
      <c r="F36" s="24" t="n">
        <v>0</v>
      </c>
      <c r="G36" s="24" t="n">
        <v>25690.6</v>
      </c>
      <c r="H36" s="24" t="n">
        <v>3194.76</v>
      </c>
      <c r="I36" s="24" t="n">
        <f aca="false">G36+H36</f>
        <v>28885.36</v>
      </c>
      <c r="J36" s="24" t="n">
        <f aca="false">D36-I36</f>
        <v>58969.99</v>
      </c>
      <c r="K36" s="25" t="s">
        <v>117</v>
      </c>
      <c r="L36" s="25" t="s">
        <v>118</v>
      </c>
    </row>
    <row r="37" customFormat="false" ht="15" hidden="false" customHeight="false" outlineLevel="0" collapsed="false">
      <c r="A37" s="23" t="n">
        <v>2</v>
      </c>
      <c r="B37" s="23" t="s">
        <v>42</v>
      </c>
      <c r="C37" s="23" t="s">
        <v>37</v>
      </c>
      <c r="D37" s="24" t="n">
        <v>160.01</v>
      </c>
      <c r="E37" s="24" t="n">
        <v>0</v>
      </c>
      <c r="F37" s="24" t="n">
        <v>0</v>
      </c>
      <c r="G37" s="24" t="n">
        <v>46.34</v>
      </c>
      <c r="H37" s="24" t="n">
        <v>5.82</v>
      </c>
      <c r="I37" s="24" t="n">
        <f aca="false">G37+H37</f>
        <v>52.16</v>
      </c>
      <c r="J37" s="24" t="n">
        <f aca="false">D37-I37</f>
        <v>107.85</v>
      </c>
      <c r="K37" s="25" t="s">
        <v>117</v>
      </c>
      <c r="L37" s="25" t="s">
        <v>118</v>
      </c>
    </row>
    <row r="38" customFormat="false" ht="15" hidden="false" customHeight="false" outlineLevel="0" collapsed="false">
      <c r="A38" s="23" t="n">
        <v>3</v>
      </c>
      <c r="B38" s="23" t="s">
        <v>43</v>
      </c>
      <c r="C38" s="23" t="s">
        <v>35</v>
      </c>
      <c r="D38" s="24" t="n">
        <v>8288.23</v>
      </c>
      <c r="E38" s="24" t="n">
        <v>0</v>
      </c>
      <c r="F38" s="24" t="n">
        <v>0</v>
      </c>
      <c r="G38" s="24" t="n">
        <v>4854.14</v>
      </c>
      <c r="H38" s="24" t="n">
        <v>489.01</v>
      </c>
      <c r="I38" s="24" t="n">
        <f aca="false">G38+H38</f>
        <v>5343.15</v>
      </c>
      <c r="J38" s="24" t="n">
        <f aca="false">D38-I38</f>
        <v>2945.08</v>
      </c>
      <c r="K38" s="25" t="s">
        <v>119</v>
      </c>
      <c r="L38" s="25" t="s">
        <v>120</v>
      </c>
    </row>
    <row r="39" customFormat="false" ht="15" hidden="false" customHeight="false" outlineLevel="0" collapsed="false">
      <c r="A39" s="23" t="n">
        <v>4</v>
      </c>
      <c r="B39" s="23" t="s">
        <v>44</v>
      </c>
      <c r="C39" s="23" t="s">
        <v>35</v>
      </c>
      <c r="D39" s="24" t="n">
        <v>15013.12</v>
      </c>
      <c r="E39" s="24" t="n">
        <v>0</v>
      </c>
      <c r="F39" s="24" t="n">
        <v>0</v>
      </c>
      <c r="G39" s="24" t="n">
        <v>14512.68</v>
      </c>
      <c r="H39" s="24" t="n">
        <v>0</v>
      </c>
      <c r="I39" s="24" t="n">
        <f aca="false">G39+H39</f>
        <v>14512.68</v>
      </c>
      <c r="J39" s="24" t="n">
        <f aca="false">D39-I39</f>
        <v>500.440000000001</v>
      </c>
      <c r="K39" s="25" t="s">
        <v>121</v>
      </c>
      <c r="L39" s="25" t="s">
        <v>122</v>
      </c>
    </row>
    <row r="40" customFormat="false" ht="15" hidden="false" customHeight="false" outlineLevel="0" collapsed="false">
      <c r="A40" s="26"/>
      <c r="B40" s="27" t="s">
        <v>53</v>
      </c>
      <c r="C40" s="26"/>
      <c r="D40" s="28" t="n">
        <f aca="false">SUM(D36:D39)</f>
        <v>111316.71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45103.76</v>
      </c>
      <c r="H40" s="28" t="n">
        <f aca="false">SUM(H36:H39)</f>
        <v>3689.59</v>
      </c>
      <c r="I40" s="28" t="n">
        <f aca="false">SUM(I36:I39)</f>
        <v>48793.35</v>
      </c>
      <c r="J40" s="28" t="n">
        <f aca="false">SUM(J36:J39)</f>
        <v>62523.36</v>
      </c>
      <c r="K40" s="26"/>
      <c r="L40" s="26"/>
    </row>
    <row r="42" customFormat="false" ht="15" hidden="false" customHeight="false" outlineLevel="0" collapsed="false">
      <c r="A42" s="21" t="s">
        <v>131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4" t="s">
        <v>105</v>
      </c>
      <c r="B43" s="4" t="s">
        <v>106</v>
      </c>
      <c r="C43" s="4" t="s">
        <v>107</v>
      </c>
      <c r="D43" s="4" t="s">
        <v>108</v>
      </c>
      <c r="E43" s="4" t="s">
        <v>109</v>
      </c>
      <c r="F43" s="4" t="s">
        <v>110</v>
      </c>
      <c r="G43" s="4" t="s">
        <v>129</v>
      </c>
      <c r="H43" s="4" t="s">
        <v>130</v>
      </c>
      <c r="I43" s="4" t="s">
        <v>113</v>
      </c>
      <c r="J43" s="4" t="s">
        <v>114</v>
      </c>
      <c r="K43" s="4" t="s">
        <v>115</v>
      </c>
      <c r="L43" s="4" t="s">
        <v>116</v>
      </c>
    </row>
    <row r="44" customFormat="false" ht="15" hidden="false" customHeight="false" outlineLevel="0" collapsed="false">
      <c r="A44" s="23" t="n">
        <v>1</v>
      </c>
      <c r="B44" s="23" t="s">
        <v>63</v>
      </c>
      <c r="C44" s="23" t="s">
        <v>35</v>
      </c>
      <c r="D44" s="24" t="n">
        <v>15749.94</v>
      </c>
      <c r="E44" s="24" t="n">
        <v>0</v>
      </c>
      <c r="F44" s="24" t="n">
        <v>0</v>
      </c>
      <c r="G44" s="24" t="n">
        <v>15749.94</v>
      </c>
      <c r="H44" s="24" t="n">
        <v>0</v>
      </c>
      <c r="I44" s="24" t="n">
        <f aca="false">G44+H44</f>
        <v>15749.94</v>
      </c>
      <c r="J44" s="24" t="n">
        <f aca="false">D44-I44</f>
        <v>0</v>
      </c>
      <c r="K44" s="25" t="s">
        <v>121</v>
      </c>
      <c r="L44" s="25" t="s">
        <v>122</v>
      </c>
    </row>
    <row r="45" customFormat="false" ht="15" hidden="false" customHeight="false" outlineLevel="0" collapsed="false">
      <c r="A45" s="23" t="n">
        <v>2</v>
      </c>
      <c r="B45" s="23" t="s">
        <v>64</v>
      </c>
      <c r="C45" s="23" t="s">
        <v>35</v>
      </c>
      <c r="D45" s="24" t="n">
        <v>72105.41</v>
      </c>
      <c r="E45" s="24" t="n">
        <v>0</v>
      </c>
      <c r="F45" s="24" t="n">
        <v>0</v>
      </c>
      <c r="G45" s="24" t="n">
        <v>21085.33</v>
      </c>
      <c r="H45" s="24" t="n">
        <v>2622.01</v>
      </c>
      <c r="I45" s="24" t="n">
        <f aca="false">G45+H45</f>
        <v>23707.34</v>
      </c>
      <c r="J45" s="24" t="n">
        <f aca="false">D45-I45</f>
        <v>48398.07</v>
      </c>
      <c r="K45" s="25" t="s">
        <v>117</v>
      </c>
      <c r="L45" s="25" t="s">
        <v>118</v>
      </c>
    </row>
    <row r="46" customFormat="false" ht="15" hidden="false" customHeight="false" outlineLevel="0" collapsed="false">
      <c r="A46" s="23" t="n">
        <v>3</v>
      </c>
      <c r="B46" s="23" t="s">
        <v>65</v>
      </c>
      <c r="C46" s="23" t="s">
        <v>37</v>
      </c>
      <c r="D46" s="24" t="n">
        <v>28.69</v>
      </c>
      <c r="E46" s="24" t="n">
        <v>0</v>
      </c>
      <c r="F46" s="24" t="n">
        <v>0</v>
      </c>
      <c r="G46" s="24" t="n">
        <v>28.69</v>
      </c>
      <c r="H46" s="24" t="n">
        <v>0</v>
      </c>
      <c r="I46" s="24" t="n">
        <f aca="false">G46+H46</f>
        <v>28.69</v>
      </c>
      <c r="J46" s="24" t="n">
        <f aca="false">D46-I46</f>
        <v>0</v>
      </c>
      <c r="K46" s="25" t="s">
        <v>121</v>
      </c>
      <c r="L46" s="25" t="s">
        <v>122</v>
      </c>
    </row>
    <row r="47" customFormat="false" ht="15" hidden="false" customHeight="false" outlineLevel="0" collapsed="false">
      <c r="A47" s="23" t="n">
        <v>4</v>
      </c>
      <c r="B47" s="23" t="s">
        <v>66</v>
      </c>
      <c r="C47" s="23" t="s">
        <v>37</v>
      </c>
      <c r="D47" s="24" t="n">
        <v>131.32</v>
      </c>
      <c r="E47" s="24" t="n">
        <v>0</v>
      </c>
      <c r="F47" s="24" t="n">
        <v>0</v>
      </c>
      <c r="G47" s="24" t="n">
        <v>38.04</v>
      </c>
      <c r="H47" s="24" t="n">
        <v>4.78</v>
      </c>
      <c r="I47" s="24" t="n">
        <f aca="false">G47+H47</f>
        <v>42.82</v>
      </c>
      <c r="J47" s="24" t="n">
        <f aca="false">D47-I47</f>
        <v>88.5</v>
      </c>
      <c r="K47" s="25" t="s">
        <v>117</v>
      </c>
      <c r="L47" s="25" t="s">
        <v>118</v>
      </c>
    </row>
    <row r="48" customFormat="false" ht="15" hidden="false" customHeight="false" outlineLevel="0" collapsed="false">
      <c r="A48" s="23" t="n">
        <v>5</v>
      </c>
      <c r="B48" s="23" t="s">
        <v>67</v>
      </c>
      <c r="C48" s="23" t="s">
        <v>35</v>
      </c>
      <c r="D48" s="24" t="n">
        <v>1485.84</v>
      </c>
      <c r="E48" s="24" t="n">
        <v>0</v>
      </c>
      <c r="F48" s="24" t="n">
        <v>0</v>
      </c>
      <c r="G48" s="24" t="n">
        <v>1485.84</v>
      </c>
      <c r="H48" s="24" t="n">
        <v>0</v>
      </c>
      <c r="I48" s="24" t="n">
        <f aca="false">G48+H48</f>
        <v>1485.84</v>
      </c>
      <c r="J48" s="24" t="n">
        <f aca="false">D48-I48</f>
        <v>0</v>
      </c>
      <c r="K48" s="25" t="s">
        <v>121</v>
      </c>
      <c r="L48" s="25" t="s">
        <v>122</v>
      </c>
    </row>
    <row r="49" customFormat="false" ht="15" hidden="false" customHeight="false" outlineLevel="0" collapsed="false">
      <c r="A49" s="23" t="n">
        <v>6</v>
      </c>
      <c r="B49" s="23" t="s">
        <v>68</v>
      </c>
      <c r="C49" s="23" t="s">
        <v>35</v>
      </c>
      <c r="D49" s="24" t="n">
        <v>6802.39</v>
      </c>
      <c r="E49" s="24" t="n">
        <v>0</v>
      </c>
      <c r="F49" s="24" t="n">
        <v>0</v>
      </c>
      <c r="G49" s="24" t="n">
        <v>1989.19</v>
      </c>
      <c r="H49" s="24" t="n">
        <v>247.36</v>
      </c>
      <c r="I49" s="24" t="n">
        <f aca="false">G49+H49</f>
        <v>2236.55</v>
      </c>
      <c r="J49" s="24" t="n">
        <f aca="false">D49-I49</f>
        <v>4565.84</v>
      </c>
      <c r="K49" s="25" t="s">
        <v>117</v>
      </c>
      <c r="L49" s="25" t="s">
        <v>118</v>
      </c>
    </row>
    <row r="50" customFormat="false" ht="15" hidden="false" customHeight="false" outlineLevel="0" collapsed="false">
      <c r="A50" s="23" t="n">
        <v>7</v>
      </c>
      <c r="B50" s="23" t="s">
        <v>69</v>
      </c>
      <c r="C50" s="23" t="s">
        <v>35</v>
      </c>
      <c r="D50" s="24" t="n">
        <v>2691.42</v>
      </c>
      <c r="E50" s="24" t="n">
        <v>0</v>
      </c>
      <c r="F50" s="24" t="n">
        <v>0</v>
      </c>
      <c r="G50" s="24" t="n">
        <v>2691.42</v>
      </c>
      <c r="H50" s="24" t="n">
        <v>0</v>
      </c>
      <c r="I50" s="24" t="n">
        <f aca="false">G50+H50</f>
        <v>2691.42</v>
      </c>
      <c r="J50" s="24" t="n">
        <f aca="false">D50-I50</f>
        <v>0</v>
      </c>
      <c r="K50" s="25" t="s">
        <v>121</v>
      </c>
      <c r="L50" s="25" t="s">
        <v>122</v>
      </c>
    </row>
    <row r="51" customFormat="false" ht="15" hidden="false" customHeight="false" outlineLevel="0" collapsed="false">
      <c r="A51" s="23" t="n">
        <v>8</v>
      </c>
      <c r="B51" s="23" t="s">
        <v>70</v>
      </c>
      <c r="C51" s="23" t="s">
        <v>35</v>
      </c>
      <c r="D51" s="24" t="n">
        <v>12321.7</v>
      </c>
      <c r="E51" s="24" t="n">
        <v>0</v>
      </c>
      <c r="F51" s="24" t="n">
        <v>0</v>
      </c>
      <c r="G51" s="24" t="n">
        <v>3603.15</v>
      </c>
      <c r="H51" s="24" t="n">
        <v>448.06</v>
      </c>
      <c r="I51" s="24" t="n">
        <f aca="false">G51+H51</f>
        <v>4051.21</v>
      </c>
      <c r="J51" s="24" t="n">
        <f aca="false">D51-I51</f>
        <v>8270.49</v>
      </c>
      <c r="K51" s="25" t="s">
        <v>117</v>
      </c>
      <c r="L51" s="25" t="s">
        <v>118</v>
      </c>
    </row>
    <row r="52" customFormat="false" ht="15" hidden="false" customHeight="false" outlineLevel="0" collapsed="false">
      <c r="A52" s="26"/>
      <c r="B52" s="27" t="s">
        <v>53</v>
      </c>
      <c r="C52" s="26"/>
      <c r="D52" s="28" t="n">
        <f aca="false">SUM(D44:D51)</f>
        <v>111316.71</v>
      </c>
      <c r="E52" s="28" t="n">
        <f aca="false">SUM(E44:E51)</f>
        <v>0</v>
      </c>
      <c r="F52" s="28" t="n">
        <f aca="false">SUM(F44:F51)</f>
        <v>0</v>
      </c>
      <c r="G52" s="28" t="n">
        <f aca="false">SUM(G44:G51)</f>
        <v>46671.6</v>
      </c>
      <c r="H52" s="28" t="n">
        <f aca="false">SUM(H44:H51)</f>
        <v>3322.21</v>
      </c>
      <c r="I52" s="28" t="n">
        <f aca="false">SUM(I44:I51)</f>
        <v>49993.81</v>
      </c>
      <c r="J52" s="28" t="n">
        <f aca="false">SUM(J44:J51)</f>
        <v>61322.9</v>
      </c>
      <c r="K52" s="26"/>
      <c r="L52" s="26"/>
    </row>
    <row r="54" customFormat="false" ht="15" hidden="false" customHeight="false" outlineLevel="0" collapsed="false">
      <c r="B54" s="18" t="s">
        <v>132</v>
      </c>
    </row>
    <row r="55" customFormat="false" ht="15" hidden="false" customHeight="false" outlineLevel="0" collapsed="false">
      <c r="B55" s="5" t="s">
        <v>125</v>
      </c>
      <c r="D55" s="6" t="n">
        <f aca="false">I40</f>
        <v>48793.35</v>
      </c>
    </row>
    <row r="56" customFormat="false" ht="15" hidden="false" customHeight="false" outlineLevel="0" collapsed="false">
      <c r="B56" s="5" t="s">
        <v>126</v>
      </c>
      <c r="D56" s="6" t="n">
        <f aca="false">I52</f>
        <v>49993.81</v>
      </c>
    </row>
    <row r="57" customFormat="false" ht="15" hidden="false" customHeight="false" outlineLevel="0" collapsed="false">
      <c r="B57" s="11" t="s">
        <v>132</v>
      </c>
      <c r="D57" s="29" t="n">
        <f aca="false">D55-D56</f>
        <v>-1200.46000000001</v>
      </c>
    </row>
    <row r="59" customFormat="false" ht="15" hidden="false" customHeight="false" outlineLevel="0" collapsed="false">
      <c r="A59" s="10" t="s">
        <v>133</v>
      </c>
    </row>
    <row r="60" customFormat="false" ht="15" hidden="false" customHeight="false" outlineLevel="0" collapsed="false">
      <c r="B60" s="11" t="s">
        <v>162</v>
      </c>
      <c r="D60" s="12" t="n">
        <f aca="false">D97</f>
        <v>111316.71</v>
      </c>
    </row>
    <row r="61" customFormat="false" ht="15" hidden="false" customHeight="false" outlineLevel="0" collapsed="false">
      <c r="B61" s="5" t="s">
        <v>163</v>
      </c>
      <c r="D61" s="6" t="n">
        <f aca="false">F97</f>
        <v>19955.89</v>
      </c>
    </row>
    <row r="62" customFormat="false" ht="15" hidden="false" customHeight="false" outlineLevel="0" collapsed="false">
      <c r="B62" s="30" t="s">
        <v>136</v>
      </c>
      <c r="D62" s="31" t="n">
        <f aca="false">F98</f>
        <v>0.179271288201026</v>
      </c>
    </row>
    <row r="63" customFormat="false" ht="15" hidden="false" customHeight="false" outlineLevel="0" collapsed="false">
      <c r="B63" s="5" t="s">
        <v>164</v>
      </c>
      <c r="D63" s="6" t="n">
        <f aca="false">H97</f>
        <v>91360.82</v>
      </c>
    </row>
    <row r="64" customFormat="false" ht="15" hidden="false" customHeight="false" outlineLevel="0" collapsed="false">
      <c r="B64" s="30" t="s">
        <v>136</v>
      </c>
      <c r="D64" s="31" t="n">
        <f aca="false">H98</f>
        <v>0.820728711798974</v>
      </c>
    </row>
    <row r="66" customFormat="false" ht="15" hidden="false" customHeight="false" outlineLevel="0" collapsed="false">
      <c r="A66" s="10" t="s">
        <v>138</v>
      </c>
    </row>
    <row r="67" customFormat="false" ht="15" hidden="false" customHeight="false" outlineLevel="0" collapsed="false">
      <c r="B67" s="4" t="s">
        <v>139</v>
      </c>
      <c r="D67" s="4" t="s">
        <v>108</v>
      </c>
      <c r="F67" s="4" t="s">
        <v>165</v>
      </c>
      <c r="H67" s="4" t="s">
        <v>141</v>
      </c>
    </row>
    <row r="68" customFormat="false" ht="15" hidden="false" customHeight="false" outlineLevel="0" collapsed="false">
      <c r="B68" s="32" t="s">
        <v>166</v>
      </c>
    </row>
    <row r="69" customFormat="false" ht="15" hidden="false" customHeight="false" outlineLevel="0" collapsed="false">
      <c r="B69" s="5" t="s">
        <v>167</v>
      </c>
      <c r="D69" s="33" t="n">
        <f aca="false">SUM(F69:H69)</f>
        <v>1211.6</v>
      </c>
      <c r="F69" s="33" t="n">
        <v>1211.6</v>
      </c>
    </row>
    <row r="70" customFormat="false" ht="15" hidden="false" customHeight="false" outlineLevel="0" collapsed="false">
      <c r="B70" s="5" t="s">
        <v>168</v>
      </c>
      <c r="D70" s="33" t="n">
        <f aca="false">SUM(F70:H70)</f>
        <v>2930.23</v>
      </c>
      <c r="F70" s="33" t="n">
        <v>2930.23</v>
      </c>
    </row>
    <row r="71" customFormat="false" ht="15" hidden="false" customHeight="false" outlineLevel="0" collapsed="false">
      <c r="B71" s="5" t="s">
        <v>169</v>
      </c>
      <c r="D71" s="33" t="n">
        <f aca="false">SUM(F71:H71)</f>
        <v>7111.65</v>
      </c>
      <c r="F71" s="33" t="n">
        <v>7111.65</v>
      </c>
    </row>
    <row r="72" customFormat="false" ht="15" hidden="false" customHeight="false" outlineLevel="0" collapsed="false">
      <c r="B72" s="5" t="s">
        <v>170</v>
      </c>
      <c r="D72" s="33" t="n">
        <f aca="false">SUM(F72:H72)</f>
        <v>782.67</v>
      </c>
      <c r="F72" s="33" t="n">
        <v>782.67</v>
      </c>
    </row>
    <row r="73" customFormat="false" ht="15" hidden="false" customHeight="false" outlineLevel="0" collapsed="false">
      <c r="B73" s="5" t="s">
        <v>171</v>
      </c>
      <c r="D73" s="33" t="n">
        <f aca="false">SUM(F73:H73)</f>
        <v>369.85</v>
      </c>
      <c r="F73" s="33" t="n">
        <v>369.85</v>
      </c>
    </row>
    <row r="74" customFormat="false" ht="15" hidden="false" customHeight="false" outlineLevel="0" collapsed="false">
      <c r="B74" s="5" t="s">
        <v>172</v>
      </c>
      <c r="D74" s="33" t="n">
        <f aca="false">SUM(F74:H74)</f>
        <v>364.47</v>
      </c>
      <c r="F74" s="33" t="n">
        <v>364.47</v>
      </c>
    </row>
    <row r="75" customFormat="false" ht="15" hidden="false" customHeight="false" outlineLevel="0" collapsed="false">
      <c r="B75" s="5" t="s">
        <v>173</v>
      </c>
      <c r="D75" s="33" t="n">
        <f aca="false">SUM(F75:H75)</f>
        <v>2369.45</v>
      </c>
      <c r="F75" s="33" t="n">
        <v>2369.45</v>
      </c>
    </row>
    <row r="76" customFormat="false" ht="15" hidden="false" customHeight="false" outlineLevel="0" collapsed="false">
      <c r="B76" s="5" t="s">
        <v>174</v>
      </c>
      <c r="D76" s="33" t="n">
        <f aca="false">SUM(F76:H76)</f>
        <v>665.54</v>
      </c>
      <c r="F76" s="33" t="n">
        <v>665.54</v>
      </c>
    </row>
    <row r="77" customFormat="false" ht="15" hidden="false" customHeight="false" outlineLevel="0" collapsed="false">
      <c r="B77" s="5" t="s">
        <v>175</v>
      </c>
      <c r="D77" s="33" t="n">
        <f aca="false">SUM(F77:H77)</f>
        <v>318.98</v>
      </c>
      <c r="F77" s="33" t="n">
        <v>318.98</v>
      </c>
    </row>
    <row r="78" customFormat="false" ht="15" hidden="false" customHeight="false" outlineLevel="0" collapsed="false">
      <c r="B78" s="5" t="s">
        <v>176</v>
      </c>
      <c r="D78" s="33" t="n">
        <f aca="false">SUM(F78:H78)</f>
        <v>3831.45</v>
      </c>
      <c r="F78" s="33" t="n">
        <v>3831.45</v>
      </c>
    </row>
    <row r="79" customFormat="false" ht="15" hidden="false" customHeight="false" outlineLevel="0" collapsed="false">
      <c r="B79" s="32" t="s">
        <v>177</v>
      </c>
    </row>
    <row r="80" customFormat="false" ht="15" hidden="false" customHeight="false" outlineLevel="0" collapsed="false">
      <c r="B80" s="5" t="s">
        <v>178</v>
      </c>
      <c r="D80" s="33" t="n">
        <f aca="false">SUM(F80:H80)</f>
        <v>7015.23</v>
      </c>
      <c r="H80" s="33" t="n">
        <v>7015.23</v>
      </c>
    </row>
    <row r="81" customFormat="false" ht="15" hidden="false" customHeight="false" outlineLevel="0" collapsed="false">
      <c r="B81" s="5" t="s">
        <v>179</v>
      </c>
      <c r="D81" s="33" t="n">
        <f aca="false">SUM(F81:H81)</f>
        <v>9776.15</v>
      </c>
      <c r="H81" s="33" t="n">
        <v>9776.15</v>
      </c>
    </row>
    <row r="82" customFormat="false" ht="15" hidden="false" customHeight="false" outlineLevel="0" collapsed="false">
      <c r="B82" s="5" t="s">
        <v>180</v>
      </c>
      <c r="D82" s="33" t="n">
        <f aca="false">SUM(F82:H82)</f>
        <v>7127.17</v>
      </c>
      <c r="H82" s="33" t="n">
        <v>7127.17</v>
      </c>
    </row>
    <row r="83" customFormat="false" ht="15" hidden="false" customHeight="false" outlineLevel="0" collapsed="false">
      <c r="B83" s="5" t="s">
        <v>181</v>
      </c>
      <c r="D83" s="33" t="n">
        <f aca="false">SUM(F83:H83)</f>
        <v>7351.5</v>
      </c>
      <c r="H83" s="33" t="n">
        <v>7351.5</v>
      </c>
    </row>
    <row r="84" customFormat="false" ht="15" hidden="false" customHeight="false" outlineLevel="0" collapsed="false">
      <c r="B84" s="5" t="s">
        <v>182</v>
      </c>
      <c r="D84" s="33" t="n">
        <f aca="false">SUM(F84:H84)</f>
        <v>6195.62</v>
      </c>
      <c r="H84" s="33" t="n">
        <v>6195.62</v>
      </c>
    </row>
    <row r="85" customFormat="false" ht="15" hidden="false" customHeight="false" outlineLevel="0" collapsed="false">
      <c r="B85" s="5" t="s">
        <v>183</v>
      </c>
      <c r="D85" s="33" t="n">
        <f aca="false">SUM(F85:H85)</f>
        <v>247.19</v>
      </c>
      <c r="H85" s="33" t="n">
        <v>247.19</v>
      </c>
    </row>
    <row r="86" customFormat="false" ht="15" hidden="false" customHeight="false" outlineLevel="0" collapsed="false">
      <c r="B86" s="5" t="s">
        <v>184</v>
      </c>
      <c r="D86" s="33" t="n">
        <f aca="false">SUM(F86:H86)</f>
        <v>4165.79</v>
      </c>
      <c r="H86" s="33" t="n">
        <v>4165.79</v>
      </c>
    </row>
    <row r="87" customFormat="false" ht="15" hidden="false" customHeight="false" outlineLevel="0" collapsed="false">
      <c r="B87" s="5" t="s">
        <v>185</v>
      </c>
      <c r="D87" s="33" t="n">
        <f aca="false">SUM(F87:H87)</f>
        <v>2464.17</v>
      </c>
      <c r="H87" s="33" t="n">
        <v>2464.17</v>
      </c>
    </row>
    <row r="88" customFormat="false" ht="15" hidden="false" customHeight="false" outlineLevel="0" collapsed="false">
      <c r="B88" s="5" t="s">
        <v>186</v>
      </c>
      <c r="D88" s="33" t="n">
        <f aca="false">SUM(F88:H88)</f>
        <v>1928.81</v>
      </c>
      <c r="H88" s="33" t="n">
        <v>1928.81</v>
      </c>
    </row>
    <row r="89" customFormat="false" ht="15" hidden="false" customHeight="false" outlineLevel="0" collapsed="false">
      <c r="B89" s="5" t="s">
        <v>187</v>
      </c>
      <c r="D89" s="33" t="n">
        <f aca="false">SUM(F89:H89)</f>
        <v>3233.65</v>
      </c>
      <c r="H89" s="33" t="n">
        <v>3233.65</v>
      </c>
    </row>
    <row r="90" customFormat="false" ht="15" hidden="false" customHeight="false" outlineLevel="0" collapsed="false">
      <c r="B90" s="5" t="s">
        <v>188</v>
      </c>
      <c r="D90" s="33" t="n">
        <f aca="false">SUM(F90:H90)</f>
        <v>18160.96</v>
      </c>
      <c r="H90" s="33" t="n">
        <v>18160.96</v>
      </c>
    </row>
    <row r="91" customFormat="false" ht="15" hidden="false" customHeight="false" outlineLevel="0" collapsed="false">
      <c r="B91" s="5" t="s">
        <v>189</v>
      </c>
      <c r="D91" s="33" t="n">
        <f aca="false">SUM(F91:H91)</f>
        <v>6068.28</v>
      </c>
      <c r="H91" s="33" t="n">
        <v>6068.28</v>
      </c>
    </row>
    <row r="92" customFormat="false" ht="15" hidden="false" customHeight="false" outlineLevel="0" collapsed="false">
      <c r="B92" s="5" t="s">
        <v>190</v>
      </c>
      <c r="D92" s="33" t="n">
        <f aca="false">SUM(F92:H92)</f>
        <v>1028.86</v>
      </c>
      <c r="H92" s="33" t="n">
        <v>1028.86</v>
      </c>
    </row>
    <row r="93" customFormat="false" ht="15" hidden="false" customHeight="false" outlineLevel="0" collapsed="false">
      <c r="B93" s="5" t="s">
        <v>191</v>
      </c>
      <c r="D93" s="33" t="n">
        <f aca="false">SUM(F93:H93)</f>
        <v>356.81</v>
      </c>
      <c r="H93" s="33" t="n">
        <v>356.81</v>
      </c>
    </row>
    <row r="94" customFormat="false" ht="15" hidden="false" customHeight="false" outlineLevel="0" collapsed="false">
      <c r="B94" s="5" t="s">
        <v>192</v>
      </c>
      <c r="D94" s="33" t="n">
        <f aca="false">SUM(F94:H94)</f>
        <v>15695.01</v>
      </c>
      <c r="H94" s="33" t="n">
        <v>15695.01</v>
      </c>
    </row>
    <row r="95" customFormat="false" ht="15" hidden="false" customHeight="false" outlineLevel="0" collapsed="false">
      <c r="B95" s="5" t="s">
        <v>193</v>
      </c>
      <c r="D95" s="33" t="n">
        <f aca="false">SUM(F95:H95)</f>
        <v>399.61</v>
      </c>
      <c r="H95" s="33" t="n">
        <v>399.61</v>
      </c>
    </row>
    <row r="96" customFormat="false" ht="15" hidden="false" customHeight="false" outlineLevel="0" collapsed="false">
      <c r="B96" s="5" t="s">
        <v>194</v>
      </c>
      <c r="D96" s="33" t="n">
        <f aca="false">SUM(F96:H96)</f>
        <v>146.01</v>
      </c>
      <c r="H96" s="33" t="n">
        <v>146.01</v>
      </c>
    </row>
    <row r="97" customFormat="false" ht="15" hidden="false" customHeight="false" outlineLevel="0" collapsed="false">
      <c r="B97" s="11" t="s">
        <v>162</v>
      </c>
      <c r="D97" s="34" t="n">
        <f aca="false">SUM(D68:D96)</f>
        <v>111316.71</v>
      </c>
      <c r="F97" s="34" t="n">
        <f aca="false">SUM(F68:F96)</f>
        <v>19955.89</v>
      </c>
      <c r="H97" s="34" t="n">
        <f aca="false">SUM(H68:H96)</f>
        <v>91360.82</v>
      </c>
    </row>
    <row r="98" customFormat="false" ht="15" hidden="false" customHeight="false" outlineLevel="0" collapsed="false">
      <c r="B98" s="30" t="s">
        <v>136</v>
      </c>
      <c r="F98" s="31" t="n">
        <f aca="false">F97/D97</f>
        <v>0.179271288201026</v>
      </c>
      <c r="H98" s="31" t="n">
        <f aca="false">H97/D97</f>
        <v>0.820728711798974</v>
      </c>
    </row>
    <row r="100" customFormat="false" ht="15" hidden="false" customHeight="false" outlineLevel="0" collapsed="false">
      <c r="A100" s="10" t="s">
        <v>157</v>
      </c>
    </row>
    <row r="101" customFormat="false" ht="15" hidden="false" customHeight="false" outlineLevel="0" collapsed="false">
      <c r="B101" s="4" t="s">
        <v>158</v>
      </c>
      <c r="D101" s="4" t="s">
        <v>108</v>
      </c>
      <c r="F101" s="4" t="s">
        <v>165</v>
      </c>
      <c r="H101" s="4" t="s">
        <v>141</v>
      </c>
    </row>
    <row r="102" customFormat="false" ht="15" hidden="false" customHeight="false" outlineLevel="0" collapsed="false">
      <c r="B102" s="5" t="str">
        <f aca="false">Clubhouse!B18</f>
        <v>1 - Buillding - Clubhouse - 5yr</v>
      </c>
      <c r="D102" s="33" t="n">
        <f aca="false">SUM(F102:H102)</f>
        <v>15749.94</v>
      </c>
      <c r="F102" s="33" t="n">
        <f aca="false">Clubhouse!D18</f>
        <v>15749.94</v>
      </c>
    </row>
    <row r="103" customFormat="false" ht="15" hidden="false" customHeight="false" outlineLevel="0" collapsed="false">
      <c r="B103" s="5" t="str">
        <f aca="false">Clubhouse!B19</f>
        <v>1 - Buillding - Clubhouse - 27.5yr</v>
      </c>
      <c r="D103" s="33" t="n">
        <f aca="false">SUM(F103:H103)</f>
        <v>72105.41</v>
      </c>
      <c r="H103" s="33" t="n">
        <f aca="false">Clubhouse!D19</f>
        <v>72105.41</v>
      </c>
    </row>
    <row r="104" customFormat="false" ht="15" hidden="false" customHeight="false" outlineLevel="0" collapsed="false">
      <c r="B104" s="5" t="str">
        <f aca="false">Clubhouse!B20</f>
        <v>5 - Building - Clubhouse - 5yr</v>
      </c>
      <c r="D104" s="33" t="n">
        <f aca="false">SUM(F104:H104)</f>
        <v>28.69</v>
      </c>
      <c r="F104" s="33" t="n">
        <f aca="false">Clubhouse!D20</f>
        <v>28.69</v>
      </c>
    </row>
    <row r="105" customFormat="false" ht="15" hidden="false" customHeight="false" outlineLevel="0" collapsed="false">
      <c r="B105" s="5" t="str">
        <f aca="false">Clubhouse!B21</f>
        <v>5 - Building - Clubhouse - 27.5yr</v>
      </c>
      <c r="D105" s="33" t="n">
        <f aca="false">SUM(F105:H105)</f>
        <v>131.32</v>
      </c>
      <c r="H105" s="33" t="n">
        <f aca="false">Clubhouse!D21</f>
        <v>131.32</v>
      </c>
    </row>
    <row r="106" customFormat="false" ht="15" hidden="false" customHeight="false" outlineLevel="0" collapsed="false">
      <c r="B106" s="5" t="str">
        <f aca="false">Clubhouse!B22</f>
        <v>3 - Land Improvements - Clubhouse - 5yr</v>
      </c>
      <c r="D106" s="33" t="n">
        <f aca="false">SUM(F106:H106)</f>
        <v>1485.84</v>
      </c>
      <c r="F106" s="33" t="n">
        <f aca="false">Clubhouse!D22</f>
        <v>1485.84</v>
      </c>
    </row>
    <row r="107" customFormat="false" ht="15" hidden="false" customHeight="false" outlineLevel="0" collapsed="false">
      <c r="B107" s="5" t="str">
        <f aca="false">Clubhouse!B23</f>
        <v>3 - Land Improvements - Clubhouse - 27.5yr</v>
      </c>
      <c r="D107" s="33" t="n">
        <f aca="false">SUM(F107:H107)</f>
        <v>6802.39</v>
      </c>
      <c r="H107" s="33" t="n">
        <f aca="false">Clubhouse!D23</f>
        <v>6802.39</v>
      </c>
    </row>
    <row r="108" customFormat="false" ht="15" hidden="false" customHeight="false" outlineLevel="0" collapsed="false">
      <c r="B108" s="5" t="str">
        <f aca="false">Clubhouse!B24</f>
        <v>4 - Equipment - Clubhouse - 5yr</v>
      </c>
      <c r="D108" s="33" t="n">
        <f aca="false">SUM(F108:H108)</f>
        <v>2691.42</v>
      </c>
      <c r="F108" s="33" t="n">
        <f aca="false">Clubhouse!D24</f>
        <v>2691.42</v>
      </c>
    </row>
    <row r="109" customFormat="false" ht="15" hidden="false" customHeight="false" outlineLevel="0" collapsed="false">
      <c r="B109" s="5" t="str">
        <f aca="false">Clubhouse!B25</f>
        <v>4 - Equipment - Clubhouse - 27.5yr</v>
      </c>
      <c r="D109" s="33" t="n">
        <f aca="false">SUM(F109:H109)</f>
        <v>12321.7</v>
      </c>
      <c r="H109" s="33" t="n">
        <f aca="false">Clubhouse!D25</f>
        <v>12321.7</v>
      </c>
    </row>
    <row r="110" customFormat="false" ht="15" hidden="false" customHeight="false" outlineLevel="0" collapsed="false">
      <c r="B110" s="11" t="s">
        <v>159</v>
      </c>
      <c r="D110" s="34" t="n">
        <f aca="false">SUM(D102:D109)</f>
        <v>111316.71</v>
      </c>
      <c r="F110" s="34" t="n">
        <f aca="false">SUM(F102:F109)</f>
        <v>19955.89</v>
      </c>
      <c r="H110" s="34" t="n">
        <f aca="false">SUM(H102:H109)</f>
        <v>91360.82</v>
      </c>
    </row>
    <row r="111" customFormat="false" ht="15" hidden="false" customHeight="false" outlineLevel="0" collapsed="false">
      <c r="B111" s="16" t="s">
        <v>160</v>
      </c>
      <c r="D111" s="17" t="n">
        <f aca="false">D110-D97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195</v>
      </c>
    </row>
    <row r="5" customFormat="false" ht="15" hidden="false" customHeight="false" outlineLevel="0" collapsed="false">
      <c r="A5" s="16" t="s">
        <v>102</v>
      </c>
    </row>
    <row r="7" customFormat="false" ht="15" hidden="false" customHeight="false" outlineLevel="0" collapsed="false">
      <c r="A7" s="10" t="s">
        <v>103</v>
      </c>
    </row>
    <row r="8" customFormat="false" ht="15" hidden="false" customHeight="false" outlineLevel="0" collapsed="false">
      <c r="A8" s="21" t="s">
        <v>104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105</v>
      </c>
      <c r="B9" s="4" t="s">
        <v>106</v>
      </c>
      <c r="C9" s="4" t="s">
        <v>107</v>
      </c>
      <c r="D9" s="4" t="s">
        <v>108</v>
      </c>
      <c r="E9" s="4" t="s">
        <v>109</v>
      </c>
      <c r="F9" s="4" t="s">
        <v>110</v>
      </c>
      <c r="G9" s="4" t="s">
        <v>111</v>
      </c>
      <c r="H9" s="4" t="s">
        <v>112</v>
      </c>
      <c r="I9" s="4" t="s">
        <v>113</v>
      </c>
      <c r="J9" s="4" t="s">
        <v>114</v>
      </c>
      <c r="K9" s="4" t="s">
        <v>115</v>
      </c>
      <c r="L9" s="4" t="s">
        <v>116</v>
      </c>
    </row>
    <row r="10" customFormat="false" ht="15" hidden="false" customHeight="false" outlineLevel="0" collapsed="false">
      <c r="A10" s="23" t="n">
        <v>1</v>
      </c>
      <c r="B10" s="23" t="s">
        <v>45</v>
      </c>
      <c r="C10" s="23" t="s">
        <v>35</v>
      </c>
      <c r="D10" s="24" t="n">
        <v>212191.05</v>
      </c>
      <c r="E10" s="24" t="n">
        <v>0</v>
      </c>
      <c r="F10" s="24" t="n">
        <v>0</v>
      </c>
      <c r="G10" s="24" t="n">
        <v>62049.02</v>
      </c>
      <c r="H10" s="24" t="n">
        <v>7716.04</v>
      </c>
      <c r="I10" s="24" t="n">
        <f aca="false">G10+H10</f>
        <v>69765.06</v>
      </c>
      <c r="J10" s="24" t="n">
        <f aca="false">D10-I10</f>
        <v>142425.99</v>
      </c>
      <c r="K10" s="25" t="s">
        <v>117</v>
      </c>
      <c r="L10" s="25" t="s">
        <v>118</v>
      </c>
    </row>
    <row r="11" customFormat="false" ht="15" hidden="false" customHeight="false" outlineLevel="0" collapsed="false">
      <c r="A11" s="23" t="n">
        <v>2</v>
      </c>
      <c r="B11" s="23" t="s">
        <v>46</v>
      </c>
      <c r="C11" s="23" t="s">
        <v>37</v>
      </c>
      <c r="D11" s="24" t="n">
        <v>386.45</v>
      </c>
      <c r="E11" s="24" t="n">
        <v>0</v>
      </c>
      <c r="F11" s="24" t="n">
        <v>0</v>
      </c>
      <c r="G11" s="24" t="n">
        <v>111.91</v>
      </c>
      <c r="H11" s="24" t="n">
        <v>14.06</v>
      </c>
      <c r="I11" s="24" t="n">
        <f aca="false">G11+H11</f>
        <v>125.97</v>
      </c>
      <c r="J11" s="24" t="n">
        <f aca="false">D11-I11</f>
        <v>260.48</v>
      </c>
      <c r="K11" s="25" t="s">
        <v>117</v>
      </c>
      <c r="L11" s="25" t="s">
        <v>118</v>
      </c>
    </row>
    <row r="12" customFormat="false" ht="15" hidden="false" customHeight="false" outlineLevel="0" collapsed="false">
      <c r="A12" s="23" t="n">
        <v>3</v>
      </c>
      <c r="B12" s="23" t="s">
        <v>47</v>
      </c>
      <c r="C12" s="23" t="s">
        <v>35</v>
      </c>
      <c r="D12" s="24" t="n">
        <v>20018</v>
      </c>
      <c r="E12" s="24" t="n">
        <v>0</v>
      </c>
      <c r="F12" s="24" t="n">
        <v>0</v>
      </c>
      <c r="G12" s="24" t="n">
        <v>11723.87</v>
      </c>
      <c r="H12" s="24" t="n">
        <v>1181.07</v>
      </c>
      <c r="I12" s="24" t="n">
        <f aca="false">G12+H12</f>
        <v>12904.94</v>
      </c>
      <c r="J12" s="24" t="n">
        <f aca="false">D12-I12</f>
        <v>7113.06</v>
      </c>
      <c r="K12" s="25" t="s">
        <v>119</v>
      </c>
      <c r="L12" s="25" t="s">
        <v>120</v>
      </c>
    </row>
    <row r="13" customFormat="false" ht="15" hidden="false" customHeight="false" outlineLevel="0" collapsed="false">
      <c r="A13" s="23" t="n">
        <v>4</v>
      </c>
      <c r="B13" s="23" t="s">
        <v>48</v>
      </c>
      <c r="C13" s="23" t="s">
        <v>35</v>
      </c>
      <c r="D13" s="24" t="n">
        <v>36260.17</v>
      </c>
      <c r="E13" s="24" t="n">
        <v>0</v>
      </c>
      <c r="F13" s="24" t="n">
        <v>0</v>
      </c>
      <c r="G13" s="24" t="n">
        <v>35051.5</v>
      </c>
      <c r="H13" s="24" t="n">
        <v>0</v>
      </c>
      <c r="I13" s="24" t="n">
        <f aca="false">G13+H13</f>
        <v>35051.5</v>
      </c>
      <c r="J13" s="24" t="n">
        <f aca="false">D13-I13</f>
        <v>1208.67</v>
      </c>
      <c r="K13" s="25" t="s">
        <v>121</v>
      </c>
      <c r="L13" s="25" t="s">
        <v>122</v>
      </c>
    </row>
    <row r="14" customFormat="false" ht="15" hidden="false" customHeight="false" outlineLevel="0" collapsed="false">
      <c r="A14" s="26"/>
      <c r="B14" s="27" t="s">
        <v>53</v>
      </c>
      <c r="C14" s="26"/>
      <c r="D14" s="28" t="n">
        <f aca="false">SUM(D10:D13)</f>
        <v>268855.67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108936.3</v>
      </c>
      <c r="H14" s="28" t="n">
        <f aca="false">SUM(H10:H13)</f>
        <v>8911.17</v>
      </c>
      <c r="I14" s="28" t="n">
        <f aca="false">SUM(I10:I13)</f>
        <v>117847.47</v>
      </c>
      <c r="J14" s="28" t="n">
        <f aca="false">SUM(J10:J13)</f>
        <v>151008.2</v>
      </c>
      <c r="K14" s="26"/>
      <c r="L14" s="26"/>
    </row>
    <row r="16" customFormat="false" ht="15" hidden="false" customHeight="false" outlineLevel="0" collapsed="false">
      <c r="A16" s="21" t="s">
        <v>123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4" t="s">
        <v>105</v>
      </c>
      <c r="B17" s="4" t="s">
        <v>106</v>
      </c>
      <c r="C17" s="4" t="s">
        <v>107</v>
      </c>
      <c r="D17" s="4" t="s">
        <v>108</v>
      </c>
      <c r="E17" s="4" t="s">
        <v>109</v>
      </c>
      <c r="F17" s="4" t="s">
        <v>110</v>
      </c>
      <c r="G17" s="4" t="s">
        <v>111</v>
      </c>
      <c r="H17" s="4" t="s">
        <v>112</v>
      </c>
      <c r="I17" s="4" t="s">
        <v>113</v>
      </c>
      <c r="J17" s="4" t="s">
        <v>114</v>
      </c>
      <c r="K17" s="4" t="s">
        <v>115</v>
      </c>
      <c r="L17" s="4" t="s">
        <v>116</v>
      </c>
    </row>
    <row r="18" customFormat="false" ht="15" hidden="false" customHeight="false" outlineLevel="0" collapsed="false">
      <c r="A18" s="23" t="n">
        <v>1</v>
      </c>
      <c r="B18" s="23" t="s">
        <v>71</v>
      </c>
      <c r="C18" s="23" t="s">
        <v>35</v>
      </c>
      <c r="D18" s="24" t="n">
        <v>41085.46</v>
      </c>
      <c r="E18" s="24" t="n">
        <v>0</v>
      </c>
      <c r="F18" s="24" t="n">
        <v>0</v>
      </c>
      <c r="G18" s="24" t="n">
        <v>41085.46</v>
      </c>
      <c r="H18" s="24" t="n">
        <v>0</v>
      </c>
      <c r="I18" s="24" t="n">
        <f aca="false">G18+H18</f>
        <v>41085.46</v>
      </c>
      <c r="J18" s="24" t="n">
        <f aca="false">D18-I18</f>
        <v>0</v>
      </c>
      <c r="K18" s="25" t="s">
        <v>121</v>
      </c>
      <c r="L18" s="25" t="s">
        <v>122</v>
      </c>
    </row>
    <row r="19" customFormat="false" ht="15" hidden="false" customHeight="false" outlineLevel="0" collapsed="false">
      <c r="A19" s="23" t="n">
        <v>2</v>
      </c>
      <c r="B19" s="23" t="s">
        <v>72</v>
      </c>
      <c r="C19" s="23" t="s">
        <v>35</v>
      </c>
      <c r="D19" s="24" t="n">
        <v>171105.59</v>
      </c>
      <c r="E19" s="24" t="n">
        <v>0</v>
      </c>
      <c r="F19" s="24" t="n">
        <v>0</v>
      </c>
      <c r="G19" s="24" t="n">
        <v>50035.41</v>
      </c>
      <c r="H19" s="24" t="n">
        <v>6222.02</v>
      </c>
      <c r="I19" s="24" t="n">
        <f aca="false">G19+H19</f>
        <v>56257.43</v>
      </c>
      <c r="J19" s="24" t="n">
        <f aca="false">D19-I19</f>
        <v>114848.16</v>
      </c>
      <c r="K19" s="25" t="s">
        <v>117</v>
      </c>
      <c r="L19" s="25" t="s">
        <v>118</v>
      </c>
    </row>
    <row r="20" customFormat="false" ht="15" hidden="false" customHeight="false" outlineLevel="0" collapsed="false">
      <c r="A20" s="23" t="n">
        <v>3</v>
      </c>
      <c r="B20" s="23" t="s">
        <v>73</v>
      </c>
      <c r="C20" s="23" t="s">
        <v>37</v>
      </c>
      <c r="D20" s="24" t="n">
        <v>74.83</v>
      </c>
      <c r="E20" s="24" t="n">
        <v>0</v>
      </c>
      <c r="F20" s="24" t="n">
        <v>0</v>
      </c>
      <c r="G20" s="24" t="n">
        <v>74.83</v>
      </c>
      <c r="H20" s="24" t="n">
        <v>0</v>
      </c>
      <c r="I20" s="24" t="n">
        <f aca="false">G20+H20</f>
        <v>74.83</v>
      </c>
      <c r="J20" s="24" t="n">
        <f aca="false">D20-I20</f>
        <v>0</v>
      </c>
      <c r="K20" s="25" t="s">
        <v>121</v>
      </c>
      <c r="L20" s="25" t="s">
        <v>122</v>
      </c>
    </row>
    <row r="21" customFormat="false" ht="15" hidden="false" customHeight="false" outlineLevel="0" collapsed="false">
      <c r="A21" s="23" t="n">
        <v>4</v>
      </c>
      <c r="B21" s="23" t="s">
        <v>74</v>
      </c>
      <c r="C21" s="23" t="s">
        <v>37</v>
      </c>
      <c r="D21" s="24" t="n">
        <v>311.62</v>
      </c>
      <c r="E21" s="24" t="n">
        <v>0</v>
      </c>
      <c r="F21" s="24" t="n">
        <v>0</v>
      </c>
      <c r="G21" s="24" t="n">
        <v>90.17</v>
      </c>
      <c r="H21" s="24" t="n">
        <v>11.33</v>
      </c>
      <c r="I21" s="24" t="n">
        <f aca="false">G21+H21</f>
        <v>101.5</v>
      </c>
      <c r="J21" s="24" t="n">
        <f aca="false">D21-I21</f>
        <v>210.12</v>
      </c>
      <c r="K21" s="25" t="s">
        <v>117</v>
      </c>
      <c r="L21" s="25" t="s">
        <v>118</v>
      </c>
    </row>
    <row r="22" customFormat="false" ht="15" hidden="false" customHeight="false" outlineLevel="0" collapsed="false">
      <c r="A22" s="23" t="n">
        <v>5</v>
      </c>
      <c r="B22" s="23" t="s">
        <v>75</v>
      </c>
      <c r="C22" s="23" t="s">
        <v>35</v>
      </c>
      <c r="D22" s="24" t="n">
        <v>3875.98</v>
      </c>
      <c r="E22" s="24" t="n">
        <v>0</v>
      </c>
      <c r="F22" s="24" t="n">
        <v>0</v>
      </c>
      <c r="G22" s="24" t="n">
        <v>3875.98</v>
      </c>
      <c r="H22" s="24" t="n">
        <v>0</v>
      </c>
      <c r="I22" s="24" t="n">
        <f aca="false">G22+H22</f>
        <v>3875.98</v>
      </c>
      <c r="J22" s="24" t="n">
        <f aca="false">D22-I22</f>
        <v>0</v>
      </c>
      <c r="K22" s="25" t="s">
        <v>121</v>
      </c>
      <c r="L22" s="25" t="s">
        <v>122</v>
      </c>
    </row>
    <row r="23" customFormat="false" ht="15" hidden="false" customHeight="false" outlineLevel="0" collapsed="false">
      <c r="A23" s="23" t="n">
        <v>6</v>
      </c>
      <c r="B23" s="23" t="s">
        <v>76</v>
      </c>
      <c r="C23" s="23" t="s">
        <v>35</v>
      </c>
      <c r="D23" s="24" t="n">
        <v>16142.02</v>
      </c>
      <c r="E23" s="24" t="n">
        <v>0</v>
      </c>
      <c r="F23" s="24" t="n">
        <v>0</v>
      </c>
      <c r="G23" s="24" t="n">
        <v>4720.3</v>
      </c>
      <c r="H23" s="24" t="n">
        <v>586.98</v>
      </c>
      <c r="I23" s="24" t="n">
        <f aca="false">G23+H23</f>
        <v>5307.28</v>
      </c>
      <c r="J23" s="24" t="n">
        <f aca="false">D23-I23</f>
        <v>10834.74</v>
      </c>
      <c r="K23" s="25" t="s">
        <v>117</v>
      </c>
      <c r="L23" s="25" t="s">
        <v>118</v>
      </c>
    </row>
    <row r="24" customFormat="false" ht="15" hidden="false" customHeight="false" outlineLevel="0" collapsed="false">
      <c r="A24" s="23" t="n">
        <v>7</v>
      </c>
      <c r="B24" s="23" t="s">
        <v>77</v>
      </c>
      <c r="C24" s="23" t="s">
        <v>35</v>
      </c>
      <c r="D24" s="24" t="n">
        <v>7020.87</v>
      </c>
      <c r="E24" s="24" t="n">
        <v>0</v>
      </c>
      <c r="F24" s="24" t="n">
        <v>0</v>
      </c>
      <c r="G24" s="24" t="n">
        <v>7020.87</v>
      </c>
      <c r="H24" s="24" t="n">
        <v>0</v>
      </c>
      <c r="I24" s="24" t="n">
        <f aca="false">G24+H24</f>
        <v>7020.87</v>
      </c>
      <c r="J24" s="24" t="n">
        <f aca="false">D24-I24</f>
        <v>0</v>
      </c>
      <c r="K24" s="25" t="s">
        <v>121</v>
      </c>
      <c r="L24" s="25" t="s">
        <v>122</v>
      </c>
    </row>
    <row r="25" customFormat="false" ht="15" hidden="false" customHeight="false" outlineLevel="0" collapsed="false">
      <c r="A25" s="23" t="n">
        <v>8</v>
      </c>
      <c r="B25" s="23" t="s">
        <v>78</v>
      </c>
      <c r="C25" s="23" t="s">
        <v>35</v>
      </c>
      <c r="D25" s="24" t="n">
        <v>29239.3</v>
      </c>
      <c r="E25" s="24" t="n">
        <v>0</v>
      </c>
      <c r="F25" s="24" t="n">
        <v>0</v>
      </c>
      <c r="G25" s="24" t="n">
        <v>8550.3</v>
      </c>
      <c r="H25" s="24" t="n">
        <v>1063.25</v>
      </c>
      <c r="I25" s="24" t="n">
        <f aca="false">G25+H25</f>
        <v>9613.55</v>
      </c>
      <c r="J25" s="24" t="n">
        <f aca="false">D25-I25</f>
        <v>19625.75</v>
      </c>
      <c r="K25" s="25" t="s">
        <v>117</v>
      </c>
      <c r="L25" s="25" t="s">
        <v>118</v>
      </c>
    </row>
    <row r="26" customFormat="false" ht="15" hidden="false" customHeight="false" outlineLevel="0" collapsed="false">
      <c r="A26" s="26"/>
      <c r="B26" s="27" t="s">
        <v>53</v>
      </c>
      <c r="C26" s="26"/>
      <c r="D26" s="28" t="n">
        <f aca="false">SUM(D18:D25)</f>
        <v>268855.67</v>
      </c>
      <c r="E26" s="28" t="n">
        <f aca="false">SUM(E18:E25)</f>
        <v>0</v>
      </c>
      <c r="F26" s="28" t="n">
        <f aca="false">SUM(F18:F25)</f>
        <v>0</v>
      </c>
      <c r="G26" s="28" t="n">
        <f aca="false">SUM(G18:G25)</f>
        <v>115453.32</v>
      </c>
      <c r="H26" s="28" t="n">
        <f aca="false">SUM(H18:H25)</f>
        <v>7883.58</v>
      </c>
      <c r="I26" s="28" t="n">
        <f aca="false">SUM(I18:I25)</f>
        <v>123336.9</v>
      </c>
      <c r="J26" s="28" t="n">
        <f aca="false">SUM(J18:J25)</f>
        <v>145518.77</v>
      </c>
      <c r="K26" s="26"/>
      <c r="L26" s="26"/>
    </row>
    <row r="28" customFormat="false" ht="15" hidden="false" customHeight="false" outlineLevel="0" collapsed="false">
      <c r="B28" s="18" t="s">
        <v>124</v>
      </c>
    </row>
    <row r="29" customFormat="false" ht="15" hidden="false" customHeight="false" outlineLevel="0" collapsed="false">
      <c r="B29" s="5" t="s">
        <v>125</v>
      </c>
      <c r="D29" s="6" t="n">
        <f aca="false">I14</f>
        <v>117847.47</v>
      </c>
    </row>
    <row r="30" customFormat="false" ht="15" hidden="false" customHeight="false" outlineLevel="0" collapsed="false">
      <c r="B30" s="5" t="s">
        <v>126</v>
      </c>
      <c r="D30" s="6" t="n">
        <f aca="false">I26</f>
        <v>123336.9</v>
      </c>
    </row>
    <row r="31" customFormat="false" ht="15" hidden="false" customHeight="false" outlineLevel="0" collapsed="false">
      <c r="B31" s="11" t="s">
        <v>124</v>
      </c>
      <c r="D31" s="29" t="n">
        <f aca="false">D29-D30</f>
        <v>-5489.43000000001</v>
      </c>
    </row>
    <row r="33" customFormat="false" ht="15" hidden="false" customHeight="false" outlineLevel="0" collapsed="false">
      <c r="A33" s="10" t="s">
        <v>127</v>
      </c>
    </row>
    <row r="34" customFormat="false" ht="15" hidden="false" customHeight="false" outlineLevel="0" collapsed="false">
      <c r="A34" s="21" t="s">
        <v>128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4" t="s">
        <v>105</v>
      </c>
      <c r="B35" s="4" t="s">
        <v>106</v>
      </c>
      <c r="C35" s="4" t="s">
        <v>107</v>
      </c>
      <c r="D35" s="4" t="s">
        <v>108</v>
      </c>
      <c r="E35" s="4" t="s">
        <v>109</v>
      </c>
      <c r="F35" s="4" t="s">
        <v>110</v>
      </c>
      <c r="G35" s="4" t="s">
        <v>129</v>
      </c>
      <c r="H35" s="4" t="s">
        <v>130</v>
      </c>
      <c r="I35" s="4" t="s">
        <v>113</v>
      </c>
      <c r="J35" s="4" t="s">
        <v>114</v>
      </c>
      <c r="K35" s="4" t="s">
        <v>115</v>
      </c>
      <c r="L35" s="4" t="s">
        <v>116</v>
      </c>
    </row>
    <row r="36" customFormat="false" ht="15" hidden="false" customHeight="false" outlineLevel="0" collapsed="false">
      <c r="A36" s="23" t="n">
        <v>1</v>
      </c>
      <c r="B36" s="23" t="s">
        <v>45</v>
      </c>
      <c r="C36" s="23" t="s">
        <v>35</v>
      </c>
      <c r="D36" s="24" t="n">
        <v>212191.05</v>
      </c>
      <c r="E36" s="24" t="n">
        <v>0</v>
      </c>
      <c r="F36" s="24" t="n">
        <v>0</v>
      </c>
      <c r="G36" s="24" t="n">
        <v>62049.02</v>
      </c>
      <c r="H36" s="24" t="n">
        <v>7716.04</v>
      </c>
      <c r="I36" s="24" t="n">
        <f aca="false">G36+H36</f>
        <v>69765.06</v>
      </c>
      <c r="J36" s="24" t="n">
        <f aca="false">D36-I36</f>
        <v>142425.99</v>
      </c>
      <c r="K36" s="25" t="s">
        <v>117</v>
      </c>
      <c r="L36" s="25" t="s">
        <v>118</v>
      </c>
    </row>
    <row r="37" customFormat="false" ht="15" hidden="false" customHeight="false" outlineLevel="0" collapsed="false">
      <c r="A37" s="23" t="n">
        <v>2</v>
      </c>
      <c r="B37" s="23" t="s">
        <v>46</v>
      </c>
      <c r="C37" s="23" t="s">
        <v>37</v>
      </c>
      <c r="D37" s="24" t="n">
        <v>386.45</v>
      </c>
      <c r="E37" s="24" t="n">
        <v>0</v>
      </c>
      <c r="F37" s="24" t="n">
        <v>0</v>
      </c>
      <c r="G37" s="24" t="n">
        <v>111.91</v>
      </c>
      <c r="H37" s="24" t="n">
        <v>14.06</v>
      </c>
      <c r="I37" s="24" t="n">
        <f aca="false">G37+H37</f>
        <v>125.97</v>
      </c>
      <c r="J37" s="24" t="n">
        <f aca="false">D37-I37</f>
        <v>260.48</v>
      </c>
      <c r="K37" s="25" t="s">
        <v>117</v>
      </c>
      <c r="L37" s="25" t="s">
        <v>118</v>
      </c>
    </row>
    <row r="38" customFormat="false" ht="15" hidden="false" customHeight="false" outlineLevel="0" collapsed="false">
      <c r="A38" s="23" t="n">
        <v>3</v>
      </c>
      <c r="B38" s="23" t="s">
        <v>47</v>
      </c>
      <c r="C38" s="23" t="s">
        <v>35</v>
      </c>
      <c r="D38" s="24" t="n">
        <v>20018</v>
      </c>
      <c r="E38" s="24" t="n">
        <v>0</v>
      </c>
      <c r="F38" s="24" t="n">
        <v>0</v>
      </c>
      <c r="G38" s="24" t="n">
        <v>11723.87</v>
      </c>
      <c r="H38" s="24" t="n">
        <v>1181.07</v>
      </c>
      <c r="I38" s="24" t="n">
        <f aca="false">G38+H38</f>
        <v>12904.94</v>
      </c>
      <c r="J38" s="24" t="n">
        <f aca="false">D38-I38</f>
        <v>7113.06</v>
      </c>
      <c r="K38" s="25" t="s">
        <v>119</v>
      </c>
      <c r="L38" s="25" t="s">
        <v>120</v>
      </c>
    </row>
    <row r="39" customFormat="false" ht="15" hidden="false" customHeight="false" outlineLevel="0" collapsed="false">
      <c r="A39" s="23" t="n">
        <v>4</v>
      </c>
      <c r="B39" s="23" t="s">
        <v>48</v>
      </c>
      <c r="C39" s="23" t="s">
        <v>35</v>
      </c>
      <c r="D39" s="24" t="n">
        <v>36260.17</v>
      </c>
      <c r="E39" s="24" t="n">
        <v>0</v>
      </c>
      <c r="F39" s="24" t="n">
        <v>0</v>
      </c>
      <c r="G39" s="24" t="n">
        <v>35051.5</v>
      </c>
      <c r="H39" s="24" t="n">
        <v>0</v>
      </c>
      <c r="I39" s="24" t="n">
        <f aca="false">G39+H39</f>
        <v>35051.5</v>
      </c>
      <c r="J39" s="24" t="n">
        <f aca="false">D39-I39</f>
        <v>1208.67</v>
      </c>
      <c r="K39" s="25" t="s">
        <v>121</v>
      </c>
      <c r="L39" s="25" t="s">
        <v>122</v>
      </c>
    </row>
    <row r="40" customFormat="false" ht="15" hidden="false" customHeight="false" outlineLevel="0" collapsed="false">
      <c r="A40" s="26"/>
      <c r="B40" s="27" t="s">
        <v>53</v>
      </c>
      <c r="C40" s="26"/>
      <c r="D40" s="28" t="n">
        <f aca="false">SUM(D36:D39)</f>
        <v>268855.67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108936.3</v>
      </c>
      <c r="H40" s="28" t="n">
        <f aca="false">SUM(H36:H39)</f>
        <v>8911.17</v>
      </c>
      <c r="I40" s="28" t="n">
        <f aca="false">SUM(I36:I39)</f>
        <v>117847.47</v>
      </c>
      <c r="J40" s="28" t="n">
        <f aca="false">SUM(J36:J39)</f>
        <v>151008.2</v>
      </c>
      <c r="K40" s="26"/>
      <c r="L40" s="26"/>
    </row>
    <row r="42" customFormat="false" ht="15" hidden="false" customHeight="false" outlineLevel="0" collapsed="false">
      <c r="A42" s="21" t="s">
        <v>131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4" t="s">
        <v>105</v>
      </c>
      <c r="B43" s="4" t="s">
        <v>106</v>
      </c>
      <c r="C43" s="4" t="s">
        <v>107</v>
      </c>
      <c r="D43" s="4" t="s">
        <v>108</v>
      </c>
      <c r="E43" s="4" t="s">
        <v>109</v>
      </c>
      <c r="F43" s="4" t="s">
        <v>110</v>
      </c>
      <c r="G43" s="4" t="s">
        <v>129</v>
      </c>
      <c r="H43" s="4" t="s">
        <v>130</v>
      </c>
      <c r="I43" s="4" t="s">
        <v>113</v>
      </c>
      <c r="J43" s="4" t="s">
        <v>114</v>
      </c>
      <c r="K43" s="4" t="s">
        <v>115</v>
      </c>
      <c r="L43" s="4" t="s">
        <v>116</v>
      </c>
    </row>
    <row r="44" customFormat="false" ht="15" hidden="false" customHeight="false" outlineLevel="0" collapsed="false">
      <c r="A44" s="23" t="n">
        <v>1</v>
      </c>
      <c r="B44" s="23" t="s">
        <v>71</v>
      </c>
      <c r="C44" s="23" t="s">
        <v>35</v>
      </c>
      <c r="D44" s="24" t="n">
        <v>41085.46</v>
      </c>
      <c r="E44" s="24" t="n">
        <v>0</v>
      </c>
      <c r="F44" s="24" t="n">
        <v>0</v>
      </c>
      <c r="G44" s="24" t="n">
        <v>41085.46</v>
      </c>
      <c r="H44" s="24" t="n">
        <v>0</v>
      </c>
      <c r="I44" s="24" t="n">
        <f aca="false">G44+H44</f>
        <v>41085.46</v>
      </c>
      <c r="J44" s="24" t="n">
        <f aca="false">D44-I44</f>
        <v>0</v>
      </c>
      <c r="K44" s="25" t="s">
        <v>121</v>
      </c>
      <c r="L44" s="25" t="s">
        <v>122</v>
      </c>
    </row>
    <row r="45" customFormat="false" ht="15" hidden="false" customHeight="false" outlineLevel="0" collapsed="false">
      <c r="A45" s="23" t="n">
        <v>2</v>
      </c>
      <c r="B45" s="23" t="s">
        <v>72</v>
      </c>
      <c r="C45" s="23" t="s">
        <v>35</v>
      </c>
      <c r="D45" s="24" t="n">
        <v>171105.59</v>
      </c>
      <c r="E45" s="24" t="n">
        <v>0</v>
      </c>
      <c r="F45" s="24" t="n">
        <v>0</v>
      </c>
      <c r="G45" s="24" t="n">
        <v>50035.41</v>
      </c>
      <c r="H45" s="24" t="n">
        <v>6222.02</v>
      </c>
      <c r="I45" s="24" t="n">
        <f aca="false">G45+H45</f>
        <v>56257.43</v>
      </c>
      <c r="J45" s="24" t="n">
        <f aca="false">D45-I45</f>
        <v>114848.16</v>
      </c>
      <c r="K45" s="25" t="s">
        <v>117</v>
      </c>
      <c r="L45" s="25" t="s">
        <v>118</v>
      </c>
    </row>
    <row r="46" customFormat="false" ht="15" hidden="false" customHeight="false" outlineLevel="0" collapsed="false">
      <c r="A46" s="23" t="n">
        <v>3</v>
      </c>
      <c r="B46" s="23" t="s">
        <v>73</v>
      </c>
      <c r="C46" s="23" t="s">
        <v>37</v>
      </c>
      <c r="D46" s="24" t="n">
        <v>74.83</v>
      </c>
      <c r="E46" s="24" t="n">
        <v>0</v>
      </c>
      <c r="F46" s="24" t="n">
        <v>0</v>
      </c>
      <c r="G46" s="24" t="n">
        <v>74.83</v>
      </c>
      <c r="H46" s="24" t="n">
        <v>0</v>
      </c>
      <c r="I46" s="24" t="n">
        <f aca="false">G46+H46</f>
        <v>74.83</v>
      </c>
      <c r="J46" s="24" t="n">
        <f aca="false">D46-I46</f>
        <v>0</v>
      </c>
      <c r="K46" s="25" t="s">
        <v>121</v>
      </c>
      <c r="L46" s="25" t="s">
        <v>122</v>
      </c>
    </row>
    <row r="47" customFormat="false" ht="15" hidden="false" customHeight="false" outlineLevel="0" collapsed="false">
      <c r="A47" s="23" t="n">
        <v>4</v>
      </c>
      <c r="B47" s="23" t="s">
        <v>74</v>
      </c>
      <c r="C47" s="23" t="s">
        <v>37</v>
      </c>
      <c r="D47" s="24" t="n">
        <v>311.62</v>
      </c>
      <c r="E47" s="24" t="n">
        <v>0</v>
      </c>
      <c r="F47" s="24" t="n">
        <v>0</v>
      </c>
      <c r="G47" s="24" t="n">
        <v>90.17</v>
      </c>
      <c r="H47" s="24" t="n">
        <v>11.33</v>
      </c>
      <c r="I47" s="24" t="n">
        <f aca="false">G47+H47</f>
        <v>101.5</v>
      </c>
      <c r="J47" s="24" t="n">
        <f aca="false">D47-I47</f>
        <v>210.12</v>
      </c>
      <c r="K47" s="25" t="s">
        <v>117</v>
      </c>
      <c r="L47" s="25" t="s">
        <v>118</v>
      </c>
    </row>
    <row r="48" customFormat="false" ht="15" hidden="false" customHeight="false" outlineLevel="0" collapsed="false">
      <c r="A48" s="23" t="n">
        <v>5</v>
      </c>
      <c r="B48" s="23" t="s">
        <v>75</v>
      </c>
      <c r="C48" s="23" t="s">
        <v>35</v>
      </c>
      <c r="D48" s="24" t="n">
        <v>3875.98</v>
      </c>
      <c r="E48" s="24" t="n">
        <v>0</v>
      </c>
      <c r="F48" s="24" t="n">
        <v>0</v>
      </c>
      <c r="G48" s="24" t="n">
        <v>3875.98</v>
      </c>
      <c r="H48" s="24" t="n">
        <v>0</v>
      </c>
      <c r="I48" s="24" t="n">
        <f aca="false">G48+H48</f>
        <v>3875.98</v>
      </c>
      <c r="J48" s="24" t="n">
        <f aca="false">D48-I48</f>
        <v>0</v>
      </c>
      <c r="K48" s="25" t="s">
        <v>121</v>
      </c>
      <c r="L48" s="25" t="s">
        <v>122</v>
      </c>
    </row>
    <row r="49" customFormat="false" ht="15" hidden="false" customHeight="false" outlineLevel="0" collapsed="false">
      <c r="A49" s="23" t="n">
        <v>6</v>
      </c>
      <c r="B49" s="23" t="s">
        <v>76</v>
      </c>
      <c r="C49" s="23" t="s">
        <v>35</v>
      </c>
      <c r="D49" s="24" t="n">
        <v>16142.02</v>
      </c>
      <c r="E49" s="24" t="n">
        <v>0</v>
      </c>
      <c r="F49" s="24" t="n">
        <v>0</v>
      </c>
      <c r="G49" s="24" t="n">
        <v>4720.3</v>
      </c>
      <c r="H49" s="24" t="n">
        <v>586.98</v>
      </c>
      <c r="I49" s="24" t="n">
        <f aca="false">G49+H49</f>
        <v>5307.28</v>
      </c>
      <c r="J49" s="24" t="n">
        <f aca="false">D49-I49</f>
        <v>10834.74</v>
      </c>
      <c r="K49" s="25" t="s">
        <v>117</v>
      </c>
      <c r="L49" s="25" t="s">
        <v>118</v>
      </c>
    </row>
    <row r="50" customFormat="false" ht="15" hidden="false" customHeight="false" outlineLevel="0" collapsed="false">
      <c r="A50" s="23" t="n">
        <v>7</v>
      </c>
      <c r="B50" s="23" t="s">
        <v>77</v>
      </c>
      <c r="C50" s="23" t="s">
        <v>35</v>
      </c>
      <c r="D50" s="24" t="n">
        <v>7020.87</v>
      </c>
      <c r="E50" s="24" t="n">
        <v>0</v>
      </c>
      <c r="F50" s="24" t="n">
        <v>0</v>
      </c>
      <c r="G50" s="24" t="n">
        <v>7020.87</v>
      </c>
      <c r="H50" s="24" t="n">
        <v>0</v>
      </c>
      <c r="I50" s="24" t="n">
        <f aca="false">G50+H50</f>
        <v>7020.87</v>
      </c>
      <c r="J50" s="24" t="n">
        <f aca="false">D50-I50</f>
        <v>0</v>
      </c>
      <c r="K50" s="25" t="s">
        <v>121</v>
      </c>
      <c r="L50" s="25" t="s">
        <v>122</v>
      </c>
    </row>
    <row r="51" customFormat="false" ht="15" hidden="false" customHeight="false" outlineLevel="0" collapsed="false">
      <c r="A51" s="23" t="n">
        <v>8</v>
      </c>
      <c r="B51" s="23" t="s">
        <v>78</v>
      </c>
      <c r="C51" s="23" t="s">
        <v>35</v>
      </c>
      <c r="D51" s="24" t="n">
        <v>29239.3</v>
      </c>
      <c r="E51" s="24" t="n">
        <v>0</v>
      </c>
      <c r="F51" s="24" t="n">
        <v>0</v>
      </c>
      <c r="G51" s="24" t="n">
        <v>8550.3</v>
      </c>
      <c r="H51" s="24" t="n">
        <v>1063.25</v>
      </c>
      <c r="I51" s="24" t="n">
        <f aca="false">G51+H51</f>
        <v>9613.55</v>
      </c>
      <c r="J51" s="24" t="n">
        <f aca="false">D51-I51</f>
        <v>19625.75</v>
      </c>
      <c r="K51" s="25" t="s">
        <v>117</v>
      </c>
      <c r="L51" s="25" t="s">
        <v>118</v>
      </c>
    </row>
    <row r="52" customFormat="false" ht="15" hidden="false" customHeight="false" outlineLevel="0" collapsed="false">
      <c r="A52" s="26"/>
      <c r="B52" s="27" t="s">
        <v>53</v>
      </c>
      <c r="C52" s="26"/>
      <c r="D52" s="28" t="n">
        <f aca="false">SUM(D44:D51)</f>
        <v>268855.67</v>
      </c>
      <c r="E52" s="28" t="n">
        <f aca="false">SUM(E44:E51)</f>
        <v>0</v>
      </c>
      <c r="F52" s="28" t="n">
        <f aca="false">SUM(F44:F51)</f>
        <v>0</v>
      </c>
      <c r="G52" s="28" t="n">
        <f aca="false">SUM(G44:G51)</f>
        <v>115453.32</v>
      </c>
      <c r="H52" s="28" t="n">
        <f aca="false">SUM(H44:H51)</f>
        <v>7883.58</v>
      </c>
      <c r="I52" s="28" t="n">
        <f aca="false">SUM(I44:I51)</f>
        <v>123336.9</v>
      </c>
      <c r="J52" s="28" t="n">
        <f aca="false">SUM(J44:J51)</f>
        <v>145518.77</v>
      </c>
      <c r="K52" s="26"/>
      <c r="L52" s="26"/>
    </row>
    <row r="54" customFormat="false" ht="15" hidden="false" customHeight="false" outlineLevel="0" collapsed="false">
      <c r="B54" s="18" t="s">
        <v>132</v>
      </c>
    </row>
    <row r="55" customFormat="false" ht="15" hidden="false" customHeight="false" outlineLevel="0" collapsed="false">
      <c r="B55" s="5" t="s">
        <v>125</v>
      </c>
      <c r="D55" s="6" t="n">
        <f aca="false">I40</f>
        <v>117847.47</v>
      </c>
    </row>
    <row r="56" customFormat="false" ht="15" hidden="false" customHeight="false" outlineLevel="0" collapsed="false">
      <c r="B56" s="5" t="s">
        <v>126</v>
      </c>
      <c r="D56" s="6" t="n">
        <f aca="false">I52</f>
        <v>123336.9</v>
      </c>
    </row>
    <row r="57" customFormat="false" ht="15" hidden="false" customHeight="false" outlineLevel="0" collapsed="false">
      <c r="B57" s="11" t="s">
        <v>132</v>
      </c>
      <c r="D57" s="29" t="n">
        <f aca="false">D55-D56</f>
        <v>-5489.43000000001</v>
      </c>
    </row>
    <row r="59" customFormat="false" ht="15" hidden="false" customHeight="false" outlineLevel="0" collapsed="false">
      <c r="A59" s="10" t="s">
        <v>133</v>
      </c>
    </row>
    <row r="60" customFormat="false" ht="15" hidden="false" customHeight="false" outlineLevel="0" collapsed="false">
      <c r="B60" s="11" t="s">
        <v>162</v>
      </c>
      <c r="D60" s="12" t="n">
        <f aca="false">D99</f>
        <v>268855.67</v>
      </c>
    </row>
    <row r="61" customFormat="false" ht="15" hidden="false" customHeight="false" outlineLevel="0" collapsed="false">
      <c r="B61" s="5" t="s">
        <v>163</v>
      </c>
      <c r="D61" s="6" t="n">
        <f aca="false">F99</f>
        <v>52057.14</v>
      </c>
    </row>
    <row r="62" customFormat="false" ht="15" hidden="false" customHeight="false" outlineLevel="0" collapsed="false">
      <c r="B62" s="30" t="s">
        <v>136</v>
      </c>
      <c r="D62" s="31" t="n">
        <f aca="false">F100</f>
        <v>0.193624854554862</v>
      </c>
    </row>
    <row r="63" customFormat="false" ht="15" hidden="false" customHeight="false" outlineLevel="0" collapsed="false">
      <c r="B63" s="5" t="s">
        <v>164</v>
      </c>
      <c r="D63" s="6" t="n">
        <f aca="false">H99</f>
        <v>216798.53</v>
      </c>
    </row>
    <row r="64" customFormat="false" ht="15" hidden="false" customHeight="false" outlineLevel="0" collapsed="false">
      <c r="B64" s="30" t="s">
        <v>136</v>
      </c>
      <c r="D64" s="31" t="n">
        <f aca="false">H100</f>
        <v>0.806375145445138</v>
      </c>
    </row>
    <row r="66" customFormat="false" ht="15" hidden="false" customHeight="false" outlineLevel="0" collapsed="false">
      <c r="A66" s="10" t="s">
        <v>138</v>
      </c>
    </row>
    <row r="67" customFormat="false" ht="15" hidden="false" customHeight="false" outlineLevel="0" collapsed="false">
      <c r="B67" s="4" t="s">
        <v>139</v>
      </c>
      <c r="D67" s="4" t="s">
        <v>108</v>
      </c>
      <c r="F67" s="4" t="s">
        <v>165</v>
      </c>
      <c r="H67" s="4" t="s">
        <v>141</v>
      </c>
    </row>
    <row r="68" customFormat="false" ht="15" hidden="false" customHeight="false" outlineLevel="0" collapsed="false">
      <c r="B68" s="32" t="s">
        <v>166</v>
      </c>
    </row>
    <row r="69" customFormat="false" ht="15" hidden="false" customHeight="false" outlineLevel="0" collapsed="false">
      <c r="B69" s="5" t="s">
        <v>167</v>
      </c>
      <c r="D69" s="33" t="n">
        <f aca="false">SUM(F69:H69)</f>
        <v>7759.94</v>
      </c>
      <c r="F69" s="33" t="n">
        <v>7759.94</v>
      </c>
    </row>
    <row r="70" customFormat="false" ht="15" hidden="false" customHeight="false" outlineLevel="0" collapsed="false">
      <c r="B70" s="5" t="s">
        <v>168</v>
      </c>
      <c r="D70" s="33" t="n">
        <f aca="false">SUM(F70:H70)</f>
        <v>4601.14</v>
      </c>
      <c r="F70" s="33" t="n">
        <v>4601.14</v>
      </c>
    </row>
    <row r="71" customFormat="false" ht="15" hidden="false" customHeight="false" outlineLevel="0" collapsed="false">
      <c r="B71" s="5" t="s">
        <v>169</v>
      </c>
      <c r="D71" s="33" t="n">
        <f aca="false">SUM(F71:H71)</f>
        <v>18695.69</v>
      </c>
      <c r="F71" s="33" t="n">
        <v>18695.69</v>
      </c>
    </row>
    <row r="72" customFormat="false" ht="15" hidden="false" customHeight="false" outlineLevel="0" collapsed="false">
      <c r="B72" s="5" t="s">
        <v>171</v>
      </c>
      <c r="D72" s="33" t="n">
        <f aca="false">SUM(F72:H72)</f>
        <v>2235.2</v>
      </c>
      <c r="F72" s="33" t="n">
        <v>2235.2</v>
      </c>
    </row>
    <row r="73" customFormat="false" ht="15" hidden="false" customHeight="false" outlineLevel="0" collapsed="false">
      <c r="B73" s="5" t="s">
        <v>196</v>
      </c>
      <c r="D73" s="33" t="n">
        <f aca="false">SUM(F73:H73)</f>
        <v>274.94</v>
      </c>
      <c r="F73" s="33" t="n">
        <v>274.94</v>
      </c>
    </row>
    <row r="74" customFormat="false" ht="15" hidden="false" customHeight="false" outlineLevel="0" collapsed="false">
      <c r="B74" s="5" t="s">
        <v>197</v>
      </c>
      <c r="D74" s="33" t="n">
        <f aca="false">SUM(F74:H74)</f>
        <v>120.68</v>
      </c>
      <c r="F74" s="33" t="n">
        <v>120.68</v>
      </c>
    </row>
    <row r="75" customFormat="false" ht="15" hidden="false" customHeight="false" outlineLevel="0" collapsed="false">
      <c r="B75" s="5" t="s">
        <v>172</v>
      </c>
      <c r="D75" s="33" t="n">
        <f aca="false">SUM(F75:H75)</f>
        <v>4471.44</v>
      </c>
      <c r="F75" s="33" t="n">
        <v>4471.44</v>
      </c>
    </row>
    <row r="76" customFormat="false" ht="15" hidden="false" customHeight="false" outlineLevel="0" collapsed="false">
      <c r="B76" s="5" t="s">
        <v>173</v>
      </c>
      <c r="D76" s="33" t="n">
        <f aca="false">SUM(F76:H76)</f>
        <v>1633.14</v>
      </c>
      <c r="F76" s="33" t="n">
        <v>1633.14</v>
      </c>
    </row>
    <row r="77" customFormat="false" ht="15" hidden="false" customHeight="false" outlineLevel="0" collapsed="false">
      <c r="B77" s="5" t="s">
        <v>198</v>
      </c>
      <c r="D77" s="33" t="n">
        <f aca="false">SUM(F77:H77)</f>
        <v>5141.11</v>
      </c>
      <c r="F77" s="33" t="n">
        <v>5141.11</v>
      </c>
    </row>
    <row r="78" customFormat="false" ht="15" hidden="false" customHeight="false" outlineLevel="0" collapsed="false">
      <c r="B78" s="5" t="s">
        <v>175</v>
      </c>
      <c r="D78" s="33" t="n">
        <f aca="false">SUM(F78:H78)</f>
        <v>1534.74</v>
      </c>
      <c r="F78" s="33" t="n">
        <v>1534.74</v>
      </c>
    </row>
    <row r="79" customFormat="false" ht="15" hidden="false" customHeight="false" outlineLevel="0" collapsed="false">
      <c r="B79" s="5" t="s">
        <v>199</v>
      </c>
      <c r="D79" s="33" t="n">
        <f aca="false">SUM(F79:H79)</f>
        <v>64.8</v>
      </c>
      <c r="F79" s="33" t="n">
        <v>64.8</v>
      </c>
    </row>
    <row r="80" customFormat="false" ht="15" hidden="false" customHeight="false" outlineLevel="0" collapsed="false">
      <c r="B80" s="5" t="s">
        <v>200</v>
      </c>
      <c r="D80" s="33" t="n">
        <f aca="false">SUM(F80:H80)</f>
        <v>5524.32</v>
      </c>
      <c r="F80" s="33" t="n">
        <v>5524.32</v>
      </c>
    </row>
    <row r="81" customFormat="false" ht="15" hidden="false" customHeight="false" outlineLevel="0" collapsed="false">
      <c r="B81" s="32" t="s">
        <v>177</v>
      </c>
    </row>
    <row r="82" customFormat="false" ht="15" hidden="false" customHeight="false" outlineLevel="0" collapsed="false">
      <c r="B82" s="5" t="s">
        <v>178</v>
      </c>
      <c r="D82" s="33" t="n">
        <f aca="false">SUM(F82:H82)</f>
        <v>10400.92</v>
      </c>
      <c r="H82" s="33" t="n">
        <v>10400.92</v>
      </c>
    </row>
    <row r="83" customFormat="false" ht="15" hidden="false" customHeight="false" outlineLevel="0" collapsed="false">
      <c r="B83" s="5" t="s">
        <v>179</v>
      </c>
      <c r="D83" s="33" t="n">
        <f aca="false">SUM(F83:H83)</f>
        <v>19732.45</v>
      </c>
      <c r="H83" s="33" t="n">
        <v>19732.45</v>
      </c>
    </row>
    <row r="84" customFormat="false" ht="15" hidden="false" customHeight="false" outlineLevel="0" collapsed="false">
      <c r="B84" s="5" t="s">
        <v>180</v>
      </c>
      <c r="D84" s="33" t="n">
        <f aca="false">SUM(F84:H84)</f>
        <v>18076.85</v>
      </c>
      <c r="H84" s="33" t="n">
        <v>18076.85</v>
      </c>
    </row>
    <row r="85" customFormat="false" ht="15" hidden="false" customHeight="false" outlineLevel="0" collapsed="false">
      <c r="B85" s="5" t="s">
        <v>181</v>
      </c>
      <c r="D85" s="33" t="n">
        <f aca="false">SUM(F85:H85)</f>
        <v>19867.9</v>
      </c>
      <c r="H85" s="33" t="n">
        <v>19867.9</v>
      </c>
    </row>
    <row r="86" customFormat="false" ht="15" hidden="false" customHeight="false" outlineLevel="0" collapsed="false">
      <c r="B86" s="5" t="s">
        <v>182</v>
      </c>
      <c r="D86" s="33" t="n">
        <f aca="false">SUM(F86:H86)</f>
        <v>15953.11</v>
      </c>
      <c r="H86" s="33" t="n">
        <v>15953.11</v>
      </c>
    </row>
    <row r="87" customFormat="false" ht="15" hidden="false" customHeight="false" outlineLevel="0" collapsed="false">
      <c r="B87" s="5" t="s">
        <v>183</v>
      </c>
      <c r="D87" s="33" t="n">
        <f aca="false">SUM(F87:H87)</f>
        <v>1077</v>
      </c>
      <c r="H87" s="33" t="n">
        <v>1077</v>
      </c>
    </row>
    <row r="88" customFormat="false" ht="15" hidden="false" customHeight="false" outlineLevel="0" collapsed="false">
      <c r="B88" s="5" t="s">
        <v>184</v>
      </c>
      <c r="D88" s="33" t="n">
        <f aca="false">SUM(F88:H88)</f>
        <v>24515.03</v>
      </c>
      <c r="H88" s="33" t="n">
        <v>24515.03</v>
      </c>
    </row>
    <row r="89" customFormat="false" ht="15" hidden="false" customHeight="false" outlineLevel="0" collapsed="false">
      <c r="B89" s="5" t="s">
        <v>185</v>
      </c>
      <c r="D89" s="33" t="n">
        <f aca="false">SUM(F89:H89)</f>
        <v>18444.72</v>
      </c>
      <c r="H89" s="33" t="n">
        <v>18444.72</v>
      </c>
    </row>
    <row r="90" customFormat="false" ht="15" hidden="false" customHeight="false" outlineLevel="0" collapsed="false">
      <c r="B90" s="5" t="s">
        <v>186</v>
      </c>
      <c r="D90" s="33" t="n">
        <f aca="false">SUM(F90:H90)</f>
        <v>11037.53</v>
      </c>
      <c r="H90" s="33" t="n">
        <v>11037.53</v>
      </c>
    </row>
    <row r="91" customFormat="false" ht="15" hidden="false" customHeight="false" outlineLevel="0" collapsed="false">
      <c r="B91" s="5" t="s">
        <v>187</v>
      </c>
      <c r="D91" s="33" t="n">
        <f aca="false">SUM(F91:H91)</f>
        <v>8326.32</v>
      </c>
      <c r="H91" s="33" t="n">
        <v>8326.32</v>
      </c>
    </row>
    <row r="92" customFormat="false" ht="15" hidden="false" customHeight="false" outlineLevel="0" collapsed="false">
      <c r="B92" s="5" t="s">
        <v>188</v>
      </c>
      <c r="D92" s="33" t="n">
        <f aca="false">SUM(F92:H92)</f>
        <v>20278.2</v>
      </c>
      <c r="H92" s="33" t="n">
        <v>20278.2</v>
      </c>
    </row>
    <row r="93" customFormat="false" ht="15" hidden="false" customHeight="false" outlineLevel="0" collapsed="false">
      <c r="B93" s="5" t="s">
        <v>189</v>
      </c>
      <c r="D93" s="33" t="n">
        <f aca="false">SUM(F93:H93)</f>
        <v>8613.97</v>
      </c>
      <c r="H93" s="33" t="n">
        <v>8613.97</v>
      </c>
    </row>
    <row r="94" customFormat="false" ht="15" hidden="false" customHeight="false" outlineLevel="0" collapsed="false">
      <c r="B94" s="5" t="s">
        <v>190</v>
      </c>
      <c r="D94" s="33" t="n">
        <f aca="false">SUM(F94:H94)</f>
        <v>1343.51</v>
      </c>
      <c r="H94" s="33" t="n">
        <v>1343.51</v>
      </c>
    </row>
    <row r="95" customFormat="false" ht="15" hidden="false" customHeight="false" outlineLevel="0" collapsed="false">
      <c r="B95" s="5" t="s">
        <v>192</v>
      </c>
      <c r="D95" s="33" t="n">
        <f aca="false">SUM(F95:H95)</f>
        <v>27755.5</v>
      </c>
      <c r="H95" s="33" t="n">
        <v>27755.5</v>
      </c>
    </row>
    <row r="96" customFormat="false" ht="15" hidden="false" customHeight="false" outlineLevel="0" collapsed="false">
      <c r="B96" s="5" t="s">
        <v>201</v>
      </c>
      <c r="D96" s="33" t="n">
        <f aca="false">SUM(F96:H96)</f>
        <v>6811.28</v>
      </c>
      <c r="H96" s="33" t="n">
        <v>6811.28</v>
      </c>
    </row>
    <row r="97" customFormat="false" ht="15" hidden="false" customHeight="false" outlineLevel="0" collapsed="false">
      <c r="B97" s="5" t="s">
        <v>193</v>
      </c>
      <c r="D97" s="33" t="n">
        <f aca="false">SUM(F97:H97)</f>
        <v>1999.53</v>
      </c>
      <c r="H97" s="33" t="n">
        <v>1999.53</v>
      </c>
    </row>
    <row r="98" customFormat="false" ht="15" hidden="false" customHeight="false" outlineLevel="0" collapsed="false">
      <c r="B98" s="5" t="s">
        <v>202</v>
      </c>
      <c r="D98" s="33" t="n">
        <f aca="false">SUM(F98:H98)</f>
        <v>2564.71</v>
      </c>
      <c r="H98" s="33" t="n">
        <v>2564.71</v>
      </c>
    </row>
    <row r="99" customFormat="false" ht="15" hidden="false" customHeight="false" outlineLevel="0" collapsed="false">
      <c r="B99" s="11" t="s">
        <v>162</v>
      </c>
      <c r="D99" s="34" t="n">
        <f aca="false">SUM(D68:D98)</f>
        <v>268855.67</v>
      </c>
      <c r="F99" s="34" t="n">
        <f aca="false">SUM(F68:F98)</f>
        <v>52057.14</v>
      </c>
      <c r="H99" s="34" t="n">
        <f aca="false">SUM(H68:H98)</f>
        <v>216798.53</v>
      </c>
    </row>
    <row r="100" customFormat="false" ht="15" hidden="false" customHeight="false" outlineLevel="0" collapsed="false">
      <c r="B100" s="30" t="s">
        <v>136</v>
      </c>
      <c r="F100" s="31" t="n">
        <f aca="false">F99/D99</f>
        <v>0.193624854554862</v>
      </c>
      <c r="H100" s="31" t="n">
        <f aca="false">H99/D99</f>
        <v>0.806375145445138</v>
      </c>
    </row>
    <row r="102" customFormat="false" ht="15" hidden="false" customHeight="false" outlineLevel="0" collapsed="false">
      <c r="A102" s="10" t="s">
        <v>157</v>
      </c>
    </row>
    <row r="103" customFormat="false" ht="15" hidden="false" customHeight="false" outlineLevel="0" collapsed="false">
      <c r="B103" s="4" t="s">
        <v>158</v>
      </c>
      <c r="D103" s="4" t="s">
        <v>108</v>
      </c>
      <c r="F103" s="4" t="s">
        <v>165</v>
      </c>
      <c r="H103" s="4" t="s">
        <v>141</v>
      </c>
    </row>
    <row r="104" customFormat="false" ht="15" hidden="false" customHeight="false" outlineLevel="0" collapsed="false">
      <c r="B104" s="5" t="str">
        <f aca="false">'Building 1'!B18</f>
        <v>1 - Buillding - Apt - 5yr</v>
      </c>
      <c r="D104" s="33" t="n">
        <f aca="false">SUM(F104:H104)</f>
        <v>41085.46</v>
      </c>
      <c r="F104" s="33" t="n">
        <f aca="false">'Building 1'!D18</f>
        <v>41085.46</v>
      </c>
    </row>
    <row r="105" customFormat="false" ht="15" hidden="false" customHeight="false" outlineLevel="0" collapsed="false">
      <c r="B105" s="5" t="str">
        <f aca="false">'Building 1'!B19</f>
        <v>1 - Buillding - Apt - 27.5yr</v>
      </c>
      <c r="D105" s="33" t="n">
        <f aca="false">SUM(F105:H105)</f>
        <v>171105.59</v>
      </c>
      <c r="H105" s="33" t="n">
        <f aca="false">'Building 1'!D19</f>
        <v>171105.59</v>
      </c>
    </row>
    <row r="106" customFormat="false" ht="15" hidden="false" customHeight="false" outlineLevel="0" collapsed="false">
      <c r="B106" s="5" t="str">
        <f aca="false">'Building 1'!B20</f>
        <v>5 - Building - Apt - 5yr</v>
      </c>
      <c r="D106" s="33" t="n">
        <f aca="false">SUM(F106:H106)</f>
        <v>74.83</v>
      </c>
      <c r="F106" s="33" t="n">
        <f aca="false">'Building 1'!D20</f>
        <v>74.83</v>
      </c>
    </row>
    <row r="107" customFormat="false" ht="15" hidden="false" customHeight="false" outlineLevel="0" collapsed="false">
      <c r="B107" s="5" t="str">
        <f aca="false">'Building 1'!B21</f>
        <v>5 - Building - Apt - 27.5yr</v>
      </c>
      <c r="D107" s="33" t="n">
        <f aca="false">SUM(F107:H107)</f>
        <v>311.62</v>
      </c>
      <c r="H107" s="33" t="n">
        <f aca="false">'Building 1'!D21</f>
        <v>311.62</v>
      </c>
    </row>
    <row r="108" customFormat="false" ht="15" hidden="false" customHeight="false" outlineLevel="0" collapsed="false">
      <c r="B108" s="5" t="str">
        <f aca="false">'Building 1'!B22</f>
        <v>3 - Land Improvements - Apt - 5yr</v>
      </c>
      <c r="D108" s="33" t="n">
        <f aca="false">SUM(F108:H108)</f>
        <v>3875.98</v>
      </c>
      <c r="F108" s="33" t="n">
        <f aca="false">'Building 1'!D22</f>
        <v>3875.98</v>
      </c>
    </row>
    <row r="109" customFormat="false" ht="15" hidden="false" customHeight="false" outlineLevel="0" collapsed="false">
      <c r="B109" s="5" t="str">
        <f aca="false">'Building 1'!B23</f>
        <v>3 - Land Improvements - Apt - 27.5yr</v>
      </c>
      <c r="D109" s="33" t="n">
        <f aca="false">SUM(F109:H109)</f>
        <v>16142.02</v>
      </c>
      <c r="H109" s="33" t="n">
        <f aca="false">'Building 1'!D23</f>
        <v>16142.02</v>
      </c>
    </row>
    <row r="110" customFormat="false" ht="15" hidden="false" customHeight="false" outlineLevel="0" collapsed="false">
      <c r="B110" s="5" t="str">
        <f aca="false">'Building 1'!B24</f>
        <v>4 - Equipment - Apt - 5yr</v>
      </c>
      <c r="D110" s="33" t="n">
        <f aca="false">SUM(F110:H110)</f>
        <v>7020.87</v>
      </c>
      <c r="F110" s="33" t="n">
        <f aca="false">'Building 1'!D24</f>
        <v>7020.87</v>
      </c>
    </row>
    <row r="111" customFormat="false" ht="15" hidden="false" customHeight="false" outlineLevel="0" collapsed="false">
      <c r="B111" s="5" t="str">
        <f aca="false">'Building 1'!B25</f>
        <v>4 - Equipment - Apt - 27.5yr</v>
      </c>
      <c r="D111" s="33" t="n">
        <f aca="false">SUM(F111:H111)</f>
        <v>29239.3</v>
      </c>
      <c r="H111" s="33" t="n">
        <f aca="false">'Building 1'!D25</f>
        <v>29239.3</v>
      </c>
    </row>
    <row r="112" customFormat="false" ht="15" hidden="false" customHeight="false" outlineLevel="0" collapsed="false">
      <c r="B112" s="11" t="s">
        <v>159</v>
      </c>
      <c r="D112" s="34" t="n">
        <f aca="false">SUM(D104:D111)</f>
        <v>268855.67</v>
      </c>
      <c r="F112" s="34" t="n">
        <f aca="false">SUM(F104:F111)</f>
        <v>52057.14</v>
      </c>
      <c r="H112" s="34" t="n">
        <f aca="false">SUM(H104:H111)</f>
        <v>216798.53</v>
      </c>
    </row>
    <row r="113" customFormat="false" ht="15" hidden="false" customHeight="false" outlineLevel="0" collapsed="false">
      <c r="B113" s="16" t="s">
        <v>160</v>
      </c>
      <c r="D113" s="17" t="n">
        <f aca="false">D112-D99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203</v>
      </c>
    </row>
    <row r="5" customFormat="false" ht="15" hidden="false" customHeight="false" outlineLevel="0" collapsed="false">
      <c r="A5" s="16" t="s">
        <v>102</v>
      </c>
    </row>
    <row r="7" customFormat="false" ht="15" hidden="false" customHeight="false" outlineLevel="0" collapsed="false">
      <c r="A7" s="10" t="s">
        <v>103</v>
      </c>
    </row>
    <row r="8" customFormat="false" ht="15" hidden="false" customHeight="false" outlineLevel="0" collapsed="false">
      <c r="A8" s="21" t="s">
        <v>104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105</v>
      </c>
      <c r="B9" s="4" t="s">
        <v>106</v>
      </c>
      <c r="C9" s="4" t="s">
        <v>107</v>
      </c>
      <c r="D9" s="4" t="s">
        <v>108</v>
      </c>
      <c r="E9" s="4" t="s">
        <v>109</v>
      </c>
      <c r="F9" s="4" t="s">
        <v>110</v>
      </c>
      <c r="G9" s="4" t="s">
        <v>111</v>
      </c>
      <c r="H9" s="4" t="s">
        <v>112</v>
      </c>
      <c r="I9" s="4" t="s">
        <v>113</v>
      </c>
      <c r="J9" s="4" t="s">
        <v>114</v>
      </c>
      <c r="K9" s="4" t="s">
        <v>115</v>
      </c>
      <c r="L9" s="4" t="s">
        <v>116</v>
      </c>
    </row>
    <row r="10" customFormat="false" ht="15" hidden="false" customHeight="false" outlineLevel="0" collapsed="false">
      <c r="A10" s="23" t="n">
        <v>1</v>
      </c>
      <c r="B10" s="23" t="s">
        <v>45</v>
      </c>
      <c r="C10" s="23" t="s">
        <v>35</v>
      </c>
      <c r="D10" s="24" t="n">
        <v>212191.05</v>
      </c>
      <c r="E10" s="24" t="n">
        <v>0</v>
      </c>
      <c r="F10" s="24" t="n">
        <v>0</v>
      </c>
      <c r="G10" s="24" t="n">
        <v>62049.02</v>
      </c>
      <c r="H10" s="24" t="n">
        <v>7716.04</v>
      </c>
      <c r="I10" s="24" t="n">
        <f aca="false">G10+H10</f>
        <v>69765.06</v>
      </c>
      <c r="J10" s="24" t="n">
        <f aca="false">D10-I10</f>
        <v>142425.99</v>
      </c>
      <c r="K10" s="25" t="s">
        <v>117</v>
      </c>
      <c r="L10" s="25" t="s">
        <v>118</v>
      </c>
    </row>
    <row r="11" customFormat="false" ht="15" hidden="false" customHeight="false" outlineLevel="0" collapsed="false">
      <c r="A11" s="23" t="n">
        <v>2</v>
      </c>
      <c r="B11" s="23" t="s">
        <v>46</v>
      </c>
      <c r="C11" s="23" t="s">
        <v>37</v>
      </c>
      <c r="D11" s="24" t="n">
        <v>386.45</v>
      </c>
      <c r="E11" s="24" t="n">
        <v>0</v>
      </c>
      <c r="F11" s="24" t="n">
        <v>0</v>
      </c>
      <c r="G11" s="24" t="n">
        <v>111.91</v>
      </c>
      <c r="H11" s="24" t="n">
        <v>14.06</v>
      </c>
      <c r="I11" s="24" t="n">
        <f aca="false">G11+H11</f>
        <v>125.97</v>
      </c>
      <c r="J11" s="24" t="n">
        <f aca="false">D11-I11</f>
        <v>260.48</v>
      </c>
      <c r="K11" s="25" t="s">
        <v>117</v>
      </c>
      <c r="L11" s="25" t="s">
        <v>118</v>
      </c>
    </row>
    <row r="12" customFormat="false" ht="15" hidden="false" customHeight="false" outlineLevel="0" collapsed="false">
      <c r="A12" s="23" t="n">
        <v>3</v>
      </c>
      <c r="B12" s="23" t="s">
        <v>47</v>
      </c>
      <c r="C12" s="23" t="s">
        <v>35</v>
      </c>
      <c r="D12" s="24" t="n">
        <v>20018</v>
      </c>
      <c r="E12" s="24" t="n">
        <v>0</v>
      </c>
      <c r="F12" s="24" t="n">
        <v>0</v>
      </c>
      <c r="G12" s="24" t="n">
        <v>11723.87</v>
      </c>
      <c r="H12" s="24" t="n">
        <v>1181.07</v>
      </c>
      <c r="I12" s="24" t="n">
        <f aca="false">G12+H12</f>
        <v>12904.94</v>
      </c>
      <c r="J12" s="24" t="n">
        <f aca="false">D12-I12</f>
        <v>7113.06</v>
      </c>
      <c r="K12" s="25" t="s">
        <v>119</v>
      </c>
      <c r="L12" s="25" t="s">
        <v>120</v>
      </c>
    </row>
    <row r="13" customFormat="false" ht="15" hidden="false" customHeight="false" outlineLevel="0" collapsed="false">
      <c r="A13" s="23" t="n">
        <v>4</v>
      </c>
      <c r="B13" s="23" t="s">
        <v>48</v>
      </c>
      <c r="C13" s="23" t="s">
        <v>35</v>
      </c>
      <c r="D13" s="24" t="n">
        <v>36260.17</v>
      </c>
      <c r="E13" s="24" t="n">
        <v>0</v>
      </c>
      <c r="F13" s="24" t="n">
        <v>0</v>
      </c>
      <c r="G13" s="24" t="n">
        <v>35051.5</v>
      </c>
      <c r="H13" s="24" t="n">
        <v>0</v>
      </c>
      <c r="I13" s="24" t="n">
        <f aca="false">G13+H13</f>
        <v>35051.5</v>
      </c>
      <c r="J13" s="24" t="n">
        <f aca="false">D13-I13</f>
        <v>1208.67</v>
      </c>
      <c r="K13" s="25" t="s">
        <v>121</v>
      </c>
      <c r="L13" s="25" t="s">
        <v>122</v>
      </c>
    </row>
    <row r="14" customFormat="false" ht="15" hidden="false" customHeight="false" outlineLevel="0" collapsed="false">
      <c r="A14" s="26"/>
      <c r="B14" s="27" t="s">
        <v>53</v>
      </c>
      <c r="C14" s="26"/>
      <c r="D14" s="28" t="n">
        <f aca="false">SUM(D10:D13)</f>
        <v>268855.67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108936.3</v>
      </c>
      <c r="H14" s="28" t="n">
        <f aca="false">SUM(H10:H13)</f>
        <v>8911.17</v>
      </c>
      <c r="I14" s="28" t="n">
        <f aca="false">SUM(I10:I13)</f>
        <v>117847.47</v>
      </c>
      <c r="J14" s="28" t="n">
        <f aca="false">SUM(J10:J13)</f>
        <v>151008.2</v>
      </c>
      <c r="K14" s="26"/>
      <c r="L14" s="26"/>
    </row>
    <row r="16" customFormat="false" ht="15" hidden="false" customHeight="false" outlineLevel="0" collapsed="false">
      <c r="A16" s="21" t="s">
        <v>123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4" t="s">
        <v>105</v>
      </c>
      <c r="B17" s="4" t="s">
        <v>106</v>
      </c>
      <c r="C17" s="4" t="s">
        <v>107</v>
      </c>
      <c r="D17" s="4" t="s">
        <v>108</v>
      </c>
      <c r="E17" s="4" t="s">
        <v>109</v>
      </c>
      <c r="F17" s="4" t="s">
        <v>110</v>
      </c>
      <c r="G17" s="4" t="s">
        <v>111</v>
      </c>
      <c r="H17" s="4" t="s">
        <v>112</v>
      </c>
      <c r="I17" s="4" t="s">
        <v>113</v>
      </c>
      <c r="J17" s="4" t="s">
        <v>114</v>
      </c>
      <c r="K17" s="4" t="s">
        <v>115</v>
      </c>
      <c r="L17" s="4" t="s">
        <v>116</v>
      </c>
    </row>
    <row r="18" customFormat="false" ht="15" hidden="false" customHeight="false" outlineLevel="0" collapsed="false">
      <c r="A18" s="23" t="n">
        <v>1</v>
      </c>
      <c r="B18" s="23" t="s">
        <v>71</v>
      </c>
      <c r="C18" s="23" t="s">
        <v>35</v>
      </c>
      <c r="D18" s="24" t="n">
        <v>41085.46</v>
      </c>
      <c r="E18" s="24" t="n">
        <v>0</v>
      </c>
      <c r="F18" s="24" t="n">
        <v>0</v>
      </c>
      <c r="G18" s="24" t="n">
        <v>41085.46</v>
      </c>
      <c r="H18" s="24" t="n">
        <v>0</v>
      </c>
      <c r="I18" s="24" t="n">
        <f aca="false">G18+H18</f>
        <v>41085.46</v>
      </c>
      <c r="J18" s="24" t="n">
        <f aca="false">D18-I18</f>
        <v>0</v>
      </c>
      <c r="K18" s="25" t="s">
        <v>121</v>
      </c>
      <c r="L18" s="25" t="s">
        <v>122</v>
      </c>
    </row>
    <row r="19" customFormat="false" ht="15" hidden="false" customHeight="false" outlineLevel="0" collapsed="false">
      <c r="A19" s="23" t="n">
        <v>2</v>
      </c>
      <c r="B19" s="23" t="s">
        <v>72</v>
      </c>
      <c r="C19" s="23" t="s">
        <v>35</v>
      </c>
      <c r="D19" s="24" t="n">
        <v>171105.59</v>
      </c>
      <c r="E19" s="24" t="n">
        <v>0</v>
      </c>
      <c r="F19" s="24" t="n">
        <v>0</v>
      </c>
      <c r="G19" s="24" t="n">
        <v>50035.41</v>
      </c>
      <c r="H19" s="24" t="n">
        <v>6222.02</v>
      </c>
      <c r="I19" s="24" t="n">
        <f aca="false">G19+H19</f>
        <v>56257.43</v>
      </c>
      <c r="J19" s="24" t="n">
        <f aca="false">D19-I19</f>
        <v>114848.16</v>
      </c>
      <c r="K19" s="25" t="s">
        <v>117</v>
      </c>
      <c r="L19" s="25" t="s">
        <v>118</v>
      </c>
    </row>
    <row r="20" customFormat="false" ht="15" hidden="false" customHeight="false" outlineLevel="0" collapsed="false">
      <c r="A20" s="23" t="n">
        <v>3</v>
      </c>
      <c r="B20" s="23" t="s">
        <v>73</v>
      </c>
      <c r="C20" s="23" t="s">
        <v>37</v>
      </c>
      <c r="D20" s="24" t="n">
        <v>74.83</v>
      </c>
      <c r="E20" s="24" t="n">
        <v>0</v>
      </c>
      <c r="F20" s="24" t="n">
        <v>0</v>
      </c>
      <c r="G20" s="24" t="n">
        <v>74.83</v>
      </c>
      <c r="H20" s="24" t="n">
        <v>0</v>
      </c>
      <c r="I20" s="24" t="n">
        <f aca="false">G20+H20</f>
        <v>74.83</v>
      </c>
      <c r="J20" s="24" t="n">
        <f aca="false">D20-I20</f>
        <v>0</v>
      </c>
      <c r="K20" s="25" t="s">
        <v>121</v>
      </c>
      <c r="L20" s="25" t="s">
        <v>122</v>
      </c>
    </row>
    <row r="21" customFormat="false" ht="15" hidden="false" customHeight="false" outlineLevel="0" collapsed="false">
      <c r="A21" s="23" t="n">
        <v>4</v>
      </c>
      <c r="B21" s="23" t="s">
        <v>74</v>
      </c>
      <c r="C21" s="23" t="s">
        <v>37</v>
      </c>
      <c r="D21" s="24" t="n">
        <v>311.62</v>
      </c>
      <c r="E21" s="24" t="n">
        <v>0</v>
      </c>
      <c r="F21" s="24" t="n">
        <v>0</v>
      </c>
      <c r="G21" s="24" t="n">
        <v>90.17</v>
      </c>
      <c r="H21" s="24" t="n">
        <v>11.33</v>
      </c>
      <c r="I21" s="24" t="n">
        <f aca="false">G21+H21</f>
        <v>101.5</v>
      </c>
      <c r="J21" s="24" t="n">
        <f aca="false">D21-I21</f>
        <v>210.12</v>
      </c>
      <c r="K21" s="25" t="s">
        <v>117</v>
      </c>
      <c r="L21" s="25" t="s">
        <v>118</v>
      </c>
    </row>
    <row r="22" customFormat="false" ht="15" hidden="false" customHeight="false" outlineLevel="0" collapsed="false">
      <c r="A22" s="23" t="n">
        <v>5</v>
      </c>
      <c r="B22" s="23" t="s">
        <v>75</v>
      </c>
      <c r="C22" s="23" t="s">
        <v>35</v>
      </c>
      <c r="D22" s="24" t="n">
        <v>3875.98</v>
      </c>
      <c r="E22" s="24" t="n">
        <v>0</v>
      </c>
      <c r="F22" s="24" t="n">
        <v>0</v>
      </c>
      <c r="G22" s="24" t="n">
        <v>3875.98</v>
      </c>
      <c r="H22" s="24" t="n">
        <v>0</v>
      </c>
      <c r="I22" s="24" t="n">
        <f aca="false">G22+H22</f>
        <v>3875.98</v>
      </c>
      <c r="J22" s="24" t="n">
        <f aca="false">D22-I22</f>
        <v>0</v>
      </c>
      <c r="K22" s="25" t="s">
        <v>121</v>
      </c>
      <c r="L22" s="25" t="s">
        <v>122</v>
      </c>
    </row>
    <row r="23" customFormat="false" ht="15" hidden="false" customHeight="false" outlineLevel="0" collapsed="false">
      <c r="A23" s="23" t="n">
        <v>6</v>
      </c>
      <c r="B23" s="23" t="s">
        <v>76</v>
      </c>
      <c r="C23" s="23" t="s">
        <v>35</v>
      </c>
      <c r="D23" s="24" t="n">
        <v>16142.02</v>
      </c>
      <c r="E23" s="24" t="n">
        <v>0</v>
      </c>
      <c r="F23" s="24" t="n">
        <v>0</v>
      </c>
      <c r="G23" s="24" t="n">
        <v>4720.3</v>
      </c>
      <c r="H23" s="24" t="n">
        <v>586.98</v>
      </c>
      <c r="I23" s="24" t="n">
        <f aca="false">G23+H23</f>
        <v>5307.28</v>
      </c>
      <c r="J23" s="24" t="n">
        <f aca="false">D23-I23</f>
        <v>10834.74</v>
      </c>
      <c r="K23" s="25" t="s">
        <v>117</v>
      </c>
      <c r="L23" s="25" t="s">
        <v>118</v>
      </c>
    </row>
    <row r="24" customFormat="false" ht="15" hidden="false" customHeight="false" outlineLevel="0" collapsed="false">
      <c r="A24" s="23" t="n">
        <v>7</v>
      </c>
      <c r="B24" s="23" t="s">
        <v>77</v>
      </c>
      <c r="C24" s="23" t="s">
        <v>35</v>
      </c>
      <c r="D24" s="24" t="n">
        <v>7020.87</v>
      </c>
      <c r="E24" s="24" t="n">
        <v>0</v>
      </c>
      <c r="F24" s="24" t="n">
        <v>0</v>
      </c>
      <c r="G24" s="24" t="n">
        <v>7020.87</v>
      </c>
      <c r="H24" s="24" t="n">
        <v>0</v>
      </c>
      <c r="I24" s="24" t="n">
        <f aca="false">G24+H24</f>
        <v>7020.87</v>
      </c>
      <c r="J24" s="24" t="n">
        <f aca="false">D24-I24</f>
        <v>0</v>
      </c>
      <c r="K24" s="25" t="s">
        <v>121</v>
      </c>
      <c r="L24" s="25" t="s">
        <v>122</v>
      </c>
    </row>
    <row r="25" customFormat="false" ht="15" hidden="false" customHeight="false" outlineLevel="0" collapsed="false">
      <c r="A25" s="23" t="n">
        <v>8</v>
      </c>
      <c r="B25" s="23" t="s">
        <v>78</v>
      </c>
      <c r="C25" s="23" t="s">
        <v>35</v>
      </c>
      <c r="D25" s="24" t="n">
        <v>29239.3</v>
      </c>
      <c r="E25" s="24" t="n">
        <v>0</v>
      </c>
      <c r="F25" s="24" t="n">
        <v>0</v>
      </c>
      <c r="G25" s="24" t="n">
        <v>8550.3</v>
      </c>
      <c r="H25" s="24" t="n">
        <v>1063.25</v>
      </c>
      <c r="I25" s="24" t="n">
        <f aca="false">G25+H25</f>
        <v>9613.55</v>
      </c>
      <c r="J25" s="24" t="n">
        <f aca="false">D25-I25</f>
        <v>19625.75</v>
      </c>
      <c r="K25" s="25" t="s">
        <v>117</v>
      </c>
      <c r="L25" s="25" t="s">
        <v>118</v>
      </c>
    </row>
    <row r="26" customFormat="false" ht="15" hidden="false" customHeight="false" outlineLevel="0" collapsed="false">
      <c r="A26" s="26"/>
      <c r="B26" s="27" t="s">
        <v>53</v>
      </c>
      <c r="C26" s="26"/>
      <c r="D26" s="28" t="n">
        <f aca="false">SUM(D18:D25)</f>
        <v>268855.67</v>
      </c>
      <c r="E26" s="28" t="n">
        <f aca="false">SUM(E18:E25)</f>
        <v>0</v>
      </c>
      <c r="F26" s="28" t="n">
        <f aca="false">SUM(F18:F25)</f>
        <v>0</v>
      </c>
      <c r="G26" s="28" t="n">
        <f aca="false">SUM(G18:G25)</f>
        <v>115453.32</v>
      </c>
      <c r="H26" s="28" t="n">
        <f aca="false">SUM(H18:H25)</f>
        <v>7883.58</v>
      </c>
      <c r="I26" s="28" t="n">
        <f aca="false">SUM(I18:I25)</f>
        <v>123336.9</v>
      </c>
      <c r="J26" s="28" t="n">
        <f aca="false">SUM(J18:J25)</f>
        <v>145518.77</v>
      </c>
      <c r="K26" s="26"/>
      <c r="L26" s="26"/>
    </row>
    <row r="28" customFormat="false" ht="15" hidden="false" customHeight="false" outlineLevel="0" collapsed="false">
      <c r="B28" s="18" t="s">
        <v>124</v>
      </c>
    </row>
    <row r="29" customFormat="false" ht="15" hidden="false" customHeight="false" outlineLevel="0" collapsed="false">
      <c r="B29" s="5" t="s">
        <v>125</v>
      </c>
      <c r="D29" s="6" t="n">
        <f aca="false">I14</f>
        <v>117847.47</v>
      </c>
    </row>
    <row r="30" customFormat="false" ht="15" hidden="false" customHeight="false" outlineLevel="0" collapsed="false">
      <c r="B30" s="5" t="s">
        <v>126</v>
      </c>
      <c r="D30" s="6" t="n">
        <f aca="false">I26</f>
        <v>123336.9</v>
      </c>
    </row>
    <row r="31" customFormat="false" ht="15" hidden="false" customHeight="false" outlineLevel="0" collapsed="false">
      <c r="B31" s="11" t="s">
        <v>124</v>
      </c>
      <c r="D31" s="29" t="n">
        <f aca="false">D29-D30</f>
        <v>-5489.43000000001</v>
      </c>
    </row>
    <row r="33" customFormat="false" ht="15" hidden="false" customHeight="false" outlineLevel="0" collapsed="false">
      <c r="A33" s="10" t="s">
        <v>127</v>
      </c>
    </row>
    <row r="34" customFormat="false" ht="15" hidden="false" customHeight="false" outlineLevel="0" collapsed="false">
      <c r="A34" s="21" t="s">
        <v>128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4" t="s">
        <v>105</v>
      </c>
      <c r="B35" s="4" t="s">
        <v>106</v>
      </c>
      <c r="C35" s="4" t="s">
        <v>107</v>
      </c>
      <c r="D35" s="4" t="s">
        <v>108</v>
      </c>
      <c r="E35" s="4" t="s">
        <v>109</v>
      </c>
      <c r="F35" s="4" t="s">
        <v>110</v>
      </c>
      <c r="G35" s="4" t="s">
        <v>129</v>
      </c>
      <c r="H35" s="4" t="s">
        <v>130</v>
      </c>
      <c r="I35" s="4" t="s">
        <v>113</v>
      </c>
      <c r="J35" s="4" t="s">
        <v>114</v>
      </c>
      <c r="K35" s="4" t="s">
        <v>115</v>
      </c>
      <c r="L35" s="4" t="s">
        <v>116</v>
      </c>
    </row>
    <row r="36" customFormat="false" ht="15" hidden="false" customHeight="false" outlineLevel="0" collapsed="false">
      <c r="A36" s="23" t="n">
        <v>1</v>
      </c>
      <c r="B36" s="23" t="s">
        <v>45</v>
      </c>
      <c r="C36" s="23" t="s">
        <v>35</v>
      </c>
      <c r="D36" s="24" t="n">
        <v>212191.05</v>
      </c>
      <c r="E36" s="24" t="n">
        <v>0</v>
      </c>
      <c r="F36" s="24" t="n">
        <v>0</v>
      </c>
      <c r="G36" s="24" t="n">
        <v>62049.02</v>
      </c>
      <c r="H36" s="24" t="n">
        <v>7716.04</v>
      </c>
      <c r="I36" s="24" t="n">
        <f aca="false">G36+H36</f>
        <v>69765.06</v>
      </c>
      <c r="J36" s="24" t="n">
        <f aca="false">D36-I36</f>
        <v>142425.99</v>
      </c>
      <c r="K36" s="25" t="s">
        <v>117</v>
      </c>
      <c r="L36" s="25" t="s">
        <v>118</v>
      </c>
    </row>
    <row r="37" customFormat="false" ht="15" hidden="false" customHeight="false" outlineLevel="0" collapsed="false">
      <c r="A37" s="23" t="n">
        <v>2</v>
      </c>
      <c r="B37" s="23" t="s">
        <v>46</v>
      </c>
      <c r="C37" s="23" t="s">
        <v>37</v>
      </c>
      <c r="D37" s="24" t="n">
        <v>386.45</v>
      </c>
      <c r="E37" s="24" t="n">
        <v>0</v>
      </c>
      <c r="F37" s="24" t="n">
        <v>0</v>
      </c>
      <c r="G37" s="24" t="n">
        <v>111.91</v>
      </c>
      <c r="H37" s="24" t="n">
        <v>14.06</v>
      </c>
      <c r="I37" s="24" t="n">
        <f aca="false">G37+H37</f>
        <v>125.97</v>
      </c>
      <c r="J37" s="24" t="n">
        <f aca="false">D37-I37</f>
        <v>260.48</v>
      </c>
      <c r="K37" s="25" t="s">
        <v>117</v>
      </c>
      <c r="L37" s="25" t="s">
        <v>118</v>
      </c>
    </row>
    <row r="38" customFormat="false" ht="15" hidden="false" customHeight="false" outlineLevel="0" collapsed="false">
      <c r="A38" s="23" t="n">
        <v>3</v>
      </c>
      <c r="B38" s="23" t="s">
        <v>47</v>
      </c>
      <c r="C38" s="23" t="s">
        <v>35</v>
      </c>
      <c r="D38" s="24" t="n">
        <v>20018</v>
      </c>
      <c r="E38" s="24" t="n">
        <v>0</v>
      </c>
      <c r="F38" s="24" t="n">
        <v>0</v>
      </c>
      <c r="G38" s="24" t="n">
        <v>11723.87</v>
      </c>
      <c r="H38" s="24" t="n">
        <v>1181.07</v>
      </c>
      <c r="I38" s="24" t="n">
        <f aca="false">G38+H38</f>
        <v>12904.94</v>
      </c>
      <c r="J38" s="24" t="n">
        <f aca="false">D38-I38</f>
        <v>7113.06</v>
      </c>
      <c r="K38" s="25" t="s">
        <v>119</v>
      </c>
      <c r="L38" s="25" t="s">
        <v>120</v>
      </c>
    </row>
    <row r="39" customFormat="false" ht="15" hidden="false" customHeight="false" outlineLevel="0" collapsed="false">
      <c r="A39" s="23" t="n">
        <v>4</v>
      </c>
      <c r="B39" s="23" t="s">
        <v>48</v>
      </c>
      <c r="C39" s="23" t="s">
        <v>35</v>
      </c>
      <c r="D39" s="24" t="n">
        <v>36260.17</v>
      </c>
      <c r="E39" s="24" t="n">
        <v>0</v>
      </c>
      <c r="F39" s="24" t="n">
        <v>0</v>
      </c>
      <c r="G39" s="24" t="n">
        <v>35051.5</v>
      </c>
      <c r="H39" s="24" t="n">
        <v>0</v>
      </c>
      <c r="I39" s="24" t="n">
        <f aca="false">G39+H39</f>
        <v>35051.5</v>
      </c>
      <c r="J39" s="24" t="n">
        <f aca="false">D39-I39</f>
        <v>1208.67</v>
      </c>
      <c r="K39" s="25" t="s">
        <v>121</v>
      </c>
      <c r="L39" s="25" t="s">
        <v>122</v>
      </c>
    </row>
    <row r="40" customFormat="false" ht="15" hidden="false" customHeight="false" outlineLevel="0" collapsed="false">
      <c r="A40" s="26"/>
      <c r="B40" s="27" t="s">
        <v>53</v>
      </c>
      <c r="C40" s="26"/>
      <c r="D40" s="28" t="n">
        <f aca="false">SUM(D36:D39)</f>
        <v>268855.67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108936.3</v>
      </c>
      <c r="H40" s="28" t="n">
        <f aca="false">SUM(H36:H39)</f>
        <v>8911.17</v>
      </c>
      <c r="I40" s="28" t="n">
        <f aca="false">SUM(I36:I39)</f>
        <v>117847.47</v>
      </c>
      <c r="J40" s="28" t="n">
        <f aca="false">SUM(J36:J39)</f>
        <v>151008.2</v>
      </c>
      <c r="K40" s="26"/>
      <c r="L40" s="26"/>
    </row>
    <row r="42" customFormat="false" ht="15" hidden="false" customHeight="false" outlineLevel="0" collapsed="false">
      <c r="A42" s="21" t="s">
        <v>131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4" t="s">
        <v>105</v>
      </c>
      <c r="B43" s="4" t="s">
        <v>106</v>
      </c>
      <c r="C43" s="4" t="s">
        <v>107</v>
      </c>
      <c r="D43" s="4" t="s">
        <v>108</v>
      </c>
      <c r="E43" s="4" t="s">
        <v>109</v>
      </c>
      <c r="F43" s="4" t="s">
        <v>110</v>
      </c>
      <c r="G43" s="4" t="s">
        <v>129</v>
      </c>
      <c r="H43" s="4" t="s">
        <v>130</v>
      </c>
      <c r="I43" s="4" t="s">
        <v>113</v>
      </c>
      <c r="J43" s="4" t="s">
        <v>114</v>
      </c>
      <c r="K43" s="4" t="s">
        <v>115</v>
      </c>
      <c r="L43" s="4" t="s">
        <v>116</v>
      </c>
    </row>
    <row r="44" customFormat="false" ht="15" hidden="false" customHeight="false" outlineLevel="0" collapsed="false">
      <c r="A44" s="23" t="n">
        <v>1</v>
      </c>
      <c r="B44" s="23" t="s">
        <v>71</v>
      </c>
      <c r="C44" s="23" t="s">
        <v>35</v>
      </c>
      <c r="D44" s="24" t="n">
        <v>41085.46</v>
      </c>
      <c r="E44" s="24" t="n">
        <v>0</v>
      </c>
      <c r="F44" s="24" t="n">
        <v>0</v>
      </c>
      <c r="G44" s="24" t="n">
        <v>41085.46</v>
      </c>
      <c r="H44" s="24" t="n">
        <v>0</v>
      </c>
      <c r="I44" s="24" t="n">
        <f aca="false">G44+H44</f>
        <v>41085.46</v>
      </c>
      <c r="J44" s="24" t="n">
        <f aca="false">D44-I44</f>
        <v>0</v>
      </c>
      <c r="K44" s="25" t="s">
        <v>121</v>
      </c>
      <c r="L44" s="25" t="s">
        <v>122</v>
      </c>
    </row>
    <row r="45" customFormat="false" ht="15" hidden="false" customHeight="false" outlineLevel="0" collapsed="false">
      <c r="A45" s="23" t="n">
        <v>2</v>
      </c>
      <c r="B45" s="23" t="s">
        <v>72</v>
      </c>
      <c r="C45" s="23" t="s">
        <v>35</v>
      </c>
      <c r="D45" s="24" t="n">
        <v>171105.59</v>
      </c>
      <c r="E45" s="24" t="n">
        <v>0</v>
      </c>
      <c r="F45" s="24" t="n">
        <v>0</v>
      </c>
      <c r="G45" s="24" t="n">
        <v>50035.41</v>
      </c>
      <c r="H45" s="24" t="n">
        <v>6222.02</v>
      </c>
      <c r="I45" s="24" t="n">
        <f aca="false">G45+H45</f>
        <v>56257.43</v>
      </c>
      <c r="J45" s="24" t="n">
        <f aca="false">D45-I45</f>
        <v>114848.16</v>
      </c>
      <c r="K45" s="25" t="s">
        <v>117</v>
      </c>
      <c r="L45" s="25" t="s">
        <v>118</v>
      </c>
    </row>
    <row r="46" customFormat="false" ht="15" hidden="false" customHeight="false" outlineLevel="0" collapsed="false">
      <c r="A46" s="23" t="n">
        <v>3</v>
      </c>
      <c r="B46" s="23" t="s">
        <v>73</v>
      </c>
      <c r="C46" s="23" t="s">
        <v>37</v>
      </c>
      <c r="D46" s="24" t="n">
        <v>74.83</v>
      </c>
      <c r="E46" s="24" t="n">
        <v>0</v>
      </c>
      <c r="F46" s="24" t="n">
        <v>0</v>
      </c>
      <c r="G46" s="24" t="n">
        <v>74.83</v>
      </c>
      <c r="H46" s="24" t="n">
        <v>0</v>
      </c>
      <c r="I46" s="24" t="n">
        <f aca="false">G46+H46</f>
        <v>74.83</v>
      </c>
      <c r="J46" s="24" t="n">
        <f aca="false">D46-I46</f>
        <v>0</v>
      </c>
      <c r="K46" s="25" t="s">
        <v>121</v>
      </c>
      <c r="L46" s="25" t="s">
        <v>122</v>
      </c>
    </row>
    <row r="47" customFormat="false" ht="15" hidden="false" customHeight="false" outlineLevel="0" collapsed="false">
      <c r="A47" s="23" t="n">
        <v>4</v>
      </c>
      <c r="B47" s="23" t="s">
        <v>74</v>
      </c>
      <c r="C47" s="23" t="s">
        <v>37</v>
      </c>
      <c r="D47" s="24" t="n">
        <v>311.62</v>
      </c>
      <c r="E47" s="24" t="n">
        <v>0</v>
      </c>
      <c r="F47" s="24" t="n">
        <v>0</v>
      </c>
      <c r="G47" s="24" t="n">
        <v>90.17</v>
      </c>
      <c r="H47" s="24" t="n">
        <v>11.33</v>
      </c>
      <c r="I47" s="24" t="n">
        <f aca="false">G47+H47</f>
        <v>101.5</v>
      </c>
      <c r="J47" s="24" t="n">
        <f aca="false">D47-I47</f>
        <v>210.12</v>
      </c>
      <c r="K47" s="25" t="s">
        <v>117</v>
      </c>
      <c r="L47" s="25" t="s">
        <v>118</v>
      </c>
    </row>
    <row r="48" customFormat="false" ht="15" hidden="false" customHeight="false" outlineLevel="0" collapsed="false">
      <c r="A48" s="23" t="n">
        <v>5</v>
      </c>
      <c r="B48" s="23" t="s">
        <v>75</v>
      </c>
      <c r="C48" s="23" t="s">
        <v>35</v>
      </c>
      <c r="D48" s="24" t="n">
        <v>3875.98</v>
      </c>
      <c r="E48" s="24" t="n">
        <v>0</v>
      </c>
      <c r="F48" s="24" t="n">
        <v>0</v>
      </c>
      <c r="G48" s="24" t="n">
        <v>3875.98</v>
      </c>
      <c r="H48" s="24" t="n">
        <v>0</v>
      </c>
      <c r="I48" s="24" t="n">
        <f aca="false">G48+H48</f>
        <v>3875.98</v>
      </c>
      <c r="J48" s="24" t="n">
        <f aca="false">D48-I48</f>
        <v>0</v>
      </c>
      <c r="K48" s="25" t="s">
        <v>121</v>
      </c>
      <c r="L48" s="25" t="s">
        <v>122</v>
      </c>
    </row>
    <row r="49" customFormat="false" ht="15" hidden="false" customHeight="false" outlineLevel="0" collapsed="false">
      <c r="A49" s="23" t="n">
        <v>6</v>
      </c>
      <c r="B49" s="23" t="s">
        <v>76</v>
      </c>
      <c r="C49" s="23" t="s">
        <v>35</v>
      </c>
      <c r="D49" s="24" t="n">
        <v>16142.02</v>
      </c>
      <c r="E49" s="24" t="n">
        <v>0</v>
      </c>
      <c r="F49" s="24" t="n">
        <v>0</v>
      </c>
      <c r="G49" s="24" t="n">
        <v>4720.3</v>
      </c>
      <c r="H49" s="24" t="n">
        <v>586.98</v>
      </c>
      <c r="I49" s="24" t="n">
        <f aca="false">G49+H49</f>
        <v>5307.28</v>
      </c>
      <c r="J49" s="24" t="n">
        <f aca="false">D49-I49</f>
        <v>10834.74</v>
      </c>
      <c r="K49" s="25" t="s">
        <v>117</v>
      </c>
      <c r="L49" s="25" t="s">
        <v>118</v>
      </c>
    </row>
    <row r="50" customFormat="false" ht="15" hidden="false" customHeight="false" outlineLevel="0" collapsed="false">
      <c r="A50" s="23" t="n">
        <v>7</v>
      </c>
      <c r="B50" s="23" t="s">
        <v>77</v>
      </c>
      <c r="C50" s="23" t="s">
        <v>35</v>
      </c>
      <c r="D50" s="24" t="n">
        <v>7020.87</v>
      </c>
      <c r="E50" s="24" t="n">
        <v>0</v>
      </c>
      <c r="F50" s="24" t="n">
        <v>0</v>
      </c>
      <c r="G50" s="24" t="n">
        <v>7020.87</v>
      </c>
      <c r="H50" s="24" t="n">
        <v>0</v>
      </c>
      <c r="I50" s="24" t="n">
        <f aca="false">G50+H50</f>
        <v>7020.87</v>
      </c>
      <c r="J50" s="24" t="n">
        <f aca="false">D50-I50</f>
        <v>0</v>
      </c>
      <c r="K50" s="25" t="s">
        <v>121</v>
      </c>
      <c r="L50" s="25" t="s">
        <v>122</v>
      </c>
    </row>
    <row r="51" customFormat="false" ht="15" hidden="false" customHeight="false" outlineLevel="0" collapsed="false">
      <c r="A51" s="23" t="n">
        <v>8</v>
      </c>
      <c r="B51" s="23" t="s">
        <v>78</v>
      </c>
      <c r="C51" s="23" t="s">
        <v>35</v>
      </c>
      <c r="D51" s="24" t="n">
        <v>29239.3</v>
      </c>
      <c r="E51" s="24" t="n">
        <v>0</v>
      </c>
      <c r="F51" s="24" t="n">
        <v>0</v>
      </c>
      <c r="G51" s="24" t="n">
        <v>8550.3</v>
      </c>
      <c r="H51" s="24" t="n">
        <v>1063.25</v>
      </c>
      <c r="I51" s="24" t="n">
        <f aca="false">G51+H51</f>
        <v>9613.55</v>
      </c>
      <c r="J51" s="24" t="n">
        <f aca="false">D51-I51</f>
        <v>19625.75</v>
      </c>
      <c r="K51" s="25" t="s">
        <v>117</v>
      </c>
      <c r="L51" s="25" t="s">
        <v>118</v>
      </c>
    </row>
    <row r="52" customFormat="false" ht="15" hidden="false" customHeight="false" outlineLevel="0" collapsed="false">
      <c r="A52" s="26"/>
      <c r="B52" s="27" t="s">
        <v>53</v>
      </c>
      <c r="C52" s="26"/>
      <c r="D52" s="28" t="n">
        <f aca="false">SUM(D44:D51)</f>
        <v>268855.67</v>
      </c>
      <c r="E52" s="28" t="n">
        <f aca="false">SUM(E44:E51)</f>
        <v>0</v>
      </c>
      <c r="F52" s="28" t="n">
        <f aca="false">SUM(F44:F51)</f>
        <v>0</v>
      </c>
      <c r="G52" s="28" t="n">
        <f aca="false">SUM(G44:G51)</f>
        <v>115453.32</v>
      </c>
      <c r="H52" s="28" t="n">
        <f aca="false">SUM(H44:H51)</f>
        <v>7883.58</v>
      </c>
      <c r="I52" s="28" t="n">
        <f aca="false">SUM(I44:I51)</f>
        <v>123336.9</v>
      </c>
      <c r="J52" s="28" t="n">
        <f aca="false">SUM(J44:J51)</f>
        <v>145518.77</v>
      </c>
      <c r="K52" s="26"/>
      <c r="L52" s="26"/>
    </row>
    <row r="54" customFormat="false" ht="15" hidden="false" customHeight="false" outlineLevel="0" collapsed="false">
      <c r="B54" s="18" t="s">
        <v>132</v>
      </c>
    </row>
    <row r="55" customFormat="false" ht="15" hidden="false" customHeight="false" outlineLevel="0" collapsed="false">
      <c r="B55" s="5" t="s">
        <v>125</v>
      </c>
      <c r="D55" s="6" t="n">
        <f aca="false">I40</f>
        <v>117847.47</v>
      </c>
    </row>
    <row r="56" customFormat="false" ht="15" hidden="false" customHeight="false" outlineLevel="0" collapsed="false">
      <c r="B56" s="5" t="s">
        <v>126</v>
      </c>
      <c r="D56" s="6" t="n">
        <f aca="false">I52</f>
        <v>123336.9</v>
      </c>
    </row>
    <row r="57" customFormat="false" ht="15" hidden="false" customHeight="false" outlineLevel="0" collapsed="false">
      <c r="B57" s="11" t="s">
        <v>132</v>
      </c>
      <c r="D57" s="29" t="n">
        <f aca="false">D55-D56</f>
        <v>-5489.43000000001</v>
      </c>
    </row>
    <row r="59" customFormat="false" ht="15" hidden="false" customHeight="false" outlineLevel="0" collapsed="false">
      <c r="A59" s="10" t="s">
        <v>133</v>
      </c>
    </row>
    <row r="60" customFormat="false" ht="15" hidden="false" customHeight="false" outlineLevel="0" collapsed="false">
      <c r="B60" s="11" t="s">
        <v>162</v>
      </c>
      <c r="D60" s="12" t="n">
        <f aca="false">D99</f>
        <v>268855.67</v>
      </c>
    </row>
    <row r="61" customFormat="false" ht="15" hidden="false" customHeight="false" outlineLevel="0" collapsed="false">
      <c r="B61" s="5" t="s">
        <v>163</v>
      </c>
      <c r="D61" s="6" t="n">
        <f aca="false">F99</f>
        <v>52057.14</v>
      </c>
    </row>
    <row r="62" customFormat="false" ht="15" hidden="false" customHeight="false" outlineLevel="0" collapsed="false">
      <c r="B62" s="30" t="s">
        <v>136</v>
      </c>
      <c r="D62" s="31" t="n">
        <f aca="false">F100</f>
        <v>0.193624854554862</v>
      </c>
    </row>
    <row r="63" customFormat="false" ht="15" hidden="false" customHeight="false" outlineLevel="0" collapsed="false">
      <c r="B63" s="5" t="s">
        <v>164</v>
      </c>
      <c r="D63" s="6" t="n">
        <f aca="false">H99</f>
        <v>216798.53</v>
      </c>
    </row>
    <row r="64" customFormat="false" ht="15" hidden="false" customHeight="false" outlineLevel="0" collapsed="false">
      <c r="B64" s="30" t="s">
        <v>136</v>
      </c>
      <c r="D64" s="31" t="n">
        <f aca="false">H100</f>
        <v>0.806375145445138</v>
      </c>
    </row>
    <row r="66" customFormat="false" ht="15" hidden="false" customHeight="false" outlineLevel="0" collapsed="false">
      <c r="A66" s="10" t="s">
        <v>138</v>
      </c>
    </row>
    <row r="67" customFormat="false" ht="15" hidden="false" customHeight="false" outlineLevel="0" collapsed="false">
      <c r="B67" s="4" t="s">
        <v>139</v>
      </c>
      <c r="D67" s="4" t="s">
        <v>108</v>
      </c>
      <c r="F67" s="4" t="s">
        <v>165</v>
      </c>
      <c r="H67" s="4" t="s">
        <v>141</v>
      </c>
    </row>
    <row r="68" customFormat="false" ht="15" hidden="false" customHeight="false" outlineLevel="0" collapsed="false">
      <c r="B68" s="32" t="s">
        <v>166</v>
      </c>
    </row>
    <row r="69" customFormat="false" ht="15" hidden="false" customHeight="false" outlineLevel="0" collapsed="false">
      <c r="B69" s="5" t="s">
        <v>167</v>
      </c>
      <c r="D69" s="33" t="n">
        <f aca="false">SUM(F69:H69)</f>
        <v>7759.94</v>
      </c>
      <c r="F69" s="33" t="n">
        <v>7759.94</v>
      </c>
    </row>
    <row r="70" customFormat="false" ht="15" hidden="false" customHeight="false" outlineLevel="0" collapsed="false">
      <c r="B70" s="5" t="s">
        <v>168</v>
      </c>
      <c r="D70" s="33" t="n">
        <f aca="false">SUM(F70:H70)</f>
        <v>4601.14</v>
      </c>
      <c r="F70" s="33" t="n">
        <v>4601.14</v>
      </c>
    </row>
    <row r="71" customFormat="false" ht="15" hidden="false" customHeight="false" outlineLevel="0" collapsed="false">
      <c r="B71" s="5" t="s">
        <v>169</v>
      </c>
      <c r="D71" s="33" t="n">
        <f aca="false">SUM(F71:H71)</f>
        <v>18695.69</v>
      </c>
      <c r="F71" s="33" t="n">
        <v>18695.69</v>
      </c>
    </row>
    <row r="72" customFormat="false" ht="15" hidden="false" customHeight="false" outlineLevel="0" collapsed="false">
      <c r="B72" s="5" t="s">
        <v>171</v>
      </c>
      <c r="D72" s="33" t="n">
        <f aca="false">SUM(F72:H72)</f>
        <v>2235.2</v>
      </c>
      <c r="F72" s="33" t="n">
        <v>2235.2</v>
      </c>
    </row>
    <row r="73" customFormat="false" ht="15" hidden="false" customHeight="false" outlineLevel="0" collapsed="false">
      <c r="B73" s="5" t="s">
        <v>196</v>
      </c>
      <c r="D73" s="33" t="n">
        <f aca="false">SUM(F73:H73)</f>
        <v>274.94</v>
      </c>
      <c r="F73" s="33" t="n">
        <v>274.94</v>
      </c>
    </row>
    <row r="74" customFormat="false" ht="15" hidden="false" customHeight="false" outlineLevel="0" collapsed="false">
      <c r="B74" s="5" t="s">
        <v>197</v>
      </c>
      <c r="D74" s="33" t="n">
        <f aca="false">SUM(F74:H74)</f>
        <v>120.68</v>
      </c>
      <c r="F74" s="33" t="n">
        <v>120.68</v>
      </c>
    </row>
    <row r="75" customFormat="false" ht="15" hidden="false" customHeight="false" outlineLevel="0" collapsed="false">
      <c r="B75" s="5" t="s">
        <v>172</v>
      </c>
      <c r="D75" s="33" t="n">
        <f aca="false">SUM(F75:H75)</f>
        <v>4471.44</v>
      </c>
      <c r="F75" s="33" t="n">
        <v>4471.44</v>
      </c>
    </row>
    <row r="76" customFormat="false" ht="15" hidden="false" customHeight="false" outlineLevel="0" collapsed="false">
      <c r="B76" s="5" t="s">
        <v>173</v>
      </c>
      <c r="D76" s="33" t="n">
        <f aca="false">SUM(F76:H76)</f>
        <v>1633.14</v>
      </c>
      <c r="F76" s="33" t="n">
        <v>1633.14</v>
      </c>
    </row>
    <row r="77" customFormat="false" ht="15" hidden="false" customHeight="false" outlineLevel="0" collapsed="false">
      <c r="B77" s="5" t="s">
        <v>198</v>
      </c>
      <c r="D77" s="33" t="n">
        <f aca="false">SUM(F77:H77)</f>
        <v>5141.11</v>
      </c>
      <c r="F77" s="33" t="n">
        <v>5141.11</v>
      </c>
    </row>
    <row r="78" customFormat="false" ht="15" hidden="false" customHeight="false" outlineLevel="0" collapsed="false">
      <c r="B78" s="5" t="s">
        <v>175</v>
      </c>
      <c r="D78" s="33" t="n">
        <f aca="false">SUM(F78:H78)</f>
        <v>1534.74</v>
      </c>
      <c r="F78" s="33" t="n">
        <v>1534.74</v>
      </c>
    </row>
    <row r="79" customFormat="false" ht="15" hidden="false" customHeight="false" outlineLevel="0" collapsed="false">
      <c r="B79" s="5" t="s">
        <v>199</v>
      </c>
      <c r="D79" s="33" t="n">
        <f aca="false">SUM(F79:H79)</f>
        <v>64.8</v>
      </c>
      <c r="F79" s="33" t="n">
        <v>64.8</v>
      </c>
    </row>
    <row r="80" customFormat="false" ht="15" hidden="false" customHeight="false" outlineLevel="0" collapsed="false">
      <c r="B80" s="5" t="s">
        <v>200</v>
      </c>
      <c r="D80" s="33" t="n">
        <f aca="false">SUM(F80:H80)</f>
        <v>5524.32</v>
      </c>
      <c r="F80" s="33" t="n">
        <v>5524.32</v>
      </c>
    </row>
    <row r="81" customFormat="false" ht="15" hidden="false" customHeight="false" outlineLevel="0" collapsed="false">
      <c r="B81" s="32" t="s">
        <v>177</v>
      </c>
    </row>
    <row r="82" customFormat="false" ht="15" hidden="false" customHeight="false" outlineLevel="0" collapsed="false">
      <c r="B82" s="5" t="s">
        <v>178</v>
      </c>
      <c r="D82" s="33" t="n">
        <f aca="false">SUM(F82:H82)</f>
        <v>10400.92</v>
      </c>
      <c r="H82" s="33" t="n">
        <v>10400.92</v>
      </c>
    </row>
    <row r="83" customFormat="false" ht="15" hidden="false" customHeight="false" outlineLevel="0" collapsed="false">
      <c r="B83" s="5" t="s">
        <v>179</v>
      </c>
      <c r="D83" s="33" t="n">
        <f aca="false">SUM(F83:H83)</f>
        <v>19732.45</v>
      </c>
      <c r="H83" s="33" t="n">
        <v>19732.45</v>
      </c>
    </row>
    <row r="84" customFormat="false" ht="15" hidden="false" customHeight="false" outlineLevel="0" collapsed="false">
      <c r="B84" s="5" t="s">
        <v>180</v>
      </c>
      <c r="D84" s="33" t="n">
        <f aca="false">SUM(F84:H84)</f>
        <v>18076.85</v>
      </c>
      <c r="H84" s="33" t="n">
        <v>18076.85</v>
      </c>
    </row>
    <row r="85" customFormat="false" ht="15" hidden="false" customHeight="false" outlineLevel="0" collapsed="false">
      <c r="B85" s="5" t="s">
        <v>181</v>
      </c>
      <c r="D85" s="33" t="n">
        <f aca="false">SUM(F85:H85)</f>
        <v>19867.9</v>
      </c>
      <c r="H85" s="33" t="n">
        <v>19867.9</v>
      </c>
    </row>
    <row r="86" customFormat="false" ht="15" hidden="false" customHeight="false" outlineLevel="0" collapsed="false">
      <c r="B86" s="5" t="s">
        <v>182</v>
      </c>
      <c r="D86" s="33" t="n">
        <f aca="false">SUM(F86:H86)</f>
        <v>15953.11</v>
      </c>
      <c r="H86" s="33" t="n">
        <v>15953.11</v>
      </c>
    </row>
    <row r="87" customFormat="false" ht="15" hidden="false" customHeight="false" outlineLevel="0" collapsed="false">
      <c r="B87" s="5" t="s">
        <v>183</v>
      </c>
      <c r="D87" s="33" t="n">
        <f aca="false">SUM(F87:H87)</f>
        <v>1077</v>
      </c>
      <c r="H87" s="33" t="n">
        <v>1077</v>
      </c>
    </row>
    <row r="88" customFormat="false" ht="15" hidden="false" customHeight="false" outlineLevel="0" collapsed="false">
      <c r="B88" s="5" t="s">
        <v>184</v>
      </c>
      <c r="D88" s="33" t="n">
        <f aca="false">SUM(F88:H88)</f>
        <v>24515.03</v>
      </c>
      <c r="H88" s="33" t="n">
        <v>24515.03</v>
      </c>
    </row>
    <row r="89" customFormat="false" ht="15" hidden="false" customHeight="false" outlineLevel="0" collapsed="false">
      <c r="B89" s="5" t="s">
        <v>185</v>
      </c>
      <c r="D89" s="33" t="n">
        <f aca="false">SUM(F89:H89)</f>
        <v>18444.72</v>
      </c>
      <c r="H89" s="33" t="n">
        <v>18444.72</v>
      </c>
    </row>
    <row r="90" customFormat="false" ht="15" hidden="false" customHeight="false" outlineLevel="0" collapsed="false">
      <c r="B90" s="5" t="s">
        <v>186</v>
      </c>
      <c r="D90" s="33" t="n">
        <f aca="false">SUM(F90:H90)</f>
        <v>11037.53</v>
      </c>
      <c r="H90" s="33" t="n">
        <v>11037.53</v>
      </c>
    </row>
    <row r="91" customFormat="false" ht="15" hidden="false" customHeight="false" outlineLevel="0" collapsed="false">
      <c r="B91" s="5" t="s">
        <v>187</v>
      </c>
      <c r="D91" s="33" t="n">
        <f aca="false">SUM(F91:H91)</f>
        <v>8326.32</v>
      </c>
      <c r="H91" s="33" t="n">
        <v>8326.32</v>
      </c>
    </row>
    <row r="92" customFormat="false" ht="15" hidden="false" customHeight="false" outlineLevel="0" collapsed="false">
      <c r="B92" s="5" t="s">
        <v>188</v>
      </c>
      <c r="D92" s="33" t="n">
        <f aca="false">SUM(F92:H92)</f>
        <v>20278.2</v>
      </c>
      <c r="H92" s="33" t="n">
        <v>20278.2</v>
      </c>
    </row>
    <row r="93" customFormat="false" ht="15" hidden="false" customHeight="false" outlineLevel="0" collapsed="false">
      <c r="B93" s="5" t="s">
        <v>189</v>
      </c>
      <c r="D93" s="33" t="n">
        <f aca="false">SUM(F93:H93)</f>
        <v>8613.97</v>
      </c>
      <c r="H93" s="33" t="n">
        <v>8613.97</v>
      </c>
    </row>
    <row r="94" customFormat="false" ht="15" hidden="false" customHeight="false" outlineLevel="0" collapsed="false">
      <c r="B94" s="5" t="s">
        <v>190</v>
      </c>
      <c r="D94" s="33" t="n">
        <f aca="false">SUM(F94:H94)</f>
        <v>1343.51</v>
      </c>
      <c r="H94" s="33" t="n">
        <v>1343.51</v>
      </c>
    </row>
    <row r="95" customFormat="false" ht="15" hidden="false" customHeight="false" outlineLevel="0" collapsed="false">
      <c r="B95" s="5" t="s">
        <v>192</v>
      </c>
      <c r="D95" s="33" t="n">
        <f aca="false">SUM(F95:H95)</f>
        <v>27755.5</v>
      </c>
      <c r="H95" s="33" t="n">
        <v>27755.5</v>
      </c>
    </row>
    <row r="96" customFormat="false" ht="15" hidden="false" customHeight="false" outlineLevel="0" collapsed="false">
      <c r="B96" s="5" t="s">
        <v>201</v>
      </c>
      <c r="D96" s="33" t="n">
        <f aca="false">SUM(F96:H96)</f>
        <v>6811.28</v>
      </c>
      <c r="H96" s="33" t="n">
        <v>6811.28</v>
      </c>
    </row>
    <row r="97" customFormat="false" ht="15" hidden="false" customHeight="false" outlineLevel="0" collapsed="false">
      <c r="B97" s="5" t="s">
        <v>193</v>
      </c>
      <c r="D97" s="33" t="n">
        <f aca="false">SUM(F97:H97)</f>
        <v>1999.53</v>
      </c>
      <c r="H97" s="33" t="n">
        <v>1999.53</v>
      </c>
    </row>
    <row r="98" customFormat="false" ht="15" hidden="false" customHeight="false" outlineLevel="0" collapsed="false">
      <c r="B98" s="5" t="s">
        <v>202</v>
      </c>
      <c r="D98" s="33" t="n">
        <f aca="false">SUM(F98:H98)</f>
        <v>2564.71</v>
      </c>
      <c r="H98" s="33" t="n">
        <v>2564.71</v>
      </c>
    </row>
    <row r="99" customFormat="false" ht="15" hidden="false" customHeight="false" outlineLevel="0" collapsed="false">
      <c r="B99" s="11" t="s">
        <v>162</v>
      </c>
      <c r="D99" s="34" t="n">
        <f aca="false">SUM(D68:D98)</f>
        <v>268855.67</v>
      </c>
      <c r="F99" s="34" t="n">
        <f aca="false">SUM(F68:F98)</f>
        <v>52057.14</v>
      </c>
      <c r="H99" s="34" t="n">
        <f aca="false">SUM(H68:H98)</f>
        <v>216798.53</v>
      </c>
    </row>
    <row r="100" customFormat="false" ht="15" hidden="false" customHeight="false" outlineLevel="0" collapsed="false">
      <c r="B100" s="30" t="s">
        <v>136</v>
      </c>
      <c r="F100" s="31" t="n">
        <f aca="false">F99/D99</f>
        <v>0.193624854554862</v>
      </c>
      <c r="H100" s="31" t="n">
        <f aca="false">H99/D99</f>
        <v>0.806375145445138</v>
      </c>
    </row>
    <row r="102" customFormat="false" ht="15" hidden="false" customHeight="false" outlineLevel="0" collapsed="false">
      <c r="A102" s="10" t="s">
        <v>157</v>
      </c>
    </row>
    <row r="103" customFormat="false" ht="15" hidden="false" customHeight="false" outlineLevel="0" collapsed="false">
      <c r="B103" s="4" t="s">
        <v>158</v>
      </c>
      <c r="D103" s="4" t="s">
        <v>108</v>
      </c>
      <c r="F103" s="4" t="s">
        <v>165</v>
      </c>
      <c r="H103" s="4" t="s">
        <v>141</v>
      </c>
    </row>
    <row r="104" customFormat="false" ht="15" hidden="false" customHeight="false" outlineLevel="0" collapsed="false">
      <c r="B104" s="5" t="str">
        <f aca="false">'Building 2'!B18</f>
        <v>1 - Buillding - Apt - 5yr</v>
      </c>
      <c r="D104" s="33" t="n">
        <f aca="false">SUM(F104:H104)</f>
        <v>41085.46</v>
      </c>
      <c r="F104" s="33" t="n">
        <f aca="false">'Building 2'!D18</f>
        <v>41085.46</v>
      </c>
    </row>
    <row r="105" customFormat="false" ht="15" hidden="false" customHeight="false" outlineLevel="0" collapsed="false">
      <c r="B105" s="5" t="str">
        <f aca="false">'Building 2'!B19</f>
        <v>1 - Buillding - Apt - 27.5yr</v>
      </c>
      <c r="D105" s="33" t="n">
        <f aca="false">SUM(F105:H105)</f>
        <v>171105.59</v>
      </c>
      <c r="H105" s="33" t="n">
        <f aca="false">'Building 2'!D19</f>
        <v>171105.59</v>
      </c>
    </row>
    <row r="106" customFormat="false" ht="15" hidden="false" customHeight="false" outlineLevel="0" collapsed="false">
      <c r="B106" s="5" t="str">
        <f aca="false">'Building 2'!B20</f>
        <v>5 - Building - Apt - 5yr</v>
      </c>
      <c r="D106" s="33" t="n">
        <f aca="false">SUM(F106:H106)</f>
        <v>74.83</v>
      </c>
      <c r="F106" s="33" t="n">
        <f aca="false">'Building 2'!D20</f>
        <v>74.83</v>
      </c>
    </row>
    <row r="107" customFormat="false" ht="15" hidden="false" customHeight="false" outlineLevel="0" collapsed="false">
      <c r="B107" s="5" t="str">
        <f aca="false">'Building 2'!B21</f>
        <v>5 - Building - Apt - 27.5yr</v>
      </c>
      <c r="D107" s="33" t="n">
        <f aca="false">SUM(F107:H107)</f>
        <v>311.62</v>
      </c>
      <c r="H107" s="33" t="n">
        <f aca="false">'Building 2'!D21</f>
        <v>311.62</v>
      </c>
    </row>
    <row r="108" customFormat="false" ht="15" hidden="false" customHeight="false" outlineLevel="0" collapsed="false">
      <c r="B108" s="5" t="str">
        <f aca="false">'Building 2'!B22</f>
        <v>3 - Land Improvements - Apt - 5yr</v>
      </c>
      <c r="D108" s="33" t="n">
        <f aca="false">SUM(F108:H108)</f>
        <v>3875.98</v>
      </c>
      <c r="F108" s="33" t="n">
        <f aca="false">'Building 2'!D22</f>
        <v>3875.98</v>
      </c>
    </row>
    <row r="109" customFormat="false" ht="15" hidden="false" customHeight="false" outlineLevel="0" collapsed="false">
      <c r="B109" s="5" t="str">
        <f aca="false">'Building 2'!B23</f>
        <v>3 - Land Improvements - Apt - 27.5yr</v>
      </c>
      <c r="D109" s="33" t="n">
        <f aca="false">SUM(F109:H109)</f>
        <v>16142.02</v>
      </c>
      <c r="H109" s="33" t="n">
        <f aca="false">'Building 2'!D23</f>
        <v>16142.02</v>
      </c>
    </row>
    <row r="110" customFormat="false" ht="15" hidden="false" customHeight="false" outlineLevel="0" collapsed="false">
      <c r="B110" s="5" t="str">
        <f aca="false">'Building 2'!B24</f>
        <v>4 - Equipment - Apt - 5yr</v>
      </c>
      <c r="D110" s="33" t="n">
        <f aca="false">SUM(F110:H110)</f>
        <v>7020.87</v>
      </c>
      <c r="F110" s="33" t="n">
        <f aca="false">'Building 2'!D24</f>
        <v>7020.87</v>
      </c>
    </row>
    <row r="111" customFormat="false" ht="15" hidden="false" customHeight="false" outlineLevel="0" collapsed="false">
      <c r="B111" s="5" t="str">
        <f aca="false">'Building 2'!B25</f>
        <v>4 - Equipment - Apt - 27.5yr</v>
      </c>
      <c r="D111" s="33" t="n">
        <f aca="false">SUM(F111:H111)</f>
        <v>29239.3</v>
      </c>
      <c r="H111" s="33" t="n">
        <f aca="false">'Building 2'!D25</f>
        <v>29239.3</v>
      </c>
    </row>
    <row r="112" customFormat="false" ht="15" hidden="false" customHeight="false" outlineLevel="0" collapsed="false">
      <c r="B112" s="11" t="s">
        <v>159</v>
      </c>
      <c r="D112" s="34" t="n">
        <f aca="false">SUM(D104:D111)</f>
        <v>268855.67</v>
      </c>
      <c r="F112" s="34" t="n">
        <f aca="false">SUM(F104:F111)</f>
        <v>52057.14</v>
      </c>
      <c r="H112" s="34" t="n">
        <f aca="false">SUM(H104:H111)</f>
        <v>216798.53</v>
      </c>
    </row>
    <row r="113" customFormat="false" ht="15" hidden="false" customHeight="false" outlineLevel="0" collapsed="false">
      <c r="B113" s="16" t="s">
        <v>160</v>
      </c>
      <c r="D113" s="17" t="n">
        <f aca="false">D112-D99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204</v>
      </c>
    </row>
    <row r="5" customFormat="false" ht="15" hidden="false" customHeight="false" outlineLevel="0" collapsed="false">
      <c r="A5" s="16" t="s">
        <v>102</v>
      </c>
    </row>
    <row r="7" customFormat="false" ht="15" hidden="false" customHeight="false" outlineLevel="0" collapsed="false">
      <c r="A7" s="10" t="s">
        <v>103</v>
      </c>
    </row>
    <row r="8" customFormat="false" ht="15" hidden="false" customHeight="false" outlineLevel="0" collapsed="false">
      <c r="A8" s="21" t="s">
        <v>104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105</v>
      </c>
      <c r="B9" s="4" t="s">
        <v>106</v>
      </c>
      <c r="C9" s="4" t="s">
        <v>107</v>
      </c>
      <c r="D9" s="4" t="s">
        <v>108</v>
      </c>
      <c r="E9" s="4" t="s">
        <v>109</v>
      </c>
      <c r="F9" s="4" t="s">
        <v>110</v>
      </c>
      <c r="G9" s="4" t="s">
        <v>111</v>
      </c>
      <c r="H9" s="4" t="s">
        <v>112</v>
      </c>
      <c r="I9" s="4" t="s">
        <v>113</v>
      </c>
      <c r="J9" s="4" t="s">
        <v>114</v>
      </c>
      <c r="K9" s="4" t="s">
        <v>115</v>
      </c>
      <c r="L9" s="4" t="s">
        <v>116</v>
      </c>
    </row>
    <row r="10" customFormat="false" ht="15" hidden="false" customHeight="false" outlineLevel="0" collapsed="false">
      <c r="A10" s="23" t="n">
        <v>1</v>
      </c>
      <c r="B10" s="23" t="s">
        <v>45</v>
      </c>
      <c r="C10" s="23" t="s">
        <v>35</v>
      </c>
      <c r="D10" s="24" t="n">
        <v>116723.12</v>
      </c>
      <c r="E10" s="24" t="n">
        <v>0</v>
      </c>
      <c r="F10" s="24" t="n">
        <v>0</v>
      </c>
      <c r="G10" s="24" t="n">
        <v>34132.24</v>
      </c>
      <c r="H10" s="24" t="n">
        <v>4244.48</v>
      </c>
      <c r="I10" s="24" t="n">
        <f aca="false">G10+H10</f>
        <v>38376.72</v>
      </c>
      <c r="J10" s="24" t="n">
        <f aca="false">D10-I10</f>
        <v>78346.4</v>
      </c>
      <c r="K10" s="25" t="s">
        <v>117</v>
      </c>
      <c r="L10" s="25" t="s">
        <v>118</v>
      </c>
    </row>
    <row r="11" customFormat="false" ht="15" hidden="false" customHeight="false" outlineLevel="0" collapsed="false">
      <c r="A11" s="23" t="n">
        <v>2</v>
      </c>
      <c r="B11" s="23" t="s">
        <v>46</v>
      </c>
      <c r="C11" s="23" t="s">
        <v>37</v>
      </c>
      <c r="D11" s="24" t="n">
        <v>212.58</v>
      </c>
      <c r="E11" s="24" t="n">
        <v>0</v>
      </c>
      <c r="F11" s="24" t="n">
        <v>0</v>
      </c>
      <c r="G11" s="24" t="n">
        <v>61.56</v>
      </c>
      <c r="H11" s="24" t="n">
        <v>7.73</v>
      </c>
      <c r="I11" s="24" t="n">
        <f aca="false">G11+H11</f>
        <v>69.29</v>
      </c>
      <c r="J11" s="24" t="n">
        <f aca="false">D11-I11</f>
        <v>143.29</v>
      </c>
      <c r="K11" s="25" t="s">
        <v>117</v>
      </c>
      <c r="L11" s="25" t="s">
        <v>118</v>
      </c>
    </row>
    <row r="12" customFormat="false" ht="15" hidden="false" customHeight="false" outlineLevel="0" collapsed="false">
      <c r="A12" s="23" t="n">
        <v>3</v>
      </c>
      <c r="B12" s="23" t="s">
        <v>47</v>
      </c>
      <c r="C12" s="23" t="s">
        <v>35</v>
      </c>
      <c r="D12" s="24" t="n">
        <v>11011.6</v>
      </c>
      <c r="E12" s="24" t="n">
        <v>0</v>
      </c>
      <c r="F12" s="24" t="n">
        <v>0</v>
      </c>
      <c r="G12" s="24" t="n">
        <v>6449.13</v>
      </c>
      <c r="H12" s="24" t="n">
        <v>649.69</v>
      </c>
      <c r="I12" s="24" t="n">
        <f aca="false">G12+H12</f>
        <v>7098.82</v>
      </c>
      <c r="J12" s="24" t="n">
        <f aca="false">D12-I12</f>
        <v>3912.78</v>
      </c>
      <c r="K12" s="25" t="s">
        <v>119</v>
      </c>
      <c r="L12" s="25" t="s">
        <v>120</v>
      </c>
    </row>
    <row r="13" customFormat="false" ht="15" hidden="false" customHeight="false" outlineLevel="0" collapsed="false">
      <c r="A13" s="23" t="n">
        <v>4</v>
      </c>
      <c r="B13" s="23" t="s">
        <v>48</v>
      </c>
      <c r="C13" s="23" t="s">
        <v>35</v>
      </c>
      <c r="D13" s="24" t="n">
        <v>19946.17</v>
      </c>
      <c r="E13" s="24" t="n">
        <v>0</v>
      </c>
      <c r="F13" s="24" t="n">
        <v>0</v>
      </c>
      <c r="G13" s="24" t="n">
        <v>19281.3</v>
      </c>
      <c r="H13" s="24" t="n">
        <v>0</v>
      </c>
      <c r="I13" s="24" t="n">
        <f aca="false">G13+H13</f>
        <v>19281.3</v>
      </c>
      <c r="J13" s="24" t="n">
        <f aca="false">D13-I13</f>
        <v>664.869999999999</v>
      </c>
      <c r="K13" s="25" t="s">
        <v>121</v>
      </c>
      <c r="L13" s="25" t="s">
        <v>122</v>
      </c>
    </row>
    <row r="14" customFormat="false" ht="15" hidden="false" customHeight="false" outlineLevel="0" collapsed="false">
      <c r="A14" s="26"/>
      <c r="B14" s="27" t="s">
        <v>53</v>
      </c>
      <c r="C14" s="26"/>
      <c r="D14" s="28" t="n">
        <f aca="false">SUM(D10:D13)</f>
        <v>147893.47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59924.23</v>
      </c>
      <c r="H14" s="28" t="n">
        <f aca="false">SUM(H10:H13)</f>
        <v>4901.9</v>
      </c>
      <c r="I14" s="28" t="n">
        <f aca="false">SUM(I10:I13)</f>
        <v>64826.13</v>
      </c>
      <c r="J14" s="28" t="n">
        <f aca="false">SUM(J10:J13)</f>
        <v>83067.34</v>
      </c>
      <c r="K14" s="26"/>
      <c r="L14" s="26"/>
    </row>
    <row r="16" customFormat="false" ht="15" hidden="false" customHeight="false" outlineLevel="0" collapsed="false">
      <c r="A16" s="21" t="s">
        <v>123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4" t="s">
        <v>105</v>
      </c>
      <c r="B17" s="4" t="s">
        <v>106</v>
      </c>
      <c r="C17" s="4" t="s">
        <v>107</v>
      </c>
      <c r="D17" s="4" t="s">
        <v>108</v>
      </c>
      <c r="E17" s="4" t="s">
        <v>109</v>
      </c>
      <c r="F17" s="4" t="s">
        <v>110</v>
      </c>
      <c r="G17" s="4" t="s">
        <v>111</v>
      </c>
      <c r="H17" s="4" t="s">
        <v>112</v>
      </c>
      <c r="I17" s="4" t="s">
        <v>113</v>
      </c>
      <c r="J17" s="4" t="s">
        <v>114</v>
      </c>
      <c r="K17" s="4" t="s">
        <v>115</v>
      </c>
      <c r="L17" s="4" t="s">
        <v>116</v>
      </c>
    </row>
    <row r="18" customFormat="false" ht="15" hidden="false" customHeight="false" outlineLevel="0" collapsed="false">
      <c r="A18" s="23" t="n">
        <v>1</v>
      </c>
      <c r="B18" s="23" t="s">
        <v>71</v>
      </c>
      <c r="C18" s="23" t="s">
        <v>35</v>
      </c>
      <c r="D18" s="24" t="n">
        <v>24387.48</v>
      </c>
      <c r="E18" s="24" t="n">
        <v>0</v>
      </c>
      <c r="F18" s="24" t="n">
        <v>0</v>
      </c>
      <c r="G18" s="24" t="n">
        <v>24387.48</v>
      </c>
      <c r="H18" s="24" t="n">
        <v>0</v>
      </c>
      <c r="I18" s="24" t="n">
        <f aca="false">G18+H18</f>
        <v>24387.48</v>
      </c>
      <c r="J18" s="24" t="n">
        <f aca="false">D18-I18</f>
        <v>0</v>
      </c>
      <c r="K18" s="25" t="s">
        <v>121</v>
      </c>
      <c r="L18" s="25" t="s">
        <v>122</v>
      </c>
    </row>
    <row r="19" customFormat="false" ht="15" hidden="false" customHeight="false" outlineLevel="0" collapsed="false">
      <c r="A19" s="23" t="n">
        <v>2</v>
      </c>
      <c r="B19" s="23" t="s">
        <v>72</v>
      </c>
      <c r="C19" s="23" t="s">
        <v>35</v>
      </c>
      <c r="D19" s="24" t="n">
        <v>92335.64</v>
      </c>
      <c r="E19" s="24" t="n">
        <v>0</v>
      </c>
      <c r="F19" s="24" t="n">
        <v>0</v>
      </c>
      <c r="G19" s="24" t="n">
        <v>27001.18</v>
      </c>
      <c r="H19" s="24" t="n">
        <v>3357.66</v>
      </c>
      <c r="I19" s="24" t="n">
        <f aca="false">G19+H19</f>
        <v>30358.84</v>
      </c>
      <c r="J19" s="24" t="n">
        <f aca="false">D19-I19</f>
        <v>61976.8</v>
      </c>
      <c r="K19" s="25" t="s">
        <v>117</v>
      </c>
      <c r="L19" s="25" t="s">
        <v>118</v>
      </c>
    </row>
    <row r="20" customFormat="false" ht="15" hidden="false" customHeight="false" outlineLevel="0" collapsed="false">
      <c r="A20" s="23" t="n">
        <v>3</v>
      </c>
      <c r="B20" s="23" t="s">
        <v>73</v>
      </c>
      <c r="C20" s="23" t="s">
        <v>37</v>
      </c>
      <c r="D20" s="24" t="n">
        <v>44.42</v>
      </c>
      <c r="E20" s="24" t="n">
        <v>0</v>
      </c>
      <c r="F20" s="24" t="n">
        <v>0</v>
      </c>
      <c r="G20" s="24" t="n">
        <v>44.42</v>
      </c>
      <c r="H20" s="24" t="n">
        <v>0</v>
      </c>
      <c r="I20" s="24" t="n">
        <f aca="false">G20+H20</f>
        <v>44.42</v>
      </c>
      <c r="J20" s="24" t="n">
        <f aca="false">D20-I20</f>
        <v>0</v>
      </c>
      <c r="K20" s="25" t="s">
        <v>121</v>
      </c>
      <c r="L20" s="25" t="s">
        <v>122</v>
      </c>
    </row>
    <row r="21" customFormat="false" ht="15" hidden="false" customHeight="false" outlineLevel="0" collapsed="false">
      <c r="A21" s="23" t="n">
        <v>4</v>
      </c>
      <c r="B21" s="23" t="s">
        <v>74</v>
      </c>
      <c r="C21" s="23" t="s">
        <v>37</v>
      </c>
      <c r="D21" s="24" t="n">
        <v>168.16</v>
      </c>
      <c r="E21" s="24" t="n">
        <v>0</v>
      </c>
      <c r="F21" s="24" t="n">
        <v>0</v>
      </c>
      <c r="G21" s="24" t="n">
        <v>48.63</v>
      </c>
      <c r="H21" s="24" t="n">
        <v>6.11</v>
      </c>
      <c r="I21" s="24" t="n">
        <f aca="false">G21+H21</f>
        <v>54.74</v>
      </c>
      <c r="J21" s="24" t="n">
        <f aca="false">D21-I21</f>
        <v>113.42</v>
      </c>
      <c r="K21" s="25" t="s">
        <v>117</v>
      </c>
      <c r="L21" s="25" t="s">
        <v>118</v>
      </c>
    </row>
    <row r="22" customFormat="false" ht="15" hidden="false" customHeight="false" outlineLevel="0" collapsed="false">
      <c r="A22" s="23" t="n">
        <v>5</v>
      </c>
      <c r="B22" s="23" t="s">
        <v>75</v>
      </c>
      <c r="C22" s="23" t="s">
        <v>35</v>
      </c>
      <c r="D22" s="24" t="n">
        <v>2300.7</v>
      </c>
      <c r="E22" s="24" t="n">
        <v>0</v>
      </c>
      <c r="F22" s="24" t="n">
        <v>0</v>
      </c>
      <c r="G22" s="24" t="n">
        <v>2300.7</v>
      </c>
      <c r="H22" s="24" t="n">
        <v>0</v>
      </c>
      <c r="I22" s="24" t="n">
        <f aca="false">G22+H22</f>
        <v>2300.7</v>
      </c>
      <c r="J22" s="24" t="n">
        <f aca="false">D22-I22</f>
        <v>0</v>
      </c>
      <c r="K22" s="25" t="s">
        <v>121</v>
      </c>
      <c r="L22" s="25" t="s">
        <v>122</v>
      </c>
    </row>
    <row r="23" customFormat="false" ht="15" hidden="false" customHeight="false" outlineLevel="0" collapsed="false">
      <c r="A23" s="23" t="n">
        <v>6</v>
      </c>
      <c r="B23" s="23" t="s">
        <v>76</v>
      </c>
      <c r="C23" s="23" t="s">
        <v>35</v>
      </c>
      <c r="D23" s="24" t="n">
        <v>8710.9</v>
      </c>
      <c r="E23" s="24" t="n">
        <v>0</v>
      </c>
      <c r="F23" s="24" t="n">
        <v>0</v>
      </c>
      <c r="G23" s="24" t="n">
        <v>2547.28</v>
      </c>
      <c r="H23" s="24" t="n">
        <v>316.76</v>
      </c>
      <c r="I23" s="24" t="n">
        <f aca="false">G23+H23</f>
        <v>2864.04</v>
      </c>
      <c r="J23" s="24" t="n">
        <f aca="false">D23-I23</f>
        <v>5846.86</v>
      </c>
      <c r="K23" s="25" t="s">
        <v>117</v>
      </c>
      <c r="L23" s="25" t="s">
        <v>118</v>
      </c>
    </row>
    <row r="24" customFormat="false" ht="15" hidden="false" customHeight="false" outlineLevel="0" collapsed="false">
      <c r="A24" s="23" t="n">
        <v>7</v>
      </c>
      <c r="B24" s="23" t="s">
        <v>77</v>
      </c>
      <c r="C24" s="23" t="s">
        <v>35</v>
      </c>
      <c r="D24" s="24" t="n">
        <v>4167.44</v>
      </c>
      <c r="E24" s="24" t="n">
        <v>0</v>
      </c>
      <c r="F24" s="24" t="n">
        <v>0</v>
      </c>
      <c r="G24" s="24" t="n">
        <v>4167.44</v>
      </c>
      <c r="H24" s="24" t="n">
        <v>0</v>
      </c>
      <c r="I24" s="24" t="n">
        <f aca="false">G24+H24</f>
        <v>4167.44</v>
      </c>
      <c r="J24" s="24" t="n">
        <f aca="false">D24-I24</f>
        <v>0</v>
      </c>
      <c r="K24" s="25" t="s">
        <v>121</v>
      </c>
      <c r="L24" s="25" t="s">
        <v>122</v>
      </c>
    </row>
    <row r="25" customFormat="false" ht="15" hidden="false" customHeight="false" outlineLevel="0" collapsed="false">
      <c r="A25" s="23" t="n">
        <v>8</v>
      </c>
      <c r="B25" s="23" t="s">
        <v>78</v>
      </c>
      <c r="C25" s="23" t="s">
        <v>35</v>
      </c>
      <c r="D25" s="24" t="n">
        <v>15778.73</v>
      </c>
      <c r="E25" s="24" t="n">
        <v>0</v>
      </c>
      <c r="F25" s="24" t="n">
        <v>0</v>
      </c>
      <c r="G25" s="24" t="n">
        <v>4614.07</v>
      </c>
      <c r="H25" s="24" t="n">
        <v>573.77</v>
      </c>
      <c r="I25" s="24" t="n">
        <f aca="false">G25+H25</f>
        <v>5187.84</v>
      </c>
      <c r="J25" s="24" t="n">
        <f aca="false">D25-I25</f>
        <v>10590.89</v>
      </c>
      <c r="K25" s="25" t="s">
        <v>117</v>
      </c>
      <c r="L25" s="25" t="s">
        <v>118</v>
      </c>
    </row>
    <row r="26" customFormat="false" ht="15" hidden="false" customHeight="false" outlineLevel="0" collapsed="false">
      <c r="A26" s="26"/>
      <c r="B26" s="27" t="s">
        <v>53</v>
      </c>
      <c r="C26" s="26"/>
      <c r="D26" s="28" t="n">
        <f aca="false">SUM(D18:D25)</f>
        <v>147893.47</v>
      </c>
      <c r="E26" s="28" t="n">
        <f aca="false">SUM(E18:E25)</f>
        <v>0</v>
      </c>
      <c r="F26" s="28" t="n">
        <f aca="false">SUM(F18:F25)</f>
        <v>0</v>
      </c>
      <c r="G26" s="28" t="n">
        <f aca="false">SUM(G18:G25)</f>
        <v>65111.2</v>
      </c>
      <c r="H26" s="28" t="n">
        <f aca="false">SUM(H18:H25)</f>
        <v>4254.3</v>
      </c>
      <c r="I26" s="28" t="n">
        <f aca="false">SUM(I18:I25)</f>
        <v>69365.5</v>
      </c>
      <c r="J26" s="28" t="n">
        <f aca="false">SUM(J18:J25)</f>
        <v>78527.97</v>
      </c>
      <c r="K26" s="26"/>
      <c r="L26" s="26"/>
    </row>
    <row r="28" customFormat="false" ht="15" hidden="false" customHeight="false" outlineLevel="0" collapsed="false">
      <c r="B28" s="18" t="s">
        <v>124</v>
      </c>
    </row>
    <row r="29" customFormat="false" ht="15" hidden="false" customHeight="false" outlineLevel="0" collapsed="false">
      <c r="B29" s="5" t="s">
        <v>125</v>
      </c>
      <c r="D29" s="6" t="n">
        <f aca="false">I14</f>
        <v>64826.13</v>
      </c>
    </row>
    <row r="30" customFormat="false" ht="15" hidden="false" customHeight="false" outlineLevel="0" collapsed="false">
      <c r="B30" s="5" t="s">
        <v>126</v>
      </c>
      <c r="D30" s="6" t="n">
        <f aca="false">I26</f>
        <v>69365.5</v>
      </c>
    </row>
    <row r="31" customFormat="false" ht="15" hidden="false" customHeight="false" outlineLevel="0" collapsed="false">
      <c r="B31" s="11" t="s">
        <v>124</v>
      </c>
      <c r="D31" s="29" t="n">
        <f aca="false">D29-D30</f>
        <v>-4539.37</v>
      </c>
    </row>
    <row r="33" customFormat="false" ht="15" hidden="false" customHeight="false" outlineLevel="0" collapsed="false">
      <c r="A33" s="10" t="s">
        <v>127</v>
      </c>
    </row>
    <row r="34" customFormat="false" ht="15" hidden="false" customHeight="false" outlineLevel="0" collapsed="false">
      <c r="A34" s="21" t="s">
        <v>128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4" t="s">
        <v>105</v>
      </c>
      <c r="B35" s="4" t="s">
        <v>106</v>
      </c>
      <c r="C35" s="4" t="s">
        <v>107</v>
      </c>
      <c r="D35" s="4" t="s">
        <v>108</v>
      </c>
      <c r="E35" s="4" t="s">
        <v>109</v>
      </c>
      <c r="F35" s="4" t="s">
        <v>110</v>
      </c>
      <c r="G35" s="4" t="s">
        <v>129</v>
      </c>
      <c r="H35" s="4" t="s">
        <v>130</v>
      </c>
      <c r="I35" s="4" t="s">
        <v>113</v>
      </c>
      <c r="J35" s="4" t="s">
        <v>114</v>
      </c>
      <c r="K35" s="4" t="s">
        <v>115</v>
      </c>
      <c r="L35" s="4" t="s">
        <v>116</v>
      </c>
    </row>
    <row r="36" customFormat="false" ht="15" hidden="false" customHeight="false" outlineLevel="0" collapsed="false">
      <c r="A36" s="23" t="n">
        <v>1</v>
      </c>
      <c r="B36" s="23" t="s">
        <v>45</v>
      </c>
      <c r="C36" s="23" t="s">
        <v>35</v>
      </c>
      <c r="D36" s="24" t="n">
        <v>116723.12</v>
      </c>
      <c r="E36" s="24" t="n">
        <v>0</v>
      </c>
      <c r="F36" s="24" t="n">
        <v>0</v>
      </c>
      <c r="G36" s="24" t="n">
        <v>34132.24</v>
      </c>
      <c r="H36" s="24" t="n">
        <v>4244.48</v>
      </c>
      <c r="I36" s="24" t="n">
        <f aca="false">G36+H36</f>
        <v>38376.72</v>
      </c>
      <c r="J36" s="24" t="n">
        <f aca="false">D36-I36</f>
        <v>78346.4</v>
      </c>
      <c r="K36" s="25" t="s">
        <v>117</v>
      </c>
      <c r="L36" s="25" t="s">
        <v>118</v>
      </c>
    </row>
    <row r="37" customFormat="false" ht="15" hidden="false" customHeight="false" outlineLevel="0" collapsed="false">
      <c r="A37" s="23" t="n">
        <v>2</v>
      </c>
      <c r="B37" s="23" t="s">
        <v>46</v>
      </c>
      <c r="C37" s="23" t="s">
        <v>37</v>
      </c>
      <c r="D37" s="24" t="n">
        <v>212.58</v>
      </c>
      <c r="E37" s="24" t="n">
        <v>0</v>
      </c>
      <c r="F37" s="24" t="n">
        <v>0</v>
      </c>
      <c r="G37" s="24" t="n">
        <v>61.56</v>
      </c>
      <c r="H37" s="24" t="n">
        <v>7.73</v>
      </c>
      <c r="I37" s="24" t="n">
        <f aca="false">G37+H37</f>
        <v>69.29</v>
      </c>
      <c r="J37" s="24" t="n">
        <f aca="false">D37-I37</f>
        <v>143.29</v>
      </c>
      <c r="K37" s="25" t="s">
        <v>117</v>
      </c>
      <c r="L37" s="25" t="s">
        <v>118</v>
      </c>
    </row>
    <row r="38" customFormat="false" ht="15" hidden="false" customHeight="false" outlineLevel="0" collapsed="false">
      <c r="A38" s="23" t="n">
        <v>3</v>
      </c>
      <c r="B38" s="23" t="s">
        <v>47</v>
      </c>
      <c r="C38" s="23" t="s">
        <v>35</v>
      </c>
      <c r="D38" s="24" t="n">
        <v>11011.6</v>
      </c>
      <c r="E38" s="24" t="n">
        <v>0</v>
      </c>
      <c r="F38" s="24" t="n">
        <v>0</v>
      </c>
      <c r="G38" s="24" t="n">
        <v>6449.13</v>
      </c>
      <c r="H38" s="24" t="n">
        <v>649.69</v>
      </c>
      <c r="I38" s="24" t="n">
        <f aca="false">G38+H38</f>
        <v>7098.82</v>
      </c>
      <c r="J38" s="24" t="n">
        <f aca="false">D38-I38</f>
        <v>3912.78</v>
      </c>
      <c r="K38" s="25" t="s">
        <v>119</v>
      </c>
      <c r="L38" s="25" t="s">
        <v>120</v>
      </c>
    </row>
    <row r="39" customFormat="false" ht="15" hidden="false" customHeight="false" outlineLevel="0" collapsed="false">
      <c r="A39" s="23" t="n">
        <v>4</v>
      </c>
      <c r="B39" s="23" t="s">
        <v>48</v>
      </c>
      <c r="C39" s="23" t="s">
        <v>35</v>
      </c>
      <c r="D39" s="24" t="n">
        <v>19946.17</v>
      </c>
      <c r="E39" s="24" t="n">
        <v>0</v>
      </c>
      <c r="F39" s="24" t="n">
        <v>0</v>
      </c>
      <c r="G39" s="24" t="n">
        <v>19281.3</v>
      </c>
      <c r="H39" s="24" t="n">
        <v>0</v>
      </c>
      <c r="I39" s="24" t="n">
        <f aca="false">G39+H39</f>
        <v>19281.3</v>
      </c>
      <c r="J39" s="24" t="n">
        <f aca="false">D39-I39</f>
        <v>664.869999999999</v>
      </c>
      <c r="K39" s="25" t="s">
        <v>121</v>
      </c>
      <c r="L39" s="25" t="s">
        <v>122</v>
      </c>
    </row>
    <row r="40" customFormat="false" ht="15" hidden="false" customHeight="false" outlineLevel="0" collapsed="false">
      <c r="A40" s="26"/>
      <c r="B40" s="27" t="s">
        <v>53</v>
      </c>
      <c r="C40" s="26"/>
      <c r="D40" s="28" t="n">
        <f aca="false">SUM(D36:D39)</f>
        <v>147893.47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59924.23</v>
      </c>
      <c r="H40" s="28" t="n">
        <f aca="false">SUM(H36:H39)</f>
        <v>4901.9</v>
      </c>
      <c r="I40" s="28" t="n">
        <f aca="false">SUM(I36:I39)</f>
        <v>64826.13</v>
      </c>
      <c r="J40" s="28" t="n">
        <f aca="false">SUM(J36:J39)</f>
        <v>83067.34</v>
      </c>
      <c r="K40" s="26"/>
      <c r="L40" s="26"/>
    </row>
    <row r="42" customFormat="false" ht="15" hidden="false" customHeight="false" outlineLevel="0" collapsed="false">
      <c r="A42" s="21" t="s">
        <v>131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4" t="s">
        <v>105</v>
      </c>
      <c r="B43" s="4" t="s">
        <v>106</v>
      </c>
      <c r="C43" s="4" t="s">
        <v>107</v>
      </c>
      <c r="D43" s="4" t="s">
        <v>108</v>
      </c>
      <c r="E43" s="4" t="s">
        <v>109</v>
      </c>
      <c r="F43" s="4" t="s">
        <v>110</v>
      </c>
      <c r="G43" s="4" t="s">
        <v>129</v>
      </c>
      <c r="H43" s="4" t="s">
        <v>130</v>
      </c>
      <c r="I43" s="4" t="s">
        <v>113</v>
      </c>
      <c r="J43" s="4" t="s">
        <v>114</v>
      </c>
      <c r="K43" s="4" t="s">
        <v>115</v>
      </c>
      <c r="L43" s="4" t="s">
        <v>116</v>
      </c>
    </row>
    <row r="44" customFormat="false" ht="15" hidden="false" customHeight="false" outlineLevel="0" collapsed="false">
      <c r="A44" s="23" t="n">
        <v>1</v>
      </c>
      <c r="B44" s="23" t="s">
        <v>71</v>
      </c>
      <c r="C44" s="23" t="s">
        <v>35</v>
      </c>
      <c r="D44" s="24" t="n">
        <v>24387.48</v>
      </c>
      <c r="E44" s="24" t="n">
        <v>0</v>
      </c>
      <c r="F44" s="24" t="n">
        <v>0</v>
      </c>
      <c r="G44" s="24" t="n">
        <v>24387.48</v>
      </c>
      <c r="H44" s="24" t="n">
        <v>0</v>
      </c>
      <c r="I44" s="24" t="n">
        <f aca="false">G44+H44</f>
        <v>24387.48</v>
      </c>
      <c r="J44" s="24" t="n">
        <f aca="false">D44-I44</f>
        <v>0</v>
      </c>
      <c r="K44" s="25" t="s">
        <v>121</v>
      </c>
      <c r="L44" s="25" t="s">
        <v>122</v>
      </c>
    </row>
    <row r="45" customFormat="false" ht="15" hidden="false" customHeight="false" outlineLevel="0" collapsed="false">
      <c r="A45" s="23" t="n">
        <v>2</v>
      </c>
      <c r="B45" s="23" t="s">
        <v>72</v>
      </c>
      <c r="C45" s="23" t="s">
        <v>35</v>
      </c>
      <c r="D45" s="24" t="n">
        <v>92335.64</v>
      </c>
      <c r="E45" s="24" t="n">
        <v>0</v>
      </c>
      <c r="F45" s="24" t="n">
        <v>0</v>
      </c>
      <c r="G45" s="24" t="n">
        <v>27001.18</v>
      </c>
      <c r="H45" s="24" t="n">
        <v>3357.66</v>
      </c>
      <c r="I45" s="24" t="n">
        <f aca="false">G45+H45</f>
        <v>30358.84</v>
      </c>
      <c r="J45" s="24" t="n">
        <f aca="false">D45-I45</f>
        <v>61976.8</v>
      </c>
      <c r="K45" s="25" t="s">
        <v>117</v>
      </c>
      <c r="L45" s="25" t="s">
        <v>118</v>
      </c>
    </row>
    <row r="46" customFormat="false" ht="15" hidden="false" customHeight="false" outlineLevel="0" collapsed="false">
      <c r="A46" s="23" t="n">
        <v>3</v>
      </c>
      <c r="B46" s="23" t="s">
        <v>73</v>
      </c>
      <c r="C46" s="23" t="s">
        <v>37</v>
      </c>
      <c r="D46" s="24" t="n">
        <v>44.42</v>
      </c>
      <c r="E46" s="24" t="n">
        <v>0</v>
      </c>
      <c r="F46" s="24" t="n">
        <v>0</v>
      </c>
      <c r="G46" s="24" t="n">
        <v>44.42</v>
      </c>
      <c r="H46" s="24" t="n">
        <v>0</v>
      </c>
      <c r="I46" s="24" t="n">
        <f aca="false">G46+H46</f>
        <v>44.42</v>
      </c>
      <c r="J46" s="24" t="n">
        <f aca="false">D46-I46</f>
        <v>0</v>
      </c>
      <c r="K46" s="25" t="s">
        <v>121</v>
      </c>
      <c r="L46" s="25" t="s">
        <v>122</v>
      </c>
    </row>
    <row r="47" customFormat="false" ht="15" hidden="false" customHeight="false" outlineLevel="0" collapsed="false">
      <c r="A47" s="23" t="n">
        <v>4</v>
      </c>
      <c r="B47" s="23" t="s">
        <v>74</v>
      </c>
      <c r="C47" s="23" t="s">
        <v>37</v>
      </c>
      <c r="D47" s="24" t="n">
        <v>168.16</v>
      </c>
      <c r="E47" s="24" t="n">
        <v>0</v>
      </c>
      <c r="F47" s="24" t="n">
        <v>0</v>
      </c>
      <c r="G47" s="24" t="n">
        <v>48.63</v>
      </c>
      <c r="H47" s="24" t="n">
        <v>6.11</v>
      </c>
      <c r="I47" s="24" t="n">
        <f aca="false">G47+H47</f>
        <v>54.74</v>
      </c>
      <c r="J47" s="24" t="n">
        <f aca="false">D47-I47</f>
        <v>113.42</v>
      </c>
      <c r="K47" s="25" t="s">
        <v>117</v>
      </c>
      <c r="L47" s="25" t="s">
        <v>118</v>
      </c>
    </row>
    <row r="48" customFormat="false" ht="15" hidden="false" customHeight="false" outlineLevel="0" collapsed="false">
      <c r="A48" s="23" t="n">
        <v>5</v>
      </c>
      <c r="B48" s="23" t="s">
        <v>75</v>
      </c>
      <c r="C48" s="23" t="s">
        <v>35</v>
      </c>
      <c r="D48" s="24" t="n">
        <v>2300.7</v>
      </c>
      <c r="E48" s="24" t="n">
        <v>0</v>
      </c>
      <c r="F48" s="24" t="n">
        <v>0</v>
      </c>
      <c r="G48" s="24" t="n">
        <v>2300.7</v>
      </c>
      <c r="H48" s="24" t="n">
        <v>0</v>
      </c>
      <c r="I48" s="24" t="n">
        <f aca="false">G48+H48</f>
        <v>2300.7</v>
      </c>
      <c r="J48" s="24" t="n">
        <f aca="false">D48-I48</f>
        <v>0</v>
      </c>
      <c r="K48" s="25" t="s">
        <v>121</v>
      </c>
      <c r="L48" s="25" t="s">
        <v>122</v>
      </c>
    </row>
    <row r="49" customFormat="false" ht="15" hidden="false" customHeight="false" outlineLevel="0" collapsed="false">
      <c r="A49" s="23" t="n">
        <v>6</v>
      </c>
      <c r="B49" s="23" t="s">
        <v>76</v>
      </c>
      <c r="C49" s="23" t="s">
        <v>35</v>
      </c>
      <c r="D49" s="24" t="n">
        <v>8710.9</v>
      </c>
      <c r="E49" s="24" t="n">
        <v>0</v>
      </c>
      <c r="F49" s="24" t="n">
        <v>0</v>
      </c>
      <c r="G49" s="24" t="n">
        <v>2547.28</v>
      </c>
      <c r="H49" s="24" t="n">
        <v>316.76</v>
      </c>
      <c r="I49" s="24" t="n">
        <f aca="false">G49+H49</f>
        <v>2864.04</v>
      </c>
      <c r="J49" s="24" t="n">
        <f aca="false">D49-I49</f>
        <v>5846.86</v>
      </c>
      <c r="K49" s="25" t="s">
        <v>117</v>
      </c>
      <c r="L49" s="25" t="s">
        <v>118</v>
      </c>
    </row>
    <row r="50" customFormat="false" ht="15" hidden="false" customHeight="false" outlineLevel="0" collapsed="false">
      <c r="A50" s="23" t="n">
        <v>7</v>
      </c>
      <c r="B50" s="23" t="s">
        <v>77</v>
      </c>
      <c r="C50" s="23" t="s">
        <v>35</v>
      </c>
      <c r="D50" s="24" t="n">
        <v>4167.44</v>
      </c>
      <c r="E50" s="24" t="n">
        <v>0</v>
      </c>
      <c r="F50" s="24" t="n">
        <v>0</v>
      </c>
      <c r="G50" s="24" t="n">
        <v>4167.44</v>
      </c>
      <c r="H50" s="24" t="n">
        <v>0</v>
      </c>
      <c r="I50" s="24" t="n">
        <f aca="false">G50+H50</f>
        <v>4167.44</v>
      </c>
      <c r="J50" s="24" t="n">
        <f aca="false">D50-I50</f>
        <v>0</v>
      </c>
      <c r="K50" s="25" t="s">
        <v>121</v>
      </c>
      <c r="L50" s="25" t="s">
        <v>122</v>
      </c>
    </row>
    <row r="51" customFormat="false" ht="15" hidden="false" customHeight="false" outlineLevel="0" collapsed="false">
      <c r="A51" s="23" t="n">
        <v>8</v>
      </c>
      <c r="B51" s="23" t="s">
        <v>78</v>
      </c>
      <c r="C51" s="23" t="s">
        <v>35</v>
      </c>
      <c r="D51" s="24" t="n">
        <v>15778.73</v>
      </c>
      <c r="E51" s="24" t="n">
        <v>0</v>
      </c>
      <c r="F51" s="24" t="n">
        <v>0</v>
      </c>
      <c r="G51" s="24" t="n">
        <v>4614.07</v>
      </c>
      <c r="H51" s="24" t="n">
        <v>573.77</v>
      </c>
      <c r="I51" s="24" t="n">
        <f aca="false">G51+H51</f>
        <v>5187.84</v>
      </c>
      <c r="J51" s="24" t="n">
        <f aca="false">D51-I51</f>
        <v>10590.89</v>
      </c>
      <c r="K51" s="25" t="s">
        <v>117</v>
      </c>
      <c r="L51" s="25" t="s">
        <v>118</v>
      </c>
    </row>
    <row r="52" customFormat="false" ht="15" hidden="false" customHeight="false" outlineLevel="0" collapsed="false">
      <c r="A52" s="26"/>
      <c r="B52" s="27" t="s">
        <v>53</v>
      </c>
      <c r="C52" s="26"/>
      <c r="D52" s="28" t="n">
        <f aca="false">SUM(D44:D51)</f>
        <v>147893.47</v>
      </c>
      <c r="E52" s="28" t="n">
        <f aca="false">SUM(E44:E51)</f>
        <v>0</v>
      </c>
      <c r="F52" s="28" t="n">
        <f aca="false">SUM(F44:F51)</f>
        <v>0</v>
      </c>
      <c r="G52" s="28" t="n">
        <f aca="false">SUM(G44:G51)</f>
        <v>65111.2</v>
      </c>
      <c r="H52" s="28" t="n">
        <f aca="false">SUM(H44:H51)</f>
        <v>4254.3</v>
      </c>
      <c r="I52" s="28" t="n">
        <f aca="false">SUM(I44:I51)</f>
        <v>69365.5</v>
      </c>
      <c r="J52" s="28" t="n">
        <f aca="false">SUM(J44:J51)</f>
        <v>78527.97</v>
      </c>
      <c r="K52" s="26"/>
      <c r="L52" s="26"/>
    </row>
    <row r="54" customFormat="false" ht="15" hidden="false" customHeight="false" outlineLevel="0" collapsed="false">
      <c r="B54" s="18" t="s">
        <v>132</v>
      </c>
    </row>
    <row r="55" customFormat="false" ht="15" hidden="false" customHeight="false" outlineLevel="0" collapsed="false">
      <c r="B55" s="5" t="s">
        <v>125</v>
      </c>
      <c r="D55" s="6" t="n">
        <f aca="false">I40</f>
        <v>64826.13</v>
      </c>
    </row>
    <row r="56" customFormat="false" ht="15" hidden="false" customHeight="false" outlineLevel="0" collapsed="false">
      <c r="B56" s="5" t="s">
        <v>126</v>
      </c>
      <c r="D56" s="6" t="n">
        <f aca="false">I52</f>
        <v>69365.5</v>
      </c>
    </row>
    <row r="57" customFormat="false" ht="15" hidden="false" customHeight="false" outlineLevel="0" collapsed="false">
      <c r="B57" s="11" t="s">
        <v>132</v>
      </c>
      <c r="D57" s="29" t="n">
        <f aca="false">D55-D56</f>
        <v>-4539.37</v>
      </c>
    </row>
    <row r="59" customFormat="false" ht="15" hidden="false" customHeight="false" outlineLevel="0" collapsed="false">
      <c r="A59" s="10" t="s">
        <v>133</v>
      </c>
    </row>
    <row r="60" customFormat="false" ht="15" hidden="false" customHeight="false" outlineLevel="0" collapsed="false">
      <c r="B60" s="11" t="s">
        <v>162</v>
      </c>
      <c r="D60" s="12" t="n">
        <f aca="false">D98</f>
        <v>147893.47</v>
      </c>
    </row>
    <row r="61" customFormat="false" ht="15" hidden="false" customHeight="false" outlineLevel="0" collapsed="false">
      <c r="B61" s="5" t="s">
        <v>163</v>
      </c>
      <c r="D61" s="6" t="n">
        <f aca="false">F98</f>
        <v>30900.04</v>
      </c>
    </row>
    <row r="62" customFormat="false" ht="15" hidden="false" customHeight="false" outlineLevel="0" collapsed="false">
      <c r="B62" s="30" t="s">
        <v>136</v>
      </c>
      <c r="D62" s="31" t="n">
        <f aca="false">F99</f>
        <v>0.208934444502519</v>
      </c>
    </row>
    <row r="63" customFormat="false" ht="15" hidden="false" customHeight="false" outlineLevel="0" collapsed="false">
      <c r="B63" s="5" t="s">
        <v>164</v>
      </c>
      <c r="D63" s="6" t="n">
        <f aca="false">H98</f>
        <v>116993.43</v>
      </c>
    </row>
    <row r="64" customFormat="false" ht="15" hidden="false" customHeight="false" outlineLevel="0" collapsed="false">
      <c r="B64" s="30" t="s">
        <v>136</v>
      </c>
      <c r="D64" s="31" t="n">
        <f aca="false">H99</f>
        <v>0.791065555497481</v>
      </c>
    </row>
    <row r="66" customFormat="false" ht="15" hidden="false" customHeight="false" outlineLevel="0" collapsed="false">
      <c r="A66" s="10" t="s">
        <v>138</v>
      </c>
    </row>
    <row r="67" customFormat="false" ht="15" hidden="false" customHeight="false" outlineLevel="0" collapsed="false">
      <c r="B67" s="4" t="s">
        <v>139</v>
      </c>
      <c r="D67" s="4" t="s">
        <v>108</v>
      </c>
      <c r="F67" s="4" t="s">
        <v>165</v>
      </c>
      <c r="H67" s="4" t="s">
        <v>141</v>
      </c>
    </row>
    <row r="68" customFormat="false" ht="15" hidden="false" customHeight="false" outlineLevel="0" collapsed="false">
      <c r="B68" s="32" t="s">
        <v>166</v>
      </c>
    </row>
    <row r="69" customFormat="false" ht="15" hidden="false" customHeight="false" outlineLevel="0" collapsed="false">
      <c r="B69" s="5" t="s">
        <v>167</v>
      </c>
      <c r="D69" s="33" t="n">
        <f aca="false">SUM(F69:H69)</f>
        <v>4901.61</v>
      </c>
      <c r="F69" s="33" t="n">
        <v>4901.61</v>
      </c>
    </row>
    <row r="70" customFormat="false" ht="15" hidden="false" customHeight="false" outlineLevel="0" collapsed="false">
      <c r="B70" s="5" t="s">
        <v>168</v>
      </c>
      <c r="D70" s="33" t="n">
        <f aca="false">SUM(F70:H70)</f>
        <v>2185.54</v>
      </c>
      <c r="F70" s="33" t="n">
        <v>2185.54</v>
      </c>
    </row>
    <row r="71" customFormat="false" ht="15" hidden="false" customHeight="false" outlineLevel="0" collapsed="false">
      <c r="B71" s="5" t="s">
        <v>169</v>
      </c>
      <c r="D71" s="33" t="n">
        <f aca="false">SUM(F71:H71)</f>
        <v>11385.26</v>
      </c>
      <c r="F71" s="33" t="n">
        <v>11385.26</v>
      </c>
    </row>
    <row r="72" customFormat="false" ht="15" hidden="false" customHeight="false" outlineLevel="0" collapsed="false">
      <c r="B72" s="5" t="s">
        <v>171</v>
      </c>
      <c r="D72" s="33" t="n">
        <f aca="false">SUM(F72:H72)</f>
        <v>589.62</v>
      </c>
      <c r="F72" s="33" t="n">
        <v>589.62</v>
      </c>
    </row>
    <row r="73" customFormat="false" ht="15" hidden="false" customHeight="false" outlineLevel="0" collapsed="false">
      <c r="B73" s="5" t="s">
        <v>196</v>
      </c>
      <c r="D73" s="33" t="n">
        <f aca="false">SUM(F73:H73)</f>
        <v>183.29</v>
      </c>
      <c r="F73" s="33" t="n">
        <v>183.29</v>
      </c>
    </row>
    <row r="74" customFormat="false" ht="15" hidden="false" customHeight="false" outlineLevel="0" collapsed="false">
      <c r="B74" s="5" t="s">
        <v>197</v>
      </c>
      <c r="D74" s="33" t="n">
        <f aca="false">SUM(F74:H74)</f>
        <v>96.76</v>
      </c>
      <c r="F74" s="33" t="n">
        <v>96.76</v>
      </c>
    </row>
    <row r="75" customFormat="false" ht="15" hidden="false" customHeight="false" outlineLevel="0" collapsed="false">
      <c r="B75" s="5" t="s">
        <v>172</v>
      </c>
      <c r="D75" s="33" t="n">
        <f aca="false">SUM(F75:H75)</f>
        <v>2980.97</v>
      </c>
      <c r="F75" s="33" t="n">
        <v>2980.97</v>
      </c>
    </row>
    <row r="76" customFormat="false" ht="15" hidden="false" customHeight="false" outlineLevel="0" collapsed="false">
      <c r="B76" s="5" t="s">
        <v>173</v>
      </c>
      <c r="D76" s="33" t="n">
        <f aca="false">SUM(F76:H76)</f>
        <v>994.55</v>
      </c>
      <c r="F76" s="33" t="n">
        <v>994.55</v>
      </c>
    </row>
    <row r="77" customFormat="false" ht="15" hidden="false" customHeight="false" outlineLevel="0" collapsed="false">
      <c r="B77" s="5" t="s">
        <v>198</v>
      </c>
      <c r="D77" s="33" t="n">
        <f aca="false">SUM(F77:H77)</f>
        <v>3427.41</v>
      </c>
      <c r="F77" s="33" t="n">
        <v>3427.41</v>
      </c>
    </row>
    <row r="78" customFormat="false" ht="15" hidden="false" customHeight="false" outlineLevel="0" collapsed="false">
      <c r="B78" s="5" t="s">
        <v>175</v>
      </c>
      <c r="D78" s="33" t="n">
        <f aca="false">SUM(F78:H78)</f>
        <v>428.96</v>
      </c>
      <c r="F78" s="33" t="n">
        <v>428.96</v>
      </c>
    </row>
    <row r="79" customFormat="false" ht="15" hidden="false" customHeight="false" outlineLevel="0" collapsed="false">
      <c r="B79" s="5" t="s">
        <v>199</v>
      </c>
      <c r="D79" s="33" t="n">
        <f aca="false">SUM(F79:H79)</f>
        <v>43.2</v>
      </c>
      <c r="F79" s="33" t="n">
        <v>43.2</v>
      </c>
    </row>
    <row r="80" customFormat="false" ht="15" hidden="false" customHeight="false" outlineLevel="0" collapsed="false">
      <c r="B80" s="5" t="s">
        <v>200</v>
      </c>
      <c r="D80" s="33" t="n">
        <f aca="false">SUM(F80:H80)</f>
        <v>3682.87</v>
      </c>
      <c r="F80" s="33" t="n">
        <v>3682.87</v>
      </c>
    </row>
    <row r="81" customFormat="false" ht="15" hidden="false" customHeight="false" outlineLevel="0" collapsed="false">
      <c r="B81" s="32" t="s">
        <v>177</v>
      </c>
    </row>
    <row r="82" customFormat="false" ht="15" hidden="false" customHeight="false" outlineLevel="0" collapsed="false">
      <c r="B82" s="5" t="s">
        <v>178</v>
      </c>
      <c r="D82" s="33" t="n">
        <f aca="false">SUM(F82:H82)</f>
        <v>8561.68</v>
      </c>
      <c r="H82" s="33" t="n">
        <v>8561.68</v>
      </c>
    </row>
    <row r="83" customFormat="false" ht="15" hidden="false" customHeight="false" outlineLevel="0" collapsed="false">
      <c r="B83" s="5" t="s">
        <v>179</v>
      </c>
      <c r="D83" s="33" t="n">
        <f aca="false">SUM(F83:H83)</f>
        <v>16225.62</v>
      </c>
      <c r="H83" s="33" t="n">
        <v>16225.62</v>
      </c>
    </row>
    <row r="84" customFormat="false" ht="15" hidden="false" customHeight="false" outlineLevel="0" collapsed="false">
      <c r="B84" s="5" t="s">
        <v>180</v>
      </c>
      <c r="D84" s="33" t="n">
        <f aca="false">SUM(F84:H84)</f>
        <v>10992.55</v>
      </c>
      <c r="H84" s="33" t="n">
        <v>10992.55</v>
      </c>
    </row>
    <row r="85" customFormat="false" ht="15" hidden="false" customHeight="false" outlineLevel="0" collapsed="false">
      <c r="B85" s="5" t="s">
        <v>181</v>
      </c>
      <c r="D85" s="33" t="n">
        <f aca="false">SUM(F85:H85)</f>
        <v>12099.12</v>
      </c>
      <c r="H85" s="33" t="n">
        <v>12099.12</v>
      </c>
    </row>
    <row r="86" customFormat="false" ht="15" hidden="false" customHeight="false" outlineLevel="0" collapsed="false">
      <c r="B86" s="5" t="s">
        <v>182</v>
      </c>
      <c r="D86" s="33" t="n">
        <f aca="false">SUM(F86:H86)</f>
        <v>9715.1</v>
      </c>
      <c r="H86" s="33" t="n">
        <v>9715.1</v>
      </c>
    </row>
    <row r="87" customFormat="false" ht="15" hidden="false" customHeight="false" outlineLevel="0" collapsed="false">
      <c r="B87" s="5" t="s">
        <v>183</v>
      </c>
      <c r="D87" s="33" t="n">
        <f aca="false">SUM(F87:H87)</f>
        <v>548.48</v>
      </c>
      <c r="H87" s="33" t="n">
        <v>548.48</v>
      </c>
    </row>
    <row r="88" customFormat="false" ht="15" hidden="false" customHeight="false" outlineLevel="0" collapsed="false">
      <c r="B88" s="5" t="s">
        <v>184</v>
      </c>
      <c r="D88" s="33" t="n">
        <f aca="false">SUM(F88:H88)</f>
        <v>12559.71</v>
      </c>
      <c r="H88" s="33" t="n">
        <v>12559.71</v>
      </c>
    </row>
    <row r="89" customFormat="false" ht="15" hidden="false" customHeight="false" outlineLevel="0" collapsed="false">
      <c r="B89" s="5" t="s">
        <v>185</v>
      </c>
      <c r="D89" s="33" t="n">
        <f aca="false">SUM(F89:H89)</f>
        <v>5680.09</v>
      </c>
      <c r="H89" s="33" t="n">
        <v>5680.09</v>
      </c>
    </row>
    <row r="90" customFormat="false" ht="15" hidden="false" customHeight="false" outlineLevel="0" collapsed="false">
      <c r="B90" s="5" t="s">
        <v>186</v>
      </c>
      <c r="D90" s="33" t="n">
        <f aca="false">SUM(F90:H90)</f>
        <v>2911.57</v>
      </c>
      <c r="H90" s="33" t="n">
        <v>2911.57</v>
      </c>
    </row>
    <row r="91" customFormat="false" ht="15" hidden="false" customHeight="false" outlineLevel="0" collapsed="false">
      <c r="B91" s="5" t="s">
        <v>187</v>
      </c>
      <c r="D91" s="33" t="n">
        <f aca="false">SUM(F91:H91)</f>
        <v>5070.55</v>
      </c>
      <c r="H91" s="33" t="n">
        <v>5070.55</v>
      </c>
    </row>
    <row r="92" customFormat="false" ht="15" hidden="false" customHeight="false" outlineLevel="0" collapsed="false">
      <c r="B92" s="5" t="s">
        <v>188</v>
      </c>
      <c r="D92" s="33" t="n">
        <f aca="false">SUM(F92:H92)</f>
        <v>9837.36</v>
      </c>
      <c r="H92" s="33" t="n">
        <v>9837.36</v>
      </c>
    </row>
    <row r="93" customFormat="false" ht="15" hidden="false" customHeight="false" outlineLevel="0" collapsed="false">
      <c r="B93" s="5" t="s">
        <v>189</v>
      </c>
      <c r="D93" s="33" t="n">
        <f aca="false">SUM(F93:H93)</f>
        <v>4408.6</v>
      </c>
      <c r="H93" s="33" t="n">
        <v>4408.6</v>
      </c>
    </row>
    <row r="94" customFormat="false" ht="15" hidden="false" customHeight="false" outlineLevel="0" collapsed="false">
      <c r="B94" s="5" t="s">
        <v>190</v>
      </c>
      <c r="D94" s="33" t="n">
        <f aca="false">SUM(F94:H94)</f>
        <v>1012.22</v>
      </c>
      <c r="H94" s="33" t="n">
        <v>1012.22</v>
      </c>
    </row>
    <row r="95" customFormat="false" ht="15" hidden="false" customHeight="false" outlineLevel="0" collapsed="false">
      <c r="B95" s="5" t="s">
        <v>192</v>
      </c>
      <c r="D95" s="33" t="n">
        <f aca="false">SUM(F95:H95)</f>
        <v>14327.98</v>
      </c>
      <c r="H95" s="33" t="n">
        <v>14327.98</v>
      </c>
    </row>
    <row r="96" customFormat="false" ht="15" hidden="false" customHeight="false" outlineLevel="0" collapsed="false">
      <c r="B96" s="5" t="s">
        <v>193</v>
      </c>
      <c r="D96" s="33" t="n">
        <f aca="false">SUM(F96:H96)</f>
        <v>1332.99</v>
      </c>
      <c r="H96" s="33" t="n">
        <v>1332.99</v>
      </c>
    </row>
    <row r="97" customFormat="false" ht="15" hidden="false" customHeight="false" outlineLevel="0" collapsed="false">
      <c r="B97" s="5" t="s">
        <v>202</v>
      </c>
      <c r="D97" s="33" t="n">
        <f aca="false">SUM(F97:H97)</f>
        <v>1709.81</v>
      </c>
      <c r="H97" s="33" t="n">
        <v>1709.81</v>
      </c>
    </row>
    <row r="98" customFormat="false" ht="15" hidden="false" customHeight="false" outlineLevel="0" collapsed="false">
      <c r="B98" s="11" t="s">
        <v>162</v>
      </c>
      <c r="D98" s="34" t="n">
        <f aca="false">SUM(D68:D97)</f>
        <v>147893.47</v>
      </c>
      <c r="F98" s="34" t="n">
        <f aca="false">SUM(F68:F97)</f>
        <v>30900.04</v>
      </c>
      <c r="H98" s="34" t="n">
        <f aca="false">SUM(H68:H97)</f>
        <v>116993.43</v>
      </c>
    </row>
    <row r="99" customFormat="false" ht="15" hidden="false" customHeight="false" outlineLevel="0" collapsed="false">
      <c r="B99" s="30" t="s">
        <v>136</v>
      </c>
      <c r="F99" s="31" t="n">
        <f aca="false">F98/D98</f>
        <v>0.208934444502519</v>
      </c>
      <c r="H99" s="31" t="n">
        <f aca="false">H98/D98</f>
        <v>0.791065555497481</v>
      </c>
    </row>
    <row r="101" customFormat="false" ht="15" hidden="false" customHeight="false" outlineLevel="0" collapsed="false">
      <c r="A101" s="10" t="s">
        <v>157</v>
      </c>
    </row>
    <row r="102" customFormat="false" ht="15" hidden="false" customHeight="false" outlineLevel="0" collapsed="false">
      <c r="B102" s="4" t="s">
        <v>158</v>
      </c>
      <c r="D102" s="4" t="s">
        <v>108</v>
      </c>
      <c r="F102" s="4" t="s">
        <v>165</v>
      </c>
      <c r="H102" s="4" t="s">
        <v>141</v>
      </c>
    </row>
    <row r="103" customFormat="false" ht="15" hidden="false" customHeight="false" outlineLevel="0" collapsed="false">
      <c r="B103" s="5" t="str">
        <f aca="false">'Building 3'!B18</f>
        <v>1 - Buillding - Apt - 5yr</v>
      </c>
      <c r="D103" s="33" t="n">
        <f aca="false">SUM(F103:H103)</f>
        <v>24387.48</v>
      </c>
      <c r="F103" s="33" t="n">
        <f aca="false">'Building 3'!D18</f>
        <v>24387.48</v>
      </c>
    </row>
    <row r="104" customFormat="false" ht="15" hidden="false" customHeight="false" outlineLevel="0" collapsed="false">
      <c r="B104" s="5" t="str">
        <f aca="false">'Building 3'!B19</f>
        <v>1 - Buillding - Apt - 27.5yr</v>
      </c>
      <c r="D104" s="33" t="n">
        <f aca="false">SUM(F104:H104)</f>
        <v>92335.64</v>
      </c>
      <c r="H104" s="33" t="n">
        <f aca="false">'Building 3'!D19</f>
        <v>92335.64</v>
      </c>
    </row>
    <row r="105" customFormat="false" ht="15" hidden="false" customHeight="false" outlineLevel="0" collapsed="false">
      <c r="B105" s="5" t="str">
        <f aca="false">'Building 3'!B20</f>
        <v>5 - Building - Apt - 5yr</v>
      </c>
      <c r="D105" s="33" t="n">
        <f aca="false">SUM(F105:H105)</f>
        <v>44.42</v>
      </c>
      <c r="F105" s="33" t="n">
        <f aca="false">'Building 3'!D20</f>
        <v>44.42</v>
      </c>
    </row>
    <row r="106" customFormat="false" ht="15" hidden="false" customHeight="false" outlineLevel="0" collapsed="false">
      <c r="B106" s="5" t="str">
        <f aca="false">'Building 3'!B21</f>
        <v>5 - Building - Apt - 27.5yr</v>
      </c>
      <c r="D106" s="33" t="n">
        <f aca="false">SUM(F106:H106)</f>
        <v>168.16</v>
      </c>
      <c r="H106" s="33" t="n">
        <f aca="false">'Building 3'!D21</f>
        <v>168.16</v>
      </c>
    </row>
    <row r="107" customFormat="false" ht="15" hidden="false" customHeight="false" outlineLevel="0" collapsed="false">
      <c r="B107" s="5" t="str">
        <f aca="false">'Building 3'!B22</f>
        <v>3 - Land Improvements - Apt - 5yr</v>
      </c>
      <c r="D107" s="33" t="n">
        <f aca="false">SUM(F107:H107)</f>
        <v>2300.7</v>
      </c>
      <c r="F107" s="33" t="n">
        <f aca="false">'Building 3'!D22</f>
        <v>2300.7</v>
      </c>
    </row>
    <row r="108" customFormat="false" ht="15" hidden="false" customHeight="false" outlineLevel="0" collapsed="false">
      <c r="B108" s="5" t="str">
        <f aca="false">'Building 3'!B23</f>
        <v>3 - Land Improvements - Apt - 27.5yr</v>
      </c>
      <c r="D108" s="33" t="n">
        <f aca="false">SUM(F108:H108)</f>
        <v>8710.9</v>
      </c>
      <c r="H108" s="33" t="n">
        <f aca="false">'Building 3'!D23</f>
        <v>8710.9</v>
      </c>
    </row>
    <row r="109" customFormat="false" ht="15" hidden="false" customHeight="false" outlineLevel="0" collapsed="false">
      <c r="B109" s="5" t="str">
        <f aca="false">'Building 3'!B24</f>
        <v>4 - Equipment - Apt - 5yr</v>
      </c>
      <c r="D109" s="33" t="n">
        <f aca="false">SUM(F109:H109)</f>
        <v>4167.44</v>
      </c>
      <c r="F109" s="33" t="n">
        <f aca="false">'Building 3'!D24</f>
        <v>4167.44</v>
      </c>
    </row>
    <row r="110" customFormat="false" ht="15" hidden="false" customHeight="false" outlineLevel="0" collapsed="false">
      <c r="B110" s="5" t="str">
        <f aca="false">'Building 3'!B25</f>
        <v>4 - Equipment - Apt - 27.5yr</v>
      </c>
      <c r="D110" s="33" t="n">
        <f aca="false">SUM(F110:H110)</f>
        <v>15778.73</v>
      </c>
      <c r="H110" s="33" t="n">
        <f aca="false">'Building 3'!D25</f>
        <v>15778.73</v>
      </c>
    </row>
    <row r="111" customFormat="false" ht="15" hidden="false" customHeight="false" outlineLevel="0" collapsed="false">
      <c r="B111" s="11" t="s">
        <v>159</v>
      </c>
      <c r="D111" s="34" t="n">
        <f aca="false">SUM(D103:D110)</f>
        <v>147893.47</v>
      </c>
      <c r="F111" s="34" t="n">
        <f aca="false">SUM(F103:F110)</f>
        <v>30900.04</v>
      </c>
      <c r="H111" s="34" t="n">
        <f aca="false">SUM(H103:H110)</f>
        <v>116993.43</v>
      </c>
    </row>
    <row r="112" customFormat="false" ht="15" hidden="false" customHeight="false" outlineLevel="0" collapsed="false">
      <c r="B112" s="16" t="s">
        <v>160</v>
      </c>
      <c r="D112" s="17" t="n">
        <f aca="false">D111-D98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205</v>
      </c>
    </row>
    <row r="5" customFormat="false" ht="15" hidden="false" customHeight="false" outlineLevel="0" collapsed="false">
      <c r="A5" s="16" t="s">
        <v>102</v>
      </c>
    </row>
    <row r="7" customFormat="false" ht="15" hidden="false" customHeight="false" outlineLevel="0" collapsed="false">
      <c r="A7" s="10" t="s">
        <v>103</v>
      </c>
    </row>
    <row r="8" customFormat="false" ht="15" hidden="false" customHeight="false" outlineLevel="0" collapsed="false">
      <c r="A8" s="21" t="s">
        <v>104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105</v>
      </c>
      <c r="B9" s="4" t="s">
        <v>106</v>
      </c>
      <c r="C9" s="4" t="s">
        <v>107</v>
      </c>
      <c r="D9" s="4" t="s">
        <v>108</v>
      </c>
      <c r="E9" s="4" t="s">
        <v>109</v>
      </c>
      <c r="F9" s="4" t="s">
        <v>110</v>
      </c>
      <c r="G9" s="4" t="s">
        <v>111</v>
      </c>
      <c r="H9" s="4" t="s">
        <v>112</v>
      </c>
      <c r="I9" s="4" t="s">
        <v>113</v>
      </c>
      <c r="J9" s="4" t="s">
        <v>114</v>
      </c>
      <c r="K9" s="4" t="s">
        <v>115</v>
      </c>
      <c r="L9" s="4" t="s">
        <v>116</v>
      </c>
    </row>
    <row r="10" customFormat="false" ht="15" hidden="false" customHeight="false" outlineLevel="0" collapsed="false">
      <c r="A10" s="23" t="n">
        <v>1</v>
      </c>
      <c r="B10" s="23" t="s">
        <v>45</v>
      </c>
      <c r="C10" s="23" t="s">
        <v>35</v>
      </c>
      <c r="D10" s="24" t="n">
        <v>91140.5</v>
      </c>
      <c r="E10" s="24" t="n">
        <v>0</v>
      </c>
      <c r="F10" s="24" t="n">
        <v>0</v>
      </c>
      <c r="G10" s="24" t="n">
        <v>26651.36</v>
      </c>
      <c r="H10" s="24" t="n">
        <v>3314.2</v>
      </c>
      <c r="I10" s="24" t="n">
        <f aca="false">G10+H10</f>
        <v>29965.56</v>
      </c>
      <c r="J10" s="24" t="n">
        <f aca="false">D10-I10</f>
        <v>61174.94</v>
      </c>
      <c r="K10" s="25" t="s">
        <v>117</v>
      </c>
      <c r="L10" s="25" t="s">
        <v>118</v>
      </c>
    </row>
    <row r="11" customFormat="false" ht="15" hidden="false" customHeight="false" outlineLevel="0" collapsed="false">
      <c r="A11" s="23" t="n">
        <v>2</v>
      </c>
      <c r="B11" s="23" t="s">
        <v>46</v>
      </c>
      <c r="C11" s="23" t="s">
        <v>37</v>
      </c>
      <c r="D11" s="24" t="n">
        <v>165.99</v>
      </c>
      <c r="E11" s="24" t="n">
        <v>0</v>
      </c>
      <c r="F11" s="24" t="n">
        <v>0</v>
      </c>
      <c r="G11" s="24" t="n">
        <v>48.07</v>
      </c>
      <c r="H11" s="24" t="n">
        <v>6.04</v>
      </c>
      <c r="I11" s="24" t="n">
        <f aca="false">G11+H11</f>
        <v>54.11</v>
      </c>
      <c r="J11" s="24" t="n">
        <f aca="false">D11-I11</f>
        <v>111.88</v>
      </c>
      <c r="K11" s="25" t="s">
        <v>117</v>
      </c>
      <c r="L11" s="25" t="s">
        <v>118</v>
      </c>
    </row>
    <row r="12" customFormat="false" ht="15" hidden="false" customHeight="false" outlineLevel="0" collapsed="false">
      <c r="A12" s="23" t="n">
        <v>3</v>
      </c>
      <c r="B12" s="23" t="s">
        <v>47</v>
      </c>
      <c r="C12" s="23" t="s">
        <v>35</v>
      </c>
      <c r="D12" s="24" t="n">
        <v>8598.15</v>
      </c>
      <c r="E12" s="24" t="n">
        <v>0</v>
      </c>
      <c r="F12" s="24" t="n">
        <v>0</v>
      </c>
      <c r="G12" s="24" t="n">
        <v>5035.65</v>
      </c>
      <c r="H12" s="24" t="n">
        <v>507.3</v>
      </c>
      <c r="I12" s="24" t="n">
        <f aca="false">G12+H12</f>
        <v>5542.95</v>
      </c>
      <c r="J12" s="24" t="n">
        <f aca="false">D12-I12</f>
        <v>3055.2</v>
      </c>
      <c r="K12" s="25" t="s">
        <v>119</v>
      </c>
      <c r="L12" s="25" t="s">
        <v>120</v>
      </c>
    </row>
    <row r="13" customFormat="false" ht="15" hidden="false" customHeight="false" outlineLevel="0" collapsed="false">
      <c r="A13" s="23" t="n">
        <v>4</v>
      </c>
      <c r="B13" s="23" t="s">
        <v>48</v>
      </c>
      <c r="C13" s="23" t="s">
        <v>35</v>
      </c>
      <c r="D13" s="24" t="n">
        <v>15574.5</v>
      </c>
      <c r="E13" s="24" t="n">
        <v>0</v>
      </c>
      <c r="F13" s="24" t="n">
        <v>0</v>
      </c>
      <c r="G13" s="24" t="n">
        <v>15055.35</v>
      </c>
      <c r="H13" s="24" t="n">
        <v>0</v>
      </c>
      <c r="I13" s="24" t="n">
        <f aca="false">G13+H13</f>
        <v>15055.35</v>
      </c>
      <c r="J13" s="24" t="n">
        <f aca="false">D13-I13</f>
        <v>519.15</v>
      </c>
      <c r="K13" s="25" t="s">
        <v>121</v>
      </c>
      <c r="L13" s="25" t="s">
        <v>122</v>
      </c>
    </row>
    <row r="14" customFormat="false" ht="15" hidden="false" customHeight="false" outlineLevel="0" collapsed="false">
      <c r="A14" s="26"/>
      <c r="B14" s="27" t="s">
        <v>53</v>
      </c>
      <c r="C14" s="26"/>
      <c r="D14" s="28" t="n">
        <f aca="false">SUM(D10:D13)</f>
        <v>115479.14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46790.43</v>
      </c>
      <c r="H14" s="28" t="n">
        <f aca="false">SUM(H10:H13)</f>
        <v>3827.54</v>
      </c>
      <c r="I14" s="28" t="n">
        <f aca="false">SUM(I10:I13)</f>
        <v>50617.97</v>
      </c>
      <c r="J14" s="28" t="n">
        <f aca="false">SUM(J10:J13)</f>
        <v>64861.17</v>
      </c>
      <c r="K14" s="26"/>
      <c r="L14" s="26"/>
    </row>
    <row r="16" customFormat="false" ht="15" hidden="false" customHeight="false" outlineLevel="0" collapsed="false">
      <c r="A16" s="21" t="s">
        <v>123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4" t="s">
        <v>105</v>
      </c>
      <c r="B17" s="4" t="s">
        <v>106</v>
      </c>
      <c r="C17" s="4" t="s">
        <v>107</v>
      </c>
      <c r="D17" s="4" t="s">
        <v>108</v>
      </c>
      <c r="E17" s="4" t="s">
        <v>109</v>
      </c>
      <c r="F17" s="4" t="s">
        <v>110</v>
      </c>
      <c r="G17" s="4" t="s">
        <v>111</v>
      </c>
      <c r="H17" s="4" t="s">
        <v>112</v>
      </c>
      <c r="I17" s="4" t="s">
        <v>113</v>
      </c>
      <c r="J17" s="4" t="s">
        <v>114</v>
      </c>
      <c r="K17" s="4" t="s">
        <v>115</v>
      </c>
      <c r="L17" s="4" t="s">
        <v>116</v>
      </c>
    </row>
    <row r="18" customFormat="false" ht="15" hidden="false" customHeight="false" outlineLevel="0" collapsed="false">
      <c r="A18" s="23" t="n">
        <v>1</v>
      </c>
      <c r="B18" s="23" t="s">
        <v>71</v>
      </c>
      <c r="C18" s="23" t="s">
        <v>35</v>
      </c>
      <c r="D18" s="24" t="n">
        <v>21279.35</v>
      </c>
      <c r="E18" s="24" t="n">
        <v>0</v>
      </c>
      <c r="F18" s="24" t="n">
        <v>0</v>
      </c>
      <c r="G18" s="24" t="n">
        <v>21279.35</v>
      </c>
      <c r="H18" s="24" t="n">
        <v>0</v>
      </c>
      <c r="I18" s="24" t="n">
        <f aca="false">G18+H18</f>
        <v>21279.35</v>
      </c>
      <c r="J18" s="24" t="n">
        <f aca="false">D18-I18</f>
        <v>0</v>
      </c>
      <c r="K18" s="25" t="s">
        <v>121</v>
      </c>
      <c r="L18" s="25" t="s">
        <v>122</v>
      </c>
    </row>
    <row r="19" customFormat="false" ht="15" hidden="false" customHeight="false" outlineLevel="0" collapsed="false">
      <c r="A19" s="23" t="n">
        <v>2</v>
      </c>
      <c r="B19" s="23" t="s">
        <v>72</v>
      </c>
      <c r="C19" s="23" t="s">
        <v>35</v>
      </c>
      <c r="D19" s="24" t="n">
        <v>69861.15</v>
      </c>
      <c r="E19" s="24" t="n">
        <v>0</v>
      </c>
      <c r="F19" s="24" t="n">
        <v>0</v>
      </c>
      <c r="G19" s="24" t="n">
        <v>20429.13</v>
      </c>
      <c r="H19" s="24" t="n">
        <v>2540.41</v>
      </c>
      <c r="I19" s="24" t="n">
        <f aca="false">G19+H19</f>
        <v>22969.54</v>
      </c>
      <c r="J19" s="24" t="n">
        <f aca="false">D19-I19</f>
        <v>46891.61</v>
      </c>
      <c r="K19" s="25" t="s">
        <v>117</v>
      </c>
      <c r="L19" s="25" t="s">
        <v>118</v>
      </c>
    </row>
    <row r="20" customFormat="false" ht="15" hidden="false" customHeight="false" outlineLevel="0" collapsed="false">
      <c r="A20" s="23" t="n">
        <v>3</v>
      </c>
      <c r="B20" s="23" t="s">
        <v>73</v>
      </c>
      <c r="C20" s="23" t="s">
        <v>37</v>
      </c>
      <c r="D20" s="24" t="n">
        <v>38.76</v>
      </c>
      <c r="E20" s="24" t="n">
        <v>0</v>
      </c>
      <c r="F20" s="24" t="n">
        <v>0</v>
      </c>
      <c r="G20" s="24" t="n">
        <v>38.76</v>
      </c>
      <c r="H20" s="24" t="n">
        <v>0</v>
      </c>
      <c r="I20" s="24" t="n">
        <f aca="false">G20+H20</f>
        <v>38.76</v>
      </c>
      <c r="J20" s="24" t="n">
        <f aca="false">D20-I20</f>
        <v>0</v>
      </c>
      <c r="K20" s="25" t="s">
        <v>121</v>
      </c>
      <c r="L20" s="25" t="s">
        <v>122</v>
      </c>
    </row>
    <row r="21" customFormat="false" ht="15" hidden="false" customHeight="false" outlineLevel="0" collapsed="false">
      <c r="A21" s="23" t="n">
        <v>4</v>
      </c>
      <c r="B21" s="23" t="s">
        <v>74</v>
      </c>
      <c r="C21" s="23" t="s">
        <v>37</v>
      </c>
      <c r="D21" s="24" t="n">
        <v>127.23</v>
      </c>
      <c r="E21" s="24" t="n">
        <v>0</v>
      </c>
      <c r="F21" s="24" t="n">
        <v>0</v>
      </c>
      <c r="G21" s="24" t="n">
        <v>36.84</v>
      </c>
      <c r="H21" s="24" t="n">
        <v>4.63</v>
      </c>
      <c r="I21" s="24" t="n">
        <f aca="false">G21+H21</f>
        <v>41.47</v>
      </c>
      <c r="J21" s="24" t="n">
        <f aca="false">D21-I21</f>
        <v>85.76</v>
      </c>
      <c r="K21" s="25" t="s">
        <v>117</v>
      </c>
      <c r="L21" s="25" t="s">
        <v>118</v>
      </c>
    </row>
    <row r="22" customFormat="false" ht="15" hidden="false" customHeight="false" outlineLevel="0" collapsed="false">
      <c r="A22" s="23" t="n">
        <v>5</v>
      </c>
      <c r="B22" s="23" t="s">
        <v>79</v>
      </c>
      <c r="C22" s="23" t="s">
        <v>35</v>
      </c>
      <c r="D22" s="24" t="n">
        <v>2007.48</v>
      </c>
      <c r="E22" s="24" t="n">
        <v>0</v>
      </c>
      <c r="F22" s="24" t="n">
        <v>0</v>
      </c>
      <c r="G22" s="24" t="n">
        <v>2007.48</v>
      </c>
      <c r="H22" s="24" t="n">
        <v>0</v>
      </c>
      <c r="I22" s="24" t="n">
        <f aca="false">G22+H22</f>
        <v>2007.48</v>
      </c>
      <c r="J22" s="24" t="n">
        <f aca="false">D22-I22</f>
        <v>0</v>
      </c>
      <c r="K22" s="25" t="s">
        <v>121</v>
      </c>
      <c r="L22" s="25" t="s">
        <v>122</v>
      </c>
    </row>
    <row r="23" customFormat="false" ht="15" hidden="false" customHeight="false" outlineLevel="0" collapsed="false">
      <c r="A23" s="23" t="n">
        <v>6</v>
      </c>
      <c r="B23" s="23" t="s">
        <v>80</v>
      </c>
      <c r="C23" s="23" t="s">
        <v>35</v>
      </c>
      <c r="D23" s="24" t="n">
        <v>6590.67</v>
      </c>
      <c r="E23" s="24" t="n">
        <v>0</v>
      </c>
      <c r="F23" s="24" t="n">
        <v>0</v>
      </c>
      <c r="G23" s="24" t="n">
        <v>1927.27</v>
      </c>
      <c r="H23" s="24" t="n">
        <v>239.66</v>
      </c>
      <c r="I23" s="24" t="n">
        <f aca="false">G23+H23</f>
        <v>2166.93</v>
      </c>
      <c r="J23" s="24" t="n">
        <f aca="false">D23-I23</f>
        <v>4423.74</v>
      </c>
      <c r="K23" s="25" t="s">
        <v>117</v>
      </c>
      <c r="L23" s="25" t="s">
        <v>118</v>
      </c>
    </row>
    <row r="24" customFormat="false" ht="15" hidden="false" customHeight="false" outlineLevel="0" collapsed="false">
      <c r="A24" s="23" t="n">
        <v>7</v>
      </c>
      <c r="B24" s="23" t="s">
        <v>77</v>
      </c>
      <c r="C24" s="23" t="s">
        <v>35</v>
      </c>
      <c r="D24" s="24" t="n">
        <v>3636.33</v>
      </c>
      <c r="E24" s="24" t="n">
        <v>0</v>
      </c>
      <c r="F24" s="24" t="n">
        <v>0</v>
      </c>
      <c r="G24" s="24" t="n">
        <v>3636.33</v>
      </c>
      <c r="H24" s="24" t="n">
        <v>0</v>
      </c>
      <c r="I24" s="24" t="n">
        <f aca="false">G24+H24</f>
        <v>3636.33</v>
      </c>
      <c r="J24" s="24" t="n">
        <f aca="false">D24-I24</f>
        <v>0</v>
      </c>
      <c r="K24" s="25" t="s">
        <v>121</v>
      </c>
      <c r="L24" s="25" t="s">
        <v>122</v>
      </c>
    </row>
    <row r="25" customFormat="false" ht="15" hidden="false" customHeight="false" outlineLevel="0" collapsed="false">
      <c r="A25" s="23" t="n">
        <v>8</v>
      </c>
      <c r="B25" s="23" t="s">
        <v>78</v>
      </c>
      <c r="C25" s="23" t="s">
        <v>35</v>
      </c>
      <c r="D25" s="24" t="n">
        <v>11938.19</v>
      </c>
      <c r="E25" s="24" t="n">
        <v>0</v>
      </c>
      <c r="F25" s="24" t="n">
        <v>0</v>
      </c>
      <c r="G25" s="24" t="n">
        <v>3491.05</v>
      </c>
      <c r="H25" s="24" t="n">
        <v>434.12</v>
      </c>
      <c r="I25" s="24" t="n">
        <f aca="false">G25+H25</f>
        <v>3925.17</v>
      </c>
      <c r="J25" s="24" t="n">
        <f aca="false">D25-I25</f>
        <v>8013.02</v>
      </c>
      <c r="K25" s="25" t="s">
        <v>117</v>
      </c>
      <c r="L25" s="25" t="s">
        <v>118</v>
      </c>
    </row>
    <row r="26" customFormat="false" ht="15" hidden="false" customHeight="false" outlineLevel="0" collapsed="false">
      <c r="A26" s="26"/>
      <c r="B26" s="27" t="s">
        <v>53</v>
      </c>
      <c r="C26" s="26"/>
      <c r="D26" s="28" t="n">
        <f aca="false">SUM(D18:D25)</f>
        <v>115479.16</v>
      </c>
      <c r="E26" s="28" t="n">
        <f aca="false">SUM(E18:E25)</f>
        <v>0</v>
      </c>
      <c r="F26" s="28" t="n">
        <f aca="false">SUM(F18:F25)</f>
        <v>0</v>
      </c>
      <c r="G26" s="28" t="n">
        <f aca="false">SUM(G18:G25)</f>
        <v>52846.21</v>
      </c>
      <c r="H26" s="28" t="n">
        <f aca="false">SUM(H18:H25)</f>
        <v>3218.82</v>
      </c>
      <c r="I26" s="28" t="n">
        <f aca="false">SUM(I18:I25)</f>
        <v>56065.03</v>
      </c>
      <c r="J26" s="28" t="n">
        <f aca="false">SUM(J18:J25)</f>
        <v>59414.13</v>
      </c>
      <c r="K26" s="26"/>
      <c r="L26" s="26"/>
    </row>
    <row r="28" customFormat="false" ht="15" hidden="false" customHeight="false" outlineLevel="0" collapsed="false">
      <c r="B28" s="18" t="s">
        <v>124</v>
      </c>
    </row>
    <row r="29" customFormat="false" ht="15" hidden="false" customHeight="false" outlineLevel="0" collapsed="false">
      <c r="B29" s="5" t="s">
        <v>125</v>
      </c>
      <c r="D29" s="6" t="n">
        <f aca="false">I14</f>
        <v>50617.97</v>
      </c>
    </row>
    <row r="30" customFormat="false" ht="15" hidden="false" customHeight="false" outlineLevel="0" collapsed="false">
      <c r="B30" s="5" t="s">
        <v>126</v>
      </c>
      <c r="D30" s="6" t="n">
        <f aca="false">I26</f>
        <v>56065.03</v>
      </c>
    </row>
    <row r="31" customFormat="false" ht="15" hidden="false" customHeight="false" outlineLevel="0" collapsed="false">
      <c r="B31" s="11" t="s">
        <v>124</v>
      </c>
      <c r="D31" s="29" t="n">
        <f aca="false">D29-D30</f>
        <v>-5447.06</v>
      </c>
    </row>
    <row r="33" customFormat="false" ht="15" hidden="false" customHeight="false" outlineLevel="0" collapsed="false">
      <c r="A33" s="10" t="s">
        <v>127</v>
      </c>
    </row>
    <row r="34" customFormat="false" ht="15" hidden="false" customHeight="false" outlineLevel="0" collapsed="false">
      <c r="A34" s="21" t="s">
        <v>128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4" t="s">
        <v>105</v>
      </c>
      <c r="B35" s="4" t="s">
        <v>106</v>
      </c>
      <c r="C35" s="4" t="s">
        <v>107</v>
      </c>
      <c r="D35" s="4" t="s">
        <v>108</v>
      </c>
      <c r="E35" s="4" t="s">
        <v>109</v>
      </c>
      <c r="F35" s="4" t="s">
        <v>110</v>
      </c>
      <c r="G35" s="4" t="s">
        <v>129</v>
      </c>
      <c r="H35" s="4" t="s">
        <v>130</v>
      </c>
      <c r="I35" s="4" t="s">
        <v>113</v>
      </c>
      <c r="J35" s="4" t="s">
        <v>114</v>
      </c>
      <c r="K35" s="4" t="s">
        <v>115</v>
      </c>
      <c r="L35" s="4" t="s">
        <v>116</v>
      </c>
    </row>
    <row r="36" customFormat="false" ht="15" hidden="false" customHeight="false" outlineLevel="0" collapsed="false">
      <c r="A36" s="23" t="n">
        <v>1</v>
      </c>
      <c r="B36" s="23" t="s">
        <v>45</v>
      </c>
      <c r="C36" s="23" t="s">
        <v>35</v>
      </c>
      <c r="D36" s="24" t="n">
        <v>91140.5</v>
      </c>
      <c r="E36" s="24" t="n">
        <v>0</v>
      </c>
      <c r="F36" s="24" t="n">
        <v>0</v>
      </c>
      <c r="G36" s="24" t="n">
        <v>26651.36</v>
      </c>
      <c r="H36" s="24" t="n">
        <v>3314.2</v>
      </c>
      <c r="I36" s="24" t="n">
        <f aca="false">G36+H36</f>
        <v>29965.56</v>
      </c>
      <c r="J36" s="24" t="n">
        <f aca="false">D36-I36</f>
        <v>61174.94</v>
      </c>
      <c r="K36" s="25" t="s">
        <v>117</v>
      </c>
      <c r="L36" s="25" t="s">
        <v>118</v>
      </c>
    </row>
    <row r="37" customFormat="false" ht="15" hidden="false" customHeight="false" outlineLevel="0" collapsed="false">
      <c r="A37" s="23" t="n">
        <v>2</v>
      </c>
      <c r="B37" s="23" t="s">
        <v>46</v>
      </c>
      <c r="C37" s="23" t="s">
        <v>37</v>
      </c>
      <c r="D37" s="24" t="n">
        <v>165.99</v>
      </c>
      <c r="E37" s="24" t="n">
        <v>0</v>
      </c>
      <c r="F37" s="24" t="n">
        <v>0</v>
      </c>
      <c r="G37" s="24" t="n">
        <v>48.07</v>
      </c>
      <c r="H37" s="24" t="n">
        <v>6.04</v>
      </c>
      <c r="I37" s="24" t="n">
        <f aca="false">G37+H37</f>
        <v>54.11</v>
      </c>
      <c r="J37" s="24" t="n">
        <f aca="false">D37-I37</f>
        <v>111.88</v>
      </c>
      <c r="K37" s="25" t="s">
        <v>117</v>
      </c>
      <c r="L37" s="25" t="s">
        <v>118</v>
      </c>
    </row>
    <row r="38" customFormat="false" ht="15" hidden="false" customHeight="false" outlineLevel="0" collapsed="false">
      <c r="A38" s="23" t="n">
        <v>3</v>
      </c>
      <c r="B38" s="23" t="s">
        <v>47</v>
      </c>
      <c r="C38" s="23" t="s">
        <v>35</v>
      </c>
      <c r="D38" s="24" t="n">
        <v>8598.15</v>
      </c>
      <c r="E38" s="24" t="n">
        <v>0</v>
      </c>
      <c r="F38" s="24" t="n">
        <v>0</v>
      </c>
      <c r="G38" s="24" t="n">
        <v>5035.65</v>
      </c>
      <c r="H38" s="24" t="n">
        <v>507.3</v>
      </c>
      <c r="I38" s="24" t="n">
        <f aca="false">G38+H38</f>
        <v>5542.95</v>
      </c>
      <c r="J38" s="24" t="n">
        <f aca="false">D38-I38</f>
        <v>3055.2</v>
      </c>
      <c r="K38" s="25" t="s">
        <v>119</v>
      </c>
      <c r="L38" s="25" t="s">
        <v>120</v>
      </c>
    </row>
    <row r="39" customFormat="false" ht="15" hidden="false" customHeight="false" outlineLevel="0" collapsed="false">
      <c r="A39" s="23" t="n">
        <v>4</v>
      </c>
      <c r="B39" s="23" t="s">
        <v>48</v>
      </c>
      <c r="C39" s="23" t="s">
        <v>35</v>
      </c>
      <c r="D39" s="24" t="n">
        <v>15574.5</v>
      </c>
      <c r="E39" s="24" t="n">
        <v>0</v>
      </c>
      <c r="F39" s="24" t="n">
        <v>0</v>
      </c>
      <c r="G39" s="24" t="n">
        <v>15055.35</v>
      </c>
      <c r="H39" s="24" t="n">
        <v>0</v>
      </c>
      <c r="I39" s="24" t="n">
        <f aca="false">G39+H39</f>
        <v>15055.35</v>
      </c>
      <c r="J39" s="24" t="n">
        <f aca="false">D39-I39</f>
        <v>519.15</v>
      </c>
      <c r="K39" s="25" t="s">
        <v>121</v>
      </c>
      <c r="L39" s="25" t="s">
        <v>122</v>
      </c>
    </row>
    <row r="40" customFormat="false" ht="15" hidden="false" customHeight="false" outlineLevel="0" collapsed="false">
      <c r="A40" s="26"/>
      <c r="B40" s="27" t="s">
        <v>53</v>
      </c>
      <c r="C40" s="26"/>
      <c r="D40" s="28" t="n">
        <f aca="false">SUM(D36:D39)</f>
        <v>115479.14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46790.43</v>
      </c>
      <c r="H40" s="28" t="n">
        <f aca="false">SUM(H36:H39)</f>
        <v>3827.54</v>
      </c>
      <c r="I40" s="28" t="n">
        <f aca="false">SUM(I36:I39)</f>
        <v>50617.97</v>
      </c>
      <c r="J40" s="28" t="n">
        <f aca="false">SUM(J36:J39)</f>
        <v>64861.17</v>
      </c>
      <c r="K40" s="26"/>
      <c r="L40" s="26"/>
    </row>
    <row r="42" customFormat="false" ht="15" hidden="false" customHeight="false" outlineLevel="0" collapsed="false">
      <c r="A42" s="21" t="s">
        <v>131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4" t="s">
        <v>105</v>
      </c>
      <c r="B43" s="4" t="s">
        <v>106</v>
      </c>
      <c r="C43" s="4" t="s">
        <v>107</v>
      </c>
      <c r="D43" s="4" t="s">
        <v>108</v>
      </c>
      <c r="E43" s="4" t="s">
        <v>109</v>
      </c>
      <c r="F43" s="4" t="s">
        <v>110</v>
      </c>
      <c r="G43" s="4" t="s">
        <v>129</v>
      </c>
      <c r="H43" s="4" t="s">
        <v>130</v>
      </c>
      <c r="I43" s="4" t="s">
        <v>113</v>
      </c>
      <c r="J43" s="4" t="s">
        <v>114</v>
      </c>
      <c r="K43" s="4" t="s">
        <v>115</v>
      </c>
      <c r="L43" s="4" t="s">
        <v>116</v>
      </c>
    </row>
    <row r="44" customFormat="false" ht="15" hidden="false" customHeight="false" outlineLevel="0" collapsed="false">
      <c r="A44" s="23" t="n">
        <v>1</v>
      </c>
      <c r="B44" s="23" t="s">
        <v>71</v>
      </c>
      <c r="C44" s="23" t="s">
        <v>35</v>
      </c>
      <c r="D44" s="24" t="n">
        <v>21279.35</v>
      </c>
      <c r="E44" s="24" t="n">
        <v>0</v>
      </c>
      <c r="F44" s="24" t="n">
        <v>0</v>
      </c>
      <c r="G44" s="24" t="n">
        <v>21279.35</v>
      </c>
      <c r="H44" s="24" t="n">
        <v>0</v>
      </c>
      <c r="I44" s="24" t="n">
        <f aca="false">G44+H44</f>
        <v>21279.35</v>
      </c>
      <c r="J44" s="24" t="n">
        <f aca="false">D44-I44</f>
        <v>0</v>
      </c>
      <c r="K44" s="25" t="s">
        <v>121</v>
      </c>
      <c r="L44" s="25" t="s">
        <v>122</v>
      </c>
    </row>
    <row r="45" customFormat="false" ht="15" hidden="false" customHeight="false" outlineLevel="0" collapsed="false">
      <c r="A45" s="23" t="n">
        <v>2</v>
      </c>
      <c r="B45" s="23" t="s">
        <v>72</v>
      </c>
      <c r="C45" s="23" t="s">
        <v>35</v>
      </c>
      <c r="D45" s="24" t="n">
        <v>69861.15</v>
      </c>
      <c r="E45" s="24" t="n">
        <v>0</v>
      </c>
      <c r="F45" s="24" t="n">
        <v>0</v>
      </c>
      <c r="G45" s="24" t="n">
        <v>20429.13</v>
      </c>
      <c r="H45" s="24" t="n">
        <v>2540.41</v>
      </c>
      <c r="I45" s="24" t="n">
        <f aca="false">G45+H45</f>
        <v>22969.54</v>
      </c>
      <c r="J45" s="24" t="n">
        <f aca="false">D45-I45</f>
        <v>46891.61</v>
      </c>
      <c r="K45" s="25" t="s">
        <v>117</v>
      </c>
      <c r="L45" s="25" t="s">
        <v>118</v>
      </c>
    </row>
    <row r="46" customFormat="false" ht="15" hidden="false" customHeight="false" outlineLevel="0" collapsed="false">
      <c r="A46" s="23" t="n">
        <v>3</v>
      </c>
      <c r="B46" s="23" t="s">
        <v>73</v>
      </c>
      <c r="C46" s="23" t="s">
        <v>37</v>
      </c>
      <c r="D46" s="24" t="n">
        <v>38.76</v>
      </c>
      <c r="E46" s="24" t="n">
        <v>0</v>
      </c>
      <c r="F46" s="24" t="n">
        <v>0</v>
      </c>
      <c r="G46" s="24" t="n">
        <v>38.76</v>
      </c>
      <c r="H46" s="24" t="n">
        <v>0</v>
      </c>
      <c r="I46" s="24" t="n">
        <f aca="false">G46+H46</f>
        <v>38.76</v>
      </c>
      <c r="J46" s="24" t="n">
        <f aca="false">D46-I46</f>
        <v>0</v>
      </c>
      <c r="K46" s="25" t="s">
        <v>121</v>
      </c>
      <c r="L46" s="25" t="s">
        <v>122</v>
      </c>
    </row>
    <row r="47" customFormat="false" ht="15" hidden="false" customHeight="false" outlineLevel="0" collapsed="false">
      <c r="A47" s="23" t="n">
        <v>4</v>
      </c>
      <c r="B47" s="23" t="s">
        <v>74</v>
      </c>
      <c r="C47" s="23" t="s">
        <v>37</v>
      </c>
      <c r="D47" s="24" t="n">
        <v>127.23</v>
      </c>
      <c r="E47" s="24" t="n">
        <v>0</v>
      </c>
      <c r="F47" s="24" t="n">
        <v>0</v>
      </c>
      <c r="G47" s="24" t="n">
        <v>36.84</v>
      </c>
      <c r="H47" s="24" t="n">
        <v>4.63</v>
      </c>
      <c r="I47" s="24" t="n">
        <f aca="false">G47+H47</f>
        <v>41.47</v>
      </c>
      <c r="J47" s="24" t="n">
        <f aca="false">D47-I47</f>
        <v>85.76</v>
      </c>
      <c r="K47" s="25" t="s">
        <v>117</v>
      </c>
      <c r="L47" s="25" t="s">
        <v>118</v>
      </c>
    </row>
    <row r="48" customFormat="false" ht="15" hidden="false" customHeight="false" outlineLevel="0" collapsed="false">
      <c r="A48" s="23" t="n">
        <v>5</v>
      </c>
      <c r="B48" s="23" t="s">
        <v>79</v>
      </c>
      <c r="C48" s="23" t="s">
        <v>35</v>
      </c>
      <c r="D48" s="24" t="n">
        <v>2007.48</v>
      </c>
      <c r="E48" s="24" t="n">
        <v>0</v>
      </c>
      <c r="F48" s="24" t="n">
        <v>0</v>
      </c>
      <c r="G48" s="24" t="n">
        <v>2007.48</v>
      </c>
      <c r="H48" s="24" t="n">
        <v>0</v>
      </c>
      <c r="I48" s="24" t="n">
        <f aca="false">G48+H48</f>
        <v>2007.48</v>
      </c>
      <c r="J48" s="24" t="n">
        <f aca="false">D48-I48</f>
        <v>0</v>
      </c>
      <c r="K48" s="25" t="s">
        <v>121</v>
      </c>
      <c r="L48" s="25" t="s">
        <v>122</v>
      </c>
    </row>
    <row r="49" customFormat="false" ht="15" hidden="false" customHeight="false" outlineLevel="0" collapsed="false">
      <c r="A49" s="23" t="n">
        <v>6</v>
      </c>
      <c r="B49" s="23" t="s">
        <v>80</v>
      </c>
      <c r="C49" s="23" t="s">
        <v>35</v>
      </c>
      <c r="D49" s="24" t="n">
        <v>6590.67</v>
      </c>
      <c r="E49" s="24" t="n">
        <v>0</v>
      </c>
      <c r="F49" s="24" t="n">
        <v>0</v>
      </c>
      <c r="G49" s="24" t="n">
        <v>1927.27</v>
      </c>
      <c r="H49" s="24" t="n">
        <v>239.66</v>
      </c>
      <c r="I49" s="24" t="n">
        <f aca="false">G49+H49</f>
        <v>2166.93</v>
      </c>
      <c r="J49" s="24" t="n">
        <f aca="false">D49-I49</f>
        <v>4423.74</v>
      </c>
      <c r="K49" s="25" t="s">
        <v>117</v>
      </c>
      <c r="L49" s="25" t="s">
        <v>118</v>
      </c>
    </row>
    <row r="50" customFormat="false" ht="15" hidden="false" customHeight="false" outlineLevel="0" collapsed="false">
      <c r="A50" s="23" t="n">
        <v>7</v>
      </c>
      <c r="B50" s="23" t="s">
        <v>77</v>
      </c>
      <c r="C50" s="23" t="s">
        <v>35</v>
      </c>
      <c r="D50" s="24" t="n">
        <v>3636.33</v>
      </c>
      <c r="E50" s="24" t="n">
        <v>0</v>
      </c>
      <c r="F50" s="24" t="n">
        <v>0</v>
      </c>
      <c r="G50" s="24" t="n">
        <v>3636.33</v>
      </c>
      <c r="H50" s="24" t="n">
        <v>0</v>
      </c>
      <c r="I50" s="24" t="n">
        <f aca="false">G50+H50</f>
        <v>3636.33</v>
      </c>
      <c r="J50" s="24" t="n">
        <f aca="false">D50-I50</f>
        <v>0</v>
      </c>
      <c r="K50" s="25" t="s">
        <v>121</v>
      </c>
      <c r="L50" s="25" t="s">
        <v>122</v>
      </c>
    </row>
    <row r="51" customFormat="false" ht="15" hidden="false" customHeight="false" outlineLevel="0" collapsed="false">
      <c r="A51" s="23" t="n">
        <v>8</v>
      </c>
      <c r="B51" s="23" t="s">
        <v>78</v>
      </c>
      <c r="C51" s="23" t="s">
        <v>35</v>
      </c>
      <c r="D51" s="24" t="n">
        <v>11938.19</v>
      </c>
      <c r="E51" s="24" t="n">
        <v>0</v>
      </c>
      <c r="F51" s="24" t="n">
        <v>0</v>
      </c>
      <c r="G51" s="24" t="n">
        <v>3491.05</v>
      </c>
      <c r="H51" s="24" t="n">
        <v>434.12</v>
      </c>
      <c r="I51" s="24" t="n">
        <f aca="false">G51+H51</f>
        <v>3925.17</v>
      </c>
      <c r="J51" s="24" t="n">
        <f aca="false">D51-I51</f>
        <v>8013.02</v>
      </c>
      <c r="K51" s="25" t="s">
        <v>117</v>
      </c>
      <c r="L51" s="25" t="s">
        <v>118</v>
      </c>
    </row>
    <row r="52" customFormat="false" ht="15" hidden="false" customHeight="false" outlineLevel="0" collapsed="false">
      <c r="A52" s="26"/>
      <c r="B52" s="27" t="s">
        <v>53</v>
      </c>
      <c r="C52" s="26"/>
      <c r="D52" s="28" t="n">
        <f aca="false">SUM(D44:D51)</f>
        <v>115479.16</v>
      </c>
      <c r="E52" s="28" t="n">
        <f aca="false">SUM(E44:E51)</f>
        <v>0</v>
      </c>
      <c r="F52" s="28" t="n">
        <f aca="false">SUM(F44:F51)</f>
        <v>0</v>
      </c>
      <c r="G52" s="28" t="n">
        <f aca="false">SUM(G44:G51)</f>
        <v>52846.21</v>
      </c>
      <c r="H52" s="28" t="n">
        <f aca="false">SUM(H44:H51)</f>
        <v>3218.82</v>
      </c>
      <c r="I52" s="28" t="n">
        <f aca="false">SUM(I44:I51)</f>
        <v>56065.03</v>
      </c>
      <c r="J52" s="28" t="n">
        <f aca="false">SUM(J44:J51)</f>
        <v>59414.13</v>
      </c>
      <c r="K52" s="26"/>
      <c r="L52" s="26"/>
    </row>
    <row r="54" customFormat="false" ht="15" hidden="false" customHeight="false" outlineLevel="0" collapsed="false">
      <c r="B54" s="18" t="s">
        <v>132</v>
      </c>
    </row>
    <row r="55" customFormat="false" ht="15" hidden="false" customHeight="false" outlineLevel="0" collapsed="false">
      <c r="B55" s="5" t="s">
        <v>125</v>
      </c>
      <c r="D55" s="6" t="n">
        <f aca="false">I40</f>
        <v>50617.97</v>
      </c>
    </row>
    <row r="56" customFormat="false" ht="15" hidden="false" customHeight="false" outlineLevel="0" collapsed="false">
      <c r="B56" s="5" t="s">
        <v>126</v>
      </c>
      <c r="D56" s="6" t="n">
        <f aca="false">I52</f>
        <v>56065.03</v>
      </c>
    </row>
    <row r="57" customFormat="false" ht="15" hidden="false" customHeight="false" outlineLevel="0" collapsed="false">
      <c r="B57" s="11" t="s">
        <v>132</v>
      </c>
      <c r="D57" s="29" t="n">
        <f aca="false">D55-D56</f>
        <v>-5447.06</v>
      </c>
    </row>
    <row r="59" customFormat="false" ht="15" hidden="false" customHeight="false" outlineLevel="0" collapsed="false">
      <c r="A59" s="10" t="s">
        <v>133</v>
      </c>
    </row>
    <row r="60" customFormat="false" ht="15" hidden="false" customHeight="false" outlineLevel="0" collapsed="false">
      <c r="B60" s="11" t="s">
        <v>162</v>
      </c>
      <c r="D60" s="12" t="n">
        <f aca="false">D98</f>
        <v>115479.14</v>
      </c>
    </row>
    <row r="61" customFormat="false" ht="15" hidden="false" customHeight="false" outlineLevel="0" collapsed="false">
      <c r="B61" s="5" t="s">
        <v>163</v>
      </c>
      <c r="D61" s="6" t="n">
        <f aca="false">F98</f>
        <v>26961.9</v>
      </c>
    </row>
    <row r="62" customFormat="false" ht="15" hidden="false" customHeight="false" outlineLevel="0" collapsed="false">
      <c r="B62" s="30" t="s">
        <v>136</v>
      </c>
      <c r="D62" s="31" t="n">
        <f aca="false">F99</f>
        <v>0.233478531274133</v>
      </c>
    </row>
    <row r="63" customFormat="false" ht="15" hidden="false" customHeight="false" outlineLevel="0" collapsed="false">
      <c r="B63" s="5" t="s">
        <v>164</v>
      </c>
      <c r="D63" s="6" t="n">
        <f aca="false">H98</f>
        <v>88517.24</v>
      </c>
    </row>
    <row r="64" customFormat="false" ht="15" hidden="false" customHeight="false" outlineLevel="0" collapsed="false">
      <c r="B64" s="30" t="s">
        <v>136</v>
      </c>
      <c r="D64" s="31" t="n">
        <f aca="false">H99</f>
        <v>0.766521468725867</v>
      </c>
    </row>
    <row r="66" customFormat="false" ht="15" hidden="false" customHeight="false" outlineLevel="0" collapsed="false">
      <c r="A66" s="10" t="s">
        <v>138</v>
      </c>
    </row>
    <row r="67" customFormat="false" ht="15" hidden="false" customHeight="false" outlineLevel="0" collapsed="false">
      <c r="B67" s="4" t="s">
        <v>139</v>
      </c>
      <c r="D67" s="4" t="s">
        <v>108</v>
      </c>
      <c r="F67" s="4" t="s">
        <v>165</v>
      </c>
      <c r="H67" s="4" t="s">
        <v>141</v>
      </c>
    </row>
    <row r="68" customFormat="false" ht="15" hidden="false" customHeight="false" outlineLevel="0" collapsed="false">
      <c r="B68" s="32" t="s">
        <v>166</v>
      </c>
    </row>
    <row r="69" customFormat="false" ht="15" hidden="false" customHeight="false" outlineLevel="0" collapsed="false">
      <c r="B69" s="5" t="s">
        <v>167</v>
      </c>
      <c r="D69" s="33" t="n">
        <f aca="false">SUM(F69:H69)</f>
        <v>4785.17</v>
      </c>
      <c r="F69" s="33" t="n">
        <v>4785.17</v>
      </c>
    </row>
    <row r="70" customFormat="false" ht="15" hidden="false" customHeight="false" outlineLevel="0" collapsed="false">
      <c r="B70" s="5" t="s">
        <v>168</v>
      </c>
      <c r="D70" s="33" t="n">
        <f aca="false">SUM(F70:H70)</f>
        <v>1941.11</v>
      </c>
      <c r="F70" s="33" t="n">
        <v>1941.11</v>
      </c>
    </row>
    <row r="71" customFormat="false" ht="15" hidden="false" customHeight="false" outlineLevel="0" collapsed="false">
      <c r="B71" s="5" t="s">
        <v>169</v>
      </c>
      <c r="D71" s="33" t="n">
        <f aca="false">SUM(F71:H71)</f>
        <v>7939.87</v>
      </c>
      <c r="F71" s="33" t="n">
        <v>7939.87</v>
      </c>
    </row>
    <row r="72" customFormat="false" ht="15" hidden="false" customHeight="false" outlineLevel="0" collapsed="false">
      <c r="B72" s="5" t="s">
        <v>171</v>
      </c>
      <c r="D72" s="33" t="n">
        <f aca="false">SUM(F72:H72)</f>
        <v>428.82</v>
      </c>
      <c r="F72" s="33" t="n">
        <v>428.82</v>
      </c>
    </row>
    <row r="73" customFormat="false" ht="15" hidden="false" customHeight="false" outlineLevel="0" collapsed="false">
      <c r="B73" s="5" t="s">
        <v>196</v>
      </c>
      <c r="D73" s="33" t="n">
        <f aca="false">SUM(F73:H73)</f>
        <v>183.29</v>
      </c>
      <c r="F73" s="33" t="n">
        <v>183.29</v>
      </c>
    </row>
    <row r="74" customFormat="false" ht="15" hidden="false" customHeight="false" outlineLevel="0" collapsed="false">
      <c r="B74" s="5" t="s">
        <v>197</v>
      </c>
      <c r="D74" s="33" t="n">
        <f aca="false">SUM(F74:H74)</f>
        <v>96.76</v>
      </c>
      <c r="F74" s="33" t="n">
        <v>96.76</v>
      </c>
    </row>
    <row r="75" customFormat="false" ht="15" hidden="false" customHeight="false" outlineLevel="0" collapsed="false">
      <c r="B75" s="5" t="s">
        <v>172</v>
      </c>
      <c r="D75" s="33" t="n">
        <f aca="false">SUM(F75:H75)</f>
        <v>2980.97</v>
      </c>
      <c r="F75" s="33" t="n">
        <v>2980.97</v>
      </c>
    </row>
    <row r="76" customFormat="false" ht="15" hidden="false" customHeight="false" outlineLevel="0" collapsed="false">
      <c r="B76" s="5" t="s">
        <v>173</v>
      </c>
      <c r="D76" s="33" t="n">
        <f aca="false">SUM(F76:H76)</f>
        <v>693.58</v>
      </c>
      <c r="F76" s="33" t="n">
        <v>693.58</v>
      </c>
    </row>
    <row r="77" customFormat="false" ht="15" hidden="false" customHeight="false" outlineLevel="0" collapsed="false">
      <c r="B77" s="5" t="s">
        <v>198</v>
      </c>
      <c r="D77" s="33" t="n">
        <f aca="false">SUM(F77:H77)</f>
        <v>3427.41</v>
      </c>
      <c r="F77" s="33" t="n">
        <v>3427.41</v>
      </c>
    </row>
    <row r="78" customFormat="false" ht="15" hidden="false" customHeight="false" outlineLevel="0" collapsed="false">
      <c r="B78" s="5" t="s">
        <v>175</v>
      </c>
      <c r="D78" s="33" t="n">
        <f aca="false">SUM(F78:H78)</f>
        <v>758.85</v>
      </c>
      <c r="F78" s="33" t="n">
        <v>758.85</v>
      </c>
    </row>
    <row r="79" customFormat="false" ht="15" hidden="false" customHeight="false" outlineLevel="0" collapsed="false">
      <c r="B79" s="5" t="s">
        <v>199</v>
      </c>
      <c r="D79" s="33" t="n">
        <f aca="false">SUM(F79:H79)</f>
        <v>43.2</v>
      </c>
      <c r="F79" s="33" t="n">
        <v>43.2</v>
      </c>
    </row>
    <row r="80" customFormat="false" ht="15" hidden="false" customHeight="false" outlineLevel="0" collapsed="false">
      <c r="B80" s="5" t="s">
        <v>200</v>
      </c>
      <c r="D80" s="33" t="n">
        <f aca="false">SUM(F80:H80)</f>
        <v>3682.87</v>
      </c>
      <c r="F80" s="33" t="n">
        <v>3682.87</v>
      </c>
    </row>
    <row r="81" customFormat="false" ht="15" hidden="false" customHeight="false" outlineLevel="0" collapsed="false">
      <c r="B81" s="32" t="s">
        <v>177</v>
      </c>
    </row>
    <row r="82" customFormat="false" ht="15" hidden="false" customHeight="false" outlineLevel="0" collapsed="false">
      <c r="B82" s="5" t="s">
        <v>178</v>
      </c>
      <c r="D82" s="33" t="n">
        <f aca="false">SUM(F82:H82)</f>
        <v>6281.12</v>
      </c>
      <c r="H82" s="33" t="n">
        <v>6281.12</v>
      </c>
    </row>
    <row r="83" customFormat="false" ht="15" hidden="false" customHeight="false" outlineLevel="0" collapsed="false">
      <c r="B83" s="5" t="s">
        <v>179</v>
      </c>
      <c r="D83" s="33" t="n">
        <f aca="false">SUM(F83:H83)</f>
        <v>12157.7</v>
      </c>
      <c r="H83" s="33" t="n">
        <v>12157.7</v>
      </c>
    </row>
    <row r="84" customFormat="false" ht="15" hidden="false" customHeight="false" outlineLevel="0" collapsed="false">
      <c r="B84" s="5" t="s">
        <v>180</v>
      </c>
      <c r="D84" s="33" t="n">
        <f aca="false">SUM(F84:H84)</f>
        <v>7610.53</v>
      </c>
      <c r="H84" s="33" t="n">
        <v>7610.53</v>
      </c>
    </row>
    <row r="85" customFormat="false" ht="15" hidden="false" customHeight="false" outlineLevel="0" collapsed="false">
      <c r="B85" s="5" t="s">
        <v>181</v>
      </c>
      <c r="D85" s="33" t="n">
        <f aca="false">SUM(F85:H85)</f>
        <v>8437.69</v>
      </c>
      <c r="H85" s="33" t="n">
        <v>8437.69</v>
      </c>
    </row>
    <row r="86" customFormat="false" ht="15" hidden="false" customHeight="false" outlineLevel="0" collapsed="false">
      <c r="B86" s="5" t="s">
        <v>182</v>
      </c>
      <c r="D86" s="33" t="n">
        <f aca="false">SUM(F86:H86)</f>
        <v>6775.13</v>
      </c>
      <c r="H86" s="33" t="n">
        <v>6775.13</v>
      </c>
    </row>
    <row r="87" customFormat="false" ht="15" hidden="false" customHeight="false" outlineLevel="0" collapsed="false">
      <c r="B87" s="5" t="s">
        <v>183</v>
      </c>
      <c r="D87" s="33" t="n">
        <f aca="false">SUM(F87:H87)</f>
        <v>378.96</v>
      </c>
      <c r="H87" s="33" t="n">
        <v>378.96</v>
      </c>
    </row>
    <row r="88" customFormat="false" ht="15" hidden="false" customHeight="false" outlineLevel="0" collapsed="false">
      <c r="B88" s="5" t="s">
        <v>184</v>
      </c>
      <c r="D88" s="33" t="n">
        <f aca="false">SUM(F88:H88)</f>
        <v>10712.7</v>
      </c>
      <c r="H88" s="33" t="n">
        <v>10712.7</v>
      </c>
    </row>
    <row r="89" customFormat="false" ht="15" hidden="false" customHeight="false" outlineLevel="0" collapsed="false">
      <c r="B89" s="5" t="s">
        <v>185</v>
      </c>
      <c r="D89" s="33" t="n">
        <f aca="false">SUM(F89:H89)</f>
        <v>5035.68</v>
      </c>
      <c r="H89" s="33" t="n">
        <v>5035.68</v>
      </c>
    </row>
    <row r="90" customFormat="false" ht="15" hidden="false" customHeight="false" outlineLevel="0" collapsed="false">
      <c r="B90" s="5" t="s">
        <v>186</v>
      </c>
      <c r="D90" s="33" t="n">
        <f aca="false">SUM(F90:H90)</f>
        <v>2117.51</v>
      </c>
      <c r="H90" s="33" t="n">
        <v>2117.51</v>
      </c>
    </row>
    <row r="91" customFormat="false" ht="15" hidden="false" customHeight="false" outlineLevel="0" collapsed="false">
      <c r="B91" s="5" t="s">
        <v>187</v>
      </c>
      <c r="D91" s="33" t="n">
        <f aca="false">SUM(F91:H91)</f>
        <v>3536.09</v>
      </c>
      <c r="H91" s="33" t="n">
        <v>3536.09</v>
      </c>
    </row>
    <row r="92" customFormat="false" ht="15" hidden="false" customHeight="false" outlineLevel="0" collapsed="false">
      <c r="B92" s="5" t="s">
        <v>188</v>
      </c>
      <c r="D92" s="33" t="n">
        <f aca="false">SUM(F92:H92)</f>
        <v>8613.79</v>
      </c>
      <c r="H92" s="33" t="n">
        <v>8613.79</v>
      </c>
    </row>
    <row r="93" customFormat="false" ht="15" hidden="false" customHeight="false" outlineLevel="0" collapsed="false">
      <c r="B93" s="5" t="s">
        <v>189</v>
      </c>
      <c r="D93" s="33" t="n">
        <f aca="false">SUM(F93:H93)</f>
        <v>3604.7</v>
      </c>
      <c r="H93" s="33" t="n">
        <v>3604.7</v>
      </c>
    </row>
    <row r="94" customFormat="false" ht="15" hidden="false" customHeight="false" outlineLevel="0" collapsed="false">
      <c r="B94" s="5" t="s">
        <v>190</v>
      </c>
      <c r="D94" s="33" t="n">
        <f aca="false">SUM(F94:H94)</f>
        <v>868.78</v>
      </c>
      <c r="H94" s="33" t="n">
        <v>868.78</v>
      </c>
    </row>
    <row r="95" customFormat="false" ht="15" hidden="false" customHeight="false" outlineLevel="0" collapsed="false">
      <c r="B95" s="5" t="s">
        <v>192</v>
      </c>
      <c r="D95" s="33" t="n">
        <f aca="false">SUM(F95:H95)</f>
        <v>10912.49</v>
      </c>
      <c r="H95" s="33" t="n">
        <v>10912.49</v>
      </c>
    </row>
    <row r="96" customFormat="false" ht="15" hidden="false" customHeight="false" outlineLevel="0" collapsed="false">
      <c r="B96" s="5" t="s">
        <v>193</v>
      </c>
      <c r="D96" s="33" t="n">
        <f aca="false">SUM(F96:H96)</f>
        <v>662.8</v>
      </c>
      <c r="H96" s="33" t="n">
        <v>662.8</v>
      </c>
    </row>
    <row r="97" customFormat="false" ht="15" hidden="false" customHeight="false" outlineLevel="0" collapsed="false">
      <c r="B97" s="5" t="s">
        <v>202</v>
      </c>
      <c r="D97" s="33" t="n">
        <f aca="false">SUM(F97:H97)</f>
        <v>811.57</v>
      </c>
      <c r="H97" s="33" t="n">
        <v>811.57</v>
      </c>
    </row>
    <row r="98" customFormat="false" ht="15" hidden="false" customHeight="false" outlineLevel="0" collapsed="false">
      <c r="B98" s="11" t="s">
        <v>162</v>
      </c>
      <c r="D98" s="34" t="n">
        <f aca="false">SUM(D68:D97)</f>
        <v>115479.14</v>
      </c>
      <c r="F98" s="34" t="n">
        <f aca="false">SUM(F68:F97)</f>
        <v>26961.9</v>
      </c>
      <c r="H98" s="34" t="n">
        <f aca="false">SUM(H68:H97)</f>
        <v>88517.24</v>
      </c>
    </row>
    <row r="99" customFormat="false" ht="15" hidden="false" customHeight="false" outlineLevel="0" collapsed="false">
      <c r="B99" s="30" t="s">
        <v>136</v>
      </c>
      <c r="F99" s="31" t="n">
        <f aca="false">F98/D98</f>
        <v>0.233478531274133</v>
      </c>
      <c r="H99" s="31" t="n">
        <f aca="false">H98/D98</f>
        <v>0.766521468725867</v>
      </c>
    </row>
    <row r="101" customFormat="false" ht="15" hidden="false" customHeight="false" outlineLevel="0" collapsed="false">
      <c r="A101" s="10" t="s">
        <v>157</v>
      </c>
    </row>
    <row r="102" customFormat="false" ht="15" hidden="false" customHeight="false" outlineLevel="0" collapsed="false">
      <c r="B102" s="4" t="s">
        <v>158</v>
      </c>
      <c r="D102" s="4" t="s">
        <v>108</v>
      </c>
      <c r="F102" s="4" t="s">
        <v>165</v>
      </c>
      <c r="H102" s="4" t="s">
        <v>141</v>
      </c>
    </row>
    <row r="103" customFormat="false" ht="15" hidden="false" customHeight="false" outlineLevel="0" collapsed="false">
      <c r="B103" s="5" t="str">
        <f aca="false">'Building 4'!B18</f>
        <v>1 - Buillding - Apt - 5yr</v>
      </c>
      <c r="D103" s="33" t="n">
        <f aca="false">SUM(F103:H103)</f>
        <v>21279.35</v>
      </c>
      <c r="F103" s="33" t="n">
        <f aca="false">'Building 4'!D18</f>
        <v>21279.35</v>
      </c>
    </row>
    <row r="104" customFormat="false" ht="15" hidden="false" customHeight="false" outlineLevel="0" collapsed="false">
      <c r="B104" s="5" t="str">
        <f aca="false">'Building 4'!B19</f>
        <v>1 - Buillding - Apt - 27.5yr</v>
      </c>
      <c r="D104" s="33" t="n">
        <f aca="false">SUM(F104:H104)</f>
        <v>69861.15</v>
      </c>
      <c r="H104" s="33" t="n">
        <f aca="false">'Building 4'!D19</f>
        <v>69861.15</v>
      </c>
    </row>
    <row r="105" customFormat="false" ht="15" hidden="false" customHeight="false" outlineLevel="0" collapsed="false">
      <c r="B105" s="5" t="str">
        <f aca="false">'Building 4'!B20</f>
        <v>5 - Building - Apt - 5yr</v>
      </c>
      <c r="D105" s="33" t="n">
        <f aca="false">SUM(F105:H105)</f>
        <v>38.76</v>
      </c>
      <c r="F105" s="33" t="n">
        <f aca="false">'Building 4'!D20</f>
        <v>38.76</v>
      </c>
    </row>
    <row r="106" customFormat="false" ht="15" hidden="false" customHeight="false" outlineLevel="0" collapsed="false">
      <c r="B106" s="5" t="str">
        <f aca="false">'Building 4'!B21</f>
        <v>5 - Building - Apt - 27.5yr</v>
      </c>
      <c r="D106" s="33" t="n">
        <f aca="false">SUM(F106:H106)</f>
        <v>127.23</v>
      </c>
      <c r="H106" s="33" t="n">
        <f aca="false">'Building 4'!D21</f>
        <v>127.23</v>
      </c>
    </row>
    <row r="107" customFormat="false" ht="15" hidden="false" customHeight="false" outlineLevel="0" collapsed="false">
      <c r="B107" s="5" t="str">
        <f aca="false">'Building 4'!B22</f>
        <v>3 - Land Improvements - Apt 5yr</v>
      </c>
      <c r="D107" s="33" t="n">
        <f aca="false">SUM(F107:H107)</f>
        <v>2007.48</v>
      </c>
      <c r="F107" s="33" t="n">
        <f aca="false">'Building 4'!D22</f>
        <v>2007.48</v>
      </c>
    </row>
    <row r="108" customFormat="false" ht="15" hidden="false" customHeight="false" outlineLevel="0" collapsed="false">
      <c r="B108" s="5" t="str">
        <f aca="false">'Building 4'!B23</f>
        <v>3 - Land Improvements - Apt 27.5yr</v>
      </c>
      <c r="D108" s="33" t="n">
        <f aca="false">SUM(F108:H108)</f>
        <v>6590.67</v>
      </c>
      <c r="H108" s="33" t="n">
        <f aca="false">'Building 4'!D23</f>
        <v>6590.67</v>
      </c>
    </row>
    <row r="109" customFormat="false" ht="15" hidden="false" customHeight="false" outlineLevel="0" collapsed="false">
      <c r="B109" s="5" t="str">
        <f aca="false">'Building 4'!B24</f>
        <v>4 - Equipment - Apt - 5yr</v>
      </c>
      <c r="D109" s="33" t="n">
        <f aca="false">SUM(F109:H109)</f>
        <v>3636.33</v>
      </c>
      <c r="F109" s="33" t="n">
        <f aca="false">'Building 4'!D24</f>
        <v>3636.33</v>
      </c>
    </row>
    <row r="110" customFormat="false" ht="15" hidden="false" customHeight="false" outlineLevel="0" collapsed="false">
      <c r="B110" s="5" t="str">
        <f aca="false">'Building 4'!B25</f>
        <v>4 - Equipment - Apt - 27.5yr</v>
      </c>
      <c r="D110" s="33" t="n">
        <f aca="false">SUM(F110:H110)</f>
        <v>11938.19</v>
      </c>
      <c r="H110" s="33" t="n">
        <f aca="false">'Building 4'!D25</f>
        <v>11938.19</v>
      </c>
    </row>
    <row r="111" customFormat="false" ht="15" hidden="false" customHeight="false" outlineLevel="0" collapsed="false">
      <c r="B111" s="11" t="s">
        <v>159</v>
      </c>
      <c r="D111" s="34" t="n">
        <f aca="false">SUM(D103:D110)</f>
        <v>115479.16</v>
      </c>
      <c r="F111" s="34" t="n">
        <f aca="false">SUM(F103:F110)</f>
        <v>26961.92</v>
      </c>
      <c r="H111" s="34" t="n">
        <f aca="false">SUM(H103:H110)</f>
        <v>88517.24</v>
      </c>
    </row>
    <row r="112" customFormat="false" ht="15" hidden="false" customHeight="false" outlineLevel="0" collapsed="false">
      <c r="B112" s="16" t="s">
        <v>160</v>
      </c>
      <c r="D112" s="17" t="n">
        <f aca="false">D111-D98</f>
        <v>0.0199999999749707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206</v>
      </c>
    </row>
    <row r="5" customFormat="false" ht="15" hidden="false" customHeight="false" outlineLevel="0" collapsed="false">
      <c r="A5" s="16" t="s">
        <v>102</v>
      </c>
    </row>
    <row r="7" customFormat="false" ht="15" hidden="false" customHeight="false" outlineLevel="0" collapsed="false">
      <c r="A7" s="10" t="s">
        <v>103</v>
      </c>
    </row>
    <row r="8" customFormat="false" ht="15" hidden="false" customHeight="false" outlineLevel="0" collapsed="false">
      <c r="A8" s="21" t="s">
        <v>104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105</v>
      </c>
      <c r="B9" s="4" t="s">
        <v>106</v>
      </c>
      <c r="C9" s="4" t="s">
        <v>107</v>
      </c>
      <c r="D9" s="4" t="s">
        <v>108</v>
      </c>
      <c r="E9" s="4" t="s">
        <v>109</v>
      </c>
      <c r="F9" s="4" t="s">
        <v>110</v>
      </c>
      <c r="G9" s="4" t="s">
        <v>111</v>
      </c>
      <c r="H9" s="4" t="s">
        <v>112</v>
      </c>
      <c r="I9" s="4" t="s">
        <v>113</v>
      </c>
      <c r="J9" s="4" t="s">
        <v>114</v>
      </c>
      <c r="K9" s="4" t="s">
        <v>115</v>
      </c>
      <c r="L9" s="4" t="s">
        <v>116</v>
      </c>
    </row>
    <row r="10" customFormat="false" ht="15" hidden="false" customHeight="false" outlineLevel="0" collapsed="false">
      <c r="A10" s="23" t="n">
        <v>1</v>
      </c>
      <c r="B10" s="23" t="s">
        <v>45</v>
      </c>
      <c r="C10" s="23" t="s">
        <v>35</v>
      </c>
      <c r="D10" s="24" t="n">
        <v>116723.12</v>
      </c>
      <c r="E10" s="24" t="n">
        <v>0</v>
      </c>
      <c r="F10" s="24" t="n">
        <v>0</v>
      </c>
      <c r="G10" s="24" t="n">
        <v>34132.24</v>
      </c>
      <c r="H10" s="24" t="n">
        <v>4244.48</v>
      </c>
      <c r="I10" s="24" t="n">
        <f aca="false">G10+H10</f>
        <v>38376.72</v>
      </c>
      <c r="J10" s="24" t="n">
        <f aca="false">D10-I10</f>
        <v>78346.4</v>
      </c>
      <c r="K10" s="25" t="s">
        <v>117</v>
      </c>
      <c r="L10" s="25" t="s">
        <v>118</v>
      </c>
    </row>
    <row r="11" customFormat="false" ht="15" hidden="false" customHeight="false" outlineLevel="0" collapsed="false">
      <c r="A11" s="23" t="n">
        <v>2</v>
      </c>
      <c r="B11" s="23" t="s">
        <v>46</v>
      </c>
      <c r="C11" s="23" t="s">
        <v>37</v>
      </c>
      <c r="D11" s="24" t="n">
        <v>212.58</v>
      </c>
      <c r="E11" s="24" t="n">
        <v>0</v>
      </c>
      <c r="F11" s="24" t="n">
        <v>0</v>
      </c>
      <c r="G11" s="24" t="n">
        <v>61.56</v>
      </c>
      <c r="H11" s="24" t="n">
        <v>7.73</v>
      </c>
      <c r="I11" s="24" t="n">
        <f aca="false">G11+H11</f>
        <v>69.29</v>
      </c>
      <c r="J11" s="24" t="n">
        <f aca="false">D11-I11</f>
        <v>143.29</v>
      </c>
      <c r="K11" s="25" t="s">
        <v>117</v>
      </c>
      <c r="L11" s="25" t="s">
        <v>118</v>
      </c>
    </row>
    <row r="12" customFormat="false" ht="15" hidden="false" customHeight="false" outlineLevel="0" collapsed="false">
      <c r="A12" s="23" t="n">
        <v>3</v>
      </c>
      <c r="B12" s="23" t="s">
        <v>47</v>
      </c>
      <c r="C12" s="23" t="s">
        <v>35</v>
      </c>
      <c r="D12" s="24" t="n">
        <v>11011.6</v>
      </c>
      <c r="E12" s="24" t="n">
        <v>0</v>
      </c>
      <c r="F12" s="24" t="n">
        <v>0</v>
      </c>
      <c r="G12" s="24" t="n">
        <v>6449.13</v>
      </c>
      <c r="H12" s="24" t="n">
        <v>649.69</v>
      </c>
      <c r="I12" s="24" t="n">
        <f aca="false">G12+H12</f>
        <v>7098.82</v>
      </c>
      <c r="J12" s="24" t="n">
        <f aca="false">D12-I12</f>
        <v>3912.78</v>
      </c>
      <c r="K12" s="25" t="s">
        <v>119</v>
      </c>
      <c r="L12" s="25" t="s">
        <v>120</v>
      </c>
    </row>
    <row r="13" customFormat="false" ht="15" hidden="false" customHeight="false" outlineLevel="0" collapsed="false">
      <c r="A13" s="23" t="n">
        <v>4</v>
      </c>
      <c r="B13" s="23" t="s">
        <v>48</v>
      </c>
      <c r="C13" s="23" t="s">
        <v>35</v>
      </c>
      <c r="D13" s="24" t="n">
        <v>19946.17</v>
      </c>
      <c r="E13" s="24" t="n">
        <v>0</v>
      </c>
      <c r="F13" s="24" t="n">
        <v>0</v>
      </c>
      <c r="G13" s="24" t="n">
        <v>19281.3</v>
      </c>
      <c r="H13" s="24" t="n">
        <v>0</v>
      </c>
      <c r="I13" s="24" t="n">
        <f aca="false">G13+H13</f>
        <v>19281.3</v>
      </c>
      <c r="J13" s="24" t="n">
        <f aca="false">D13-I13</f>
        <v>664.869999999999</v>
      </c>
      <c r="K13" s="25" t="s">
        <v>121</v>
      </c>
      <c r="L13" s="25" t="s">
        <v>122</v>
      </c>
    </row>
    <row r="14" customFormat="false" ht="15" hidden="false" customHeight="false" outlineLevel="0" collapsed="false">
      <c r="A14" s="26"/>
      <c r="B14" s="27" t="s">
        <v>53</v>
      </c>
      <c r="C14" s="26"/>
      <c r="D14" s="28" t="n">
        <f aca="false">SUM(D10:D13)</f>
        <v>147893.47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59924.23</v>
      </c>
      <c r="H14" s="28" t="n">
        <f aca="false">SUM(H10:H13)</f>
        <v>4901.9</v>
      </c>
      <c r="I14" s="28" t="n">
        <f aca="false">SUM(I10:I13)</f>
        <v>64826.13</v>
      </c>
      <c r="J14" s="28" t="n">
        <f aca="false">SUM(J10:J13)</f>
        <v>83067.34</v>
      </c>
      <c r="K14" s="26"/>
      <c r="L14" s="26"/>
    </row>
    <row r="16" customFormat="false" ht="15" hidden="false" customHeight="false" outlineLevel="0" collapsed="false">
      <c r="A16" s="21" t="s">
        <v>123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4" t="s">
        <v>105</v>
      </c>
      <c r="B17" s="4" t="s">
        <v>106</v>
      </c>
      <c r="C17" s="4" t="s">
        <v>107</v>
      </c>
      <c r="D17" s="4" t="s">
        <v>108</v>
      </c>
      <c r="E17" s="4" t="s">
        <v>109</v>
      </c>
      <c r="F17" s="4" t="s">
        <v>110</v>
      </c>
      <c r="G17" s="4" t="s">
        <v>111</v>
      </c>
      <c r="H17" s="4" t="s">
        <v>112</v>
      </c>
      <c r="I17" s="4" t="s">
        <v>113</v>
      </c>
      <c r="J17" s="4" t="s">
        <v>114</v>
      </c>
      <c r="K17" s="4" t="s">
        <v>115</v>
      </c>
      <c r="L17" s="4" t="s">
        <v>116</v>
      </c>
    </row>
    <row r="18" customFormat="false" ht="15" hidden="false" customHeight="false" outlineLevel="0" collapsed="false">
      <c r="A18" s="23" t="n">
        <v>1</v>
      </c>
      <c r="B18" s="23" t="s">
        <v>71</v>
      </c>
      <c r="C18" s="23" t="s">
        <v>35</v>
      </c>
      <c r="D18" s="24" t="n">
        <v>24387.48</v>
      </c>
      <c r="E18" s="24" t="n">
        <v>0</v>
      </c>
      <c r="F18" s="24" t="n">
        <v>0</v>
      </c>
      <c r="G18" s="24" t="n">
        <v>24387.48</v>
      </c>
      <c r="H18" s="24" t="n">
        <v>0</v>
      </c>
      <c r="I18" s="24" t="n">
        <f aca="false">G18+H18</f>
        <v>24387.48</v>
      </c>
      <c r="J18" s="24" t="n">
        <f aca="false">D18-I18</f>
        <v>0</v>
      </c>
      <c r="K18" s="25" t="s">
        <v>121</v>
      </c>
      <c r="L18" s="25" t="s">
        <v>122</v>
      </c>
    </row>
    <row r="19" customFormat="false" ht="15" hidden="false" customHeight="false" outlineLevel="0" collapsed="false">
      <c r="A19" s="23" t="n">
        <v>2</v>
      </c>
      <c r="B19" s="23" t="s">
        <v>72</v>
      </c>
      <c r="C19" s="23" t="s">
        <v>35</v>
      </c>
      <c r="D19" s="24" t="n">
        <v>92335.64</v>
      </c>
      <c r="E19" s="24" t="n">
        <v>0</v>
      </c>
      <c r="F19" s="24" t="n">
        <v>0</v>
      </c>
      <c r="G19" s="24" t="n">
        <v>27001.18</v>
      </c>
      <c r="H19" s="24" t="n">
        <v>3357.66</v>
      </c>
      <c r="I19" s="24" t="n">
        <f aca="false">G19+H19</f>
        <v>30358.84</v>
      </c>
      <c r="J19" s="24" t="n">
        <f aca="false">D19-I19</f>
        <v>61976.8</v>
      </c>
      <c r="K19" s="25" t="s">
        <v>117</v>
      </c>
      <c r="L19" s="25" t="s">
        <v>118</v>
      </c>
    </row>
    <row r="20" customFormat="false" ht="15" hidden="false" customHeight="false" outlineLevel="0" collapsed="false">
      <c r="A20" s="23" t="n">
        <v>3</v>
      </c>
      <c r="B20" s="23" t="s">
        <v>73</v>
      </c>
      <c r="C20" s="23" t="s">
        <v>37</v>
      </c>
      <c r="D20" s="24" t="n">
        <v>44.42</v>
      </c>
      <c r="E20" s="24" t="n">
        <v>0</v>
      </c>
      <c r="F20" s="24" t="n">
        <v>0</v>
      </c>
      <c r="G20" s="24" t="n">
        <v>44.42</v>
      </c>
      <c r="H20" s="24" t="n">
        <v>0</v>
      </c>
      <c r="I20" s="24" t="n">
        <f aca="false">G20+H20</f>
        <v>44.42</v>
      </c>
      <c r="J20" s="24" t="n">
        <f aca="false">D20-I20</f>
        <v>0</v>
      </c>
      <c r="K20" s="25" t="s">
        <v>121</v>
      </c>
      <c r="L20" s="25" t="s">
        <v>122</v>
      </c>
    </row>
    <row r="21" customFormat="false" ht="15" hidden="false" customHeight="false" outlineLevel="0" collapsed="false">
      <c r="A21" s="23" t="n">
        <v>4</v>
      </c>
      <c r="B21" s="23" t="s">
        <v>74</v>
      </c>
      <c r="C21" s="23" t="s">
        <v>37</v>
      </c>
      <c r="D21" s="24" t="n">
        <v>168.16</v>
      </c>
      <c r="E21" s="24" t="n">
        <v>0</v>
      </c>
      <c r="F21" s="24" t="n">
        <v>0</v>
      </c>
      <c r="G21" s="24" t="n">
        <v>48.63</v>
      </c>
      <c r="H21" s="24" t="n">
        <v>6.11</v>
      </c>
      <c r="I21" s="24" t="n">
        <f aca="false">G21+H21</f>
        <v>54.74</v>
      </c>
      <c r="J21" s="24" t="n">
        <f aca="false">D21-I21</f>
        <v>113.42</v>
      </c>
      <c r="K21" s="25" t="s">
        <v>117</v>
      </c>
      <c r="L21" s="25" t="s">
        <v>118</v>
      </c>
    </row>
    <row r="22" customFormat="false" ht="15" hidden="false" customHeight="false" outlineLevel="0" collapsed="false">
      <c r="A22" s="23" t="n">
        <v>5</v>
      </c>
      <c r="B22" s="23" t="s">
        <v>75</v>
      </c>
      <c r="C22" s="23" t="s">
        <v>35</v>
      </c>
      <c r="D22" s="24" t="n">
        <v>2300.7</v>
      </c>
      <c r="E22" s="24" t="n">
        <v>0</v>
      </c>
      <c r="F22" s="24" t="n">
        <v>0</v>
      </c>
      <c r="G22" s="24" t="n">
        <v>2300.7</v>
      </c>
      <c r="H22" s="24" t="n">
        <v>0</v>
      </c>
      <c r="I22" s="24" t="n">
        <f aca="false">G22+H22</f>
        <v>2300.7</v>
      </c>
      <c r="J22" s="24" t="n">
        <f aca="false">D22-I22</f>
        <v>0</v>
      </c>
      <c r="K22" s="25" t="s">
        <v>121</v>
      </c>
      <c r="L22" s="25" t="s">
        <v>122</v>
      </c>
    </row>
    <row r="23" customFormat="false" ht="15" hidden="false" customHeight="false" outlineLevel="0" collapsed="false">
      <c r="A23" s="23" t="n">
        <v>6</v>
      </c>
      <c r="B23" s="23" t="s">
        <v>76</v>
      </c>
      <c r="C23" s="23" t="s">
        <v>35</v>
      </c>
      <c r="D23" s="24" t="n">
        <v>8710.9</v>
      </c>
      <c r="E23" s="24" t="n">
        <v>0</v>
      </c>
      <c r="F23" s="24" t="n">
        <v>0</v>
      </c>
      <c r="G23" s="24" t="n">
        <v>2547.28</v>
      </c>
      <c r="H23" s="24" t="n">
        <v>316.76</v>
      </c>
      <c r="I23" s="24" t="n">
        <f aca="false">G23+H23</f>
        <v>2864.04</v>
      </c>
      <c r="J23" s="24" t="n">
        <f aca="false">D23-I23</f>
        <v>5846.86</v>
      </c>
      <c r="K23" s="25" t="s">
        <v>117</v>
      </c>
      <c r="L23" s="25" t="s">
        <v>118</v>
      </c>
    </row>
    <row r="24" customFormat="false" ht="15" hidden="false" customHeight="false" outlineLevel="0" collapsed="false">
      <c r="A24" s="23" t="n">
        <v>7</v>
      </c>
      <c r="B24" s="23" t="s">
        <v>77</v>
      </c>
      <c r="C24" s="23" t="s">
        <v>35</v>
      </c>
      <c r="D24" s="24" t="n">
        <v>4167.44</v>
      </c>
      <c r="E24" s="24" t="n">
        <v>0</v>
      </c>
      <c r="F24" s="24" t="n">
        <v>0</v>
      </c>
      <c r="G24" s="24" t="n">
        <v>4167.44</v>
      </c>
      <c r="H24" s="24" t="n">
        <v>0</v>
      </c>
      <c r="I24" s="24" t="n">
        <f aca="false">G24+H24</f>
        <v>4167.44</v>
      </c>
      <c r="J24" s="24" t="n">
        <f aca="false">D24-I24</f>
        <v>0</v>
      </c>
      <c r="K24" s="25" t="s">
        <v>121</v>
      </c>
      <c r="L24" s="25" t="s">
        <v>122</v>
      </c>
    </row>
    <row r="25" customFormat="false" ht="15" hidden="false" customHeight="false" outlineLevel="0" collapsed="false">
      <c r="A25" s="23" t="n">
        <v>8</v>
      </c>
      <c r="B25" s="23" t="s">
        <v>78</v>
      </c>
      <c r="C25" s="23" t="s">
        <v>35</v>
      </c>
      <c r="D25" s="24" t="n">
        <v>15778.73</v>
      </c>
      <c r="E25" s="24" t="n">
        <v>0</v>
      </c>
      <c r="F25" s="24" t="n">
        <v>0</v>
      </c>
      <c r="G25" s="24" t="n">
        <v>4614.07</v>
      </c>
      <c r="H25" s="24" t="n">
        <v>573.77</v>
      </c>
      <c r="I25" s="24" t="n">
        <f aca="false">G25+H25</f>
        <v>5187.84</v>
      </c>
      <c r="J25" s="24" t="n">
        <f aca="false">D25-I25</f>
        <v>10590.89</v>
      </c>
      <c r="K25" s="25" t="s">
        <v>117</v>
      </c>
      <c r="L25" s="25" t="s">
        <v>118</v>
      </c>
    </row>
    <row r="26" customFormat="false" ht="15" hidden="false" customHeight="false" outlineLevel="0" collapsed="false">
      <c r="A26" s="26"/>
      <c r="B26" s="27" t="s">
        <v>53</v>
      </c>
      <c r="C26" s="26"/>
      <c r="D26" s="28" t="n">
        <f aca="false">SUM(D18:D25)</f>
        <v>147893.47</v>
      </c>
      <c r="E26" s="28" t="n">
        <f aca="false">SUM(E18:E25)</f>
        <v>0</v>
      </c>
      <c r="F26" s="28" t="n">
        <f aca="false">SUM(F18:F25)</f>
        <v>0</v>
      </c>
      <c r="G26" s="28" t="n">
        <f aca="false">SUM(G18:G25)</f>
        <v>65111.2</v>
      </c>
      <c r="H26" s="28" t="n">
        <f aca="false">SUM(H18:H25)</f>
        <v>4254.3</v>
      </c>
      <c r="I26" s="28" t="n">
        <f aca="false">SUM(I18:I25)</f>
        <v>69365.5</v>
      </c>
      <c r="J26" s="28" t="n">
        <f aca="false">SUM(J18:J25)</f>
        <v>78527.97</v>
      </c>
      <c r="K26" s="26"/>
      <c r="L26" s="26"/>
    </row>
    <row r="28" customFormat="false" ht="15" hidden="false" customHeight="false" outlineLevel="0" collapsed="false">
      <c r="B28" s="18" t="s">
        <v>124</v>
      </c>
    </row>
    <row r="29" customFormat="false" ht="15" hidden="false" customHeight="false" outlineLevel="0" collapsed="false">
      <c r="B29" s="5" t="s">
        <v>125</v>
      </c>
      <c r="D29" s="6" t="n">
        <f aca="false">I14</f>
        <v>64826.13</v>
      </c>
    </row>
    <row r="30" customFormat="false" ht="15" hidden="false" customHeight="false" outlineLevel="0" collapsed="false">
      <c r="B30" s="5" t="s">
        <v>126</v>
      </c>
      <c r="D30" s="6" t="n">
        <f aca="false">I26</f>
        <v>69365.5</v>
      </c>
    </row>
    <row r="31" customFormat="false" ht="15" hidden="false" customHeight="false" outlineLevel="0" collapsed="false">
      <c r="B31" s="11" t="s">
        <v>124</v>
      </c>
      <c r="D31" s="29" t="n">
        <f aca="false">D29-D30</f>
        <v>-4539.37</v>
      </c>
    </row>
    <row r="33" customFormat="false" ht="15" hidden="false" customHeight="false" outlineLevel="0" collapsed="false">
      <c r="A33" s="10" t="s">
        <v>127</v>
      </c>
    </row>
    <row r="34" customFormat="false" ht="15" hidden="false" customHeight="false" outlineLevel="0" collapsed="false">
      <c r="A34" s="21" t="s">
        <v>128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4" t="s">
        <v>105</v>
      </c>
      <c r="B35" s="4" t="s">
        <v>106</v>
      </c>
      <c r="C35" s="4" t="s">
        <v>107</v>
      </c>
      <c r="D35" s="4" t="s">
        <v>108</v>
      </c>
      <c r="E35" s="4" t="s">
        <v>109</v>
      </c>
      <c r="F35" s="4" t="s">
        <v>110</v>
      </c>
      <c r="G35" s="4" t="s">
        <v>129</v>
      </c>
      <c r="H35" s="4" t="s">
        <v>130</v>
      </c>
      <c r="I35" s="4" t="s">
        <v>113</v>
      </c>
      <c r="J35" s="4" t="s">
        <v>114</v>
      </c>
      <c r="K35" s="4" t="s">
        <v>115</v>
      </c>
      <c r="L35" s="4" t="s">
        <v>116</v>
      </c>
    </row>
    <row r="36" customFormat="false" ht="15" hidden="false" customHeight="false" outlineLevel="0" collapsed="false">
      <c r="A36" s="23" t="n">
        <v>1</v>
      </c>
      <c r="B36" s="23" t="s">
        <v>45</v>
      </c>
      <c r="C36" s="23" t="s">
        <v>35</v>
      </c>
      <c r="D36" s="24" t="n">
        <v>116723.12</v>
      </c>
      <c r="E36" s="24" t="n">
        <v>0</v>
      </c>
      <c r="F36" s="24" t="n">
        <v>0</v>
      </c>
      <c r="G36" s="24" t="n">
        <v>34132.24</v>
      </c>
      <c r="H36" s="24" t="n">
        <v>4244.48</v>
      </c>
      <c r="I36" s="24" t="n">
        <f aca="false">G36+H36</f>
        <v>38376.72</v>
      </c>
      <c r="J36" s="24" t="n">
        <f aca="false">D36-I36</f>
        <v>78346.4</v>
      </c>
      <c r="K36" s="25" t="s">
        <v>117</v>
      </c>
      <c r="L36" s="25" t="s">
        <v>118</v>
      </c>
    </row>
    <row r="37" customFormat="false" ht="15" hidden="false" customHeight="false" outlineLevel="0" collapsed="false">
      <c r="A37" s="23" t="n">
        <v>2</v>
      </c>
      <c r="B37" s="23" t="s">
        <v>46</v>
      </c>
      <c r="C37" s="23" t="s">
        <v>37</v>
      </c>
      <c r="D37" s="24" t="n">
        <v>212.58</v>
      </c>
      <c r="E37" s="24" t="n">
        <v>0</v>
      </c>
      <c r="F37" s="24" t="n">
        <v>0</v>
      </c>
      <c r="G37" s="24" t="n">
        <v>61.56</v>
      </c>
      <c r="H37" s="24" t="n">
        <v>7.73</v>
      </c>
      <c r="I37" s="24" t="n">
        <f aca="false">G37+H37</f>
        <v>69.29</v>
      </c>
      <c r="J37" s="24" t="n">
        <f aca="false">D37-I37</f>
        <v>143.29</v>
      </c>
      <c r="K37" s="25" t="s">
        <v>117</v>
      </c>
      <c r="L37" s="25" t="s">
        <v>118</v>
      </c>
    </row>
    <row r="38" customFormat="false" ht="15" hidden="false" customHeight="false" outlineLevel="0" collapsed="false">
      <c r="A38" s="23" t="n">
        <v>3</v>
      </c>
      <c r="B38" s="23" t="s">
        <v>47</v>
      </c>
      <c r="C38" s="23" t="s">
        <v>35</v>
      </c>
      <c r="D38" s="24" t="n">
        <v>11011.6</v>
      </c>
      <c r="E38" s="24" t="n">
        <v>0</v>
      </c>
      <c r="F38" s="24" t="n">
        <v>0</v>
      </c>
      <c r="G38" s="24" t="n">
        <v>6449.13</v>
      </c>
      <c r="H38" s="24" t="n">
        <v>649.69</v>
      </c>
      <c r="I38" s="24" t="n">
        <f aca="false">G38+H38</f>
        <v>7098.82</v>
      </c>
      <c r="J38" s="24" t="n">
        <f aca="false">D38-I38</f>
        <v>3912.78</v>
      </c>
      <c r="K38" s="25" t="s">
        <v>119</v>
      </c>
      <c r="L38" s="25" t="s">
        <v>120</v>
      </c>
    </row>
    <row r="39" customFormat="false" ht="15" hidden="false" customHeight="false" outlineLevel="0" collapsed="false">
      <c r="A39" s="23" t="n">
        <v>4</v>
      </c>
      <c r="B39" s="23" t="s">
        <v>48</v>
      </c>
      <c r="C39" s="23" t="s">
        <v>35</v>
      </c>
      <c r="D39" s="24" t="n">
        <v>19946.17</v>
      </c>
      <c r="E39" s="24" t="n">
        <v>0</v>
      </c>
      <c r="F39" s="24" t="n">
        <v>0</v>
      </c>
      <c r="G39" s="24" t="n">
        <v>19281.3</v>
      </c>
      <c r="H39" s="24" t="n">
        <v>0</v>
      </c>
      <c r="I39" s="24" t="n">
        <f aca="false">G39+H39</f>
        <v>19281.3</v>
      </c>
      <c r="J39" s="24" t="n">
        <f aca="false">D39-I39</f>
        <v>664.869999999999</v>
      </c>
      <c r="K39" s="25" t="s">
        <v>121</v>
      </c>
      <c r="L39" s="25" t="s">
        <v>122</v>
      </c>
    </row>
    <row r="40" customFormat="false" ht="15" hidden="false" customHeight="false" outlineLevel="0" collapsed="false">
      <c r="A40" s="26"/>
      <c r="B40" s="27" t="s">
        <v>53</v>
      </c>
      <c r="C40" s="26"/>
      <c r="D40" s="28" t="n">
        <f aca="false">SUM(D36:D39)</f>
        <v>147893.47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59924.23</v>
      </c>
      <c r="H40" s="28" t="n">
        <f aca="false">SUM(H36:H39)</f>
        <v>4901.9</v>
      </c>
      <c r="I40" s="28" t="n">
        <f aca="false">SUM(I36:I39)</f>
        <v>64826.13</v>
      </c>
      <c r="J40" s="28" t="n">
        <f aca="false">SUM(J36:J39)</f>
        <v>83067.34</v>
      </c>
      <c r="K40" s="26"/>
      <c r="L40" s="26"/>
    </row>
    <row r="42" customFormat="false" ht="15" hidden="false" customHeight="false" outlineLevel="0" collapsed="false">
      <c r="A42" s="21" t="s">
        <v>131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4" t="s">
        <v>105</v>
      </c>
      <c r="B43" s="4" t="s">
        <v>106</v>
      </c>
      <c r="C43" s="4" t="s">
        <v>107</v>
      </c>
      <c r="D43" s="4" t="s">
        <v>108</v>
      </c>
      <c r="E43" s="4" t="s">
        <v>109</v>
      </c>
      <c r="F43" s="4" t="s">
        <v>110</v>
      </c>
      <c r="G43" s="4" t="s">
        <v>129</v>
      </c>
      <c r="H43" s="4" t="s">
        <v>130</v>
      </c>
      <c r="I43" s="4" t="s">
        <v>113</v>
      </c>
      <c r="J43" s="4" t="s">
        <v>114</v>
      </c>
      <c r="K43" s="4" t="s">
        <v>115</v>
      </c>
      <c r="L43" s="4" t="s">
        <v>116</v>
      </c>
    </row>
    <row r="44" customFormat="false" ht="15" hidden="false" customHeight="false" outlineLevel="0" collapsed="false">
      <c r="A44" s="23" t="n">
        <v>1</v>
      </c>
      <c r="B44" s="23" t="s">
        <v>71</v>
      </c>
      <c r="C44" s="23" t="s">
        <v>35</v>
      </c>
      <c r="D44" s="24" t="n">
        <v>24387.48</v>
      </c>
      <c r="E44" s="24" t="n">
        <v>0</v>
      </c>
      <c r="F44" s="24" t="n">
        <v>0</v>
      </c>
      <c r="G44" s="24" t="n">
        <v>24387.48</v>
      </c>
      <c r="H44" s="24" t="n">
        <v>0</v>
      </c>
      <c r="I44" s="24" t="n">
        <f aca="false">G44+H44</f>
        <v>24387.48</v>
      </c>
      <c r="J44" s="24" t="n">
        <f aca="false">D44-I44</f>
        <v>0</v>
      </c>
      <c r="K44" s="25" t="s">
        <v>121</v>
      </c>
      <c r="L44" s="25" t="s">
        <v>122</v>
      </c>
    </row>
    <row r="45" customFormat="false" ht="15" hidden="false" customHeight="false" outlineLevel="0" collapsed="false">
      <c r="A45" s="23" t="n">
        <v>2</v>
      </c>
      <c r="B45" s="23" t="s">
        <v>72</v>
      </c>
      <c r="C45" s="23" t="s">
        <v>35</v>
      </c>
      <c r="D45" s="24" t="n">
        <v>92335.64</v>
      </c>
      <c r="E45" s="24" t="n">
        <v>0</v>
      </c>
      <c r="F45" s="24" t="n">
        <v>0</v>
      </c>
      <c r="G45" s="24" t="n">
        <v>27001.18</v>
      </c>
      <c r="H45" s="24" t="n">
        <v>3357.66</v>
      </c>
      <c r="I45" s="24" t="n">
        <f aca="false">G45+H45</f>
        <v>30358.84</v>
      </c>
      <c r="J45" s="24" t="n">
        <f aca="false">D45-I45</f>
        <v>61976.8</v>
      </c>
      <c r="K45" s="25" t="s">
        <v>117</v>
      </c>
      <c r="L45" s="25" t="s">
        <v>118</v>
      </c>
    </row>
    <row r="46" customFormat="false" ht="15" hidden="false" customHeight="false" outlineLevel="0" collapsed="false">
      <c r="A46" s="23" t="n">
        <v>3</v>
      </c>
      <c r="B46" s="23" t="s">
        <v>73</v>
      </c>
      <c r="C46" s="23" t="s">
        <v>37</v>
      </c>
      <c r="D46" s="24" t="n">
        <v>44.42</v>
      </c>
      <c r="E46" s="24" t="n">
        <v>0</v>
      </c>
      <c r="F46" s="24" t="n">
        <v>0</v>
      </c>
      <c r="G46" s="24" t="n">
        <v>44.42</v>
      </c>
      <c r="H46" s="24" t="n">
        <v>0</v>
      </c>
      <c r="I46" s="24" t="n">
        <f aca="false">G46+H46</f>
        <v>44.42</v>
      </c>
      <c r="J46" s="24" t="n">
        <f aca="false">D46-I46</f>
        <v>0</v>
      </c>
      <c r="K46" s="25" t="s">
        <v>121</v>
      </c>
      <c r="L46" s="25" t="s">
        <v>122</v>
      </c>
    </row>
    <row r="47" customFormat="false" ht="15" hidden="false" customHeight="false" outlineLevel="0" collapsed="false">
      <c r="A47" s="23" t="n">
        <v>4</v>
      </c>
      <c r="B47" s="23" t="s">
        <v>74</v>
      </c>
      <c r="C47" s="23" t="s">
        <v>37</v>
      </c>
      <c r="D47" s="24" t="n">
        <v>168.16</v>
      </c>
      <c r="E47" s="24" t="n">
        <v>0</v>
      </c>
      <c r="F47" s="24" t="n">
        <v>0</v>
      </c>
      <c r="G47" s="24" t="n">
        <v>48.63</v>
      </c>
      <c r="H47" s="24" t="n">
        <v>6.11</v>
      </c>
      <c r="I47" s="24" t="n">
        <f aca="false">G47+H47</f>
        <v>54.74</v>
      </c>
      <c r="J47" s="24" t="n">
        <f aca="false">D47-I47</f>
        <v>113.42</v>
      </c>
      <c r="K47" s="25" t="s">
        <v>117</v>
      </c>
      <c r="L47" s="25" t="s">
        <v>118</v>
      </c>
    </row>
    <row r="48" customFormat="false" ht="15" hidden="false" customHeight="false" outlineLevel="0" collapsed="false">
      <c r="A48" s="23" t="n">
        <v>5</v>
      </c>
      <c r="B48" s="23" t="s">
        <v>75</v>
      </c>
      <c r="C48" s="23" t="s">
        <v>35</v>
      </c>
      <c r="D48" s="24" t="n">
        <v>2300.7</v>
      </c>
      <c r="E48" s="24" t="n">
        <v>0</v>
      </c>
      <c r="F48" s="24" t="n">
        <v>0</v>
      </c>
      <c r="G48" s="24" t="n">
        <v>2300.7</v>
      </c>
      <c r="H48" s="24" t="n">
        <v>0</v>
      </c>
      <c r="I48" s="24" t="n">
        <f aca="false">G48+H48</f>
        <v>2300.7</v>
      </c>
      <c r="J48" s="24" t="n">
        <f aca="false">D48-I48</f>
        <v>0</v>
      </c>
      <c r="K48" s="25" t="s">
        <v>121</v>
      </c>
      <c r="L48" s="25" t="s">
        <v>122</v>
      </c>
    </row>
    <row r="49" customFormat="false" ht="15" hidden="false" customHeight="false" outlineLevel="0" collapsed="false">
      <c r="A49" s="23" t="n">
        <v>6</v>
      </c>
      <c r="B49" s="23" t="s">
        <v>76</v>
      </c>
      <c r="C49" s="23" t="s">
        <v>35</v>
      </c>
      <c r="D49" s="24" t="n">
        <v>8710.9</v>
      </c>
      <c r="E49" s="24" t="n">
        <v>0</v>
      </c>
      <c r="F49" s="24" t="n">
        <v>0</v>
      </c>
      <c r="G49" s="24" t="n">
        <v>2547.28</v>
      </c>
      <c r="H49" s="24" t="n">
        <v>316.76</v>
      </c>
      <c r="I49" s="24" t="n">
        <f aca="false">G49+H49</f>
        <v>2864.04</v>
      </c>
      <c r="J49" s="24" t="n">
        <f aca="false">D49-I49</f>
        <v>5846.86</v>
      </c>
      <c r="K49" s="25" t="s">
        <v>117</v>
      </c>
      <c r="L49" s="25" t="s">
        <v>118</v>
      </c>
    </row>
    <row r="50" customFormat="false" ht="15" hidden="false" customHeight="false" outlineLevel="0" collapsed="false">
      <c r="A50" s="23" t="n">
        <v>7</v>
      </c>
      <c r="B50" s="23" t="s">
        <v>77</v>
      </c>
      <c r="C50" s="23" t="s">
        <v>35</v>
      </c>
      <c r="D50" s="24" t="n">
        <v>4167.44</v>
      </c>
      <c r="E50" s="24" t="n">
        <v>0</v>
      </c>
      <c r="F50" s="24" t="n">
        <v>0</v>
      </c>
      <c r="G50" s="24" t="n">
        <v>4167.44</v>
      </c>
      <c r="H50" s="24" t="n">
        <v>0</v>
      </c>
      <c r="I50" s="24" t="n">
        <f aca="false">G50+H50</f>
        <v>4167.44</v>
      </c>
      <c r="J50" s="24" t="n">
        <f aca="false">D50-I50</f>
        <v>0</v>
      </c>
      <c r="K50" s="25" t="s">
        <v>121</v>
      </c>
      <c r="L50" s="25" t="s">
        <v>122</v>
      </c>
    </row>
    <row r="51" customFormat="false" ht="15" hidden="false" customHeight="false" outlineLevel="0" collapsed="false">
      <c r="A51" s="23" t="n">
        <v>8</v>
      </c>
      <c r="B51" s="23" t="s">
        <v>78</v>
      </c>
      <c r="C51" s="23" t="s">
        <v>35</v>
      </c>
      <c r="D51" s="24" t="n">
        <v>15778.73</v>
      </c>
      <c r="E51" s="24" t="n">
        <v>0</v>
      </c>
      <c r="F51" s="24" t="n">
        <v>0</v>
      </c>
      <c r="G51" s="24" t="n">
        <v>4614.07</v>
      </c>
      <c r="H51" s="24" t="n">
        <v>573.77</v>
      </c>
      <c r="I51" s="24" t="n">
        <f aca="false">G51+H51</f>
        <v>5187.84</v>
      </c>
      <c r="J51" s="24" t="n">
        <f aca="false">D51-I51</f>
        <v>10590.89</v>
      </c>
      <c r="K51" s="25" t="s">
        <v>117</v>
      </c>
      <c r="L51" s="25" t="s">
        <v>118</v>
      </c>
    </row>
    <row r="52" customFormat="false" ht="15" hidden="false" customHeight="false" outlineLevel="0" collapsed="false">
      <c r="A52" s="26"/>
      <c r="B52" s="27" t="s">
        <v>53</v>
      </c>
      <c r="C52" s="26"/>
      <c r="D52" s="28" t="n">
        <f aca="false">SUM(D44:D51)</f>
        <v>147893.47</v>
      </c>
      <c r="E52" s="28" t="n">
        <f aca="false">SUM(E44:E51)</f>
        <v>0</v>
      </c>
      <c r="F52" s="28" t="n">
        <f aca="false">SUM(F44:F51)</f>
        <v>0</v>
      </c>
      <c r="G52" s="28" t="n">
        <f aca="false">SUM(G44:G51)</f>
        <v>65111.2</v>
      </c>
      <c r="H52" s="28" t="n">
        <f aca="false">SUM(H44:H51)</f>
        <v>4254.3</v>
      </c>
      <c r="I52" s="28" t="n">
        <f aca="false">SUM(I44:I51)</f>
        <v>69365.5</v>
      </c>
      <c r="J52" s="28" t="n">
        <f aca="false">SUM(J44:J51)</f>
        <v>78527.97</v>
      </c>
      <c r="K52" s="26"/>
      <c r="L52" s="26"/>
    </row>
    <row r="54" customFormat="false" ht="15" hidden="false" customHeight="false" outlineLevel="0" collapsed="false">
      <c r="B54" s="18" t="s">
        <v>132</v>
      </c>
    </row>
    <row r="55" customFormat="false" ht="15" hidden="false" customHeight="false" outlineLevel="0" collapsed="false">
      <c r="B55" s="5" t="s">
        <v>125</v>
      </c>
      <c r="D55" s="6" t="n">
        <f aca="false">I40</f>
        <v>64826.13</v>
      </c>
    </row>
    <row r="56" customFormat="false" ht="15" hidden="false" customHeight="false" outlineLevel="0" collapsed="false">
      <c r="B56" s="5" t="s">
        <v>126</v>
      </c>
      <c r="D56" s="6" t="n">
        <f aca="false">I52</f>
        <v>69365.5</v>
      </c>
    </row>
    <row r="57" customFormat="false" ht="15" hidden="false" customHeight="false" outlineLevel="0" collapsed="false">
      <c r="B57" s="11" t="s">
        <v>132</v>
      </c>
      <c r="D57" s="29" t="n">
        <f aca="false">D55-D56</f>
        <v>-4539.37</v>
      </c>
    </row>
    <row r="59" customFormat="false" ht="15" hidden="false" customHeight="false" outlineLevel="0" collapsed="false">
      <c r="A59" s="10" t="s">
        <v>133</v>
      </c>
    </row>
    <row r="60" customFormat="false" ht="15" hidden="false" customHeight="false" outlineLevel="0" collapsed="false">
      <c r="B60" s="11" t="s">
        <v>162</v>
      </c>
      <c r="D60" s="12" t="n">
        <f aca="false">D98</f>
        <v>147893.47</v>
      </c>
    </row>
    <row r="61" customFormat="false" ht="15" hidden="false" customHeight="false" outlineLevel="0" collapsed="false">
      <c r="B61" s="5" t="s">
        <v>163</v>
      </c>
      <c r="D61" s="6" t="n">
        <f aca="false">F98</f>
        <v>30900.04</v>
      </c>
    </row>
    <row r="62" customFormat="false" ht="15" hidden="false" customHeight="false" outlineLevel="0" collapsed="false">
      <c r="B62" s="30" t="s">
        <v>136</v>
      </c>
      <c r="D62" s="31" t="n">
        <f aca="false">F99</f>
        <v>0.208934444502519</v>
      </c>
    </row>
    <row r="63" customFormat="false" ht="15" hidden="false" customHeight="false" outlineLevel="0" collapsed="false">
      <c r="B63" s="5" t="s">
        <v>164</v>
      </c>
      <c r="D63" s="6" t="n">
        <f aca="false">H98</f>
        <v>116993.43</v>
      </c>
    </row>
    <row r="64" customFormat="false" ht="15" hidden="false" customHeight="false" outlineLevel="0" collapsed="false">
      <c r="B64" s="30" t="s">
        <v>136</v>
      </c>
      <c r="D64" s="31" t="n">
        <f aca="false">H99</f>
        <v>0.791065555497481</v>
      </c>
    </row>
    <row r="66" customFormat="false" ht="15" hidden="false" customHeight="false" outlineLevel="0" collapsed="false">
      <c r="A66" s="10" t="s">
        <v>138</v>
      </c>
    </row>
    <row r="67" customFormat="false" ht="15" hidden="false" customHeight="false" outlineLevel="0" collapsed="false">
      <c r="B67" s="4" t="s">
        <v>139</v>
      </c>
      <c r="D67" s="4" t="s">
        <v>108</v>
      </c>
      <c r="F67" s="4" t="s">
        <v>165</v>
      </c>
      <c r="H67" s="4" t="s">
        <v>141</v>
      </c>
    </row>
    <row r="68" customFormat="false" ht="15" hidden="false" customHeight="false" outlineLevel="0" collapsed="false">
      <c r="B68" s="32" t="s">
        <v>166</v>
      </c>
    </row>
    <row r="69" customFormat="false" ht="15" hidden="false" customHeight="false" outlineLevel="0" collapsed="false">
      <c r="B69" s="5" t="s">
        <v>167</v>
      </c>
      <c r="D69" s="33" t="n">
        <f aca="false">SUM(F69:H69)</f>
        <v>4901.61</v>
      </c>
      <c r="F69" s="33" t="n">
        <v>4901.61</v>
      </c>
    </row>
    <row r="70" customFormat="false" ht="15" hidden="false" customHeight="false" outlineLevel="0" collapsed="false">
      <c r="B70" s="5" t="s">
        <v>168</v>
      </c>
      <c r="D70" s="33" t="n">
        <f aca="false">SUM(F70:H70)</f>
        <v>2185.54</v>
      </c>
      <c r="F70" s="33" t="n">
        <v>2185.54</v>
      </c>
    </row>
    <row r="71" customFormat="false" ht="15" hidden="false" customHeight="false" outlineLevel="0" collapsed="false">
      <c r="B71" s="5" t="s">
        <v>169</v>
      </c>
      <c r="D71" s="33" t="n">
        <f aca="false">SUM(F71:H71)</f>
        <v>11385.26</v>
      </c>
      <c r="F71" s="33" t="n">
        <v>11385.26</v>
      </c>
    </row>
    <row r="72" customFormat="false" ht="15" hidden="false" customHeight="false" outlineLevel="0" collapsed="false">
      <c r="B72" s="5" t="s">
        <v>171</v>
      </c>
      <c r="D72" s="33" t="n">
        <f aca="false">SUM(F72:H72)</f>
        <v>589.62</v>
      </c>
      <c r="F72" s="33" t="n">
        <v>589.62</v>
      </c>
    </row>
    <row r="73" customFormat="false" ht="15" hidden="false" customHeight="false" outlineLevel="0" collapsed="false">
      <c r="B73" s="5" t="s">
        <v>196</v>
      </c>
      <c r="D73" s="33" t="n">
        <f aca="false">SUM(F73:H73)</f>
        <v>183.29</v>
      </c>
      <c r="F73" s="33" t="n">
        <v>183.29</v>
      </c>
    </row>
    <row r="74" customFormat="false" ht="15" hidden="false" customHeight="false" outlineLevel="0" collapsed="false">
      <c r="B74" s="5" t="s">
        <v>197</v>
      </c>
      <c r="D74" s="33" t="n">
        <f aca="false">SUM(F74:H74)</f>
        <v>96.76</v>
      </c>
      <c r="F74" s="33" t="n">
        <v>96.76</v>
      </c>
    </row>
    <row r="75" customFormat="false" ht="15" hidden="false" customHeight="false" outlineLevel="0" collapsed="false">
      <c r="B75" s="5" t="s">
        <v>172</v>
      </c>
      <c r="D75" s="33" t="n">
        <f aca="false">SUM(F75:H75)</f>
        <v>2980.97</v>
      </c>
      <c r="F75" s="33" t="n">
        <v>2980.97</v>
      </c>
    </row>
    <row r="76" customFormat="false" ht="15" hidden="false" customHeight="false" outlineLevel="0" collapsed="false">
      <c r="B76" s="5" t="s">
        <v>173</v>
      </c>
      <c r="D76" s="33" t="n">
        <f aca="false">SUM(F76:H76)</f>
        <v>994.55</v>
      </c>
      <c r="F76" s="33" t="n">
        <v>994.55</v>
      </c>
    </row>
    <row r="77" customFormat="false" ht="15" hidden="false" customHeight="false" outlineLevel="0" collapsed="false">
      <c r="B77" s="5" t="s">
        <v>198</v>
      </c>
      <c r="D77" s="33" t="n">
        <f aca="false">SUM(F77:H77)</f>
        <v>3427.41</v>
      </c>
      <c r="F77" s="33" t="n">
        <v>3427.41</v>
      </c>
    </row>
    <row r="78" customFormat="false" ht="15" hidden="false" customHeight="false" outlineLevel="0" collapsed="false">
      <c r="B78" s="5" t="s">
        <v>175</v>
      </c>
      <c r="D78" s="33" t="n">
        <f aca="false">SUM(F78:H78)</f>
        <v>428.96</v>
      </c>
      <c r="F78" s="33" t="n">
        <v>428.96</v>
      </c>
    </row>
    <row r="79" customFormat="false" ht="15" hidden="false" customHeight="false" outlineLevel="0" collapsed="false">
      <c r="B79" s="5" t="s">
        <v>199</v>
      </c>
      <c r="D79" s="33" t="n">
        <f aca="false">SUM(F79:H79)</f>
        <v>43.2</v>
      </c>
      <c r="F79" s="33" t="n">
        <v>43.2</v>
      </c>
    </row>
    <row r="80" customFormat="false" ht="15" hidden="false" customHeight="false" outlineLevel="0" collapsed="false">
      <c r="B80" s="5" t="s">
        <v>200</v>
      </c>
      <c r="D80" s="33" t="n">
        <f aca="false">SUM(F80:H80)</f>
        <v>3682.87</v>
      </c>
      <c r="F80" s="33" t="n">
        <v>3682.87</v>
      </c>
    </row>
    <row r="81" customFormat="false" ht="15" hidden="false" customHeight="false" outlineLevel="0" collapsed="false">
      <c r="B81" s="32" t="s">
        <v>177</v>
      </c>
    </row>
    <row r="82" customFormat="false" ht="15" hidden="false" customHeight="false" outlineLevel="0" collapsed="false">
      <c r="B82" s="5" t="s">
        <v>178</v>
      </c>
      <c r="D82" s="33" t="n">
        <f aca="false">SUM(F82:H82)</f>
        <v>8561.68</v>
      </c>
      <c r="H82" s="33" t="n">
        <v>8561.68</v>
      </c>
    </row>
    <row r="83" customFormat="false" ht="15" hidden="false" customHeight="false" outlineLevel="0" collapsed="false">
      <c r="B83" s="5" t="s">
        <v>179</v>
      </c>
      <c r="D83" s="33" t="n">
        <f aca="false">SUM(F83:H83)</f>
        <v>16225.62</v>
      </c>
      <c r="H83" s="33" t="n">
        <v>16225.62</v>
      </c>
    </row>
    <row r="84" customFormat="false" ht="15" hidden="false" customHeight="false" outlineLevel="0" collapsed="false">
      <c r="B84" s="5" t="s">
        <v>180</v>
      </c>
      <c r="D84" s="33" t="n">
        <f aca="false">SUM(F84:H84)</f>
        <v>10992.55</v>
      </c>
      <c r="H84" s="33" t="n">
        <v>10992.55</v>
      </c>
    </row>
    <row r="85" customFormat="false" ht="15" hidden="false" customHeight="false" outlineLevel="0" collapsed="false">
      <c r="B85" s="5" t="s">
        <v>181</v>
      </c>
      <c r="D85" s="33" t="n">
        <f aca="false">SUM(F85:H85)</f>
        <v>12099.12</v>
      </c>
      <c r="H85" s="33" t="n">
        <v>12099.12</v>
      </c>
    </row>
    <row r="86" customFormat="false" ht="15" hidden="false" customHeight="false" outlineLevel="0" collapsed="false">
      <c r="B86" s="5" t="s">
        <v>182</v>
      </c>
      <c r="D86" s="33" t="n">
        <f aca="false">SUM(F86:H86)</f>
        <v>9715.1</v>
      </c>
      <c r="H86" s="33" t="n">
        <v>9715.1</v>
      </c>
    </row>
    <row r="87" customFormat="false" ht="15" hidden="false" customHeight="false" outlineLevel="0" collapsed="false">
      <c r="B87" s="5" t="s">
        <v>183</v>
      </c>
      <c r="D87" s="33" t="n">
        <f aca="false">SUM(F87:H87)</f>
        <v>548.48</v>
      </c>
      <c r="H87" s="33" t="n">
        <v>548.48</v>
      </c>
    </row>
    <row r="88" customFormat="false" ht="15" hidden="false" customHeight="false" outlineLevel="0" collapsed="false">
      <c r="B88" s="5" t="s">
        <v>184</v>
      </c>
      <c r="D88" s="33" t="n">
        <f aca="false">SUM(F88:H88)</f>
        <v>12559.71</v>
      </c>
      <c r="H88" s="33" t="n">
        <v>12559.71</v>
      </c>
    </row>
    <row r="89" customFormat="false" ht="15" hidden="false" customHeight="false" outlineLevel="0" collapsed="false">
      <c r="B89" s="5" t="s">
        <v>185</v>
      </c>
      <c r="D89" s="33" t="n">
        <f aca="false">SUM(F89:H89)</f>
        <v>5680.09</v>
      </c>
      <c r="H89" s="33" t="n">
        <v>5680.09</v>
      </c>
    </row>
    <row r="90" customFormat="false" ht="15" hidden="false" customHeight="false" outlineLevel="0" collapsed="false">
      <c r="B90" s="5" t="s">
        <v>186</v>
      </c>
      <c r="D90" s="33" t="n">
        <f aca="false">SUM(F90:H90)</f>
        <v>2911.57</v>
      </c>
      <c r="H90" s="33" t="n">
        <v>2911.57</v>
      </c>
    </row>
    <row r="91" customFormat="false" ht="15" hidden="false" customHeight="false" outlineLevel="0" collapsed="false">
      <c r="B91" s="5" t="s">
        <v>187</v>
      </c>
      <c r="D91" s="33" t="n">
        <f aca="false">SUM(F91:H91)</f>
        <v>5070.55</v>
      </c>
      <c r="H91" s="33" t="n">
        <v>5070.55</v>
      </c>
    </row>
    <row r="92" customFormat="false" ht="15" hidden="false" customHeight="false" outlineLevel="0" collapsed="false">
      <c r="B92" s="5" t="s">
        <v>188</v>
      </c>
      <c r="D92" s="33" t="n">
        <f aca="false">SUM(F92:H92)</f>
        <v>9837.36</v>
      </c>
      <c r="H92" s="33" t="n">
        <v>9837.36</v>
      </c>
    </row>
    <row r="93" customFormat="false" ht="15" hidden="false" customHeight="false" outlineLevel="0" collapsed="false">
      <c r="B93" s="5" t="s">
        <v>189</v>
      </c>
      <c r="D93" s="33" t="n">
        <f aca="false">SUM(F93:H93)</f>
        <v>4408.6</v>
      </c>
      <c r="H93" s="33" t="n">
        <v>4408.6</v>
      </c>
    </row>
    <row r="94" customFormat="false" ht="15" hidden="false" customHeight="false" outlineLevel="0" collapsed="false">
      <c r="B94" s="5" t="s">
        <v>190</v>
      </c>
      <c r="D94" s="33" t="n">
        <f aca="false">SUM(F94:H94)</f>
        <v>1012.22</v>
      </c>
      <c r="H94" s="33" t="n">
        <v>1012.22</v>
      </c>
    </row>
    <row r="95" customFormat="false" ht="15" hidden="false" customHeight="false" outlineLevel="0" collapsed="false">
      <c r="B95" s="5" t="s">
        <v>192</v>
      </c>
      <c r="D95" s="33" t="n">
        <f aca="false">SUM(F95:H95)</f>
        <v>14327.98</v>
      </c>
      <c r="H95" s="33" t="n">
        <v>14327.98</v>
      </c>
    </row>
    <row r="96" customFormat="false" ht="15" hidden="false" customHeight="false" outlineLevel="0" collapsed="false">
      <c r="B96" s="5" t="s">
        <v>193</v>
      </c>
      <c r="D96" s="33" t="n">
        <f aca="false">SUM(F96:H96)</f>
        <v>1332.99</v>
      </c>
      <c r="H96" s="33" t="n">
        <v>1332.99</v>
      </c>
    </row>
    <row r="97" customFormat="false" ht="15" hidden="false" customHeight="false" outlineLevel="0" collapsed="false">
      <c r="B97" s="5" t="s">
        <v>202</v>
      </c>
      <c r="D97" s="33" t="n">
        <f aca="false">SUM(F97:H97)</f>
        <v>1709.81</v>
      </c>
      <c r="H97" s="33" t="n">
        <v>1709.81</v>
      </c>
    </row>
    <row r="98" customFormat="false" ht="15" hidden="false" customHeight="false" outlineLevel="0" collapsed="false">
      <c r="B98" s="11" t="s">
        <v>162</v>
      </c>
      <c r="D98" s="34" t="n">
        <f aca="false">SUM(D68:D97)</f>
        <v>147893.47</v>
      </c>
      <c r="F98" s="34" t="n">
        <f aca="false">SUM(F68:F97)</f>
        <v>30900.04</v>
      </c>
      <c r="H98" s="34" t="n">
        <f aca="false">SUM(H68:H97)</f>
        <v>116993.43</v>
      </c>
    </row>
    <row r="99" customFormat="false" ht="15" hidden="false" customHeight="false" outlineLevel="0" collapsed="false">
      <c r="B99" s="30" t="s">
        <v>136</v>
      </c>
      <c r="F99" s="31" t="n">
        <f aca="false">F98/D98</f>
        <v>0.208934444502519</v>
      </c>
      <c r="H99" s="31" t="n">
        <f aca="false">H98/D98</f>
        <v>0.791065555497481</v>
      </c>
    </row>
    <row r="101" customFormat="false" ht="15" hidden="false" customHeight="false" outlineLevel="0" collapsed="false">
      <c r="A101" s="10" t="s">
        <v>157</v>
      </c>
    </row>
    <row r="102" customFormat="false" ht="15" hidden="false" customHeight="false" outlineLevel="0" collapsed="false">
      <c r="B102" s="4" t="s">
        <v>158</v>
      </c>
      <c r="D102" s="4" t="s">
        <v>108</v>
      </c>
      <c r="F102" s="4" t="s">
        <v>165</v>
      </c>
      <c r="H102" s="4" t="s">
        <v>141</v>
      </c>
    </row>
    <row r="103" customFormat="false" ht="15" hidden="false" customHeight="false" outlineLevel="0" collapsed="false">
      <c r="B103" s="5" t="str">
        <f aca="false">'Building 5'!B18</f>
        <v>1 - Buillding - Apt - 5yr</v>
      </c>
      <c r="D103" s="33" t="n">
        <f aca="false">SUM(F103:H103)</f>
        <v>24387.48</v>
      </c>
      <c r="F103" s="33" t="n">
        <f aca="false">'Building 5'!D18</f>
        <v>24387.48</v>
      </c>
    </row>
    <row r="104" customFormat="false" ht="15" hidden="false" customHeight="false" outlineLevel="0" collapsed="false">
      <c r="B104" s="5" t="str">
        <f aca="false">'Building 5'!B19</f>
        <v>1 - Buillding - Apt - 27.5yr</v>
      </c>
      <c r="D104" s="33" t="n">
        <f aca="false">SUM(F104:H104)</f>
        <v>92335.64</v>
      </c>
      <c r="H104" s="33" t="n">
        <f aca="false">'Building 5'!D19</f>
        <v>92335.64</v>
      </c>
    </row>
    <row r="105" customFormat="false" ht="15" hidden="false" customHeight="false" outlineLevel="0" collapsed="false">
      <c r="B105" s="5" t="str">
        <f aca="false">'Building 5'!B20</f>
        <v>5 - Building - Apt - 5yr</v>
      </c>
      <c r="D105" s="33" t="n">
        <f aca="false">SUM(F105:H105)</f>
        <v>44.42</v>
      </c>
      <c r="F105" s="33" t="n">
        <f aca="false">'Building 5'!D20</f>
        <v>44.42</v>
      </c>
    </row>
    <row r="106" customFormat="false" ht="15" hidden="false" customHeight="false" outlineLevel="0" collapsed="false">
      <c r="B106" s="5" t="str">
        <f aca="false">'Building 5'!B21</f>
        <v>5 - Building - Apt - 27.5yr</v>
      </c>
      <c r="D106" s="33" t="n">
        <f aca="false">SUM(F106:H106)</f>
        <v>168.16</v>
      </c>
      <c r="H106" s="33" t="n">
        <f aca="false">'Building 5'!D21</f>
        <v>168.16</v>
      </c>
    </row>
    <row r="107" customFormat="false" ht="15" hidden="false" customHeight="false" outlineLevel="0" collapsed="false">
      <c r="B107" s="5" t="str">
        <f aca="false">'Building 5'!B22</f>
        <v>3 - Land Improvements - Apt - 5yr</v>
      </c>
      <c r="D107" s="33" t="n">
        <f aca="false">SUM(F107:H107)</f>
        <v>2300.7</v>
      </c>
      <c r="F107" s="33" t="n">
        <f aca="false">'Building 5'!D22</f>
        <v>2300.7</v>
      </c>
    </row>
    <row r="108" customFormat="false" ht="15" hidden="false" customHeight="false" outlineLevel="0" collapsed="false">
      <c r="B108" s="5" t="str">
        <f aca="false">'Building 5'!B23</f>
        <v>3 - Land Improvements - Apt - 27.5yr</v>
      </c>
      <c r="D108" s="33" t="n">
        <f aca="false">SUM(F108:H108)</f>
        <v>8710.9</v>
      </c>
      <c r="H108" s="33" t="n">
        <f aca="false">'Building 5'!D23</f>
        <v>8710.9</v>
      </c>
    </row>
    <row r="109" customFormat="false" ht="15" hidden="false" customHeight="false" outlineLevel="0" collapsed="false">
      <c r="B109" s="5" t="str">
        <f aca="false">'Building 5'!B24</f>
        <v>4 - Equipment - Apt - 5yr</v>
      </c>
      <c r="D109" s="33" t="n">
        <f aca="false">SUM(F109:H109)</f>
        <v>4167.44</v>
      </c>
      <c r="F109" s="33" t="n">
        <f aca="false">'Building 5'!D24</f>
        <v>4167.44</v>
      </c>
    </row>
    <row r="110" customFormat="false" ht="15" hidden="false" customHeight="false" outlineLevel="0" collapsed="false">
      <c r="B110" s="5" t="str">
        <f aca="false">'Building 5'!B25</f>
        <v>4 - Equipment - Apt - 27.5yr</v>
      </c>
      <c r="D110" s="33" t="n">
        <f aca="false">SUM(F110:H110)</f>
        <v>15778.73</v>
      </c>
      <c r="H110" s="33" t="n">
        <f aca="false">'Building 5'!D25</f>
        <v>15778.73</v>
      </c>
    </row>
    <row r="111" customFormat="false" ht="15" hidden="false" customHeight="false" outlineLevel="0" collapsed="false">
      <c r="B111" s="11" t="s">
        <v>159</v>
      </c>
      <c r="D111" s="34" t="n">
        <f aca="false">SUM(D103:D110)</f>
        <v>147893.47</v>
      </c>
      <c r="F111" s="34" t="n">
        <f aca="false">SUM(F103:F110)</f>
        <v>30900.04</v>
      </c>
      <c r="H111" s="34" t="n">
        <f aca="false">SUM(H103:H110)</f>
        <v>116993.43</v>
      </c>
    </row>
    <row r="112" customFormat="false" ht="15" hidden="false" customHeight="false" outlineLevel="0" collapsed="false">
      <c r="B112" s="16" t="s">
        <v>160</v>
      </c>
      <c r="D112" s="17" t="n">
        <f aca="false">D111-D98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207</v>
      </c>
    </row>
    <row r="5" customFormat="false" ht="15" hidden="false" customHeight="false" outlineLevel="0" collapsed="false">
      <c r="A5" s="16" t="s">
        <v>102</v>
      </c>
    </row>
    <row r="7" customFormat="false" ht="15" hidden="false" customHeight="false" outlineLevel="0" collapsed="false">
      <c r="A7" s="10" t="s">
        <v>103</v>
      </c>
    </row>
    <row r="8" customFormat="false" ht="15" hidden="false" customHeight="false" outlineLevel="0" collapsed="false">
      <c r="A8" s="21" t="s">
        <v>104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105</v>
      </c>
      <c r="B9" s="4" t="s">
        <v>106</v>
      </c>
      <c r="C9" s="4" t="s">
        <v>107</v>
      </c>
      <c r="D9" s="4" t="s">
        <v>108</v>
      </c>
      <c r="E9" s="4" t="s">
        <v>109</v>
      </c>
      <c r="F9" s="4" t="s">
        <v>110</v>
      </c>
      <c r="G9" s="4" t="s">
        <v>111</v>
      </c>
      <c r="H9" s="4" t="s">
        <v>112</v>
      </c>
      <c r="I9" s="4" t="s">
        <v>113</v>
      </c>
      <c r="J9" s="4" t="s">
        <v>114</v>
      </c>
      <c r="K9" s="4" t="s">
        <v>115</v>
      </c>
      <c r="L9" s="4" t="s">
        <v>116</v>
      </c>
    </row>
    <row r="10" customFormat="false" ht="15" hidden="false" customHeight="false" outlineLevel="0" collapsed="false">
      <c r="A10" s="23" t="n">
        <v>1</v>
      </c>
      <c r="B10" s="23" t="s">
        <v>45</v>
      </c>
      <c r="C10" s="23" t="s">
        <v>35</v>
      </c>
      <c r="D10" s="24" t="n">
        <v>116723.12</v>
      </c>
      <c r="E10" s="24" t="n">
        <v>0</v>
      </c>
      <c r="F10" s="24" t="n">
        <v>0</v>
      </c>
      <c r="G10" s="24" t="n">
        <v>34132.24</v>
      </c>
      <c r="H10" s="24" t="n">
        <v>4244.48</v>
      </c>
      <c r="I10" s="24" t="n">
        <f aca="false">G10+H10</f>
        <v>38376.72</v>
      </c>
      <c r="J10" s="24" t="n">
        <f aca="false">D10-I10</f>
        <v>78346.4</v>
      </c>
      <c r="K10" s="25" t="s">
        <v>117</v>
      </c>
      <c r="L10" s="25" t="s">
        <v>118</v>
      </c>
    </row>
    <row r="11" customFormat="false" ht="15" hidden="false" customHeight="false" outlineLevel="0" collapsed="false">
      <c r="A11" s="23" t="n">
        <v>2</v>
      </c>
      <c r="B11" s="23" t="s">
        <v>46</v>
      </c>
      <c r="C11" s="23" t="s">
        <v>37</v>
      </c>
      <c r="D11" s="24" t="n">
        <v>212.58</v>
      </c>
      <c r="E11" s="24" t="n">
        <v>0</v>
      </c>
      <c r="F11" s="24" t="n">
        <v>0</v>
      </c>
      <c r="G11" s="24" t="n">
        <v>61.56</v>
      </c>
      <c r="H11" s="24" t="n">
        <v>7.73</v>
      </c>
      <c r="I11" s="24" t="n">
        <f aca="false">G11+H11</f>
        <v>69.29</v>
      </c>
      <c r="J11" s="24" t="n">
        <f aca="false">D11-I11</f>
        <v>143.29</v>
      </c>
      <c r="K11" s="25" t="s">
        <v>117</v>
      </c>
      <c r="L11" s="25" t="s">
        <v>118</v>
      </c>
    </row>
    <row r="12" customFormat="false" ht="15" hidden="false" customHeight="false" outlineLevel="0" collapsed="false">
      <c r="A12" s="23" t="n">
        <v>3</v>
      </c>
      <c r="B12" s="23" t="s">
        <v>47</v>
      </c>
      <c r="C12" s="23" t="s">
        <v>35</v>
      </c>
      <c r="D12" s="24" t="n">
        <v>11011.6</v>
      </c>
      <c r="E12" s="24" t="n">
        <v>0</v>
      </c>
      <c r="F12" s="24" t="n">
        <v>0</v>
      </c>
      <c r="G12" s="24" t="n">
        <v>6449.13</v>
      </c>
      <c r="H12" s="24" t="n">
        <v>649.69</v>
      </c>
      <c r="I12" s="24" t="n">
        <f aca="false">G12+H12</f>
        <v>7098.82</v>
      </c>
      <c r="J12" s="24" t="n">
        <f aca="false">D12-I12</f>
        <v>3912.78</v>
      </c>
      <c r="K12" s="25" t="s">
        <v>119</v>
      </c>
      <c r="L12" s="25" t="s">
        <v>120</v>
      </c>
    </row>
    <row r="13" customFormat="false" ht="15" hidden="false" customHeight="false" outlineLevel="0" collapsed="false">
      <c r="A13" s="23" t="n">
        <v>4</v>
      </c>
      <c r="B13" s="23" t="s">
        <v>48</v>
      </c>
      <c r="C13" s="23" t="s">
        <v>35</v>
      </c>
      <c r="D13" s="24" t="n">
        <v>19946.17</v>
      </c>
      <c r="E13" s="24" t="n">
        <v>0</v>
      </c>
      <c r="F13" s="24" t="n">
        <v>0</v>
      </c>
      <c r="G13" s="24" t="n">
        <v>19281.3</v>
      </c>
      <c r="H13" s="24" t="n">
        <v>0</v>
      </c>
      <c r="I13" s="24" t="n">
        <f aca="false">G13+H13</f>
        <v>19281.3</v>
      </c>
      <c r="J13" s="24" t="n">
        <f aca="false">D13-I13</f>
        <v>664.869999999999</v>
      </c>
      <c r="K13" s="25" t="s">
        <v>121</v>
      </c>
      <c r="L13" s="25" t="s">
        <v>122</v>
      </c>
    </row>
    <row r="14" customFormat="false" ht="15" hidden="false" customHeight="false" outlineLevel="0" collapsed="false">
      <c r="A14" s="26"/>
      <c r="B14" s="27" t="s">
        <v>53</v>
      </c>
      <c r="C14" s="26"/>
      <c r="D14" s="28" t="n">
        <f aca="false">SUM(D10:D13)</f>
        <v>147893.47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59924.23</v>
      </c>
      <c r="H14" s="28" t="n">
        <f aca="false">SUM(H10:H13)</f>
        <v>4901.9</v>
      </c>
      <c r="I14" s="28" t="n">
        <f aca="false">SUM(I10:I13)</f>
        <v>64826.13</v>
      </c>
      <c r="J14" s="28" t="n">
        <f aca="false">SUM(J10:J13)</f>
        <v>83067.34</v>
      </c>
      <c r="K14" s="26"/>
      <c r="L14" s="26"/>
    </row>
    <row r="16" customFormat="false" ht="15" hidden="false" customHeight="false" outlineLevel="0" collapsed="false">
      <c r="A16" s="21" t="s">
        <v>123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4" t="s">
        <v>105</v>
      </c>
      <c r="B17" s="4" t="s">
        <v>106</v>
      </c>
      <c r="C17" s="4" t="s">
        <v>107</v>
      </c>
      <c r="D17" s="4" t="s">
        <v>108</v>
      </c>
      <c r="E17" s="4" t="s">
        <v>109</v>
      </c>
      <c r="F17" s="4" t="s">
        <v>110</v>
      </c>
      <c r="G17" s="4" t="s">
        <v>111</v>
      </c>
      <c r="H17" s="4" t="s">
        <v>112</v>
      </c>
      <c r="I17" s="4" t="s">
        <v>113</v>
      </c>
      <c r="J17" s="4" t="s">
        <v>114</v>
      </c>
      <c r="K17" s="4" t="s">
        <v>115</v>
      </c>
      <c r="L17" s="4" t="s">
        <v>116</v>
      </c>
    </row>
    <row r="18" customFormat="false" ht="15" hidden="false" customHeight="false" outlineLevel="0" collapsed="false">
      <c r="A18" s="23" t="n">
        <v>1</v>
      </c>
      <c r="B18" s="23" t="s">
        <v>71</v>
      </c>
      <c r="C18" s="23" t="s">
        <v>35</v>
      </c>
      <c r="D18" s="24" t="n">
        <v>24387.48</v>
      </c>
      <c r="E18" s="24" t="n">
        <v>0</v>
      </c>
      <c r="F18" s="24" t="n">
        <v>0</v>
      </c>
      <c r="G18" s="24" t="n">
        <v>24387.48</v>
      </c>
      <c r="H18" s="24" t="n">
        <v>0</v>
      </c>
      <c r="I18" s="24" t="n">
        <f aca="false">G18+H18</f>
        <v>24387.48</v>
      </c>
      <c r="J18" s="24" t="n">
        <f aca="false">D18-I18</f>
        <v>0</v>
      </c>
      <c r="K18" s="25" t="s">
        <v>121</v>
      </c>
      <c r="L18" s="25" t="s">
        <v>122</v>
      </c>
    </row>
    <row r="19" customFormat="false" ht="15" hidden="false" customHeight="false" outlineLevel="0" collapsed="false">
      <c r="A19" s="23" t="n">
        <v>2</v>
      </c>
      <c r="B19" s="23" t="s">
        <v>72</v>
      </c>
      <c r="C19" s="23" t="s">
        <v>35</v>
      </c>
      <c r="D19" s="24" t="n">
        <v>92335.64</v>
      </c>
      <c r="E19" s="24" t="n">
        <v>0</v>
      </c>
      <c r="F19" s="24" t="n">
        <v>0</v>
      </c>
      <c r="G19" s="24" t="n">
        <v>27001.18</v>
      </c>
      <c r="H19" s="24" t="n">
        <v>3357.66</v>
      </c>
      <c r="I19" s="24" t="n">
        <f aca="false">G19+H19</f>
        <v>30358.84</v>
      </c>
      <c r="J19" s="24" t="n">
        <f aca="false">D19-I19</f>
        <v>61976.8</v>
      </c>
      <c r="K19" s="25" t="s">
        <v>117</v>
      </c>
      <c r="L19" s="25" t="s">
        <v>118</v>
      </c>
    </row>
    <row r="20" customFormat="false" ht="15" hidden="false" customHeight="false" outlineLevel="0" collapsed="false">
      <c r="A20" s="23" t="n">
        <v>3</v>
      </c>
      <c r="B20" s="23" t="s">
        <v>73</v>
      </c>
      <c r="C20" s="23" t="s">
        <v>37</v>
      </c>
      <c r="D20" s="24" t="n">
        <v>44.42</v>
      </c>
      <c r="E20" s="24" t="n">
        <v>0</v>
      </c>
      <c r="F20" s="24" t="n">
        <v>0</v>
      </c>
      <c r="G20" s="24" t="n">
        <v>44.42</v>
      </c>
      <c r="H20" s="24" t="n">
        <v>0</v>
      </c>
      <c r="I20" s="24" t="n">
        <f aca="false">G20+H20</f>
        <v>44.42</v>
      </c>
      <c r="J20" s="24" t="n">
        <f aca="false">D20-I20</f>
        <v>0</v>
      </c>
      <c r="K20" s="25" t="s">
        <v>121</v>
      </c>
      <c r="L20" s="25" t="s">
        <v>122</v>
      </c>
    </row>
    <row r="21" customFormat="false" ht="15" hidden="false" customHeight="false" outlineLevel="0" collapsed="false">
      <c r="A21" s="23" t="n">
        <v>4</v>
      </c>
      <c r="B21" s="23" t="s">
        <v>74</v>
      </c>
      <c r="C21" s="23" t="s">
        <v>37</v>
      </c>
      <c r="D21" s="24" t="n">
        <v>168.16</v>
      </c>
      <c r="E21" s="24" t="n">
        <v>0</v>
      </c>
      <c r="F21" s="24" t="n">
        <v>0</v>
      </c>
      <c r="G21" s="24" t="n">
        <v>48.63</v>
      </c>
      <c r="H21" s="24" t="n">
        <v>6.11</v>
      </c>
      <c r="I21" s="24" t="n">
        <f aca="false">G21+H21</f>
        <v>54.74</v>
      </c>
      <c r="J21" s="24" t="n">
        <f aca="false">D21-I21</f>
        <v>113.42</v>
      </c>
      <c r="K21" s="25" t="s">
        <v>117</v>
      </c>
      <c r="L21" s="25" t="s">
        <v>118</v>
      </c>
    </row>
    <row r="22" customFormat="false" ht="15" hidden="false" customHeight="false" outlineLevel="0" collapsed="false">
      <c r="A22" s="23" t="n">
        <v>5</v>
      </c>
      <c r="B22" s="23" t="s">
        <v>75</v>
      </c>
      <c r="C22" s="23" t="s">
        <v>35</v>
      </c>
      <c r="D22" s="24" t="n">
        <v>2300.7</v>
      </c>
      <c r="E22" s="24" t="n">
        <v>0</v>
      </c>
      <c r="F22" s="24" t="n">
        <v>0</v>
      </c>
      <c r="G22" s="24" t="n">
        <v>2300.7</v>
      </c>
      <c r="H22" s="24" t="n">
        <v>0</v>
      </c>
      <c r="I22" s="24" t="n">
        <f aca="false">G22+H22</f>
        <v>2300.7</v>
      </c>
      <c r="J22" s="24" t="n">
        <f aca="false">D22-I22</f>
        <v>0</v>
      </c>
      <c r="K22" s="25" t="s">
        <v>121</v>
      </c>
      <c r="L22" s="25" t="s">
        <v>122</v>
      </c>
    </row>
    <row r="23" customFormat="false" ht="15" hidden="false" customHeight="false" outlineLevel="0" collapsed="false">
      <c r="A23" s="23" t="n">
        <v>6</v>
      </c>
      <c r="B23" s="23" t="s">
        <v>76</v>
      </c>
      <c r="C23" s="23" t="s">
        <v>35</v>
      </c>
      <c r="D23" s="24" t="n">
        <v>8710.9</v>
      </c>
      <c r="E23" s="24" t="n">
        <v>0</v>
      </c>
      <c r="F23" s="24" t="n">
        <v>0</v>
      </c>
      <c r="G23" s="24" t="n">
        <v>2547.28</v>
      </c>
      <c r="H23" s="24" t="n">
        <v>316.76</v>
      </c>
      <c r="I23" s="24" t="n">
        <f aca="false">G23+H23</f>
        <v>2864.04</v>
      </c>
      <c r="J23" s="24" t="n">
        <f aca="false">D23-I23</f>
        <v>5846.86</v>
      </c>
      <c r="K23" s="25" t="s">
        <v>117</v>
      </c>
      <c r="L23" s="25" t="s">
        <v>118</v>
      </c>
    </row>
    <row r="24" customFormat="false" ht="15" hidden="false" customHeight="false" outlineLevel="0" collapsed="false">
      <c r="A24" s="23" t="n">
        <v>7</v>
      </c>
      <c r="B24" s="23" t="s">
        <v>77</v>
      </c>
      <c r="C24" s="23" t="s">
        <v>35</v>
      </c>
      <c r="D24" s="24" t="n">
        <v>4167.44</v>
      </c>
      <c r="E24" s="24" t="n">
        <v>0</v>
      </c>
      <c r="F24" s="24" t="n">
        <v>0</v>
      </c>
      <c r="G24" s="24" t="n">
        <v>4167.44</v>
      </c>
      <c r="H24" s="24" t="n">
        <v>0</v>
      </c>
      <c r="I24" s="24" t="n">
        <f aca="false">G24+H24</f>
        <v>4167.44</v>
      </c>
      <c r="J24" s="24" t="n">
        <f aca="false">D24-I24</f>
        <v>0</v>
      </c>
      <c r="K24" s="25" t="s">
        <v>121</v>
      </c>
      <c r="L24" s="25" t="s">
        <v>122</v>
      </c>
    </row>
    <row r="25" customFormat="false" ht="15" hidden="false" customHeight="false" outlineLevel="0" collapsed="false">
      <c r="A25" s="23" t="n">
        <v>8</v>
      </c>
      <c r="B25" s="23" t="s">
        <v>78</v>
      </c>
      <c r="C25" s="23" t="s">
        <v>35</v>
      </c>
      <c r="D25" s="24" t="n">
        <v>15778.73</v>
      </c>
      <c r="E25" s="24" t="n">
        <v>0</v>
      </c>
      <c r="F25" s="24" t="n">
        <v>0</v>
      </c>
      <c r="G25" s="24" t="n">
        <v>4614.07</v>
      </c>
      <c r="H25" s="24" t="n">
        <v>573.77</v>
      </c>
      <c r="I25" s="24" t="n">
        <f aca="false">G25+H25</f>
        <v>5187.84</v>
      </c>
      <c r="J25" s="24" t="n">
        <f aca="false">D25-I25</f>
        <v>10590.89</v>
      </c>
      <c r="K25" s="25" t="s">
        <v>117</v>
      </c>
      <c r="L25" s="25" t="s">
        <v>118</v>
      </c>
    </row>
    <row r="26" customFormat="false" ht="15" hidden="false" customHeight="false" outlineLevel="0" collapsed="false">
      <c r="A26" s="26"/>
      <c r="B26" s="27" t="s">
        <v>53</v>
      </c>
      <c r="C26" s="26"/>
      <c r="D26" s="28" t="n">
        <f aca="false">SUM(D18:D25)</f>
        <v>147893.47</v>
      </c>
      <c r="E26" s="28" t="n">
        <f aca="false">SUM(E18:E25)</f>
        <v>0</v>
      </c>
      <c r="F26" s="28" t="n">
        <f aca="false">SUM(F18:F25)</f>
        <v>0</v>
      </c>
      <c r="G26" s="28" t="n">
        <f aca="false">SUM(G18:G25)</f>
        <v>65111.2</v>
      </c>
      <c r="H26" s="28" t="n">
        <f aca="false">SUM(H18:H25)</f>
        <v>4254.3</v>
      </c>
      <c r="I26" s="28" t="n">
        <f aca="false">SUM(I18:I25)</f>
        <v>69365.5</v>
      </c>
      <c r="J26" s="28" t="n">
        <f aca="false">SUM(J18:J25)</f>
        <v>78527.97</v>
      </c>
      <c r="K26" s="26"/>
      <c r="L26" s="26"/>
    </row>
    <row r="28" customFormat="false" ht="15" hidden="false" customHeight="false" outlineLevel="0" collapsed="false">
      <c r="B28" s="18" t="s">
        <v>124</v>
      </c>
    </row>
    <row r="29" customFormat="false" ht="15" hidden="false" customHeight="false" outlineLevel="0" collapsed="false">
      <c r="B29" s="5" t="s">
        <v>125</v>
      </c>
      <c r="D29" s="6" t="n">
        <f aca="false">I14</f>
        <v>64826.13</v>
      </c>
    </row>
    <row r="30" customFormat="false" ht="15" hidden="false" customHeight="false" outlineLevel="0" collapsed="false">
      <c r="B30" s="5" t="s">
        <v>126</v>
      </c>
      <c r="D30" s="6" t="n">
        <f aca="false">I26</f>
        <v>69365.5</v>
      </c>
    </row>
    <row r="31" customFormat="false" ht="15" hidden="false" customHeight="false" outlineLevel="0" collapsed="false">
      <c r="B31" s="11" t="s">
        <v>124</v>
      </c>
      <c r="D31" s="29" t="n">
        <f aca="false">D29-D30</f>
        <v>-4539.37</v>
      </c>
    </row>
    <row r="33" customFormat="false" ht="15" hidden="false" customHeight="false" outlineLevel="0" collapsed="false">
      <c r="A33" s="10" t="s">
        <v>127</v>
      </c>
    </row>
    <row r="34" customFormat="false" ht="15" hidden="false" customHeight="false" outlineLevel="0" collapsed="false">
      <c r="A34" s="21" t="s">
        <v>128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4" t="s">
        <v>105</v>
      </c>
      <c r="B35" s="4" t="s">
        <v>106</v>
      </c>
      <c r="C35" s="4" t="s">
        <v>107</v>
      </c>
      <c r="D35" s="4" t="s">
        <v>108</v>
      </c>
      <c r="E35" s="4" t="s">
        <v>109</v>
      </c>
      <c r="F35" s="4" t="s">
        <v>110</v>
      </c>
      <c r="G35" s="4" t="s">
        <v>129</v>
      </c>
      <c r="H35" s="4" t="s">
        <v>130</v>
      </c>
      <c r="I35" s="4" t="s">
        <v>113</v>
      </c>
      <c r="J35" s="4" t="s">
        <v>114</v>
      </c>
      <c r="K35" s="4" t="s">
        <v>115</v>
      </c>
      <c r="L35" s="4" t="s">
        <v>116</v>
      </c>
    </row>
    <row r="36" customFormat="false" ht="15" hidden="false" customHeight="false" outlineLevel="0" collapsed="false">
      <c r="A36" s="23" t="n">
        <v>1</v>
      </c>
      <c r="B36" s="23" t="s">
        <v>45</v>
      </c>
      <c r="C36" s="23" t="s">
        <v>35</v>
      </c>
      <c r="D36" s="24" t="n">
        <v>116723.12</v>
      </c>
      <c r="E36" s="24" t="n">
        <v>0</v>
      </c>
      <c r="F36" s="24" t="n">
        <v>0</v>
      </c>
      <c r="G36" s="24" t="n">
        <v>34132.24</v>
      </c>
      <c r="H36" s="24" t="n">
        <v>4244.48</v>
      </c>
      <c r="I36" s="24" t="n">
        <f aca="false">G36+H36</f>
        <v>38376.72</v>
      </c>
      <c r="J36" s="24" t="n">
        <f aca="false">D36-I36</f>
        <v>78346.4</v>
      </c>
      <c r="K36" s="25" t="s">
        <v>117</v>
      </c>
      <c r="L36" s="25" t="s">
        <v>118</v>
      </c>
    </row>
    <row r="37" customFormat="false" ht="15" hidden="false" customHeight="false" outlineLevel="0" collapsed="false">
      <c r="A37" s="23" t="n">
        <v>2</v>
      </c>
      <c r="B37" s="23" t="s">
        <v>46</v>
      </c>
      <c r="C37" s="23" t="s">
        <v>37</v>
      </c>
      <c r="D37" s="24" t="n">
        <v>212.58</v>
      </c>
      <c r="E37" s="24" t="n">
        <v>0</v>
      </c>
      <c r="F37" s="24" t="n">
        <v>0</v>
      </c>
      <c r="G37" s="24" t="n">
        <v>61.56</v>
      </c>
      <c r="H37" s="24" t="n">
        <v>7.73</v>
      </c>
      <c r="I37" s="24" t="n">
        <f aca="false">G37+H37</f>
        <v>69.29</v>
      </c>
      <c r="J37" s="24" t="n">
        <f aca="false">D37-I37</f>
        <v>143.29</v>
      </c>
      <c r="K37" s="25" t="s">
        <v>117</v>
      </c>
      <c r="L37" s="25" t="s">
        <v>118</v>
      </c>
    </row>
    <row r="38" customFormat="false" ht="15" hidden="false" customHeight="false" outlineLevel="0" collapsed="false">
      <c r="A38" s="23" t="n">
        <v>3</v>
      </c>
      <c r="B38" s="23" t="s">
        <v>47</v>
      </c>
      <c r="C38" s="23" t="s">
        <v>35</v>
      </c>
      <c r="D38" s="24" t="n">
        <v>11011.6</v>
      </c>
      <c r="E38" s="24" t="n">
        <v>0</v>
      </c>
      <c r="F38" s="24" t="n">
        <v>0</v>
      </c>
      <c r="G38" s="24" t="n">
        <v>6449.13</v>
      </c>
      <c r="H38" s="24" t="n">
        <v>649.69</v>
      </c>
      <c r="I38" s="24" t="n">
        <f aca="false">G38+H38</f>
        <v>7098.82</v>
      </c>
      <c r="J38" s="24" t="n">
        <f aca="false">D38-I38</f>
        <v>3912.78</v>
      </c>
      <c r="K38" s="25" t="s">
        <v>119</v>
      </c>
      <c r="L38" s="25" t="s">
        <v>120</v>
      </c>
    </row>
    <row r="39" customFormat="false" ht="15" hidden="false" customHeight="false" outlineLevel="0" collapsed="false">
      <c r="A39" s="23" t="n">
        <v>4</v>
      </c>
      <c r="B39" s="23" t="s">
        <v>48</v>
      </c>
      <c r="C39" s="23" t="s">
        <v>35</v>
      </c>
      <c r="D39" s="24" t="n">
        <v>19946.17</v>
      </c>
      <c r="E39" s="24" t="n">
        <v>0</v>
      </c>
      <c r="F39" s="24" t="n">
        <v>0</v>
      </c>
      <c r="G39" s="24" t="n">
        <v>19281.3</v>
      </c>
      <c r="H39" s="24" t="n">
        <v>0</v>
      </c>
      <c r="I39" s="24" t="n">
        <f aca="false">G39+H39</f>
        <v>19281.3</v>
      </c>
      <c r="J39" s="24" t="n">
        <f aca="false">D39-I39</f>
        <v>664.869999999999</v>
      </c>
      <c r="K39" s="25" t="s">
        <v>121</v>
      </c>
      <c r="L39" s="25" t="s">
        <v>122</v>
      </c>
    </row>
    <row r="40" customFormat="false" ht="15" hidden="false" customHeight="false" outlineLevel="0" collapsed="false">
      <c r="A40" s="26"/>
      <c r="B40" s="27" t="s">
        <v>53</v>
      </c>
      <c r="C40" s="26"/>
      <c r="D40" s="28" t="n">
        <f aca="false">SUM(D36:D39)</f>
        <v>147893.47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59924.23</v>
      </c>
      <c r="H40" s="28" t="n">
        <f aca="false">SUM(H36:H39)</f>
        <v>4901.9</v>
      </c>
      <c r="I40" s="28" t="n">
        <f aca="false">SUM(I36:I39)</f>
        <v>64826.13</v>
      </c>
      <c r="J40" s="28" t="n">
        <f aca="false">SUM(J36:J39)</f>
        <v>83067.34</v>
      </c>
      <c r="K40" s="26"/>
      <c r="L40" s="26"/>
    </row>
    <row r="42" customFormat="false" ht="15" hidden="false" customHeight="false" outlineLevel="0" collapsed="false">
      <c r="A42" s="21" t="s">
        <v>131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4" t="s">
        <v>105</v>
      </c>
      <c r="B43" s="4" t="s">
        <v>106</v>
      </c>
      <c r="C43" s="4" t="s">
        <v>107</v>
      </c>
      <c r="D43" s="4" t="s">
        <v>108</v>
      </c>
      <c r="E43" s="4" t="s">
        <v>109</v>
      </c>
      <c r="F43" s="4" t="s">
        <v>110</v>
      </c>
      <c r="G43" s="4" t="s">
        <v>129</v>
      </c>
      <c r="H43" s="4" t="s">
        <v>130</v>
      </c>
      <c r="I43" s="4" t="s">
        <v>113</v>
      </c>
      <c r="J43" s="4" t="s">
        <v>114</v>
      </c>
      <c r="K43" s="4" t="s">
        <v>115</v>
      </c>
      <c r="L43" s="4" t="s">
        <v>116</v>
      </c>
    </row>
    <row r="44" customFormat="false" ht="15" hidden="false" customHeight="false" outlineLevel="0" collapsed="false">
      <c r="A44" s="23" t="n">
        <v>1</v>
      </c>
      <c r="B44" s="23" t="s">
        <v>71</v>
      </c>
      <c r="C44" s="23" t="s">
        <v>35</v>
      </c>
      <c r="D44" s="24" t="n">
        <v>24387.48</v>
      </c>
      <c r="E44" s="24" t="n">
        <v>0</v>
      </c>
      <c r="F44" s="24" t="n">
        <v>0</v>
      </c>
      <c r="G44" s="24" t="n">
        <v>24387.48</v>
      </c>
      <c r="H44" s="24" t="n">
        <v>0</v>
      </c>
      <c r="I44" s="24" t="n">
        <f aca="false">G44+H44</f>
        <v>24387.48</v>
      </c>
      <c r="J44" s="24" t="n">
        <f aca="false">D44-I44</f>
        <v>0</v>
      </c>
      <c r="K44" s="25" t="s">
        <v>121</v>
      </c>
      <c r="L44" s="25" t="s">
        <v>122</v>
      </c>
    </row>
    <row r="45" customFormat="false" ht="15" hidden="false" customHeight="false" outlineLevel="0" collapsed="false">
      <c r="A45" s="23" t="n">
        <v>2</v>
      </c>
      <c r="B45" s="23" t="s">
        <v>72</v>
      </c>
      <c r="C45" s="23" t="s">
        <v>35</v>
      </c>
      <c r="D45" s="24" t="n">
        <v>92335.64</v>
      </c>
      <c r="E45" s="24" t="n">
        <v>0</v>
      </c>
      <c r="F45" s="24" t="n">
        <v>0</v>
      </c>
      <c r="G45" s="24" t="n">
        <v>27001.18</v>
      </c>
      <c r="H45" s="24" t="n">
        <v>3357.66</v>
      </c>
      <c r="I45" s="24" t="n">
        <f aca="false">G45+H45</f>
        <v>30358.84</v>
      </c>
      <c r="J45" s="24" t="n">
        <f aca="false">D45-I45</f>
        <v>61976.8</v>
      </c>
      <c r="K45" s="25" t="s">
        <v>117</v>
      </c>
      <c r="L45" s="25" t="s">
        <v>118</v>
      </c>
    </row>
    <row r="46" customFormat="false" ht="15" hidden="false" customHeight="false" outlineLevel="0" collapsed="false">
      <c r="A46" s="23" t="n">
        <v>3</v>
      </c>
      <c r="B46" s="23" t="s">
        <v>73</v>
      </c>
      <c r="C46" s="23" t="s">
        <v>37</v>
      </c>
      <c r="D46" s="24" t="n">
        <v>44.42</v>
      </c>
      <c r="E46" s="24" t="n">
        <v>0</v>
      </c>
      <c r="F46" s="24" t="n">
        <v>0</v>
      </c>
      <c r="G46" s="24" t="n">
        <v>44.42</v>
      </c>
      <c r="H46" s="24" t="n">
        <v>0</v>
      </c>
      <c r="I46" s="24" t="n">
        <f aca="false">G46+H46</f>
        <v>44.42</v>
      </c>
      <c r="J46" s="24" t="n">
        <f aca="false">D46-I46</f>
        <v>0</v>
      </c>
      <c r="K46" s="25" t="s">
        <v>121</v>
      </c>
      <c r="L46" s="25" t="s">
        <v>122</v>
      </c>
    </row>
    <row r="47" customFormat="false" ht="15" hidden="false" customHeight="false" outlineLevel="0" collapsed="false">
      <c r="A47" s="23" t="n">
        <v>4</v>
      </c>
      <c r="B47" s="23" t="s">
        <v>74</v>
      </c>
      <c r="C47" s="23" t="s">
        <v>37</v>
      </c>
      <c r="D47" s="24" t="n">
        <v>168.16</v>
      </c>
      <c r="E47" s="24" t="n">
        <v>0</v>
      </c>
      <c r="F47" s="24" t="n">
        <v>0</v>
      </c>
      <c r="G47" s="24" t="n">
        <v>48.63</v>
      </c>
      <c r="H47" s="24" t="n">
        <v>6.11</v>
      </c>
      <c r="I47" s="24" t="n">
        <f aca="false">G47+H47</f>
        <v>54.74</v>
      </c>
      <c r="J47" s="24" t="n">
        <f aca="false">D47-I47</f>
        <v>113.42</v>
      </c>
      <c r="K47" s="25" t="s">
        <v>117</v>
      </c>
      <c r="L47" s="25" t="s">
        <v>118</v>
      </c>
    </row>
    <row r="48" customFormat="false" ht="15" hidden="false" customHeight="false" outlineLevel="0" collapsed="false">
      <c r="A48" s="23" t="n">
        <v>5</v>
      </c>
      <c r="B48" s="23" t="s">
        <v>75</v>
      </c>
      <c r="C48" s="23" t="s">
        <v>35</v>
      </c>
      <c r="D48" s="24" t="n">
        <v>2300.7</v>
      </c>
      <c r="E48" s="24" t="n">
        <v>0</v>
      </c>
      <c r="F48" s="24" t="n">
        <v>0</v>
      </c>
      <c r="G48" s="24" t="n">
        <v>2300.7</v>
      </c>
      <c r="H48" s="24" t="n">
        <v>0</v>
      </c>
      <c r="I48" s="24" t="n">
        <f aca="false">G48+H48</f>
        <v>2300.7</v>
      </c>
      <c r="J48" s="24" t="n">
        <f aca="false">D48-I48</f>
        <v>0</v>
      </c>
      <c r="K48" s="25" t="s">
        <v>121</v>
      </c>
      <c r="L48" s="25" t="s">
        <v>122</v>
      </c>
    </row>
    <row r="49" customFormat="false" ht="15" hidden="false" customHeight="false" outlineLevel="0" collapsed="false">
      <c r="A49" s="23" t="n">
        <v>6</v>
      </c>
      <c r="B49" s="23" t="s">
        <v>76</v>
      </c>
      <c r="C49" s="23" t="s">
        <v>35</v>
      </c>
      <c r="D49" s="24" t="n">
        <v>8710.9</v>
      </c>
      <c r="E49" s="24" t="n">
        <v>0</v>
      </c>
      <c r="F49" s="24" t="n">
        <v>0</v>
      </c>
      <c r="G49" s="24" t="n">
        <v>2547.28</v>
      </c>
      <c r="H49" s="24" t="n">
        <v>316.76</v>
      </c>
      <c r="I49" s="24" t="n">
        <f aca="false">G49+H49</f>
        <v>2864.04</v>
      </c>
      <c r="J49" s="24" t="n">
        <f aca="false">D49-I49</f>
        <v>5846.86</v>
      </c>
      <c r="K49" s="25" t="s">
        <v>117</v>
      </c>
      <c r="L49" s="25" t="s">
        <v>118</v>
      </c>
    </row>
    <row r="50" customFormat="false" ht="15" hidden="false" customHeight="false" outlineLevel="0" collapsed="false">
      <c r="A50" s="23" t="n">
        <v>7</v>
      </c>
      <c r="B50" s="23" t="s">
        <v>77</v>
      </c>
      <c r="C50" s="23" t="s">
        <v>35</v>
      </c>
      <c r="D50" s="24" t="n">
        <v>4167.44</v>
      </c>
      <c r="E50" s="24" t="n">
        <v>0</v>
      </c>
      <c r="F50" s="24" t="n">
        <v>0</v>
      </c>
      <c r="G50" s="24" t="n">
        <v>4167.44</v>
      </c>
      <c r="H50" s="24" t="n">
        <v>0</v>
      </c>
      <c r="I50" s="24" t="n">
        <f aca="false">G50+H50</f>
        <v>4167.44</v>
      </c>
      <c r="J50" s="24" t="n">
        <f aca="false">D50-I50</f>
        <v>0</v>
      </c>
      <c r="K50" s="25" t="s">
        <v>121</v>
      </c>
      <c r="L50" s="25" t="s">
        <v>122</v>
      </c>
    </row>
    <row r="51" customFormat="false" ht="15" hidden="false" customHeight="false" outlineLevel="0" collapsed="false">
      <c r="A51" s="23" t="n">
        <v>8</v>
      </c>
      <c r="B51" s="23" t="s">
        <v>78</v>
      </c>
      <c r="C51" s="23" t="s">
        <v>35</v>
      </c>
      <c r="D51" s="24" t="n">
        <v>15778.73</v>
      </c>
      <c r="E51" s="24" t="n">
        <v>0</v>
      </c>
      <c r="F51" s="24" t="n">
        <v>0</v>
      </c>
      <c r="G51" s="24" t="n">
        <v>4614.07</v>
      </c>
      <c r="H51" s="24" t="n">
        <v>573.77</v>
      </c>
      <c r="I51" s="24" t="n">
        <f aca="false">G51+H51</f>
        <v>5187.84</v>
      </c>
      <c r="J51" s="24" t="n">
        <f aca="false">D51-I51</f>
        <v>10590.89</v>
      </c>
      <c r="K51" s="25" t="s">
        <v>117</v>
      </c>
      <c r="L51" s="25" t="s">
        <v>118</v>
      </c>
    </row>
    <row r="52" customFormat="false" ht="15" hidden="false" customHeight="false" outlineLevel="0" collapsed="false">
      <c r="A52" s="26"/>
      <c r="B52" s="27" t="s">
        <v>53</v>
      </c>
      <c r="C52" s="26"/>
      <c r="D52" s="28" t="n">
        <f aca="false">SUM(D44:D51)</f>
        <v>147893.47</v>
      </c>
      <c r="E52" s="28" t="n">
        <f aca="false">SUM(E44:E51)</f>
        <v>0</v>
      </c>
      <c r="F52" s="28" t="n">
        <f aca="false">SUM(F44:F51)</f>
        <v>0</v>
      </c>
      <c r="G52" s="28" t="n">
        <f aca="false">SUM(G44:G51)</f>
        <v>65111.2</v>
      </c>
      <c r="H52" s="28" t="n">
        <f aca="false">SUM(H44:H51)</f>
        <v>4254.3</v>
      </c>
      <c r="I52" s="28" t="n">
        <f aca="false">SUM(I44:I51)</f>
        <v>69365.5</v>
      </c>
      <c r="J52" s="28" t="n">
        <f aca="false">SUM(J44:J51)</f>
        <v>78527.97</v>
      </c>
      <c r="K52" s="26"/>
      <c r="L52" s="26"/>
    </row>
    <row r="54" customFormat="false" ht="15" hidden="false" customHeight="false" outlineLevel="0" collapsed="false">
      <c r="B54" s="18" t="s">
        <v>132</v>
      </c>
    </row>
    <row r="55" customFormat="false" ht="15" hidden="false" customHeight="false" outlineLevel="0" collapsed="false">
      <c r="B55" s="5" t="s">
        <v>125</v>
      </c>
      <c r="D55" s="6" t="n">
        <f aca="false">I40</f>
        <v>64826.13</v>
      </c>
    </row>
    <row r="56" customFormat="false" ht="15" hidden="false" customHeight="false" outlineLevel="0" collapsed="false">
      <c r="B56" s="5" t="s">
        <v>126</v>
      </c>
      <c r="D56" s="6" t="n">
        <f aca="false">I52</f>
        <v>69365.5</v>
      </c>
    </row>
    <row r="57" customFormat="false" ht="15" hidden="false" customHeight="false" outlineLevel="0" collapsed="false">
      <c r="B57" s="11" t="s">
        <v>132</v>
      </c>
      <c r="D57" s="29" t="n">
        <f aca="false">D55-D56</f>
        <v>-4539.37</v>
      </c>
    </row>
    <row r="59" customFormat="false" ht="15" hidden="false" customHeight="false" outlineLevel="0" collapsed="false">
      <c r="A59" s="10" t="s">
        <v>133</v>
      </c>
    </row>
    <row r="60" customFormat="false" ht="15" hidden="false" customHeight="false" outlineLevel="0" collapsed="false">
      <c r="B60" s="11" t="s">
        <v>162</v>
      </c>
      <c r="D60" s="12" t="n">
        <f aca="false">D98</f>
        <v>147893.47</v>
      </c>
    </row>
    <row r="61" customFormat="false" ht="15" hidden="false" customHeight="false" outlineLevel="0" collapsed="false">
      <c r="B61" s="5" t="s">
        <v>163</v>
      </c>
      <c r="D61" s="6" t="n">
        <f aca="false">F98</f>
        <v>30900.04</v>
      </c>
    </row>
    <row r="62" customFormat="false" ht="15" hidden="false" customHeight="false" outlineLevel="0" collapsed="false">
      <c r="B62" s="30" t="s">
        <v>136</v>
      </c>
      <c r="D62" s="31" t="n">
        <f aca="false">F99</f>
        <v>0.208934444502519</v>
      </c>
    </row>
    <row r="63" customFormat="false" ht="15" hidden="false" customHeight="false" outlineLevel="0" collapsed="false">
      <c r="B63" s="5" t="s">
        <v>164</v>
      </c>
      <c r="D63" s="6" t="n">
        <f aca="false">H98</f>
        <v>116993.43</v>
      </c>
    </row>
    <row r="64" customFormat="false" ht="15" hidden="false" customHeight="false" outlineLevel="0" collapsed="false">
      <c r="B64" s="30" t="s">
        <v>136</v>
      </c>
      <c r="D64" s="31" t="n">
        <f aca="false">H99</f>
        <v>0.791065555497481</v>
      </c>
    </row>
    <row r="66" customFormat="false" ht="15" hidden="false" customHeight="false" outlineLevel="0" collapsed="false">
      <c r="A66" s="10" t="s">
        <v>138</v>
      </c>
    </row>
    <row r="67" customFormat="false" ht="15" hidden="false" customHeight="false" outlineLevel="0" collapsed="false">
      <c r="B67" s="4" t="s">
        <v>139</v>
      </c>
      <c r="D67" s="4" t="s">
        <v>108</v>
      </c>
      <c r="F67" s="4" t="s">
        <v>165</v>
      </c>
      <c r="H67" s="4" t="s">
        <v>141</v>
      </c>
    </row>
    <row r="68" customFormat="false" ht="15" hidden="false" customHeight="false" outlineLevel="0" collapsed="false">
      <c r="B68" s="32" t="s">
        <v>166</v>
      </c>
    </row>
    <row r="69" customFormat="false" ht="15" hidden="false" customHeight="false" outlineLevel="0" collapsed="false">
      <c r="B69" s="5" t="s">
        <v>167</v>
      </c>
      <c r="D69" s="33" t="n">
        <f aca="false">SUM(F69:H69)</f>
        <v>4901.61</v>
      </c>
      <c r="F69" s="33" t="n">
        <v>4901.61</v>
      </c>
    </row>
    <row r="70" customFormat="false" ht="15" hidden="false" customHeight="false" outlineLevel="0" collapsed="false">
      <c r="B70" s="5" t="s">
        <v>168</v>
      </c>
      <c r="D70" s="33" t="n">
        <f aca="false">SUM(F70:H70)</f>
        <v>2185.54</v>
      </c>
      <c r="F70" s="33" t="n">
        <v>2185.54</v>
      </c>
    </row>
    <row r="71" customFormat="false" ht="15" hidden="false" customHeight="false" outlineLevel="0" collapsed="false">
      <c r="B71" s="5" t="s">
        <v>169</v>
      </c>
      <c r="D71" s="33" t="n">
        <f aca="false">SUM(F71:H71)</f>
        <v>11385.26</v>
      </c>
      <c r="F71" s="33" t="n">
        <v>11385.26</v>
      </c>
    </row>
    <row r="72" customFormat="false" ht="15" hidden="false" customHeight="false" outlineLevel="0" collapsed="false">
      <c r="B72" s="5" t="s">
        <v>171</v>
      </c>
      <c r="D72" s="33" t="n">
        <f aca="false">SUM(F72:H72)</f>
        <v>589.62</v>
      </c>
      <c r="F72" s="33" t="n">
        <v>589.62</v>
      </c>
    </row>
    <row r="73" customFormat="false" ht="15" hidden="false" customHeight="false" outlineLevel="0" collapsed="false">
      <c r="B73" s="5" t="s">
        <v>196</v>
      </c>
      <c r="D73" s="33" t="n">
        <f aca="false">SUM(F73:H73)</f>
        <v>183.29</v>
      </c>
      <c r="F73" s="33" t="n">
        <v>183.29</v>
      </c>
    </row>
    <row r="74" customFormat="false" ht="15" hidden="false" customHeight="false" outlineLevel="0" collapsed="false">
      <c r="B74" s="5" t="s">
        <v>197</v>
      </c>
      <c r="D74" s="33" t="n">
        <f aca="false">SUM(F74:H74)</f>
        <v>96.76</v>
      </c>
      <c r="F74" s="33" t="n">
        <v>96.76</v>
      </c>
    </row>
    <row r="75" customFormat="false" ht="15" hidden="false" customHeight="false" outlineLevel="0" collapsed="false">
      <c r="B75" s="5" t="s">
        <v>172</v>
      </c>
      <c r="D75" s="33" t="n">
        <f aca="false">SUM(F75:H75)</f>
        <v>2980.97</v>
      </c>
      <c r="F75" s="33" t="n">
        <v>2980.97</v>
      </c>
    </row>
    <row r="76" customFormat="false" ht="15" hidden="false" customHeight="false" outlineLevel="0" collapsed="false">
      <c r="B76" s="5" t="s">
        <v>173</v>
      </c>
      <c r="D76" s="33" t="n">
        <f aca="false">SUM(F76:H76)</f>
        <v>994.55</v>
      </c>
      <c r="F76" s="33" t="n">
        <v>994.55</v>
      </c>
    </row>
    <row r="77" customFormat="false" ht="15" hidden="false" customHeight="false" outlineLevel="0" collapsed="false">
      <c r="B77" s="5" t="s">
        <v>198</v>
      </c>
      <c r="D77" s="33" t="n">
        <f aca="false">SUM(F77:H77)</f>
        <v>3427.41</v>
      </c>
      <c r="F77" s="33" t="n">
        <v>3427.41</v>
      </c>
    </row>
    <row r="78" customFormat="false" ht="15" hidden="false" customHeight="false" outlineLevel="0" collapsed="false">
      <c r="B78" s="5" t="s">
        <v>175</v>
      </c>
      <c r="D78" s="33" t="n">
        <f aca="false">SUM(F78:H78)</f>
        <v>428.96</v>
      </c>
      <c r="F78" s="33" t="n">
        <v>428.96</v>
      </c>
    </row>
    <row r="79" customFormat="false" ht="15" hidden="false" customHeight="false" outlineLevel="0" collapsed="false">
      <c r="B79" s="5" t="s">
        <v>199</v>
      </c>
      <c r="D79" s="33" t="n">
        <f aca="false">SUM(F79:H79)</f>
        <v>43.2</v>
      </c>
      <c r="F79" s="33" t="n">
        <v>43.2</v>
      </c>
    </row>
    <row r="80" customFormat="false" ht="15" hidden="false" customHeight="false" outlineLevel="0" collapsed="false">
      <c r="B80" s="5" t="s">
        <v>200</v>
      </c>
      <c r="D80" s="33" t="n">
        <f aca="false">SUM(F80:H80)</f>
        <v>3682.87</v>
      </c>
      <c r="F80" s="33" t="n">
        <v>3682.87</v>
      </c>
    </row>
    <row r="81" customFormat="false" ht="15" hidden="false" customHeight="false" outlineLevel="0" collapsed="false">
      <c r="B81" s="32" t="s">
        <v>177</v>
      </c>
    </row>
    <row r="82" customFormat="false" ht="15" hidden="false" customHeight="false" outlineLevel="0" collapsed="false">
      <c r="B82" s="5" t="s">
        <v>178</v>
      </c>
      <c r="D82" s="33" t="n">
        <f aca="false">SUM(F82:H82)</f>
        <v>8561.68</v>
      </c>
      <c r="H82" s="33" t="n">
        <v>8561.68</v>
      </c>
    </row>
    <row r="83" customFormat="false" ht="15" hidden="false" customHeight="false" outlineLevel="0" collapsed="false">
      <c r="B83" s="5" t="s">
        <v>179</v>
      </c>
      <c r="D83" s="33" t="n">
        <f aca="false">SUM(F83:H83)</f>
        <v>16225.62</v>
      </c>
      <c r="H83" s="33" t="n">
        <v>16225.62</v>
      </c>
    </row>
    <row r="84" customFormat="false" ht="15" hidden="false" customHeight="false" outlineLevel="0" collapsed="false">
      <c r="B84" s="5" t="s">
        <v>180</v>
      </c>
      <c r="D84" s="33" t="n">
        <f aca="false">SUM(F84:H84)</f>
        <v>10992.55</v>
      </c>
      <c r="H84" s="33" t="n">
        <v>10992.55</v>
      </c>
    </row>
    <row r="85" customFormat="false" ht="15" hidden="false" customHeight="false" outlineLevel="0" collapsed="false">
      <c r="B85" s="5" t="s">
        <v>181</v>
      </c>
      <c r="D85" s="33" t="n">
        <f aca="false">SUM(F85:H85)</f>
        <v>12099.12</v>
      </c>
      <c r="H85" s="33" t="n">
        <v>12099.12</v>
      </c>
    </row>
    <row r="86" customFormat="false" ht="15" hidden="false" customHeight="false" outlineLevel="0" collapsed="false">
      <c r="B86" s="5" t="s">
        <v>182</v>
      </c>
      <c r="D86" s="33" t="n">
        <f aca="false">SUM(F86:H86)</f>
        <v>9715.1</v>
      </c>
      <c r="H86" s="33" t="n">
        <v>9715.1</v>
      </c>
    </row>
    <row r="87" customFormat="false" ht="15" hidden="false" customHeight="false" outlineLevel="0" collapsed="false">
      <c r="B87" s="5" t="s">
        <v>183</v>
      </c>
      <c r="D87" s="33" t="n">
        <f aca="false">SUM(F87:H87)</f>
        <v>548.48</v>
      </c>
      <c r="H87" s="33" t="n">
        <v>548.48</v>
      </c>
    </row>
    <row r="88" customFormat="false" ht="15" hidden="false" customHeight="false" outlineLevel="0" collapsed="false">
      <c r="B88" s="5" t="s">
        <v>184</v>
      </c>
      <c r="D88" s="33" t="n">
        <f aca="false">SUM(F88:H88)</f>
        <v>12559.71</v>
      </c>
      <c r="H88" s="33" t="n">
        <v>12559.71</v>
      </c>
    </row>
    <row r="89" customFormat="false" ht="15" hidden="false" customHeight="false" outlineLevel="0" collapsed="false">
      <c r="B89" s="5" t="s">
        <v>185</v>
      </c>
      <c r="D89" s="33" t="n">
        <f aca="false">SUM(F89:H89)</f>
        <v>5680.09</v>
      </c>
      <c r="H89" s="33" t="n">
        <v>5680.09</v>
      </c>
    </row>
    <row r="90" customFormat="false" ht="15" hidden="false" customHeight="false" outlineLevel="0" collapsed="false">
      <c r="B90" s="5" t="s">
        <v>186</v>
      </c>
      <c r="D90" s="33" t="n">
        <f aca="false">SUM(F90:H90)</f>
        <v>2911.57</v>
      </c>
      <c r="H90" s="33" t="n">
        <v>2911.57</v>
      </c>
    </row>
    <row r="91" customFormat="false" ht="15" hidden="false" customHeight="false" outlineLevel="0" collapsed="false">
      <c r="B91" s="5" t="s">
        <v>187</v>
      </c>
      <c r="D91" s="33" t="n">
        <f aca="false">SUM(F91:H91)</f>
        <v>5070.55</v>
      </c>
      <c r="H91" s="33" t="n">
        <v>5070.55</v>
      </c>
    </row>
    <row r="92" customFormat="false" ht="15" hidden="false" customHeight="false" outlineLevel="0" collapsed="false">
      <c r="B92" s="5" t="s">
        <v>188</v>
      </c>
      <c r="D92" s="33" t="n">
        <f aca="false">SUM(F92:H92)</f>
        <v>9837.36</v>
      </c>
      <c r="H92" s="33" t="n">
        <v>9837.36</v>
      </c>
    </row>
    <row r="93" customFormat="false" ht="15" hidden="false" customHeight="false" outlineLevel="0" collapsed="false">
      <c r="B93" s="5" t="s">
        <v>189</v>
      </c>
      <c r="D93" s="33" t="n">
        <f aca="false">SUM(F93:H93)</f>
        <v>4408.6</v>
      </c>
      <c r="H93" s="33" t="n">
        <v>4408.6</v>
      </c>
    </row>
    <row r="94" customFormat="false" ht="15" hidden="false" customHeight="false" outlineLevel="0" collapsed="false">
      <c r="B94" s="5" t="s">
        <v>190</v>
      </c>
      <c r="D94" s="33" t="n">
        <f aca="false">SUM(F94:H94)</f>
        <v>1012.22</v>
      </c>
      <c r="H94" s="33" t="n">
        <v>1012.22</v>
      </c>
    </row>
    <row r="95" customFormat="false" ht="15" hidden="false" customHeight="false" outlineLevel="0" collapsed="false">
      <c r="B95" s="5" t="s">
        <v>192</v>
      </c>
      <c r="D95" s="33" t="n">
        <f aca="false">SUM(F95:H95)</f>
        <v>14327.98</v>
      </c>
      <c r="H95" s="33" t="n">
        <v>14327.98</v>
      </c>
    </row>
    <row r="96" customFormat="false" ht="15" hidden="false" customHeight="false" outlineLevel="0" collapsed="false">
      <c r="B96" s="5" t="s">
        <v>193</v>
      </c>
      <c r="D96" s="33" t="n">
        <f aca="false">SUM(F96:H96)</f>
        <v>1332.99</v>
      </c>
      <c r="H96" s="33" t="n">
        <v>1332.99</v>
      </c>
    </row>
    <row r="97" customFormat="false" ht="15" hidden="false" customHeight="false" outlineLevel="0" collapsed="false">
      <c r="B97" s="5" t="s">
        <v>202</v>
      </c>
      <c r="D97" s="33" t="n">
        <f aca="false">SUM(F97:H97)</f>
        <v>1709.81</v>
      </c>
      <c r="H97" s="33" t="n">
        <v>1709.81</v>
      </c>
    </row>
    <row r="98" customFormat="false" ht="15" hidden="false" customHeight="false" outlineLevel="0" collapsed="false">
      <c r="B98" s="11" t="s">
        <v>162</v>
      </c>
      <c r="D98" s="34" t="n">
        <f aca="false">SUM(D68:D97)</f>
        <v>147893.47</v>
      </c>
      <c r="F98" s="34" t="n">
        <f aca="false">SUM(F68:F97)</f>
        <v>30900.04</v>
      </c>
      <c r="H98" s="34" t="n">
        <f aca="false">SUM(H68:H97)</f>
        <v>116993.43</v>
      </c>
    </row>
    <row r="99" customFormat="false" ht="15" hidden="false" customHeight="false" outlineLevel="0" collapsed="false">
      <c r="B99" s="30" t="s">
        <v>136</v>
      </c>
      <c r="F99" s="31" t="n">
        <f aca="false">F98/D98</f>
        <v>0.208934444502519</v>
      </c>
      <c r="H99" s="31" t="n">
        <f aca="false">H98/D98</f>
        <v>0.791065555497481</v>
      </c>
    </row>
    <row r="101" customFormat="false" ht="15" hidden="false" customHeight="false" outlineLevel="0" collapsed="false">
      <c r="A101" s="10" t="s">
        <v>157</v>
      </c>
    </row>
    <row r="102" customFormat="false" ht="15" hidden="false" customHeight="false" outlineLevel="0" collapsed="false">
      <c r="B102" s="4" t="s">
        <v>158</v>
      </c>
      <c r="D102" s="4" t="s">
        <v>108</v>
      </c>
      <c r="F102" s="4" t="s">
        <v>165</v>
      </c>
      <c r="H102" s="4" t="s">
        <v>141</v>
      </c>
    </row>
    <row r="103" customFormat="false" ht="15" hidden="false" customHeight="false" outlineLevel="0" collapsed="false">
      <c r="B103" s="5" t="str">
        <f aca="false">'Building 6'!B18</f>
        <v>1 - Buillding - Apt - 5yr</v>
      </c>
      <c r="D103" s="33" t="n">
        <f aca="false">SUM(F103:H103)</f>
        <v>24387.48</v>
      </c>
      <c r="F103" s="33" t="n">
        <f aca="false">'Building 6'!D18</f>
        <v>24387.48</v>
      </c>
    </row>
    <row r="104" customFormat="false" ht="15" hidden="false" customHeight="false" outlineLevel="0" collapsed="false">
      <c r="B104" s="5" t="str">
        <f aca="false">'Building 6'!B19</f>
        <v>1 - Buillding - Apt - 27.5yr</v>
      </c>
      <c r="D104" s="33" t="n">
        <f aca="false">SUM(F104:H104)</f>
        <v>92335.64</v>
      </c>
      <c r="H104" s="33" t="n">
        <f aca="false">'Building 6'!D19</f>
        <v>92335.64</v>
      </c>
    </row>
    <row r="105" customFormat="false" ht="15" hidden="false" customHeight="false" outlineLevel="0" collapsed="false">
      <c r="B105" s="5" t="str">
        <f aca="false">'Building 6'!B20</f>
        <v>5 - Building - Apt - 5yr</v>
      </c>
      <c r="D105" s="33" t="n">
        <f aca="false">SUM(F105:H105)</f>
        <v>44.42</v>
      </c>
      <c r="F105" s="33" t="n">
        <f aca="false">'Building 6'!D20</f>
        <v>44.42</v>
      </c>
    </row>
    <row r="106" customFormat="false" ht="15" hidden="false" customHeight="false" outlineLevel="0" collapsed="false">
      <c r="B106" s="5" t="str">
        <f aca="false">'Building 6'!B21</f>
        <v>5 - Building - Apt - 27.5yr</v>
      </c>
      <c r="D106" s="33" t="n">
        <f aca="false">SUM(F106:H106)</f>
        <v>168.16</v>
      </c>
      <c r="H106" s="33" t="n">
        <f aca="false">'Building 6'!D21</f>
        <v>168.16</v>
      </c>
    </row>
    <row r="107" customFormat="false" ht="15" hidden="false" customHeight="false" outlineLevel="0" collapsed="false">
      <c r="B107" s="5" t="str">
        <f aca="false">'Building 6'!B22</f>
        <v>3 - Land Improvements - Apt - 5yr</v>
      </c>
      <c r="D107" s="33" t="n">
        <f aca="false">SUM(F107:H107)</f>
        <v>2300.7</v>
      </c>
      <c r="F107" s="33" t="n">
        <f aca="false">'Building 6'!D22</f>
        <v>2300.7</v>
      </c>
    </row>
    <row r="108" customFormat="false" ht="15" hidden="false" customHeight="false" outlineLevel="0" collapsed="false">
      <c r="B108" s="5" t="str">
        <f aca="false">'Building 6'!B23</f>
        <v>3 - Land Improvements - Apt - 27.5yr</v>
      </c>
      <c r="D108" s="33" t="n">
        <f aca="false">SUM(F108:H108)</f>
        <v>8710.9</v>
      </c>
      <c r="H108" s="33" t="n">
        <f aca="false">'Building 6'!D23</f>
        <v>8710.9</v>
      </c>
    </row>
    <row r="109" customFormat="false" ht="15" hidden="false" customHeight="false" outlineLevel="0" collapsed="false">
      <c r="B109" s="5" t="str">
        <f aca="false">'Building 6'!B24</f>
        <v>4 - Equipment - Apt - 5yr</v>
      </c>
      <c r="D109" s="33" t="n">
        <f aca="false">SUM(F109:H109)</f>
        <v>4167.44</v>
      </c>
      <c r="F109" s="33" t="n">
        <f aca="false">'Building 6'!D24</f>
        <v>4167.44</v>
      </c>
    </row>
    <row r="110" customFormat="false" ht="15" hidden="false" customHeight="false" outlineLevel="0" collapsed="false">
      <c r="B110" s="5" t="str">
        <f aca="false">'Building 6'!B25</f>
        <v>4 - Equipment - Apt - 27.5yr</v>
      </c>
      <c r="D110" s="33" t="n">
        <f aca="false">SUM(F110:H110)</f>
        <v>15778.73</v>
      </c>
      <c r="H110" s="33" t="n">
        <f aca="false">'Building 6'!D25</f>
        <v>15778.73</v>
      </c>
    </row>
    <row r="111" customFormat="false" ht="15" hidden="false" customHeight="false" outlineLevel="0" collapsed="false">
      <c r="B111" s="11" t="s">
        <v>159</v>
      </c>
      <c r="D111" s="34" t="n">
        <f aca="false">SUM(D103:D110)</f>
        <v>147893.47</v>
      </c>
      <c r="F111" s="34" t="n">
        <f aca="false">SUM(F103:F110)</f>
        <v>30900.04</v>
      </c>
      <c r="H111" s="34" t="n">
        <f aca="false">SUM(H103:H110)</f>
        <v>116993.43</v>
      </c>
    </row>
    <row r="112" customFormat="false" ht="15" hidden="false" customHeight="false" outlineLevel="0" collapsed="false">
      <c r="B112" s="16" t="s">
        <v>160</v>
      </c>
      <c r="D112" s="17" t="n">
        <f aca="false">D111-D98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208</v>
      </c>
    </row>
    <row r="5" customFormat="false" ht="15" hidden="false" customHeight="false" outlineLevel="0" collapsed="false">
      <c r="A5" s="16" t="s">
        <v>102</v>
      </c>
    </row>
    <row r="7" customFormat="false" ht="15" hidden="false" customHeight="false" outlineLevel="0" collapsed="false">
      <c r="A7" s="10" t="s">
        <v>103</v>
      </c>
    </row>
    <row r="8" customFormat="false" ht="15" hidden="false" customHeight="false" outlineLevel="0" collapsed="false">
      <c r="A8" s="21" t="s">
        <v>104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105</v>
      </c>
      <c r="B9" s="4" t="s">
        <v>106</v>
      </c>
      <c r="C9" s="4" t="s">
        <v>107</v>
      </c>
      <c r="D9" s="4" t="s">
        <v>108</v>
      </c>
      <c r="E9" s="4" t="s">
        <v>109</v>
      </c>
      <c r="F9" s="4" t="s">
        <v>110</v>
      </c>
      <c r="G9" s="4" t="s">
        <v>111</v>
      </c>
      <c r="H9" s="4" t="s">
        <v>112</v>
      </c>
      <c r="I9" s="4" t="s">
        <v>113</v>
      </c>
      <c r="J9" s="4" t="s">
        <v>114</v>
      </c>
      <c r="K9" s="4" t="s">
        <v>115</v>
      </c>
      <c r="L9" s="4" t="s">
        <v>116</v>
      </c>
    </row>
    <row r="10" customFormat="false" ht="15" hidden="false" customHeight="false" outlineLevel="0" collapsed="false">
      <c r="A10" s="23" t="n">
        <v>1</v>
      </c>
      <c r="B10" s="23" t="s">
        <v>45</v>
      </c>
      <c r="C10" s="23" t="s">
        <v>35</v>
      </c>
      <c r="D10" s="24" t="n">
        <v>116723.12</v>
      </c>
      <c r="E10" s="24" t="n">
        <v>0</v>
      </c>
      <c r="F10" s="24" t="n">
        <v>0</v>
      </c>
      <c r="G10" s="24" t="n">
        <v>34132.24</v>
      </c>
      <c r="H10" s="24" t="n">
        <v>4244.48</v>
      </c>
      <c r="I10" s="24" t="n">
        <f aca="false">G10+H10</f>
        <v>38376.72</v>
      </c>
      <c r="J10" s="24" t="n">
        <f aca="false">D10-I10</f>
        <v>78346.4</v>
      </c>
      <c r="K10" s="25" t="s">
        <v>117</v>
      </c>
      <c r="L10" s="25" t="s">
        <v>118</v>
      </c>
    </row>
    <row r="11" customFormat="false" ht="15" hidden="false" customHeight="false" outlineLevel="0" collapsed="false">
      <c r="A11" s="23" t="n">
        <v>2</v>
      </c>
      <c r="B11" s="23" t="s">
        <v>46</v>
      </c>
      <c r="C11" s="23" t="s">
        <v>37</v>
      </c>
      <c r="D11" s="24" t="n">
        <v>212.58</v>
      </c>
      <c r="E11" s="24" t="n">
        <v>0</v>
      </c>
      <c r="F11" s="24" t="n">
        <v>0</v>
      </c>
      <c r="G11" s="24" t="n">
        <v>61.56</v>
      </c>
      <c r="H11" s="24" t="n">
        <v>7.73</v>
      </c>
      <c r="I11" s="24" t="n">
        <f aca="false">G11+H11</f>
        <v>69.29</v>
      </c>
      <c r="J11" s="24" t="n">
        <f aca="false">D11-I11</f>
        <v>143.29</v>
      </c>
      <c r="K11" s="25" t="s">
        <v>117</v>
      </c>
      <c r="L11" s="25" t="s">
        <v>118</v>
      </c>
    </row>
    <row r="12" customFormat="false" ht="15" hidden="false" customHeight="false" outlineLevel="0" collapsed="false">
      <c r="A12" s="23" t="n">
        <v>3</v>
      </c>
      <c r="B12" s="23" t="s">
        <v>47</v>
      </c>
      <c r="C12" s="23" t="s">
        <v>35</v>
      </c>
      <c r="D12" s="24" t="n">
        <v>11011.6</v>
      </c>
      <c r="E12" s="24" t="n">
        <v>0</v>
      </c>
      <c r="F12" s="24" t="n">
        <v>0</v>
      </c>
      <c r="G12" s="24" t="n">
        <v>6449.13</v>
      </c>
      <c r="H12" s="24" t="n">
        <v>649.69</v>
      </c>
      <c r="I12" s="24" t="n">
        <f aca="false">G12+H12</f>
        <v>7098.82</v>
      </c>
      <c r="J12" s="24" t="n">
        <f aca="false">D12-I12</f>
        <v>3912.78</v>
      </c>
      <c r="K12" s="25" t="s">
        <v>119</v>
      </c>
      <c r="L12" s="25" t="s">
        <v>120</v>
      </c>
    </row>
    <row r="13" customFormat="false" ht="15" hidden="false" customHeight="false" outlineLevel="0" collapsed="false">
      <c r="A13" s="23" t="n">
        <v>4</v>
      </c>
      <c r="B13" s="23" t="s">
        <v>48</v>
      </c>
      <c r="C13" s="23" t="s">
        <v>35</v>
      </c>
      <c r="D13" s="24" t="n">
        <v>19946.17</v>
      </c>
      <c r="E13" s="24" t="n">
        <v>0</v>
      </c>
      <c r="F13" s="24" t="n">
        <v>0</v>
      </c>
      <c r="G13" s="24" t="n">
        <v>19281.3</v>
      </c>
      <c r="H13" s="24" t="n">
        <v>0</v>
      </c>
      <c r="I13" s="24" t="n">
        <f aca="false">G13+H13</f>
        <v>19281.3</v>
      </c>
      <c r="J13" s="24" t="n">
        <f aca="false">D13-I13</f>
        <v>664.869999999999</v>
      </c>
      <c r="K13" s="25" t="s">
        <v>121</v>
      </c>
      <c r="L13" s="25" t="s">
        <v>122</v>
      </c>
    </row>
    <row r="14" customFormat="false" ht="15" hidden="false" customHeight="false" outlineLevel="0" collapsed="false">
      <c r="A14" s="26"/>
      <c r="B14" s="27" t="s">
        <v>53</v>
      </c>
      <c r="C14" s="26"/>
      <c r="D14" s="28" t="n">
        <f aca="false">SUM(D10:D13)</f>
        <v>147893.47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59924.23</v>
      </c>
      <c r="H14" s="28" t="n">
        <f aca="false">SUM(H10:H13)</f>
        <v>4901.9</v>
      </c>
      <c r="I14" s="28" t="n">
        <f aca="false">SUM(I10:I13)</f>
        <v>64826.13</v>
      </c>
      <c r="J14" s="28" t="n">
        <f aca="false">SUM(J10:J13)</f>
        <v>83067.34</v>
      </c>
      <c r="K14" s="26"/>
      <c r="L14" s="26"/>
    </row>
    <row r="16" customFormat="false" ht="15" hidden="false" customHeight="false" outlineLevel="0" collapsed="false">
      <c r="A16" s="21" t="s">
        <v>123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4" t="s">
        <v>105</v>
      </c>
      <c r="B17" s="4" t="s">
        <v>106</v>
      </c>
      <c r="C17" s="4" t="s">
        <v>107</v>
      </c>
      <c r="D17" s="4" t="s">
        <v>108</v>
      </c>
      <c r="E17" s="4" t="s">
        <v>109</v>
      </c>
      <c r="F17" s="4" t="s">
        <v>110</v>
      </c>
      <c r="G17" s="4" t="s">
        <v>111</v>
      </c>
      <c r="H17" s="4" t="s">
        <v>112</v>
      </c>
      <c r="I17" s="4" t="s">
        <v>113</v>
      </c>
      <c r="J17" s="4" t="s">
        <v>114</v>
      </c>
      <c r="K17" s="4" t="s">
        <v>115</v>
      </c>
      <c r="L17" s="4" t="s">
        <v>116</v>
      </c>
    </row>
    <row r="18" customFormat="false" ht="15" hidden="false" customHeight="false" outlineLevel="0" collapsed="false">
      <c r="A18" s="23" t="n">
        <v>1</v>
      </c>
      <c r="B18" s="23" t="s">
        <v>71</v>
      </c>
      <c r="C18" s="23" t="s">
        <v>35</v>
      </c>
      <c r="D18" s="24" t="n">
        <v>24387.48</v>
      </c>
      <c r="E18" s="24" t="n">
        <v>0</v>
      </c>
      <c r="F18" s="24" t="n">
        <v>0</v>
      </c>
      <c r="G18" s="24" t="n">
        <v>24387.48</v>
      </c>
      <c r="H18" s="24" t="n">
        <v>0</v>
      </c>
      <c r="I18" s="24" t="n">
        <f aca="false">G18+H18</f>
        <v>24387.48</v>
      </c>
      <c r="J18" s="24" t="n">
        <f aca="false">D18-I18</f>
        <v>0</v>
      </c>
      <c r="K18" s="25" t="s">
        <v>121</v>
      </c>
      <c r="L18" s="25" t="s">
        <v>122</v>
      </c>
    </row>
    <row r="19" customFormat="false" ht="15" hidden="false" customHeight="false" outlineLevel="0" collapsed="false">
      <c r="A19" s="23" t="n">
        <v>2</v>
      </c>
      <c r="B19" s="23" t="s">
        <v>72</v>
      </c>
      <c r="C19" s="23" t="s">
        <v>35</v>
      </c>
      <c r="D19" s="24" t="n">
        <v>92335.64</v>
      </c>
      <c r="E19" s="24" t="n">
        <v>0</v>
      </c>
      <c r="F19" s="24" t="n">
        <v>0</v>
      </c>
      <c r="G19" s="24" t="n">
        <v>27001.18</v>
      </c>
      <c r="H19" s="24" t="n">
        <v>3357.66</v>
      </c>
      <c r="I19" s="24" t="n">
        <f aca="false">G19+H19</f>
        <v>30358.84</v>
      </c>
      <c r="J19" s="24" t="n">
        <f aca="false">D19-I19</f>
        <v>61976.8</v>
      </c>
      <c r="K19" s="25" t="s">
        <v>117</v>
      </c>
      <c r="L19" s="25" t="s">
        <v>118</v>
      </c>
    </row>
    <row r="20" customFormat="false" ht="15" hidden="false" customHeight="false" outlineLevel="0" collapsed="false">
      <c r="A20" s="23" t="n">
        <v>3</v>
      </c>
      <c r="B20" s="23" t="s">
        <v>73</v>
      </c>
      <c r="C20" s="23" t="s">
        <v>37</v>
      </c>
      <c r="D20" s="24" t="n">
        <v>44.42</v>
      </c>
      <c r="E20" s="24" t="n">
        <v>0</v>
      </c>
      <c r="F20" s="24" t="n">
        <v>0</v>
      </c>
      <c r="G20" s="24" t="n">
        <v>44.42</v>
      </c>
      <c r="H20" s="24" t="n">
        <v>0</v>
      </c>
      <c r="I20" s="24" t="n">
        <f aca="false">G20+H20</f>
        <v>44.42</v>
      </c>
      <c r="J20" s="24" t="n">
        <f aca="false">D20-I20</f>
        <v>0</v>
      </c>
      <c r="K20" s="25" t="s">
        <v>121</v>
      </c>
      <c r="L20" s="25" t="s">
        <v>122</v>
      </c>
    </row>
    <row r="21" customFormat="false" ht="15" hidden="false" customHeight="false" outlineLevel="0" collapsed="false">
      <c r="A21" s="23" t="n">
        <v>4</v>
      </c>
      <c r="B21" s="23" t="s">
        <v>74</v>
      </c>
      <c r="C21" s="23" t="s">
        <v>37</v>
      </c>
      <c r="D21" s="24" t="n">
        <v>168.16</v>
      </c>
      <c r="E21" s="24" t="n">
        <v>0</v>
      </c>
      <c r="F21" s="24" t="n">
        <v>0</v>
      </c>
      <c r="G21" s="24" t="n">
        <v>48.63</v>
      </c>
      <c r="H21" s="24" t="n">
        <v>6.11</v>
      </c>
      <c r="I21" s="24" t="n">
        <f aca="false">G21+H21</f>
        <v>54.74</v>
      </c>
      <c r="J21" s="24" t="n">
        <f aca="false">D21-I21</f>
        <v>113.42</v>
      </c>
      <c r="K21" s="25" t="s">
        <v>117</v>
      </c>
      <c r="L21" s="25" t="s">
        <v>118</v>
      </c>
    </row>
    <row r="22" customFormat="false" ht="15" hidden="false" customHeight="false" outlineLevel="0" collapsed="false">
      <c r="A22" s="23" t="n">
        <v>5</v>
      </c>
      <c r="B22" s="23" t="s">
        <v>75</v>
      </c>
      <c r="C22" s="23" t="s">
        <v>35</v>
      </c>
      <c r="D22" s="24" t="n">
        <v>2300.7</v>
      </c>
      <c r="E22" s="24" t="n">
        <v>0</v>
      </c>
      <c r="F22" s="24" t="n">
        <v>0</v>
      </c>
      <c r="G22" s="24" t="n">
        <v>2300.7</v>
      </c>
      <c r="H22" s="24" t="n">
        <v>0</v>
      </c>
      <c r="I22" s="24" t="n">
        <f aca="false">G22+H22</f>
        <v>2300.7</v>
      </c>
      <c r="J22" s="24" t="n">
        <f aca="false">D22-I22</f>
        <v>0</v>
      </c>
      <c r="K22" s="25" t="s">
        <v>121</v>
      </c>
      <c r="L22" s="25" t="s">
        <v>122</v>
      </c>
    </row>
    <row r="23" customFormat="false" ht="15" hidden="false" customHeight="false" outlineLevel="0" collapsed="false">
      <c r="A23" s="23" t="n">
        <v>6</v>
      </c>
      <c r="B23" s="23" t="s">
        <v>76</v>
      </c>
      <c r="C23" s="23" t="s">
        <v>35</v>
      </c>
      <c r="D23" s="24" t="n">
        <v>8710.9</v>
      </c>
      <c r="E23" s="24" t="n">
        <v>0</v>
      </c>
      <c r="F23" s="24" t="n">
        <v>0</v>
      </c>
      <c r="G23" s="24" t="n">
        <v>2547.28</v>
      </c>
      <c r="H23" s="24" t="n">
        <v>316.76</v>
      </c>
      <c r="I23" s="24" t="n">
        <f aca="false">G23+H23</f>
        <v>2864.04</v>
      </c>
      <c r="J23" s="24" t="n">
        <f aca="false">D23-I23</f>
        <v>5846.86</v>
      </c>
      <c r="K23" s="25" t="s">
        <v>117</v>
      </c>
      <c r="L23" s="25" t="s">
        <v>118</v>
      </c>
    </row>
    <row r="24" customFormat="false" ht="15" hidden="false" customHeight="false" outlineLevel="0" collapsed="false">
      <c r="A24" s="23" t="n">
        <v>7</v>
      </c>
      <c r="B24" s="23" t="s">
        <v>77</v>
      </c>
      <c r="C24" s="23" t="s">
        <v>35</v>
      </c>
      <c r="D24" s="24" t="n">
        <v>4167.44</v>
      </c>
      <c r="E24" s="24" t="n">
        <v>0</v>
      </c>
      <c r="F24" s="24" t="n">
        <v>0</v>
      </c>
      <c r="G24" s="24" t="n">
        <v>4167.44</v>
      </c>
      <c r="H24" s="24" t="n">
        <v>0</v>
      </c>
      <c r="I24" s="24" t="n">
        <f aca="false">G24+H24</f>
        <v>4167.44</v>
      </c>
      <c r="J24" s="24" t="n">
        <f aca="false">D24-I24</f>
        <v>0</v>
      </c>
      <c r="K24" s="25" t="s">
        <v>121</v>
      </c>
      <c r="L24" s="25" t="s">
        <v>122</v>
      </c>
    </row>
    <row r="25" customFormat="false" ht="15" hidden="false" customHeight="false" outlineLevel="0" collapsed="false">
      <c r="A25" s="23" t="n">
        <v>8</v>
      </c>
      <c r="B25" s="23" t="s">
        <v>78</v>
      </c>
      <c r="C25" s="23" t="s">
        <v>35</v>
      </c>
      <c r="D25" s="24" t="n">
        <v>15778.73</v>
      </c>
      <c r="E25" s="24" t="n">
        <v>0</v>
      </c>
      <c r="F25" s="24" t="n">
        <v>0</v>
      </c>
      <c r="G25" s="24" t="n">
        <v>4614.07</v>
      </c>
      <c r="H25" s="24" t="n">
        <v>573.77</v>
      </c>
      <c r="I25" s="24" t="n">
        <f aca="false">G25+H25</f>
        <v>5187.84</v>
      </c>
      <c r="J25" s="24" t="n">
        <f aca="false">D25-I25</f>
        <v>10590.89</v>
      </c>
      <c r="K25" s="25" t="s">
        <v>117</v>
      </c>
      <c r="L25" s="25" t="s">
        <v>118</v>
      </c>
    </row>
    <row r="26" customFormat="false" ht="15" hidden="false" customHeight="false" outlineLevel="0" collapsed="false">
      <c r="A26" s="26"/>
      <c r="B26" s="27" t="s">
        <v>53</v>
      </c>
      <c r="C26" s="26"/>
      <c r="D26" s="28" t="n">
        <f aca="false">SUM(D18:D25)</f>
        <v>147893.47</v>
      </c>
      <c r="E26" s="28" t="n">
        <f aca="false">SUM(E18:E25)</f>
        <v>0</v>
      </c>
      <c r="F26" s="28" t="n">
        <f aca="false">SUM(F18:F25)</f>
        <v>0</v>
      </c>
      <c r="G26" s="28" t="n">
        <f aca="false">SUM(G18:G25)</f>
        <v>65111.2</v>
      </c>
      <c r="H26" s="28" t="n">
        <f aca="false">SUM(H18:H25)</f>
        <v>4254.3</v>
      </c>
      <c r="I26" s="28" t="n">
        <f aca="false">SUM(I18:I25)</f>
        <v>69365.5</v>
      </c>
      <c r="J26" s="28" t="n">
        <f aca="false">SUM(J18:J25)</f>
        <v>78527.97</v>
      </c>
      <c r="K26" s="26"/>
      <c r="L26" s="26"/>
    </row>
    <row r="28" customFormat="false" ht="15" hidden="false" customHeight="false" outlineLevel="0" collapsed="false">
      <c r="B28" s="18" t="s">
        <v>124</v>
      </c>
    </row>
    <row r="29" customFormat="false" ht="15" hidden="false" customHeight="false" outlineLevel="0" collapsed="false">
      <c r="B29" s="5" t="s">
        <v>125</v>
      </c>
      <c r="D29" s="6" t="n">
        <f aca="false">I14</f>
        <v>64826.13</v>
      </c>
    </row>
    <row r="30" customFormat="false" ht="15" hidden="false" customHeight="false" outlineLevel="0" collapsed="false">
      <c r="B30" s="5" t="s">
        <v>126</v>
      </c>
      <c r="D30" s="6" t="n">
        <f aca="false">I26</f>
        <v>69365.5</v>
      </c>
    </row>
    <row r="31" customFormat="false" ht="15" hidden="false" customHeight="false" outlineLevel="0" collapsed="false">
      <c r="B31" s="11" t="s">
        <v>124</v>
      </c>
      <c r="D31" s="29" t="n">
        <f aca="false">D29-D30</f>
        <v>-4539.37</v>
      </c>
    </row>
    <row r="33" customFormat="false" ht="15" hidden="false" customHeight="false" outlineLevel="0" collapsed="false">
      <c r="A33" s="10" t="s">
        <v>127</v>
      </c>
    </row>
    <row r="34" customFormat="false" ht="15" hidden="false" customHeight="false" outlineLevel="0" collapsed="false">
      <c r="A34" s="21" t="s">
        <v>128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4" t="s">
        <v>105</v>
      </c>
      <c r="B35" s="4" t="s">
        <v>106</v>
      </c>
      <c r="C35" s="4" t="s">
        <v>107</v>
      </c>
      <c r="D35" s="4" t="s">
        <v>108</v>
      </c>
      <c r="E35" s="4" t="s">
        <v>109</v>
      </c>
      <c r="F35" s="4" t="s">
        <v>110</v>
      </c>
      <c r="G35" s="4" t="s">
        <v>129</v>
      </c>
      <c r="H35" s="4" t="s">
        <v>130</v>
      </c>
      <c r="I35" s="4" t="s">
        <v>113</v>
      </c>
      <c r="J35" s="4" t="s">
        <v>114</v>
      </c>
      <c r="K35" s="4" t="s">
        <v>115</v>
      </c>
      <c r="L35" s="4" t="s">
        <v>116</v>
      </c>
    </row>
    <row r="36" customFormat="false" ht="15" hidden="false" customHeight="false" outlineLevel="0" collapsed="false">
      <c r="A36" s="23" t="n">
        <v>1</v>
      </c>
      <c r="B36" s="23" t="s">
        <v>45</v>
      </c>
      <c r="C36" s="23" t="s">
        <v>35</v>
      </c>
      <c r="D36" s="24" t="n">
        <v>116723.12</v>
      </c>
      <c r="E36" s="24" t="n">
        <v>0</v>
      </c>
      <c r="F36" s="24" t="n">
        <v>0</v>
      </c>
      <c r="G36" s="24" t="n">
        <v>34132.24</v>
      </c>
      <c r="H36" s="24" t="n">
        <v>4244.48</v>
      </c>
      <c r="I36" s="24" t="n">
        <f aca="false">G36+H36</f>
        <v>38376.72</v>
      </c>
      <c r="J36" s="24" t="n">
        <f aca="false">D36-I36</f>
        <v>78346.4</v>
      </c>
      <c r="K36" s="25" t="s">
        <v>117</v>
      </c>
      <c r="L36" s="25" t="s">
        <v>118</v>
      </c>
    </row>
    <row r="37" customFormat="false" ht="15" hidden="false" customHeight="false" outlineLevel="0" collapsed="false">
      <c r="A37" s="23" t="n">
        <v>2</v>
      </c>
      <c r="B37" s="23" t="s">
        <v>46</v>
      </c>
      <c r="C37" s="23" t="s">
        <v>37</v>
      </c>
      <c r="D37" s="24" t="n">
        <v>212.58</v>
      </c>
      <c r="E37" s="24" t="n">
        <v>0</v>
      </c>
      <c r="F37" s="24" t="n">
        <v>0</v>
      </c>
      <c r="G37" s="24" t="n">
        <v>61.56</v>
      </c>
      <c r="H37" s="24" t="n">
        <v>7.73</v>
      </c>
      <c r="I37" s="24" t="n">
        <f aca="false">G37+H37</f>
        <v>69.29</v>
      </c>
      <c r="J37" s="24" t="n">
        <f aca="false">D37-I37</f>
        <v>143.29</v>
      </c>
      <c r="K37" s="25" t="s">
        <v>117</v>
      </c>
      <c r="L37" s="25" t="s">
        <v>118</v>
      </c>
    </row>
    <row r="38" customFormat="false" ht="15" hidden="false" customHeight="false" outlineLevel="0" collapsed="false">
      <c r="A38" s="23" t="n">
        <v>3</v>
      </c>
      <c r="B38" s="23" t="s">
        <v>47</v>
      </c>
      <c r="C38" s="23" t="s">
        <v>35</v>
      </c>
      <c r="D38" s="24" t="n">
        <v>11011.6</v>
      </c>
      <c r="E38" s="24" t="n">
        <v>0</v>
      </c>
      <c r="F38" s="24" t="n">
        <v>0</v>
      </c>
      <c r="G38" s="24" t="n">
        <v>6449.13</v>
      </c>
      <c r="H38" s="24" t="n">
        <v>649.69</v>
      </c>
      <c r="I38" s="24" t="n">
        <f aca="false">G38+H38</f>
        <v>7098.82</v>
      </c>
      <c r="J38" s="24" t="n">
        <f aca="false">D38-I38</f>
        <v>3912.78</v>
      </c>
      <c r="K38" s="25" t="s">
        <v>119</v>
      </c>
      <c r="L38" s="25" t="s">
        <v>120</v>
      </c>
    </row>
    <row r="39" customFormat="false" ht="15" hidden="false" customHeight="false" outlineLevel="0" collapsed="false">
      <c r="A39" s="23" t="n">
        <v>4</v>
      </c>
      <c r="B39" s="23" t="s">
        <v>48</v>
      </c>
      <c r="C39" s="23" t="s">
        <v>35</v>
      </c>
      <c r="D39" s="24" t="n">
        <v>19946.17</v>
      </c>
      <c r="E39" s="24" t="n">
        <v>0</v>
      </c>
      <c r="F39" s="24" t="n">
        <v>0</v>
      </c>
      <c r="G39" s="24" t="n">
        <v>19281.3</v>
      </c>
      <c r="H39" s="24" t="n">
        <v>0</v>
      </c>
      <c r="I39" s="24" t="n">
        <f aca="false">G39+H39</f>
        <v>19281.3</v>
      </c>
      <c r="J39" s="24" t="n">
        <f aca="false">D39-I39</f>
        <v>664.869999999999</v>
      </c>
      <c r="K39" s="25" t="s">
        <v>121</v>
      </c>
      <c r="L39" s="25" t="s">
        <v>122</v>
      </c>
    </row>
    <row r="40" customFormat="false" ht="15" hidden="false" customHeight="false" outlineLevel="0" collapsed="false">
      <c r="A40" s="26"/>
      <c r="B40" s="27" t="s">
        <v>53</v>
      </c>
      <c r="C40" s="26"/>
      <c r="D40" s="28" t="n">
        <f aca="false">SUM(D36:D39)</f>
        <v>147893.47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59924.23</v>
      </c>
      <c r="H40" s="28" t="n">
        <f aca="false">SUM(H36:H39)</f>
        <v>4901.9</v>
      </c>
      <c r="I40" s="28" t="n">
        <f aca="false">SUM(I36:I39)</f>
        <v>64826.13</v>
      </c>
      <c r="J40" s="28" t="n">
        <f aca="false">SUM(J36:J39)</f>
        <v>83067.34</v>
      </c>
      <c r="K40" s="26"/>
      <c r="L40" s="26"/>
    </row>
    <row r="42" customFormat="false" ht="15" hidden="false" customHeight="false" outlineLevel="0" collapsed="false">
      <c r="A42" s="21" t="s">
        <v>131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4" t="s">
        <v>105</v>
      </c>
      <c r="B43" s="4" t="s">
        <v>106</v>
      </c>
      <c r="C43" s="4" t="s">
        <v>107</v>
      </c>
      <c r="D43" s="4" t="s">
        <v>108</v>
      </c>
      <c r="E43" s="4" t="s">
        <v>109</v>
      </c>
      <c r="F43" s="4" t="s">
        <v>110</v>
      </c>
      <c r="G43" s="4" t="s">
        <v>129</v>
      </c>
      <c r="H43" s="4" t="s">
        <v>130</v>
      </c>
      <c r="I43" s="4" t="s">
        <v>113</v>
      </c>
      <c r="J43" s="4" t="s">
        <v>114</v>
      </c>
      <c r="K43" s="4" t="s">
        <v>115</v>
      </c>
      <c r="L43" s="4" t="s">
        <v>116</v>
      </c>
    </row>
    <row r="44" customFormat="false" ht="15" hidden="false" customHeight="false" outlineLevel="0" collapsed="false">
      <c r="A44" s="23" t="n">
        <v>1</v>
      </c>
      <c r="B44" s="23" t="s">
        <v>71</v>
      </c>
      <c r="C44" s="23" t="s">
        <v>35</v>
      </c>
      <c r="D44" s="24" t="n">
        <v>24387.48</v>
      </c>
      <c r="E44" s="24" t="n">
        <v>0</v>
      </c>
      <c r="F44" s="24" t="n">
        <v>0</v>
      </c>
      <c r="G44" s="24" t="n">
        <v>24387.48</v>
      </c>
      <c r="H44" s="24" t="n">
        <v>0</v>
      </c>
      <c r="I44" s="24" t="n">
        <f aca="false">G44+H44</f>
        <v>24387.48</v>
      </c>
      <c r="J44" s="24" t="n">
        <f aca="false">D44-I44</f>
        <v>0</v>
      </c>
      <c r="K44" s="25" t="s">
        <v>121</v>
      </c>
      <c r="L44" s="25" t="s">
        <v>122</v>
      </c>
    </row>
    <row r="45" customFormat="false" ht="15" hidden="false" customHeight="false" outlineLevel="0" collapsed="false">
      <c r="A45" s="23" t="n">
        <v>2</v>
      </c>
      <c r="B45" s="23" t="s">
        <v>72</v>
      </c>
      <c r="C45" s="23" t="s">
        <v>35</v>
      </c>
      <c r="D45" s="24" t="n">
        <v>92335.64</v>
      </c>
      <c r="E45" s="24" t="n">
        <v>0</v>
      </c>
      <c r="F45" s="24" t="n">
        <v>0</v>
      </c>
      <c r="G45" s="24" t="n">
        <v>27001.18</v>
      </c>
      <c r="H45" s="24" t="n">
        <v>3357.66</v>
      </c>
      <c r="I45" s="24" t="n">
        <f aca="false">G45+H45</f>
        <v>30358.84</v>
      </c>
      <c r="J45" s="24" t="n">
        <f aca="false">D45-I45</f>
        <v>61976.8</v>
      </c>
      <c r="K45" s="25" t="s">
        <v>117</v>
      </c>
      <c r="L45" s="25" t="s">
        <v>118</v>
      </c>
    </row>
    <row r="46" customFormat="false" ht="15" hidden="false" customHeight="false" outlineLevel="0" collapsed="false">
      <c r="A46" s="23" t="n">
        <v>3</v>
      </c>
      <c r="B46" s="23" t="s">
        <v>73</v>
      </c>
      <c r="C46" s="23" t="s">
        <v>37</v>
      </c>
      <c r="D46" s="24" t="n">
        <v>44.42</v>
      </c>
      <c r="E46" s="24" t="n">
        <v>0</v>
      </c>
      <c r="F46" s="24" t="n">
        <v>0</v>
      </c>
      <c r="G46" s="24" t="n">
        <v>44.42</v>
      </c>
      <c r="H46" s="24" t="n">
        <v>0</v>
      </c>
      <c r="I46" s="24" t="n">
        <f aca="false">G46+H46</f>
        <v>44.42</v>
      </c>
      <c r="J46" s="24" t="n">
        <f aca="false">D46-I46</f>
        <v>0</v>
      </c>
      <c r="K46" s="25" t="s">
        <v>121</v>
      </c>
      <c r="L46" s="25" t="s">
        <v>122</v>
      </c>
    </row>
    <row r="47" customFormat="false" ht="15" hidden="false" customHeight="false" outlineLevel="0" collapsed="false">
      <c r="A47" s="23" t="n">
        <v>4</v>
      </c>
      <c r="B47" s="23" t="s">
        <v>74</v>
      </c>
      <c r="C47" s="23" t="s">
        <v>37</v>
      </c>
      <c r="D47" s="24" t="n">
        <v>168.16</v>
      </c>
      <c r="E47" s="24" t="n">
        <v>0</v>
      </c>
      <c r="F47" s="24" t="n">
        <v>0</v>
      </c>
      <c r="G47" s="24" t="n">
        <v>48.63</v>
      </c>
      <c r="H47" s="24" t="n">
        <v>6.11</v>
      </c>
      <c r="I47" s="24" t="n">
        <f aca="false">G47+H47</f>
        <v>54.74</v>
      </c>
      <c r="J47" s="24" t="n">
        <f aca="false">D47-I47</f>
        <v>113.42</v>
      </c>
      <c r="K47" s="25" t="s">
        <v>117</v>
      </c>
      <c r="L47" s="25" t="s">
        <v>118</v>
      </c>
    </row>
    <row r="48" customFormat="false" ht="15" hidden="false" customHeight="false" outlineLevel="0" collapsed="false">
      <c r="A48" s="23" t="n">
        <v>5</v>
      </c>
      <c r="B48" s="23" t="s">
        <v>75</v>
      </c>
      <c r="C48" s="23" t="s">
        <v>35</v>
      </c>
      <c r="D48" s="24" t="n">
        <v>2300.7</v>
      </c>
      <c r="E48" s="24" t="n">
        <v>0</v>
      </c>
      <c r="F48" s="24" t="n">
        <v>0</v>
      </c>
      <c r="G48" s="24" t="n">
        <v>2300.7</v>
      </c>
      <c r="H48" s="24" t="n">
        <v>0</v>
      </c>
      <c r="I48" s="24" t="n">
        <f aca="false">G48+H48</f>
        <v>2300.7</v>
      </c>
      <c r="J48" s="24" t="n">
        <f aca="false">D48-I48</f>
        <v>0</v>
      </c>
      <c r="K48" s="25" t="s">
        <v>121</v>
      </c>
      <c r="L48" s="25" t="s">
        <v>122</v>
      </c>
    </row>
    <row r="49" customFormat="false" ht="15" hidden="false" customHeight="false" outlineLevel="0" collapsed="false">
      <c r="A49" s="23" t="n">
        <v>6</v>
      </c>
      <c r="B49" s="23" t="s">
        <v>76</v>
      </c>
      <c r="C49" s="23" t="s">
        <v>35</v>
      </c>
      <c r="D49" s="24" t="n">
        <v>8710.9</v>
      </c>
      <c r="E49" s="24" t="n">
        <v>0</v>
      </c>
      <c r="F49" s="24" t="n">
        <v>0</v>
      </c>
      <c r="G49" s="24" t="n">
        <v>2547.28</v>
      </c>
      <c r="H49" s="24" t="n">
        <v>316.76</v>
      </c>
      <c r="I49" s="24" t="n">
        <f aca="false">G49+H49</f>
        <v>2864.04</v>
      </c>
      <c r="J49" s="24" t="n">
        <f aca="false">D49-I49</f>
        <v>5846.86</v>
      </c>
      <c r="K49" s="25" t="s">
        <v>117</v>
      </c>
      <c r="L49" s="25" t="s">
        <v>118</v>
      </c>
    </row>
    <row r="50" customFormat="false" ht="15" hidden="false" customHeight="false" outlineLevel="0" collapsed="false">
      <c r="A50" s="23" t="n">
        <v>7</v>
      </c>
      <c r="B50" s="23" t="s">
        <v>77</v>
      </c>
      <c r="C50" s="23" t="s">
        <v>35</v>
      </c>
      <c r="D50" s="24" t="n">
        <v>4167.44</v>
      </c>
      <c r="E50" s="24" t="n">
        <v>0</v>
      </c>
      <c r="F50" s="24" t="n">
        <v>0</v>
      </c>
      <c r="G50" s="24" t="n">
        <v>4167.44</v>
      </c>
      <c r="H50" s="24" t="n">
        <v>0</v>
      </c>
      <c r="I50" s="24" t="n">
        <f aca="false">G50+H50</f>
        <v>4167.44</v>
      </c>
      <c r="J50" s="24" t="n">
        <f aca="false">D50-I50</f>
        <v>0</v>
      </c>
      <c r="K50" s="25" t="s">
        <v>121</v>
      </c>
      <c r="L50" s="25" t="s">
        <v>122</v>
      </c>
    </row>
    <row r="51" customFormat="false" ht="15" hidden="false" customHeight="false" outlineLevel="0" collapsed="false">
      <c r="A51" s="23" t="n">
        <v>8</v>
      </c>
      <c r="B51" s="23" t="s">
        <v>78</v>
      </c>
      <c r="C51" s="23" t="s">
        <v>35</v>
      </c>
      <c r="D51" s="24" t="n">
        <v>15778.73</v>
      </c>
      <c r="E51" s="24" t="n">
        <v>0</v>
      </c>
      <c r="F51" s="24" t="n">
        <v>0</v>
      </c>
      <c r="G51" s="24" t="n">
        <v>4614.07</v>
      </c>
      <c r="H51" s="24" t="n">
        <v>573.77</v>
      </c>
      <c r="I51" s="24" t="n">
        <f aca="false">G51+H51</f>
        <v>5187.84</v>
      </c>
      <c r="J51" s="24" t="n">
        <f aca="false">D51-I51</f>
        <v>10590.89</v>
      </c>
      <c r="K51" s="25" t="s">
        <v>117</v>
      </c>
      <c r="L51" s="25" t="s">
        <v>118</v>
      </c>
    </row>
    <row r="52" customFormat="false" ht="15" hidden="false" customHeight="false" outlineLevel="0" collapsed="false">
      <c r="A52" s="26"/>
      <c r="B52" s="27" t="s">
        <v>53</v>
      </c>
      <c r="C52" s="26"/>
      <c r="D52" s="28" t="n">
        <f aca="false">SUM(D44:D51)</f>
        <v>147893.47</v>
      </c>
      <c r="E52" s="28" t="n">
        <f aca="false">SUM(E44:E51)</f>
        <v>0</v>
      </c>
      <c r="F52" s="28" t="n">
        <f aca="false">SUM(F44:F51)</f>
        <v>0</v>
      </c>
      <c r="G52" s="28" t="n">
        <f aca="false">SUM(G44:G51)</f>
        <v>65111.2</v>
      </c>
      <c r="H52" s="28" t="n">
        <f aca="false">SUM(H44:H51)</f>
        <v>4254.3</v>
      </c>
      <c r="I52" s="28" t="n">
        <f aca="false">SUM(I44:I51)</f>
        <v>69365.5</v>
      </c>
      <c r="J52" s="28" t="n">
        <f aca="false">SUM(J44:J51)</f>
        <v>78527.97</v>
      </c>
      <c r="K52" s="26"/>
      <c r="L52" s="26"/>
    </row>
    <row r="54" customFormat="false" ht="15" hidden="false" customHeight="false" outlineLevel="0" collapsed="false">
      <c r="B54" s="18" t="s">
        <v>132</v>
      </c>
    </row>
    <row r="55" customFormat="false" ht="15" hidden="false" customHeight="false" outlineLevel="0" collapsed="false">
      <c r="B55" s="5" t="s">
        <v>125</v>
      </c>
      <c r="D55" s="6" t="n">
        <f aca="false">I40</f>
        <v>64826.13</v>
      </c>
    </row>
    <row r="56" customFormat="false" ht="15" hidden="false" customHeight="false" outlineLevel="0" collapsed="false">
      <c r="B56" s="5" t="s">
        <v>126</v>
      </c>
      <c r="D56" s="6" t="n">
        <f aca="false">I52</f>
        <v>69365.5</v>
      </c>
    </row>
    <row r="57" customFormat="false" ht="15" hidden="false" customHeight="false" outlineLevel="0" collapsed="false">
      <c r="B57" s="11" t="s">
        <v>132</v>
      </c>
      <c r="D57" s="29" t="n">
        <f aca="false">D55-D56</f>
        <v>-4539.37</v>
      </c>
    </row>
    <row r="59" customFormat="false" ht="15" hidden="false" customHeight="false" outlineLevel="0" collapsed="false">
      <c r="A59" s="10" t="s">
        <v>133</v>
      </c>
    </row>
    <row r="60" customFormat="false" ht="15" hidden="false" customHeight="false" outlineLevel="0" collapsed="false">
      <c r="B60" s="11" t="s">
        <v>162</v>
      </c>
      <c r="D60" s="12" t="n">
        <f aca="false">D98</f>
        <v>147893.47</v>
      </c>
    </row>
    <row r="61" customFormat="false" ht="15" hidden="false" customHeight="false" outlineLevel="0" collapsed="false">
      <c r="B61" s="5" t="s">
        <v>163</v>
      </c>
      <c r="D61" s="6" t="n">
        <f aca="false">F98</f>
        <v>30900.04</v>
      </c>
    </row>
    <row r="62" customFormat="false" ht="15" hidden="false" customHeight="false" outlineLevel="0" collapsed="false">
      <c r="B62" s="30" t="s">
        <v>136</v>
      </c>
      <c r="D62" s="31" t="n">
        <f aca="false">F99</f>
        <v>0.208934444502519</v>
      </c>
    </row>
    <row r="63" customFormat="false" ht="15" hidden="false" customHeight="false" outlineLevel="0" collapsed="false">
      <c r="B63" s="5" t="s">
        <v>164</v>
      </c>
      <c r="D63" s="6" t="n">
        <f aca="false">H98</f>
        <v>116993.43</v>
      </c>
    </row>
    <row r="64" customFormat="false" ht="15" hidden="false" customHeight="false" outlineLevel="0" collapsed="false">
      <c r="B64" s="30" t="s">
        <v>136</v>
      </c>
      <c r="D64" s="31" t="n">
        <f aca="false">H99</f>
        <v>0.791065555497481</v>
      </c>
    </row>
    <row r="66" customFormat="false" ht="15" hidden="false" customHeight="false" outlineLevel="0" collapsed="false">
      <c r="A66" s="10" t="s">
        <v>138</v>
      </c>
    </row>
    <row r="67" customFormat="false" ht="15" hidden="false" customHeight="false" outlineLevel="0" collapsed="false">
      <c r="B67" s="4" t="s">
        <v>139</v>
      </c>
      <c r="D67" s="4" t="s">
        <v>108</v>
      </c>
      <c r="F67" s="4" t="s">
        <v>165</v>
      </c>
      <c r="H67" s="4" t="s">
        <v>141</v>
      </c>
    </row>
    <row r="68" customFormat="false" ht="15" hidden="false" customHeight="false" outlineLevel="0" collapsed="false">
      <c r="B68" s="32" t="s">
        <v>166</v>
      </c>
    </row>
    <row r="69" customFormat="false" ht="15" hidden="false" customHeight="false" outlineLevel="0" collapsed="false">
      <c r="B69" s="5" t="s">
        <v>167</v>
      </c>
      <c r="D69" s="33" t="n">
        <f aca="false">SUM(F69:H69)</f>
        <v>4901.61</v>
      </c>
      <c r="F69" s="33" t="n">
        <v>4901.61</v>
      </c>
    </row>
    <row r="70" customFormat="false" ht="15" hidden="false" customHeight="false" outlineLevel="0" collapsed="false">
      <c r="B70" s="5" t="s">
        <v>168</v>
      </c>
      <c r="D70" s="33" t="n">
        <f aca="false">SUM(F70:H70)</f>
        <v>2185.54</v>
      </c>
      <c r="F70" s="33" t="n">
        <v>2185.54</v>
      </c>
    </row>
    <row r="71" customFormat="false" ht="15" hidden="false" customHeight="false" outlineLevel="0" collapsed="false">
      <c r="B71" s="5" t="s">
        <v>169</v>
      </c>
      <c r="D71" s="33" t="n">
        <f aca="false">SUM(F71:H71)</f>
        <v>11385.26</v>
      </c>
      <c r="F71" s="33" t="n">
        <v>11385.26</v>
      </c>
    </row>
    <row r="72" customFormat="false" ht="15" hidden="false" customHeight="false" outlineLevel="0" collapsed="false">
      <c r="B72" s="5" t="s">
        <v>171</v>
      </c>
      <c r="D72" s="33" t="n">
        <f aca="false">SUM(F72:H72)</f>
        <v>589.62</v>
      </c>
      <c r="F72" s="33" t="n">
        <v>589.62</v>
      </c>
    </row>
    <row r="73" customFormat="false" ht="15" hidden="false" customHeight="false" outlineLevel="0" collapsed="false">
      <c r="B73" s="5" t="s">
        <v>196</v>
      </c>
      <c r="D73" s="33" t="n">
        <f aca="false">SUM(F73:H73)</f>
        <v>183.29</v>
      </c>
      <c r="F73" s="33" t="n">
        <v>183.29</v>
      </c>
    </row>
    <row r="74" customFormat="false" ht="15" hidden="false" customHeight="false" outlineLevel="0" collapsed="false">
      <c r="B74" s="5" t="s">
        <v>197</v>
      </c>
      <c r="D74" s="33" t="n">
        <f aca="false">SUM(F74:H74)</f>
        <v>96.76</v>
      </c>
      <c r="F74" s="33" t="n">
        <v>96.76</v>
      </c>
    </row>
    <row r="75" customFormat="false" ht="15" hidden="false" customHeight="false" outlineLevel="0" collapsed="false">
      <c r="B75" s="5" t="s">
        <v>172</v>
      </c>
      <c r="D75" s="33" t="n">
        <f aca="false">SUM(F75:H75)</f>
        <v>2980.97</v>
      </c>
      <c r="F75" s="33" t="n">
        <v>2980.97</v>
      </c>
    </row>
    <row r="76" customFormat="false" ht="15" hidden="false" customHeight="false" outlineLevel="0" collapsed="false">
      <c r="B76" s="5" t="s">
        <v>173</v>
      </c>
      <c r="D76" s="33" t="n">
        <f aca="false">SUM(F76:H76)</f>
        <v>994.55</v>
      </c>
      <c r="F76" s="33" t="n">
        <v>994.55</v>
      </c>
    </row>
    <row r="77" customFormat="false" ht="15" hidden="false" customHeight="false" outlineLevel="0" collapsed="false">
      <c r="B77" s="5" t="s">
        <v>198</v>
      </c>
      <c r="D77" s="33" t="n">
        <f aca="false">SUM(F77:H77)</f>
        <v>3427.41</v>
      </c>
      <c r="F77" s="33" t="n">
        <v>3427.41</v>
      </c>
    </row>
    <row r="78" customFormat="false" ht="15" hidden="false" customHeight="false" outlineLevel="0" collapsed="false">
      <c r="B78" s="5" t="s">
        <v>175</v>
      </c>
      <c r="D78" s="33" t="n">
        <f aca="false">SUM(F78:H78)</f>
        <v>428.96</v>
      </c>
      <c r="F78" s="33" t="n">
        <v>428.96</v>
      </c>
    </row>
    <row r="79" customFormat="false" ht="15" hidden="false" customHeight="false" outlineLevel="0" collapsed="false">
      <c r="B79" s="5" t="s">
        <v>199</v>
      </c>
      <c r="D79" s="33" t="n">
        <f aca="false">SUM(F79:H79)</f>
        <v>43.2</v>
      </c>
      <c r="F79" s="33" t="n">
        <v>43.2</v>
      </c>
    </row>
    <row r="80" customFormat="false" ht="15" hidden="false" customHeight="false" outlineLevel="0" collapsed="false">
      <c r="B80" s="5" t="s">
        <v>200</v>
      </c>
      <c r="D80" s="33" t="n">
        <f aca="false">SUM(F80:H80)</f>
        <v>3682.87</v>
      </c>
      <c r="F80" s="33" t="n">
        <v>3682.87</v>
      </c>
    </row>
    <row r="81" customFormat="false" ht="15" hidden="false" customHeight="false" outlineLevel="0" collapsed="false">
      <c r="B81" s="32" t="s">
        <v>177</v>
      </c>
    </row>
    <row r="82" customFormat="false" ht="15" hidden="false" customHeight="false" outlineLevel="0" collapsed="false">
      <c r="B82" s="5" t="s">
        <v>178</v>
      </c>
      <c r="D82" s="33" t="n">
        <f aca="false">SUM(F82:H82)</f>
        <v>8561.68</v>
      </c>
      <c r="H82" s="33" t="n">
        <v>8561.68</v>
      </c>
    </row>
    <row r="83" customFormat="false" ht="15" hidden="false" customHeight="false" outlineLevel="0" collapsed="false">
      <c r="B83" s="5" t="s">
        <v>179</v>
      </c>
      <c r="D83" s="33" t="n">
        <f aca="false">SUM(F83:H83)</f>
        <v>16225.62</v>
      </c>
      <c r="H83" s="33" t="n">
        <v>16225.62</v>
      </c>
    </row>
    <row r="84" customFormat="false" ht="15" hidden="false" customHeight="false" outlineLevel="0" collapsed="false">
      <c r="B84" s="5" t="s">
        <v>180</v>
      </c>
      <c r="D84" s="33" t="n">
        <f aca="false">SUM(F84:H84)</f>
        <v>10992.55</v>
      </c>
      <c r="H84" s="33" t="n">
        <v>10992.55</v>
      </c>
    </row>
    <row r="85" customFormat="false" ht="15" hidden="false" customHeight="false" outlineLevel="0" collapsed="false">
      <c r="B85" s="5" t="s">
        <v>181</v>
      </c>
      <c r="D85" s="33" t="n">
        <f aca="false">SUM(F85:H85)</f>
        <v>12099.12</v>
      </c>
      <c r="H85" s="33" t="n">
        <v>12099.12</v>
      </c>
    </row>
    <row r="86" customFormat="false" ht="15" hidden="false" customHeight="false" outlineLevel="0" collapsed="false">
      <c r="B86" s="5" t="s">
        <v>182</v>
      </c>
      <c r="D86" s="33" t="n">
        <f aca="false">SUM(F86:H86)</f>
        <v>9715.1</v>
      </c>
      <c r="H86" s="33" t="n">
        <v>9715.1</v>
      </c>
    </row>
    <row r="87" customFormat="false" ht="15" hidden="false" customHeight="false" outlineLevel="0" collapsed="false">
      <c r="B87" s="5" t="s">
        <v>183</v>
      </c>
      <c r="D87" s="33" t="n">
        <f aca="false">SUM(F87:H87)</f>
        <v>548.48</v>
      </c>
      <c r="H87" s="33" t="n">
        <v>548.48</v>
      </c>
    </row>
    <row r="88" customFormat="false" ht="15" hidden="false" customHeight="false" outlineLevel="0" collapsed="false">
      <c r="B88" s="5" t="s">
        <v>184</v>
      </c>
      <c r="D88" s="33" t="n">
        <f aca="false">SUM(F88:H88)</f>
        <v>12559.71</v>
      </c>
      <c r="H88" s="33" t="n">
        <v>12559.71</v>
      </c>
    </row>
    <row r="89" customFormat="false" ht="15" hidden="false" customHeight="false" outlineLevel="0" collapsed="false">
      <c r="B89" s="5" t="s">
        <v>185</v>
      </c>
      <c r="D89" s="33" t="n">
        <f aca="false">SUM(F89:H89)</f>
        <v>5680.09</v>
      </c>
      <c r="H89" s="33" t="n">
        <v>5680.09</v>
      </c>
    </row>
    <row r="90" customFormat="false" ht="15" hidden="false" customHeight="false" outlineLevel="0" collapsed="false">
      <c r="B90" s="5" t="s">
        <v>186</v>
      </c>
      <c r="D90" s="33" t="n">
        <f aca="false">SUM(F90:H90)</f>
        <v>2911.57</v>
      </c>
      <c r="H90" s="33" t="n">
        <v>2911.57</v>
      </c>
    </row>
    <row r="91" customFormat="false" ht="15" hidden="false" customHeight="false" outlineLevel="0" collapsed="false">
      <c r="B91" s="5" t="s">
        <v>187</v>
      </c>
      <c r="D91" s="33" t="n">
        <f aca="false">SUM(F91:H91)</f>
        <v>5070.55</v>
      </c>
      <c r="H91" s="33" t="n">
        <v>5070.55</v>
      </c>
    </row>
    <row r="92" customFormat="false" ht="15" hidden="false" customHeight="false" outlineLevel="0" collapsed="false">
      <c r="B92" s="5" t="s">
        <v>188</v>
      </c>
      <c r="D92" s="33" t="n">
        <f aca="false">SUM(F92:H92)</f>
        <v>9837.36</v>
      </c>
      <c r="H92" s="33" t="n">
        <v>9837.36</v>
      </c>
    </row>
    <row r="93" customFormat="false" ht="15" hidden="false" customHeight="false" outlineLevel="0" collapsed="false">
      <c r="B93" s="5" t="s">
        <v>189</v>
      </c>
      <c r="D93" s="33" t="n">
        <f aca="false">SUM(F93:H93)</f>
        <v>4408.6</v>
      </c>
      <c r="H93" s="33" t="n">
        <v>4408.6</v>
      </c>
    </row>
    <row r="94" customFormat="false" ht="15" hidden="false" customHeight="false" outlineLevel="0" collapsed="false">
      <c r="B94" s="5" t="s">
        <v>190</v>
      </c>
      <c r="D94" s="33" t="n">
        <f aca="false">SUM(F94:H94)</f>
        <v>1012.22</v>
      </c>
      <c r="H94" s="33" t="n">
        <v>1012.22</v>
      </c>
    </row>
    <row r="95" customFormat="false" ht="15" hidden="false" customHeight="false" outlineLevel="0" collapsed="false">
      <c r="B95" s="5" t="s">
        <v>192</v>
      </c>
      <c r="D95" s="33" t="n">
        <f aca="false">SUM(F95:H95)</f>
        <v>14327.98</v>
      </c>
      <c r="H95" s="33" t="n">
        <v>14327.98</v>
      </c>
    </row>
    <row r="96" customFormat="false" ht="15" hidden="false" customHeight="false" outlineLevel="0" collapsed="false">
      <c r="B96" s="5" t="s">
        <v>193</v>
      </c>
      <c r="D96" s="33" t="n">
        <f aca="false">SUM(F96:H96)</f>
        <v>1332.99</v>
      </c>
      <c r="H96" s="33" t="n">
        <v>1332.99</v>
      </c>
    </row>
    <row r="97" customFormat="false" ht="15" hidden="false" customHeight="false" outlineLevel="0" collapsed="false">
      <c r="B97" s="5" t="s">
        <v>202</v>
      </c>
      <c r="D97" s="33" t="n">
        <f aca="false">SUM(F97:H97)</f>
        <v>1709.81</v>
      </c>
      <c r="H97" s="33" t="n">
        <v>1709.81</v>
      </c>
    </row>
    <row r="98" customFormat="false" ht="15" hidden="false" customHeight="false" outlineLevel="0" collapsed="false">
      <c r="B98" s="11" t="s">
        <v>162</v>
      </c>
      <c r="D98" s="34" t="n">
        <f aca="false">SUM(D68:D97)</f>
        <v>147893.47</v>
      </c>
      <c r="F98" s="34" t="n">
        <f aca="false">SUM(F68:F97)</f>
        <v>30900.04</v>
      </c>
      <c r="H98" s="34" t="n">
        <f aca="false">SUM(H68:H97)</f>
        <v>116993.43</v>
      </c>
    </row>
    <row r="99" customFormat="false" ht="15" hidden="false" customHeight="false" outlineLevel="0" collapsed="false">
      <c r="B99" s="30" t="s">
        <v>136</v>
      </c>
      <c r="F99" s="31" t="n">
        <f aca="false">F98/D98</f>
        <v>0.208934444502519</v>
      </c>
      <c r="H99" s="31" t="n">
        <f aca="false">H98/D98</f>
        <v>0.791065555497481</v>
      </c>
    </row>
    <row r="101" customFormat="false" ht="15" hidden="false" customHeight="false" outlineLevel="0" collapsed="false">
      <c r="A101" s="10" t="s">
        <v>157</v>
      </c>
    </row>
    <row r="102" customFormat="false" ht="15" hidden="false" customHeight="false" outlineLevel="0" collapsed="false">
      <c r="B102" s="4" t="s">
        <v>158</v>
      </c>
      <c r="D102" s="4" t="s">
        <v>108</v>
      </c>
      <c r="F102" s="4" t="s">
        <v>165</v>
      </c>
      <c r="H102" s="4" t="s">
        <v>141</v>
      </c>
    </row>
    <row r="103" customFormat="false" ht="15" hidden="false" customHeight="false" outlineLevel="0" collapsed="false">
      <c r="B103" s="5" t="str">
        <f aca="false">'Building 7'!B18</f>
        <v>1 - Buillding - Apt - 5yr</v>
      </c>
      <c r="D103" s="33" t="n">
        <f aca="false">SUM(F103:H103)</f>
        <v>24387.48</v>
      </c>
      <c r="F103" s="33" t="n">
        <f aca="false">'Building 7'!D18</f>
        <v>24387.48</v>
      </c>
    </row>
    <row r="104" customFormat="false" ht="15" hidden="false" customHeight="false" outlineLevel="0" collapsed="false">
      <c r="B104" s="5" t="str">
        <f aca="false">'Building 7'!B19</f>
        <v>1 - Buillding - Apt - 27.5yr</v>
      </c>
      <c r="D104" s="33" t="n">
        <f aca="false">SUM(F104:H104)</f>
        <v>92335.64</v>
      </c>
      <c r="H104" s="33" t="n">
        <f aca="false">'Building 7'!D19</f>
        <v>92335.64</v>
      </c>
    </row>
    <row r="105" customFormat="false" ht="15" hidden="false" customHeight="false" outlineLevel="0" collapsed="false">
      <c r="B105" s="5" t="str">
        <f aca="false">'Building 7'!B20</f>
        <v>5 - Building - Apt - 5yr</v>
      </c>
      <c r="D105" s="33" t="n">
        <f aca="false">SUM(F105:H105)</f>
        <v>44.42</v>
      </c>
      <c r="F105" s="33" t="n">
        <f aca="false">'Building 7'!D20</f>
        <v>44.42</v>
      </c>
    </row>
    <row r="106" customFormat="false" ht="15" hidden="false" customHeight="false" outlineLevel="0" collapsed="false">
      <c r="B106" s="5" t="str">
        <f aca="false">'Building 7'!B21</f>
        <v>5 - Building - Apt - 27.5yr</v>
      </c>
      <c r="D106" s="33" t="n">
        <f aca="false">SUM(F106:H106)</f>
        <v>168.16</v>
      </c>
      <c r="H106" s="33" t="n">
        <f aca="false">'Building 7'!D21</f>
        <v>168.16</v>
      </c>
    </row>
    <row r="107" customFormat="false" ht="15" hidden="false" customHeight="false" outlineLevel="0" collapsed="false">
      <c r="B107" s="5" t="str">
        <f aca="false">'Building 7'!B22</f>
        <v>3 - Land Improvements - Apt - 5yr</v>
      </c>
      <c r="D107" s="33" t="n">
        <f aca="false">SUM(F107:H107)</f>
        <v>2300.7</v>
      </c>
      <c r="F107" s="33" t="n">
        <f aca="false">'Building 7'!D22</f>
        <v>2300.7</v>
      </c>
    </row>
    <row r="108" customFormat="false" ht="15" hidden="false" customHeight="false" outlineLevel="0" collapsed="false">
      <c r="B108" s="5" t="str">
        <f aca="false">'Building 7'!B23</f>
        <v>3 - Land Improvements - Apt - 27.5yr</v>
      </c>
      <c r="D108" s="33" t="n">
        <f aca="false">SUM(F108:H108)</f>
        <v>8710.9</v>
      </c>
      <c r="H108" s="33" t="n">
        <f aca="false">'Building 7'!D23</f>
        <v>8710.9</v>
      </c>
    </row>
    <row r="109" customFormat="false" ht="15" hidden="false" customHeight="false" outlineLevel="0" collapsed="false">
      <c r="B109" s="5" t="str">
        <f aca="false">'Building 7'!B24</f>
        <v>4 - Equipment - Apt - 5yr</v>
      </c>
      <c r="D109" s="33" t="n">
        <f aca="false">SUM(F109:H109)</f>
        <v>4167.44</v>
      </c>
      <c r="F109" s="33" t="n">
        <f aca="false">'Building 7'!D24</f>
        <v>4167.44</v>
      </c>
    </row>
    <row r="110" customFormat="false" ht="15" hidden="false" customHeight="false" outlineLevel="0" collapsed="false">
      <c r="B110" s="5" t="str">
        <f aca="false">'Building 7'!B25</f>
        <v>4 - Equipment - Apt - 27.5yr</v>
      </c>
      <c r="D110" s="33" t="n">
        <f aca="false">SUM(F110:H110)</f>
        <v>15778.73</v>
      </c>
      <c r="H110" s="33" t="n">
        <f aca="false">'Building 7'!D25</f>
        <v>15778.73</v>
      </c>
    </row>
    <row r="111" customFormat="false" ht="15" hidden="false" customHeight="false" outlineLevel="0" collapsed="false">
      <c r="B111" s="11" t="s">
        <v>159</v>
      </c>
      <c r="D111" s="34" t="n">
        <f aca="false">SUM(D103:D110)</f>
        <v>147893.47</v>
      </c>
      <c r="F111" s="34" t="n">
        <f aca="false">SUM(F103:F110)</f>
        <v>30900.04</v>
      </c>
      <c r="H111" s="34" t="n">
        <f aca="false">SUM(H103:H110)</f>
        <v>116993.43</v>
      </c>
    </row>
    <row r="112" customFormat="false" ht="15" hidden="false" customHeight="false" outlineLevel="0" collapsed="false">
      <c r="B112" s="16" t="s">
        <v>160</v>
      </c>
      <c r="D112" s="17" t="n">
        <f aca="false">D111-D98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209</v>
      </c>
    </row>
    <row r="5" customFormat="false" ht="15" hidden="false" customHeight="false" outlineLevel="0" collapsed="false">
      <c r="A5" s="16" t="s">
        <v>102</v>
      </c>
    </row>
    <row r="7" customFormat="false" ht="15" hidden="false" customHeight="false" outlineLevel="0" collapsed="false">
      <c r="A7" s="10" t="s">
        <v>103</v>
      </c>
    </row>
    <row r="8" customFormat="false" ht="15" hidden="false" customHeight="false" outlineLevel="0" collapsed="false">
      <c r="A8" s="21" t="s">
        <v>104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105</v>
      </c>
      <c r="B9" s="4" t="s">
        <v>106</v>
      </c>
      <c r="C9" s="4" t="s">
        <v>107</v>
      </c>
      <c r="D9" s="4" t="s">
        <v>108</v>
      </c>
      <c r="E9" s="4" t="s">
        <v>109</v>
      </c>
      <c r="F9" s="4" t="s">
        <v>110</v>
      </c>
      <c r="G9" s="4" t="s">
        <v>111</v>
      </c>
      <c r="H9" s="4" t="s">
        <v>112</v>
      </c>
      <c r="I9" s="4" t="s">
        <v>113</v>
      </c>
      <c r="J9" s="4" t="s">
        <v>114</v>
      </c>
      <c r="K9" s="4" t="s">
        <v>115</v>
      </c>
      <c r="L9" s="4" t="s">
        <v>116</v>
      </c>
    </row>
    <row r="10" customFormat="false" ht="15" hidden="false" customHeight="false" outlineLevel="0" collapsed="false">
      <c r="A10" s="23" t="n">
        <v>1</v>
      </c>
      <c r="B10" s="23" t="s">
        <v>45</v>
      </c>
      <c r="C10" s="23" t="s">
        <v>35</v>
      </c>
      <c r="D10" s="24" t="n">
        <v>116723.12</v>
      </c>
      <c r="E10" s="24" t="n">
        <v>0</v>
      </c>
      <c r="F10" s="24" t="n">
        <v>0</v>
      </c>
      <c r="G10" s="24" t="n">
        <v>34132.24</v>
      </c>
      <c r="H10" s="24" t="n">
        <v>4244.48</v>
      </c>
      <c r="I10" s="24" t="n">
        <f aca="false">G10+H10</f>
        <v>38376.72</v>
      </c>
      <c r="J10" s="24" t="n">
        <f aca="false">D10-I10</f>
        <v>78346.4</v>
      </c>
      <c r="K10" s="25" t="s">
        <v>117</v>
      </c>
      <c r="L10" s="25" t="s">
        <v>118</v>
      </c>
    </row>
    <row r="11" customFormat="false" ht="15" hidden="false" customHeight="false" outlineLevel="0" collapsed="false">
      <c r="A11" s="23" t="n">
        <v>2</v>
      </c>
      <c r="B11" s="23" t="s">
        <v>46</v>
      </c>
      <c r="C11" s="23" t="s">
        <v>37</v>
      </c>
      <c r="D11" s="24" t="n">
        <v>212.58</v>
      </c>
      <c r="E11" s="24" t="n">
        <v>0</v>
      </c>
      <c r="F11" s="24" t="n">
        <v>0</v>
      </c>
      <c r="G11" s="24" t="n">
        <v>61.56</v>
      </c>
      <c r="H11" s="24" t="n">
        <v>7.73</v>
      </c>
      <c r="I11" s="24" t="n">
        <f aca="false">G11+H11</f>
        <v>69.29</v>
      </c>
      <c r="J11" s="24" t="n">
        <f aca="false">D11-I11</f>
        <v>143.29</v>
      </c>
      <c r="K11" s="25" t="s">
        <v>117</v>
      </c>
      <c r="L11" s="25" t="s">
        <v>118</v>
      </c>
    </row>
    <row r="12" customFormat="false" ht="15" hidden="false" customHeight="false" outlineLevel="0" collapsed="false">
      <c r="A12" s="23" t="n">
        <v>3</v>
      </c>
      <c r="B12" s="23" t="s">
        <v>47</v>
      </c>
      <c r="C12" s="23" t="s">
        <v>35</v>
      </c>
      <c r="D12" s="24" t="n">
        <v>11011.6</v>
      </c>
      <c r="E12" s="24" t="n">
        <v>0</v>
      </c>
      <c r="F12" s="24" t="n">
        <v>0</v>
      </c>
      <c r="G12" s="24" t="n">
        <v>6449.13</v>
      </c>
      <c r="H12" s="24" t="n">
        <v>649.69</v>
      </c>
      <c r="I12" s="24" t="n">
        <f aca="false">G12+H12</f>
        <v>7098.82</v>
      </c>
      <c r="J12" s="24" t="n">
        <f aca="false">D12-I12</f>
        <v>3912.78</v>
      </c>
      <c r="K12" s="25" t="s">
        <v>119</v>
      </c>
      <c r="L12" s="25" t="s">
        <v>120</v>
      </c>
    </row>
    <row r="13" customFormat="false" ht="15" hidden="false" customHeight="false" outlineLevel="0" collapsed="false">
      <c r="A13" s="23" t="n">
        <v>4</v>
      </c>
      <c r="B13" s="23" t="s">
        <v>48</v>
      </c>
      <c r="C13" s="23" t="s">
        <v>35</v>
      </c>
      <c r="D13" s="24" t="n">
        <v>19946.17</v>
      </c>
      <c r="E13" s="24" t="n">
        <v>0</v>
      </c>
      <c r="F13" s="24" t="n">
        <v>0</v>
      </c>
      <c r="G13" s="24" t="n">
        <v>19281.3</v>
      </c>
      <c r="H13" s="24" t="n">
        <v>0</v>
      </c>
      <c r="I13" s="24" t="n">
        <f aca="false">G13+H13</f>
        <v>19281.3</v>
      </c>
      <c r="J13" s="24" t="n">
        <f aca="false">D13-I13</f>
        <v>664.869999999999</v>
      </c>
      <c r="K13" s="25" t="s">
        <v>121</v>
      </c>
      <c r="L13" s="25" t="s">
        <v>122</v>
      </c>
    </row>
    <row r="14" customFormat="false" ht="15" hidden="false" customHeight="false" outlineLevel="0" collapsed="false">
      <c r="A14" s="26"/>
      <c r="B14" s="27" t="s">
        <v>53</v>
      </c>
      <c r="C14" s="26"/>
      <c r="D14" s="28" t="n">
        <f aca="false">SUM(D10:D13)</f>
        <v>147893.47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59924.23</v>
      </c>
      <c r="H14" s="28" t="n">
        <f aca="false">SUM(H10:H13)</f>
        <v>4901.9</v>
      </c>
      <c r="I14" s="28" t="n">
        <f aca="false">SUM(I10:I13)</f>
        <v>64826.13</v>
      </c>
      <c r="J14" s="28" t="n">
        <f aca="false">SUM(J10:J13)</f>
        <v>83067.34</v>
      </c>
      <c r="K14" s="26"/>
      <c r="L14" s="26"/>
    </row>
    <row r="16" customFormat="false" ht="15" hidden="false" customHeight="false" outlineLevel="0" collapsed="false">
      <c r="A16" s="21" t="s">
        <v>123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4" t="s">
        <v>105</v>
      </c>
      <c r="B17" s="4" t="s">
        <v>106</v>
      </c>
      <c r="C17" s="4" t="s">
        <v>107</v>
      </c>
      <c r="D17" s="4" t="s">
        <v>108</v>
      </c>
      <c r="E17" s="4" t="s">
        <v>109</v>
      </c>
      <c r="F17" s="4" t="s">
        <v>110</v>
      </c>
      <c r="G17" s="4" t="s">
        <v>111</v>
      </c>
      <c r="H17" s="4" t="s">
        <v>112</v>
      </c>
      <c r="I17" s="4" t="s">
        <v>113</v>
      </c>
      <c r="J17" s="4" t="s">
        <v>114</v>
      </c>
      <c r="K17" s="4" t="s">
        <v>115</v>
      </c>
      <c r="L17" s="4" t="s">
        <v>116</v>
      </c>
    </row>
    <row r="18" customFormat="false" ht="15" hidden="false" customHeight="false" outlineLevel="0" collapsed="false">
      <c r="A18" s="23" t="n">
        <v>1</v>
      </c>
      <c r="B18" s="23" t="s">
        <v>71</v>
      </c>
      <c r="C18" s="23" t="s">
        <v>35</v>
      </c>
      <c r="D18" s="24" t="n">
        <v>24387.48</v>
      </c>
      <c r="E18" s="24" t="n">
        <v>0</v>
      </c>
      <c r="F18" s="24" t="n">
        <v>0</v>
      </c>
      <c r="G18" s="24" t="n">
        <v>24387.48</v>
      </c>
      <c r="H18" s="24" t="n">
        <v>0</v>
      </c>
      <c r="I18" s="24" t="n">
        <f aca="false">G18+H18</f>
        <v>24387.48</v>
      </c>
      <c r="J18" s="24" t="n">
        <f aca="false">D18-I18</f>
        <v>0</v>
      </c>
      <c r="K18" s="25" t="s">
        <v>121</v>
      </c>
      <c r="L18" s="25" t="s">
        <v>122</v>
      </c>
    </row>
    <row r="19" customFormat="false" ht="15" hidden="false" customHeight="false" outlineLevel="0" collapsed="false">
      <c r="A19" s="23" t="n">
        <v>2</v>
      </c>
      <c r="B19" s="23" t="s">
        <v>72</v>
      </c>
      <c r="C19" s="23" t="s">
        <v>35</v>
      </c>
      <c r="D19" s="24" t="n">
        <v>92335.64</v>
      </c>
      <c r="E19" s="24" t="n">
        <v>0</v>
      </c>
      <c r="F19" s="24" t="n">
        <v>0</v>
      </c>
      <c r="G19" s="24" t="n">
        <v>27001.18</v>
      </c>
      <c r="H19" s="24" t="n">
        <v>3357.66</v>
      </c>
      <c r="I19" s="24" t="n">
        <f aca="false">G19+H19</f>
        <v>30358.84</v>
      </c>
      <c r="J19" s="24" t="n">
        <f aca="false">D19-I19</f>
        <v>61976.8</v>
      </c>
      <c r="K19" s="25" t="s">
        <v>117</v>
      </c>
      <c r="L19" s="25" t="s">
        <v>118</v>
      </c>
    </row>
    <row r="20" customFormat="false" ht="15" hidden="false" customHeight="false" outlineLevel="0" collapsed="false">
      <c r="A20" s="23" t="n">
        <v>3</v>
      </c>
      <c r="B20" s="23" t="s">
        <v>73</v>
      </c>
      <c r="C20" s="23" t="s">
        <v>37</v>
      </c>
      <c r="D20" s="24" t="n">
        <v>44.42</v>
      </c>
      <c r="E20" s="24" t="n">
        <v>0</v>
      </c>
      <c r="F20" s="24" t="n">
        <v>0</v>
      </c>
      <c r="G20" s="24" t="n">
        <v>44.42</v>
      </c>
      <c r="H20" s="24" t="n">
        <v>0</v>
      </c>
      <c r="I20" s="24" t="n">
        <f aca="false">G20+H20</f>
        <v>44.42</v>
      </c>
      <c r="J20" s="24" t="n">
        <f aca="false">D20-I20</f>
        <v>0</v>
      </c>
      <c r="K20" s="25" t="s">
        <v>121</v>
      </c>
      <c r="L20" s="25" t="s">
        <v>122</v>
      </c>
    </row>
    <row r="21" customFormat="false" ht="15" hidden="false" customHeight="false" outlineLevel="0" collapsed="false">
      <c r="A21" s="23" t="n">
        <v>4</v>
      </c>
      <c r="B21" s="23" t="s">
        <v>74</v>
      </c>
      <c r="C21" s="23" t="s">
        <v>37</v>
      </c>
      <c r="D21" s="24" t="n">
        <v>168.16</v>
      </c>
      <c r="E21" s="24" t="n">
        <v>0</v>
      </c>
      <c r="F21" s="24" t="n">
        <v>0</v>
      </c>
      <c r="G21" s="24" t="n">
        <v>48.63</v>
      </c>
      <c r="H21" s="24" t="n">
        <v>6.11</v>
      </c>
      <c r="I21" s="24" t="n">
        <f aca="false">G21+H21</f>
        <v>54.74</v>
      </c>
      <c r="J21" s="24" t="n">
        <f aca="false">D21-I21</f>
        <v>113.42</v>
      </c>
      <c r="K21" s="25" t="s">
        <v>117</v>
      </c>
      <c r="L21" s="25" t="s">
        <v>118</v>
      </c>
    </row>
    <row r="22" customFormat="false" ht="15" hidden="false" customHeight="false" outlineLevel="0" collapsed="false">
      <c r="A22" s="23" t="n">
        <v>5</v>
      </c>
      <c r="B22" s="23" t="s">
        <v>75</v>
      </c>
      <c r="C22" s="23" t="s">
        <v>35</v>
      </c>
      <c r="D22" s="24" t="n">
        <v>2300.7</v>
      </c>
      <c r="E22" s="24" t="n">
        <v>0</v>
      </c>
      <c r="F22" s="24" t="n">
        <v>0</v>
      </c>
      <c r="G22" s="24" t="n">
        <v>2300.7</v>
      </c>
      <c r="H22" s="24" t="n">
        <v>0</v>
      </c>
      <c r="I22" s="24" t="n">
        <f aca="false">G22+H22</f>
        <v>2300.7</v>
      </c>
      <c r="J22" s="24" t="n">
        <f aca="false">D22-I22</f>
        <v>0</v>
      </c>
      <c r="K22" s="25" t="s">
        <v>121</v>
      </c>
      <c r="L22" s="25" t="s">
        <v>122</v>
      </c>
    </row>
    <row r="23" customFormat="false" ht="15" hidden="false" customHeight="false" outlineLevel="0" collapsed="false">
      <c r="A23" s="23" t="n">
        <v>6</v>
      </c>
      <c r="B23" s="23" t="s">
        <v>76</v>
      </c>
      <c r="C23" s="23" t="s">
        <v>35</v>
      </c>
      <c r="D23" s="24" t="n">
        <v>8710.9</v>
      </c>
      <c r="E23" s="24" t="n">
        <v>0</v>
      </c>
      <c r="F23" s="24" t="n">
        <v>0</v>
      </c>
      <c r="G23" s="24" t="n">
        <v>2547.28</v>
      </c>
      <c r="H23" s="24" t="n">
        <v>316.76</v>
      </c>
      <c r="I23" s="24" t="n">
        <f aca="false">G23+H23</f>
        <v>2864.04</v>
      </c>
      <c r="J23" s="24" t="n">
        <f aca="false">D23-I23</f>
        <v>5846.86</v>
      </c>
      <c r="K23" s="25" t="s">
        <v>117</v>
      </c>
      <c r="L23" s="25" t="s">
        <v>118</v>
      </c>
    </row>
    <row r="24" customFormat="false" ht="15" hidden="false" customHeight="false" outlineLevel="0" collapsed="false">
      <c r="A24" s="23" t="n">
        <v>7</v>
      </c>
      <c r="B24" s="23" t="s">
        <v>77</v>
      </c>
      <c r="C24" s="23" t="s">
        <v>35</v>
      </c>
      <c r="D24" s="24" t="n">
        <v>4167.44</v>
      </c>
      <c r="E24" s="24" t="n">
        <v>0</v>
      </c>
      <c r="F24" s="24" t="n">
        <v>0</v>
      </c>
      <c r="G24" s="24" t="n">
        <v>4167.44</v>
      </c>
      <c r="H24" s="24" t="n">
        <v>0</v>
      </c>
      <c r="I24" s="24" t="n">
        <f aca="false">G24+H24</f>
        <v>4167.44</v>
      </c>
      <c r="J24" s="24" t="n">
        <f aca="false">D24-I24</f>
        <v>0</v>
      </c>
      <c r="K24" s="25" t="s">
        <v>121</v>
      </c>
      <c r="L24" s="25" t="s">
        <v>122</v>
      </c>
    </row>
    <row r="25" customFormat="false" ht="15" hidden="false" customHeight="false" outlineLevel="0" collapsed="false">
      <c r="A25" s="23" t="n">
        <v>8</v>
      </c>
      <c r="B25" s="23" t="s">
        <v>78</v>
      </c>
      <c r="C25" s="23" t="s">
        <v>35</v>
      </c>
      <c r="D25" s="24" t="n">
        <v>15778.73</v>
      </c>
      <c r="E25" s="24" t="n">
        <v>0</v>
      </c>
      <c r="F25" s="24" t="n">
        <v>0</v>
      </c>
      <c r="G25" s="24" t="n">
        <v>4614.07</v>
      </c>
      <c r="H25" s="24" t="n">
        <v>573.77</v>
      </c>
      <c r="I25" s="24" t="n">
        <f aca="false">G25+H25</f>
        <v>5187.84</v>
      </c>
      <c r="J25" s="24" t="n">
        <f aca="false">D25-I25</f>
        <v>10590.89</v>
      </c>
      <c r="K25" s="25" t="s">
        <v>117</v>
      </c>
      <c r="L25" s="25" t="s">
        <v>118</v>
      </c>
    </row>
    <row r="26" customFormat="false" ht="15" hidden="false" customHeight="false" outlineLevel="0" collapsed="false">
      <c r="A26" s="26"/>
      <c r="B26" s="27" t="s">
        <v>53</v>
      </c>
      <c r="C26" s="26"/>
      <c r="D26" s="28" t="n">
        <f aca="false">SUM(D18:D25)</f>
        <v>147893.47</v>
      </c>
      <c r="E26" s="28" t="n">
        <f aca="false">SUM(E18:E25)</f>
        <v>0</v>
      </c>
      <c r="F26" s="28" t="n">
        <f aca="false">SUM(F18:F25)</f>
        <v>0</v>
      </c>
      <c r="G26" s="28" t="n">
        <f aca="false">SUM(G18:G25)</f>
        <v>65111.2</v>
      </c>
      <c r="H26" s="28" t="n">
        <f aca="false">SUM(H18:H25)</f>
        <v>4254.3</v>
      </c>
      <c r="I26" s="28" t="n">
        <f aca="false">SUM(I18:I25)</f>
        <v>69365.5</v>
      </c>
      <c r="J26" s="28" t="n">
        <f aca="false">SUM(J18:J25)</f>
        <v>78527.97</v>
      </c>
      <c r="K26" s="26"/>
      <c r="L26" s="26"/>
    </row>
    <row r="28" customFormat="false" ht="15" hidden="false" customHeight="false" outlineLevel="0" collapsed="false">
      <c r="B28" s="18" t="s">
        <v>124</v>
      </c>
    </row>
    <row r="29" customFormat="false" ht="15" hidden="false" customHeight="false" outlineLevel="0" collapsed="false">
      <c r="B29" s="5" t="s">
        <v>125</v>
      </c>
      <c r="D29" s="6" t="n">
        <f aca="false">I14</f>
        <v>64826.13</v>
      </c>
    </row>
    <row r="30" customFormat="false" ht="15" hidden="false" customHeight="false" outlineLevel="0" collapsed="false">
      <c r="B30" s="5" t="s">
        <v>126</v>
      </c>
      <c r="D30" s="6" t="n">
        <f aca="false">I26</f>
        <v>69365.5</v>
      </c>
    </row>
    <row r="31" customFormat="false" ht="15" hidden="false" customHeight="false" outlineLevel="0" collapsed="false">
      <c r="B31" s="11" t="s">
        <v>124</v>
      </c>
      <c r="D31" s="29" t="n">
        <f aca="false">D29-D30</f>
        <v>-4539.37</v>
      </c>
    </row>
    <row r="33" customFormat="false" ht="15" hidden="false" customHeight="false" outlineLevel="0" collapsed="false">
      <c r="A33" s="10" t="s">
        <v>127</v>
      </c>
    </row>
    <row r="34" customFormat="false" ht="15" hidden="false" customHeight="false" outlineLevel="0" collapsed="false">
      <c r="A34" s="21" t="s">
        <v>128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4" t="s">
        <v>105</v>
      </c>
      <c r="B35" s="4" t="s">
        <v>106</v>
      </c>
      <c r="C35" s="4" t="s">
        <v>107</v>
      </c>
      <c r="D35" s="4" t="s">
        <v>108</v>
      </c>
      <c r="E35" s="4" t="s">
        <v>109</v>
      </c>
      <c r="F35" s="4" t="s">
        <v>110</v>
      </c>
      <c r="G35" s="4" t="s">
        <v>129</v>
      </c>
      <c r="H35" s="4" t="s">
        <v>130</v>
      </c>
      <c r="I35" s="4" t="s">
        <v>113</v>
      </c>
      <c r="J35" s="4" t="s">
        <v>114</v>
      </c>
      <c r="K35" s="4" t="s">
        <v>115</v>
      </c>
      <c r="L35" s="4" t="s">
        <v>116</v>
      </c>
    </row>
    <row r="36" customFormat="false" ht="15" hidden="false" customHeight="false" outlineLevel="0" collapsed="false">
      <c r="A36" s="23" t="n">
        <v>1</v>
      </c>
      <c r="B36" s="23" t="s">
        <v>45</v>
      </c>
      <c r="C36" s="23" t="s">
        <v>35</v>
      </c>
      <c r="D36" s="24" t="n">
        <v>116723.12</v>
      </c>
      <c r="E36" s="24" t="n">
        <v>0</v>
      </c>
      <c r="F36" s="24" t="n">
        <v>0</v>
      </c>
      <c r="G36" s="24" t="n">
        <v>34132.24</v>
      </c>
      <c r="H36" s="24" t="n">
        <v>4244.48</v>
      </c>
      <c r="I36" s="24" t="n">
        <f aca="false">G36+H36</f>
        <v>38376.72</v>
      </c>
      <c r="J36" s="24" t="n">
        <f aca="false">D36-I36</f>
        <v>78346.4</v>
      </c>
      <c r="K36" s="25" t="s">
        <v>117</v>
      </c>
      <c r="L36" s="25" t="s">
        <v>118</v>
      </c>
    </row>
    <row r="37" customFormat="false" ht="15" hidden="false" customHeight="false" outlineLevel="0" collapsed="false">
      <c r="A37" s="23" t="n">
        <v>2</v>
      </c>
      <c r="B37" s="23" t="s">
        <v>46</v>
      </c>
      <c r="C37" s="23" t="s">
        <v>37</v>
      </c>
      <c r="D37" s="24" t="n">
        <v>212.58</v>
      </c>
      <c r="E37" s="24" t="n">
        <v>0</v>
      </c>
      <c r="F37" s="24" t="n">
        <v>0</v>
      </c>
      <c r="G37" s="24" t="n">
        <v>61.56</v>
      </c>
      <c r="H37" s="24" t="n">
        <v>7.73</v>
      </c>
      <c r="I37" s="24" t="n">
        <f aca="false">G37+H37</f>
        <v>69.29</v>
      </c>
      <c r="J37" s="24" t="n">
        <f aca="false">D37-I37</f>
        <v>143.29</v>
      </c>
      <c r="K37" s="25" t="s">
        <v>117</v>
      </c>
      <c r="L37" s="25" t="s">
        <v>118</v>
      </c>
    </row>
    <row r="38" customFormat="false" ht="15" hidden="false" customHeight="false" outlineLevel="0" collapsed="false">
      <c r="A38" s="23" t="n">
        <v>3</v>
      </c>
      <c r="B38" s="23" t="s">
        <v>47</v>
      </c>
      <c r="C38" s="23" t="s">
        <v>35</v>
      </c>
      <c r="D38" s="24" t="n">
        <v>11011.6</v>
      </c>
      <c r="E38" s="24" t="n">
        <v>0</v>
      </c>
      <c r="F38" s="24" t="n">
        <v>0</v>
      </c>
      <c r="G38" s="24" t="n">
        <v>6449.13</v>
      </c>
      <c r="H38" s="24" t="n">
        <v>649.69</v>
      </c>
      <c r="I38" s="24" t="n">
        <f aca="false">G38+H38</f>
        <v>7098.82</v>
      </c>
      <c r="J38" s="24" t="n">
        <f aca="false">D38-I38</f>
        <v>3912.78</v>
      </c>
      <c r="K38" s="25" t="s">
        <v>119</v>
      </c>
      <c r="L38" s="25" t="s">
        <v>120</v>
      </c>
    </row>
    <row r="39" customFormat="false" ht="15" hidden="false" customHeight="false" outlineLevel="0" collapsed="false">
      <c r="A39" s="23" t="n">
        <v>4</v>
      </c>
      <c r="B39" s="23" t="s">
        <v>48</v>
      </c>
      <c r="C39" s="23" t="s">
        <v>35</v>
      </c>
      <c r="D39" s="24" t="n">
        <v>19946.17</v>
      </c>
      <c r="E39" s="24" t="n">
        <v>0</v>
      </c>
      <c r="F39" s="24" t="n">
        <v>0</v>
      </c>
      <c r="G39" s="24" t="n">
        <v>19281.3</v>
      </c>
      <c r="H39" s="24" t="n">
        <v>0</v>
      </c>
      <c r="I39" s="24" t="n">
        <f aca="false">G39+H39</f>
        <v>19281.3</v>
      </c>
      <c r="J39" s="24" t="n">
        <f aca="false">D39-I39</f>
        <v>664.869999999999</v>
      </c>
      <c r="K39" s="25" t="s">
        <v>121</v>
      </c>
      <c r="L39" s="25" t="s">
        <v>122</v>
      </c>
    </row>
    <row r="40" customFormat="false" ht="15" hidden="false" customHeight="false" outlineLevel="0" collapsed="false">
      <c r="A40" s="26"/>
      <c r="B40" s="27" t="s">
        <v>53</v>
      </c>
      <c r="C40" s="26"/>
      <c r="D40" s="28" t="n">
        <f aca="false">SUM(D36:D39)</f>
        <v>147893.47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59924.23</v>
      </c>
      <c r="H40" s="28" t="n">
        <f aca="false">SUM(H36:H39)</f>
        <v>4901.9</v>
      </c>
      <c r="I40" s="28" t="n">
        <f aca="false">SUM(I36:I39)</f>
        <v>64826.13</v>
      </c>
      <c r="J40" s="28" t="n">
        <f aca="false">SUM(J36:J39)</f>
        <v>83067.34</v>
      </c>
      <c r="K40" s="26"/>
      <c r="L40" s="26"/>
    </row>
    <row r="42" customFormat="false" ht="15" hidden="false" customHeight="false" outlineLevel="0" collapsed="false">
      <c r="A42" s="21" t="s">
        <v>131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4" t="s">
        <v>105</v>
      </c>
      <c r="B43" s="4" t="s">
        <v>106</v>
      </c>
      <c r="C43" s="4" t="s">
        <v>107</v>
      </c>
      <c r="D43" s="4" t="s">
        <v>108</v>
      </c>
      <c r="E43" s="4" t="s">
        <v>109</v>
      </c>
      <c r="F43" s="4" t="s">
        <v>110</v>
      </c>
      <c r="G43" s="4" t="s">
        <v>129</v>
      </c>
      <c r="H43" s="4" t="s">
        <v>130</v>
      </c>
      <c r="I43" s="4" t="s">
        <v>113</v>
      </c>
      <c r="J43" s="4" t="s">
        <v>114</v>
      </c>
      <c r="K43" s="4" t="s">
        <v>115</v>
      </c>
      <c r="L43" s="4" t="s">
        <v>116</v>
      </c>
    </row>
    <row r="44" customFormat="false" ht="15" hidden="false" customHeight="false" outlineLevel="0" collapsed="false">
      <c r="A44" s="23" t="n">
        <v>1</v>
      </c>
      <c r="B44" s="23" t="s">
        <v>71</v>
      </c>
      <c r="C44" s="23" t="s">
        <v>35</v>
      </c>
      <c r="D44" s="24" t="n">
        <v>24387.48</v>
      </c>
      <c r="E44" s="24" t="n">
        <v>0</v>
      </c>
      <c r="F44" s="24" t="n">
        <v>0</v>
      </c>
      <c r="G44" s="24" t="n">
        <v>24387.48</v>
      </c>
      <c r="H44" s="24" t="n">
        <v>0</v>
      </c>
      <c r="I44" s="24" t="n">
        <f aca="false">G44+H44</f>
        <v>24387.48</v>
      </c>
      <c r="J44" s="24" t="n">
        <f aca="false">D44-I44</f>
        <v>0</v>
      </c>
      <c r="K44" s="25" t="s">
        <v>121</v>
      </c>
      <c r="L44" s="25" t="s">
        <v>122</v>
      </c>
    </row>
    <row r="45" customFormat="false" ht="15" hidden="false" customHeight="false" outlineLevel="0" collapsed="false">
      <c r="A45" s="23" t="n">
        <v>2</v>
      </c>
      <c r="B45" s="23" t="s">
        <v>72</v>
      </c>
      <c r="C45" s="23" t="s">
        <v>35</v>
      </c>
      <c r="D45" s="24" t="n">
        <v>92335.64</v>
      </c>
      <c r="E45" s="24" t="n">
        <v>0</v>
      </c>
      <c r="F45" s="24" t="n">
        <v>0</v>
      </c>
      <c r="G45" s="24" t="n">
        <v>27001.18</v>
      </c>
      <c r="H45" s="24" t="n">
        <v>3357.66</v>
      </c>
      <c r="I45" s="24" t="n">
        <f aca="false">G45+H45</f>
        <v>30358.84</v>
      </c>
      <c r="J45" s="24" t="n">
        <f aca="false">D45-I45</f>
        <v>61976.8</v>
      </c>
      <c r="K45" s="25" t="s">
        <v>117</v>
      </c>
      <c r="L45" s="25" t="s">
        <v>118</v>
      </c>
    </row>
    <row r="46" customFormat="false" ht="15" hidden="false" customHeight="false" outlineLevel="0" collapsed="false">
      <c r="A46" s="23" t="n">
        <v>3</v>
      </c>
      <c r="B46" s="23" t="s">
        <v>73</v>
      </c>
      <c r="C46" s="23" t="s">
        <v>37</v>
      </c>
      <c r="D46" s="24" t="n">
        <v>44.42</v>
      </c>
      <c r="E46" s="24" t="n">
        <v>0</v>
      </c>
      <c r="F46" s="24" t="n">
        <v>0</v>
      </c>
      <c r="G46" s="24" t="n">
        <v>44.42</v>
      </c>
      <c r="H46" s="24" t="n">
        <v>0</v>
      </c>
      <c r="I46" s="24" t="n">
        <f aca="false">G46+H46</f>
        <v>44.42</v>
      </c>
      <c r="J46" s="24" t="n">
        <f aca="false">D46-I46</f>
        <v>0</v>
      </c>
      <c r="K46" s="25" t="s">
        <v>121</v>
      </c>
      <c r="L46" s="25" t="s">
        <v>122</v>
      </c>
    </row>
    <row r="47" customFormat="false" ht="15" hidden="false" customHeight="false" outlineLevel="0" collapsed="false">
      <c r="A47" s="23" t="n">
        <v>4</v>
      </c>
      <c r="B47" s="23" t="s">
        <v>74</v>
      </c>
      <c r="C47" s="23" t="s">
        <v>37</v>
      </c>
      <c r="D47" s="24" t="n">
        <v>168.16</v>
      </c>
      <c r="E47" s="24" t="n">
        <v>0</v>
      </c>
      <c r="F47" s="24" t="n">
        <v>0</v>
      </c>
      <c r="G47" s="24" t="n">
        <v>48.63</v>
      </c>
      <c r="H47" s="24" t="n">
        <v>6.11</v>
      </c>
      <c r="I47" s="24" t="n">
        <f aca="false">G47+H47</f>
        <v>54.74</v>
      </c>
      <c r="J47" s="24" t="n">
        <f aca="false">D47-I47</f>
        <v>113.42</v>
      </c>
      <c r="K47" s="25" t="s">
        <v>117</v>
      </c>
      <c r="L47" s="25" t="s">
        <v>118</v>
      </c>
    </row>
    <row r="48" customFormat="false" ht="15" hidden="false" customHeight="false" outlineLevel="0" collapsed="false">
      <c r="A48" s="23" t="n">
        <v>5</v>
      </c>
      <c r="B48" s="23" t="s">
        <v>75</v>
      </c>
      <c r="C48" s="23" t="s">
        <v>35</v>
      </c>
      <c r="D48" s="24" t="n">
        <v>2300.7</v>
      </c>
      <c r="E48" s="24" t="n">
        <v>0</v>
      </c>
      <c r="F48" s="24" t="n">
        <v>0</v>
      </c>
      <c r="G48" s="24" t="n">
        <v>2300.7</v>
      </c>
      <c r="H48" s="24" t="n">
        <v>0</v>
      </c>
      <c r="I48" s="24" t="n">
        <f aca="false">G48+H48</f>
        <v>2300.7</v>
      </c>
      <c r="J48" s="24" t="n">
        <f aca="false">D48-I48</f>
        <v>0</v>
      </c>
      <c r="K48" s="25" t="s">
        <v>121</v>
      </c>
      <c r="L48" s="25" t="s">
        <v>122</v>
      </c>
    </row>
    <row r="49" customFormat="false" ht="15" hidden="false" customHeight="false" outlineLevel="0" collapsed="false">
      <c r="A49" s="23" t="n">
        <v>6</v>
      </c>
      <c r="B49" s="23" t="s">
        <v>76</v>
      </c>
      <c r="C49" s="23" t="s">
        <v>35</v>
      </c>
      <c r="D49" s="24" t="n">
        <v>8710.9</v>
      </c>
      <c r="E49" s="24" t="n">
        <v>0</v>
      </c>
      <c r="F49" s="24" t="n">
        <v>0</v>
      </c>
      <c r="G49" s="24" t="n">
        <v>2547.28</v>
      </c>
      <c r="H49" s="24" t="n">
        <v>316.76</v>
      </c>
      <c r="I49" s="24" t="n">
        <f aca="false">G49+H49</f>
        <v>2864.04</v>
      </c>
      <c r="J49" s="24" t="n">
        <f aca="false">D49-I49</f>
        <v>5846.86</v>
      </c>
      <c r="K49" s="25" t="s">
        <v>117</v>
      </c>
      <c r="L49" s="25" t="s">
        <v>118</v>
      </c>
    </row>
    <row r="50" customFormat="false" ht="15" hidden="false" customHeight="false" outlineLevel="0" collapsed="false">
      <c r="A50" s="23" t="n">
        <v>7</v>
      </c>
      <c r="B50" s="23" t="s">
        <v>77</v>
      </c>
      <c r="C50" s="23" t="s">
        <v>35</v>
      </c>
      <c r="D50" s="24" t="n">
        <v>4167.44</v>
      </c>
      <c r="E50" s="24" t="n">
        <v>0</v>
      </c>
      <c r="F50" s="24" t="n">
        <v>0</v>
      </c>
      <c r="G50" s="24" t="n">
        <v>4167.44</v>
      </c>
      <c r="H50" s="24" t="n">
        <v>0</v>
      </c>
      <c r="I50" s="24" t="n">
        <f aca="false">G50+H50</f>
        <v>4167.44</v>
      </c>
      <c r="J50" s="24" t="n">
        <f aca="false">D50-I50</f>
        <v>0</v>
      </c>
      <c r="K50" s="25" t="s">
        <v>121</v>
      </c>
      <c r="L50" s="25" t="s">
        <v>122</v>
      </c>
    </row>
    <row r="51" customFormat="false" ht="15" hidden="false" customHeight="false" outlineLevel="0" collapsed="false">
      <c r="A51" s="23" t="n">
        <v>8</v>
      </c>
      <c r="B51" s="23" t="s">
        <v>78</v>
      </c>
      <c r="C51" s="23" t="s">
        <v>35</v>
      </c>
      <c r="D51" s="24" t="n">
        <v>15778.73</v>
      </c>
      <c r="E51" s="24" t="n">
        <v>0</v>
      </c>
      <c r="F51" s="24" t="n">
        <v>0</v>
      </c>
      <c r="G51" s="24" t="n">
        <v>4614.07</v>
      </c>
      <c r="H51" s="24" t="n">
        <v>573.77</v>
      </c>
      <c r="I51" s="24" t="n">
        <f aca="false">G51+H51</f>
        <v>5187.84</v>
      </c>
      <c r="J51" s="24" t="n">
        <f aca="false">D51-I51</f>
        <v>10590.89</v>
      </c>
      <c r="K51" s="25" t="s">
        <v>117</v>
      </c>
      <c r="L51" s="25" t="s">
        <v>118</v>
      </c>
    </row>
    <row r="52" customFormat="false" ht="15" hidden="false" customHeight="false" outlineLevel="0" collapsed="false">
      <c r="A52" s="26"/>
      <c r="B52" s="27" t="s">
        <v>53</v>
      </c>
      <c r="C52" s="26"/>
      <c r="D52" s="28" t="n">
        <f aca="false">SUM(D44:D51)</f>
        <v>147893.47</v>
      </c>
      <c r="E52" s="28" t="n">
        <f aca="false">SUM(E44:E51)</f>
        <v>0</v>
      </c>
      <c r="F52" s="28" t="n">
        <f aca="false">SUM(F44:F51)</f>
        <v>0</v>
      </c>
      <c r="G52" s="28" t="n">
        <f aca="false">SUM(G44:G51)</f>
        <v>65111.2</v>
      </c>
      <c r="H52" s="28" t="n">
        <f aca="false">SUM(H44:H51)</f>
        <v>4254.3</v>
      </c>
      <c r="I52" s="28" t="n">
        <f aca="false">SUM(I44:I51)</f>
        <v>69365.5</v>
      </c>
      <c r="J52" s="28" t="n">
        <f aca="false">SUM(J44:J51)</f>
        <v>78527.97</v>
      </c>
      <c r="K52" s="26"/>
      <c r="L52" s="26"/>
    </row>
    <row r="54" customFormat="false" ht="15" hidden="false" customHeight="false" outlineLevel="0" collapsed="false">
      <c r="B54" s="18" t="s">
        <v>132</v>
      </c>
    </row>
    <row r="55" customFormat="false" ht="15" hidden="false" customHeight="false" outlineLevel="0" collapsed="false">
      <c r="B55" s="5" t="s">
        <v>125</v>
      </c>
      <c r="D55" s="6" t="n">
        <f aca="false">I40</f>
        <v>64826.13</v>
      </c>
    </row>
    <row r="56" customFormat="false" ht="15" hidden="false" customHeight="false" outlineLevel="0" collapsed="false">
      <c r="B56" s="5" t="s">
        <v>126</v>
      </c>
      <c r="D56" s="6" t="n">
        <f aca="false">I52</f>
        <v>69365.5</v>
      </c>
    </row>
    <row r="57" customFormat="false" ht="15" hidden="false" customHeight="false" outlineLevel="0" collapsed="false">
      <c r="B57" s="11" t="s">
        <v>132</v>
      </c>
      <c r="D57" s="29" t="n">
        <f aca="false">D55-D56</f>
        <v>-4539.37</v>
      </c>
    </row>
    <row r="59" customFormat="false" ht="15" hidden="false" customHeight="false" outlineLevel="0" collapsed="false">
      <c r="A59" s="10" t="s">
        <v>133</v>
      </c>
    </row>
    <row r="60" customFormat="false" ht="15" hidden="false" customHeight="false" outlineLevel="0" collapsed="false">
      <c r="B60" s="11" t="s">
        <v>162</v>
      </c>
      <c r="D60" s="12" t="n">
        <f aca="false">D98</f>
        <v>147893.47</v>
      </c>
    </row>
    <row r="61" customFormat="false" ht="15" hidden="false" customHeight="false" outlineLevel="0" collapsed="false">
      <c r="B61" s="5" t="s">
        <v>163</v>
      </c>
      <c r="D61" s="6" t="n">
        <f aca="false">F98</f>
        <v>30900.04</v>
      </c>
    </row>
    <row r="62" customFormat="false" ht="15" hidden="false" customHeight="false" outlineLevel="0" collapsed="false">
      <c r="B62" s="30" t="s">
        <v>136</v>
      </c>
      <c r="D62" s="31" t="n">
        <f aca="false">F99</f>
        <v>0.208934444502519</v>
      </c>
    </row>
    <row r="63" customFormat="false" ht="15" hidden="false" customHeight="false" outlineLevel="0" collapsed="false">
      <c r="B63" s="5" t="s">
        <v>164</v>
      </c>
      <c r="D63" s="6" t="n">
        <f aca="false">H98</f>
        <v>116993.43</v>
      </c>
    </row>
    <row r="64" customFormat="false" ht="15" hidden="false" customHeight="false" outlineLevel="0" collapsed="false">
      <c r="B64" s="30" t="s">
        <v>136</v>
      </c>
      <c r="D64" s="31" t="n">
        <f aca="false">H99</f>
        <v>0.791065555497481</v>
      </c>
    </row>
    <row r="66" customFormat="false" ht="15" hidden="false" customHeight="false" outlineLevel="0" collapsed="false">
      <c r="A66" s="10" t="s">
        <v>138</v>
      </c>
    </row>
    <row r="67" customFormat="false" ht="15" hidden="false" customHeight="false" outlineLevel="0" collapsed="false">
      <c r="B67" s="4" t="s">
        <v>139</v>
      </c>
      <c r="D67" s="4" t="s">
        <v>108</v>
      </c>
      <c r="F67" s="4" t="s">
        <v>165</v>
      </c>
      <c r="H67" s="4" t="s">
        <v>141</v>
      </c>
    </row>
    <row r="68" customFormat="false" ht="15" hidden="false" customHeight="false" outlineLevel="0" collapsed="false">
      <c r="B68" s="32" t="s">
        <v>166</v>
      </c>
    </row>
    <row r="69" customFormat="false" ht="15" hidden="false" customHeight="false" outlineLevel="0" collapsed="false">
      <c r="B69" s="5" t="s">
        <v>167</v>
      </c>
      <c r="D69" s="33" t="n">
        <f aca="false">SUM(F69:H69)</f>
        <v>4901.61</v>
      </c>
      <c r="F69" s="33" t="n">
        <v>4901.61</v>
      </c>
    </row>
    <row r="70" customFormat="false" ht="15" hidden="false" customHeight="false" outlineLevel="0" collapsed="false">
      <c r="B70" s="5" t="s">
        <v>168</v>
      </c>
      <c r="D70" s="33" t="n">
        <f aca="false">SUM(F70:H70)</f>
        <v>2185.54</v>
      </c>
      <c r="F70" s="33" t="n">
        <v>2185.54</v>
      </c>
    </row>
    <row r="71" customFormat="false" ht="15" hidden="false" customHeight="false" outlineLevel="0" collapsed="false">
      <c r="B71" s="5" t="s">
        <v>169</v>
      </c>
      <c r="D71" s="33" t="n">
        <f aca="false">SUM(F71:H71)</f>
        <v>11385.26</v>
      </c>
      <c r="F71" s="33" t="n">
        <v>11385.26</v>
      </c>
    </row>
    <row r="72" customFormat="false" ht="15" hidden="false" customHeight="false" outlineLevel="0" collapsed="false">
      <c r="B72" s="5" t="s">
        <v>171</v>
      </c>
      <c r="D72" s="33" t="n">
        <f aca="false">SUM(F72:H72)</f>
        <v>589.62</v>
      </c>
      <c r="F72" s="33" t="n">
        <v>589.62</v>
      </c>
    </row>
    <row r="73" customFormat="false" ht="15" hidden="false" customHeight="false" outlineLevel="0" collapsed="false">
      <c r="B73" s="5" t="s">
        <v>196</v>
      </c>
      <c r="D73" s="33" t="n">
        <f aca="false">SUM(F73:H73)</f>
        <v>183.29</v>
      </c>
      <c r="F73" s="33" t="n">
        <v>183.29</v>
      </c>
    </row>
    <row r="74" customFormat="false" ht="15" hidden="false" customHeight="false" outlineLevel="0" collapsed="false">
      <c r="B74" s="5" t="s">
        <v>197</v>
      </c>
      <c r="D74" s="33" t="n">
        <f aca="false">SUM(F74:H74)</f>
        <v>96.76</v>
      </c>
      <c r="F74" s="33" t="n">
        <v>96.76</v>
      </c>
    </row>
    <row r="75" customFormat="false" ht="15" hidden="false" customHeight="false" outlineLevel="0" collapsed="false">
      <c r="B75" s="5" t="s">
        <v>172</v>
      </c>
      <c r="D75" s="33" t="n">
        <f aca="false">SUM(F75:H75)</f>
        <v>2980.97</v>
      </c>
      <c r="F75" s="33" t="n">
        <v>2980.97</v>
      </c>
    </row>
    <row r="76" customFormat="false" ht="15" hidden="false" customHeight="false" outlineLevel="0" collapsed="false">
      <c r="B76" s="5" t="s">
        <v>173</v>
      </c>
      <c r="D76" s="33" t="n">
        <f aca="false">SUM(F76:H76)</f>
        <v>994.55</v>
      </c>
      <c r="F76" s="33" t="n">
        <v>994.55</v>
      </c>
    </row>
    <row r="77" customFormat="false" ht="15" hidden="false" customHeight="false" outlineLevel="0" collapsed="false">
      <c r="B77" s="5" t="s">
        <v>198</v>
      </c>
      <c r="D77" s="33" t="n">
        <f aca="false">SUM(F77:H77)</f>
        <v>3427.41</v>
      </c>
      <c r="F77" s="33" t="n">
        <v>3427.41</v>
      </c>
    </row>
    <row r="78" customFormat="false" ht="15" hidden="false" customHeight="false" outlineLevel="0" collapsed="false">
      <c r="B78" s="5" t="s">
        <v>175</v>
      </c>
      <c r="D78" s="33" t="n">
        <f aca="false">SUM(F78:H78)</f>
        <v>428.96</v>
      </c>
      <c r="F78" s="33" t="n">
        <v>428.96</v>
      </c>
    </row>
    <row r="79" customFormat="false" ht="15" hidden="false" customHeight="false" outlineLevel="0" collapsed="false">
      <c r="B79" s="5" t="s">
        <v>199</v>
      </c>
      <c r="D79" s="33" t="n">
        <f aca="false">SUM(F79:H79)</f>
        <v>43.2</v>
      </c>
      <c r="F79" s="33" t="n">
        <v>43.2</v>
      </c>
    </row>
    <row r="80" customFormat="false" ht="15" hidden="false" customHeight="false" outlineLevel="0" collapsed="false">
      <c r="B80" s="5" t="s">
        <v>200</v>
      </c>
      <c r="D80" s="33" t="n">
        <f aca="false">SUM(F80:H80)</f>
        <v>3682.87</v>
      </c>
      <c r="F80" s="33" t="n">
        <v>3682.87</v>
      </c>
    </row>
    <row r="81" customFormat="false" ht="15" hidden="false" customHeight="false" outlineLevel="0" collapsed="false">
      <c r="B81" s="32" t="s">
        <v>177</v>
      </c>
    </row>
    <row r="82" customFormat="false" ht="15" hidden="false" customHeight="false" outlineLevel="0" collapsed="false">
      <c r="B82" s="5" t="s">
        <v>178</v>
      </c>
      <c r="D82" s="33" t="n">
        <f aca="false">SUM(F82:H82)</f>
        <v>8561.68</v>
      </c>
      <c r="H82" s="33" t="n">
        <v>8561.68</v>
      </c>
    </row>
    <row r="83" customFormat="false" ht="15" hidden="false" customHeight="false" outlineLevel="0" collapsed="false">
      <c r="B83" s="5" t="s">
        <v>179</v>
      </c>
      <c r="D83" s="33" t="n">
        <f aca="false">SUM(F83:H83)</f>
        <v>16225.62</v>
      </c>
      <c r="H83" s="33" t="n">
        <v>16225.62</v>
      </c>
    </row>
    <row r="84" customFormat="false" ht="15" hidden="false" customHeight="false" outlineLevel="0" collapsed="false">
      <c r="B84" s="5" t="s">
        <v>180</v>
      </c>
      <c r="D84" s="33" t="n">
        <f aca="false">SUM(F84:H84)</f>
        <v>10992.55</v>
      </c>
      <c r="H84" s="33" t="n">
        <v>10992.55</v>
      </c>
    </row>
    <row r="85" customFormat="false" ht="15" hidden="false" customHeight="false" outlineLevel="0" collapsed="false">
      <c r="B85" s="5" t="s">
        <v>181</v>
      </c>
      <c r="D85" s="33" t="n">
        <f aca="false">SUM(F85:H85)</f>
        <v>12099.12</v>
      </c>
      <c r="H85" s="33" t="n">
        <v>12099.12</v>
      </c>
    </row>
    <row r="86" customFormat="false" ht="15" hidden="false" customHeight="false" outlineLevel="0" collapsed="false">
      <c r="B86" s="5" t="s">
        <v>182</v>
      </c>
      <c r="D86" s="33" t="n">
        <f aca="false">SUM(F86:H86)</f>
        <v>9715.1</v>
      </c>
      <c r="H86" s="33" t="n">
        <v>9715.1</v>
      </c>
    </row>
    <row r="87" customFormat="false" ht="15" hidden="false" customHeight="false" outlineLevel="0" collapsed="false">
      <c r="B87" s="5" t="s">
        <v>183</v>
      </c>
      <c r="D87" s="33" t="n">
        <f aca="false">SUM(F87:H87)</f>
        <v>548.48</v>
      </c>
      <c r="H87" s="33" t="n">
        <v>548.48</v>
      </c>
    </row>
    <row r="88" customFormat="false" ht="15" hidden="false" customHeight="false" outlineLevel="0" collapsed="false">
      <c r="B88" s="5" t="s">
        <v>184</v>
      </c>
      <c r="D88" s="33" t="n">
        <f aca="false">SUM(F88:H88)</f>
        <v>12559.71</v>
      </c>
      <c r="H88" s="33" t="n">
        <v>12559.71</v>
      </c>
    </row>
    <row r="89" customFormat="false" ht="15" hidden="false" customHeight="false" outlineLevel="0" collapsed="false">
      <c r="B89" s="5" t="s">
        <v>185</v>
      </c>
      <c r="D89" s="33" t="n">
        <f aca="false">SUM(F89:H89)</f>
        <v>5680.09</v>
      </c>
      <c r="H89" s="33" t="n">
        <v>5680.09</v>
      </c>
    </row>
    <row r="90" customFormat="false" ht="15" hidden="false" customHeight="false" outlineLevel="0" collapsed="false">
      <c r="B90" s="5" t="s">
        <v>186</v>
      </c>
      <c r="D90" s="33" t="n">
        <f aca="false">SUM(F90:H90)</f>
        <v>2911.57</v>
      </c>
      <c r="H90" s="33" t="n">
        <v>2911.57</v>
      </c>
    </row>
    <row r="91" customFormat="false" ht="15" hidden="false" customHeight="false" outlineLevel="0" collapsed="false">
      <c r="B91" s="5" t="s">
        <v>187</v>
      </c>
      <c r="D91" s="33" t="n">
        <f aca="false">SUM(F91:H91)</f>
        <v>5070.55</v>
      </c>
      <c r="H91" s="33" t="n">
        <v>5070.55</v>
      </c>
    </row>
    <row r="92" customFormat="false" ht="15" hidden="false" customHeight="false" outlineLevel="0" collapsed="false">
      <c r="B92" s="5" t="s">
        <v>188</v>
      </c>
      <c r="D92" s="33" t="n">
        <f aca="false">SUM(F92:H92)</f>
        <v>9837.36</v>
      </c>
      <c r="H92" s="33" t="n">
        <v>9837.36</v>
      </c>
    </row>
    <row r="93" customFormat="false" ht="15" hidden="false" customHeight="false" outlineLevel="0" collapsed="false">
      <c r="B93" s="5" t="s">
        <v>189</v>
      </c>
      <c r="D93" s="33" t="n">
        <f aca="false">SUM(F93:H93)</f>
        <v>4408.6</v>
      </c>
      <c r="H93" s="33" t="n">
        <v>4408.6</v>
      </c>
    </row>
    <row r="94" customFormat="false" ht="15" hidden="false" customHeight="false" outlineLevel="0" collapsed="false">
      <c r="B94" s="5" t="s">
        <v>190</v>
      </c>
      <c r="D94" s="33" t="n">
        <f aca="false">SUM(F94:H94)</f>
        <v>1012.22</v>
      </c>
      <c r="H94" s="33" t="n">
        <v>1012.22</v>
      </c>
    </row>
    <row r="95" customFormat="false" ht="15" hidden="false" customHeight="false" outlineLevel="0" collapsed="false">
      <c r="B95" s="5" t="s">
        <v>192</v>
      </c>
      <c r="D95" s="33" t="n">
        <f aca="false">SUM(F95:H95)</f>
        <v>14327.98</v>
      </c>
      <c r="H95" s="33" t="n">
        <v>14327.98</v>
      </c>
    </row>
    <row r="96" customFormat="false" ht="15" hidden="false" customHeight="false" outlineLevel="0" collapsed="false">
      <c r="B96" s="5" t="s">
        <v>193</v>
      </c>
      <c r="D96" s="33" t="n">
        <f aca="false">SUM(F96:H96)</f>
        <v>1332.99</v>
      </c>
      <c r="H96" s="33" t="n">
        <v>1332.99</v>
      </c>
    </row>
    <row r="97" customFormat="false" ht="15" hidden="false" customHeight="false" outlineLevel="0" collapsed="false">
      <c r="B97" s="5" t="s">
        <v>202</v>
      </c>
      <c r="D97" s="33" t="n">
        <f aca="false">SUM(F97:H97)</f>
        <v>1709.81</v>
      </c>
      <c r="H97" s="33" t="n">
        <v>1709.81</v>
      </c>
    </row>
    <row r="98" customFormat="false" ht="15" hidden="false" customHeight="false" outlineLevel="0" collapsed="false">
      <c r="B98" s="11" t="s">
        <v>162</v>
      </c>
      <c r="D98" s="34" t="n">
        <f aca="false">SUM(D68:D97)</f>
        <v>147893.47</v>
      </c>
      <c r="F98" s="34" t="n">
        <f aca="false">SUM(F68:F97)</f>
        <v>30900.04</v>
      </c>
      <c r="H98" s="34" t="n">
        <f aca="false">SUM(H68:H97)</f>
        <v>116993.43</v>
      </c>
    </row>
    <row r="99" customFormat="false" ht="15" hidden="false" customHeight="false" outlineLevel="0" collapsed="false">
      <c r="B99" s="30" t="s">
        <v>136</v>
      </c>
      <c r="F99" s="31" t="n">
        <f aca="false">F98/D98</f>
        <v>0.208934444502519</v>
      </c>
      <c r="H99" s="31" t="n">
        <f aca="false">H98/D98</f>
        <v>0.791065555497481</v>
      </c>
    </row>
    <row r="101" customFormat="false" ht="15" hidden="false" customHeight="false" outlineLevel="0" collapsed="false">
      <c r="A101" s="10" t="s">
        <v>157</v>
      </c>
    </row>
    <row r="102" customFormat="false" ht="15" hidden="false" customHeight="false" outlineLevel="0" collapsed="false">
      <c r="B102" s="4" t="s">
        <v>158</v>
      </c>
      <c r="D102" s="4" t="s">
        <v>108</v>
      </c>
      <c r="F102" s="4" t="s">
        <v>165</v>
      </c>
      <c r="H102" s="4" t="s">
        <v>141</v>
      </c>
    </row>
    <row r="103" customFormat="false" ht="15" hidden="false" customHeight="false" outlineLevel="0" collapsed="false">
      <c r="B103" s="5" t="str">
        <f aca="false">'Building 8'!B18</f>
        <v>1 - Buillding - Apt - 5yr</v>
      </c>
      <c r="D103" s="33" t="n">
        <f aca="false">SUM(F103:H103)</f>
        <v>24387.48</v>
      </c>
      <c r="F103" s="33" t="n">
        <f aca="false">'Building 8'!D18</f>
        <v>24387.48</v>
      </c>
    </row>
    <row r="104" customFormat="false" ht="15" hidden="false" customHeight="false" outlineLevel="0" collapsed="false">
      <c r="B104" s="5" t="str">
        <f aca="false">'Building 8'!B19</f>
        <v>1 - Buillding - Apt - 27.5yr</v>
      </c>
      <c r="D104" s="33" t="n">
        <f aca="false">SUM(F104:H104)</f>
        <v>92335.64</v>
      </c>
      <c r="H104" s="33" t="n">
        <f aca="false">'Building 8'!D19</f>
        <v>92335.64</v>
      </c>
    </row>
    <row r="105" customFormat="false" ht="15" hidden="false" customHeight="false" outlineLevel="0" collapsed="false">
      <c r="B105" s="5" t="str">
        <f aca="false">'Building 8'!B20</f>
        <v>5 - Building - Apt - 5yr</v>
      </c>
      <c r="D105" s="33" t="n">
        <f aca="false">SUM(F105:H105)</f>
        <v>44.42</v>
      </c>
      <c r="F105" s="33" t="n">
        <f aca="false">'Building 8'!D20</f>
        <v>44.42</v>
      </c>
    </row>
    <row r="106" customFormat="false" ht="15" hidden="false" customHeight="false" outlineLevel="0" collapsed="false">
      <c r="B106" s="5" t="str">
        <f aca="false">'Building 8'!B21</f>
        <v>5 - Building - Apt - 27.5yr</v>
      </c>
      <c r="D106" s="33" t="n">
        <f aca="false">SUM(F106:H106)</f>
        <v>168.16</v>
      </c>
      <c r="H106" s="33" t="n">
        <f aca="false">'Building 8'!D21</f>
        <v>168.16</v>
      </c>
    </row>
    <row r="107" customFormat="false" ht="15" hidden="false" customHeight="false" outlineLevel="0" collapsed="false">
      <c r="B107" s="5" t="str">
        <f aca="false">'Building 8'!B22</f>
        <v>3 - Land Improvements - Apt - 5yr</v>
      </c>
      <c r="D107" s="33" t="n">
        <f aca="false">SUM(F107:H107)</f>
        <v>2300.7</v>
      </c>
      <c r="F107" s="33" t="n">
        <f aca="false">'Building 8'!D22</f>
        <v>2300.7</v>
      </c>
    </row>
    <row r="108" customFormat="false" ht="15" hidden="false" customHeight="false" outlineLevel="0" collapsed="false">
      <c r="B108" s="5" t="str">
        <f aca="false">'Building 8'!B23</f>
        <v>3 - Land Improvements - Apt - 27.5yr</v>
      </c>
      <c r="D108" s="33" t="n">
        <f aca="false">SUM(F108:H108)</f>
        <v>8710.9</v>
      </c>
      <c r="H108" s="33" t="n">
        <f aca="false">'Building 8'!D23</f>
        <v>8710.9</v>
      </c>
    </row>
    <row r="109" customFormat="false" ht="15" hidden="false" customHeight="false" outlineLevel="0" collapsed="false">
      <c r="B109" s="5" t="str">
        <f aca="false">'Building 8'!B24</f>
        <v>4 - Equipment - Apt - 5yr</v>
      </c>
      <c r="D109" s="33" t="n">
        <f aca="false">SUM(F109:H109)</f>
        <v>4167.44</v>
      </c>
      <c r="F109" s="33" t="n">
        <f aca="false">'Building 8'!D24</f>
        <v>4167.44</v>
      </c>
    </row>
    <row r="110" customFormat="false" ht="15" hidden="false" customHeight="false" outlineLevel="0" collapsed="false">
      <c r="B110" s="5" t="str">
        <f aca="false">'Building 8'!B25</f>
        <v>4 - Equipment - Apt - 27.5yr</v>
      </c>
      <c r="D110" s="33" t="n">
        <f aca="false">SUM(F110:H110)</f>
        <v>15778.73</v>
      </c>
      <c r="H110" s="33" t="n">
        <f aca="false">'Building 8'!D25</f>
        <v>15778.73</v>
      </c>
    </row>
    <row r="111" customFormat="false" ht="15" hidden="false" customHeight="false" outlineLevel="0" collapsed="false">
      <c r="B111" s="11" t="s">
        <v>159</v>
      </c>
      <c r="D111" s="34" t="n">
        <f aca="false">SUM(D103:D110)</f>
        <v>147893.47</v>
      </c>
      <c r="F111" s="34" t="n">
        <f aca="false">SUM(F103:F110)</f>
        <v>30900.04</v>
      </c>
      <c r="H111" s="34" t="n">
        <f aca="false">SUM(H103:H110)</f>
        <v>116993.43</v>
      </c>
    </row>
    <row r="112" customFormat="false" ht="15" hidden="false" customHeight="false" outlineLevel="0" collapsed="false">
      <c r="B112" s="16" t="s">
        <v>160</v>
      </c>
      <c r="D112" s="17" t="n">
        <f aca="false">D111-D98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210</v>
      </c>
    </row>
    <row r="5" customFormat="false" ht="15" hidden="false" customHeight="false" outlineLevel="0" collapsed="false">
      <c r="A5" s="16" t="s">
        <v>102</v>
      </c>
    </row>
    <row r="7" customFormat="false" ht="15" hidden="false" customHeight="false" outlineLevel="0" collapsed="false">
      <c r="A7" s="10" t="s">
        <v>103</v>
      </c>
    </row>
    <row r="8" customFormat="false" ht="15" hidden="false" customHeight="false" outlineLevel="0" collapsed="false">
      <c r="A8" s="21" t="s">
        <v>104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105</v>
      </c>
      <c r="B9" s="4" t="s">
        <v>106</v>
      </c>
      <c r="C9" s="4" t="s">
        <v>107</v>
      </c>
      <c r="D9" s="4" t="s">
        <v>108</v>
      </c>
      <c r="E9" s="4" t="s">
        <v>109</v>
      </c>
      <c r="F9" s="4" t="s">
        <v>110</v>
      </c>
      <c r="G9" s="4" t="s">
        <v>111</v>
      </c>
      <c r="H9" s="4" t="s">
        <v>112</v>
      </c>
      <c r="I9" s="4" t="s">
        <v>113</v>
      </c>
      <c r="J9" s="4" t="s">
        <v>114</v>
      </c>
      <c r="K9" s="4" t="s">
        <v>115</v>
      </c>
      <c r="L9" s="4" t="s">
        <v>116</v>
      </c>
    </row>
    <row r="10" customFormat="false" ht="15" hidden="false" customHeight="false" outlineLevel="0" collapsed="false">
      <c r="A10" s="23" t="n">
        <v>1</v>
      </c>
      <c r="B10" s="23" t="s">
        <v>45</v>
      </c>
      <c r="C10" s="23" t="s">
        <v>35</v>
      </c>
      <c r="D10" s="24" t="n">
        <v>116723.12</v>
      </c>
      <c r="E10" s="24" t="n">
        <v>0</v>
      </c>
      <c r="F10" s="24" t="n">
        <v>0</v>
      </c>
      <c r="G10" s="24" t="n">
        <v>34132.24</v>
      </c>
      <c r="H10" s="24" t="n">
        <v>4244.48</v>
      </c>
      <c r="I10" s="24" t="n">
        <f aca="false">G10+H10</f>
        <v>38376.72</v>
      </c>
      <c r="J10" s="24" t="n">
        <f aca="false">D10-I10</f>
        <v>78346.4</v>
      </c>
      <c r="K10" s="25" t="s">
        <v>117</v>
      </c>
      <c r="L10" s="25" t="s">
        <v>118</v>
      </c>
    </row>
    <row r="11" customFormat="false" ht="15" hidden="false" customHeight="false" outlineLevel="0" collapsed="false">
      <c r="A11" s="23" t="n">
        <v>2</v>
      </c>
      <c r="B11" s="23" t="s">
        <v>46</v>
      </c>
      <c r="C11" s="23" t="s">
        <v>37</v>
      </c>
      <c r="D11" s="24" t="n">
        <v>212.58</v>
      </c>
      <c r="E11" s="24" t="n">
        <v>0</v>
      </c>
      <c r="F11" s="24" t="n">
        <v>0</v>
      </c>
      <c r="G11" s="24" t="n">
        <v>61.56</v>
      </c>
      <c r="H11" s="24" t="n">
        <v>7.73</v>
      </c>
      <c r="I11" s="24" t="n">
        <f aca="false">G11+H11</f>
        <v>69.29</v>
      </c>
      <c r="J11" s="24" t="n">
        <f aca="false">D11-I11</f>
        <v>143.29</v>
      </c>
      <c r="K11" s="25" t="s">
        <v>117</v>
      </c>
      <c r="L11" s="25" t="s">
        <v>118</v>
      </c>
    </row>
    <row r="12" customFormat="false" ht="15" hidden="false" customHeight="false" outlineLevel="0" collapsed="false">
      <c r="A12" s="23" t="n">
        <v>3</v>
      </c>
      <c r="B12" s="23" t="s">
        <v>47</v>
      </c>
      <c r="C12" s="23" t="s">
        <v>35</v>
      </c>
      <c r="D12" s="24" t="n">
        <v>11011.6</v>
      </c>
      <c r="E12" s="24" t="n">
        <v>0</v>
      </c>
      <c r="F12" s="24" t="n">
        <v>0</v>
      </c>
      <c r="G12" s="24" t="n">
        <v>6449.13</v>
      </c>
      <c r="H12" s="24" t="n">
        <v>649.69</v>
      </c>
      <c r="I12" s="24" t="n">
        <f aca="false">G12+H12</f>
        <v>7098.82</v>
      </c>
      <c r="J12" s="24" t="n">
        <f aca="false">D12-I12</f>
        <v>3912.78</v>
      </c>
      <c r="K12" s="25" t="s">
        <v>119</v>
      </c>
      <c r="L12" s="25" t="s">
        <v>120</v>
      </c>
    </row>
    <row r="13" customFormat="false" ht="15" hidden="false" customHeight="false" outlineLevel="0" collapsed="false">
      <c r="A13" s="23" t="n">
        <v>4</v>
      </c>
      <c r="B13" s="23" t="s">
        <v>48</v>
      </c>
      <c r="C13" s="23" t="s">
        <v>35</v>
      </c>
      <c r="D13" s="24" t="n">
        <v>19946.17</v>
      </c>
      <c r="E13" s="24" t="n">
        <v>0</v>
      </c>
      <c r="F13" s="24" t="n">
        <v>0</v>
      </c>
      <c r="G13" s="24" t="n">
        <v>19281.3</v>
      </c>
      <c r="H13" s="24" t="n">
        <v>0</v>
      </c>
      <c r="I13" s="24" t="n">
        <f aca="false">G13+H13</f>
        <v>19281.3</v>
      </c>
      <c r="J13" s="24" t="n">
        <f aca="false">D13-I13</f>
        <v>664.869999999999</v>
      </c>
      <c r="K13" s="25" t="s">
        <v>121</v>
      </c>
      <c r="L13" s="25" t="s">
        <v>122</v>
      </c>
    </row>
    <row r="14" customFormat="false" ht="15" hidden="false" customHeight="false" outlineLevel="0" collapsed="false">
      <c r="A14" s="26"/>
      <c r="B14" s="27" t="s">
        <v>53</v>
      </c>
      <c r="C14" s="26"/>
      <c r="D14" s="28" t="n">
        <f aca="false">SUM(D10:D13)</f>
        <v>147893.47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59924.23</v>
      </c>
      <c r="H14" s="28" t="n">
        <f aca="false">SUM(H10:H13)</f>
        <v>4901.9</v>
      </c>
      <c r="I14" s="28" t="n">
        <f aca="false">SUM(I10:I13)</f>
        <v>64826.13</v>
      </c>
      <c r="J14" s="28" t="n">
        <f aca="false">SUM(J10:J13)</f>
        <v>83067.34</v>
      </c>
      <c r="K14" s="26"/>
      <c r="L14" s="26"/>
    </row>
    <row r="16" customFormat="false" ht="15" hidden="false" customHeight="false" outlineLevel="0" collapsed="false">
      <c r="A16" s="21" t="s">
        <v>123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4" t="s">
        <v>105</v>
      </c>
      <c r="B17" s="4" t="s">
        <v>106</v>
      </c>
      <c r="C17" s="4" t="s">
        <v>107</v>
      </c>
      <c r="D17" s="4" t="s">
        <v>108</v>
      </c>
      <c r="E17" s="4" t="s">
        <v>109</v>
      </c>
      <c r="F17" s="4" t="s">
        <v>110</v>
      </c>
      <c r="G17" s="4" t="s">
        <v>111</v>
      </c>
      <c r="H17" s="4" t="s">
        <v>112</v>
      </c>
      <c r="I17" s="4" t="s">
        <v>113</v>
      </c>
      <c r="J17" s="4" t="s">
        <v>114</v>
      </c>
      <c r="K17" s="4" t="s">
        <v>115</v>
      </c>
      <c r="L17" s="4" t="s">
        <v>116</v>
      </c>
    </row>
    <row r="18" customFormat="false" ht="15" hidden="false" customHeight="false" outlineLevel="0" collapsed="false">
      <c r="A18" s="23" t="n">
        <v>1</v>
      </c>
      <c r="B18" s="23" t="s">
        <v>71</v>
      </c>
      <c r="C18" s="23" t="s">
        <v>35</v>
      </c>
      <c r="D18" s="24" t="n">
        <v>24387.48</v>
      </c>
      <c r="E18" s="24" t="n">
        <v>0</v>
      </c>
      <c r="F18" s="24" t="n">
        <v>0</v>
      </c>
      <c r="G18" s="24" t="n">
        <v>24387.48</v>
      </c>
      <c r="H18" s="24" t="n">
        <v>0</v>
      </c>
      <c r="I18" s="24" t="n">
        <f aca="false">G18+H18</f>
        <v>24387.48</v>
      </c>
      <c r="J18" s="24" t="n">
        <f aca="false">D18-I18</f>
        <v>0</v>
      </c>
      <c r="K18" s="25" t="s">
        <v>121</v>
      </c>
      <c r="L18" s="25" t="s">
        <v>122</v>
      </c>
    </row>
    <row r="19" customFormat="false" ht="15" hidden="false" customHeight="false" outlineLevel="0" collapsed="false">
      <c r="A19" s="23" t="n">
        <v>2</v>
      </c>
      <c r="B19" s="23" t="s">
        <v>72</v>
      </c>
      <c r="C19" s="23" t="s">
        <v>35</v>
      </c>
      <c r="D19" s="24" t="n">
        <v>92335.64</v>
      </c>
      <c r="E19" s="24" t="n">
        <v>0</v>
      </c>
      <c r="F19" s="24" t="n">
        <v>0</v>
      </c>
      <c r="G19" s="24" t="n">
        <v>27001.18</v>
      </c>
      <c r="H19" s="24" t="n">
        <v>3357.66</v>
      </c>
      <c r="I19" s="24" t="n">
        <f aca="false">G19+H19</f>
        <v>30358.84</v>
      </c>
      <c r="J19" s="24" t="n">
        <f aca="false">D19-I19</f>
        <v>61976.8</v>
      </c>
      <c r="K19" s="25" t="s">
        <v>117</v>
      </c>
      <c r="L19" s="25" t="s">
        <v>118</v>
      </c>
    </row>
    <row r="20" customFormat="false" ht="15" hidden="false" customHeight="false" outlineLevel="0" collapsed="false">
      <c r="A20" s="23" t="n">
        <v>3</v>
      </c>
      <c r="B20" s="23" t="s">
        <v>73</v>
      </c>
      <c r="C20" s="23" t="s">
        <v>37</v>
      </c>
      <c r="D20" s="24" t="n">
        <v>44.42</v>
      </c>
      <c r="E20" s="24" t="n">
        <v>0</v>
      </c>
      <c r="F20" s="24" t="n">
        <v>0</v>
      </c>
      <c r="G20" s="24" t="n">
        <v>44.42</v>
      </c>
      <c r="H20" s="24" t="n">
        <v>0</v>
      </c>
      <c r="I20" s="24" t="n">
        <f aca="false">G20+H20</f>
        <v>44.42</v>
      </c>
      <c r="J20" s="24" t="n">
        <f aca="false">D20-I20</f>
        <v>0</v>
      </c>
      <c r="K20" s="25" t="s">
        <v>121</v>
      </c>
      <c r="L20" s="25" t="s">
        <v>122</v>
      </c>
    </row>
    <row r="21" customFormat="false" ht="15" hidden="false" customHeight="false" outlineLevel="0" collapsed="false">
      <c r="A21" s="23" t="n">
        <v>4</v>
      </c>
      <c r="B21" s="23" t="s">
        <v>74</v>
      </c>
      <c r="C21" s="23" t="s">
        <v>37</v>
      </c>
      <c r="D21" s="24" t="n">
        <v>168.16</v>
      </c>
      <c r="E21" s="24" t="n">
        <v>0</v>
      </c>
      <c r="F21" s="24" t="n">
        <v>0</v>
      </c>
      <c r="G21" s="24" t="n">
        <v>48.63</v>
      </c>
      <c r="H21" s="24" t="n">
        <v>6.11</v>
      </c>
      <c r="I21" s="24" t="n">
        <f aca="false">G21+H21</f>
        <v>54.74</v>
      </c>
      <c r="J21" s="24" t="n">
        <f aca="false">D21-I21</f>
        <v>113.42</v>
      </c>
      <c r="K21" s="25" t="s">
        <v>117</v>
      </c>
      <c r="L21" s="25" t="s">
        <v>118</v>
      </c>
    </row>
    <row r="22" customFormat="false" ht="15" hidden="false" customHeight="false" outlineLevel="0" collapsed="false">
      <c r="A22" s="23" t="n">
        <v>5</v>
      </c>
      <c r="B22" s="23" t="s">
        <v>75</v>
      </c>
      <c r="C22" s="23" t="s">
        <v>35</v>
      </c>
      <c r="D22" s="24" t="n">
        <v>2300.7</v>
      </c>
      <c r="E22" s="24" t="n">
        <v>0</v>
      </c>
      <c r="F22" s="24" t="n">
        <v>0</v>
      </c>
      <c r="G22" s="24" t="n">
        <v>2300.7</v>
      </c>
      <c r="H22" s="24" t="n">
        <v>0</v>
      </c>
      <c r="I22" s="24" t="n">
        <f aca="false">G22+H22</f>
        <v>2300.7</v>
      </c>
      <c r="J22" s="24" t="n">
        <f aca="false">D22-I22</f>
        <v>0</v>
      </c>
      <c r="K22" s="25" t="s">
        <v>121</v>
      </c>
      <c r="L22" s="25" t="s">
        <v>122</v>
      </c>
    </row>
    <row r="23" customFormat="false" ht="15" hidden="false" customHeight="false" outlineLevel="0" collapsed="false">
      <c r="A23" s="23" t="n">
        <v>6</v>
      </c>
      <c r="B23" s="23" t="s">
        <v>76</v>
      </c>
      <c r="C23" s="23" t="s">
        <v>35</v>
      </c>
      <c r="D23" s="24" t="n">
        <v>8710.9</v>
      </c>
      <c r="E23" s="24" t="n">
        <v>0</v>
      </c>
      <c r="F23" s="24" t="n">
        <v>0</v>
      </c>
      <c r="G23" s="24" t="n">
        <v>2547.28</v>
      </c>
      <c r="H23" s="24" t="n">
        <v>316.76</v>
      </c>
      <c r="I23" s="24" t="n">
        <f aca="false">G23+H23</f>
        <v>2864.04</v>
      </c>
      <c r="J23" s="24" t="n">
        <f aca="false">D23-I23</f>
        <v>5846.86</v>
      </c>
      <c r="K23" s="25" t="s">
        <v>117</v>
      </c>
      <c r="L23" s="25" t="s">
        <v>118</v>
      </c>
    </row>
    <row r="24" customFormat="false" ht="15" hidden="false" customHeight="false" outlineLevel="0" collapsed="false">
      <c r="A24" s="23" t="n">
        <v>7</v>
      </c>
      <c r="B24" s="23" t="s">
        <v>77</v>
      </c>
      <c r="C24" s="23" t="s">
        <v>35</v>
      </c>
      <c r="D24" s="24" t="n">
        <v>4167.44</v>
      </c>
      <c r="E24" s="24" t="n">
        <v>0</v>
      </c>
      <c r="F24" s="24" t="n">
        <v>0</v>
      </c>
      <c r="G24" s="24" t="n">
        <v>4167.44</v>
      </c>
      <c r="H24" s="24" t="n">
        <v>0</v>
      </c>
      <c r="I24" s="24" t="n">
        <f aca="false">G24+H24</f>
        <v>4167.44</v>
      </c>
      <c r="J24" s="24" t="n">
        <f aca="false">D24-I24</f>
        <v>0</v>
      </c>
      <c r="K24" s="25" t="s">
        <v>121</v>
      </c>
      <c r="L24" s="25" t="s">
        <v>122</v>
      </c>
    </row>
    <row r="25" customFormat="false" ht="15" hidden="false" customHeight="false" outlineLevel="0" collapsed="false">
      <c r="A25" s="23" t="n">
        <v>8</v>
      </c>
      <c r="B25" s="23" t="s">
        <v>78</v>
      </c>
      <c r="C25" s="23" t="s">
        <v>35</v>
      </c>
      <c r="D25" s="24" t="n">
        <v>15778.73</v>
      </c>
      <c r="E25" s="24" t="n">
        <v>0</v>
      </c>
      <c r="F25" s="24" t="n">
        <v>0</v>
      </c>
      <c r="G25" s="24" t="n">
        <v>4614.07</v>
      </c>
      <c r="H25" s="24" t="n">
        <v>573.77</v>
      </c>
      <c r="I25" s="24" t="n">
        <f aca="false">G25+H25</f>
        <v>5187.84</v>
      </c>
      <c r="J25" s="24" t="n">
        <f aca="false">D25-I25</f>
        <v>10590.89</v>
      </c>
      <c r="K25" s="25" t="s">
        <v>117</v>
      </c>
      <c r="L25" s="25" t="s">
        <v>118</v>
      </c>
    </row>
    <row r="26" customFormat="false" ht="15" hidden="false" customHeight="false" outlineLevel="0" collapsed="false">
      <c r="A26" s="26"/>
      <c r="B26" s="27" t="s">
        <v>53</v>
      </c>
      <c r="C26" s="26"/>
      <c r="D26" s="28" t="n">
        <f aca="false">SUM(D18:D25)</f>
        <v>147893.47</v>
      </c>
      <c r="E26" s="28" t="n">
        <f aca="false">SUM(E18:E25)</f>
        <v>0</v>
      </c>
      <c r="F26" s="28" t="n">
        <f aca="false">SUM(F18:F25)</f>
        <v>0</v>
      </c>
      <c r="G26" s="28" t="n">
        <f aca="false">SUM(G18:G25)</f>
        <v>65111.2</v>
      </c>
      <c r="H26" s="28" t="n">
        <f aca="false">SUM(H18:H25)</f>
        <v>4254.3</v>
      </c>
      <c r="I26" s="28" t="n">
        <f aca="false">SUM(I18:I25)</f>
        <v>69365.5</v>
      </c>
      <c r="J26" s="28" t="n">
        <f aca="false">SUM(J18:J25)</f>
        <v>78527.97</v>
      </c>
      <c r="K26" s="26"/>
      <c r="L26" s="26"/>
    </row>
    <row r="28" customFormat="false" ht="15" hidden="false" customHeight="false" outlineLevel="0" collapsed="false">
      <c r="B28" s="18" t="s">
        <v>124</v>
      </c>
    </row>
    <row r="29" customFormat="false" ht="15" hidden="false" customHeight="false" outlineLevel="0" collapsed="false">
      <c r="B29" s="5" t="s">
        <v>125</v>
      </c>
      <c r="D29" s="6" t="n">
        <f aca="false">I14</f>
        <v>64826.13</v>
      </c>
    </row>
    <row r="30" customFormat="false" ht="15" hidden="false" customHeight="false" outlineLevel="0" collapsed="false">
      <c r="B30" s="5" t="s">
        <v>126</v>
      </c>
      <c r="D30" s="6" t="n">
        <f aca="false">I26</f>
        <v>69365.5</v>
      </c>
    </row>
    <row r="31" customFormat="false" ht="15" hidden="false" customHeight="false" outlineLevel="0" collapsed="false">
      <c r="B31" s="11" t="s">
        <v>124</v>
      </c>
      <c r="D31" s="29" t="n">
        <f aca="false">D29-D30</f>
        <v>-4539.37</v>
      </c>
    </row>
    <row r="33" customFormat="false" ht="15" hidden="false" customHeight="false" outlineLevel="0" collapsed="false">
      <c r="A33" s="10" t="s">
        <v>127</v>
      </c>
    </row>
    <row r="34" customFormat="false" ht="15" hidden="false" customHeight="false" outlineLevel="0" collapsed="false">
      <c r="A34" s="21" t="s">
        <v>128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4" t="s">
        <v>105</v>
      </c>
      <c r="B35" s="4" t="s">
        <v>106</v>
      </c>
      <c r="C35" s="4" t="s">
        <v>107</v>
      </c>
      <c r="D35" s="4" t="s">
        <v>108</v>
      </c>
      <c r="E35" s="4" t="s">
        <v>109</v>
      </c>
      <c r="F35" s="4" t="s">
        <v>110</v>
      </c>
      <c r="G35" s="4" t="s">
        <v>129</v>
      </c>
      <c r="H35" s="4" t="s">
        <v>130</v>
      </c>
      <c r="I35" s="4" t="s">
        <v>113</v>
      </c>
      <c r="J35" s="4" t="s">
        <v>114</v>
      </c>
      <c r="K35" s="4" t="s">
        <v>115</v>
      </c>
      <c r="L35" s="4" t="s">
        <v>116</v>
      </c>
    </row>
    <row r="36" customFormat="false" ht="15" hidden="false" customHeight="false" outlineLevel="0" collapsed="false">
      <c r="A36" s="23" t="n">
        <v>1</v>
      </c>
      <c r="B36" s="23" t="s">
        <v>45</v>
      </c>
      <c r="C36" s="23" t="s">
        <v>35</v>
      </c>
      <c r="D36" s="24" t="n">
        <v>116723.12</v>
      </c>
      <c r="E36" s="24" t="n">
        <v>0</v>
      </c>
      <c r="F36" s="24" t="n">
        <v>0</v>
      </c>
      <c r="G36" s="24" t="n">
        <v>34132.24</v>
      </c>
      <c r="H36" s="24" t="n">
        <v>4244.48</v>
      </c>
      <c r="I36" s="24" t="n">
        <f aca="false">G36+H36</f>
        <v>38376.72</v>
      </c>
      <c r="J36" s="24" t="n">
        <f aca="false">D36-I36</f>
        <v>78346.4</v>
      </c>
      <c r="K36" s="25" t="s">
        <v>117</v>
      </c>
      <c r="L36" s="25" t="s">
        <v>118</v>
      </c>
    </row>
    <row r="37" customFormat="false" ht="15" hidden="false" customHeight="false" outlineLevel="0" collapsed="false">
      <c r="A37" s="23" t="n">
        <v>2</v>
      </c>
      <c r="B37" s="23" t="s">
        <v>46</v>
      </c>
      <c r="C37" s="23" t="s">
        <v>37</v>
      </c>
      <c r="D37" s="24" t="n">
        <v>212.58</v>
      </c>
      <c r="E37" s="24" t="n">
        <v>0</v>
      </c>
      <c r="F37" s="24" t="n">
        <v>0</v>
      </c>
      <c r="G37" s="24" t="n">
        <v>61.56</v>
      </c>
      <c r="H37" s="24" t="n">
        <v>7.73</v>
      </c>
      <c r="I37" s="24" t="n">
        <f aca="false">G37+H37</f>
        <v>69.29</v>
      </c>
      <c r="J37" s="24" t="n">
        <f aca="false">D37-I37</f>
        <v>143.29</v>
      </c>
      <c r="K37" s="25" t="s">
        <v>117</v>
      </c>
      <c r="L37" s="25" t="s">
        <v>118</v>
      </c>
    </row>
    <row r="38" customFormat="false" ht="15" hidden="false" customHeight="false" outlineLevel="0" collapsed="false">
      <c r="A38" s="23" t="n">
        <v>3</v>
      </c>
      <c r="B38" s="23" t="s">
        <v>47</v>
      </c>
      <c r="C38" s="23" t="s">
        <v>35</v>
      </c>
      <c r="D38" s="24" t="n">
        <v>11011.6</v>
      </c>
      <c r="E38" s="24" t="n">
        <v>0</v>
      </c>
      <c r="F38" s="24" t="n">
        <v>0</v>
      </c>
      <c r="G38" s="24" t="n">
        <v>6449.13</v>
      </c>
      <c r="H38" s="24" t="n">
        <v>649.69</v>
      </c>
      <c r="I38" s="24" t="n">
        <f aca="false">G38+H38</f>
        <v>7098.82</v>
      </c>
      <c r="J38" s="24" t="n">
        <f aca="false">D38-I38</f>
        <v>3912.78</v>
      </c>
      <c r="K38" s="25" t="s">
        <v>119</v>
      </c>
      <c r="L38" s="25" t="s">
        <v>120</v>
      </c>
    </row>
    <row r="39" customFormat="false" ht="15" hidden="false" customHeight="false" outlineLevel="0" collapsed="false">
      <c r="A39" s="23" t="n">
        <v>4</v>
      </c>
      <c r="B39" s="23" t="s">
        <v>48</v>
      </c>
      <c r="C39" s="23" t="s">
        <v>35</v>
      </c>
      <c r="D39" s="24" t="n">
        <v>19946.17</v>
      </c>
      <c r="E39" s="24" t="n">
        <v>0</v>
      </c>
      <c r="F39" s="24" t="n">
        <v>0</v>
      </c>
      <c r="G39" s="24" t="n">
        <v>19281.3</v>
      </c>
      <c r="H39" s="24" t="n">
        <v>0</v>
      </c>
      <c r="I39" s="24" t="n">
        <f aca="false">G39+H39</f>
        <v>19281.3</v>
      </c>
      <c r="J39" s="24" t="n">
        <f aca="false">D39-I39</f>
        <v>664.869999999999</v>
      </c>
      <c r="K39" s="25" t="s">
        <v>121</v>
      </c>
      <c r="L39" s="25" t="s">
        <v>122</v>
      </c>
    </row>
    <row r="40" customFormat="false" ht="15" hidden="false" customHeight="false" outlineLevel="0" collapsed="false">
      <c r="A40" s="26"/>
      <c r="B40" s="27" t="s">
        <v>53</v>
      </c>
      <c r="C40" s="26"/>
      <c r="D40" s="28" t="n">
        <f aca="false">SUM(D36:D39)</f>
        <v>147893.47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59924.23</v>
      </c>
      <c r="H40" s="28" t="n">
        <f aca="false">SUM(H36:H39)</f>
        <v>4901.9</v>
      </c>
      <c r="I40" s="28" t="n">
        <f aca="false">SUM(I36:I39)</f>
        <v>64826.13</v>
      </c>
      <c r="J40" s="28" t="n">
        <f aca="false">SUM(J36:J39)</f>
        <v>83067.34</v>
      </c>
      <c r="K40" s="26"/>
      <c r="L40" s="26"/>
    </row>
    <row r="42" customFormat="false" ht="15" hidden="false" customHeight="false" outlineLevel="0" collapsed="false">
      <c r="A42" s="21" t="s">
        <v>131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4" t="s">
        <v>105</v>
      </c>
      <c r="B43" s="4" t="s">
        <v>106</v>
      </c>
      <c r="C43" s="4" t="s">
        <v>107</v>
      </c>
      <c r="D43" s="4" t="s">
        <v>108</v>
      </c>
      <c r="E43" s="4" t="s">
        <v>109</v>
      </c>
      <c r="F43" s="4" t="s">
        <v>110</v>
      </c>
      <c r="G43" s="4" t="s">
        <v>129</v>
      </c>
      <c r="H43" s="4" t="s">
        <v>130</v>
      </c>
      <c r="I43" s="4" t="s">
        <v>113</v>
      </c>
      <c r="J43" s="4" t="s">
        <v>114</v>
      </c>
      <c r="K43" s="4" t="s">
        <v>115</v>
      </c>
      <c r="L43" s="4" t="s">
        <v>116</v>
      </c>
    </row>
    <row r="44" customFormat="false" ht="15" hidden="false" customHeight="false" outlineLevel="0" collapsed="false">
      <c r="A44" s="23" t="n">
        <v>1</v>
      </c>
      <c r="B44" s="23" t="s">
        <v>71</v>
      </c>
      <c r="C44" s="23" t="s">
        <v>35</v>
      </c>
      <c r="D44" s="24" t="n">
        <v>24387.48</v>
      </c>
      <c r="E44" s="24" t="n">
        <v>0</v>
      </c>
      <c r="F44" s="24" t="n">
        <v>0</v>
      </c>
      <c r="G44" s="24" t="n">
        <v>24387.48</v>
      </c>
      <c r="H44" s="24" t="n">
        <v>0</v>
      </c>
      <c r="I44" s="24" t="n">
        <f aca="false">G44+H44</f>
        <v>24387.48</v>
      </c>
      <c r="J44" s="24" t="n">
        <f aca="false">D44-I44</f>
        <v>0</v>
      </c>
      <c r="K44" s="25" t="s">
        <v>121</v>
      </c>
      <c r="L44" s="25" t="s">
        <v>122</v>
      </c>
    </row>
    <row r="45" customFormat="false" ht="15" hidden="false" customHeight="false" outlineLevel="0" collapsed="false">
      <c r="A45" s="23" t="n">
        <v>2</v>
      </c>
      <c r="B45" s="23" t="s">
        <v>72</v>
      </c>
      <c r="C45" s="23" t="s">
        <v>35</v>
      </c>
      <c r="D45" s="24" t="n">
        <v>92335.64</v>
      </c>
      <c r="E45" s="24" t="n">
        <v>0</v>
      </c>
      <c r="F45" s="24" t="n">
        <v>0</v>
      </c>
      <c r="G45" s="24" t="n">
        <v>27001.18</v>
      </c>
      <c r="H45" s="24" t="n">
        <v>3357.66</v>
      </c>
      <c r="I45" s="24" t="n">
        <f aca="false">G45+H45</f>
        <v>30358.84</v>
      </c>
      <c r="J45" s="24" t="n">
        <f aca="false">D45-I45</f>
        <v>61976.8</v>
      </c>
      <c r="K45" s="25" t="s">
        <v>117</v>
      </c>
      <c r="L45" s="25" t="s">
        <v>118</v>
      </c>
    </row>
    <row r="46" customFormat="false" ht="15" hidden="false" customHeight="false" outlineLevel="0" collapsed="false">
      <c r="A46" s="23" t="n">
        <v>3</v>
      </c>
      <c r="B46" s="23" t="s">
        <v>73</v>
      </c>
      <c r="C46" s="23" t="s">
        <v>37</v>
      </c>
      <c r="D46" s="24" t="n">
        <v>44.42</v>
      </c>
      <c r="E46" s="24" t="n">
        <v>0</v>
      </c>
      <c r="F46" s="24" t="n">
        <v>0</v>
      </c>
      <c r="G46" s="24" t="n">
        <v>44.42</v>
      </c>
      <c r="H46" s="24" t="n">
        <v>0</v>
      </c>
      <c r="I46" s="24" t="n">
        <f aca="false">G46+H46</f>
        <v>44.42</v>
      </c>
      <c r="J46" s="24" t="n">
        <f aca="false">D46-I46</f>
        <v>0</v>
      </c>
      <c r="K46" s="25" t="s">
        <v>121</v>
      </c>
      <c r="L46" s="25" t="s">
        <v>122</v>
      </c>
    </row>
    <row r="47" customFormat="false" ht="15" hidden="false" customHeight="false" outlineLevel="0" collapsed="false">
      <c r="A47" s="23" t="n">
        <v>4</v>
      </c>
      <c r="B47" s="23" t="s">
        <v>74</v>
      </c>
      <c r="C47" s="23" t="s">
        <v>37</v>
      </c>
      <c r="D47" s="24" t="n">
        <v>168.16</v>
      </c>
      <c r="E47" s="24" t="n">
        <v>0</v>
      </c>
      <c r="F47" s="24" t="n">
        <v>0</v>
      </c>
      <c r="G47" s="24" t="n">
        <v>48.63</v>
      </c>
      <c r="H47" s="24" t="n">
        <v>6.11</v>
      </c>
      <c r="I47" s="24" t="n">
        <f aca="false">G47+H47</f>
        <v>54.74</v>
      </c>
      <c r="J47" s="24" t="n">
        <f aca="false">D47-I47</f>
        <v>113.42</v>
      </c>
      <c r="K47" s="25" t="s">
        <v>117</v>
      </c>
      <c r="L47" s="25" t="s">
        <v>118</v>
      </c>
    </row>
    <row r="48" customFormat="false" ht="15" hidden="false" customHeight="false" outlineLevel="0" collapsed="false">
      <c r="A48" s="23" t="n">
        <v>5</v>
      </c>
      <c r="B48" s="23" t="s">
        <v>75</v>
      </c>
      <c r="C48" s="23" t="s">
        <v>35</v>
      </c>
      <c r="D48" s="24" t="n">
        <v>2300.7</v>
      </c>
      <c r="E48" s="24" t="n">
        <v>0</v>
      </c>
      <c r="F48" s="24" t="n">
        <v>0</v>
      </c>
      <c r="G48" s="24" t="n">
        <v>2300.7</v>
      </c>
      <c r="H48" s="24" t="n">
        <v>0</v>
      </c>
      <c r="I48" s="24" t="n">
        <f aca="false">G48+H48</f>
        <v>2300.7</v>
      </c>
      <c r="J48" s="24" t="n">
        <f aca="false">D48-I48</f>
        <v>0</v>
      </c>
      <c r="K48" s="25" t="s">
        <v>121</v>
      </c>
      <c r="L48" s="25" t="s">
        <v>122</v>
      </c>
    </row>
    <row r="49" customFormat="false" ht="15" hidden="false" customHeight="false" outlineLevel="0" collapsed="false">
      <c r="A49" s="23" t="n">
        <v>6</v>
      </c>
      <c r="B49" s="23" t="s">
        <v>76</v>
      </c>
      <c r="C49" s="23" t="s">
        <v>35</v>
      </c>
      <c r="D49" s="24" t="n">
        <v>8710.9</v>
      </c>
      <c r="E49" s="24" t="n">
        <v>0</v>
      </c>
      <c r="F49" s="24" t="n">
        <v>0</v>
      </c>
      <c r="G49" s="24" t="n">
        <v>2547.28</v>
      </c>
      <c r="H49" s="24" t="n">
        <v>316.76</v>
      </c>
      <c r="I49" s="24" t="n">
        <f aca="false">G49+H49</f>
        <v>2864.04</v>
      </c>
      <c r="J49" s="24" t="n">
        <f aca="false">D49-I49</f>
        <v>5846.86</v>
      </c>
      <c r="K49" s="25" t="s">
        <v>117</v>
      </c>
      <c r="L49" s="25" t="s">
        <v>118</v>
      </c>
    </row>
    <row r="50" customFormat="false" ht="15" hidden="false" customHeight="false" outlineLevel="0" collapsed="false">
      <c r="A50" s="23" t="n">
        <v>7</v>
      </c>
      <c r="B50" s="23" t="s">
        <v>77</v>
      </c>
      <c r="C50" s="23" t="s">
        <v>35</v>
      </c>
      <c r="D50" s="24" t="n">
        <v>4167.44</v>
      </c>
      <c r="E50" s="24" t="n">
        <v>0</v>
      </c>
      <c r="F50" s="24" t="n">
        <v>0</v>
      </c>
      <c r="G50" s="24" t="n">
        <v>4167.44</v>
      </c>
      <c r="H50" s="24" t="n">
        <v>0</v>
      </c>
      <c r="I50" s="24" t="n">
        <f aca="false">G50+H50</f>
        <v>4167.44</v>
      </c>
      <c r="J50" s="24" t="n">
        <f aca="false">D50-I50</f>
        <v>0</v>
      </c>
      <c r="K50" s="25" t="s">
        <v>121</v>
      </c>
      <c r="L50" s="25" t="s">
        <v>122</v>
      </c>
    </row>
    <row r="51" customFormat="false" ht="15" hidden="false" customHeight="false" outlineLevel="0" collapsed="false">
      <c r="A51" s="23" t="n">
        <v>8</v>
      </c>
      <c r="B51" s="23" t="s">
        <v>78</v>
      </c>
      <c r="C51" s="23" t="s">
        <v>35</v>
      </c>
      <c r="D51" s="24" t="n">
        <v>15778.73</v>
      </c>
      <c r="E51" s="24" t="n">
        <v>0</v>
      </c>
      <c r="F51" s="24" t="n">
        <v>0</v>
      </c>
      <c r="G51" s="24" t="n">
        <v>4614.07</v>
      </c>
      <c r="H51" s="24" t="n">
        <v>573.77</v>
      </c>
      <c r="I51" s="24" t="n">
        <f aca="false">G51+H51</f>
        <v>5187.84</v>
      </c>
      <c r="J51" s="24" t="n">
        <f aca="false">D51-I51</f>
        <v>10590.89</v>
      </c>
      <c r="K51" s="25" t="s">
        <v>117</v>
      </c>
      <c r="L51" s="25" t="s">
        <v>118</v>
      </c>
    </row>
    <row r="52" customFormat="false" ht="15" hidden="false" customHeight="false" outlineLevel="0" collapsed="false">
      <c r="A52" s="26"/>
      <c r="B52" s="27" t="s">
        <v>53</v>
      </c>
      <c r="C52" s="26"/>
      <c r="D52" s="28" t="n">
        <f aca="false">SUM(D44:D51)</f>
        <v>147893.47</v>
      </c>
      <c r="E52" s="28" t="n">
        <f aca="false">SUM(E44:E51)</f>
        <v>0</v>
      </c>
      <c r="F52" s="28" t="n">
        <f aca="false">SUM(F44:F51)</f>
        <v>0</v>
      </c>
      <c r="G52" s="28" t="n">
        <f aca="false">SUM(G44:G51)</f>
        <v>65111.2</v>
      </c>
      <c r="H52" s="28" t="n">
        <f aca="false">SUM(H44:H51)</f>
        <v>4254.3</v>
      </c>
      <c r="I52" s="28" t="n">
        <f aca="false">SUM(I44:I51)</f>
        <v>69365.5</v>
      </c>
      <c r="J52" s="28" t="n">
        <f aca="false">SUM(J44:J51)</f>
        <v>78527.97</v>
      </c>
      <c r="K52" s="26"/>
      <c r="L52" s="26"/>
    </row>
    <row r="54" customFormat="false" ht="15" hidden="false" customHeight="false" outlineLevel="0" collapsed="false">
      <c r="B54" s="18" t="s">
        <v>132</v>
      </c>
    </row>
    <row r="55" customFormat="false" ht="15" hidden="false" customHeight="false" outlineLevel="0" collapsed="false">
      <c r="B55" s="5" t="s">
        <v>125</v>
      </c>
      <c r="D55" s="6" t="n">
        <f aca="false">I40</f>
        <v>64826.13</v>
      </c>
    </row>
    <row r="56" customFormat="false" ht="15" hidden="false" customHeight="false" outlineLevel="0" collapsed="false">
      <c r="B56" s="5" t="s">
        <v>126</v>
      </c>
      <c r="D56" s="6" t="n">
        <f aca="false">I52</f>
        <v>69365.5</v>
      </c>
    </row>
    <row r="57" customFormat="false" ht="15" hidden="false" customHeight="false" outlineLevel="0" collapsed="false">
      <c r="B57" s="11" t="s">
        <v>132</v>
      </c>
      <c r="D57" s="29" t="n">
        <f aca="false">D55-D56</f>
        <v>-4539.37</v>
      </c>
    </row>
    <row r="59" customFormat="false" ht="15" hidden="false" customHeight="false" outlineLevel="0" collapsed="false">
      <c r="A59" s="10" t="s">
        <v>133</v>
      </c>
    </row>
    <row r="60" customFormat="false" ht="15" hidden="false" customHeight="false" outlineLevel="0" collapsed="false">
      <c r="B60" s="11" t="s">
        <v>162</v>
      </c>
      <c r="D60" s="12" t="n">
        <f aca="false">D98</f>
        <v>147893.47</v>
      </c>
    </row>
    <row r="61" customFormat="false" ht="15" hidden="false" customHeight="false" outlineLevel="0" collapsed="false">
      <c r="B61" s="5" t="s">
        <v>163</v>
      </c>
      <c r="D61" s="6" t="n">
        <f aca="false">F98</f>
        <v>30900.04</v>
      </c>
    </row>
    <row r="62" customFormat="false" ht="15" hidden="false" customHeight="false" outlineLevel="0" collapsed="false">
      <c r="B62" s="30" t="s">
        <v>136</v>
      </c>
      <c r="D62" s="31" t="n">
        <f aca="false">F99</f>
        <v>0.208934444502519</v>
      </c>
    </row>
    <row r="63" customFormat="false" ht="15" hidden="false" customHeight="false" outlineLevel="0" collapsed="false">
      <c r="B63" s="5" t="s">
        <v>164</v>
      </c>
      <c r="D63" s="6" t="n">
        <f aca="false">H98</f>
        <v>116993.43</v>
      </c>
    </row>
    <row r="64" customFormat="false" ht="15" hidden="false" customHeight="false" outlineLevel="0" collapsed="false">
      <c r="B64" s="30" t="s">
        <v>136</v>
      </c>
      <c r="D64" s="31" t="n">
        <f aca="false">H99</f>
        <v>0.791065555497481</v>
      </c>
    </row>
    <row r="66" customFormat="false" ht="15" hidden="false" customHeight="false" outlineLevel="0" collapsed="false">
      <c r="A66" s="10" t="s">
        <v>138</v>
      </c>
    </row>
    <row r="67" customFormat="false" ht="15" hidden="false" customHeight="false" outlineLevel="0" collapsed="false">
      <c r="B67" s="4" t="s">
        <v>139</v>
      </c>
      <c r="D67" s="4" t="s">
        <v>108</v>
      </c>
      <c r="F67" s="4" t="s">
        <v>165</v>
      </c>
      <c r="H67" s="4" t="s">
        <v>141</v>
      </c>
    </row>
    <row r="68" customFormat="false" ht="15" hidden="false" customHeight="false" outlineLevel="0" collapsed="false">
      <c r="B68" s="32" t="s">
        <v>166</v>
      </c>
    </row>
    <row r="69" customFormat="false" ht="15" hidden="false" customHeight="false" outlineLevel="0" collapsed="false">
      <c r="B69" s="5" t="s">
        <v>167</v>
      </c>
      <c r="D69" s="33" t="n">
        <f aca="false">SUM(F69:H69)</f>
        <v>4901.61</v>
      </c>
      <c r="F69" s="33" t="n">
        <v>4901.61</v>
      </c>
    </row>
    <row r="70" customFormat="false" ht="15" hidden="false" customHeight="false" outlineLevel="0" collapsed="false">
      <c r="B70" s="5" t="s">
        <v>168</v>
      </c>
      <c r="D70" s="33" t="n">
        <f aca="false">SUM(F70:H70)</f>
        <v>2185.54</v>
      </c>
      <c r="F70" s="33" t="n">
        <v>2185.54</v>
      </c>
    </row>
    <row r="71" customFormat="false" ht="15" hidden="false" customHeight="false" outlineLevel="0" collapsed="false">
      <c r="B71" s="5" t="s">
        <v>169</v>
      </c>
      <c r="D71" s="33" t="n">
        <f aca="false">SUM(F71:H71)</f>
        <v>11385.26</v>
      </c>
      <c r="F71" s="33" t="n">
        <v>11385.26</v>
      </c>
    </row>
    <row r="72" customFormat="false" ht="15" hidden="false" customHeight="false" outlineLevel="0" collapsed="false">
      <c r="B72" s="5" t="s">
        <v>171</v>
      </c>
      <c r="D72" s="33" t="n">
        <f aca="false">SUM(F72:H72)</f>
        <v>589.62</v>
      </c>
      <c r="F72" s="33" t="n">
        <v>589.62</v>
      </c>
    </row>
    <row r="73" customFormat="false" ht="15" hidden="false" customHeight="false" outlineLevel="0" collapsed="false">
      <c r="B73" s="5" t="s">
        <v>196</v>
      </c>
      <c r="D73" s="33" t="n">
        <f aca="false">SUM(F73:H73)</f>
        <v>183.29</v>
      </c>
      <c r="F73" s="33" t="n">
        <v>183.29</v>
      </c>
    </row>
    <row r="74" customFormat="false" ht="15" hidden="false" customHeight="false" outlineLevel="0" collapsed="false">
      <c r="B74" s="5" t="s">
        <v>197</v>
      </c>
      <c r="D74" s="33" t="n">
        <f aca="false">SUM(F74:H74)</f>
        <v>96.76</v>
      </c>
      <c r="F74" s="33" t="n">
        <v>96.76</v>
      </c>
    </row>
    <row r="75" customFormat="false" ht="15" hidden="false" customHeight="false" outlineLevel="0" collapsed="false">
      <c r="B75" s="5" t="s">
        <v>172</v>
      </c>
      <c r="D75" s="33" t="n">
        <f aca="false">SUM(F75:H75)</f>
        <v>2980.97</v>
      </c>
      <c r="F75" s="33" t="n">
        <v>2980.97</v>
      </c>
    </row>
    <row r="76" customFormat="false" ht="15" hidden="false" customHeight="false" outlineLevel="0" collapsed="false">
      <c r="B76" s="5" t="s">
        <v>173</v>
      </c>
      <c r="D76" s="33" t="n">
        <f aca="false">SUM(F76:H76)</f>
        <v>994.55</v>
      </c>
      <c r="F76" s="33" t="n">
        <v>994.55</v>
      </c>
    </row>
    <row r="77" customFormat="false" ht="15" hidden="false" customHeight="false" outlineLevel="0" collapsed="false">
      <c r="B77" s="5" t="s">
        <v>198</v>
      </c>
      <c r="D77" s="33" t="n">
        <f aca="false">SUM(F77:H77)</f>
        <v>3427.41</v>
      </c>
      <c r="F77" s="33" t="n">
        <v>3427.41</v>
      </c>
    </row>
    <row r="78" customFormat="false" ht="15" hidden="false" customHeight="false" outlineLevel="0" collapsed="false">
      <c r="B78" s="5" t="s">
        <v>175</v>
      </c>
      <c r="D78" s="33" t="n">
        <f aca="false">SUM(F78:H78)</f>
        <v>428.96</v>
      </c>
      <c r="F78" s="33" t="n">
        <v>428.96</v>
      </c>
    </row>
    <row r="79" customFormat="false" ht="15" hidden="false" customHeight="false" outlineLevel="0" collapsed="false">
      <c r="B79" s="5" t="s">
        <v>199</v>
      </c>
      <c r="D79" s="33" t="n">
        <f aca="false">SUM(F79:H79)</f>
        <v>43.2</v>
      </c>
      <c r="F79" s="33" t="n">
        <v>43.2</v>
      </c>
    </row>
    <row r="80" customFormat="false" ht="15" hidden="false" customHeight="false" outlineLevel="0" collapsed="false">
      <c r="B80" s="5" t="s">
        <v>200</v>
      </c>
      <c r="D80" s="33" t="n">
        <f aca="false">SUM(F80:H80)</f>
        <v>3682.87</v>
      </c>
      <c r="F80" s="33" t="n">
        <v>3682.87</v>
      </c>
    </row>
    <row r="81" customFormat="false" ht="15" hidden="false" customHeight="false" outlineLevel="0" collapsed="false">
      <c r="B81" s="32" t="s">
        <v>177</v>
      </c>
    </row>
    <row r="82" customFormat="false" ht="15" hidden="false" customHeight="false" outlineLevel="0" collapsed="false">
      <c r="B82" s="5" t="s">
        <v>178</v>
      </c>
      <c r="D82" s="33" t="n">
        <f aca="false">SUM(F82:H82)</f>
        <v>8561.68</v>
      </c>
      <c r="H82" s="33" t="n">
        <v>8561.68</v>
      </c>
    </row>
    <row r="83" customFormat="false" ht="15" hidden="false" customHeight="false" outlineLevel="0" collapsed="false">
      <c r="B83" s="5" t="s">
        <v>179</v>
      </c>
      <c r="D83" s="33" t="n">
        <f aca="false">SUM(F83:H83)</f>
        <v>16225.62</v>
      </c>
      <c r="H83" s="33" t="n">
        <v>16225.62</v>
      </c>
    </row>
    <row r="84" customFormat="false" ht="15" hidden="false" customHeight="false" outlineLevel="0" collapsed="false">
      <c r="B84" s="5" t="s">
        <v>180</v>
      </c>
      <c r="D84" s="33" t="n">
        <f aca="false">SUM(F84:H84)</f>
        <v>10992.55</v>
      </c>
      <c r="H84" s="33" t="n">
        <v>10992.55</v>
      </c>
    </row>
    <row r="85" customFormat="false" ht="15" hidden="false" customHeight="false" outlineLevel="0" collapsed="false">
      <c r="B85" s="5" t="s">
        <v>181</v>
      </c>
      <c r="D85" s="33" t="n">
        <f aca="false">SUM(F85:H85)</f>
        <v>12099.12</v>
      </c>
      <c r="H85" s="33" t="n">
        <v>12099.12</v>
      </c>
    </row>
    <row r="86" customFormat="false" ht="15" hidden="false" customHeight="false" outlineLevel="0" collapsed="false">
      <c r="B86" s="5" t="s">
        <v>182</v>
      </c>
      <c r="D86" s="33" t="n">
        <f aca="false">SUM(F86:H86)</f>
        <v>9715.1</v>
      </c>
      <c r="H86" s="33" t="n">
        <v>9715.1</v>
      </c>
    </row>
    <row r="87" customFormat="false" ht="15" hidden="false" customHeight="false" outlineLevel="0" collapsed="false">
      <c r="B87" s="5" t="s">
        <v>183</v>
      </c>
      <c r="D87" s="33" t="n">
        <f aca="false">SUM(F87:H87)</f>
        <v>548.48</v>
      </c>
      <c r="H87" s="33" t="n">
        <v>548.48</v>
      </c>
    </row>
    <row r="88" customFormat="false" ht="15" hidden="false" customHeight="false" outlineLevel="0" collapsed="false">
      <c r="B88" s="5" t="s">
        <v>184</v>
      </c>
      <c r="D88" s="33" t="n">
        <f aca="false">SUM(F88:H88)</f>
        <v>12559.71</v>
      </c>
      <c r="H88" s="33" t="n">
        <v>12559.71</v>
      </c>
    </row>
    <row r="89" customFormat="false" ht="15" hidden="false" customHeight="false" outlineLevel="0" collapsed="false">
      <c r="B89" s="5" t="s">
        <v>185</v>
      </c>
      <c r="D89" s="33" t="n">
        <f aca="false">SUM(F89:H89)</f>
        <v>5680.09</v>
      </c>
      <c r="H89" s="33" t="n">
        <v>5680.09</v>
      </c>
    </row>
    <row r="90" customFormat="false" ht="15" hidden="false" customHeight="false" outlineLevel="0" collapsed="false">
      <c r="B90" s="5" t="s">
        <v>186</v>
      </c>
      <c r="D90" s="33" t="n">
        <f aca="false">SUM(F90:H90)</f>
        <v>2911.57</v>
      </c>
      <c r="H90" s="33" t="n">
        <v>2911.57</v>
      </c>
    </row>
    <row r="91" customFormat="false" ht="15" hidden="false" customHeight="false" outlineLevel="0" collapsed="false">
      <c r="B91" s="5" t="s">
        <v>187</v>
      </c>
      <c r="D91" s="33" t="n">
        <f aca="false">SUM(F91:H91)</f>
        <v>5070.55</v>
      </c>
      <c r="H91" s="33" t="n">
        <v>5070.55</v>
      </c>
    </row>
    <row r="92" customFormat="false" ht="15" hidden="false" customHeight="false" outlineLevel="0" collapsed="false">
      <c r="B92" s="5" t="s">
        <v>188</v>
      </c>
      <c r="D92" s="33" t="n">
        <f aca="false">SUM(F92:H92)</f>
        <v>9837.36</v>
      </c>
      <c r="H92" s="33" t="n">
        <v>9837.36</v>
      </c>
    </row>
    <row r="93" customFormat="false" ht="15" hidden="false" customHeight="false" outlineLevel="0" collapsed="false">
      <c r="B93" s="5" t="s">
        <v>189</v>
      </c>
      <c r="D93" s="33" t="n">
        <f aca="false">SUM(F93:H93)</f>
        <v>4408.6</v>
      </c>
      <c r="H93" s="33" t="n">
        <v>4408.6</v>
      </c>
    </row>
    <row r="94" customFormat="false" ht="15" hidden="false" customHeight="false" outlineLevel="0" collapsed="false">
      <c r="B94" s="5" t="s">
        <v>190</v>
      </c>
      <c r="D94" s="33" t="n">
        <f aca="false">SUM(F94:H94)</f>
        <v>1012.22</v>
      </c>
      <c r="H94" s="33" t="n">
        <v>1012.22</v>
      </c>
    </row>
    <row r="95" customFormat="false" ht="15" hidden="false" customHeight="false" outlineLevel="0" collapsed="false">
      <c r="B95" s="5" t="s">
        <v>192</v>
      </c>
      <c r="D95" s="33" t="n">
        <f aca="false">SUM(F95:H95)</f>
        <v>14327.98</v>
      </c>
      <c r="H95" s="33" t="n">
        <v>14327.98</v>
      </c>
    </row>
    <row r="96" customFormat="false" ht="15" hidden="false" customHeight="false" outlineLevel="0" collapsed="false">
      <c r="B96" s="5" t="s">
        <v>193</v>
      </c>
      <c r="D96" s="33" t="n">
        <f aca="false">SUM(F96:H96)</f>
        <v>1332.99</v>
      </c>
      <c r="H96" s="33" t="n">
        <v>1332.99</v>
      </c>
    </row>
    <row r="97" customFormat="false" ht="15" hidden="false" customHeight="false" outlineLevel="0" collapsed="false">
      <c r="B97" s="5" t="s">
        <v>202</v>
      </c>
      <c r="D97" s="33" t="n">
        <f aca="false">SUM(F97:H97)</f>
        <v>1709.81</v>
      </c>
      <c r="H97" s="33" t="n">
        <v>1709.81</v>
      </c>
    </row>
    <row r="98" customFormat="false" ht="15" hidden="false" customHeight="false" outlineLevel="0" collapsed="false">
      <c r="B98" s="11" t="s">
        <v>162</v>
      </c>
      <c r="D98" s="34" t="n">
        <f aca="false">SUM(D68:D97)</f>
        <v>147893.47</v>
      </c>
      <c r="F98" s="34" t="n">
        <f aca="false">SUM(F68:F97)</f>
        <v>30900.04</v>
      </c>
      <c r="H98" s="34" t="n">
        <f aca="false">SUM(H68:H97)</f>
        <v>116993.43</v>
      </c>
    </row>
    <row r="99" customFormat="false" ht="15" hidden="false" customHeight="false" outlineLevel="0" collapsed="false">
      <c r="B99" s="30" t="s">
        <v>136</v>
      </c>
      <c r="F99" s="31" t="n">
        <f aca="false">F98/D98</f>
        <v>0.208934444502519</v>
      </c>
      <c r="H99" s="31" t="n">
        <f aca="false">H98/D98</f>
        <v>0.791065555497481</v>
      </c>
    </row>
    <row r="101" customFormat="false" ht="15" hidden="false" customHeight="false" outlineLevel="0" collapsed="false">
      <c r="A101" s="10" t="s">
        <v>157</v>
      </c>
    </row>
    <row r="102" customFormat="false" ht="15" hidden="false" customHeight="false" outlineLevel="0" collapsed="false">
      <c r="B102" s="4" t="s">
        <v>158</v>
      </c>
      <c r="D102" s="4" t="s">
        <v>108</v>
      </c>
      <c r="F102" s="4" t="s">
        <v>165</v>
      </c>
      <c r="H102" s="4" t="s">
        <v>141</v>
      </c>
    </row>
    <row r="103" customFormat="false" ht="15" hidden="false" customHeight="false" outlineLevel="0" collapsed="false">
      <c r="B103" s="5" t="str">
        <f aca="false">'Building 9'!B18</f>
        <v>1 - Buillding - Apt - 5yr</v>
      </c>
      <c r="D103" s="33" t="n">
        <f aca="false">SUM(F103:H103)</f>
        <v>24387.48</v>
      </c>
      <c r="F103" s="33" t="n">
        <f aca="false">'Building 9'!D18</f>
        <v>24387.48</v>
      </c>
    </row>
    <row r="104" customFormat="false" ht="15" hidden="false" customHeight="false" outlineLevel="0" collapsed="false">
      <c r="B104" s="5" t="str">
        <f aca="false">'Building 9'!B19</f>
        <v>1 - Buillding - Apt - 27.5yr</v>
      </c>
      <c r="D104" s="33" t="n">
        <f aca="false">SUM(F104:H104)</f>
        <v>92335.64</v>
      </c>
      <c r="H104" s="33" t="n">
        <f aca="false">'Building 9'!D19</f>
        <v>92335.64</v>
      </c>
    </row>
    <row r="105" customFormat="false" ht="15" hidden="false" customHeight="false" outlineLevel="0" collapsed="false">
      <c r="B105" s="5" t="str">
        <f aca="false">'Building 9'!B20</f>
        <v>5 - Building - Apt - 5yr</v>
      </c>
      <c r="D105" s="33" t="n">
        <f aca="false">SUM(F105:H105)</f>
        <v>44.42</v>
      </c>
      <c r="F105" s="33" t="n">
        <f aca="false">'Building 9'!D20</f>
        <v>44.42</v>
      </c>
    </row>
    <row r="106" customFormat="false" ht="15" hidden="false" customHeight="false" outlineLevel="0" collapsed="false">
      <c r="B106" s="5" t="str">
        <f aca="false">'Building 9'!B21</f>
        <v>5 - Building - Apt - 27.5yr</v>
      </c>
      <c r="D106" s="33" t="n">
        <f aca="false">SUM(F106:H106)</f>
        <v>168.16</v>
      </c>
      <c r="H106" s="33" t="n">
        <f aca="false">'Building 9'!D21</f>
        <v>168.16</v>
      </c>
    </row>
    <row r="107" customFormat="false" ht="15" hidden="false" customHeight="false" outlineLevel="0" collapsed="false">
      <c r="B107" s="5" t="str">
        <f aca="false">'Building 9'!B22</f>
        <v>3 - Land Improvements - Apt - 5yr</v>
      </c>
      <c r="D107" s="33" t="n">
        <f aca="false">SUM(F107:H107)</f>
        <v>2300.7</v>
      </c>
      <c r="F107" s="33" t="n">
        <f aca="false">'Building 9'!D22</f>
        <v>2300.7</v>
      </c>
    </row>
    <row r="108" customFormat="false" ht="15" hidden="false" customHeight="false" outlineLevel="0" collapsed="false">
      <c r="B108" s="5" t="str">
        <f aca="false">'Building 9'!B23</f>
        <v>3 - Land Improvements - Apt - 27.5yr</v>
      </c>
      <c r="D108" s="33" t="n">
        <f aca="false">SUM(F108:H108)</f>
        <v>8710.9</v>
      </c>
      <c r="H108" s="33" t="n">
        <f aca="false">'Building 9'!D23</f>
        <v>8710.9</v>
      </c>
    </row>
    <row r="109" customFormat="false" ht="15" hidden="false" customHeight="false" outlineLevel="0" collapsed="false">
      <c r="B109" s="5" t="str">
        <f aca="false">'Building 9'!B24</f>
        <v>4 - Equipment - Apt - 5yr</v>
      </c>
      <c r="D109" s="33" t="n">
        <f aca="false">SUM(F109:H109)</f>
        <v>4167.44</v>
      </c>
      <c r="F109" s="33" t="n">
        <f aca="false">'Building 9'!D24</f>
        <v>4167.44</v>
      </c>
    </row>
    <row r="110" customFormat="false" ht="15" hidden="false" customHeight="false" outlineLevel="0" collapsed="false">
      <c r="B110" s="5" t="str">
        <f aca="false">'Building 9'!B25</f>
        <v>4 - Equipment - Apt - 27.5yr</v>
      </c>
      <c r="D110" s="33" t="n">
        <f aca="false">SUM(F110:H110)</f>
        <v>15778.73</v>
      </c>
      <c r="H110" s="33" t="n">
        <f aca="false">'Building 9'!D25</f>
        <v>15778.73</v>
      </c>
    </row>
    <row r="111" customFormat="false" ht="15" hidden="false" customHeight="false" outlineLevel="0" collapsed="false">
      <c r="B111" s="11" t="s">
        <v>159</v>
      </c>
      <c r="D111" s="34" t="n">
        <f aca="false">SUM(D103:D110)</f>
        <v>147893.47</v>
      </c>
      <c r="F111" s="34" t="n">
        <f aca="false">SUM(F103:F110)</f>
        <v>30900.04</v>
      </c>
      <c r="H111" s="34" t="n">
        <f aca="false">SUM(H103:H110)</f>
        <v>116993.43</v>
      </c>
    </row>
    <row r="112" customFormat="false" ht="15" hidden="false" customHeight="false" outlineLevel="0" collapsed="false">
      <c r="B112" s="16" t="s">
        <v>160</v>
      </c>
      <c r="D112" s="17" t="n">
        <f aca="false">D111-D98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211</v>
      </c>
    </row>
    <row r="5" customFormat="false" ht="15" hidden="false" customHeight="false" outlineLevel="0" collapsed="false">
      <c r="A5" s="16" t="s">
        <v>102</v>
      </c>
    </row>
    <row r="7" customFormat="false" ht="15" hidden="false" customHeight="false" outlineLevel="0" collapsed="false">
      <c r="A7" s="10" t="s">
        <v>103</v>
      </c>
    </row>
    <row r="8" customFormat="false" ht="15" hidden="false" customHeight="false" outlineLevel="0" collapsed="false">
      <c r="A8" s="21" t="s">
        <v>104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105</v>
      </c>
      <c r="B9" s="4" t="s">
        <v>106</v>
      </c>
      <c r="C9" s="4" t="s">
        <v>107</v>
      </c>
      <c r="D9" s="4" t="s">
        <v>108</v>
      </c>
      <c r="E9" s="4" t="s">
        <v>109</v>
      </c>
      <c r="F9" s="4" t="s">
        <v>110</v>
      </c>
      <c r="G9" s="4" t="s">
        <v>111</v>
      </c>
      <c r="H9" s="4" t="s">
        <v>112</v>
      </c>
      <c r="I9" s="4" t="s">
        <v>113</v>
      </c>
      <c r="J9" s="4" t="s">
        <v>114</v>
      </c>
      <c r="K9" s="4" t="s">
        <v>115</v>
      </c>
      <c r="L9" s="4" t="s">
        <v>116</v>
      </c>
    </row>
    <row r="10" customFormat="false" ht="15" hidden="false" customHeight="false" outlineLevel="0" collapsed="false">
      <c r="A10" s="23" t="n">
        <v>1</v>
      </c>
      <c r="B10" s="23" t="s">
        <v>45</v>
      </c>
      <c r="C10" s="23" t="s">
        <v>35</v>
      </c>
      <c r="D10" s="24" t="n">
        <v>116723.12</v>
      </c>
      <c r="E10" s="24" t="n">
        <v>0</v>
      </c>
      <c r="F10" s="24" t="n">
        <v>0</v>
      </c>
      <c r="G10" s="24" t="n">
        <v>34132.24</v>
      </c>
      <c r="H10" s="24" t="n">
        <v>4244.48</v>
      </c>
      <c r="I10" s="24" t="n">
        <f aca="false">G10+H10</f>
        <v>38376.72</v>
      </c>
      <c r="J10" s="24" t="n">
        <f aca="false">D10-I10</f>
        <v>78346.4</v>
      </c>
      <c r="K10" s="25" t="s">
        <v>117</v>
      </c>
      <c r="L10" s="25" t="s">
        <v>118</v>
      </c>
    </row>
    <row r="11" customFormat="false" ht="15" hidden="false" customHeight="false" outlineLevel="0" collapsed="false">
      <c r="A11" s="23" t="n">
        <v>2</v>
      </c>
      <c r="B11" s="23" t="s">
        <v>46</v>
      </c>
      <c r="C11" s="23" t="s">
        <v>37</v>
      </c>
      <c r="D11" s="24" t="n">
        <v>212.58</v>
      </c>
      <c r="E11" s="24" t="n">
        <v>0</v>
      </c>
      <c r="F11" s="24" t="n">
        <v>0</v>
      </c>
      <c r="G11" s="24" t="n">
        <v>61.56</v>
      </c>
      <c r="H11" s="24" t="n">
        <v>7.73</v>
      </c>
      <c r="I11" s="24" t="n">
        <f aca="false">G11+H11</f>
        <v>69.29</v>
      </c>
      <c r="J11" s="24" t="n">
        <f aca="false">D11-I11</f>
        <v>143.29</v>
      </c>
      <c r="K11" s="25" t="s">
        <v>117</v>
      </c>
      <c r="L11" s="25" t="s">
        <v>118</v>
      </c>
    </row>
    <row r="12" customFormat="false" ht="15" hidden="false" customHeight="false" outlineLevel="0" collapsed="false">
      <c r="A12" s="23" t="n">
        <v>3</v>
      </c>
      <c r="B12" s="23" t="s">
        <v>47</v>
      </c>
      <c r="C12" s="23" t="s">
        <v>35</v>
      </c>
      <c r="D12" s="24" t="n">
        <v>11011.6</v>
      </c>
      <c r="E12" s="24" t="n">
        <v>0</v>
      </c>
      <c r="F12" s="24" t="n">
        <v>0</v>
      </c>
      <c r="G12" s="24" t="n">
        <v>6449.13</v>
      </c>
      <c r="H12" s="24" t="n">
        <v>649.69</v>
      </c>
      <c r="I12" s="24" t="n">
        <f aca="false">G12+H12</f>
        <v>7098.82</v>
      </c>
      <c r="J12" s="24" t="n">
        <f aca="false">D12-I12</f>
        <v>3912.78</v>
      </c>
      <c r="K12" s="25" t="s">
        <v>119</v>
      </c>
      <c r="L12" s="25" t="s">
        <v>120</v>
      </c>
    </row>
    <row r="13" customFormat="false" ht="15" hidden="false" customHeight="false" outlineLevel="0" collapsed="false">
      <c r="A13" s="23" t="n">
        <v>4</v>
      </c>
      <c r="B13" s="23" t="s">
        <v>48</v>
      </c>
      <c r="C13" s="23" t="s">
        <v>35</v>
      </c>
      <c r="D13" s="24" t="n">
        <v>19946.17</v>
      </c>
      <c r="E13" s="24" t="n">
        <v>0</v>
      </c>
      <c r="F13" s="24" t="n">
        <v>0</v>
      </c>
      <c r="G13" s="24" t="n">
        <v>19281.3</v>
      </c>
      <c r="H13" s="24" t="n">
        <v>0</v>
      </c>
      <c r="I13" s="24" t="n">
        <f aca="false">G13+H13</f>
        <v>19281.3</v>
      </c>
      <c r="J13" s="24" t="n">
        <f aca="false">D13-I13</f>
        <v>664.869999999999</v>
      </c>
      <c r="K13" s="25" t="s">
        <v>121</v>
      </c>
      <c r="L13" s="25" t="s">
        <v>122</v>
      </c>
    </row>
    <row r="14" customFormat="false" ht="15" hidden="false" customHeight="false" outlineLevel="0" collapsed="false">
      <c r="A14" s="26"/>
      <c r="B14" s="27" t="s">
        <v>53</v>
      </c>
      <c r="C14" s="26"/>
      <c r="D14" s="28" t="n">
        <f aca="false">SUM(D10:D13)</f>
        <v>147893.47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59924.23</v>
      </c>
      <c r="H14" s="28" t="n">
        <f aca="false">SUM(H10:H13)</f>
        <v>4901.9</v>
      </c>
      <c r="I14" s="28" t="n">
        <f aca="false">SUM(I10:I13)</f>
        <v>64826.13</v>
      </c>
      <c r="J14" s="28" t="n">
        <f aca="false">SUM(J10:J13)</f>
        <v>83067.34</v>
      </c>
      <c r="K14" s="26"/>
      <c r="L14" s="26"/>
    </row>
    <row r="16" customFormat="false" ht="15" hidden="false" customHeight="false" outlineLevel="0" collapsed="false">
      <c r="A16" s="21" t="s">
        <v>123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4" t="s">
        <v>105</v>
      </c>
      <c r="B17" s="4" t="s">
        <v>106</v>
      </c>
      <c r="C17" s="4" t="s">
        <v>107</v>
      </c>
      <c r="D17" s="4" t="s">
        <v>108</v>
      </c>
      <c r="E17" s="4" t="s">
        <v>109</v>
      </c>
      <c r="F17" s="4" t="s">
        <v>110</v>
      </c>
      <c r="G17" s="4" t="s">
        <v>111</v>
      </c>
      <c r="H17" s="4" t="s">
        <v>112</v>
      </c>
      <c r="I17" s="4" t="s">
        <v>113</v>
      </c>
      <c r="J17" s="4" t="s">
        <v>114</v>
      </c>
      <c r="K17" s="4" t="s">
        <v>115</v>
      </c>
      <c r="L17" s="4" t="s">
        <v>116</v>
      </c>
    </row>
    <row r="18" customFormat="false" ht="15" hidden="false" customHeight="false" outlineLevel="0" collapsed="false">
      <c r="A18" s="23" t="n">
        <v>1</v>
      </c>
      <c r="B18" s="23" t="s">
        <v>71</v>
      </c>
      <c r="C18" s="23" t="s">
        <v>35</v>
      </c>
      <c r="D18" s="24" t="n">
        <v>24387.48</v>
      </c>
      <c r="E18" s="24" t="n">
        <v>0</v>
      </c>
      <c r="F18" s="24" t="n">
        <v>0</v>
      </c>
      <c r="G18" s="24" t="n">
        <v>24387.48</v>
      </c>
      <c r="H18" s="24" t="n">
        <v>0</v>
      </c>
      <c r="I18" s="24" t="n">
        <f aca="false">G18+H18</f>
        <v>24387.48</v>
      </c>
      <c r="J18" s="24" t="n">
        <f aca="false">D18-I18</f>
        <v>0</v>
      </c>
      <c r="K18" s="25" t="s">
        <v>121</v>
      </c>
      <c r="L18" s="25" t="s">
        <v>122</v>
      </c>
    </row>
    <row r="19" customFormat="false" ht="15" hidden="false" customHeight="false" outlineLevel="0" collapsed="false">
      <c r="A19" s="23" t="n">
        <v>2</v>
      </c>
      <c r="B19" s="23" t="s">
        <v>72</v>
      </c>
      <c r="C19" s="23" t="s">
        <v>35</v>
      </c>
      <c r="D19" s="24" t="n">
        <v>92335.64</v>
      </c>
      <c r="E19" s="24" t="n">
        <v>0</v>
      </c>
      <c r="F19" s="24" t="n">
        <v>0</v>
      </c>
      <c r="G19" s="24" t="n">
        <v>27001.18</v>
      </c>
      <c r="H19" s="24" t="n">
        <v>3357.66</v>
      </c>
      <c r="I19" s="24" t="n">
        <f aca="false">G19+H19</f>
        <v>30358.84</v>
      </c>
      <c r="J19" s="24" t="n">
        <f aca="false">D19-I19</f>
        <v>61976.8</v>
      </c>
      <c r="K19" s="25" t="s">
        <v>117</v>
      </c>
      <c r="L19" s="25" t="s">
        <v>118</v>
      </c>
    </row>
    <row r="20" customFormat="false" ht="15" hidden="false" customHeight="false" outlineLevel="0" collapsed="false">
      <c r="A20" s="23" t="n">
        <v>3</v>
      </c>
      <c r="B20" s="23" t="s">
        <v>73</v>
      </c>
      <c r="C20" s="23" t="s">
        <v>37</v>
      </c>
      <c r="D20" s="24" t="n">
        <v>44.42</v>
      </c>
      <c r="E20" s="24" t="n">
        <v>0</v>
      </c>
      <c r="F20" s="24" t="n">
        <v>0</v>
      </c>
      <c r="G20" s="24" t="n">
        <v>44.42</v>
      </c>
      <c r="H20" s="24" t="n">
        <v>0</v>
      </c>
      <c r="I20" s="24" t="n">
        <f aca="false">G20+H20</f>
        <v>44.42</v>
      </c>
      <c r="J20" s="24" t="n">
        <f aca="false">D20-I20</f>
        <v>0</v>
      </c>
      <c r="K20" s="25" t="s">
        <v>121</v>
      </c>
      <c r="L20" s="25" t="s">
        <v>122</v>
      </c>
    </row>
    <row r="21" customFormat="false" ht="15" hidden="false" customHeight="false" outlineLevel="0" collapsed="false">
      <c r="A21" s="23" t="n">
        <v>4</v>
      </c>
      <c r="B21" s="23" t="s">
        <v>74</v>
      </c>
      <c r="C21" s="23" t="s">
        <v>37</v>
      </c>
      <c r="D21" s="24" t="n">
        <v>168.16</v>
      </c>
      <c r="E21" s="24" t="n">
        <v>0</v>
      </c>
      <c r="F21" s="24" t="n">
        <v>0</v>
      </c>
      <c r="G21" s="24" t="n">
        <v>48.63</v>
      </c>
      <c r="H21" s="24" t="n">
        <v>6.11</v>
      </c>
      <c r="I21" s="24" t="n">
        <f aca="false">G21+H21</f>
        <v>54.74</v>
      </c>
      <c r="J21" s="24" t="n">
        <f aca="false">D21-I21</f>
        <v>113.42</v>
      </c>
      <c r="K21" s="25" t="s">
        <v>117</v>
      </c>
      <c r="L21" s="25" t="s">
        <v>118</v>
      </c>
    </row>
    <row r="22" customFormat="false" ht="15" hidden="false" customHeight="false" outlineLevel="0" collapsed="false">
      <c r="A22" s="23" t="n">
        <v>5</v>
      </c>
      <c r="B22" s="23" t="s">
        <v>75</v>
      </c>
      <c r="C22" s="23" t="s">
        <v>35</v>
      </c>
      <c r="D22" s="24" t="n">
        <v>2300.7</v>
      </c>
      <c r="E22" s="24" t="n">
        <v>0</v>
      </c>
      <c r="F22" s="24" t="n">
        <v>0</v>
      </c>
      <c r="G22" s="24" t="n">
        <v>2300.7</v>
      </c>
      <c r="H22" s="24" t="n">
        <v>0</v>
      </c>
      <c r="I22" s="24" t="n">
        <f aca="false">G22+H22</f>
        <v>2300.7</v>
      </c>
      <c r="J22" s="24" t="n">
        <f aca="false">D22-I22</f>
        <v>0</v>
      </c>
      <c r="K22" s="25" t="s">
        <v>121</v>
      </c>
      <c r="L22" s="25" t="s">
        <v>122</v>
      </c>
    </row>
    <row r="23" customFormat="false" ht="15" hidden="false" customHeight="false" outlineLevel="0" collapsed="false">
      <c r="A23" s="23" t="n">
        <v>6</v>
      </c>
      <c r="B23" s="23" t="s">
        <v>76</v>
      </c>
      <c r="C23" s="23" t="s">
        <v>35</v>
      </c>
      <c r="D23" s="24" t="n">
        <v>8710.9</v>
      </c>
      <c r="E23" s="24" t="n">
        <v>0</v>
      </c>
      <c r="F23" s="24" t="n">
        <v>0</v>
      </c>
      <c r="G23" s="24" t="n">
        <v>2547.28</v>
      </c>
      <c r="H23" s="24" t="n">
        <v>316.76</v>
      </c>
      <c r="I23" s="24" t="n">
        <f aca="false">G23+H23</f>
        <v>2864.04</v>
      </c>
      <c r="J23" s="24" t="n">
        <f aca="false">D23-I23</f>
        <v>5846.86</v>
      </c>
      <c r="K23" s="25" t="s">
        <v>117</v>
      </c>
      <c r="L23" s="25" t="s">
        <v>118</v>
      </c>
    </row>
    <row r="24" customFormat="false" ht="15" hidden="false" customHeight="false" outlineLevel="0" collapsed="false">
      <c r="A24" s="23" t="n">
        <v>7</v>
      </c>
      <c r="B24" s="23" t="s">
        <v>77</v>
      </c>
      <c r="C24" s="23" t="s">
        <v>35</v>
      </c>
      <c r="D24" s="24" t="n">
        <v>4167.44</v>
      </c>
      <c r="E24" s="24" t="n">
        <v>0</v>
      </c>
      <c r="F24" s="24" t="n">
        <v>0</v>
      </c>
      <c r="G24" s="24" t="n">
        <v>4167.44</v>
      </c>
      <c r="H24" s="24" t="n">
        <v>0</v>
      </c>
      <c r="I24" s="24" t="n">
        <f aca="false">G24+H24</f>
        <v>4167.44</v>
      </c>
      <c r="J24" s="24" t="n">
        <f aca="false">D24-I24</f>
        <v>0</v>
      </c>
      <c r="K24" s="25" t="s">
        <v>121</v>
      </c>
      <c r="L24" s="25" t="s">
        <v>122</v>
      </c>
    </row>
    <row r="25" customFormat="false" ht="15" hidden="false" customHeight="false" outlineLevel="0" collapsed="false">
      <c r="A25" s="23" t="n">
        <v>8</v>
      </c>
      <c r="B25" s="23" t="s">
        <v>78</v>
      </c>
      <c r="C25" s="23" t="s">
        <v>35</v>
      </c>
      <c r="D25" s="24" t="n">
        <v>15778.73</v>
      </c>
      <c r="E25" s="24" t="n">
        <v>0</v>
      </c>
      <c r="F25" s="24" t="n">
        <v>0</v>
      </c>
      <c r="G25" s="24" t="n">
        <v>4614.07</v>
      </c>
      <c r="H25" s="24" t="n">
        <v>573.77</v>
      </c>
      <c r="I25" s="24" t="n">
        <f aca="false">G25+H25</f>
        <v>5187.84</v>
      </c>
      <c r="J25" s="24" t="n">
        <f aca="false">D25-I25</f>
        <v>10590.89</v>
      </c>
      <c r="K25" s="25" t="s">
        <v>117</v>
      </c>
      <c r="L25" s="25" t="s">
        <v>118</v>
      </c>
    </row>
    <row r="26" customFormat="false" ht="15" hidden="false" customHeight="false" outlineLevel="0" collapsed="false">
      <c r="A26" s="26"/>
      <c r="B26" s="27" t="s">
        <v>53</v>
      </c>
      <c r="C26" s="26"/>
      <c r="D26" s="28" t="n">
        <f aca="false">SUM(D18:D25)</f>
        <v>147893.47</v>
      </c>
      <c r="E26" s="28" t="n">
        <f aca="false">SUM(E18:E25)</f>
        <v>0</v>
      </c>
      <c r="F26" s="28" t="n">
        <f aca="false">SUM(F18:F25)</f>
        <v>0</v>
      </c>
      <c r="G26" s="28" t="n">
        <f aca="false">SUM(G18:G25)</f>
        <v>65111.2</v>
      </c>
      <c r="H26" s="28" t="n">
        <f aca="false">SUM(H18:H25)</f>
        <v>4254.3</v>
      </c>
      <c r="I26" s="28" t="n">
        <f aca="false">SUM(I18:I25)</f>
        <v>69365.5</v>
      </c>
      <c r="J26" s="28" t="n">
        <f aca="false">SUM(J18:J25)</f>
        <v>78527.97</v>
      </c>
      <c r="K26" s="26"/>
      <c r="L26" s="26"/>
    </row>
    <row r="28" customFormat="false" ht="15" hidden="false" customHeight="false" outlineLevel="0" collapsed="false">
      <c r="B28" s="18" t="s">
        <v>124</v>
      </c>
    </row>
    <row r="29" customFormat="false" ht="15" hidden="false" customHeight="false" outlineLevel="0" collapsed="false">
      <c r="B29" s="5" t="s">
        <v>125</v>
      </c>
      <c r="D29" s="6" t="n">
        <f aca="false">I14</f>
        <v>64826.13</v>
      </c>
    </row>
    <row r="30" customFormat="false" ht="15" hidden="false" customHeight="false" outlineLevel="0" collapsed="false">
      <c r="B30" s="5" t="s">
        <v>126</v>
      </c>
      <c r="D30" s="6" t="n">
        <f aca="false">I26</f>
        <v>69365.5</v>
      </c>
    </row>
    <row r="31" customFormat="false" ht="15" hidden="false" customHeight="false" outlineLevel="0" collapsed="false">
      <c r="B31" s="11" t="s">
        <v>124</v>
      </c>
      <c r="D31" s="29" t="n">
        <f aca="false">D29-D30</f>
        <v>-4539.37</v>
      </c>
    </row>
    <row r="33" customFormat="false" ht="15" hidden="false" customHeight="false" outlineLevel="0" collapsed="false">
      <c r="A33" s="10" t="s">
        <v>127</v>
      </c>
    </row>
    <row r="34" customFormat="false" ht="15" hidden="false" customHeight="false" outlineLevel="0" collapsed="false">
      <c r="A34" s="21" t="s">
        <v>128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4" t="s">
        <v>105</v>
      </c>
      <c r="B35" s="4" t="s">
        <v>106</v>
      </c>
      <c r="C35" s="4" t="s">
        <v>107</v>
      </c>
      <c r="D35" s="4" t="s">
        <v>108</v>
      </c>
      <c r="E35" s="4" t="s">
        <v>109</v>
      </c>
      <c r="F35" s="4" t="s">
        <v>110</v>
      </c>
      <c r="G35" s="4" t="s">
        <v>129</v>
      </c>
      <c r="H35" s="4" t="s">
        <v>130</v>
      </c>
      <c r="I35" s="4" t="s">
        <v>113</v>
      </c>
      <c r="J35" s="4" t="s">
        <v>114</v>
      </c>
      <c r="K35" s="4" t="s">
        <v>115</v>
      </c>
      <c r="L35" s="4" t="s">
        <v>116</v>
      </c>
    </row>
    <row r="36" customFormat="false" ht="15" hidden="false" customHeight="false" outlineLevel="0" collapsed="false">
      <c r="A36" s="23" t="n">
        <v>1</v>
      </c>
      <c r="B36" s="23" t="s">
        <v>45</v>
      </c>
      <c r="C36" s="23" t="s">
        <v>35</v>
      </c>
      <c r="D36" s="24" t="n">
        <v>116723.12</v>
      </c>
      <c r="E36" s="24" t="n">
        <v>0</v>
      </c>
      <c r="F36" s="24" t="n">
        <v>0</v>
      </c>
      <c r="G36" s="24" t="n">
        <v>34132.24</v>
      </c>
      <c r="H36" s="24" t="n">
        <v>4244.48</v>
      </c>
      <c r="I36" s="24" t="n">
        <f aca="false">G36+H36</f>
        <v>38376.72</v>
      </c>
      <c r="J36" s="24" t="n">
        <f aca="false">D36-I36</f>
        <v>78346.4</v>
      </c>
      <c r="K36" s="25" t="s">
        <v>117</v>
      </c>
      <c r="L36" s="25" t="s">
        <v>118</v>
      </c>
    </row>
    <row r="37" customFormat="false" ht="15" hidden="false" customHeight="false" outlineLevel="0" collapsed="false">
      <c r="A37" s="23" t="n">
        <v>2</v>
      </c>
      <c r="B37" s="23" t="s">
        <v>46</v>
      </c>
      <c r="C37" s="23" t="s">
        <v>37</v>
      </c>
      <c r="D37" s="24" t="n">
        <v>212.58</v>
      </c>
      <c r="E37" s="24" t="n">
        <v>0</v>
      </c>
      <c r="F37" s="24" t="n">
        <v>0</v>
      </c>
      <c r="G37" s="24" t="n">
        <v>61.56</v>
      </c>
      <c r="H37" s="24" t="n">
        <v>7.73</v>
      </c>
      <c r="I37" s="24" t="n">
        <f aca="false">G37+H37</f>
        <v>69.29</v>
      </c>
      <c r="J37" s="24" t="n">
        <f aca="false">D37-I37</f>
        <v>143.29</v>
      </c>
      <c r="K37" s="25" t="s">
        <v>117</v>
      </c>
      <c r="L37" s="25" t="s">
        <v>118</v>
      </c>
    </row>
    <row r="38" customFormat="false" ht="15" hidden="false" customHeight="false" outlineLevel="0" collapsed="false">
      <c r="A38" s="23" t="n">
        <v>3</v>
      </c>
      <c r="B38" s="23" t="s">
        <v>47</v>
      </c>
      <c r="C38" s="23" t="s">
        <v>35</v>
      </c>
      <c r="D38" s="24" t="n">
        <v>11011.6</v>
      </c>
      <c r="E38" s="24" t="n">
        <v>0</v>
      </c>
      <c r="F38" s="24" t="n">
        <v>0</v>
      </c>
      <c r="G38" s="24" t="n">
        <v>6449.13</v>
      </c>
      <c r="H38" s="24" t="n">
        <v>649.69</v>
      </c>
      <c r="I38" s="24" t="n">
        <f aca="false">G38+H38</f>
        <v>7098.82</v>
      </c>
      <c r="J38" s="24" t="n">
        <f aca="false">D38-I38</f>
        <v>3912.78</v>
      </c>
      <c r="K38" s="25" t="s">
        <v>119</v>
      </c>
      <c r="L38" s="25" t="s">
        <v>120</v>
      </c>
    </row>
    <row r="39" customFormat="false" ht="15" hidden="false" customHeight="false" outlineLevel="0" collapsed="false">
      <c r="A39" s="23" t="n">
        <v>4</v>
      </c>
      <c r="B39" s="23" t="s">
        <v>48</v>
      </c>
      <c r="C39" s="23" t="s">
        <v>35</v>
      </c>
      <c r="D39" s="24" t="n">
        <v>19946.17</v>
      </c>
      <c r="E39" s="24" t="n">
        <v>0</v>
      </c>
      <c r="F39" s="24" t="n">
        <v>0</v>
      </c>
      <c r="G39" s="24" t="n">
        <v>19281.3</v>
      </c>
      <c r="H39" s="24" t="n">
        <v>0</v>
      </c>
      <c r="I39" s="24" t="n">
        <f aca="false">G39+H39</f>
        <v>19281.3</v>
      </c>
      <c r="J39" s="24" t="n">
        <f aca="false">D39-I39</f>
        <v>664.869999999999</v>
      </c>
      <c r="K39" s="25" t="s">
        <v>121</v>
      </c>
      <c r="L39" s="25" t="s">
        <v>122</v>
      </c>
    </row>
    <row r="40" customFormat="false" ht="15" hidden="false" customHeight="false" outlineLevel="0" collapsed="false">
      <c r="A40" s="26"/>
      <c r="B40" s="27" t="s">
        <v>53</v>
      </c>
      <c r="C40" s="26"/>
      <c r="D40" s="28" t="n">
        <f aca="false">SUM(D36:D39)</f>
        <v>147893.47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59924.23</v>
      </c>
      <c r="H40" s="28" t="n">
        <f aca="false">SUM(H36:H39)</f>
        <v>4901.9</v>
      </c>
      <c r="I40" s="28" t="n">
        <f aca="false">SUM(I36:I39)</f>
        <v>64826.13</v>
      </c>
      <c r="J40" s="28" t="n">
        <f aca="false">SUM(J36:J39)</f>
        <v>83067.34</v>
      </c>
      <c r="K40" s="26"/>
      <c r="L40" s="26"/>
    </row>
    <row r="42" customFormat="false" ht="15" hidden="false" customHeight="false" outlineLevel="0" collapsed="false">
      <c r="A42" s="21" t="s">
        <v>131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4" t="s">
        <v>105</v>
      </c>
      <c r="B43" s="4" t="s">
        <v>106</v>
      </c>
      <c r="C43" s="4" t="s">
        <v>107</v>
      </c>
      <c r="D43" s="4" t="s">
        <v>108</v>
      </c>
      <c r="E43" s="4" t="s">
        <v>109</v>
      </c>
      <c r="F43" s="4" t="s">
        <v>110</v>
      </c>
      <c r="G43" s="4" t="s">
        <v>129</v>
      </c>
      <c r="H43" s="4" t="s">
        <v>130</v>
      </c>
      <c r="I43" s="4" t="s">
        <v>113</v>
      </c>
      <c r="J43" s="4" t="s">
        <v>114</v>
      </c>
      <c r="K43" s="4" t="s">
        <v>115</v>
      </c>
      <c r="L43" s="4" t="s">
        <v>116</v>
      </c>
    </row>
    <row r="44" customFormat="false" ht="15" hidden="false" customHeight="false" outlineLevel="0" collapsed="false">
      <c r="A44" s="23" t="n">
        <v>1</v>
      </c>
      <c r="B44" s="23" t="s">
        <v>71</v>
      </c>
      <c r="C44" s="23" t="s">
        <v>35</v>
      </c>
      <c r="D44" s="24" t="n">
        <v>24387.48</v>
      </c>
      <c r="E44" s="24" t="n">
        <v>0</v>
      </c>
      <c r="F44" s="24" t="n">
        <v>0</v>
      </c>
      <c r="G44" s="24" t="n">
        <v>24387.48</v>
      </c>
      <c r="H44" s="24" t="n">
        <v>0</v>
      </c>
      <c r="I44" s="24" t="n">
        <f aca="false">G44+H44</f>
        <v>24387.48</v>
      </c>
      <c r="J44" s="24" t="n">
        <f aca="false">D44-I44</f>
        <v>0</v>
      </c>
      <c r="K44" s="25" t="s">
        <v>121</v>
      </c>
      <c r="L44" s="25" t="s">
        <v>122</v>
      </c>
    </row>
    <row r="45" customFormat="false" ht="15" hidden="false" customHeight="false" outlineLevel="0" collapsed="false">
      <c r="A45" s="23" t="n">
        <v>2</v>
      </c>
      <c r="B45" s="23" t="s">
        <v>72</v>
      </c>
      <c r="C45" s="23" t="s">
        <v>35</v>
      </c>
      <c r="D45" s="24" t="n">
        <v>92335.64</v>
      </c>
      <c r="E45" s="24" t="n">
        <v>0</v>
      </c>
      <c r="F45" s="24" t="n">
        <v>0</v>
      </c>
      <c r="G45" s="24" t="n">
        <v>27001.18</v>
      </c>
      <c r="H45" s="24" t="n">
        <v>3357.66</v>
      </c>
      <c r="I45" s="24" t="n">
        <f aca="false">G45+H45</f>
        <v>30358.84</v>
      </c>
      <c r="J45" s="24" t="n">
        <f aca="false">D45-I45</f>
        <v>61976.8</v>
      </c>
      <c r="K45" s="25" t="s">
        <v>117</v>
      </c>
      <c r="L45" s="25" t="s">
        <v>118</v>
      </c>
    </row>
    <row r="46" customFormat="false" ht="15" hidden="false" customHeight="false" outlineLevel="0" collapsed="false">
      <c r="A46" s="23" t="n">
        <v>3</v>
      </c>
      <c r="B46" s="23" t="s">
        <v>73</v>
      </c>
      <c r="C46" s="23" t="s">
        <v>37</v>
      </c>
      <c r="D46" s="24" t="n">
        <v>44.42</v>
      </c>
      <c r="E46" s="24" t="n">
        <v>0</v>
      </c>
      <c r="F46" s="24" t="n">
        <v>0</v>
      </c>
      <c r="G46" s="24" t="n">
        <v>44.42</v>
      </c>
      <c r="H46" s="24" t="n">
        <v>0</v>
      </c>
      <c r="I46" s="24" t="n">
        <f aca="false">G46+H46</f>
        <v>44.42</v>
      </c>
      <c r="J46" s="24" t="n">
        <f aca="false">D46-I46</f>
        <v>0</v>
      </c>
      <c r="K46" s="25" t="s">
        <v>121</v>
      </c>
      <c r="L46" s="25" t="s">
        <v>122</v>
      </c>
    </row>
    <row r="47" customFormat="false" ht="15" hidden="false" customHeight="false" outlineLevel="0" collapsed="false">
      <c r="A47" s="23" t="n">
        <v>4</v>
      </c>
      <c r="B47" s="23" t="s">
        <v>74</v>
      </c>
      <c r="C47" s="23" t="s">
        <v>37</v>
      </c>
      <c r="D47" s="24" t="n">
        <v>168.16</v>
      </c>
      <c r="E47" s="24" t="n">
        <v>0</v>
      </c>
      <c r="F47" s="24" t="n">
        <v>0</v>
      </c>
      <c r="G47" s="24" t="n">
        <v>48.63</v>
      </c>
      <c r="H47" s="24" t="n">
        <v>6.11</v>
      </c>
      <c r="I47" s="24" t="n">
        <f aca="false">G47+H47</f>
        <v>54.74</v>
      </c>
      <c r="J47" s="24" t="n">
        <f aca="false">D47-I47</f>
        <v>113.42</v>
      </c>
      <c r="K47" s="25" t="s">
        <v>117</v>
      </c>
      <c r="L47" s="25" t="s">
        <v>118</v>
      </c>
    </row>
    <row r="48" customFormat="false" ht="15" hidden="false" customHeight="false" outlineLevel="0" collapsed="false">
      <c r="A48" s="23" t="n">
        <v>5</v>
      </c>
      <c r="B48" s="23" t="s">
        <v>75</v>
      </c>
      <c r="C48" s="23" t="s">
        <v>35</v>
      </c>
      <c r="D48" s="24" t="n">
        <v>2300.7</v>
      </c>
      <c r="E48" s="24" t="n">
        <v>0</v>
      </c>
      <c r="F48" s="24" t="n">
        <v>0</v>
      </c>
      <c r="G48" s="24" t="n">
        <v>2300.7</v>
      </c>
      <c r="H48" s="24" t="n">
        <v>0</v>
      </c>
      <c r="I48" s="24" t="n">
        <f aca="false">G48+H48</f>
        <v>2300.7</v>
      </c>
      <c r="J48" s="24" t="n">
        <f aca="false">D48-I48</f>
        <v>0</v>
      </c>
      <c r="K48" s="25" t="s">
        <v>121</v>
      </c>
      <c r="L48" s="25" t="s">
        <v>122</v>
      </c>
    </row>
    <row r="49" customFormat="false" ht="15" hidden="false" customHeight="false" outlineLevel="0" collapsed="false">
      <c r="A49" s="23" t="n">
        <v>6</v>
      </c>
      <c r="B49" s="23" t="s">
        <v>76</v>
      </c>
      <c r="C49" s="23" t="s">
        <v>35</v>
      </c>
      <c r="D49" s="24" t="n">
        <v>8710.9</v>
      </c>
      <c r="E49" s="24" t="n">
        <v>0</v>
      </c>
      <c r="F49" s="24" t="n">
        <v>0</v>
      </c>
      <c r="G49" s="24" t="n">
        <v>2547.28</v>
      </c>
      <c r="H49" s="24" t="n">
        <v>316.76</v>
      </c>
      <c r="I49" s="24" t="n">
        <f aca="false">G49+H49</f>
        <v>2864.04</v>
      </c>
      <c r="J49" s="24" t="n">
        <f aca="false">D49-I49</f>
        <v>5846.86</v>
      </c>
      <c r="K49" s="25" t="s">
        <v>117</v>
      </c>
      <c r="L49" s="25" t="s">
        <v>118</v>
      </c>
    </row>
    <row r="50" customFormat="false" ht="15" hidden="false" customHeight="false" outlineLevel="0" collapsed="false">
      <c r="A50" s="23" t="n">
        <v>7</v>
      </c>
      <c r="B50" s="23" t="s">
        <v>77</v>
      </c>
      <c r="C50" s="23" t="s">
        <v>35</v>
      </c>
      <c r="D50" s="24" t="n">
        <v>4167.44</v>
      </c>
      <c r="E50" s="24" t="n">
        <v>0</v>
      </c>
      <c r="F50" s="24" t="n">
        <v>0</v>
      </c>
      <c r="G50" s="24" t="n">
        <v>4167.44</v>
      </c>
      <c r="H50" s="24" t="n">
        <v>0</v>
      </c>
      <c r="I50" s="24" t="n">
        <f aca="false">G50+H50</f>
        <v>4167.44</v>
      </c>
      <c r="J50" s="24" t="n">
        <f aca="false">D50-I50</f>
        <v>0</v>
      </c>
      <c r="K50" s="25" t="s">
        <v>121</v>
      </c>
      <c r="L50" s="25" t="s">
        <v>122</v>
      </c>
    </row>
    <row r="51" customFormat="false" ht="15" hidden="false" customHeight="false" outlineLevel="0" collapsed="false">
      <c r="A51" s="23" t="n">
        <v>8</v>
      </c>
      <c r="B51" s="23" t="s">
        <v>78</v>
      </c>
      <c r="C51" s="23" t="s">
        <v>35</v>
      </c>
      <c r="D51" s="24" t="n">
        <v>15778.73</v>
      </c>
      <c r="E51" s="24" t="n">
        <v>0</v>
      </c>
      <c r="F51" s="24" t="n">
        <v>0</v>
      </c>
      <c r="G51" s="24" t="n">
        <v>4614.07</v>
      </c>
      <c r="H51" s="24" t="n">
        <v>573.77</v>
      </c>
      <c r="I51" s="24" t="n">
        <f aca="false">G51+H51</f>
        <v>5187.84</v>
      </c>
      <c r="J51" s="24" t="n">
        <f aca="false">D51-I51</f>
        <v>10590.89</v>
      </c>
      <c r="K51" s="25" t="s">
        <v>117</v>
      </c>
      <c r="L51" s="25" t="s">
        <v>118</v>
      </c>
    </row>
    <row r="52" customFormat="false" ht="15" hidden="false" customHeight="false" outlineLevel="0" collapsed="false">
      <c r="A52" s="26"/>
      <c r="B52" s="27" t="s">
        <v>53</v>
      </c>
      <c r="C52" s="26"/>
      <c r="D52" s="28" t="n">
        <f aca="false">SUM(D44:D51)</f>
        <v>147893.47</v>
      </c>
      <c r="E52" s="28" t="n">
        <f aca="false">SUM(E44:E51)</f>
        <v>0</v>
      </c>
      <c r="F52" s="28" t="n">
        <f aca="false">SUM(F44:F51)</f>
        <v>0</v>
      </c>
      <c r="G52" s="28" t="n">
        <f aca="false">SUM(G44:G51)</f>
        <v>65111.2</v>
      </c>
      <c r="H52" s="28" t="n">
        <f aca="false">SUM(H44:H51)</f>
        <v>4254.3</v>
      </c>
      <c r="I52" s="28" t="n">
        <f aca="false">SUM(I44:I51)</f>
        <v>69365.5</v>
      </c>
      <c r="J52" s="28" t="n">
        <f aca="false">SUM(J44:J51)</f>
        <v>78527.97</v>
      </c>
      <c r="K52" s="26"/>
      <c r="L52" s="26"/>
    </row>
    <row r="54" customFormat="false" ht="15" hidden="false" customHeight="false" outlineLevel="0" collapsed="false">
      <c r="B54" s="18" t="s">
        <v>132</v>
      </c>
    </row>
    <row r="55" customFormat="false" ht="15" hidden="false" customHeight="false" outlineLevel="0" collapsed="false">
      <c r="B55" s="5" t="s">
        <v>125</v>
      </c>
      <c r="D55" s="6" t="n">
        <f aca="false">I40</f>
        <v>64826.13</v>
      </c>
    </row>
    <row r="56" customFormat="false" ht="15" hidden="false" customHeight="false" outlineLevel="0" collapsed="false">
      <c r="B56" s="5" t="s">
        <v>126</v>
      </c>
      <c r="D56" s="6" t="n">
        <f aca="false">I52</f>
        <v>69365.5</v>
      </c>
    </row>
    <row r="57" customFormat="false" ht="15" hidden="false" customHeight="false" outlineLevel="0" collapsed="false">
      <c r="B57" s="11" t="s">
        <v>132</v>
      </c>
      <c r="D57" s="29" t="n">
        <f aca="false">D55-D56</f>
        <v>-4539.37</v>
      </c>
    </row>
    <row r="59" customFormat="false" ht="15" hidden="false" customHeight="false" outlineLevel="0" collapsed="false">
      <c r="A59" s="10" t="s">
        <v>133</v>
      </c>
    </row>
    <row r="60" customFormat="false" ht="15" hidden="false" customHeight="false" outlineLevel="0" collapsed="false">
      <c r="B60" s="11" t="s">
        <v>162</v>
      </c>
      <c r="D60" s="12" t="n">
        <f aca="false">D98</f>
        <v>147893.47</v>
      </c>
    </row>
    <row r="61" customFormat="false" ht="15" hidden="false" customHeight="false" outlineLevel="0" collapsed="false">
      <c r="B61" s="5" t="s">
        <v>163</v>
      </c>
      <c r="D61" s="6" t="n">
        <f aca="false">F98</f>
        <v>30900.04</v>
      </c>
    </row>
    <row r="62" customFormat="false" ht="15" hidden="false" customHeight="false" outlineLevel="0" collapsed="false">
      <c r="B62" s="30" t="s">
        <v>136</v>
      </c>
      <c r="D62" s="31" t="n">
        <f aca="false">F99</f>
        <v>0.208934444502519</v>
      </c>
    </row>
    <row r="63" customFormat="false" ht="15" hidden="false" customHeight="false" outlineLevel="0" collapsed="false">
      <c r="B63" s="5" t="s">
        <v>164</v>
      </c>
      <c r="D63" s="6" t="n">
        <f aca="false">H98</f>
        <v>116993.43</v>
      </c>
    </row>
    <row r="64" customFormat="false" ht="15" hidden="false" customHeight="false" outlineLevel="0" collapsed="false">
      <c r="B64" s="30" t="s">
        <v>136</v>
      </c>
      <c r="D64" s="31" t="n">
        <f aca="false">H99</f>
        <v>0.791065555497481</v>
      </c>
    </row>
    <row r="66" customFormat="false" ht="15" hidden="false" customHeight="false" outlineLevel="0" collapsed="false">
      <c r="A66" s="10" t="s">
        <v>138</v>
      </c>
    </row>
    <row r="67" customFormat="false" ht="15" hidden="false" customHeight="false" outlineLevel="0" collapsed="false">
      <c r="B67" s="4" t="s">
        <v>139</v>
      </c>
      <c r="D67" s="4" t="s">
        <v>108</v>
      </c>
      <c r="F67" s="4" t="s">
        <v>165</v>
      </c>
      <c r="H67" s="4" t="s">
        <v>141</v>
      </c>
    </row>
    <row r="68" customFormat="false" ht="15" hidden="false" customHeight="false" outlineLevel="0" collapsed="false">
      <c r="B68" s="32" t="s">
        <v>166</v>
      </c>
    </row>
    <row r="69" customFormat="false" ht="15" hidden="false" customHeight="false" outlineLevel="0" collapsed="false">
      <c r="B69" s="5" t="s">
        <v>167</v>
      </c>
      <c r="D69" s="33" t="n">
        <f aca="false">SUM(F69:H69)</f>
        <v>4901.61</v>
      </c>
      <c r="F69" s="33" t="n">
        <v>4901.61</v>
      </c>
    </row>
    <row r="70" customFormat="false" ht="15" hidden="false" customHeight="false" outlineLevel="0" collapsed="false">
      <c r="B70" s="5" t="s">
        <v>168</v>
      </c>
      <c r="D70" s="33" t="n">
        <f aca="false">SUM(F70:H70)</f>
        <v>2185.54</v>
      </c>
      <c r="F70" s="33" t="n">
        <v>2185.54</v>
      </c>
    </row>
    <row r="71" customFormat="false" ht="15" hidden="false" customHeight="false" outlineLevel="0" collapsed="false">
      <c r="B71" s="5" t="s">
        <v>169</v>
      </c>
      <c r="D71" s="33" t="n">
        <f aca="false">SUM(F71:H71)</f>
        <v>11385.26</v>
      </c>
      <c r="F71" s="33" t="n">
        <v>11385.26</v>
      </c>
    </row>
    <row r="72" customFormat="false" ht="15" hidden="false" customHeight="false" outlineLevel="0" collapsed="false">
      <c r="B72" s="5" t="s">
        <v>171</v>
      </c>
      <c r="D72" s="33" t="n">
        <f aca="false">SUM(F72:H72)</f>
        <v>589.62</v>
      </c>
      <c r="F72" s="33" t="n">
        <v>589.62</v>
      </c>
    </row>
    <row r="73" customFormat="false" ht="15" hidden="false" customHeight="false" outlineLevel="0" collapsed="false">
      <c r="B73" s="5" t="s">
        <v>196</v>
      </c>
      <c r="D73" s="33" t="n">
        <f aca="false">SUM(F73:H73)</f>
        <v>183.29</v>
      </c>
      <c r="F73" s="33" t="n">
        <v>183.29</v>
      </c>
    </row>
    <row r="74" customFormat="false" ht="15" hidden="false" customHeight="false" outlineLevel="0" collapsed="false">
      <c r="B74" s="5" t="s">
        <v>197</v>
      </c>
      <c r="D74" s="33" t="n">
        <f aca="false">SUM(F74:H74)</f>
        <v>96.76</v>
      </c>
      <c r="F74" s="33" t="n">
        <v>96.76</v>
      </c>
    </row>
    <row r="75" customFormat="false" ht="15" hidden="false" customHeight="false" outlineLevel="0" collapsed="false">
      <c r="B75" s="5" t="s">
        <v>172</v>
      </c>
      <c r="D75" s="33" t="n">
        <f aca="false">SUM(F75:H75)</f>
        <v>2980.97</v>
      </c>
      <c r="F75" s="33" t="n">
        <v>2980.97</v>
      </c>
    </row>
    <row r="76" customFormat="false" ht="15" hidden="false" customHeight="false" outlineLevel="0" collapsed="false">
      <c r="B76" s="5" t="s">
        <v>173</v>
      </c>
      <c r="D76" s="33" t="n">
        <f aca="false">SUM(F76:H76)</f>
        <v>994.55</v>
      </c>
      <c r="F76" s="33" t="n">
        <v>994.55</v>
      </c>
    </row>
    <row r="77" customFormat="false" ht="15" hidden="false" customHeight="false" outlineLevel="0" collapsed="false">
      <c r="B77" s="5" t="s">
        <v>198</v>
      </c>
      <c r="D77" s="33" t="n">
        <f aca="false">SUM(F77:H77)</f>
        <v>3427.41</v>
      </c>
      <c r="F77" s="33" t="n">
        <v>3427.41</v>
      </c>
    </row>
    <row r="78" customFormat="false" ht="15" hidden="false" customHeight="false" outlineLevel="0" collapsed="false">
      <c r="B78" s="5" t="s">
        <v>175</v>
      </c>
      <c r="D78" s="33" t="n">
        <f aca="false">SUM(F78:H78)</f>
        <v>428.96</v>
      </c>
      <c r="F78" s="33" t="n">
        <v>428.96</v>
      </c>
    </row>
    <row r="79" customFormat="false" ht="15" hidden="false" customHeight="false" outlineLevel="0" collapsed="false">
      <c r="B79" s="5" t="s">
        <v>199</v>
      </c>
      <c r="D79" s="33" t="n">
        <f aca="false">SUM(F79:H79)</f>
        <v>43.2</v>
      </c>
      <c r="F79" s="33" t="n">
        <v>43.2</v>
      </c>
    </row>
    <row r="80" customFormat="false" ht="15" hidden="false" customHeight="false" outlineLevel="0" collapsed="false">
      <c r="B80" s="5" t="s">
        <v>200</v>
      </c>
      <c r="D80" s="33" t="n">
        <f aca="false">SUM(F80:H80)</f>
        <v>3682.87</v>
      </c>
      <c r="F80" s="33" t="n">
        <v>3682.87</v>
      </c>
    </row>
    <row r="81" customFormat="false" ht="15" hidden="false" customHeight="false" outlineLevel="0" collapsed="false">
      <c r="B81" s="32" t="s">
        <v>177</v>
      </c>
    </row>
    <row r="82" customFormat="false" ht="15" hidden="false" customHeight="false" outlineLevel="0" collapsed="false">
      <c r="B82" s="5" t="s">
        <v>178</v>
      </c>
      <c r="D82" s="33" t="n">
        <f aca="false">SUM(F82:H82)</f>
        <v>8561.68</v>
      </c>
      <c r="H82" s="33" t="n">
        <v>8561.68</v>
      </c>
    </row>
    <row r="83" customFormat="false" ht="15" hidden="false" customHeight="false" outlineLevel="0" collapsed="false">
      <c r="B83" s="5" t="s">
        <v>179</v>
      </c>
      <c r="D83" s="33" t="n">
        <f aca="false">SUM(F83:H83)</f>
        <v>16225.62</v>
      </c>
      <c r="H83" s="33" t="n">
        <v>16225.62</v>
      </c>
    </row>
    <row r="84" customFormat="false" ht="15" hidden="false" customHeight="false" outlineLevel="0" collapsed="false">
      <c r="B84" s="5" t="s">
        <v>180</v>
      </c>
      <c r="D84" s="33" t="n">
        <f aca="false">SUM(F84:H84)</f>
        <v>10992.55</v>
      </c>
      <c r="H84" s="33" t="n">
        <v>10992.55</v>
      </c>
    </row>
    <row r="85" customFormat="false" ht="15" hidden="false" customHeight="false" outlineLevel="0" collapsed="false">
      <c r="B85" s="5" t="s">
        <v>181</v>
      </c>
      <c r="D85" s="33" t="n">
        <f aca="false">SUM(F85:H85)</f>
        <v>12099.12</v>
      </c>
      <c r="H85" s="33" t="n">
        <v>12099.12</v>
      </c>
    </row>
    <row r="86" customFormat="false" ht="15" hidden="false" customHeight="false" outlineLevel="0" collapsed="false">
      <c r="B86" s="5" t="s">
        <v>182</v>
      </c>
      <c r="D86" s="33" t="n">
        <f aca="false">SUM(F86:H86)</f>
        <v>9715.1</v>
      </c>
      <c r="H86" s="33" t="n">
        <v>9715.1</v>
      </c>
    </row>
    <row r="87" customFormat="false" ht="15" hidden="false" customHeight="false" outlineLevel="0" collapsed="false">
      <c r="B87" s="5" t="s">
        <v>183</v>
      </c>
      <c r="D87" s="33" t="n">
        <f aca="false">SUM(F87:H87)</f>
        <v>548.48</v>
      </c>
      <c r="H87" s="33" t="n">
        <v>548.48</v>
      </c>
    </row>
    <row r="88" customFormat="false" ht="15" hidden="false" customHeight="false" outlineLevel="0" collapsed="false">
      <c r="B88" s="5" t="s">
        <v>184</v>
      </c>
      <c r="D88" s="33" t="n">
        <f aca="false">SUM(F88:H88)</f>
        <v>12559.71</v>
      </c>
      <c r="H88" s="33" t="n">
        <v>12559.71</v>
      </c>
    </row>
    <row r="89" customFormat="false" ht="15" hidden="false" customHeight="false" outlineLevel="0" collapsed="false">
      <c r="B89" s="5" t="s">
        <v>185</v>
      </c>
      <c r="D89" s="33" t="n">
        <f aca="false">SUM(F89:H89)</f>
        <v>5680.09</v>
      </c>
      <c r="H89" s="33" t="n">
        <v>5680.09</v>
      </c>
    </row>
    <row r="90" customFormat="false" ht="15" hidden="false" customHeight="false" outlineLevel="0" collapsed="false">
      <c r="B90" s="5" t="s">
        <v>186</v>
      </c>
      <c r="D90" s="33" t="n">
        <f aca="false">SUM(F90:H90)</f>
        <v>2911.57</v>
      </c>
      <c r="H90" s="33" t="n">
        <v>2911.57</v>
      </c>
    </row>
    <row r="91" customFormat="false" ht="15" hidden="false" customHeight="false" outlineLevel="0" collapsed="false">
      <c r="B91" s="5" t="s">
        <v>187</v>
      </c>
      <c r="D91" s="33" t="n">
        <f aca="false">SUM(F91:H91)</f>
        <v>5070.55</v>
      </c>
      <c r="H91" s="33" t="n">
        <v>5070.55</v>
      </c>
    </row>
    <row r="92" customFormat="false" ht="15" hidden="false" customHeight="false" outlineLevel="0" collapsed="false">
      <c r="B92" s="5" t="s">
        <v>188</v>
      </c>
      <c r="D92" s="33" t="n">
        <f aca="false">SUM(F92:H92)</f>
        <v>9837.36</v>
      </c>
      <c r="H92" s="33" t="n">
        <v>9837.36</v>
      </c>
    </row>
    <row r="93" customFormat="false" ht="15" hidden="false" customHeight="false" outlineLevel="0" collapsed="false">
      <c r="B93" s="5" t="s">
        <v>189</v>
      </c>
      <c r="D93" s="33" t="n">
        <f aca="false">SUM(F93:H93)</f>
        <v>4408.6</v>
      </c>
      <c r="H93" s="33" t="n">
        <v>4408.6</v>
      </c>
    </row>
    <row r="94" customFormat="false" ht="15" hidden="false" customHeight="false" outlineLevel="0" collapsed="false">
      <c r="B94" s="5" t="s">
        <v>190</v>
      </c>
      <c r="D94" s="33" t="n">
        <f aca="false">SUM(F94:H94)</f>
        <v>1012.22</v>
      </c>
      <c r="H94" s="33" t="n">
        <v>1012.22</v>
      </c>
    </row>
    <row r="95" customFormat="false" ht="15" hidden="false" customHeight="false" outlineLevel="0" collapsed="false">
      <c r="B95" s="5" t="s">
        <v>192</v>
      </c>
      <c r="D95" s="33" t="n">
        <f aca="false">SUM(F95:H95)</f>
        <v>14327.98</v>
      </c>
      <c r="H95" s="33" t="n">
        <v>14327.98</v>
      </c>
    </row>
    <row r="96" customFormat="false" ht="15" hidden="false" customHeight="false" outlineLevel="0" collapsed="false">
      <c r="B96" s="5" t="s">
        <v>193</v>
      </c>
      <c r="D96" s="33" t="n">
        <f aca="false">SUM(F96:H96)</f>
        <v>1332.99</v>
      </c>
      <c r="H96" s="33" t="n">
        <v>1332.99</v>
      </c>
    </row>
    <row r="97" customFormat="false" ht="15" hidden="false" customHeight="false" outlineLevel="0" collapsed="false">
      <c r="B97" s="5" t="s">
        <v>202</v>
      </c>
      <c r="D97" s="33" t="n">
        <f aca="false">SUM(F97:H97)</f>
        <v>1709.81</v>
      </c>
      <c r="H97" s="33" t="n">
        <v>1709.81</v>
      </c>
    </row>
    <row r="98" customFormat="false" ht="15" hidden="false" customHeight="false" outlineLevel="0" collapsed="false">
      <c r="B98" s="11" t="s">
        <v>162</v>
      </c>
      <c r="D98" s="34" t="n">
        <f aca="false">SUM(D68:D97)</f>
        <v>147893.47</v>
      </c>
      <c r="F98" s="34" t="n">
        <f aca="false">SUM(F68:F97)</f>
        <v>30900.04</v>
      </c>
      <c r="H98" s="34" t="n">
        <f aca="false">SUM(H68:H97)</f>
        <v>116993.43</v>
      </c>
    </row>
    <row r="99" customFormat="false" ht="15" hidden="false" customHeight="false" outlineLevel="0" collapsed="false">
      <c r="B99" s="30" t="s">
        <v>136</v>
      </c>
      <c r="F99" s="31" t="n">
        <f aca="false">F98/D98</f>
        <v>0.208934444502519</v>
      </c>
      <c r="H99" s="31" t="n">
        <f aca="false">H98/D98</f>
        <v>0.791065555497481</v>
      </c>
    </row>
    <row r="101" customFormat="false" ht="15" hidden="false" customHeight="false" outlineLevel="0" collapsed="false">
      <c r="A101" s="10" t="s">
        <v>157</v>
      </c>
    </row>
    <row r="102" customFormat="false" ht="15" hidden="false" customHeight="false" outlineLevel="0" collapsed="false">
      <c r="B102" s="4" t="s">
        <v>158</v>
      </c>
      <c r="D102" s="4" t="s">
        <v>108</v>
      </c>
      <c r="F102" s="4" t="s">
        <v>165</v>
      </c>
      <c r="H102" s="4" t="s">
        <v>141</v>
      </c>
    </row>
    <row r="103" customFormat="false" ht="15" hidden="false" customHeight="false" outlineLevel="0" collapsed="false">
      <c r="B103" s="5" t="str">
        <f aca="false">'Building 10'!B18</f>
        <v>1 - Buillding - Apt - 5yr</v>
      </c>
      <c r="D103" s="33" t="n">
        <f aca="false">SUM(F103:H103)</f>
        <v>24387.48</v>
      </c>
      <c r="F103" s="33" t="n">
        <f aca="false">'Building 10'!D18</f>
        <v>24387.48</v>
      </c>
    </row>
    <row r="104" customFormat="false" ht="15" hidden="false" customHeight="false" outlineLevel="0" collapsed="false">
      <c r="B104" s="5" t="str">
        <f aca="false">'Building 10'!B19</f>
        <v>1 - Buillding - Apt - 27.5yr</v>
      </c>
      <c r="D104" s="33" t="n">
        <f aca="false">SUM(F104:H104)</f>
        <v>92335.64</v>
      </c>
      <c r="H104" s="33" t="n">
        <f aca="false">'Building 10'!D19</f>
        <v>92335.64</v>
      </c>
    </row>
    <row r="105" customFormat="false" ht="15" hidden="false" customHeight="false" outlineLevel="0" collapsed="false">
      <c r="B105" s="5" t="str">
        <f aca="false">'Building 10'!B20</f>
        <v>5 - Building - Apt - 5yr</v>
      </c>
      <c r="D105" s="33" t="n">
        <f aca="false">SUM(F105:H105)</f>
        <v>44.42</v>
      </c>
      <c r="F105" s="33" t="n">
        <f aca="false">'Building 10'!D20</f>
        <v>44.42</v>
      </c>
    </row>
    <row r="106" customFormat="false" ht="15" hidden="false" customHeight="false" outlineLevel="0" collapsed="false">
      <c r="B106" s="5" t="str">
        <f aca="false">'Building 10'!B21</f>
        <v>5 - Building - Apt - 27.5yr</v>
      </c>
      <c r="D106" s="33" t="n">
        <f aca="false">SUM(F106:H106)</f>
        <v>168.16</v>
      </c>
      <c r="H106" s="33" t="n">
        <f aca="false">'Building 10'!D21</f>
        <v>168.16</v>
      </c>
    </row>
    <row r="107" customFormat="false" ht="15" hidden="false" customHeight="false" outlineLevel="0" collapsed="false">
      <c r="B107" s="5" t="str">
        <f aca="false">'Building 10'!B22</f>
        <v>3 - Land Improvements - Apt - 5yr</v>
      </c>
      <c r="D107" s="33" t="n">
        <f aca="false">SUM(F107:H107)</f>
        <v>2300.7</v>
      </c>
      <c r="F107" s="33" t="n">
        <f aca="false">'Building 10'!D22</f>
        <v>2300.7</v>
      </c>
    </row>
    <row r="108" customFormat="false" ht="15" hidden="false" customHeight="false" outlineLevel="0" collapsed="false">
      <c r="B108" s="5" t="str">
        <f aca="false">'Building 10'!B23</f>
        <v>3 - Land Improvements - Apt - 27.5yr</v>
      </c>
      <c r="D108" s="33" t="n">
        <f aca="false">SUM(F108:H108)</f>
        <v>8710.9</v>
      </c>
      <c r="H108" s="33" t="n">
        <f aca="false">'Building 10'!D23</f>
        <v>8710.9</v>
      </c>
    </row>
    <row r="109" customFormat="false" ht="15" hidden="false" customHeight="false" outlineLevel="0" collapsed="false">
      <c r="B109" s="5" t="str">
        <f aca="false">'Building 10'!B24</f>
        <v>4 - Equipment - Apt - 5yr</v>
      </c>
      <c r="D109" s="33" t="n">
        <f aca="false">SUM(F109:H109)</f>
        <v>4167.44</v>
      </c>
      <c r="F109" s="33" t="n">
        <f aca="false">'Building 10'!D24</f>
        <v>4167.44</v>
      </c>
    </row>
    <row r="110" customFormat="false" ht="15" hidden="false" customHeight="false" outlineLevel="0" collapsed="false">
      <c r="B110" s="5" t="str">
        <f aca="false">'Building 10'!B25</f>
        <v>4 - Equipment - Apt - 27.5yr</v>
      </c>
      <c r="D110" s="33" t="n">
        <f aca="false">SUM(F110:H110)</f>
        <v>15778.73</v>
      </c>
      <c r="H110" s="33" t="n">
        <f aca="false">'Building 10'!D25</f>
        <v>15778.73</v>
      </c>
    </row>
    <row r="111" customFormat="false" ht="15" hidden="false" customHeight="false" outlineLevel="0" collapsed="false">
      <c r="B111" s="11" t="s">
        <v>159</v>
      </c>
      <c r="D111" s="34" t="n">
        <f aca="false">SUM(D103:D110)</f>
        <v>147893.47</v>
      </c>
      <c r="F111" s="34" t="n">
        <f aca="false">SUM(F103:F110)</f>
        <v>30900.04</v>
      </c>
      <c r="H111" s="34" t="n">
        <f aca="false">SUM(H103:H110)</f>
        <v>116993.43</v>
      </c>
    </row>
    <row r="112" customFormat="false" ht="15" hidden="false" customHeight="false" outlineLevel="0" collapsed="false">
      <c r="B112" s="16" t="s">
        <v>160</v>
      </c>
      <c r="D112" s="17" t="n">
        <f aca="false">D111-D98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212</v>
      </c>
    </row>
    <row r="5" customFormat="false" ht="15" hidden="false" customHeight="false" outlineLevel="0" collapsed="false">
      <c r="A5" s="16" t="s">
        <v>102</v>
      </c>
    </row>
    <row r="7" customFormat="false" ht="15" hidden="false" customHeight="false" outlineLevel="0" collapsed="false">
      <c r="A7" s="10" t="s">
        <v>103</v>
      </c>
    </row>
    <row r="8" customFormat="false" ht="15" hidden="false" customHeight="false" outlineLevel="0" collapsed="false">
      <c r="A8" s="21" t="s">
        <v>104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105</v>
      </c>
      <c r="B9" s="4" t="s">
        <v>106</v>
      </c>
      <c r="C9" s="4" t="s">
        <v>107</v>
      </c>
      <c r="D9" s="4" t="s">
        <v>108</v>
      </c>
      <c r="E9" s="4" t="s">
        <v>109</v>
      </c>
      <c r="F9" s="4" t="s">
        <v>110</v>
      </c>
      <c r="G9" s="4" t="s">
        <v>111</v>
      </c>
      <c r="H9" s="4" t="s">
        <v>112</v>
      </c>
      <c r="I9" s="4" t="s">
        <v>113</v>
      </c>
      <c r="J9" s="4" t="s">
        <v>114</v>
      </c>
      <c r="K9" s="4" t="s">
        <v>115</v>
      </c>
      <c r="L9" s="4" t="s">
        <v>116</v>
      </c>
    </row>
    <row r="10" customFormat="false" ht="15" hidden="false" customHeight="false" outlineLevel="0" collapsed="false">
      <c r="A10" s="23" t="n">
        <v>1</v>
      </c>
      <c r="B10" s="23" t="s">
        <v>45</v>
      </c>
      <c r="C10" s="23" t="s">
        <v>35</v>
      </c>
      <c r="D10" s="24" t="n">
        <v>91140.5</v>
      </c>
      <c r="E10" s="24" t="n">
        <v>0</v>
      </c>
      <c r="F10" s="24" t="n">
        <v>0</v>
      </c>
      <c r="G10" s="24" t="n">
        <v>26651.36</v>
      </c>
      <c r="H10" s="24" t="n">
        <v>3314.2</v>
      </c>
      <c r="I10" s="24" t="n">
        <f aca="false">G10+H10</f>
        <v>29965.56</v>
      </c>
      <c r="J10" s="24" t="n">
        <f aca="false">D10-I10</f>
        <v>61174.94</v>
      </c>
      <c r="K10" s="25" t="s">
        <v>117</v>
      </c>
      <c r="L10" s="25" t="s">
        <v>118</v>
      </c>
    </row>
    <row r="11" customFormat="false" ht="15" hidden="false" customHeight="false" outlineLevel="0" collapsed="false">
      <c r="A11" s="23" t="n">
        <v>2</v>
      </c>
      <c r="B11" s="23" t="s">
        <v>46</v>
      </c>
      <c r="C11" s="23" t="s">
        <v>37</v>
      </c>
      <c r="D11" s="24" t="n">
        <v>165.99</v>
      </c>
      <c r="E11" s="24" t="n">
        <v>0</v>
      </c>
      <c r="F11" s="24" t="n">
        <v>0</v>
      </c>
      <c r="G11" s="24" t="n">
        <v>48.07</v>
      </c>
      <c r="H11" s="24" t="n">
        <v>6.04</v>
      </c>
      <c r="I11" s="24" t="n">
        <f aca="false">G11+H11</f>
        <v>54.11</v>
      </c>
      <c r="J11" s="24" t="n">
        <f aca="false">D11-I11</f>
        <v>111.88</v>
      </c>
      <c r="K11" s="25" t="s">
        <v>117</v>
      </c>
      <c r="L11" s="25" t="s">
        <v>118</v>
      </c>
    </row>
    <row r="12" customFormat="false" ht="15" hidden="false" customHeight="false" outlineLevel="0" collapsed="false">
      <c r="A12" s="23" t="n">
        <v>3</v>
      </c>
      <c r="B12" s="23" t="s">
        <v>47</v>
      </c>
      <c r="C12" s="23" t="s">
        <v>35</v>
      </c>
      <c r="D12" s="24" t="n">
        <v>8598.15</v>
      </c>
      <c r="E12" s="24" t="n">
        <v>0</v>
      </c>
      <c r="F12" s="24" t="n">
        <v>0</v>
      </c>
      <c r="G12" s="24" t="n">
        <v>5035.65</v>
      </c>
      <c r="H12" s="24" t="n">
        <v>507.3</v>
      </c>
      <c r="I12" s="24" t="n">
        <f aca="false">G12+H12</f>
        <v>5542.95</v>
      </c>
      <c r="J12" s="24" t="n">
        <f aca="false">D12-I12</f>
        <v>3055.2</v>
      </c>
      <c r="K12" s="25" t="s">
        <v>119</v>
      </c>
      <c r="L12" s="25" t="s">
        <v>120</v>
      </c>
    </row>
    <row r="13" customFormat="false" ht="15" hidden="false" customHeight="false" outlineLevel="0" collapsed="false">
      <c r="A13" s="23" t="n">
        <v>4</v>
      </c>
      <c r="B13" s="23" t="s">
        <v>48</v>
      </c>
      <c r="C13" s="23" t="s">
        <v>35</v>
      </c>
      <c r="D13" s="24" t="n">
        <v>15574.5</v>
      </c>
      <c r="E13" s="24" t="n">
        <v>0</v>
      </c>
      <c r="F13" s="24" t="n">
        <v>0</v>
      </c>
      <c r="G13" s="24" t="n">
        <v>15055.35</v>
      </c>
      <c r="H13" s="24" t="n">
        <v>0</v>
      </c>
      <c r="I13" s="24" t="n">
        <f aca="false">G13+H13</f>
        <v>15055.35</v>
      </c>
      <c r="J13" s="24" t="n">
        <f aca="false">D13-I13</f>
        <v>519.15</v>
      </c>
      <c r="K13" s="25" t="s">
        <v>121</v>
      </c>
      <c r="L13" s="25" t="s">
        <v>122</v>
      </c>
    </row>
    <row r="14" customFormat="false" ht="15" hidden="false" customHeight="false" outlineLevel="0" collapsed="false">
      <c r="A14" s="26"/>
      <c r="B14" s="27" t="s">
        <v>53</v>
      </c>
      <c r="C14" s="26"/>
      <c r="D14" s="28" t="n">
        <f aca="false">SUM(D10:D13)</f>
        <v>115479.14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46790.43</v>
      </c>
      <c r="H14" s="28" t="n">
        <f aca="false">SUM(H10:H13)</f>
        <v>3827.54</v>
      </c>
      <c r="I14" s="28" t="n">
        <f aca="false">SUM(I10:I13)</f>
        <v>50617.97</v>
      </c>
      <c r="J14" s="28" t="n">
        <f aca="false">SUM(J10:J13)</f>
        <v>64861.17</v>
      </c>
      <c r="K14" s="26"/>
      <c r="L14" s="26"/>
    </row>
    <row r="16" customFormat="false" ht="15" hidden="false" customHeight="false" outlineLevel="0" collapsed="false">
      <c r="A16" s="21" t="s">
        <v>123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4" t="s">
        <v>105</v>
      </c>
      <c r="B17" s="4" t="s">
        <v>106</v>
      </c>
      <c r="C17" s="4" t="s">
        <v>107</v>
      </c>
      <c r="D17" s="4" t="s">
        <v>108</v>
      </c>
      <c r="E17" s="4" t="s">
        <v>109</v>
      </c>
      <c r="F17" s="4" t="s">
        <v>110</v>
      </c>
      <c r="G17" s="4" t="s">
        <v>111</v>
      </c>
      <c r="H17" s="4" t="s">
        <v>112</v>
      </c>
      <c r="I17" s="4" t="s">
        <v>113</v>
      </c>
      <c r="J17" s="4" t="s">
        <v>114</v>
      </c>
      <c r="K17" s="4" t="s">
        <v>115</v>
      </c>
      <c r="L17" s="4" t="s">
        <v>116</v>
      </c>
    </row>
    <row r="18" customFormat="false" ht="15" hidden="false" customHeight="false" outlineLevel="0" collapsed="false">
      <c r="A18" s="23" t="n">
        <v>1</v>
      </c>
      <c r="B18" s="23" t="s">
        <v>71</v>
      </c>
      <c r="C18" s="23" t="s">
        <v>35</v>
      </c>
      <c r="D18" s="24" t="n">
        <v>21279.35</v>
      </c>
      <c r="E18" s="24" t="n">
        <v>0</v>
      </c>
      <c r="F18" s="24" t="n">
        <v>0</v>
      </c>
      <c r="G18" s="24" t="n">
        <v>21279.35</v>
      </c>
      <c r="H18" s="24" t="n">
        <v>0</v>
      </c>
      <c r="I18" s="24" t="n">
        <f aca="false">G18+H18</f>
        <v>21279.35</v>
      </c>
      <c r="J18" s="24" t="n">
        <f aca="false">D18-I18</f>
        <v>0</v>
      </c>
      <c r="K18" s="25" t="s">
        <v>121</v>
      </c>
      <c r="L18" s="25" t="s">
        <v>122</v>
      </c>
    </row>
    <row r="19" customFormat="false" ht="15" hidden="false" customHeight="false" outlineLevel="0" collapsed="false">
      <c r="A19" s="23" t="n">
        <v>2</v>
      </c>
      <c r="B19" s="23" t="s">
        <v>72</v>
      </c>
      <c r="C19" s="23" t="s">
        <v>35</v>
      </c>
      <c r="D19" s="24" t="n">
        <v>69861.15</v>
      </c>
      <c r="E19" s="24" t="n">
        <v>0</v>
      </c>
      <c r="F19" s="24" t="n">
        <v>0</v>
      </c>
      <c r="G19" s="24" t="n">
        <v>20429.13</v>
      </c>
      <c r="H19" s="24" t="n">
        <v>2540.41</v>
      </c>
      <c r="I19" s="24" t="n">
        <f aca="false">G19+H19</f>
        <v>22969.54</v>
      </c>
      <c r="J19" s="24" t="n">
        <f aca="false">D19-I19</f>
        <v>46891.61</v>
      </c>
      <c r="K19" s="25" t="s">
        <v>117</v>
      </c>
      <c r="L19" s="25" t="s">
        <v>118</v>
      </c>
    </row>
    <row r="20" customFormat="false" ht="15" hidden="false" customHeight="false" outlineLevel="0" collapsed="false">
      <c r="A20" s="23" t="n">
        <v>3</v>
      </c>
      <c r="B20" s="23" t="s">
        <v>73</v>
      </c>
      <c r="C20" s="23" t="s">
        <v>37</v>
      </c>
      <c r="D20" s="24" t="n">
        <v>38.76</v>
      </c>
      <c r="E20" s="24" t="n">
        <v>0</v>
      </c>
      <c r="F20" s="24" t="n">
        <v>0</v>
      </c>
      <c r="G20" s="24" t="n">
        <v>38.76</v>
      </c>
      <c r="H20" s="24" t="n">
        <v>0</v>
      </c>
      <c r="I20" s="24" t="n">
        <f aca="false">G20+H20</f>
        <v>38.76</v>
      </c>
      <c r="J20" s="24" t="n">
        <f aca="false">D20-I20</f>
        <v>0</v>
      </c>
      <c r="K20" s="25" t="s">
        <v>121</v>
      </c>
      <c r="L20" s="25" t="s">
        <v>122</v>
      </c>
    </row>
    <row r="21" customFormat="false" ht="15" hidden="false" customHeight="false" outlineLevel="0" collapsed="false">
      <c r="A21" s="23" t="n">
        <v>4</v>
      </c>
      <c r="B21" s="23" t="s">
        <v>74</v>
      </c>
      <c r="C21" s="23" t="s">
        <v>37</v>
      </c>
      <c r="D21" s="24" t="n">
        <v>127.23</v>
      </c>
      <c r="E21" s="24" t="n">
        <v>0</v>
      </c>
      <c r="F21" s="24" t="n">
        <v>0</v>
      </c>
      <c r="G21" s="24" t="n">
        <v>36.84</v>
      </c>
      <c r="H21" s="24" t="n">
        <v>4.63</v>
      </c>
      <c r="I21" s="24" t="n">
        <f aca="false">G21+H21</f>
        <v>41.47</v>
      </c>
      <c r="J21" s="24" t="n">
        <f aca="false">D21-I21</f>
        <v>85.76</v>
      </c>
      <c r="K21" s="25" t="s">
        <v>117</v>
      </c>
      <c r="L21" s="25" t="s">
        <v>118</v>
      </c>
    </row>
    <row r="22" customFormat="false" ht="15" hidden="false" customHeight="false" outlineLevel="0" collapsed="false">
      <c r="A22" s="23" t="n">
        <v>5</v>
      </c>
      <c r="B22" s="23" t="s">
        <v>79</v>
      </c>
      <c r="C22" s="23" t="s">
        <v>35</v>
      </c>
      <c r="D22" s="24" t="n">
        <v>2007.48</v>
      </c>
      <c r="E22" s="24" t="n">
        <v>0</v>
      </c>
      <c r="F22" s="24" t="n">
        <v>0</v>
      </c>
      <c r="G22" s="24" t="n">
        <v>2007.48</v>
      </c>
      <c r="H22" s="24" t="n">
        <v>0</v>
      </c>
      <c r="I22" s="24" t="n">
        <f aca="false">G22+H22</f>
        <v>2007.48</v>
      </c>
      <c r="J22" s="24" t="n">
        <f aca="false">D22-I22</f>
        <v>0</v>
      </c>
      <c r="K22" s="25" t="s">
        <v>121</v>
      </c>
      <c r="L22" s="25" t="s">
        <v>122</v>
      </c>
    </row>
    <row r="23" customFormat="false" ht="15" hidden="false" customHeight="false" outlineLevel="0" collapsed="false">
      <c r="A23" s="23" t="n">
        <v>6</v>
      </c>
      <c r="B23" s="23" t="s">
        <v>80</v>
      </c>
      <c r="C23" s="23" t="s">
        <v>35</v>
      </c>
      <c r="D23" s="24" t="n">
        <v>6590.67</v>
      </c>
      <c r="E23" s="24" t="n">
        <v>0</v>
      </c>
      <c r="F23" s="24" t="n">
        <v>0</v>
      </c>
      <c r="G23" s="24" t="n">
        <v>1927.27</v>
      </c>
      <c r="H23" s="24" t="n">
        <v>239.66</v>
      </c>
      <c r="I23" s="24" t="n">
        <f aca="false">G23+H23</f>
        <v>2166.93</v>
      </c>
      <c r="J23" s="24" t="n">
        <f aca="false">D23-I23</f>
        <v>4423.74</v>
      </c>
      <c r="K23" s="25" t="s">
        <v>117</v>
      </c>
      <c r="L23" s="25" t="s">
        <v>118</v>
      </c>
    </row>
    <row r="24" customFormat="false" ht="15" hidden="false" customHeight="false" outlineLevel="0" collapsed="false">
      <c r="A24" s="23" t="n">
        <v>7</v>
      </c>
      <c r="B24" s="23" t="s">
        <v>77</v>
      </c>
      <c r="C24" s="23" t="s">
        <v>35</v>
      </c>
      <c r="D24" s="24" t="n">
        <v>3636.33</v>
      </c>
      <c r="E24" s="24" t="n">
        <v>0</v>
      </c>
      <c r="F24" s="24" t="n">
        <v>0</v>
      </c>
      <c r="G24" s="24" t="n">
        <v>3636.33</v>
      </c>
      <c r="H24" s="24" t="n">
        <v>0</v>
      </c>
      <c r="I24" s="24" t="n">
        <f aca="false">G24+H24</f>
        <v>3636.33</v>
      </c>
      <c r="J24" s="24" t="n">
        <f aca="false">D24-I24</f>
        <v>0</v>
      </c>
      <c r="K24" s="25" t="s">
        <v>121</v>
      </c>
      <c r="L24" s="25" t="s">
        <v>122</v>
      </c>
    </row>
    <row r="25" customFormat="false" ht="15" hidden="false" customHeight="false" outlineLevel="0" collapsed="false">
      <c r="A25" s="23" t="n">
        <v>8</v>
      </c>
      <c r="B25" s="23" t="s">
        <v>78</v>
      </c>
      <c r="C25" s="23" t="s">
        <v>35</v>
      </c>
      <c r="D25" s="24" t="n">
        <v>11938.19</v>
      </c>
      <c r="E25" s="24" t="n">
        <v>0</v>
      </c>
      <c r="F25" s="24" t="n">
        <v>0</v>
      </c>
      <c r="G25" s="24" t="n">
        <v>3491.05</v>
      </c>
      <c r="H25" s="24" t="n">
        <v>434.12</v>
      </c>
      <c r="I25" s="24" t="n">
        <f aca="false">G25+H25</f>
        <v>3925.17</v>
      </c>
      <c r="J25" s="24" t="n">
        <f aca="false">D25-I25</f>
        <v>8013.02</v>
      </c>
      <c r="K25" s="25" t="s">
        <v>117</v>
      </c>
      <c r="L25" s="25" t="s">
        <v>118</v>
      </c>
    </row>
    <row r="26" customFormat="false" ht="15" hidden="false" customHeight="false" outlineLevel="0" collapsed="false">
      <c r="A26" s="26"/>
      <c r="B26" s="27" t="s">
        <v>53</v>
      </c>
      <c r="C26" s="26"/>
      <c r="D26" s="28" t="n">
        <f aca="false">SUM(D18:D25)</f>
        <v>115479.16</v>
      </c>
      <c r="E26" s="28" t="n">
        <f aca="false">SUM(E18:E25)</f>
        <v>0</v>
      </c>
      <c r="F26" s="28" t="n">
        <f aca="false">SUM(F18:F25)</f>
        <v>0</v>
      </c>
      <c r="G26" s="28" t="n">
        <f aca="false">SUM(G18:G25)</f>
        <v>52846.21</v>
      </c>
      <c r="H26" s="28" t="n">
        <f aca="false">SUM(H18:H25)</f>
        <v>3218.82</v>
      </c>
      <c r="I26" s="28" t="n">
        <f aca="false">SUM(I18:I25)</f>
        <v>56065.03</v>
      </c>
      <c r="J26" s="28" t="n">
        <f aca="false">SUM(J18:J25)</f>
        <v>59414.13</v>
      </c>
      <c r="K26" s="26"/>
      <c r="L26" s="26"/>
    </row>
    <row r="28" customFormat="false" ht="15" hidden="false" customHeight="false" outlineLevel="0" collapsed="false">
      <c r="B28" s="18" t="s">
        <v>124</v>
      </c>
    </row>
    <row r="29" customFormat="false" ht="15" hidden="false" customHeight="false" outlineLevel="0" collapsed="false">
      <c r="B29" s="5" t="s">
        <v>125</v>
      </c>
      <c r="D29" s="6" t="n">
        <f aca="false">I14</f>
        <v>50617.97</v>
      </c>
    </row>
    <row r="30" customFormat="false" ht="15" hidden="false" customHeight="false" outlineLevel="0" collapsed="false">
      <c r="B30" s="5" t="s">
        <v>126</v>
      </c>
      <c r="D30" s="6" t="n">
        <f aca="false">I26</f>
        <v>56065.03</v>
      </c>
    </row>
    <row r="31" customFormat="false" ht="15" hidden="false" customHeight="false" outlineLevel="0" collapsed="false">
      <c r="B31" s="11" t="s">
        <v>124</v>
      </c>
      <c r="D31" s="29" t="n">
        <f aca="false">D29-D30</f>
        <v>-5447.06</v>
      </c>
    </row>
    <row r="33" customFormat="false" ht="15" hidden="false" customHeight="false" outlineLevel="0" collapsed="false">
      <c r="A33" s="10" t="s">
        <v>127</v>
      </c>
    </row>
    <row r="34" customFormat="false" ht="15" hidden="false" customHeight="false" outlineLevel="0" collapsed="false">
      <c r="A34" s="21" t="s">
        <v>128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4" t="s">
        <v>105</v>
      </c>
      <c r="B35" s="4" t="s">
        <v>106</v>
      </c>
      <c r="C35" s="4" t="s">
        <v>107</v>
      </c>
      <c r="D35" s="4" t="s">
        <v>108</v>
      </c>
      <c r="E35" s="4" t="s">
        <v>109</v>
      </c>
      <c r="F35" s="4" t="s">
        <v>110</v>
      </c>
      <c r="G35" s="4" t="s">
        <v>129</v>
      </c>
      <c r="H35" s="4" t="s">
        <v>130</v>
      </c>
      <c r="I35" s="4" t="s">
        <v>113</v>
      </c>
      <c r="J35" s="4" t="s">
        <v>114</v>
      </c>
      <c r="K35" s="4" t="s">
        <v>115</v>
      </c>
      <c r="L35" s="4" t="s">
        <v>116</v>
      </c>
    </row>
    <row r="36" customFormat="false" ht="15" hidden="false" customHeight="false" outlineLevel="0" collapsed="false">
      <c r="A36" s="23" t="n">
        <v>1</v>
      </c>
      <c r="B36" s="23" t="s">
        <v>45</v>
      </c>
      <c r="C36" s="23" t="s">
        <v>35</v>
      </c>
      <c r="D36" s="24" t="n">
        <v>91140.5</v>
      </c>
      <c r="E36" s="24" t="n">
        <v>0</v>
      </c>
      <c r="F36" s="24" t="n">
        <v>0</v>
      </c>
      <c r="G36" s="24" t="n">
        <v>26651.36</v>
      </c>
      <c r="H36" s="24" t="n">
        <v>3314.2</v>
      </c>
      <c r="I36" s="24" t="n">
        <f aca="false">G36+H36</f>
        <v>29965.56</v>
      </c>
      <c r="J36" s="24" t="n">
        <f aca="false">D36-I36</f>
        <v>61174.94</v>
      </c>
      <c r="K36" s="25" t="s">
        <v>117</v>
      </c>
      <c r="L36" s="25" t="s">
        <v>118</v>
      </c>
    </row>
    <row r="37" customFormat="false" ht="15" hidden="false" customHeight="false" outlineLevel="0" collapsed="false">
      <c r="A37" s="23" t="n">
        <v>2</v>
      </c>
      <c r="B37" s="23" t="s">
        <v>46</v>
      </c>
      <c r="C37" s="23" t="s">
        <v>37</v>
      </c>
      <c r="D37" s="24" t="n">
        <v>165.99</v>
      </c>
      <c r="E37" s="24" t="n">
        <v>0</v>
      </c>
      <c r="F37" s="24" t="n">
        <v>0</v>
      </c>
      <c r="G37" s="24" t="n">
        <v>48.07</v>
      </c>
      <c r="H37" s="24" t="n">
        <v>6.04</v>
      </c>
      <c r="I37" s="24" t="n">
        <f aca="false">G37+H37</f>
        <v>54.11</v>
      </c>
      <c r="J37" s="24" t="n">
        <f aca="false">D37-I37</f>
        <v>111.88</v>
      </c>
      <c r="K37" s="25" t="s">
        <v>117</v>
      </c>
      <c r="L37" s="25" t="s">
        <v>118</v>
      </c>
    </row>
    <row r="38" customFormat="false" ht="15" hidden="false" customHeight="false" outlineLevel="0" collapsed="false">
      <c r="A38" s="23" t="n">
        <v>3</v>
      </c>
      <c r="B38" s="23" t="s">
        <v>47</v>
      </c>
      <c r="C38" s="23" t="s">
        <v>35</v>
      </c>
      <c r="D38" s="24" t="n">
        <v>8598.15</v>
      </c>
      <c r="E38" s="24" t="n">
        <v>0</v>
      </c>
      <c r="F38" s="24" t="n">
        <v>0</v>
      </c>
      <c r="G38" s="24" t="n">
        <v>5035.65</v>
      </c>
      <c r="H38" s="24" t="n">
        <v>507.3</v>
      </c>
      <c r="I38" s="24" t="n">
        <f aca="false">G38+H38</f>
        <v>5542.95</v>
      </c>
      <c r="J38" s="24" t="n">
        <f aca="false">D38-I38</f>
        <v>3055.2</v>
      </c>
      <c r="K38" s="25" t="s">
        <v>119</v>
      </c>
      <c r="L38" s="25" t="s">
        <v>120</v>
      </c>
    </row>
    <row r="39" customFormat="false" ht="15" hidden="false" customHeight="false" outlineLevel="0" collapsed="false">
      <c r="A39" s="23" t="n">
        <v>4</v>
      </c>
      <c r="B39" s="23" t="s">
        <v>48</v>
      </c>
      <c r="C39" s="23" t="s">
        <v>35</v>
      </c>
      <c r="D39" s="24" t="n">
        <v>15574.5</v>
      </c>
      <c r="E39" s="24" t="n">
        <v>0</v>
      </c>
      <c r="F39" s="24" t="n">
        <v>0</v>
      </c>
      <c r="G39" s="24" t="n">
        <v>15055.35</v>
      </c>
      <c r="H39" s="24" t="n">
        <v>0</v>
      </c>
      <c r="I39" s="24" t="n">
        <f aca="false">G39+H39</f>
        <v>15055.35</v>
      </c>
      <c r="J39" s="24" t="n">
        <f aca="false">D39-I39</f>
        <v>519.15</v>
      </c>
      <c r="K39" s="25" t="s">
        <v>121</v>
      </c>
      <c r="L39" s="25" t="s">
        <v>122</v>
      </c>
    </row>
    <row r="40" customFormat="false" ht="15" hidden="false" customHeight="false" outlineLevel="0" collapsed="false">
      <c r="A40" s="26"/>
      <c r="B40" s="27" t="s">
        <v>53</v>
      </c>
      <c r="C40" s="26"/>
      <c r="D40" s="28" t="n">
        <f aca="false">SUM(D36:D39)</f>
        <v>115479.14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46790.43</v>
      </c>
      <c r="H40" s="28" t="n">
        <f aca="false">SUM(H36:H39)</f>
        <v>3827.54</v>
      </c>
      <c r="I40" s="28" t="n">
        <f aca="false">SUM(I36:I39)</f>
        <v>50617.97</v>
      </c>
      <c r="J40" s="28" t="n">
        <f aca="false">SUM(J36:J39)</f>
        <v>64861.17</v>
      </c>
      <c r="K40" s="26"/>
      <c r="L40" s="26"/>
    </row>
    <row r="42" customFormat="false" ht="15" hidden="false" customHeight="false" outlineLevel="0" collapsed="false">
      <c r="A42" s="21" t="s">
        <v>131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4" t="s">
        <v>105</v>
      </c>
      <c r="B43" s="4" t="s">
        <v>106</v>
      </c>
      <c r="C43" s="4" t="s">
        <v>107</v>
      </c>
      <c r="D43" s="4" t="s">
        <v>108</v>
      </c>
      <c r="E43" s="4" t="s">
        <v>109</v>
      </c>
      <c r="F43" s="4" t="s">
        <v>110</v>
      </c>
      <c r="G43" s="4" t="s">
        <v>129</v>
      </c>
      <c r="H43" s="4" t="s">
        <v>130</v>
      </c>
      <c r="I43" s="4" t="s">
        <v>113</v>
      </c>
      <c r="J43" s="4" t="s">
        <v>114</v>
      </c>
      <c r="K43" s="4" t="s">
        <v>115</v>
      </c>
      <c r="L43" s="4" t="s">
        <v>116</v>
      </c>
    </row>
    <row r="44" customFormat="false" ht="15" hidden="false" customHeight="false" outlineLevel="0" collapsed="false">
      <c r="A44" s="23" t="n">
        <v>1</v>
      </c>
      <c r="B44" s="23" t="s">
        <v>71</v>
      </c>
      <c r="C44" s="23" t="s">
        <v>35</v>
      </c>
      <c r="D44" s="24" t="n">
        <v>21279.35</v>
      </c>
      <c r="E44" s="24" t="n">
        <v>0</v>
      </c>
      <c r="F44" s="24" t="n">
        <v>0</v>
      </c>
      <c r="G44" s="24" t="n">
        <v>21279.35</v>
      </c>
      <c r="H44" s="24" t="n">
        <v>0</v>
      </c>
      <c r="I44" s="24" t="n">
        <f aca="false">G44+H44</f>
        <v>21279.35</v>
      </c>
      <c r="J44" s="24" t="n">
        <f aca="false">D44-I44</f>
        <v>0</v>
      </c>
      <c r="K44" s="25" t="s">
        <v>121</v>
      </c>
      <c r="L44" s="25" t="s">
        <v>122</v>
      </c>
    </row>
    <row r="45" customFormat="false" ht="15" hidden="false" customHeight="false" outlineLevel="0" collapsed="false">
      <c r="A45" s="23" t="n">
        <v>2</v>
      </c>
      <c r="B45" s="23" t="s">
        <v>72</v>
      </c>
      <c r="C45" s="23" t="s">
        <v>35</v>
      </c>
      <c r="D45" s="24" t="n">
        <v>69861.15</v>
      </c>
      <c r="E45" s="24" t="n">
        <v>0</v>
      </c>
      <c r="F45" s="24" t="n">
        <v>0</v>
      </c>
      <c r="G45" s="24" t="n">
        <v>20429.13</v>
      </c>
      <c r="H45" s="24" t="n">
        <v>2540.41</v>
      </c>
      <c r="I45" s="24" t="n">
        <f aca="false">G45+H45</f>
        <v>22969.54</v>
      </c>
      <c r="J45" s="24" t="n">
        <f aca="false">D45-I45</f>
        <v>46891.61</v>
      </c>
      <c r="K45" s="25" t="s">
        <v>117</v>
      </c>
      <c r="L45" s="25" t="s">
        <v>118</v>
      </c>
    </row>
    <row r="46" customFormat="false" ht="15" hidden="false" customHeight="false" outlineLevel="0" collapsed="false">
      <c r="A46" s="23" t="n">
        <v>3</v>
      </c>
      <c r="B46" s="23" t="s">
        <v>73</v>
      </c>
      <c r="C46" s="23" t="s">
        <v>37</v>
      </c>
      <c r="D46" s="24" t="n">
        <v>38.76</v>
      </c>
      <c r="E46" s="24" t="n">
        <v>0</v>
      </c>
      <c r="F46" s="24" t="n">
        <v>0</v>
      </c>
      <c r="G46" s="24" t="n">
        <v>38.76</v>
      </c>
      <c r="H46" s="24" t="n">
        <v>0</v>
      </c>
      <c r="I46" s="24" t="n">
        <f aca="false">G46+H46</f>
        <v>38.76</v>
      </c>
      <c r="J46" s="24" t="n">
        <f aca="false">D46-I46</f>
        <v>0</v>
      </c>
      <c r="K46" s="25" t="s">
        <v>121</v>
      </c>
      <c r="L46" s="25" t="s">
        <v>122</v>
      </c>
    </row>
    <row r="47" customFormat="false" ht="15" hidden="false" customHeight="false" outlineLevel="0" collapsed="false">
      <c r="A47" s="23" t="n">
        <v>4</v>
      </c>
      <c r="B47" s="23" t="s">
        <v>74</v>
      </c>
      <c r="C47" s="23" t="s">
        <v>37</v>
      </c>
      <c r="D47" s="24" t="n">
        <v>127.23</v>
      </c>
      <c r="E47" s="24" t="n">
        <v>0</v>
      </c>
      <c r="F47" s="24" t="n">
        <v>0</v>
      </c>
      <c r="G47" s="24" t="n">
        <v>36.84</v>
      </c>
      <c r="H47" s="24" t="n">
        <v>4.63</v>
      </c>
      <c r="I47" s="24" t="n">
        <f aca="false">G47+H47</f>
        <v>41.47</v>
      </c>
      <c r="J47" s="24" t="n">
        <f aca="false">D47-I47</f>
        <v>85.76</v>
      </c>
      <c r="K47" s="25" t="s">
        <v>117</v>
      </c>
      <c r="L47" s="25" t="s">
        <v>118</v>
      </c>
    </row>
    <row r="48" customFormat="false" ht="15" hidden="false" customHeight="false" outlineLevel="0" collapsed="false">
      <c r="A48" s="23" t="n">
        <v>5</v>
      </c>
      <c r="B48" s="23" t="s">
        <v>79</v>
      </c>
      <c r="C48" s="23" t="s">
        <v>35</v>
      </c>
      <c r="D48" s="24" t="n">
        <v>2007.48</v>
      </c>
      <c r="E48" s="24" t="n">
        <v>0</v>
      </c>
      <c r="F48" s="24" t="n">
        <v>0</v>
      </c>
      <c r="G48" s="24" t="n">
        <v>2007.48</v>
      </c>
      <c r="H48" s="24" t="n">
        <v>0</v>
      </c>
      <c r="I48" s="24" t="n">
        <f aca="false">G48+H48</f>
        <v>2007.48</v>
      </c>
      <c r="J48" s="24" t="n">
        <f aca="false">D48-I48</f>
        <v>0</v>
      </c>
      <c r="K48" s="25" t="s">
        <v>121</v>
      </c>
      <c r="L48" s="25" t="s">
        <v>122</v>
      </c>
    </row>
    <row r="49" customFormat="false" ht="15" hidden="false" customHeight="false" outlineLevel="0" collapsed="false">
      <c r="A49" s="23" t="n">
        <v>6</v>
      </c>
      <c r="B49" s="23" t="s">
        <v>80</v>
      </c>
      <c r="C49" s="23" t="s">
        <v>35</v>
      </c>
      <c r="D49" s="24" t="n">
        <v>6590.67</v>
      </c>
      <c r="E49" s="24" t="n">
        <v>0</v>
      </c>
      <c r="F49" s="24" t="n">
        <v>0</v>
      </c>
      <c r="G49" s="24" t="n">
        <v>1927.27</v>
      </c>
      <c r="H49" s="24" t="n">
        <v>239.66</v>
      </c>
      <c r="I49" s="24" t="n">
        <f aca="false">G49+H49</f>
        <v>2166.93</v>
      </c>
      <c r="J49" s="24" t="n">
        <f aca="false">D49-I49</f>
        <v>4423.74</v>
      </c>
      <c r="K49" s="25" t="s">
        <v>117</v>
      </c>
      <c r="L49" s="25" t="s">
        <v>118</v>
      </c>
    </row>
    <row r="50" customFormat="false" ht="15" hidden="false" customHeight="false" outlineLevel="0" collapsed="false">
      <c r="A50" s="23" t="n">
        <v>7</v>
      </c>
      <c r="B50" s="23" t="s">
        <v>77</v>
      </c>
      <c r="C50" s="23" t="s">
        <v>35</v>
      </c>
      <c r="D50" s="24" t="n">
        <v>3636.33</v>
      </c>
      <c r="E50" s="24" t="n">
        <v>0</v>
      </c>
      <c r="F50" s="24" t="n">
        <v>0</v>
      </c>
      <c r="G50" s="24" t="n">
        <v>3636.33</v>
      </c>
      <c r="H50" s="24" t="n">
        <v>0</v>
      </c>
      <c r="I50" s="24" t="n">
        <f aca="false">G50+H50</f>
        <v>3636.33</v>
      </c>
      <c r="J50" s="24" t="n">
        <f aca="false">D50-I50</f>
        <v>0</v>
      </c>
      <c r="K50" s="25" t="s">
        <v>121</v>
      </c>
      <c r="L50" s="25" t="s">
        <v>122</v>
      </c>
    </row>
    <row r="51" customFormat="false" ht="15" hidden="false" customHeight="false" outlineLevel="0" collapsed="false">
      <c r="A51" s="23" t="n">
        <v>8</v>
      </c>
      <c r="B51" s="23" t="s">
        <v>78</v>
      </c>
      <c r="C51" s="23" t="s">
        <v>35</v>
      </c>
      <c r="D51" s="24" t="n">
        <v>11938.19</v>
      </c>
      <c r="E51" s="24" t="n">
        <v>0</v>
      </c>
      <c r="F51" s="24" t="n">
        <v>0</v>
      </c>
      <c r="G51" s="24" t="n">
        <v>3491.05</v>
      </c>
      <c r="H51" s="24" t="n">
        <v>434.12</v>
      </c>
      <c r="I51" s="24" t="n">
        <f aca="false">G51+H51</f>
        <v>3925.17</v>
      </c>
      <c r="J51" s="24" t="n">
        <f aca="false">D51-I51</f>
        <v>8013.02</v>
      </c>
      <c r="K51" s="25" t="s">
        <v>117</v>
      </c>
      <c r="L51" s="25" t="s">
        <v>118</v>
      </c>
    </row>
    <row r="52" customFormat="false" ht="15" hidden="false" customHeight="false" outlineLevel="0" collapsed="false">
      <c r="A52" s="26"/>
      <c r="B52" s="27" t="s">
        <v>53</v>
      </c>
      <c r="C52" s="26"/>
      <c r="D52" s="28" t="n">
        <f aca="false">SUM(D44:D51)</f>
        <v>115479.16</v>
      </c>
      <c r="E52" s="28" t="n">
        <f aca="false">SUM(E44:E51)</f>
        <v>0</v>
      </c>
      <c r="F52" s="28" t="n">
        <f aca="false">SUM(F44:F51)</f>
        <v>0</v>
      </c>
      <c r="G52" s="28" t="n">
        <f aca="false">SUM(G44:G51)</f>
        <v>52846.21</v>
      </c>
      <c r="H52" s="28" t="n">
        <f aca="false">SUM(H44:H51)</f>
        <v>3218.82</v>
      </c>
      <c r="I52" s="28" t="n">
        <f aca="false">SUM(I44:I51)</f>
        <v>56065.03</v>
      </c>
      <c r="J52" s="28" t="n">
        <f aca="false">SUM(J44:J51)</f>
        <v>59414.13</v>
      </c>
      <c r="K52" s="26"/>
      <c r="L52" s="26"/>
    </row>
    <row r="54" customFormat="false" ht="15" hidden="false" customHeight="false" outlineLevel="0" collapsed="false">
      <c r="B54" s="18" t="s">
        <v>132</v>
      </c>
    </row>
    <row r="55" customFormat="false" ht="15" hidden="false" customHeight="false" outlineLevel="0" collapsed="false">
      <c r="B55" s="5" t="s">
        <v>125</v>
      </c>
      <c r="D55" s="6" t="n">
        <f aca="false">I40</f>
        <v>50617.97</v>
      </c>
    </row>
    <row r="56" customFormat="false" ht="15" hidden="false" customHeight="false" outlineLevel="0" collapsed="false">
      <c r="B56" s="5" t="s">
        <v>126</v>
      </c>
      <c r="D56" s="6" t="n">
        <f aca="false">I52</f>
        <v>56065.03</v>
      </c>
    </row>
    <row r="57" customFormat="false" ht="15" hidden="false" customHeight="false" outlineLevel="0" collapsed="false">
      <c r="B57" s="11" t="s">
        <v>132</v>
      </c>
      <c r="D57" s="29" t="n">
        <f aca="false">D55-D56</f>
        <v>-5447.06</v>
      </c>
    </row>
    <row r="59" customFormat="false" ht="15" hidden="false" customHeight="false" outlineLevel="0" collapsed="false">
      <c r="A59" s="10" t="s">
        <v>133</v>
      </c>
    </row>
    <row r="60" customFormat="false" ht="15" hidden="false" customHeight="false" outlineLevel="0" collapsed="false">
      <c r="B60" s="11" t="s">
        <v>162</v>
      </c>
      <c r="D60" s="12" t="n">
        <f aca="false">D98</f>
        <v>115479.14</v>
      </c>
    </row>
    <row r="61" customFormat="false" ht="15" hidden="false" customHeight="false" outlineLevel="0" collapsed="false">
      <c r="B61" s="5" t="s">
        <v>163</v>
      </c>
      <c r="D61" s="6" t="n">
        <f aca="false">F98</f>
        <v>26961.9</v>
      </c>
    </row>
    <row r="62" customFormat="false" ht="15" hidden="false" customHeight="false" outlineLevel="0" collapsed="false">
      <c r="B62" s="30" t="s">
        <v>136</v>
      </c>
      <c r="D62" s="31" t="n">
        <f aca="false">F99</f>
        <v>0.233478531274133</v>
      </c>
    </row>
    <row r="63" customFormat="false" ht="15" hidden="false" customHeight="false" outlineLevel="0" collapsed="false">
      <c r="B63" s="5" t="s">
        <v>164</v>
      </c>
      <c r="D63" s="6" t="n">
        <f aca="false">H98</f>
        <v>88517.24</v>
      </c>
    </row>
    <row r="64" customFormat="false" ht="15" hidden="false" customHeight="false" outlineLevel="0" collapsed="false">
      <c r="B64" s="30" t="s">
        <v>136</v>
      </c>
      <c r="D64" s="31" t="n">
        <f aca="false">H99</f>
        <v>0.766521468725867</v>
      </c>
    </row>
    <row r="66" customFormat="false" ht="15" hidden="false" customHeight="false" outlineLevel="0" collapsed="false">
      <c r="A66" s="10" t="s">
        <v>138</v>
      </c>
    </row>
    <row r="67" customFormat="false" ht="15" hidden="false" customHeight="false" outlineLevel="0" collapsed="false">
      <c r="B67" s="4" t="s">
        <v>139</v>
      </c>
      <c r="D67" s="4" t="s">
        <v>108</v>
      </c>
      <c r="F67" s="4" t="s">
        <v>165</v>
      </c>
      <c r="H67" s="4" t="s">
        <v>141</v>
      </c>
    </row>
    <row r="68" customFormat="false" ht="15" hidden="false" customHeight="false" outlineLevel="0" collapsed="false">
      <c r="B68" s="32" t="s">
        <v>166</v>
      </c>
    </row>
    <row r="69" customFormat="false" ht="15" hidden="false" customHeight="false" outlineLevel="0" collapsed="false">
      <c r="B69" s="5" t="s">
        <v>167</v>
      </c>
      <c r="D69" s="33" t="n">
        <f aca="false">SUM(F69:H69)</f>
        <v>4785.17</v>
      </c>
      <c r="F69" s="33" t="n">
        <v>4785.17</v>
      </c>
    </row>
    <row r="70" customFormat="false" ht="15" hidden="false" customHeight="false" outlineLevel="0" collapsed="false">
      <c r="B70" s="5" t="s">
        <v>168</v>
      </c>
      <c r="D70" s="33" t="n">
        <f aca="false">SUM(F70:H70)</f>
        <v>1941.11</v>
      </c>
      <c r="F70" s="33" t="n">
        <v>1941.11</v>
      </c>
    </row>
    <row r="71" customFormat="false" ht="15" hidden="false" customHeight="false" outlineLevel="0" collapsed="false">
      <c r="B71" s="5" t="s">
        <v>169</v>
      </c>
      <c r="D71" s="33" t="n">
        <f aca="false">SUM(F71:H71)</f>
        <v>7939.87</v>
      </c>
      <c r="F71" s="33" t="n">
        <v>7939.87</v>
      </c>
    </row>
    <row r="72" customFormat="false" ht="15" hidden="false" customHeight="false" outlineLevel="0" collapsed="false">
      <c r="B72" s="5" t="s">
        <v>171</v>
      </c>
      <c r="D72" s="33" t="n">
        <f aca="false">SUM(F72:H72)</f>
        <v>428.82</v>
      </c>
      <c r="F72" s="33" t="n">
        <v>428.82</v>
      </c>
    </row>
    <row r="73" customFormat="false" ht="15" hidden="false" customHeight="false" outlineLevel="0" collapsed="false">
      <c r="B73" s="5" t="s">
        <v>196</v>
      </c>
      <c r="D73" s="33" t="n">
        <f aca="false">SUM(F73:H73)</f>
        <v>183.29</v>
      </c>
      <c r="F73" s="33" t="n">
        <v>183.29</v>
      </c>
    </row>
    <row r="74" customFormat="false" ht="15" hidden="false" customHeight="false" outlineLevel="0" collapsed="false">
      <c r="B74" s="5" t="s">
        <v>197</v>
      </c>
      <c r="D74" s="33" t="n">
        <f aca="false">SUM(F74:H74)</f>
        <v>96.76</v>
      </c>
      <c r="F74" s="33" t="n">
        <v>96.76</v>
      </c>
    </row>
    <row r="75" customFormat="false" ht="15" hidden="false" customHeight="false" outlineLevel="0" collapsed="false">
      <c r="B75" s="5" t="s">
        <v>172</v>
      </c>
      <c r="D75" s="33" t="n">
        <f aca="false">SUM(F75:H75)</f>
        <v>2980.97</v>
      </c>
      <c r="F75" s="33" t="n">
        <v>2980.97</v>
      </c>
    </row>
    <row r="76" customFormat="false" ht="15" hidden="false" customHeight="false" outlineLevel="0" collapsed="false">
      <c r="B76" s="5" t="s">
        <v>173</v>
      </c>
      <c r="D76" s="33" t="n">
        <f aca="false">SUM(F76:H76)</f>
        <v>693.58</v>
      </c>
      <c r="F76" s="33" t="n">
        <v>693.58</v>
      </c>
    </row>
    <row r="77" customFormat="false" ht="15" hidden="false" customHeight="false" outlineLevel="0" collapsed="false">
      <c r="B77" s="5" t="s">
        <v>198</v>
      </c>
      <c r="D77" s="33" t="n">
        <f aca="false">SUM(F77:H77)</f>
        <v>3427.41</v>
      </c>
      <c r="F77" s="33" t="n">
        <v>3427.41</v>
      </c>
    </row>
    <row r="78" customFormat="false" ht="15" hidden="false" customHeight="false" outlineLevel="0" collapsed="false">
      <c r="B78" s="5" t="s">
        <v>175</v>
      </c>
      <c r="D78" s="33" t="n">
        <f aca="false">SUM(F78:H78)</f>
        <v>758.85</v>
      </c>
      <c r="F78" s="33" t="n">
        <v>758.85</v>
      </c>
    </row>
    <row r="79" customFormat="false" ht="15" hidden="false" customHeight="false" outlineLevel="0" collapsed="false">
      <c r="B79" s="5" t="s">
        <v>199</v>
      </c>
      <c r="D79" s="33" t="n">
        <f aca="false">SUM(F79:H79)</f>
        <v>43.2</v>
      </c>
      <c r="F79" s="33" t="n">
        <v>43.2</v>
      </c>
    </row>
    <row r="80" customFormat="false" ht="15" hidden="false" customHeight="false" outlineLevel="0" collapsed="false">
      <c r="B80" s="5" t="s">
        <v>200</v>
      </c>
      <c r="D80" s="33" t="n">
        <f aca="false">SUM(F80:H80)</f>
        <v>3682.87</v>
      </c>
      <c r="F80" s="33" t="n">
        <v>3682.87</v>
      </c>
    </row>
    <row r="81" customFormat="false" ht="15" hidden="false" customHeight="false" outlineLevel="0" collapsed="false">
      <c r="B81" s="32" t="s">
        <v>177</v>
      </c>
    </row>
    <row r="82" customFormat="false" ht="15" hidden="false" customHeight="false" outlineLevel="0" collapsed="false">
      <c r="B82" s="5" t="s">
        <v>178</v>
      </c>
      <c r="D82" s="33" t="n">
        <f aca="false">SUM(F82:H82)</f>
        <v>6281.12</v>
      </c>
      <c r="H82" s="33" t="n">
        <v>6281.12</v>
      </c>
    </row>
    <row r="83" customFormat="false" ht="15" hidden="false" customHeight="false" outlineLevel="0" collapsed="false">
      <c r="B83" s="5" t="s">
        <v>179</v>
      </c>
      <c r="D83" s="33" t="n">
        <f aca="false">SUM(F83:H83)</f>
        <v>12157.7</v>
      </c>
      <c r="H83" s="33" t="n">
        <v>12157.7</v>
      </c>
    </row>
    <row r="84" customFormat="false" ht="15" hidden="false" customHeight="false" outlineLevel="0" collapsed="false">
      <c r="B84" s="5" t="s">
        <v>180</v>
      </c>
      <c r="D84" s="33" t="n">
        <f aca="false">SUM(F84:H84)</f>
        <v>7610.53</v>
      </c>
      <c r="H84" s="33" t="n">
        <v>7610.53</v>
      </c>
    </row>
    <row r="85" customFormat="false" ht="15" hidden="false" customHeight="false" outlineLevel="0" collapsed="false">
      <c r="B85" s="5" t="s">
        <v>181</v>
      </c>
      <c r="D85" s="33" t="n">
        <f aca="false">SUM(F85:H85)</f>
        <v>8437.69</v>
      </c>
      <c r="H85" s="33" t="n">
        <v>8437.69</v>
      </c>
    </row>
    <row r="86" customFormat="false" ht="15" hidden="false" customHeight="false" outlineLevel="0" collapsed="false">
      <c r="B86" s="5" t="s">
        <v>182</v>
      </c>
      <c r="D86" s="33" t="n">
        <f aca="false">SUM(F86:H86)</f>
        <v>6775.13</v>
      </c>
      <c r="H86" s="33" t="n">
        <v>6775.13</v>
      </c>
    </row>
    <row r="87" customFormat="false" ht="15" hidden="false" customHeight="false" outlineLevel="0" collapsed="false">
      <c r="B87" s="5" t="s">
        <v>183</v>
      </c>
      <c r="D87" s="33" t="n">
        <f aca="false">SUM(F87:H87)</f>
        <v>378.96</v>
      </c>
      <c r="H87" s="33" t="n">
        <v>378.96</v>
      </c>
    </row>
    <row r="88" customFormat="false" ht="15" hidden="false" customHeight="false" outlineLevel="0" collapsed="false">
      <c r="B88" s="5" t="s">
        <v>184</v>
      </c>
      <c r="D88" s="33" t="n">
        <f aca="false">SUM(F88:H88)</f>
        <v>10712.7</v>
      </c>
      <c r="H88" s="33" t="n">
        <v>10712.7</v>
      </c>
    </row>
    <row r="89" customFormat="false" ht="15" hidden="false" customHeight="false" outlineLevel="0" collapsed="false">
      <c r="B89" s="5" t="s">
        <v>185</v>
      </c>
      <c r="D89" s="33" t="n">
        <f aca="false">SUM(F89:H89)</f>
        <v>5035.68</v>
      </c>
      <c r="H89" s="33" t="n">
        <v>5035.68</v>
      </c>
    </row>
    <row r="90" customFormat="false" ht="15" hidden="false" customHeight="false" outlineLevel="0" collapsed="false">
      <c r="B90" s="5" t="s">
        <v>186</v>
      </c>
      <c r="D90" s="33" t="n">
        <f aca="false">SUM(F90:H90)</f>
        <v>2117.51</v>
      </c>
      <c r="H90" s="33" t="n">
        <v>2117.51</v>
      </c>
    </row>
    <row r="91" customFormat="false" ht="15" hidden="false" customHeight="false" outlineLevel="0" collapsed="false">
      <c r="B91" s="5" t="s">
        <v>187</v>
      </c>
      <c r="D91" s="33" t="n">
        <f aca="false">SUM(F91:H91)</f>
        <v>3536.09</v>
      </c>
      <c r="H91" s="33" t="n">
        <v>3536.09</v>
      </c>
    </row>
    <row r="92" customFormat="false" ht="15" hidden="false" customHeight="false" outlineLevel="0" collapsed="false">
      <c r="B92" s="5" t="s">
        <v>188</v>
      </c>
      <c r="D92" s="33" t="n">
        <f aca="false">SUM(F92:H92)</f>
        <v>8613.79</v>
      </c>
      <c r="H92" s="33" t="n">
        <v>8613.79</v>
      </c>
    </row>
    <row r="93" customFormat="false" ht="15" hidden="false" customHeight="false" outlineLevel="0" collapsed="false">
      <c r="B93" s="5" t="s">
        <v>189</v>
      </c>
      <c r="D93" s="33" t="n">
        <f aca="false">SUM(F93:H93)</f>
        <v>3604.7</v>
      </c>
      <c r="H93" s="33" t="n">
        <v>3604.7</v>
      </c>
    </row>
    <row r="94" customFormat="false" ht="15" hidden="false" customHeight="false" outlineLevel="0" collapsed="false">
      <c r="B94" s="5" t="s">
        <v>190</v>
      </c>
      <c r="D94" s="33" t="n">
        <f aca="false">SUM(F94:H94)</f>
        <v>868.78</v>
      </c>
      <c r="H94" s="33" t="n">
        <v>868.78</v>
      </c>
    </row>
    <row r="95" customFormat="false" ht="15" hidden="false" customHeight="false" outlineLevel="0" collapsed="false">
      <c r="B95" s="5" t="s">
        <v>192</v>
      </c>
      <c r="D95" s="33" t="n">
        <f aca="false">SUM(F95:H95)</f>
        <v>10912.49</v>
      </c>
      <c r="H95" s="33" t="n">
        <v>10912.49</v>
      </c>
    </row>
    <row r="96" customFormat="false" ht="15" hidden="false" customHeight="false" outlineLevel="0" collapsed="false">
      <c r="B96" s="5" t="s">
        <v>193</v>
      </c>
      <c r="D96" s="33" t="n">
        <f aca="false">SUM(F96:H96)</f>
        <v>662.8</v>
      </c>
      <c r="H96" s="33" t="n">
        <v>662.8</v>
      </c>
    </row>
    <row r="97" customFormat="false" ht="15" hidden="false" customHeight="false" outlineLevel="0" collapsed="false">
      <c r="B97" s="5" t="s">
        <v>202</v>
      </c>
      <c r="D97" s="33" t="n">
        <f aca="false">SUM(F97:H97)</f>
        <v>811.57</v>
      </c>
      <c r="H97" s="33" t="n">
        <v>811.57</v>
      </c>
    </row>
    <row r="98" customFormat="false" ht="15" hidden="false" customHeight="false" outlineLevel="0" collapsed="false">
      <c r="B98" s="11" t="s">
        <v>162</v>
      </c>
      <c r="D98" s="34" t="n">
        <f aca="false">SUM(D68:D97)</f>
        <v>115479.14</v>
      </c>
      <c r="F98" s="34" t="n">
        <f aca="false">SUM(F68:F97)</f>
        <v>26961.9</v>
      </c>
      <c r="H98" s="34" t="n">
        <f aca="false">SUM(H68:H97)</f>
        <v>88517.24</v>
      </c>
    </row>
    <row r="99" customFormat="false" ht="15" hidden="false" customHeight="false" outlineLevel="0" collapsed="false">
      <c r="B99" s="30" t="s">
        <v>136</v>
      </c>
      <c r="F99" s="31" t="n">
        <f aca="false">F98/D98</f>
        <v>0.233478531274133</v>
      </c>
      <c r="H99" s="31" t="n">
        <f aca="false">H98/D98</f>
        <v>0.766521468725867</v>
      </c>
    </row>
    <row r="101" customFormat="false" ht="15" hidden="false" customHeight="false" outlineLevel="0" collapsed="false">
      <c r="A101" s="10" t="s">
        <v>157</v>
      </c>
    </row>
    <row r="102" customFormat="false" ht="15" hidden="false" customHeight="false" outlineLevel="0" collapsed="false">
      <c r="B102" s="4" t="s">
        <v>158</v>
      </c>
      <c r="D102" s="4" t="s">
        <v>108</v>
      </c>
      <c r="F102" s="4" t="s">
        <v>165</v>
      </c>
      <c r="H102" s="4" t="s">
        <v>141</v>
      </c>
    </row>
    <row r="103" customFormat="false" ht="15" hidden="false" customHeight="false" outlineLevel="0" collapsed="false">
      <c r="B103" s="5" t="str">
        <f aca="false">'Building 11'!B18</f>
        <v>1 - Buillding - Apt - 5yr</v>
      </c>
      <c r="D103" s="33" t="n">
        <f aca="false">SUM(F103:H103)</f>
        <v>21279.35</v>
      </c>
      <c r="F103" s="33" t="n">
        <f aca="false">'Building 11'!D18</f>
        <v>21279.35</v>
      </c>
    </row>
    <row r="104" customFormat="false" ht="15" hidden="false" customHeight="false" outlineLevel="0" collapsed="false">
      <c r="B104" s="5" t="str">
        <f aca="false">'Building 11'!B19</f>
        <v>1 - Buillding - Apt - 27.5yr</v>
      </c>
      <c r="D104" s="33" t="n">
        <f aca="false">SUM(F104:H104)</f>
        <v>69861.15</v>
      </c>
      <c r="H104" s="33" t="n">
        <f aca="false">'Building 11'!D19</f>
        <v>69861.15</v>
      </c>
    </row>
    <row r="105" customFormat="false" ht="15" hidden="false" customHeight="false" outlineLevel="0" collapsed="false">
      <c r="B105" s="5" t="str">
        <f aca="false">'Building 11'!B20</f>
        <v>5 - Building - Apt - 5yr</v>
      </c>
      <c r="D105" s="33" t="n">
        <f aca="false">SUM(F105:H105)</f>
        <v>38.76</v>
      </c>
      <c r="F105" s="33" t="n">
        <f aca="false">'Building 11'!D20</f>
        <v>38.76</v>
      </c>
    </row>
    <row r="106" customFormat="false" ht="15" hidden="false" customHeight="false" outlineLevel="0" collapsed="false">
      <c r="B106" s="5" t="str">
        <f aca="false">'Building 11'!B21</f>
        <v>5 - Building - Apt - 27.5yr</v>
      </c>
      <c r="D106" s="33" t="n">
        <f aca="false">SUM(F106:H106)</f>
        <v>127.23</v>
      </c>
      <c r="H106" s="33" t="n">
        <f aca="false">'Building 11'!D21</f>
        <v>127.23</v>
      </c>
    </row>
    <row r="107" customFormat="false" ht="15" hidden="false" customHeight="false" outlineLevel="0" collapsed="false">
      <c r="B107" s="5" t="str">
        <f aca="false">'Building 11'!B22</f>
        <v>3 - Land Improvements - Apt 5yr</v>
      </c>
      <c r="D107" s="33" t="n">
        <f aca="false">SUM(F107:H107)</f>
        <v>2007.48</v>
      </c>
      <c r="F107" s="33" t="n">
        <f aca="false">'Building 11'!D22</f>
        <v>2007.48</v>
      </c>
    </row>
    <row r="108" customFormat="false" ht="15" hidden="false" customHeight="false" outlineLevel="0" collapsed="false">
      <c r="B108" s="5" t="str">
        <f aca="false">'Building 11'!B23</f>
        <v>3 - Land Improvements - Apt 27.5yr</v>
      </c>
      <c r="D108" s="33" t="n">
        <f aca="false">SUM(F108:H108)</f>
        <v>6590.67</v>
      </c>
      <c r="H108" s="33" t="n">
        <f aca="false">'Building 11'!D23</f>
        <v>6590.67</v>
      </c>
    </row>
    <row r="109" customFormat="false" ht="15" hidden="false" customHeight="false" outlineLevel="0" collapsed="false">
      <c r="B109" s="5" t="str">
        <f aca="false">'Building 11'!B24</f>
        <v>4 - Equipment - Apt - 5yr</v>
      </c>
      <c r="D109" s="33" t="n">
        <f aca="false">SUM(F109:H109)</f>
        <v>3636.33</v>
      </c>
      <c r="F109" s="33" t="n">
        <f aca="false">'Building 11'!D24</f>
        <v>3636.33</v>
      </c>
    </row>
    <row r="110" customFormat="false" ht="15" hidden="false" customHeight="false" outlineLevel="0" collapsed="false">
      <c r="B110" s="5" t="str">
        <f aca="false">'Building 11'!B25</f>
        <v>4 - Equipment - Apt - 27.5yr</v>
      </c>
      <c r="D110" s="33" t="n">
        <f aca="false">SUM(F110:H110)</f>
        <v>11938.19</v>
      </c>
      <c r="H110" s="33" t="n">
        <f aca="false">'Building 11'!D25</f>
        <v>11938.19</v>
      </c>
    </row>
    <row r="111" customFormat="false" ht="15" hidden="false" customHeight="false" outlineLevel="0" collapsed="false">
      <c r="B111" s="11" t="s">
        <v>159</v>
      </c>
      <c r="D111" s="34" t="n">
        <f aca="false">SUM(D103:D110)</f>
        <v>115479.16</v>
      </c>
      <c r="F111" s="34" t="n">
        <f aca="false">SUM(F103:F110)</f>
        <v>26961.92</v>
      </c>
      <c r="H111" s="34" t="n">
        <f aca="false">SUM(H103:H110)</f>
        <v>88517.24</v>
      </c>
    </row>
    <row r="112" customFormat="false" ht="15" hidden="false" customHeight="false" outlineLevel="0" collapsed="false">
      <c r="B112" s="16" t="s">
        <v>160</v>
      </c>
      <c r="D112" s="17" t="n">
        <f aca="false">D111-D98</f>
        <v>0.0199999999749707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213</v>
      </c>
    </row>
    <row r="5" customFormat="false" ht="15" hidden="false" customHeight="false" outlineLevel="0" collapsed="false">
      <c r="A5" s="16" t="s">
        <v>102</v>
      </c>
    </row>
    <row r="7" customFormat="false" ht="15" hidden="false" customHeight="false" outlineLevel="0" collapsed="false">
      <c r="A7" s="10" t="s">
        <v>103</v>
      </c>
    </row>
    <row r="8" customFormat="false" ht="15" hidden="false" customHeight="false" outlineLevel="0" collapsed="false">
      <c r="A8" s="21" t="s">
        <v>104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105</v>
      </c>
      <c r="B9" s="4" t="s">
        <v>106</v>
      </c>
      <c r="C9" s="4" t="s">
        <v>107</v>
      </c>
      <c r="D9" s="4" t="s">
        <v>108</v>
      </c>
      <c r="E9" s="4" t="s">
        <v>109</v>
      </c>
      <c r="F9" s="4" t="s">
        <v>110</v>
      </c>
      <c r="G9" s="4" t="s">
        <v>111</v>
      </c>
      <c r="H9" s="4" t="s">
        <v>112</v>
      </c>
      <c r="I9" s="4" t="s">
        <v>113</v>
      </c>
      <c r="J9" s="4" t="s">
        <v>114</v>
      </c>
      <c r="K9" s="4" t="s">
        <v>115</v>
      </c>
      <c r="L9" s="4" t="s">
        <v>116</v>
      </c>
    </row>
    <row r="10" customFormat="false" ht="15" hidden="false" customHeight="false" outlineLevel="0" collapsed="false">
      <c r="A10" s="23" t="n">
        <v>1</v>
      </c>
      <c r="B10" s="23" t="s">
        <v>45</v>
      </c>
      <c r="C10" s="23" t="s">
        <v>35</v>
      </c>
      <c r="D10" s="24" t="n">
        <v>212191.05</v>
      </c>
      <c r="E10" s="24" t="n">
        <v>0</v>
      </c>
      <c r="F10" s="24" t="n">
        <v>0</v>
      </c>
      <c r="G10" s="24" t="n">
        <v>62049.02</v>
      </c>
      <c r="H10" s="24" t="n">
        <v>7716.04</v>
      </c>
      <c r="I10" s="24" t="n">
        <f aca="false">G10+H10</f>
        <v>69765.06</v>
      </c>
      <c r="J10" s="24" t="n">
        <f aca="false">D10-I10</f>
        <v>142425.99</v>
      </c>
      <c r="K10" s="25" t="s">
        <v>117</v>
      </c>
      <c r="L10" s="25" t="s">
        <v>118</v>
      </c>
    </row>
    <row r="11" customFormat="false" ht="15" hidden="false" customHeight="false" outlineLevel="0" collapsed="false">
      <c r="A11" s="23" t="n">
        <v>2</v>
      </c>
      <c r="B11" s="23" t="s">
        <v>46</v>
      </c>
      <c r="C11" s="23" t="s">
        <v>37</v>
      </c>
      <c r="D11" s="24" t="n">
        <v>386.45</v>
      </c>
      <c r="E11" s="24" t="n">
        <v>0</v>
      </c>
      <c r="F11" s="24" t="n">
        <v>0</v>
      </c>
      <c r="G11" s="24" t="n">
        <v>111.91</v>
      </c>
      <c r="H11" s="24" t="n">
        <v>14.06</v>
      </c>
      <c r="I11" s="24" t="n">
        <f aca="false">G11+H11</f>
        <v>125.97</v>
      </c>
      <c r="J11" s="24" t="n">
        <f aca="false">D11-I11</f>
        <v>260.48</v>
      </c>
      <c r="K11" s="25" t="s">
        <v>117</v>
      </c>
      <c r="L11" s="25" t="s">
        <v>118</v>
      </c>
    </row>
    <row r="12" customFormat="false" ht="15" hidden="false" customHeight="false" outlineLevel="0" collapsed="false">
      <c r="A12" s="23" t="n">
        <v>3</v>
      </c>
      <c r="B12" s="23" t="s">
        <v>47</v>
      </c>
      <c r="C12" s="23" t="s">
        <v>35</v>
      </c>
      <c r="D12" s="24" t="n">
        <v>20018</v>
      </c>
      <c r="E12" s="24" t="n">
        <v>0</v>
      </c>
      <c r="F12" s="24" t="n">
        <v>0</v>
      </c>
      <c r="G12" s="24" t="n">
        <v>11723.87</v>
      </c>
      <c r="H12" s="24" t="n">
        <v>1181.07</v>
      </c>
      <c r="I12" s="24" t="n">
        <f aca="false">G12+H12</f>
        <v>12904.94</v>
      </c>
      <c r="J12" s="24" t="n">
        <f aca="false">D12-I12</f>
        <v>7113.06</v>
      </c>
      <c r="K12" s="25" t="s">
        <v>119</v>
      </c>
      <c r="L12" s="25" t="s">
        <v>120</v>
      </c>
    </row>
    <row r="13" customFormat="false" ht="15" hidden="false" customHeight="false" outlineLevel="0" collapsed="false">
      <c r="A13" s="23" t="n">
        <v>4</v>
      </c>
      <c r="B13" s="23" t="s">
        <v>48</v>
      </c>
      <c r="C13" s="23" t="s">
        <v>35</v>
      </c>
      <c r="D13" s="24" t="n">
        <v>36260.17</v>
      </c>
      <c r="E13" s="24" t="n">
        <v>0</v>
      </c>
      <c r="F13" s="24" t="n">
        <v>0</v>
      </c>
      <c r="G13" s="24" t="n">
        <v>35051.5</v>
      </c>
      <c r="H13" s="24" t="n">
        <v>0</v>
      </c>
      <c r="I13" s="24" t="n">
        <f aca="false">G13+H13</f>
        <v>35051.5</v>
      </c>
      <c r="J13" s="24" t="n">
        <f aca="false">D13-I13</f>
        <v>1208.67</v>
      </c>
      <c r="K13" s="25" t="s">
        <v>121</v>
      </c>
      <c r="L13" s="25" t="s">
        <v>122</v>
      </c>
    </row>
    <row r="14" customFormat="false" ht="15" hidden="false" customHeight="false" outlineLevel="0" collapsed="false">
      <c r="A14" s="26"/>
      <c r="B14" s="27" t="s">
        <v>53</v>
      </c>
      <c r="C14" s="26"/>
      <c r="D14" s="28" t="n">
        <f aca="false">SUM(D10:D13)</f>
        <v>268855.67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108936.3</v>
      </c>
      <c r="H14" s="28" t="n">
        <f aca="false">SUM(H10:H13)</f>
        <v>8911.17</v>
      </c>
      <c r="I14" s="28" t="n">
        <f aca="false">SUM(I10:I13)</f>
        <v>117847.47</v>
      </c>
      <c r="J14" s="28" t="n">
        <f aca="false">SUM(J10:J13)</f>
        <v>151008.2</v>
      </c>
      <c r="K14" s="26"/>
      <c r="L14" s="26"/>
    </row>
    <row r="16" customFormat="false" ht="15" hidden="false" customHeight="false" outlineLevel="0" collapsed="false">
      <c r="A16" s="21" t="s">
        <v>123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4" t="s">
        <v>105</v>
      </c>
      <c r="B17" s="4" t="s">
        <v>106</v>
      </c>
      <c r="C17" s="4" t="s">
        <v>107</v>
      </c>
      <c r="D17" s="4" t="s">
        <v>108</v>
      </c>
      <c r="E17" s="4" t="s">
        <v>109</v>
      </c>
      <c r="F17" s="4" t="s">
        <v>110</v>
      </c>
      <c r="G17" s="4" t="s">
        <v>111</v>
      </c>
      <c r="H17" s="4" t="s">
        <v>112</v>
      </c>
      <c r="I17" s="4" t="s">
        <v>113</v>
      </c>
      <c r="J17" s="4" t="s">
        <v>114</v>
      </c>
      <c r="K17" s="4" t="s">
        <v>115</v>
      </c>
      <c r="L17" s="4" t="s">
        <v>116</v>
      </c>
    </row>
    <row r="18" customFormat="false" ht="15" hidden="false" customHeight="false" outlineLevel="0" collapsed="false">
      <c r="A18" s="23" t="n">
        <v>1</v>
      </c>
      <c r="B18" s="23" t="s">
        <v>71</v>
      </c>
      <c r="C18" s="23" t="s">
        <v>35</v>
      </c>
      <c r="D18" s="24" t="n">
        <v>41085.46</v>
      </c>
      <c r="E18" s="24" t="n">
        <v>0</v>
      </c>
      <c r="F18" s="24" t="n">
        <v>0</v>
      </c>
      <c r="G18" s="24" t="n">
        <v>41085.46</v>
      </c>
      <c r="H18" s="24" t="n">
        <v>0</v>
      </c>
      <c r="I18" s="24" t="n">
        <f aca="false">G18+H18</f>
        <v>41085.46</v>
      </c>
      <c r="J18" s="24" t="n">
        <f aca="false">D18-I18</f>
        <v>0</v>
      </c>
      <c r="K18" s="25" t="s">
        <v>121</v>
      </c>
      <c r="L18" s="25" t="s">
        <v>122</v>
      </c>
    </row>
    <row r="19" customFormat="false" ht="15" hidden="false" customHeight="false" outlineLevel="0" collapsed="false">
      <c r="A19" s="23" t="n">
        <v>2</v>
      </c>
      <c r="B19" s="23" t="s">
        <v>72</v>
      </c>
      <c r="C19" s="23" t="s">
        <v>35</v>
      </c>
      <c r="D19" s="24" t="n">
        <v>171105.59</v>
      </c>
      <c r="E19" s="24" t="n">
        <v>0</v>
      </c>
      <c r="F19" s="24" t="n">
        <v>0</v>
      </c>
      <c r="G19" s="24" t="n">
        <v>50035.41</v>
      </c>
      <c r="H19" s="24" t="n">
        <v>6222.02</v>
      </c>
      <c r="I19" s="24" t="n">
        <f aca="false">G19+H19</f>
        <v>56257.43</v>
      </c>
      <c r="J19" s="24" t="n">
        <f aca="false">D19-I19</f>
        <v>114848.16</v>
      </c>
      <c r="K19" s="25" t="s">
        <v>117</v>
      </c>
      <c r="L19" s="25" t="s">
        <v>118</v>
      </c>
    </row>
    <row r="20" customFormat="false" ht="15" hidden="false" customHeight="false" outlineLevel="0" collapsed="false">
      <c r="A20" s="23" t="n">
        <v>3</v>
      </c>
      <c r="B20" s="23" t="s">
        <v>73</v>
      </c>
      <c r="C20" s="23" t="s">
        <v>37</v>
      </c>
      <c r="D20" s="24" t="n">
        <v>74.83</v>
      </c>
      <c r="E20" s="24" t="n">
        <v>0</v>
      </c>
      <c r="F20" s="24" t="n">
        <v>0</v>
      </c>
      <c r="G20" s="24" t="n">
        <v>74.83</v>
      </c>
      <c r="H20" s="24" t="n">
        <v>0</v>
      </c>
      <c r="I20" s="24" t="n">
        <f aca="false">G20+H20</f>
        <v>74.83</v>
      </c>
      <c r="J20" s="24" t="n">
        <f aca="false">D20-I20</f>
        <v>0</v>
      </c>
      <c r="K20" s="25" t="s">
        <v>121</v>
      </c>
      <c r="L20" s="25" t="s">
        <v>122</v>
      </c>
    </row>
    <row r="21" customFormat="false" ht="15" hidden="false" customHeight="false" outlineLevel="0" collapsed="false">
      <c r="A21" s="23" t="n">
        <v>4</v>
      </c>
      <c r="B21" s="23" t="s">
        <v>74</v>
      </c>
      <c r="C21" s="23" t="s">
        <v>37</v>
      </c>
      <c r="D21" s="24" t="n">
        <v>311.62</v>
      </c>
      <c r="E21" s="24" t="n">
        <v>0</v>
      </c>
      <c r="F21" s="24" t="n">
        <v>0</v>
      </c>
      <c r="G21" s="24" t="n">
        <v>90.17</v>
      </c>
      <c r="H21" s="24" t="n">
        <v>11.33</v>
      </c>
      <c r="I21" s="24" t="n">
        <f aca="false">G21+H21</f>
        <v>101.5</v>
      </c>
      <c r="J21" s="24" t="n">
        <f aca="false">D21-I21</f>
        <v>210.12</v>
      </c>
      <c r="K21" s="25" t="s">
        <v>117</v>
      </c>
      <c r="L21" s="25" t="s">
        <v>118</v>
      </c>
    </row>
    <row r="22" customFormat="false" ht="15" hidden="false" customHeight="false" outlineLevel="0" collapsed="false">
      <c r="A22" s="23" t="n">
        <v>5</v>
      </c>
      <c r="B22" s="23" t="s">
        <v>75</v>
      </c>
      <c r="C22" s="23" t="s">
        <v>35</v>
      </c>
      <c r="D22" s="24" t="n">
        <v>3875.98</v>
      </c>
      <c r="E22" s="24" t="n">
        <v>0</v>
      </c>
      <c r="F22" s="24" t="n">
        <v>0</v>
      </c>
      <c r="G22" s="24" t="n">
        <v>3875.98</v>
      </c>
      <c r="H22" s="24" t="n">
        <v>0</v>
      </c>
      <c r="I22" s="24" t="n">
        <f aca="false">G22+H22</f>
        <v>3875.98</v>
      </c>
      <c r="J22" s="24" t="n">
        <f aca="false">D22-I22</f>
        <v>0</v>
      </c>
      <c r="K22" s="25" t="s">
        <v>121</v>
      </c>
      <c r="L22" s="25" t="s">
        <v>122</v>
      </c>
    </row>
    <row r="23" customFormat="false" ht="15" hidden="false" customHeight="false" outlineLevel="0" collapsed="false">
      <c r="A23" s="23" t="n">
        <v>6</v>
      </c>
      <c r="B23" s="23" t="s">
        <v>76</v>
      </c>
      <c r="C23" s="23" t="s">
        <v>35</v>
      </c>
      <c r="D23" s="24" t="n">
        <v>16142.02</v>
      </c>
      <c r="E23" s="24" t="n">
        <v>0</v>
      </c>
      <c r="F23" s="24" t="n">
        <v>0</v>
      </c>
      <c r="G23" s="24" t="n">
        <v>4720.3</v>
      </c>
      <c r="H23" s="24" t="n">
        <v>586.98</v>
      </c>
      <c r="I23" s="24" t="n">
        <f aca="false">G23+H23</f>
        <v>5307.28</v>
      </c>
      <c r="J23" s="24" t="n">
        <f aca="false">D23-I23</f>
        <v>10834.74</v>
      </c>
      <c r="K23" s="25" t="s">
        <v>117</v>
      </c>
      <c r="L23" s="25" t="s">
        <v>118</v>
      </c>
    </row>
    <row r="24" customFormat="false" ht="15" hidden="false" customHeight="false" outlineLevel="0" collapsed="false">
      <c r="A24" s="23" t="n">
        <v>7</v>
      </c>
      <c r="B24" s="23" t="s">
        <v>77</v>
      </c>
      <c r="C24" s="23" t="s">
        <v>35</v>
      </c>
      <c r="D24" s="24" t="n">
        <v>7020.87</v>
      </c>
      <c r="E24" s="24" t="n">
        <v>0</v>
      </c>
      <c r="F24" s="24" t="n">
        <v>0</v>
      </c>
      <c r="G24" s="24" t="n">
        <v>7020.87</v>
      </c>
      <c r="H24" s="24" t="n">
        <v>0</v>
      </c>
      <c r="I24" s="24" t="n">
        <f aca="false">G24+H24</f>
        <v>7020.87</v>
      </c>
      <c r="J24" s="24" t="n">
        <f aca="false">D24-I24</f>
        <v>0</v>
      </c>
      <c r="K24" s="25" t="s">
        <v>121</v>
      </c>
      <c r="L24" s="25" t="s">
        <v>122</v>
      </c>
    </row>
    <row r="25" customFormat="false" ht="15" hidden="false" customHeight="false" outlineLevel="0" collapsed="false">
      <c r="A25" s="23" t="n">
        <v>8</v>
      </c>
      <c r="B25" s="23" t="s">
        <v>78</v>
      </c>
      <c r="C25" s="23" t="s">
        <v>35</v>
      </c>
      <c r="D25" s="24" t="n">
        <v>29239.3</v>
      </c>
      <c r="E25" s="24" t="n">
        <v>0</v>
      </c>
      <c r="F25" s="24" t="n">
        <v>0</v>
      </c>
      <c r="G25" s="24" t="n">
        <v>8550.3</v>
      </c>
      <c r="H25" s="24" t="n">
        <v>1063.25</v>
      </c>
      <c r="I25" s="24" t="n">
        <f aca="false">G25+H25</f>
        <v>9613.55</v>
      </c>
      <c r="J25" s="24" t="n">
        <f aca="false">D25-I25</f>
        <v>19625.75</v>
      </c>
      <c r="K25" s="25" t="s">
        <v>117</v>
      </c>
      <c r="L25" s="25" t="s">
        <v>118</v>
      </c>
    </row>
    <row r="26" customFormat="false" ht="15" hidden="false" customHeight="false" outlineLevel="0" collapsed="false">
      <c r="A26" s="26"/>
      <c r="B26" s="27" t="s">
        <v>53</v>
      </c>
      <c r="C26" s="26"/>
      <c r="D26" s="28" t="n">
        <f aca="false">SUM(D18:D25)</f>
        <v>268855.67</v>
      </c>
      <c r="E26" s="28" t="n">
        <f aca="false">SUM(E18:E25)</f>
        <v>0</v>
      </c>
      <c r="F26" s="28" t="n">
        <f aca="false">SUM(F18:F25)</f>
        <v>0</v>
      </c>
      <c r="G26" s="28" t="n">
        <f aca="false">SUM(G18:G25)</f>
        <v>115453.32</v>
      </c>
      <c r="H26" s="28" t="n">
        <f aca="false">SUM(H18:H25)</f>
        <v>7883.58</v>
      </c>
      <c r="I26" s="28" t="n">
        <f aca="false">SUM(I18:I25)</f>
        <v>123336.9</v>
      </c>
      <c r="J26" s="28" t="n">
        <f aca="false">SUM(J18:J25)</f>
        <v>145518.77</v>
      </c>
      <c r="K26" s="26"/>
      <c r="L26" s="26"/>
    </row>
    <row r="28" customFormat="false" ht="15" hidden="false" customHeight="false" outlineLevel="0" collapsed="false">
      <c r="B28" s="18" t="s">
        <v>124</v>
      </c>
    </row>
    <row r="29" customFormat="false" ht="15" hidden="false" customHeight="false" outlineLevel="0" collapsed="false">
      <c r="B29" s="5" t="s">
        <v>125</v>
      </c>
      <c r="D29" s="6" t="n">
        <f aca="false">I14</f>
        <v>117847.47</v>
      </c>
    </row>
    <row r="30" customFormat="false" ht="15" hidden="false" customHeight="false" outlineLevel="0" collapsed="false">
      <c r="B30" s="5" t="s">
        <v>126</v>
      </c>
      <c r="D30" s="6" t="n">
        <f aca="false">I26</f>
        <v>123336.9</v>
      </c>
    </row>
    <row r="31" customFormat="false" ht="15" hidden="false" customHeight="false" outlineLevel="0" collapsed="false">
      <c r="B31" s="11" t="s">
        <v>124</v>
      </c>
      <c r="D31" s="29" t="n">
        <f aca="false">D29-D30</f>
        <v>-5489.43000000001</v>
      </c>
    </row>
    <row r="33" customFormat="false" ht="15" hidden="false" customHeight="false" outlineLevel="0" collapsed="false">
      <c r="A33" s="10" t="s">
        <v>127</v>
      </c>
    </row>
    <row r="34" customFormat="false" ht="15" hidden="false" customHeight="false" outlineLevel="0" collapsed="false">
      <c r="A34" s="21" t="s">
        <v>128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4" t="s">
        <v>105</v>
      </c>
      <c r="B35" s="4" t="s">
        <v>106</v>
      </c>
      <c r="C35" s="4" t="s">
        <v>107</v>
      </c>
      <c r="D35" s="4" t="s">
        <v>108</v>
      </c>
      <c r="E35" s="4" t="s">
        <v>109</v>
      </c>
      <c r="F35" s="4" t="s">
        <v>110</v>
      </c>
      <c r="G35" s="4" t="s">
        <v>129</v>
      </c>
      <c r="H35" s="4" t="s">
        <v>130</v>
      </c>
      <c r="I35" s="4" t="s">
        <v>113</v>
      </c>
      <c r="J35" s="4" t="s">
        <v>114</v>
      </c>
      <c r="K35" s="4" t="s">
        <v>115</v>
      </c>
      <c r="L35" s="4" t="s">
        <v>116</v>
      </c>
    </row>
    <row r="36" customFormat="false" ht="15" hidden="false" customHeight="false" outlineLevel="0" collapsed="false">
      <c r="A36" s="23" t="n">
        <v>1</v>
      </c>
      <c r="B36" s="23" t="s">
        <v>45</v>
      </c>
      <c r="C36" s="23" t="s">
        <v>35</v>
      </c>
      <c r="D36" s="24" t="n">
        <v>212191.05</v>
      </c>
      <c r="E36" s="24" t="n">
        <v>0</v>
      </c>
      <c r="F36" s="24" t="n">
        <v>0</v>
      </c>
      <c r="G36" s="24" t="n">
        <v>62049.02</v>
      </c>
      <c r="H36" s="24" t="n">
        <v>7716.04</v>
      </c>
      <c r="I36" s="24" t="n">
        <f aca="false">G36+H36</f>
        <v>69765.06</v>
      </c>
      <c r="J36" s="24" t="n">
        <f aca="false">D36-I36</f>
        <v>142425.99</v>
      </c>
      <c r="K36" s="25" t="s">
        <v>117</v>
      </c>
      <c r="L36" s="25" t="s">
        <v>118</v>
      </c>
    </row>
    <row r="37" customFormat="false" ht="15" hidden="false" customHeight="false" outlineLevel="0" collapsed="false">
      <c r="A37" s="23" t="n">
        <v>2</v>
      </c>
      <c r="B37" s="23" t="s">
        <v>46</v>
      </c>
      <c r="C37" s="23" t="s">
        <v>37</v>
      </c>
      <c r="D37" s="24" t="n">
        <v>386.45</v>
      </c>
      <c r="E37" s="24" t="n">
        <v>0</v>
      </c>
      <c r="F37" s="24" t="n">
        <v>0</v>
      </c>
      <c r="G37" s="24" t="n">
        <v>111.91</v>
      </c>
      <c r="H37" s="24" t="n">
        <v>14.06</v>
      </c>
      <c r="I37" s="24" t="n">
        <f aca="false">G37+H37</f>
        <v>125.97</v>
      </c>
      <c r="J37" s="24" t="n">
        <f aca="false">D37-I37</f>
        <v>260.48</v>
      </c>
      <c r="K37" s="25" t="s">
        <v>117</v>
      </c>
      <c r="L37" s="25" t="s">
        <v>118</v>
      </c>
    </row>
    <row r="38" customFormat="false" ht="15" hidden="false" customHeight="false" outlineLevel="0" collapsed="false">
      <c r="A38" s="23" t="n">
        <v>3</v>
      </c>
      <c r="B38" s="23" t="s">
        <v>47</v>
      </c>
      <c r="C38" s="23" t="s">
        <v>35</v>
      </c>
      <c r="D38" s="24" t="n">
        <v>20018</v>
      </c>
      <c r="E38" s="24" t="n">
        <v>0</v>
      </c>
      <c r="F38" s="24" t="n">
        <v>0</v>
      </c>
      <c r="G38" s="24" t="n">
        <v>11723.87</v>
      </c>
      <c r="H38" s="24" t="n">
        <v>1181.07</v>
      </c>
      <c r="I38" s="24" t="n">
        <f aca="false">G38+H38</f>
        <v>12904.94</v>
      </c>
      <c r="J38" s="24" t="n">
        <f aca="false">D38-I38</f>
        <v>7113.06</v>
      </c>
      <c r="K38" s="25" t="s">
        <v>119</v>
      </c>
      <c r="L38" s="25" t="s">
        <v>120</v>
      </c>
    </row>
    <row r="39" customFormat="false" ht="15" hidden="false" customHeight="false" outlineLevel="0" collapsed="false">
      <c r="A39" s="23" t="n">
        <v>4</v>
      </c>
      <c r="B39" s="23" t="s">
        <v>48</v>
      </c>
      <c r="C39" s="23" t="s">
        <v>35</v>
      </c>
      <c r="D39" s="24" t="n">
        <v>36260.17</v>
      </c>
      <c r="E39" s="24" t="n">
        <v>0</v>
      </c>
      <c r="F39" s="24" t="n">
        <v>0</v>
      </c>
      <c r="G39" s="24" t="n">
        <v>35051.5</v>
      </c>
      <c r="H39" s="24" t="n">
        <v>0</v>
      </c>
      <c r="I39" s="24" t="n">
        <f aca="false">G39+H39</f>
        <v>35051.5</v>
      </c>
      <c r="J39" s="24" t="n">
        <f aca="false">D39-I39</f>
        <v>1208.67</v>
      </c>
      <c r="K39" s="25" t="s">
        <v>121</v>
      </c>
      <c r="L39" s="25" t="s">
        <v>122</v>
      </c>
    </row>
    <row r="40" customFormat="false" ht="15" hidden="false" customHeight="false" outlineLevel="0" collapsed="false">
      <c r="A40" s="26"/>
      <c r="B40" s="27" t="s">
        <v>53</v>
      </c>
      <c r="C40" s="26"/>
      <c r="D40" s="28" t="n">
        <f aca="false">SUM(D36:D39)</f>
        <v>268855.67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108936.3</v>
      </c>
      <c r="H40" s="28" t="n">
        <f aca="false">SUM(H36:H39)</f>
        <v>8911.17</v>
      </c>
      <c r="I40" s="28" t="n">
        <f aca="false">SUM(I36:I39)</f>
        <v>117847.47</v>
      </c>
      <c r="J40" s="28" t="n">
        <f aca="false">SUM(J36:J39)</f>
        <v>151008.2</v>
      </c>
      <c r="K40" s="26"/>
      <c r="L40" s="26"/>
    </row>
    <row r="42" customFormat="false" ht="15" hidden="false" customHeight="false" outlineLevel="0" collapsed="false">
      <c r="A42" s="21" t="s">
        <v>131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4" t="s">
        <v>105</v>
      </c>
      <c r="B43" s="4" t="s">
        <v>106</v>
      </c>
      <c r="C43" s="4" t="s">
        <v>107</v>
      </c>
      <c r="D43" s="4" t="s">
        <v>108</v>
      </c>
      <c r="E43" s="4" t="s">
        <v>109</v>
      </c>
      <c r="F43" s="4" t="s">
        <v>110</v>
      </c>
      <c r="G43" s="4" t="s">
        <v>129</v>
      </c>
      <c r="H43" s="4" t="s">
        <v>130</v>
      </c>
      <c r="I43" s="4" t="s">
        <v>113</v>
      </c>
      <c r="J43" s="4" t="s">
        <v>114</v>
      </c>
      <c r="K43" s="4" t="s">
        <v>115</v>
      </c>
      <c r="L43" s="4" t="s">
        <v>116</v>
      </c>
    </row>
    <row r="44" customFormat="false" ht="15" hidden="false" customHeight="false" outlineLevel="0" collapsed="false">
      <c r="A44" s="23" t="n">
        <v>1</v>
      </c>
      <c r="B44" s="23" t="s">
        <v>71</v>
      </c>
      <c r="C44" s="23" t="s">
        <v>35</v>
      </c>
      <c r="D44" s="24" t="n">
        <v>41085.46</v>
      </c>
      <c r="E44" s="24" t="n">
        <v>0</v>
      </c>
      <c r="F44" s="24" t="n">
        <v>0</v>
      </c>
      <c r="G44" s="24" t="n">
        <v>41085.46</v>
      </c>
      <c r="H44" s="24" t="n">
        <v>0</v>
      </c>
      <c r="I44" s="24" t="n">
        <f aca="false">G44+H44</f>
        <v>41085.46</v>
      </c>
      <c r="J44" s="24" t="n">
        <f aca="false">D44-I44</f>
        <v>0</v>
      </c>
      <c r="K44" s="25" t="s">
        <v>121</v>
      </c>
      <c r="L44" s="25" t="s">
        <v>122</v>
      </c>
    </row>
    <row r="45" customFormat="false" ht="15" hidden="false" customHeight="false" outlineLevel="0" collapsed="false">
      <c r="A45" s="23" t="n">
        <v>2</v>
      </c>
      <c r="B45" s="23" t="s">
        <v>72</v>
      </c>
      <c r="C45" s="23" t="s">
        <v>35</v>
      </c>
      <c r="D45" s="24" t="n">
        <v>171105.59</v>
      </c>
      <c r="E45" s="24" t="n">
        <v>0</v>
      </c>
      <c r="F45" s="24" t="n">
        <v>0</v>
      </c>
      <c r="G45" s="24" t="n">
        <v>50035.41</v>
      </c>
      <c r="H45" s="24" t="n">
        <v>6222.02</v>
      </c>
      <c r="I45" s="24" t="n">
        <f aca="false">G45+H45</f>
        <v>56257.43</v>
      </c>
      <c r="J45" s="24" t="n">
        <f aca="false">D45-I45</f>
        <v>114848.16</v>
      </c>
      <c r="K45" s="25" t="s">
        <v>117</v>
      </c>
      <c r="L45" s="25" t="s">
        <v>118</v>
      </c>
    </row>
    <row r="46" customFormat="false" ht="15" hidden="false" customHeight="false" outlineLevel="0" collapsed="false">
      <c r="A46" s="23" t="n">
        <v>3</v>
      </c>
      <c r="B46" s="23" t="s">
        <v>73</v>
      </c>
      <c r="C46" s="23" t="s">
        <v>37</v>
      </c>
      <c r="D46" s="24" t="n">
        <v>74.83</v>
      </c>
      <c r="E46" s="24" t="n">
        <v>0</v>
      </c>
      <c r="F46" s="24" t="n">
        <v>0</v>
      </c>
      <c r="G46" s="24" t="n">
        <v>74.83</v>
      </c>
      <c r="H46" s="24" t="n">
        <v>0</v>
      </c>
      <c r="I46" s="24" t="n">
        <f aca="false">G46+H46</f>
        <v>74.83</v>
      </c>
      <c r="J46" s="24" t="n">
        <f aca="false">D46-I46</f>
        <v>0</v>
      </c>
      <c r="K46" s="25" t="s">
        <v>121</v>
      </c>
      <c r="L46" s="25" t="s">
        <v>122</v>
      </c>
    </row>
    <row r="47" customFormat="false" ht="15" hidden="false" customHeight="false" outlineLevel="0" collapsed="false">
      <c r="A47" s="23" t="n">
        <v>4</v>
      </c>
      <c r="B47" s="23" t="s">
        <v>74</v>
      </c>
      <c r="C47" s="23" t="s">
        <v>37</v>
      </c>
      <c r="D47" s="24" t="n">
        <v>311.62</v>
      </c>
      <c r="E47" s="24" t="n">
        <v>0</v>
      </c>
      <c r="F47" s="24" t="n">
        <v>0</v>
      </c>
      <c r="G47" s="24" t="n">
        <v>90.17</v>
      </c>
      <c r="H47" s="24" t="n">
        <v>11.33</v>
      </c>
      <c r="I47" s="24" t="n">
        <f aca="false">G47+H47</f>
        <v>101.5</v>
      </c>
      <c r="J47" s="24" t="n">
        <f aca="false">D47-I47</f>
        <v>210.12</v>
      </c>
      <c r="K47" s="25" t="s">
        <v>117</v>
      </c>
      <c r="L47" s="25" t="s">
        <v>118</v>
      </c>
    </row>
    <row r="48" customFormat="false" ht="15" hidden="false" customHeight="false" outlineLevel="0" collapsed="false">
      <c r="A48" s="23" t="n">
        <v>5</v>
      </c>
      <c r="B48" s="23" t="s">
        <v>75</v>
      </c>
      <c r="C48" s="23" t="s">
        <v>35</v>
      </c>
      <c r="D48" s="24" t="n">
        <v>3875.98</v>
      </c>
      <c r="E48" s="24" t="n">
        <v>0</v>
      </c>
      <c r="F48" s="24" t="n">
        <v>0</v>
      </c>
      <c r="G48" s="24" t="n">
        <v>3875.98</v>
      </c>
      <c r="H48" s="24" t="n">
        <v>0</v>
      </c>
      <c r="I48" s="24" t="n">
        <f aca="false">G48+H48</f>
        <v>3875.98</v>
      </c>
      <c r="J48" s="24" t="n">
        <f aca="false">D48-I48</f>
        <v>0</v>
      </c>
      <c r="K48" s="25" t="s">
        <v>121</v>
      </c>
      <c r="L48" s="25" t="s">
        <v>122</v>
      </c>
    </row>
    <row r="49" customFormat="false" ht="15" hidden="false" customHeight="false" outlineLevel="0" collapsed="false">
      <c r="A49" s="23" t="n">
        <v>6</v>
      </c>
      <c r="B49" s="23" t="s">
        <v>76</v>
      </c>
      <c r="C49" s="23" t="s">
        <v>35</v>
      </c>
      <c r="D49" s="24" t="n">
        <v>16142.02</v>
      </c>
      <c r="E49" s="24" t="n">
        <v>0</v>
      </c>
      <c r="F49" s="24" t="n">
        <v>0</v>
      </c>
      <c r="G49" s="24" t="n">
        <v>4720.3</v>
      </c>
      <c r="H49" s="24" t="n">
        <v>586.98</v>
      </c>
      <c r="I49" s="24" t="n">
        <f aca="false">G49+H49</f>
        <v>5307.28</v>
      </c>
      <c r="J49" s="24" t="n">
        <f aca="false">D49-I49</f>
        <v>10834.74</v>
      </c>
      <c r="K49" s="25" t="s">
        <v>117</v>
      </c>
      <c r="L49" s="25" t="s">
        <v>118</v>
      </c>
    </row>
    <row r="50" customFormat="false" ht="15" hidden="false" customHeight="false" outlineLevel="0" collapsed="false">
      <c r="A50" s="23" t="n">
        <v>7</v>
      </c>
      <c r="B50" s="23" t="s">
        <v>77</v>
      </c>
      <c r="C50" s="23" t="s">
        <v>35</v>
      </c>
      <c r="D50" s="24" t="n">
        <v>7020.87</v>
      </c>
      <c r="E50" s="24" t="n">
        <v>0</v>
      </c>
      <c r="F50" s="24" t="n">
        <v>0</v>
      </c>
      <c r="G50" s="24" t="n">
        <v>7020.87</v>
      </c>
      <c r="H50" s="24" t="n">
        <v>0</v>
      </c>
      <c r="I50" s="24" t="n">
        <f aca="false">G50+H50</f>
        <v>7020.87</v>
      </c>
      <c r="J50" s="24" t="n">
        <f aca="false">D50-I50</f>
        <v>0</v>
      </c>
      <c r="K50" s="25" t="s">
        <v>121</v>
      </c>
      <c r="L50" s="25" t="s">
        <v>122</v>
      </c>
    </row>
    <row r="51" customFormat="false" ht="15" hidden="false" customHeight="false" outlineLevel="0" collapsed="false">
      <c r="A51" s="23" t="n">
        <v>8</v>
      </c>
      <c r="B51" s="23" t="s">
        <v>78</v>
      </c>
      <c r="C51" s="23" t="s">
        <v>35</v>
      </c>
      <c r="D51" s="24" t="n">
        <v>29239.3</v>
      </c>
      <c r="E51" s="24" t="n">
        <v>0</v>
      </c>
      <c r="F51" s="24" t="n">
        <v>0</v>
      </c>
      <c r="G51" s="24" t="n">
        <v>8550.3</v>
      </c>
      <c r="H51" s="24" t="n">
        <v>1063.25</v>
      </c>
      <c r="I51" s="24" t="n">
        <f aca="false">G51+H51</f>
        <v>9613.55</v>
      </c>
      <c r="J51" s="24" t="n">
        <f aca="false">D51-I51</f>
        <v>19625.75</v>
      </c>
      <c r="K51" s="25" t="s">
        <v>117</v>
      </c>
      <c r="L51" s="25" t="s">
        <v>118</v>
      </c>
    </row>
    <row r="52" customFormat="false" ht="15" hidden="false" customHeight="false" outlineLevel="0" collapsed="false">
      <c r="A52" s="26"/>
      <c r="B52" s="27" t="s">
        <v>53</v>
      </c>
      <c r="C52" s="26"/>
      <c r="D52" s="28" t="n">
        <f aca="false">SUM(D44:D51)</f>
        <v>268855.67</v>
      </c>
      <c r="E52" s="28" t="n">
        <f aca="false">SUM(E44:E51)</f>
        <v>0</v>
      </c>
      <c r="F52" s="28" t="n">
        <f aca="false">SUM(F44:F51)</f>
        <v>0</v>
      </c>
      <c r="G52" s="28" t="n">
        <f aca="false">SUM(G44:G51)</f>
        <v>115453.32</v>
      </c>
      <c r="H52" s="28" t="n">
        <f aca="false">SUM(H44:H51)</f>
        <v>7883.58</v>
      </c>
      <c r="I52" s="28" t="n">
        <f aca="false">SUM(I44:I51)</f>
        <v>123336.9</v>
      </c>
      <c r="J52" s="28" t="n">
        <f aca="false">SUM(J44:J51)</f>
        <v>145518.77</v>
      </c>
      <c r="K52" s="26"/>
      <c r="L52" s="26"/>
    </row>
    <row r="54" customFormat="false" ht="15" hidden="false" customHeight="false" outlineLevel="0" collapsed="false">
      <c r="B54" s="18" t="s">
        <v>132</v>
      </c>
    </row>
    <row r="55" customFormat="false" ht="15" hidden="false" customHeight="false" outlineLevel="0" collapsed="false">
      <c r="B55" s="5" t="s">
        <v>125</v>
      </c>
      <c r="D55" s="6" t="n">
        <f aca="false">I40</f>
        <v>117847.47</v>
      </c>
    </row>
    <row r="56" customFormat="false" ht="15" hidden="false" customHeight="false" outlineLevel="0" collapsed="false">
      <c r="B56" s="5" t="s">
        <v>126</v>
      </c>
      <c r="D56" s="6" t="n">
        <f aca="false">I52</f>
        <v>123336.9</v>
      </c>
    </row>
    <row r="57" customFormat="false" ht="15" hidden="false" customHeight="false" outlineLevel="0" collapsed="false">
      <c r="B57" s="11" t="s">
        <v>132</v>
      </c>
      <c r="D57" s="29" t="n">
        <f aca="false">D55-D56</f>
        <v>-5489.43000000001</v>
      </c>
    </row>
    <row r="59" customFormat="false" ht="15" hidden="false" customHeight="false" outlineLevel="0" collapsed="false">
      <c r="A59" s="10" t="s">
        <v>133</v>
      </c>
    </row>
    <row r="60" customFormat="false" ht="15" hidden="false" customHeight="false" outlineLevel="0" collapsed="false">
      <c r="B60" s="11" t="s">
        <v>162</v>
      </c>
      <c r="D60" s="12" t="n">
        <f aca="false">D99</f>
        <v>268855.67</v>
      </c>
    </row>
    <row r="61" customFormat="false" ht="15" hidden="false" customHeight="false" outlineLevel="0" collapsed="false">
      <c r="B61" s="5" t="s">
        <v>163</v>
      </c>
      <c r="D61" s="6" t="n">
        <f aca="false">F99</f>
        <v>52057.14</v>
      </c>
    </row>
    <row r="62" customFormat="false" ht="15" hidden="false" customHeight="false" outlineLevel="0" collapsed="false">
      <c r="B62" s="30" t="s">
        <v>136</v>
      </c>
      <c r="D62" s="31" t="n">
        <f aca="false">F100</f>
        <v>0.193624854554862</v>
      </c>
    </row>
    <row r="63" customFormat="false" ht="15" hidden="false" customHeight="false" outlineLevel="0" collapsed="false">
      <c r="B63" s="5" t="s">
        <v>164</v>
      </c>
      <c r="D63" s="6" t="n">
        <f aca="false">H99</f>
        <v>216798.53</v>
      </c>
    </row>
    <row r="64" customFormat="false" ht="15" hidden="false" customHeight="false" outlineLevel="0" collapsed="false">
      <c r="B64" s="30" t="s">
        <v>136</v>
      </c>
      <c r="D64" s="31" t="n">
        <f aca="false">H100</f>
        <v>0.806375145445138</v>
      </c>
    </row>
    <row r="66" customFormat="false" ht="15" hidden="false" customHeight="false" outlineLevel="0" collapsed="false">
      <c r="A66" s="10" t="s">
        <v>138</v>
      </c>
    </row>
    <row r="67" customFormat="false" ht="15" hidden="false" customHeight="false" outlineLevel="0" collapsed="false">
      <c r="B67" s="4" t="s">
        <v>139</v>
      </c>
      <c r="D67" s="4" t="s">
        <v>108</v>
      </c>
      <c r="F67" s="4" t="s">
        <v>165</v>
      </c>
      <c r="H67" s="4" t="s">
        <v>141</v>
      </c>
    </row>
    <row r="68" customFormat="false" ht="15" hidden="false" customHeight="false" outlineLevel="0" collapsed="false">
      <c r="B68" s="32" t="s">
        <v>166</v>
      </c>
    </row>
    <row r="69" customFormat="false" ht="15" hidden="false" customHeight="false" outlineLevel="0" collapsed="false">
      <c r="B69" s="5" t="s">
        <v>167</v>
      </c>
      <c r="D69" s="33" t="n">
        <f aca="false">SUM(F69:H69)</f>
        <v>7759.94</v>
      </c>
      <c r="F69" s="33" t="n">
        <v>7759.94</v>
      </c>
    </row>
    <row r="70" customFormat="false" ht="15" hidden="false" customHeight="false" outlineLevel="0" collapsed="false">
      <c r="B70" s="5" t="s">
        <v>168</v>
      </c>
      <c r="D70" s="33" t="n">
        <f aca="false">SUM(F70:H70)</f>
        <v>4601.14</v>
      </c>
      <c r="F70" s="33" t="n">
        <v>4601.14</v>
      </c>
    </row>
    <row r="71" customFormat="false" ht="15" hidden="false" customHeight="false" outlineLevel="0" collapsed="false">
      <c r="B71" s="5" t="s">
        <v>169</v>
      </c>
      <c r="D71" s="33" t="n">
        <f aca="false">SUM(F71:H71)</f>
        <v>18695.69</v>
      </c>
      <c r="F71" s="33" t="n">
        <v>18695.69</v>
      </c>
    </row>
    <row r="72" customFormat="false" ht="15" hidden="false" customHeight="false" outlineLevel="0" collapsed="false">
      <c r="B72" s="5" t="s">
        <v>171</v>
      </c>
      <c r="D72" s="33" t="n">
        <f aca="false">SUM(F72:H72)</f>
        <v>2235.2</v>
      </c>
      <c r="F72" s="33" t="n">
        <v>2235.2</v>
      </c>
    </row>
    <row r="73" customFormat="false" ht="15" hidden="false" customHeight="false" outlineLevel="0" collapsed="false">
      <c r="B73" s="5" t="s">
        <v>196</v>
      </c>
      <c r="D73" s="33" t="n">
        <f aca="false">SUM(F73:H73)</f>
        <v>274.94</v>
      </c>
      <c r="F73" s="33" t="n">
        <v>274.94</v>
      </c>
    </row>
    <row r="74" customFormat="false" ht="15" hidden="false" customHeight="false" outlineLevel="0" collapsed="false">
      <c r="B74" s="5" t="s">
        <v>197</v>
      </c>
      <c r="D74" s="33" t="n">
        <f aca="false">SUM(F74:H74)</f>
        <v>120.68</v>
      </c>
      <c r="F74" s="33" t="n">
        <v>120.68</v>
      </c>
    </row>
    <row r="75" customFormat="false" ht="15" hidden="false" customHeight="false" outlineLevel="0" collapsed="false">
      <c r="B75" s="5" t="s">
        <v>172</v>
      </c>
      <c r="D75" s="33" t="n">
        <f aca="false">SUM(F75:H75)</f>
        <v>4471.44</v>
      </c>
      <c r="F75" s="33" t="n">
        <v>4471.44</v>
      </c>
    </row>
    <row r="76" customFormat="false" ht="15" hidden="false" customHeight="false" outlineLevel="0" collapsed="false">
      <c r="B76" s="5" t="s">
        <v>173</v>
      </c>
      <c r="D76" s="33" t="n">
        <f aca="false">SUM(F76:H76)</f>
        <v>1633.14</v>
      </c>
      <c r="F76" s="33" t="n">
        <v>1633.14</v>
      </c>
    </row>
    <row r="77" customFormat="false" ht="15" hidden="false" customHeight="false" outlineLevel="0" collapsed="false">
      <c r="B77" s="5" t="s">
        <v>198</v>
      </c>
      <c r="D77" s="33" t="n">
        <f aca="false">SUM(F77:H77)</f>
        <v>5141.11</v>
      </c>
      <c r="F77" s="33" t="n">
        <v>5141.11</v>
      </c>
    </row>
    <row r="78" customFormat="false" ht="15" hidden="false" customHeight="false" outlineLevel="0" collapsed="false">
      <c r="B78" s="5" t="s">
        <v>175</v>
      </c>
      <c r="D78" s="33" t="n">
        <f aca="false">SUM(F78:H78)</f>
        <v>1534.74</v>
      </c>
      <c r="F78" s="33" t="n">
        <v>1534.74</v>
      </c>
    </row>
    <row r="79" customFormat="false" ht="15" hidden="false" customHeight="false" outlineLevel="0" collapsed="false">
      <c r="B79" s="5" t="s">
        <v>199</v>
      </c>
      <c r="D79" s="33" t="n">
        <f aca="false">SUM(F79:H79)</f>
        <v>64.8</v>
      </c>
      <c r="F79" s="33" t="n">
        <v>64.8</v>
      </c>
    </row>
    <row r="80" customFormat="false" ht="15" hidden="false" customHeight="false" outlineLevel="0" collapsed="false">
      <c r="B80" s="5" t="s">
        <v>200</v>
      </c>
      <c r="D80" s="33" t="n">
        <f aca="false">SUM(F80:H80)</f>
        <v>5524.32</v>
      </c>
      <c r="F80" s="33" t="n">
        <v>5524.32</v>
      </c>
    </row>
    <row r="81" customFormat="false" ht="15" hidden="false" customHeight="false" outlineLevel="0" collapsed="false">
      <c r="B81" s="32" t="s">
        <v>177</v>
      </c>
    </row>
    <row r="82" customFormat="false" ht="15" hidden="false" customHeight="false" outlineLevel="0" collapsed="false">
      <c r="B82" s="5" t="s">
        <v>178</v>
      </c>
      <c r="D82" s="33" t="n">
        <f aca="false">SUM(F82:H82)</f>
        <v>10400.92</v>
      </c>
      <c r="H82" s="33" t="n">
        <v>10400.92</v>
      </c>
    </row>
    <row r="83" customFormat="false" ht="15" hidden="false" customHeight="false" outlineLevel="0" collapsed="false">
      <c r="B83" s="5" t="s">
        <v>179</v>
      </c>
      <c r="D83" s="33" t="n">
        <f aca="false">SUM(F83:H83)</f>
        <v>19732.45</v>
      </c>
      <c r="H83" s="33" t="n">
        <v>19732.45</v>
      </c>
    </row>
    <row r="84" customFormat="false" ht="15" hidden="false" customHeight="false" outlineLevel="0" collapsed="false">
      <c r="B84" s="5" t="s">
        <v>180</v>
      </c>
      <c r="D84" s="33" t="n">
        <f aca="false">SUM(F84:H84)</f>
        <v>18076.85</v>
      </c>
      <c r="H84" s="33" t="n">
        <v>18076.85</v>
      </c>
    </row>
    <row r="85" customFormat="false" ht="15" hidden="false" customHeight="false" outlineLevel="0" collapsed="false">
      <c r="B85" s="5" t="s">
        <v>181</v>
      </c>
      <c r="D85" s="33" t="n">
        <f aca="false">SUM(F85:H85)</f>
        <v>19867.9</v>
      </c>
      <c r="H85" s="33" t="n">
        <v>19867.9</v>
      </c>
    </row>
    <row r="86" customFormat="false" ht="15" hidden="false" customHeight="false" outlineLevel="0" collapsed="false">
      <c r="B86" s="5" t="s">
        <v>182</v>
      </c>
      <c r="D86" s="33" t="n">
        <f aca="false">SUM(F86:H86)</f>
        <v>15953.11</v>
      </c>
      <c r="H86" s="33" t="n">
        <v>15953.11</v>
      </c>
    </row>
    <row r="87" customFormat="false" ht="15" hidden="false" customHeight="false" outlineLevel="0" collapsed="false">
      <c r="B87" s="5" t="s">
        <v>183</v>
      </c>
      <c r="D87" s="33" t="n">
        <f aca="false">SUM(F87:H87)</f>
        <v>1077</v>
      </c>
      <c r="H87" s="33" t="n">
        <v>1077</v>
      </c>
    </row>
    <row r="88" customFormat="false" ht="15" hidden="false" customHeight="false" outlineLevel="0" collapsed="false">
      <c r="B88" s="5" t="s">
        <v>184</v>
      </c>
      <c r="D88" s="33" t="n">
        <f aca="false">SUM(F88:H88)</f>
        <v>24515.03</v>
      </c>
      <c r="H88" s="33" t="n">
        <v>24515.03</v>
      </c>
    </row>
    <row r="89" customFormat="false" ht="15" hidden="false" customHeight="false" outlineLevel="0" collapsed="false">
      <c r="B89" s="5" t="s">
        <v>185</v>
      </c>
      <c r="D89" s="33" t="n">
        <f aca="false">SUM(F89:H89)</f>
        <v>18444.72</v>
      </c>
      <c r="H89" s="33" t="n">
        <v>18444.72</v>
      </c>
    </row>
    <row r="90" customFormat="false" ht="15" hidden="false" customHeight="false" outlineLevel="0" collapsed="false">
      <c r="B90" s="5" t="s">
        <v>186</v>
      </c>
      <c r="D90" s="33" t="n">
        <f aca="false">SUM(F90:H90)</f>
        <v>11037.53</v>
      </c>
      <c r="H90" s="33" t="n">
        <v>11037.53</v>
      </c>
    </row>
    <row r="91" customFormat="false" ht="15" hidden="false" customHeight="false" outlineLevel="0" collapsed="false">
      <c r="B91" s="5" t="s">
        <v>187</v>
      </c>
      <c r="D91" s="33" t="n">
        <f aca="false">SUM(F91:H91)</f>
        <v>8326.32</v>
      </c>
      <c r="H91" s="33" t="n">
        <v>8326.32</v>
      </c>
    </row>
    <row r="92" customFormat="false" ht="15" hidden="false" customHeight="false" outlineLevel="0" collapsed="false">
      <c r="B92" s="5" t="s">
        <v>188</v>
      </c>
      <c r="D92" s="33" t="n">
        <f aca="false">SUM(F92:H92)</f>
        <v>20278.2</v>
      </c>
      <c r="H92" s="33" t="n">
        <v>20278.2</v>
      </c>
    </row>
    <row r="93" customFormat="false" ht="15" hidden="false" customHeight="false" outlineLevel="0" collapsed="false">
      <c r="B93" s="5" t="s">
        <v>189</v>
      </c>
      <c r="D93" s="33" t="n">
        <f aca="false">SUM(F93:H93)</f>
        <v>8613.97</v>
      </c>
      <c r="H93" s="33" t="n">
        <v>8613.97</v>
      </c>
    </row>
    <row r="94" customFormat="false" ht="15" hidden="false" customHeight="false" outlineLevel="0" collapsed="false">
      <c r="B94" s="5" t="s">
        <v>190</v>
      </c>
      <c r="D94" s="33" t="n">
        <f aca="false">SUM(F94:H94)</f>
        <v>1343.51</v>
      </c>
      <c r="H94" s="33" t="n">
        <v>1343.51</v>
      </c>
    </row>
    <row r="95" customFormat="false" ht="15" hidden="false" customHeight="false" outlineLevel="0" collapsed="false">
      <c r="B95" s="5" t="s">
        <v>192</v>
      </c>
      <c r="D95" s="33" t="n">
        <f aca="false">SUM(F95:H95)</f>
        <v>27755.5</v>
      </c>
      <c r="H95" s="33" t="n">
        <v>27755.5</v>
      </c>
    </row>
    <row r="96" customFormat="false" ht="15" hidden="false" customHeight="false" outlineLevel="0" collapsed="false">
      <c r="B96" s="5" t="s">
        <v>201</v>
      </c>
      <c r="D96" s="33" t="n">
        <f aca="false">SUM(F96:H96)</f>
        <v>6811.28</v>
      </c>
      <c r="H96" s="33" t="n">
        <v>6811.28</v>
      </c>
    </row>
    <row r="97" customFormat="false" ht="15" hidden="false" customHeight="false" outlineLevel="0" collapsed="false">
      <c r="B97" s="5" t="s">
        <v>193</v>
      </c>
      <c r="D97" s="33" t="n">
        <f aca="false">SUM(F97:H97)</f>
        <v>1999.53</v>
      </c>
      <c r="H97" s="33" t="n">
        <v>1999.53</v>
      </c>
    </row>
    <row r="98" customFormat="false" ht="15" hidden="false" customHeight="false" outlineLevel="0" collapsed="false">
      <c r="B98" s="5" t="s">
        <v>202</v>
      </c>
      <c r="D98" s="33" t="n">
        <f aca="false">SUM(F98:H98)</f>
        <v>2564.71</v>
      </c>
      <c r="H98" s="33" t="n">
        <v>2564.71</v>
      </c>
    </row>
    <row r="99" customFormat="false" ht="15" hidden="false" customHeight="false" outlineLevel="0" collapsed="false">
      <c r="B99" s="11" t="s">
        <v>162</v>
      </c>
      <c r="D99" s="34" t="n">
        <f aca="false">SUM(D68:D98)</f>
        <v>268855.67</v>
      </c>
      <c r="F99" s="34" t="n">
        <f aca="false">SUM(F68:F98)</f>
        <v>52057.14</v>
      </c>
      <c r="H99" s="34" t="n">
        <f aca="false">SUM(H68:H98)</f>
        <v>216798.53</v>
      </c>
    </row>
    <row r="100" customFormat="false" ht="15" hidden="false" customHeight="false" outlineLevel="0" collapsed="false">
      <c r="B100" s="30" t="s">
        <v>136</v>
      </c>
      <c r="F100" s="31" t="n">
        <f aca="false">F99/D99</f>
        <v>0.193624854554862</v>
      </c>
      <c r="H100" s="31" t="n">
        <f aca="false">H99/D99</f>
        <v>0.806375145445138</v>
      </c>
    </row>
    <row r="102" customFormat="false" ht="15" hidden="false" customHeight="false" outlineLevel="0" collapsed="false">
      <c r="A102" s="10" t="s">
        <v>157</v>
      </c>
    </row>
    <row r="103" customFormat="false" ht="15" hidden="false" customHeight="false" outlineLevel="0" collapsed="false">
      <c r="B103" s="4" t="s">
        <v>158</v>
      </c>
      <c r="D103" s="4" t="s">
        <v>108</v>
      </c>
      <c r="F103" s="4" t="s">
        <v>165</v>
      </c>
      <c r="H103" s="4" t="s">
        <v>141</v>
      </c>
    </row>
    <row r="104" customFormat="false" ht="15" hidden="false" customHeight="false" outlineLevel="0" collapsed="false">
      <c r="B104" s="5" t="str">
        <f aca="false">'Building 12'!B18</f>
        <v>1 - Buillding - Apt - 5yr</v>
      </c>
      <c r="D104" s="33" t="n">
        <f aca="false">SUM(F104:H104)</f>
        <v>41085.46</v>
      </c>
      <c r="F104" s="33" t="n">
        <f aca="false">'Building 12'!D18</f>
        <v>41085.46</v>
      </c>
    </row>
    <row r="105" customFormat="false" ht="15" hidden="false" customHeight="false" outlineLevel="0" collapsed="false">
      <c r="B105" s="5" t="str">
        <f aca="false">'Building 12'!B19</f>
        <v>1 - Buillding - Apt - 27.5yr</v>
      </c>
      <c r="D105" s="33" t="n">
        <f aca="false">SUM(F105:H105)</f>
        <v>171105.59</v>
      </c>
      <c r="H105" s="33" t="n">
        <f aca="false">'Building 12'!D19</f>
        <v>171105.59</v>
      </c>
    </row>
    <row r="106" customFormat="false" ht="15" hidden="false" customHeight="false" outlineLevel="0" collapsed="false">
      <c r="B106" s="5" t="str">
        <f aca="false">'Building 12'!B20</f>
        <v>5 - Building - Apt - 5yr</v>
      </c>
      <c r="D106" s="33" t="n">
        <f aca="false">SUM(F106:H106)</f>
        <v>74.83</v>
      </c>
      <c r="F106" s="33" t="n">
        <f aca="false">'Building 12'!D20</f>
        <v>74.83</v>
      </c>
    </row>
    <row r="107" customFormat="false" ht="15" hidden="false" customHeight="false" outlineLevel="0" collapsed="false">
      <c r="B107" s="5" t="str">
        <f aca="false">'Building 12'!B21</f>
        <v>5 - Building - Apt - 27.5yr</v>
      </c>
      <c r="D107" s="33" t="n">
        <f aca="false">SUM(F107:H107)</f>
        <v>311.62</v>
      </c>
      <c r="H107" s="33" t="n">
        <f aca="false">'Building 12'!D21</f>
        <v>311.62</v>
      </c>
    </row>
    <row r="108" customFormat="false" ht="15" hidden="false" customHeight="false" outlineLevel="0" collapsed="false">
      <c r="B108" s="5" t="str">
        <f aca="false">'Building 12'!B22</f>
        <v>3 - Land Improvements - Apt - 5yr</v>
      </c>
      <c r="D108" s="33" t="n">
        <f aca="false">SUM(F108:H108)</f>
        <v>3875.98</v>
      </c>
      <c r="F108" s="33" t="n">
        <f aca="false">'Building 12'!D22</f>
        <v>3875.98</v>
      </c>
    </row>
    <row r="109" customFormat="false" ht="15" hidden="false" customHeight="false" outlineLevel="0" collapsed="false">
      <c r="B109" s="5" t="str">
        <f aca="false">'Building 12'!B23</f>
        <v>3 - Land Improvements - Apt - 27.5yr</v>
      </c>
      <c r="D109" s="33" t="n">
        <f aca="false">SUM(F109:H109)</f>
        <v>16142.02</v>
      </c>
      <c r="H109" s="33" t="n">
        <f aca="false">'Building 12'!D23</f>
        <v>16142.02</v>
      </c>
    </row>
    <row r="110" customFormat="false" ht="15" hidden="false" customHeight="false" outlineLevel="0" collapsed="false">
      <c r="B110" s="5" t="str">
        <f aca="false">'Building 12'!B24</f>
        <v>4 - Equipment - Apt - 5yr</v>
      </c>
      <c r="D110" s="33" t="n">
        <f aca="false">SUM(F110:H110)</f>
        <v>7020.87</v>
      </c>
      <c r="F110" s="33" t="n">
        <f aca="false">'Building 12'!D24</f>
        <v>7020.87</v>
      </c>
    </row>
    <row r="111" customFormat="false" ht="15" hidden="false" customHeight="false" outlineLevel="0" collapsed="false">
      <c r="B111" s="5" t="str">
        <f aca="false">'Building 12'!B25</f>
        <v>4 - Equipment - Apt - 27.5yr</v>
      </c>
      <c r="D111" s="33" t="n">
        <f aca="false">SUM(F111:H111)</f>
        <v>29239.3</v>
      </c>
      <c r="H111" s="33" t="n">
        <f aca="false">'Building 12'!D25</f>
        <v>29239.3</v>
      </c>
    </row>
    <row r="112" customFormat="false" ht="15" hidden="false" customHeight="false" outlineLevel="0" collapsed="false">
      <c r="B112" s="11" t="s">
        <v>159</v>
      </c>
      <c r="D112" s="34" t="n">
        <f aca="false">SUM(D104:D111)</f>
        <v>268855.67</v>
      </c>
      <c r="F112" s="34" t="n">
        <f aca="false">SUM(F104:F111)</f>
        <v>52057.14</v>
      </c>
      <c r="H112" s="34" t="n">
        <f aca="false">SUM(H104:H111)</f>
        <v>216798.53</v>
      </c>
    </row>
    <row r="113" customFormat="false" ht="15" hidden="false" customHeight="false" outlineLevel="0" collapsed="false">
      <c r="B113" s="16" t="s">
        <v>160</v>
      </c>
      <c r="D113" s="17" t="n">
        <f aca="false">D112-D99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214</v>
      </c>
    </row>
    <row r="5" customFormat="false" ht="15" hidden="false" customHeight="false" outlineLevel="0" collapsed="false">
      <c r="A5" s="16" t="s">
        <v>102</v>
      </c>
    </row>
    <row r="7" customFormat="false" ht="15" hidden="false" customHeight="false" outlineLevel="0" collapsed="false">
      <c r="A7" s="10" t="s">
        <v>103</v>
      </c>
    </row>
    <row r="8" customFormat="false" ht="15" hidden="false" customHeight="false" outlineLevel="0" collapsed="false">
      <c r="A8" s="21" t="s">
        <v>104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105</v>
      </c>
      <c r="B9" s="4" t="s">
        <v>106</v>
      </c>
      <c r="C9" s="4" t="s">
        <v>107</v>
      </c>
      <c r="D9" s="4" t="s">
        <v>108</v>
      </c>
      <c r="E9" s="4" t="s">
        <v>109</v>
      </c>
      <c r="F9" s="4" t="s">
        <v>110</v>
      </c>
      <c r="G9" s="4" t="s">
        <v>111</v>
      </c>
      <c r="H9" s="4" t="s">
        <v>112</v>
      </c>
      <c r="I9" s="4" t="s">
        <v>113</v>
      </c>
      <c r="J9" s="4" t="s">
        <v>114</v>
      </c>
      <c r="K9" s="4" t="s">
        <v>115</v>
      </c>
      <c r="L9" s="4" t="s">
        <v>116</v>
      </c>
    </row>
    <row r="10" customFormat="false" ht="15" hidden="false" customHeight="false" outlineLevel="0" collapsed="false">
      <c r="A10" s="23" t="n">
        <v>1</v>
      </c>
      <c r="B10" s="23" t="s">
        <v>45</v>
      </c>
      <c r="C10" s="23" t="s">
        <v>35</v>
      </c>
      <c r="D10" s="24" t="n">
        <v>282065.31</v>
      </c>
      <c r="E10" s="24" t="n">
        <v>0</v>
      </c>
      <c r="F10" s="24" t="n">
        <v>0</v>
      </c>
      <c r="G10" s="24" t="n">
        <v>82481.69</v>
      </c>
      <c r="H10" s="24" t="n">
        <v>10256.92</v>
      </c>
      <c r="I10" s="24" t="n">
        <f aca="false">G10+H10</f>
        <v>92738.61</v>
      </c>
      <c r="J10" s="24" t="n">
        <f aca="false">D10-I10</f>
        <v>189326.7</v>
      </c>
      <c r="K10" s="25" t="s">
        <v>117</v>
      </c>
      <c r="L10" s="25" t="s">
        <v>118</v>
      </c>
    </row>
    <row r="11" customFormat="false" ht="15" hidden="false" customHeight="false" outlineLevel="0" collapsed="false">
      <c r="A11" s="23" t="n">
        <v>2</v>
      </c>
      <c r="B11" s="23" t="s">
        <v>46</v>
      </c>
      <c r="C11" s="23" t="s">
        <v>37</v>
      </c>
      <c r="D11" s="24" t="n">
        <v>513.71</v>
      </c>
      <c r="E11" s="24" t="n">
        <v>0</v>
      </c>
      <c r="F11" s="24" t="n">
        <v>0</v>
      </c>
      <c r="G11" s="24" t="n">
        <v>148.76</v>
      </c>
      <c r="H11" s="24" t="n">
        <v>18.69</v>
      </c>
      <c r="I11" s="24" t="n">
        <f aca="false">G11+H11</f>
        <v>167.45</v>
      </c>
      <c r="J11" s="24" t="n">
        <f aca="false">D11-I11</f>
        <v>346.26</v>
      </c>
      <c r="K11" s="25" t="s">
        <v>117</v>
      </c>
      <c r="L11" s="25" t="s">
        <v>118</v>
      </c>
    </row>
    <row r="12" customFormat="false" ht="15" hidden="false" customHeight="false" outlineLevel="0" collapsed="false">
      <c r="A12" s="23" t="n">
        <v>3</v>
      </c>
      <c r="B12" s="23" t="s">
        <v>47</v>
      </c>
      <c r="C12" s="23" t="s">
        <v>35</v>
      </c>
      <c r="D12" s="24" t="n">
        <v>26609.91</v>
      </c>
      <c r="E12" s="24" t="n">
        <v>0</v>
      </c>
      <c r="F12" s="24" t="n">
        <v>0</v>
      </c>
      <c r="G12" s="24" t="n">
        <v>15584.54</v>
      </c>
      <c r="H12" s="24" t="n">
        <v>1570</v>
      </c>
      <c r="I12" s="24" t="n">
        <f aca="false">G12+H12</f>
        <v>17154.54</v>
      </c>
      <c r="J12" s="24" t="n">
        <f aca="false">D12-I12</f>
        <v>9455.37</v>
      </c>
      <c r="K12" s="25" t="s">
        <v>119</v>
      </c>
      <c r="L12" s="25" t="s">
        <v>120</v>
      </c>
    </row>
    <row r="13" customFormat="false" ht="15" hidden="false" customHeight="false" outlineLevel="0" collapsed="false">
      <c r="A13" s="23" t="n">
        <v>4</v>
      </c>
      <c r="B13" s="23" t="s">
        <v>48</v>
      </c>
      <c r="C13" s="23" t="s">
        <v>35</v>
      </c>
      <c r="D13" s="24" t="n">
        <v>48200.59</v>
      </c>
      <c r="E13" s="24" t="n">
        <v>0</v>
      </c>
      <c r="F13" s="24" t="n">
        <v>0</v>
      </c>
      <c r="G13" s="24" t="n">
        <v>46593.9</v>
      </c>
      <c r="H13" s="24" t="n">
        <v>0</v>
      </c>
      <c r="I13" s="24" t="n">
        <f aca="false">G13+H13</f>
        <v>46593.9</v>
      </c>
      <c r="J13" s="24" t="n">
        <f aca="false">D13-I13</f>
        <v>1606.69</v>
      </c>
      <c r="K13" s="25" t="s">
        <v>121</v>
      </c>
      <c r="L13" s="25" t="s">
        <v>122</v>
      </c>
    </row>
    <row r="14" customFormat="false" ht="15" hidden="false" customHeight="false" outlineLevel="0" collapsed="false">
      <c r="A14" s="26"/>
      <c r="B14" s="27" t="s">
        <v>53</v>
      </c>
      <c r="C14" s="26"/>
      <c r="D14" s="28" t="n">
        <f aca="false">SUM(D10:D13)</f>
        <v>357389.52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144808.89</v>
      </c>
      <c r="H14" s="28" t="n">
        <f aca="false">SUM(H10:H13)</f>
        <v>11845.61</v>
      </c>
      <c r="I14" s="28" t="n">
        <f aca="false">SUM(I10:I13)</f>
        <v>156654.5</v>
      </c>
      <c r="J14" s="28" t="n">
        <f aca="false">SUM(J10:J13)</f>
        <v>200735.02</v>
      </c>
      <c r="K14" s="26"/>
      <c r="L14" s="26"/>
    </row>
    <row r="16" customFormat="false" ht="15" hidden="false" customHeight="false" outlineLevel="0" collapsed="false">
      <c r="A16" s="21" t="s">
        <v>123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4" t="s">
        <v>105</v>
      </c>
      <c r="B17" s="4" t="s">
        <v>106</v>
      </c>
      <c r="C17" s="4" t="s">
        <v>107</v>
      </c>
      <c r="D17" s="4" t="s">
        <v>108</v>
      </c>
      <c r="E17" s="4" t="s">
        <v>109</v>
      </c>
      <c r="F17" s="4" t="s">
        <v>110</v>
      </c>
      <c r="G17" s="4" t="s">
        <v>111</v>
      </c>
      <c r="H17" s="4" t="s">
        <v>112</v>
      </c>
      <c r="I17" s="4" t="s">
        <v>113</v>
      </c>
      <c r="J17" s="4" t="s">
        <v>114</v>
      </c>
      <c r="K17" s="4" t="s">
        <v>115</v>
      </c>
      <c r="L17" s="4" t="s">
        <v>116</v>
      </c>
    </row>
    <row r="18" customFormat="false" ht="15" hidden="false" customHeight="false" outlineLevel="0" collapsed="false">
      <c r="A18" s="23" t="n">
        <v>1</v>
      </c>
      <c r="B18" s="23" t="s">
        <v>71</v>
      </c>
      <c r="C18" s="23" t="s">
        <v>35</v>
      </c>
      <c r="D18" s="24" t="n">
        <v>55838.26</v>
      </c>
      <c r="E18" s="24" t="n">
        <v>0</v>
      </c>
      <c r="F18" s="24" t="n">
        <v>0</v>
      </c>
      <c r="G18" s="24" t="n">
        <v>55838.26</v>
      </c>
      <c r="H18" s="24" t="n">
        <v>0</v>
      </c>
      <c r="I18" s="24" t="n">
        <f aca="false">G18+H18</f>
        <v>55838.26</v>
      </c>
      <c r="J18" s="24" t="n">
        <f aca="false">D18-I18</f>
        <v>0</v>
      </c>
      <c r="K18" s="25" t="s">
        <v>121</v>
      </c>
      <c r="L18" s="25" t="s">
        <v>122</v>
      </c>
    </row>
    <row r="19" customFormat="false" ht="15" hidden="false" customHeight="false" outlineLevel="0" collapsed="false">
      <c r="A19" s="23" t="n">
        <v>2</v>
      </c>
      <c r="B19" s="23" t="s">
        <v>72</v>
      </c>
      <c r="C19" s="23" t="s">
        <v>35</v>
      </c>
      <c r="D19" s="24" t="n">
        <v>226227.05</v>
      </c>
      <c r="E19" s="24" t="n">
        <v>0</v>
      </c>
      <c r="F19" s="24" t="n">
        <v>0</v>
      </c>
      <c r="G19" s="24" t="n">
        <v>66154.29</v>
      </c>
      <c r="H19" s="24" t="n">
        <v>8226.44</v>
      </c>
      <c r="I19" s="24" t="n">
        <f aca="false">G19+H19</f>
        <v>74380.73</v>
      </c>
      <c r="J19" s="24" t="n">
        <f aca="false">D19-I19</f>
        <v>151846.32</v>
      </c>
      <c r="K19" s="25" t="s">
        <v>117</v>
      </c>
      <c r="L19" s="25" t="s">
        <v>118</v>
      </c>
    </row>
    <row r="20" customFormat="false" ht="15" hidden="false" customHeight="false" outlineLevel="0" collapsed="false">
      <c r="A20" s="23" t="n">
        <v>3</v>
      </c>
      <c r="B20" s="23" t="s">
        <v>73</v>
      </c>
      <c r="C20" s="23" t="s">
        <v>37</v>
      </c>
      <c r="D20" s="24" t="n">
        <v>101.7</v>
      </c>
      <c r="E20" s="24" t="n">
        <v>0</v>
      </c>
      <c r="F20" s="24" t="n">
        <v>0</v>
      </c>
      <c r="G20" s="24" t="n">
        <v>101.7</v>
      </c>
      <c r="H20" s="24" t="n">
        <v>0</v>
      </c>
      <c r="I20" s="24" t="n">
        <f aca="false">G20+H20</f>
        <v>101.7</v>
      </c>
      <c r="J20" s="24" t="n">
        <f aca="false">D20-I20</f>
        <v>0</v>
      </c>
      <c r="K20" s="25" t="s">
        <v>121</v>
      </c>
      <c r="L20" s="25" t="s">
        <v>122</v>
      </c>
    </row>
    <row r="21" customFormat="false" ht="15" hidden="false" customHeight="false" outlineLevel="0" collapsed="false">
      <c r="A21" s="23" t="n">
        <v>4</v>
      </c>
      <c r="B21" s="23" t="s">
        <v>74</v>
      </c>
      <c r="C21" s="23" t="s">
        <v>37</v>
      </c>
      <c r="D21" s="24" t="n">
        <v>412.01</v>
      </c>
      <c r="E21" s="24" t="n">
        <v>0</v>
      </c>
      <c r="F21" s="24" t="n">
        <v>0</v>
      </c>
      <c r="G21" s="24" t="n">
        <v>119.22</v>
      </c>
      <c r="H21" s="24" t="n">
        <v>14.98</v>
      </c>
      <c r="I21" s="24" t="n">
        <f aca="false">G21+H21</f>
        <v>134.2</v>
      </c>
      <c r="J21" s="24" t="n">
        <f aca="false">D21-I21</f>
        <v>277.81</v>
      </c>
      <c r="K21" s="25" t="s">
        <v>117</v>
      </c>
      <c r="L21" s="25" t="s">
        <v>118</v>
      </c>
    </row>
    <row r="22" customFormat="false" ht="15" hidden="false" customHeight="false" outlineLevel="0" collapsed="false">
      <c r="A22" s="23" t="n">
        <v>5</v>
      </c>
      <c r="B22" s="23" t="s">
        <v>75</v>
      </c>
      <c r="C22" s="23" t="s">
        <v>35</v>
      </c>
      <c r="D22" s="24" t="n">
        <v>5267.76</v>
      </c>
      <c r="E22" s="24" t="n">
        <v>0</v>
      </c>
      <c r="F22" s="24" t="n">
        <v>0</v>
      </c>
      <c r="G22" s="24" t="n">
        <v>5267.76</v>
      </c>
      <c r="H22" s="24" t="n">
        <v>0</v>
      </c>
      <c r="I22" s="24" t="n">
        <f aca="false">G22+H22</f>
        <v>5267.76</v>
      </c>
      <c r="J22" s="24" t="n">
        <f aca="false">D22-I22</f>
        <v>0</v>
      </c>
      <c r="K22" s="25" t="s">
        <v>121</v>
      </c>
      <c r="L22" s="25" t="s">
        <v>122</v>
      </c>
    </row>
    <row r="23" customFormat="false" ht="15" hidden="false" customHeight="false" outlineLevel="0" collapsed="false">
      <c r="A23" s="23" t="n">
        <v>6</v>
      </c>
      <c r="B23" s="23" t="s">
        <v>76</v>
      </c>
      <c r="C23" s="23" t="s">
        <v>35</v>
      </c>
      <c r="D23" s="24" t="n">
        <v>21342.15</v>
      </c>
      <c r="E23" s="24" t="n">
        <v>0</v>
      </c>
      <c r="F23" s="24" t="n">
        <v>0</v>
      </c>
      <c r="G23" s="24" t="n">
        <v>6240.98</v>
      </c>
      <c r="H23" s="24" t="n">
        <v>776.08</v>
      </c>
      <c r="I23" s="24" t="n">
        <f aca="false">G23+H23</f>
        <v>7017.06</v>
      </c>
      <c r="J23" s="24" t="n">
        <f aca="false">D23-I23</f>
        <v>14325.09</v>
      </c>
      <c r="K23" s="25" t="s">
        <v>117</v>
      </c>
      <c r="L23" s="25" t="s">
        <v>118</v>
      </c>
    </row>
    <row r="24" customFormat="false" ht="15" hidden="false" customHeight="false" outlineLevel="0" collapsed="false">
      <c r="A24" s="23" t="n">
        <v>7</v>
      </c>
      <c r="B24" s="23" t="s">
        <v>77</v>
      </c>
      <c r="C24" s="23" t="s">
        <v>35</v>
      </c>
      <c r="D24" s="24" t="n">
        <v>9541.88</v>
      </c>
      <c r="E24" s="24" t="n">
        <v>0</v>
      </c>
      <c r="F24" s="24" t="n">
        <v>0</v>
      </c>
      <c r="G24" s="24" t="n">
        <v>9541.88</v>
      </c>
      <c r="H24" s="24" t="n">
        <v>0</v>
      </c>
      <c r="I24" s="24" t="n">
        <f aca="false">G24+H24</f>
        <v>9541.88</v>
      </c>
      <c r="J24" s="24" t="n">
        <f aca="false">D24-I24</f>
        <v>0</v>
      </c>
      <c r="K24" s="25" t="s">
        <v>121</v>
      </c>
      <c r="L24" s="25" t="s">
        <v>122</v>
      </c>
    </row>
    <row r="25" customFormat="false" ht="15" hidden="false" customHeight="false" outlineLevel="0" collapsed="false">
      <c r="A25" s="23" t="n">
        <v>8</v>
      </c>
      <c r="B25" s="23" t="s">
        <v>78</v>
      </c>
      <c r="C25" s="23" t="s">
        <v>35</v>
      </c>
      <c r="D25" s="24" t="n">
        <v>38658.71</v>
      </c>
      <c r="E25" s="24" t="n">
        <v>0</v>
      </c>
      <c r="F25" s="24" t="n">
        <v>0</v>
      </c>
      <c r="G25" s="24" t="n">
        <v>11304.73</v>
      </c>
      <c r="H25" s="24" t="n">
        <v>1405.77</v>
      </c>
      <c r="I25" s="24" t="n">
        <f aca="false">G25+H25</f>
        <v>12710.5</v>
      </c>
      <c r="J25" s="24" t="n">
        <f aca="false">D25-I25</f>
        <v>25948.21</v>
      </c>
      <c r="K25" s="25" t="s">
        <v>117</v>
      </c>
      <c r="L25" s="25" t="s">
        <v>118</v>
      </c>
    </row>
    <row r="26" customFormat="false" ht="15" hidden="false" customHeight="false" outlineLevel="0" collapsed="false">
      <c r="A26" s="26"/>
      <c r="B26" s="27" t="s">
        <v>53</v>
      </c>
      <c r="C26" s="26"/>
      <c r="D26" s="28" t="n">
        <f aca="false">SUM(D18:D25)</f>
        <v>357389.52</v>
      </c>
      <c r="E26" s="28" t="n">
        <f aca="false">SUM(E18:E25)</f>
        <v>0</v>
      </c>
      <c r="F26" s="28" t="n">
        <f aca="false">SUM(F18:F25)</f>
        <v>0</v>
      </c>
      <c r="G26" s="28" t="n">
        <f aca="false">SUM(G18:G25)</f>
        <v>154568.82</v>
      </c>
      <c r="H26" s="28" t="n">
        <f aca="false">SUM(H18:H25)</f>
        <v>10423.27</v>
      </c>
      <c r="I26" s="28" t="n">
        <f aca="false">SUM(I18:I25)</f>
        <v>164992.09</v>
      </c>
      <c r="J26" s="28" t="n">
        <f aca="false">SUM(J18:J25)</f>
        <v>192397.43</v>
      </c>
      <c r="K26" s="26"/>
      <c r="L26" s="26"/>
    </row>
    <row r="28" customFormat="false" ht="15" hidden="false" customHeight="false" outlineLevel="0" collapsed="false">
      <c r="B28" s="18" t="s">
        <v>124</v>
      </c>
    </row>
    <row r="29" customFormat="false" ht="15" hidden="false" customHeight="false" outlineLevel="0" collapsed="false">
      <c r="B29" s="5" t="s">
        <v>125</v>
      </c>
      <c r="D29" s="6" t="n">
        <f aca="false">I14</f>
        <v>156654.5</v>
      </c>
    </row>
    <row r="30" customFormat="false" ht="15" hidden="false" customHeight="false" outlineLevel="0" collapsed="false">
      <c r="B30" s="5" t="s">
        <v>126</v>
      </c>
      <c r="D30" s="6" t="n">
        <f aca="false">I26</f>
        <v>164992.09</v>
      </c>
    </row>
    <row r="31" customFormat="false" ht="15" hidden="false" customHeight="false" outlineLevel="0" collapsed="false">
      <c r="B31" s="11" t="s">
        <v>124</v>
      </c>
      <c r="D31" s="29" t="n">
        <f aca="false">D29-D30</f>
        <v>-8337.59</v>
      </c>
    </row>
    <row r="33" customFormat="false" ht="15" hidden="false" customHeight="false" outlineLevel="0" collapsed="false">
      <c r="A33" s="10" t="s">
        <v>127</v>
      </c>
    </row>
    <row r="34" customFormat="false" ht="15" hidden="false" customHeight="false" outlineLevel="0" collapsed="false">
      <c r="A34" s="21" t="s">
        <v>128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4" t="s">
        <v>105</v>
      </c>
      <c r="B35" s="4" t="s">
        <v>106</v>
      </c>
      <c r="C35" s="4" t="s">
        <v>107</v>
      </c>
      <c r="D35" s="4" t="s">
        <v>108</v>
      </c>
      <c r="E35" s="4" t="s">
        <v>109</v>
      </c>
      <c r="F35" s="4" t="s">
        <v>110</v>
      </c>
      <c r="G35" s="4" t="s">
        <v>129</v>
      </c>
      <c r="H35" s="4" t="s">
        <v>130</v>
      </c>
      <c r="I35" s="4" t="s">
        <v>113</v>
      </c>
      <c r="J35" s="4" t="s">
        <v>114</v>
      </c>
      <c r="K35" s="4" t="s">
        <v>115</v>
      </c>
      <c r="L35" s="4" t="s">
        <v>116</v>
      </c>
    </row>
    <row r="36" customFormat="false" ht="15" hidden="false" customHeight="false" outlineLevel="0" collapsed="false">
      <c r="A36" s="23" t="n">
        <v>1</v>
      </c>
      <c r="B36" s="23" t="s">
        <v>45</v>
      </c>
      <c r="C36" s="23" t="s">
        <v>35</v>
      </c>
      <c r="D36" s="24" t="n">
        <v>282065.31</v>
      </c>
      <c r="E36" s="24" t="n">
        <v>0</v>
      </c>
      <c r="F36" s="24" t="n">
        <v>0</v>
      </c>
      <c r="G36" s="24" t="n">
        <v>82481.69</v>
      </c>
      <c r="H36" s="24" t="n">
        <v>10256.92</v>
      </c>
      <c r="I36" s="24" t="n">
        <f aca="false">G36+H36</f>
        <v>92738.61</v>
      </c>
      <c r="J36" s="24" t="n">
        <f aca="false">D36-I36</f>
        <v>189326.7</v>
      </c>
      <c r="K36" s="25" t="s">
        <v>117</v>
      </c>
      <c r="L36" s="25" t="s">
        <v>118</v>
      </c>
    </row>
    <row r="37" customFormat="false" ht="15" hidden="false" customHeight="false" outlineLevel="0" collapsed="false">
      <c r="A37" s="23" t="n">
        <v>2</v>
      </c>
      <c r="B37" s="23" t="s">
        <v>46</v>
      </c>
      <c r="C37" s="23" t="s">
        <v>37</v>
      </c>
      <c r="D37" s="24" t="n">
        <v>513.71</v>
      </c>
      <c r="E37" s="24" t="n">
        <v>0</v>
      </c>
      <c r="F37" s="24" t="n">
        <v>0</v>
      </c>
      <c r="G37" s="24" t="n">
        <v>148.76</v>
      </c>
      <c r="H37" s="24" t="n">
        <v>18.69</v>
      </c>
      <c r="I37" s="24" t="n">
        <f aca="false">G37+H37</f>
        <v>167.45</v>
      </c>
      <c r="J37" s="24" t="n">
        <f aca="false">D37-I37</f>
        <v>346.26</v>
      </c>
      <c r="K37" s="25" t="s">
        <v>117</v>
      </c>
      <c r="L37" s="25" t="s">
        <v>118</v>
      </c>
    </row>
    <row r="38" customFormat="false" ht="15" hidden="false" customHeight="false" outlineLevel="0" collapsed="false">
      <c r="A38" s="23" t="n">
        <v>3</v>
      </c>
      <c r="B38" s="23" t="s">
        <v>47</v>
      </c>
      <c r="C38" s="23" t="s">
        <v>35</v>
      </c>
      <c r="D38" s="24" t="n">
        <v>26609.91</v>
      </c>
      <c r="E38" s="24" t="n">
        <v>0</v>
      </c>
      <c r="F38" s="24" t="n">
        <v>0</v>
      </c>
      <c r="G38" s="24" t="n">
        <v>15584.54</v>
      </c>
      <c r="H38" s="24" t="n">
        <v>1570</v>
      </c>
      <c r="I38" s="24" t="n">
        <f aca="false">G38+H38</f>
        <v>17154.54</v>
      </c>
      <c r="J38" s="24" t="n">
        <f aca="false">D38-I38</f>
        <v>9455.37</v>
      </c>
      <c r="K38" s="25" t="s">
        <v>119</v>
      </c>
      <c r="L38" s="25" t="s">
        <v>120</v>
      </c>
    </row>
    <row r="39" customFormat="false" ht="15" hidden="false" customHeight="false" outlineLevel="0" collapsed="false">
      <c r="A39" s="23" t="n">
        <v>4</v>
      </c>
      <c r="B39" s="23" t="s">
        <v>48</v>
      </c>
      <c r="C39" s="23" t="s">
        <v>35</v>
      </c>
      <c r="D39" s="24" t="n">
        <v>48200.59</v>
      </c>
      <c r="E39" s="24" t="n">
        <v>0</v>
      </c>
      <c r="F39" s="24" t="n">
        <v>0</v>
      </c>
      <c r="G39" s="24" t="n">
        <v>46593.9</v>
      </c>
      <c r="H39" s="24" t="n">
        <v>0</v>
      </c>
      <c r="I39" s="24" t="n">
        <f aca="false">G39+H39</f>
        <v>46593.9</v>
      </c>
      <c r="J39" s="24" t="n">
        <f aca="false">D39-I39</f>
        <v>1606.69</v>
      </c>
      <c r="K39" s="25" t="s">
        <v>121</v>
      </c>
      <c r="L39" s="25" t="s">
        <v>122</v>
      </c>
    </row>
    <row r="40" customFormat="false" ht="15" hidden="false" customHeight="false" outlineLevel="0" collapsed="false">
      <c r="A40" s="26"/>
      <c r="B40" s="27" t="s">
        <v>53</v>
      </c>
      <c r="C40" s="26"/>
      <c r="D40" s="28" t="n">
        <f aca="false">SUM(D36:D39)</f>
        <v>357389.52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144808.89</v>
      </c>
      <c r="H40" s="28" t="n">
        <f aca="false">SUM(H36:H39)</f>
        <v>11845.61</v>
      </c>
      <c r="I40" s="28" t="n">
        <f aca="false">SUM(I36:I39)</f>
        <v>156654.5</v>
      </c>
      <c r="J40" s="28" t="n">
        <f aca="false">SUM(J36:J39)</f>
        <v>200735.02</v>
      </c>
      <c r="K40" s="26"/>
      <c r="L40" s="26"/>
    </row>
    <row r="42" customFormat="false" ht="15" hidden="false" customHeight="false" outlineLevel="0" collapsed="false">
      <c r="A42" s="21" t="s">
        <v>131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4" t="s">
        <v>105</v>
      </c>
      <c r="B43" s="4" t="s">
        <v>106</v>
      </c>
      <c r="C43" s="4" t="s">
        <v>107</v>
      </c>
      <c r="D43" s="4" t="s">
        <v>108</v>
      </c>
      <c r="E43" s="4" t="s">
        <v>109</v>
      </c>
      <c r="F43" s="4" t="s">
        <v>110</v>
      </c>
      <c r="G43" s="4" t="s">
        <v>129</v>
      </c>
      <c r="H43" s="4" t="s">
        <v>130</v>
      </c>
      <c r="I43" s="4" t="s">
        <v>113</v>
      </c>
      <c r="J43" s="4" t="s">
        <v>114</v>
      </c>
      <c r="K43" s="4" t="s">
        <v>115</v>
      </c>
      <c r="L43" s="4" t="s">
        <v>116</v>
      </c>
    </row>
    <row r="44" customFormat="false" ht="15" hidden="false" customHeight="false" outlineLevel="0" collapsed="false">
      <c r="A44" s="23" t="n">
        <v>1</v>
      </c>
      <c r="B44" s="23" t="s">
        <v>71</v>
      </c>
      <c r="C44" s="23" t="s">
        <v>35</v>
      </c>
      <c r="D44" s="24" t="n">
        <v>55838.26</v>
      </c>
      <c r="E44" s="24" t="n">
        <v>0</v>
      </c>
      <c r="F44" s="24" t="n">
        <v>0</v>
      </c>
      <c r="G44" s="24" t="n">
        <v>55838.26</v>
      </c>
      <c r="H44" s="24" t="n">
        <v>0</v>
      </c>
      <c r="I44" s="24" t="n">
        <f aca="false">G44+H44</f>
        <v>55838.26</v>
      </c>
      <c r="J44" s="24" t="n">
        <f aca="false">D44-I44</f>
        <v>0</v>
      </c>
      <c r="K44" s="25" t="s">
        <v>121</v>
      </c>
      <c r="L44" s="25" t="s">
        <v>122</v>
      </c>
    </row>
    <row r="45" customFormat="false" ht="15" hidden="false" customHeight="false" outlineLevel="0" collapsed="false">
      <c r="A45" s="23" t="n">
        <v>2</v>
      </c>
      <c r="B45" s="23" t="s">
        <v>72</v>
      </c>
      <c r="C45" s="23" t="s">
        <v>35</v>
      </c>
      <c r="D45" s="24" t="n">
        <v>226227.05</v>
      </c>
      <c r="E45" s="24" t="n">
        <v>0</v>
      </c>
      <c r="F45" s="24" t="n">
        <v>0</v>
      </c>
      <c r="G45" s="24" t="n">
        <v>66154.29</v>
      </c>
      <c r="H45" s="24" t="n">
        <v>8226.44</v>
      </c>
      <c r="I45" s="24" t="n">
        <f aca="false">G45+H45</f>
        <v>74380.73</v>
      </c>
      <c r="J45" s="24" t="n">
        <f aca="false">D45-I45</f>
        <v>151846.32</v>
      </c>
      <c r="K45" s="25" t="s">
        <v>117</v>
      </c>
      <c r="L45" s="25" t="s">
        <v>118</v>
      </c>
    </row>
    <row r="46" customFormat="false" ht="15" hidden="false" customHeight="false" outlineLevel="0" collapsed="false">
      <c r="A46" s="23" t="n">
        <v>3</v>
      </c>
      <c r="B46" s="23" t="s">
        <v>73</v>
      </c>
      <c r="C46" s="23" t="s">
        <v>37</v>
      </c>
      <c r="D46" s="24" t="n">
        <v>101.7</v>
      </c>
      <c r="E46" s="24" t="n">
        <v>0</v>
      </c>
      <c r="F46" s="24" t="n">
        <v>0</v>
      </c>
      <c r="G46" s="24" t="n">
        <v>101.7</v>
      </c>
      <c r="H46" s="24" t="n">
        <v>0</v>
      </c>
      <c r="I46" s="24" t="n">
        <f aca="false">G46+H46</f>
        <v>101.7</v>
      </c>
      <c r="J46" s="24" t="n">
        <f aca="false">D46-I46</f>
        <v>0</v>
      </c>
      <c r="K46" s="25" t="s">
        <v>121</v>
      </c>
      <c r="L46" s="25" t="s">
        <v>122</v>
      </c>
    </row>
    <row r="47" customFormat="false" ht="15" hidden="false" customHeight="false" outlineLevel="0" collapsed="false">
      <c r="A47" s="23" t="n">
        <v>4</v>
      </c>
      <c r="B47" s="23" t="s">
        <v>74</v>
      </c>
      <c r="C47" s="23" t="s">
        <v>37</v>
      </c>
      <c r="D47" s="24" t="n">
        <v>412.01</v>
      </c>
      <c r="E47" s="24" t="n">
        <v>0</v>
      </c>
      <c r="F47" s="24" t="n">
        <v>0</v>
      </c>
      <c r="G47" s="24" t="n">
        <v>119.22</v>
      </c>
      <c r="H47" s="24" t="n">
        <v>14.98</v>
      </c>
      <c r="I47" s="24" t="n">
        <f aca="false">G47+H47</f>
        <v>134.2</v>
      </c>
      <c r="J47" s="24" t="n">
        <f aca="false">D47-I47</f>
        <v>277.81</v>
      </c>
      <c r="K47" s="25" t="s">
        <v>117</v>
      </c>
      <c r="L47" s="25" t="s">
        <v>118</v>
      </c>
    </row>
    <row r="48" customFormat="false" ht="15" hidden="false" customHeight="false" outlineLevel="0" collapsed="false">
      <c r="A48" s="23" t="n">
        <v>5</v>
      </c>
      <c r="B48" s="23" t="s">
        <v>75</v>
      </c>
      <c r="C48" s="23" t="s">
        <v>35</v>
      </c>
      <c r="D48" s="24" t="n">
        <v>5267.76</v>
      </c>
      <c r="E48" s="24" t="n">
        <v>0</v>
      </c>
      <c r="F48" s="24" t="n">
        <v>0</v>
      </c>
      <c r="G48" s="24" t="n">
        <v>5267.76</v>
      </c>
      <c r="H48" s="24" t="n">
        <v>0</v>
      </c>
      <c r="I48" s="24" t="n">
        <f aca="false">G48+H48</f>
        <v>5267.76</v>
      </c>
      <c r="J48" s="24" t="n">
        <f aca="false">D48-I48</f>
        <v>0</v>
      </c>
      <c r="K48" s="25" t="s">
        <v>121</v>
      </c>
      <c r="L48" s="25" t="s">
        <v>122</v>
      </c>
    </row>
    <row r="49" customFormat="false" ht="15" hidden="false" customHeight="false" outlineLevel="0" collapsed="false">
      <c r="A49" s="23" t="n">
        <v>6</v>
      </c>
      <c r="B49" s="23" t="s">
        <v>76</v>
      </c>
      <c r="C49" s="23" t="s">
        <v>35</v>
      </c>
      <c r="D49" s="24" t="n">
        <v>21342.15</v>
      </c>
      <c r="E49" s="24" t="n">
        <v>0</v>
      </c>
      <c r="F49" s="24" t="n">
        <v>0</v>
      </c>
      <c r="G49" s="24" t="n">
        <v>6240.98</v>
      </c>
      <c r="H49" s="24" t="n">
        <v>776.08</v>
      </c>
      <c r="I49" s="24" t="n">
        <f aca="false">G49+H49</f>
        <v>7017.06</v>
      </c>
      <c r="J49" s="24" t="n">
        <f aca="false">D49-I49</f>
        <v>14325.09</v>
      </c>
      <c r="K49" s="25" t="s">
        <v>117</v>
      </c>
      <c r="L49" s="25" t="s">
        <v>118</v>
      </c>
    </row>
    <row r="50" customFormat="false" ht="15" hidden="false" customHeight="false" outlineLevel="0" collapsed="false">
      <c r="A50" s="23" t="n">
        <v>7</v>
      </c>
      <c r="B50" s="23" t="s">
        <v>77</v>
      </c>
      <c r="C50" s="23" t="s">
        <v>35</v>
      </c>
      <c r="D50" s="24" t="n">
        <v>9541.88</v>
      </c>
      <c r="E50" s="24" t="n">
        <v>0</v>
      </c>
      <c r="F50" s="24" t="n">
        <v>0</v>
      </c>
      <c r="G50" s="24" t="n">
        <v>9541.88</v>
      </c>
      <c r="H50" s="24" t="n">
        <v>0</v>
      </c>
      <c r="I50" s="24" t="n">
        <f aca="false">G50+H50</f>
        <v>9541.88</v>
      </c>
      <c r="J50" s="24" t="n">
        <f aca="false">D50-I50</f>
        <v>0</v>
      </c>
      <c r="K50" s="25" t="s">
        <v>121</v>
      </c>
      <c r="L50" s="25" t="s">
        <v>122</v>
      </c>
    </row>
    <row r="51" customFormat="false" ht="15" hidden="false" customHeight="false" outlineLevel="0" collapsed="false">
      <c r="A51" s="23" t="n">
        <v>8</v>
      </c>
      <c r="B51" s="23" t="s">
        <v>78</v>
      </c>
      <c r="C51" s="23" t="s">
        <v>35</v>
      </c>
      <c r="D51" s="24" t="n">
        <v>38658.71</v>
      </c>
      <c r="E51" s="24" t="n">
        <v>0</v>
      </c>
      <c r="F51" s="24" t="n">
        <v>0</v>
      </c>
      <c r="G51" s="24" t="n">
        <v>11304.73</v>
      </c>
      <c r="H51" s="24" t="n">
        <v>1405.77</v>
      </c>
      <c r="I51" s="24" t="n">
        <f aca="false">G51+H51</f>
        <v>12710.5</v>
      </c>
      <c r="J51" s="24" t="n">
        <f aca="false">D51-I51</f>
        <v>25948.21</v>
      </c>
      <c r="K51" s="25" t="s">
        <v>117</v>
      </c>
      <c r="L51" s="25" t="s">
        <v>118</v>
      </c>
    </row>
    <row r="52" customFormat="false" ht="15" hidden="false" customHeight="false" outlineLevel="0" collapsed="false">
      <c r="A52" s="26"/>
      <c r="B52" s="27" t="s">
        <v>53</v>
      </c>
      <c r="C52" s="26"/>
      <c r="D52" s="28" t="n">
        <f aca="false">SUM(D44:D51)</f>
        <v>357389.52</v>
      </c>
      <c r="E52" s="28" t="n">
        <f aca="false">SUM(E44:E51)</f>
        <v>0</v>
      </c>
      <c r="F52" s="28" t="n">
        <f aca="false">SUM(F44:F51)</f>
        <v>0</v>
      </c>
      <c r="G52" s="28" t="n">
        <f aca="false">SUM(G44:G51)</f>
        <v>154568.82</v>
      </c>
      <c r="H52" s="28" t="n">
        <f aca="false">SUM(H44:H51)</f>
        <v>10423.27</v>
      </c>
      <c r="I52" s="28" t="n">
        <f aca="false">SUM(I44:I51)</f>
        <v>164992.09</v>
      </c>
      <c r="J52" s="28" t="n">
        <f aca="false">SUM(J44:J51)</f>
        <v>192397.43</v>
      </c>
      <c r="K52" s="26"/>
      <c r="L52" s="26"/>
    </row>
    <row r="54" customFormat="false" ht="15" hidden="false" customHeight="false" outlineLevel="0" collapsed="false">
      <c r="B54" s="18" t="s">
        <v>132</v>
      </c>
    </row>
    <row r="55" customFormat="false" ht="15" hidden="false" customHeight="false" outlineLevel="0" collapsed="false">
      <c r="B55" s="5" t="s">
        <v>125</v>
      </c>
      <c r="D55" s="6" t="n">
        <f aca="false">I40</f>
        <v>156654.5</v>
      </c>
    </row>
    <row r="56" customFormat="false" ht="15" hidden="false" customHeight="false" outlineLevel="0" collapsed="false">
      <c r="B56" s="5" t="s">
        <v>126</v>
      </c>
      <c r="D56" s="6" t="n">
        <f aca="false">I52</f>
        <v>164992.09</v>
      </c>
    </row>
    <row r="57" customFormat="false" ht="15" hidden="false" customHeight="false" outlineLevel="0" collapsed="false">
      <c r="B57" s="11" t="s">
        <v>132</v>
      </c>
      <c r="D57" s="29" t="n">
        <f aca="false">D55-D56</f>
        <v>-8337.59</v>
      </c>
    </row>
    <row r="59" customFormat="false" ht="15" hidden="false" customHeight="false" outlineLevel="0" collapsed="false">
      <c r="A59" s="10" t="s">
        <v>133</v>
      </c>
    </row>
    <row r="60" customFormat="false" ht="15" hidden="false" customHeight="false" outlineLevel="0" collapsed="false">
      <c r="B60" s="11" t="s">
        <v>162</v>
      </c>
      <c r="D60" s="12" t="n">
        <f aca="false">D99</f>
        <v>357389.52</v>
      </c>
    </row>
    <row r="61" customFormat="false" ht="15" hidden="false" customHeight="false" outlineLevel="0" collapsed="false">
      <c r="B61" s="5" t="s">
        <v>163</v>
      </c>
      <c r="D61" s="6" t="n">
        <f aca="false">F99</f>
        <v>70749.6</v>
      </c>
    </row>
    <row r="62" customFormat="false" ht="15" hidden="false" customHeight="false" outlineLevel="0" collapsed="false">
      <c r="B62" s="30" t="s">
        <v>136</v>
      </c>
      <c r="D62" s="31" t="n">
        <f aca="false">F100</f>
        <v>0.197962156249014</v>
      </c>
    </row>
    <row r="63" customFormat="false" ht="15" hidden="false" customHeight="false" outlineLevel="0" collapsed="false">
      <c r="B63" s="5" t="s">
        <v>164</v>
      </c>
      <c r="D63" s="6" t="n">
        <f aca="false">H99</f>
        <v>286639.92</v>
      </c>
    </row>
    <row r="64" customFormat="false" ht="15" hidden="false" customHeight="false" outlineLevel="0" collapsed="false">
      <c r="B64" s="30" t="s">
        <v>136</v>
      </c>
      <c r="D64" s="31" t="n">
        <f aca="false">H100</f>
        <v>0.802037843750986</v>
      </c>
    </row>
    <row r="66" customFormat="false" ht="15" hidden="false" customHeight="false" outlineLevel="0" collapsed="false">
      <c r="A66" s="10" t="s">
        <v>138</v>
      </c>
    </row>
    <row r="67" customFormat="false" ht="15" hidden="false" customHeight="false" outlineLevel="0" collapsed="false">
      <c r="B67" s="4" t="s">
        <v>139</v>
      </c>
      <c r="D67" s="4" t="s">
        <v>108</v>
      </c>
      <c r="F67" s="4" t="s">
        <v>165</v>
      </c>
      <c r="H67" s="4" t="s">
        <v>141</v>
      </c>
    </row>
    <row r="68" customFormat="false" ht="15" hidden="false" customHeight="false" outlineLevel="0" collapsed="false">
      <c r="B68" s="32" t="s">
        <v>166</v>
      </c>
    </row>
    <row r="69" customFormat="false" ht="15" hidden="false" customHeight="false" outlineLevel="0" collapsed="false">
      <c r="B69" s="5" t="s">
        <v>167</v>
      </c>
      <c r="D69" s="33" t="n">
        <f aca="false">SUM(F69:H69)</f>
        <v>10346.61</v>
      </c>
      <c r="F69" s="33" t="n">
        <v>10346.61</v>
      </c>
    </row>
    <row r="70" customFormat="false" ht="15" hidden="false" customHeight="false" outlineLevel="0" collapsed="false">
      <c r="B70" s="5" t="s">
        <v>168</v>
      </c>
      <c r="D70" s="33" t="n">
        <f aca="false">SUM(F70:H70)</f>
        <v>5291.32</v>
      </c>
      <c r="F70" s="33" t="n">
        <v>5291.32</v>
      </c>
    </row>
    <row r="71" customFormat="false" ht="15" hidden="false" customHeight="false" outlineLevel="0" collapsed="false">
      <c r="B71" s="5" t="s">
        <v>169</v>
      </c>
      <c r="D71" s="33" t="n">
        <f aca="false">SUM(F71:H71)</f>
        <v>26950.29</v>
      </c>
      <c r="F71" s="33" t="n">
        <v>26950.29</v>
      </c>
    </row>
    <row r="72" customFormat="false" ht="15" hidden="false" customHeight="false" outlineLevel="0" collapsed="false">
      <c r="B72" s="5" t="s">
        <v>171</v>
      </c>
      <c r="D72" s="33" t="n">
        <f aca="false">SUM(F72:H72)</f>
        <v>2980.26</v>
      </c>
      <c r="F72" s="33" t="n">
        <v>2980.26</v>
      </c>
    </row>
    <row r="73" customFormat="false" ht="15" hidden="false" customHeight="false" outlineLevel="0" collapsed="false">
      <c r="B73" s="5" t="s">
        <v>196</v>
      </c>
      <c r="D73" s="33" t="n">
        <f aca="false">SUM(F73:H73)</f>
        <v>366.57</v>
      </c>
      <c r="F73" s="33" t="n">
        <v>366.57</v>
      </c>
    </row>
    <row r="74" customFormat="false" ht="15" hidden="false" customHeight="false" outlineLevel="0" collapsed="false">
      <c r="B74" s="5" t="s">
        <v>197</v>
      </c>
      <c r="D74" s="33" t="n">
        <f aca="false">SUM(F74:H74)</f>
        <v>144.58</v>
      </c>
      <c r="F74" s="33" t="n">
        <v>144.58</v>
      </c>
    </row>
    <row r="75" customFormat="false" ht="15" hidden="false" customHeight="false" outlineLevel="0" collapsed="false">
      <c r="B75" s="5" t="s">
        <v>172</v>
      </c>
      <c r="D75" s="33" t="n">
        <f aca="false">SUM(F75:H75)</f>
        <v>5961.89</v>
      </c>
      <c r="F75" s="33" t="n">
        <v>5961.89</v>
      </c>
    </row>
    <row r="76" customFormat="false" ht="15" hidden="false" customHeight="false" outlineLevel="0" collapsed="false">
      <c r="B76" s="5" t="s">
        <v>173</v>
      </c>
      <c r="D76" s="33" t="n">
        <f aca="false">SUM(F76:H76)</f>
        <v>2354.19</v>
      </c>
      <c r="F76" s="33" t="n">
        <v>2354.19</v>
      </c>
    </row>
    <row r="77" customFormat="false" ht="15" hidden="false" customHeight="false" outlineLevel="0" collapsed="false">
      <c r="B77" s="5" t="s">
        <v>198</v>
      </c>
      <c r="D77" s="33" t="n">
        <f aca="false">SUM(F77:H77)</f>
        <v>6854.82</v>
      </c>
      <c r="F77" s="33" t="n">
        <v>6854.82</v>
      </c>
    </row>
    <row r="78" customFormat="false" ht="15" hidden="false" customHeight="false" outlineLevel="0" collapsed="false">
      <c r="B78" s="5" t="s">
        <v>175</v>
      </c>
      <c r="D78" s="33" t="n">
        <f aca="false">SUM(F78:H78)</f>
        <v>2046.92</v>
      </c>
      <c r="F78" s="33" t="n">
        <v>2046.92</v>
      </c>
    </row>
    <row r="79" customFormat="false" ht="15" hidden="false" customHeight="false" outlineLevel="0" collapsed="false">
      <c r="B79" s="5" t="s">
        <v>199</v>
      </c>
      <c r="D79" s="33" t="n">
        <f aca="false">SUM(F79:H79)</f>
        <v>86.4</v>
      </c>
      <c r="F79" s="33" t="n">
        <v>86.4</v>
      </c>
    </row>
    <row r="80" customFormat="false" ht="15" hidden="false" customHeight="false" outlineLevel="0" collapsed="false">
      <c r="B80" s="5" t="s">
        <v>200</v>
      </c>
      <c r="D80" s="33" t="n">
        <f aca="false">SUM(F80:H80)</f>
        <v>7365.75</v>
      </c>
      <c r="F80" s="33" t="n">
        <v>7365.75</v>
      </c>
    </row>
    <row r="81" customFormat="false" ht="15" hidden="false" customHeight="false" outlineLevel="0" collapsed="false">
      <c r="B81" s="32" t="s">
        <v>177</v>
      </c>
    </row>
    <row r="82" customFormat="false" ht="15" hidden="false" customHeight="false" outlineLevel="0" collapsed="false">
      <c r="B82" s="5" t="s">
        <v>178</v>
      </c>
      <c r="D82" s="33" t="n">
        <f aca="false">SUM(F82:H82)</f>
        <v>11258.78</v>
      </c>
      <c r="H82" s="33" t="n">
        <v>11258.78</v>
      </c>
    </row>
    <row r="83" customFormat="false" ht="15" hidden="false" customHeight="false" outlineLevel="0" collapsed="false">
      <c r="B83" s="5" t="s">
        <v>179</v>
      </c>
      <c r="D83" s="33" t="n">
        <f aca="false">SUM(F83:H83)</f>
        <v>21167.29</v>
      </c>
      <c r="H83" s="33" t="n">
        <v>21167.29</v>
      </c>
    </row>
    <row r="84" customFormat="false" ht="15" hidden="false" customHeight="false" outlineLevel="0" collapsed="false">
      <c r="B84" s="5" t="s">
        <v>180</v>
      </c>
      <c r="D84" s="33" t="n">
        <f aca="false">SUM(F84:H84)</f>
        <v>26087.98</v>
      </c>
      <c r="H84" s="33" t="n">
        <v>26087.98</v>
      </c>
    </row>
    <row r="85" customFormat="false" ht="15" hidden="false" customHeight="false" outlineLevel="0" collapsed="false">
      <c r="B85" s="5" t="s">
        <v>181</v>
      </c>
      <c r="D85" s="33" t="n">
        <f aca="false">SUM(F85:H85)</f>
        <v>28640.05</v>
      </c>
      <c r="H85" s="33" t="n">
        <v>28640.05</v>
      </c>
    </row>
    <row r="86" customFormat="false" ht="15" hidden="false" customHeight="false" outlineLevel="0" collapsed="false">
      <c r="B86" s="5" t="s">
        <v>182</v>
      </c>
      <c r="D86" s="33" t="n">
        <f aca="false">SUM(F86:H86)</f>
        <v>22996.79</v>
      </c>
      <c r="H86" s="33" t="n">
        <v>22996.79</v>
      </c>
    </row>
    <row r="87" customFormat="false" ht="15" hidden="false" customHeight="false" outlineLevel="0" collapsed="false">
      <c r="B87" s="5" t="s">
        <v>183</v>
      </c>
      <c r="D87" s="33" t="n">
        <f aca="false">SUM(F87:H87)</f>
        <v>1436.02</v>
      </c>
      <c r="H87" s="33" t="n">
        <v>1436.02</v>
      </c>
    </row>
    <row r="88" customFormat="false" ht="15" hidden="false" customHeight="false" outlineLevel="0" collapsed="false">
      <c r="B88" s="5" t="s">
        <v>184</v>
      </c>
      <c r="D88" s="33" t="n">
        <f aca="false">SUM(F88:H88)</f>
        <v>30481.59</v>
      </c>
      <c r="H88" s="33" t="n">
        <v>30481.59</v>
      </c>
    </row>
    <row r="89" customFormat="false" ht="15" hidden="false" customHeight="false" outlineLevel="0" collapsed="false">
      <c r="B89" s="5" t="s">
        <v>185</v>
      </c>
      <c r="D89" s="33" t="n">
        <f aca="false">SUM(F89:H89)</f>
        <v>24592.96</v>
      </c>
      <c r="H89" s="33" t="n">
        <v>24592.96</v>
      </c>
    </row>
    <row r="90" customFormat="false" ht="15" hidden="false" customHeight="false" outlineLevel="0" collapsed="false">
      <c r="B90" s="5" t="s">
        <v>186</v>
      </c>
      <c r="D90" s="33" t="n">
        <f aca="false">SUM(F90:H90)</f>
        <v>14716.7</v>
      </c>
      <c r="H90" s="33" t="n">
        <v>14716.7</v>
      </c>
    </row>
    <row r="91" customFormat="false" ht="15" hidden="false" customHeight="false" outlineLevel="0" collapsed="false">
      <c r="B91" s="5" t="s">
        <v>187</v>
      </c>
      <c r="D91" s="33" t="n">
        <f aca="false">SUM(F91:H91)</f>
        <v>12002.61</v>
      </c>
      <c r="H91" s="33" t="n">
        <v>12002.61</v>
      </c>
    </row>
    <row r="92" customFormat="false" ht="15" hidden="false" customHeight="false" outlineLevel="0" collapsed="false">
      <c r="B92" s="5" t="s">
        <v>188</v>
      </c>
      <c r="D92" s="33" t="n">
        <f aca="false">SUM(F92:H92)</f>
        <v>23197.91</v>
      </c>
      <c r="H92" s="33" t="n">
        <v>23197.91</v>
      </c>
    </row>
    <row r="93" customFormat="false" ht="15" hidden="false" customHeight="false" outlineLevel="0" collapsed="false">
      <c r="B93" s="5" t="s">
        <v>189</v>
      </c>
      <c r="D93" s="33" t="n">
        <f aca="false">SUM(F93:H93)</f>
        <v>10564.94</v>
      </c>
      <c r="H93" s="33" t="n">
        <v>10564.94</v>
      </c>
    </row>
    <row r="94" customFormat="false" ht="15" hidden="false" customHeight="false" outlineLevel="0" collapsed="false">
      <c r="B94" s="5" t="s">
        <v>190</v>
      </c>
      <c r="D94" s="33" t="n">
        <f aca="false">SUM(F94:H94)</f>
        <v>1561.67</v>
      </c>
      <c r="H94" s="33" t="n">
        <v>1561.67</v>
      </c>
    </row>
    <row r="95" customFormat="false" ht="15" hidden="false" customHeight="false" outlineLevel="0" collapsed="false">
      <c r="B95" s="5" t="s">
        <v>192</v>
      </c>
      <c r="D95" s="33" t="n">
        <f aca="false">SUM(F95:H95)</f>
        <v>38226.39</v>
      </c>
      <c r="H95" s="33" t="n">
        <v>38226.39</v>
      </c>
    </row>
    <row r="96" customFormat="false" ht="15" hidden="false" customHeight="false" outlineLevel="0" collapsed="false">
      <c r="B96" s="5" t="s">
        <v>201</v>
      </c>
      <c r="D96" s="33" t="n">
        <f aca="false">SUM(F96:H96)</f>
        <v>13622.62</v>
      </c>
      <c r="H96" s="33" t="n">
        <v>13622.62</v>
      </c>
    </row>
    <row r="97" customFormat="false" ht="15" hidden="false" customHeight="false" outlineLevel="0" collapsed="false">
      <c r="B97" s="5" t="s">
        <v>193</v>
      </c>
      <c r="D97" s="33" t="n">
        <f aca="false">SUM(F97:H97)</f>
        <v>2666.01</v>
      </c>
      <c r="H97" s="33" t="n">
        <v>2666.01</v>
      </c>
    </row>
    <row r="98" customFormat="false" ht="15" hidden="false" customHeight="false" outlineLevel="0" collapsed="false">
      <c r="B98" s="5" t="s">
        <v>202</v>
      </c>
      <c r="D98" s="33" t="n">
        <f aca="false">SUM(F98:H98)</f>
        <v>3419.61</v>
      </c>
      <c r="H98" s="33" t="n">
        <v>3419.61</v>
      </c>
    </row>
    <row r="99" customFormat="false" ht="15" hidden="false" customHeight="false" outlineLevel="0" collapsed="false">
      <c r="B99" s="11" t="s">
        <v>162</v>
      </c>
      <c r="D99" s="34" t="n">
        <f aca="false">SUM(D68:D98)</f>
        <v>357389.52</v>
      </c>
      <c r="F99" s="34" t="n">
        <f aca="false">SUM(F68:F98)</f>
        <v>70749.6</v>
      </c>
      <c r="H99" s="34" t="n">
        <f aca="false">SUM(H68:H98)</f>
        <v>286639.92</v>
      </c>
    </row>
    <row r="100" customFormat="false" ht="15" hidden="false" customHeight="false" outlineLevel="0" collapsed="false">
      <c r="B100" s="30" t="s">
        <v>136</v>
      </c>
      <c r="F100" s="31" t="n">
        <f aca="false">F99/D99</f>
        <v>0.197962156249014</v>
      </c>
      <c r="H100" s="31" t="n">
        <f aca="false">H99/D99</f>
        <v>0.802037843750986</v>
      </c>
    </row>
    <row r="102" customFormat="false" ht="15" hidden="false" customHeight="false" outlineLevel="0" collapsed="false">
      <c r="A102" s="10" t="s">
        <v>157</v>
      </c>
    </row>
    <row r="103" customFormat="false" ht="15" hidden="false" customHeight="false" outlineLevel="0" collapsed="false">
      <c r="B103" s="4" t="s">
        <v>158</v>
      </c>
      <c r="D103" s="4" t="s">
        <v>108</v>
      </c>
      <c r="F103" s="4" t="s">
        <v>165</v>
      </c>
      <c r="H103" s="4" t="s">
        <v>141</v>
      </c>
    </row>
    <row r="104" customFormat="false" ht="15" hidden="false" customHeight="false" outlineLevel="0" collapsed="false">
      <c r="B104" s="5" t="str">
        <f aca="false">'Building 13'!B18</f>
        <v>1 - Buillding - Apt - 5yr</v>
      </c>
      <c r="D104" s="33" t="n">
        <f aca="false">SUM(F104:H104)</f>
        <v>55838.26</v>
      </c>
      <c r="F104" s="33" t="n">
        <f aca="false">'Building 13'!D18</f>
        <v>55838.26</v>
      </c>
    </row>
    <row r="105" customFormat="false" ht="15" hidden="false" customHeight="false" outlineLevel="0" collapsed="false">
      <c r="B105" s="5" t="str">
        <f aca="false">'Building 13'!B19</f>
        <v>1 - Buillding - Apt - 27.5yr</v>
      </c>
      <c r="D105" s="33" t="n">
        <f aca="false">SUM(F105:H105)</f>
        <v>226227.05</v>
      </c>
      <c r="H105" s="33" t="n">
        <f aca="false">'Building 13'!D19</f>
        <v>226227.05</v>
      </c>
    </row>
    <row r="106" customFormat="false" ht="15" hidden="false" customHeight="false" outlineLevel="0" collapsed="false">
      <c r="B106" s="5" t="str">
        <f aca="false">'Building 13'!B20</f>
        <v>5 - Building - Apt - 5yr</v>
      </c>
      <c r="D106" s="33" t="n">
        <f aca="false">SUM(F106:H106)</f>
        <v>101.7</v>
      </c>
      <c r="F106" s="33" t="n">
        <f aca="false">'Building 13'!D20</f>
        <v>101.7</v>
      </c>
    </row>
    <row r="107" customFormat="false" ht="15" hidden="false" customHeight="false" outlineLevel="0" collapsed="false">
      <c r="B107" s="5" t="str">
        <f aca="false">'Building 13'!B21</f>
        <v>5 - Building - Apt - 27.5yr</v>
      </c>
      <c r="D107" s="33" t="n">
        <f aca="false">SUM(F107:H107)</f>
        <v>412.01</v>
      </c>
      <c r="H107" s="33" t="n">
        <f aca="false">'Building 13'!D21</f>
        <v>412.01</v>
      </c>
    </row>
    <row r="108" customFormat="false" ht="15" hidden="false" customHeight="false" outlineLevel="0" collapsed="false">
      <c r="B108" s="5" t="str">
        <f aca="false">'Building 13'!B22</f>
        <v>3 - Land Improvements - Apt - 5yr</v>
      </c>
      <c r="D108" s="33" t="n">
        <f aca="false">SUM(F108:H108)</f>
        <v>5267.76</v>
      </c>
      <c r="F108" s="33" t="n">
        <f aca="false">'Building 13'!D22</f>
        <v>5267.76</v>
      </c>
    </row>
    <row r="109" customFormat="false" ht="15" hidden="false" customHeight="false" outlineLevel="0" collapsed="false">
      <c r="B109" s="5" t="str">
        <f aca="false">'Building 13'!B23</f>
        <v>3 - Land Improvements - Apt - 27.5yr</v>
      </c>
      <c r="D109" s="33" t="n">
        <f aca="false">SUM(F109:H109)</f>
        <v>21342.15</v>
      </c>
      <c r="H109" s="33" t="n">
        <f aca="false">'Building 13'!D23</f>
        <v>21342.15</v>
      </c>
    </row>
    <row r="110" customFormat="false" ht="15" hidden="false" customHeight="false" outlineLevel="0" collapsed="false">
      <c r="B110" s="5" t="str">
        <f aca="false">'Building 13'!B24</f>
        <v>4 - Equipment - Apt - 5yr</v>
      </c>
      <c r="D110" s="33" t="n">
        <f aca="false">SUM(F110:H110)</f>
        <v>9541.88</v>
      </c>
      <c r="F110" s="33" t="n">
        <f aca="false">'Building 13'!D24</f>
        <v>9541.88</v>
      </c>
    </row>
    <row r="111" customFormat="false" ht="15" hidden="false" customHeight="false" outlineLevel="0" collapsed="false">
      <c r="B111" s="5" t="str">
        <f aca="false">'Building 13'!B25</f>
        <v>4 - Equipment - Apt - 27.5yr</v>
      </c>
      <c r="D111" s="33" t="n">
        <f aca="false">SUM(F111:H111)</f>
        <v>38658.71</v>
      </c>
      <c r="H111" s="33" t="n">
        <f aca="false">'Building 13'!D25</f>
        <v>38658.71</v>
      </c>
    </row>
    <row r="112" customFormat="false" ht="15" hidden="false" customHeight="false" outlineLevel="0" collapsed="false">
      <c r="B112" s="11" t="s">
        <v>159</v>
      </c>
      <c r="D112" s="34" t="n">
        <f aca="false">SUM(D104:D111)</f>
        <v>357389.52</v>
      </c>
      <c r="F112" s="34" t="n">
        <f aca="false">SUM(F104:F111)</f>
        <v>70749.6</v>
      </c>
      <c r="H112" s="34" t="n">
        <f aca="false">SUM(H104:H111)</f>
        <v>286639.92</v>
      </c>
    </row>
    <row r="113" customFormat="false" ht="15" hidden="false" customHeight="false" outlineLevel="0" collapsed="false">
      <c r="B113" s="16" t="s">
        <v>160</v>
      </c>
      <c r="D113" s="17" t="n">
        <f aca="false">D112-D99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215</v>
      </c>
    </row>
    <row r="5" customFormat="false" ht="15" hidden="false" customHeight="false" outlineLevel="0" collapsed="false">
      <c r="A5" s="16" t="s">
        <v>102</v>
      </c>
    </row>
    <row r="7" customFormat="false" ht="15" hidden="false" customHeight="false" outlineLevel="0" collapsed="false">
      <c r="A7" s="10" t="s">
        <v>103</v>
      </c>
    </row>
    <row r="8" customFormat="false" ht="15" hidden="false" customHeight="false" outlineLevel="0" collapsed="false">
      <c r="A8" s="21" t="s">
        <v>104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105</v>
      </c>
      <c r="B9" s="4" t="s">
        <v>106</v>
      </c>
      <c r="C9" s="4" t="s">
        <v>107</v>
      </c>
      <c r="D9" s="4" t="s">
        <v>108</v>
      </c>
      <c r="E9" s="4" t="s">
        <v>109</v>
      </c>
      <c r="F9" s="4" t="s">
        <v>110</v>
      </c>
      <c r="G9" s="4" t="s">
        <v>111</v>
      </c>
      <c r="H9" s="4" t="s">
        <v>112</v>
      </c>
      <c r="I9" s="4" t="s">
        <v>113</v>
      </c>
      <c r="J9" s="4" t="s">
        <v>114</v>
      </c>
      <c r="K9" s="4" t="s">
        <v>115</v>
      </c>
      <c r="L9" s="4" t="s">
        <v>116</v>
      </c>
    </row>
    <row r="10" customFormat="false" ht="15" hidden="false" customHeight="false" outlineLevel="0" collapsed="false">
      <c r="A10" s="23" t="n">
        <v>1</v>
      </c>
      <c r="B10" s="23" t="s">
        <v>45</v>
      </c>
      <c r="C10" s="23" t="s">
        <v>35</v>
      </c>
      <c r="D10" s="24" t="n">
        <v>212191.05</v>
      </c>
      <c r="E10" s="24" t="n">
        <v>0</v>
      </c>
      <c r="F10" s="24" t="n">
        <v>0</v>
      </c>
      <c r="G10" s="24" t="n">
        <v>62049.02</v>
      </c>
      <c r="H10" s="24" t="n">
        <v>7716.04</v>
      </c>
      <c r="I10" s="24" t="n">
        <f aca="false">G10+H10</f>
        <v>69765.06</v>
      </c>
      <c r="J10" s="24" t="n">
        <f aca="false">D10-I10</f>
        <v>142425.99</v>
      </c>
      <c r="K10" s="25" t="s">
        <v>117</v>
      </c>
      <c r="L10" s="25" t="s">
        <v>118</v>
      </c>
    </row>
    <row r="11" customFormat="false" ht="15" hidden="false" customHeight="false" outlineLevel="0" collapsed="false">
      <c r="A11" s="23" t="n">
        <v>2</v>
      </c>
      <c r="B11" s="23" t="s">
        <v>46</v>
      </c>
      <c r="C11" s="23" t="s">
        <v>37</v>
      </c>
      <c r="D11" s="24" t="n">
        <v>386.45</v>
      </c>
      <c r="E11" s="24" t="n">
        <v>0</v>
      </c>
      <c r="F11" s="24" t="n">
        <v>0</v>
      </c>
      <c r="G11" s="24" t="n">
        <v>111.91</v>
      </c>
      <c r="H11" s="24" t="n">
        <v>14.06</v>
      </c>
      <c r="I11" s="24" t="n">
        <f aca="false">G11+H11</f>
        <v>125.97</v>
      </c>
      <c r="J11" s="24" t="n">
        <f aca="false">D11-I11</f>
        <v>260.48</v>
      </c>
      <c r="K11" s="25" t="s">
        <v>117</v>
      </c>
      <c r="L11" s="25" t="s">
        <v>118</v>
      </c>
    </row>
    <row r="12" customFormat="false" ht="15" hidden="false" customHeight="false" outlineLevel="0" collapsed="false">
      <c r="A12" s="23" t="n">
        <v>3</v>
      </c>
      <c r="B12" s="23" t="s">
        <v>47</v>
      </c>
      <c r="C12" s="23" t="s">
        <v>35</v>
      </c>
      <c r="D12" s="24" t="n">
        <v>20018</v>
      </c>
      <c r="E12" s="24" t="n">
        <v>0</v>
      </c>
      <c r="F12" s="24" t="n">
        <v>0</v>
      </c>
      <c r="G12" s="24" t="n">
        <v>11723.87</v>
      </c>
      <c r="H12" s="24" t="n">
        <v>1181.07</v>
      </c>
      <c r="I12" s="24" t="n">
        <f aca="false">G12+H12</f>
        <v>12904.94</v>
      </c>
      <c r="J12" s="24" t="n">
        <f aca="false">D12-I12</f>
        <v>7113.06</v>
      </c>
      <c r="K12" s="25" t="s">
        <v>119</v>
      </c>
      <c r="L12" s="25" t="s">
        <v>120</v>
      </c>
    </row>
    <row r="13" customFormat="false" ht="15" hidden="false" customHeight="false" outlineLevel="0" collapsed="false">
      <c r="A13" s="23" t="n">
        <v>4</v>
      </c>
      <c r="B13" s="23" t="s">
        <v>48</v>
      </c>
      <c r="C13" s="23" t="s">
        <v>35</v>
      </c>
      <c r="D13" s="24" t="n">
        <v>36260.17</v>
      </c>
      <c r="E13" s="24" t="n">
        <v>0</v>
      </c>
      <c r="F13" s="24" t="n">
        <v>0</v>
      </c>
      <c r="G13" s="24" t="n">
        <v>35051.5</v>
      </c>
      <c r="H13" s="24" t="n">
        <v>0</v>
      </c>
      <c r="I13" s="24" t="n">
        <f aca="false">G13+H13</f>
        <v>35051.5</v>
      </c>
      <c r="J13" s="24" t="n">
        <f aca="false">D13-I13</f>
        <v>1208.67</v>
      </c>
      <c r="K13" s="25" t="s">
        <v>121</v>
      </c>
      <c r="L13" s="25" t="s">
        <v>122</v>
      </c>
    </row>
    <row r="14" customFormat="false" ht="15" hidden="false" customHeight="false" outlineLevel="0" collapsed="false">
      <c r="A14" s="26"/>
      <c r="B14" s="27" t="s">
        <v>53</v>
      </c>
      <c r="C14" s="26"/>
      <c r="D14" s="28" t="n">
        <f aca="false">SUM(D10:D13)</f>
        <v>268855.67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108936.3</v>
      </c>
      <c r="H14" s="28" t="n">
        <f aca="false">SUM(H10:H13)</f>
        <v>8911.17</v>
      </c>
      <c r="I14" s="28" t="n">
        <f aca="false">SUM(I10:I13)</f>
        <v>117847.47</v>
      </c>
      <c r="J14" s="28" t="n">
        <f aca="false">SUM(J10:J13)</f>
        <v>151008.2</v>
      </c>
      <c r="K14" s="26"/>
      <c r="L14" s="26"/>
    </row>
    <row r="16" customFormat="false" ht="15" hidden="false" customHeight="false" outlineLevel="0" collapsed="false">
      <c r="A16" s="21" t="s">
        <v>123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4" t="s">
        <v>105</v>
      </c>
      <c r="B17" s="4" t="s">
        <v>106</v>
      </c>
      <c r="C17" s="4" t="s">
        <v>107</v>
      </c>
      <c r="D17" s="4" t="s">
        <v>108</v>
      </c>
      <c r="E17" s="4" t="s">
        <v>109</v>
      </c>
      <c r="F17" s="4" t="s">
        <v>110</v>
      </c>
      <c r="G17" s="4" t="s">
        <v>111</v>
      </c>
      <c r="H17" s="4" t="s">
        <v>112</v>
      </c>
      <c r="I17" s="4" t="s">
        <v>113</v>
      </c>
      <c r="J17" s="4" t="s">
        <v>114</v>
      </c>
      <c r="K17" s="4" t="s">
        <v>115</v>
      </c>
      <c r="L17" s="4" t="s">
        <v>116</v>
      </c>
    </row>
    <row r="18" customFormat="false" ht="15" hidden="false" customHeight="false" outlineLevel="0" collapsed="false">
      <c r="A18" s="23" t="n">
        <v>1</v>
      </c>
      <c r="B18" s="23" t="s">
        <v>71</v>
      </c>
      <c r="C18" s="23" t="s">
        <v>35</v>
      </c>
      <c r="D18" s="24" t="n">
        <v>41085.46</v>
      </c>
      <c r="E18" s="24" t="n">
        <v>0</v>
      </c>
      <c r="F18" s="24" t="n">
        <v>0</v>
      </c>
      <c r="G18" s="24" t="n">
        <v>41085.46</v>
      </c>
      <c r="H18" s="24" t="n">
        <v>0</v>
      </c>
      <c r="I18" s="24" t="n">
        <f aca="false">G18+H18</f>
        <v>41085.46</v>
      </c>
      <c r="J18" s="24" t="n">
        <f aca="false">D18-I18</f>
        <v>0</v>
      </c>
      <c r="K18" s="25" t="s">
        <v>121</v>
      </c>
      <c r="L18" s="25" t="s">
        <v>122</v>
      </c>
    </row>
    <row r="19" customFormat="false" ht="15" hidden="false" customHeight="false" outlineLevel="0" collapsed="false">
      <c r="A19" s="23" t="n">
        <v>2</v>
      </c>
      <c r="B19" s="23" t="s">
        <v>72</v>
      </c>
      <c r="C19" s="23" t="s">
        <v>35</v>
      </c>
      <c r="D19" s="24" t="n">
        <v>171105.59</v>
      </c>
      <c r="E19" s="24" t="n">
        <v>0</v>
      </c>
      <c r="F19" s="24" t="n">
        <v>0</v>
      </c>
      <c r="G19" s="24" t="n">
        <v>50035.41</v>
      </c>
      <c r="H19" s="24" t="n">
        <v>6222.02</v>
      </c>
      <c r="I19" s="24" t="n">
        <f aca="false">G19+H19</f>
        <v>56257.43</v>
      </c>
      <c r="J19" s="24" t="n">
        <f aca="false">D19-I19</f>
        <v>114848.16</v>
      </c>
      <c r="K19" s="25" t="s">
        <v>117</v>
      </c>
      <c r="L19" s="25" t="s">
        <v>118</v>
      </c>
    </row>
    <row r="20" customFormat="false" ht="15" hidden="false" customHeight="false" outlineLevel="0" collapsed="false">
      <c r="A20" s="23" t="n">
        <v>3</v>
      </c>
      <c r="B20" s="23" t="s">
        <v>73</v>
      </c>
      <c r="C20" s="23" t="s">
        <v>37</v>
      </c>
      <c r="D20" s="24" t="n">
        <v>74.83</v>
      </c>
      <c r="E20" s="24" t="n">
        <v>0</v>
      </c>
      <c r="F20" s="24" t="n">
        <v>0</v>
      </c>
      <c r="G20" s="24" t="n">
        <v>74.83</v>
      </c>
      <c r="H20" s="24" t="n">
        <v>0</v>
      </c>
      <c r="I20" s="24" t="n">
        <f aca="false">G20+H20</f>
        <v>74.83</v>
      </c>
      <c r="J20" s="24" t="n">
        <f aca="false">D20-I20</f>
        <v>0</v>
      </c>
      <c r="K20" s="25" t="s">
        <v>121</v>
      </c>
      <c r="L20" s="25" t="s">
        <v>122</v>
      </c>
    </row>
    <row r="21" customFormat="false" ht="15" hidden="false" customHeight="false" outlineLevel="0" collapsed="false">
      <c r="A21" s="23" t="n">
        <v>4</v>
      </c>
      <c r="B21" s="23" t="s">
        <v>74</v>
      </c>
      <c r="C21" s="23" t="s">
        <v>37</v>
      </c>
      <c r="D21" s="24" t="n">
        <v>311.62</v>
      </c>
      <c r="E21" s="24" t="n">
        <v>0</v>
      </c>
      <c r="F21" s="24" t="n">
        <v>0</v>
      </c>
      <c r="G21" s="24" t="n">
        <v>90.17</v>
      </c>
      <c r="H21" s="24" t="n">
        <v>11.33</v>
      </c>
      <c r="I21" s="24" t="n">
        <f aca="false">G21+H21</f>
        <v>101.5</v>
      </c>
      <c r="J21" s="24" t="n">
        <f aca="false">D21-I21</f>
        <v>210.12</v>
      </c>
      <c r="K21" s="25" t="s">
        <v>117</v>
      </c>
      <c r="L21" s="25" t="s">
        <v>118</v>
      </c>
    </row>
    <row r="22" customFormat="false" ht="15" hidden="false" customHeight="false" outlineLevel="0" collapsed="false">
      <c r="A22" s="23" t="n">
        <v>5</v>
      </c>
      <c r="B22" s="23" t="s">
        <v>75</v>
      </c>
      <c r="C22" s="23" t="s">
        <v>35</v>
      </c>
      <c r="D22" s="24" t="n">
        <v>3875.98</v>
      </c>
      <c r="E22" s="24" t="n">
        <v>0</v>
      </c>
      <c r="F22" s="24" t="n">
        <v>0</v>
      </c>
      <c r="G22" s="24" t="n">
        <v>3875.98</v>
      </c>
      <c r="H22" s="24" t="n">
        <v>0</v>
      </c>
      <c r="I22" s="24" t="n">
        <f aca="false">G22+H22</f>
        <v>3875.98</v>
      </c>
      <c r="J22" s="24" t="n">
        <f aca="false">D22-I22</f>
        <v>0</v>
      </c>
      <c r="K22" s="25" t="s">
        <v>121</v>
      </c>
      <c r="L22" s="25" t="s">
        <v>122</v>
      </c>
    </row>
    <row r="23" customFormat="false" ht="15" hidden="false" customHeight="false" outlineLevel="0" collapsed="false">
      <c r="A23" s="23" t="n">
        <v>6</v>
      </c>
      <c r="B23" s="23" t="s">
        <v>76</v>
      </c>
      <c r="C23" s="23" t="s">
        <v>35</v>
      </c>
      <c r="D23" s="24" t="n">
        <v>16142.02</v>
      </c>
      <c r="E23" s="24" t="n">
        <v>0</v>
      </c>
      <c r="F23" s="24" t="n">
        <v>0</v>
      </c>
      <c r="G23" s="24" t="n">
        <v>4720.3</v>
      </c>
      <c r="H23" s="24" t="n">
        <v>586.98</v>
      </c>
      <c r="I23" s="24" t="n">
        <f aca="false">G23+H23</f>
        <v>5307.28</v>
      </c>
      <c r="J23" s="24" t="n">
        <f aca="false">D23-I23</f>
        <v>10834.74</v>
      </c>
      <c r="K23" s="25" t="s">
        <v>117</v>
      </c>
      <c r="L23" s="25" t="s">
        <v>118</v>
      </c>
    </row>
    <row r="24" customFormat="false" ht="15" hidden="false" customHeight="false" outlineLevel="0" collapsed="false">
      <c r="A24" s="23" t="n">
        <v>7</v>
      </c>
      <c r="B24" s="23" t="s">
        <v>77</v>
      </c>
      <c r="C24" s="23" t="s">
        <v>35</v>
      </c>
      <c r="D24" s="24" t="n">
        <v>7020.87</v>
      </c>
      <c r="E24" s="24" t="n">
        <v>0</v>
      </c>
      <c r="F24" s="24" t="n">
        <v>0</v>
      </c>
      <c r="G24" s="24" t="n">
        <v>7020.87</v>
      </c>
      <c r="H24" s="24" t="n">
        <v>0</v>
      </c>
      <c r="I24" s="24" t="n">
        <f aca="false">G24+H24</f>
        <v>7020.87</v>
      </c>
      <c r="J24" s="24" t="n">
        <f aca="false">D24-I24</f>
        <v>0</v>
      </c>
      <c r="K24" s="25" t="s">
        <v>121</v>
      </c>
      <c r="L24" s="25" t="s">
        <v>122</v>
      </c>
    </row>
    <row r="25" customFormat="false" ht="15" hidden="false" customHeight="false" outlineLevel="0" collapsed="false">
      <c r="A25" s="23" t="n">
        <v>8</v>
      </c>
      <c r="B25" s="23" t="s">
        <v>78</v>
      </c>
      <c r="C25" s="23" t="s">
        <v>35</v>
      </c>
      <c r="D25" s="24" t="n">
        <v>29239.3</v>
      </c>
      <c r="E25" s="24" t="n">
        <v>0</v>
      </c>
      <c r="F25" s="24" t="n">
        <v>0</v>
      </c>
      <c r="G25" s="24" t="n">
        <v>8550.3</v>
      </c>
      <c r="H25" s="24" t="n">
        <v>1063.25</v>
      </c>
      <c r="I25" s="24" t="n">
        <f aca="false">G25+H25</f>
        <v>9613.55</v>
      </c>
      <c r="J25" s="24" t="n">
        <f aca="false">D25-I25</f>
        <v>19625.75</v>
      </c>
      <c r="K25" s="25" t="s">
        <v>117</v>
      </c>
      <c r="L25" s="25" t="s">
        <v>118</v>
      </c>
    </row>
    <row r="26" customFormat="false" ht="15" hidden="false" customHeight="false" outlineLevel="0" collapsed="false">
      <c r="A26" s="26"/>
      <c r="B26" s="27" t="s">
        <v>53</v>
      </c>
      <c r="C26" s="26"/>
      <c r="D26" s="28" t="n">
        <f aca="false">SUM(D18:D25)</f>
        <v>268855.67</v>
      </c>
      <c r="E26" s="28" t="n">
        <f aca="false">SUM(E18:E25)</f>
        <v>0</v>
      </c>
      <c r="F26" s="28" t="n">
        <f aca="false">SUM(F18:F25)</f>
        <v>0</v>
      </c>
      <c r="G26" s="28" t="n">
        <f aca="false">SUM(G18:G25)</f>
        <v>115453.32</v>
      </c>
      <c r="H26" s="28" t="n">
        <f aca="false">SUM(H18:H25)</f>
        <v>7883.58</v>
      </c>
      <c r="I26" s="28" t="n">
        <f aca="false">SUM(I18:I25)</f>
        <v>123336.9</v>
      </c>
      <c r="J26" s="28" t="n">
        <f aca="false">SUM(J18:J25)</f>
        <v>145518.77</v>
      </c>
      <c r="K26" s="26"/>
      <c r="L26" s="26"/>
    </row>
    <row r="28" customFormat="false" ht="15" hidden="false" customHeight="false" outlineLevel="0" collapsed="false">
      <c r="B28" s="18" t="s">
        <v>124</v>
      </c>
    </row>
    <row r="29" customFormat="false" ht="15" hidden="false" customHeight="false" outlineLevel="0" collapsed="false">
      <c r="B29" s="5" t="s">
        <v>125</v>
      </c>
      <c r="D29" s="6" t="n">
        <f aca="false">I14</f>
        <v>117847.47</v>
      </c>
    </row>
    <row r="30" customFormat="false" ht="15" hidden="false" customHeight="false" outlineLevel="0" collapsed="false">
      <c r="B30" s="5" t="s">
        <v>126</v>
      </c>
      <c r="D30" s="6" t="n">
        <f aca="false">I26</f>
        <v>123336.9</v>
      </c>
    </row>
    <row r="31" customFormat="false" ht="15" hidden="false" customHeight="false" outlineLevel="0" collapsed="false">
      <c r="B31" s="11" t="s">
        <v>124</v>
      </c>
      <c r="D31" s="29" t="n">
        <f aca="false">D29-D30</f>
        <v>-5489.43000000001</v>
      </c>
    </row>
    <row r="33" customFormat="false" ht="15" hidden="false" customHeight="false" outlineLevel="0" collapsed="false">
      <c r="A33" s="10" t="s">
        <v>127</v>
      </c>
    </row>
    <row r="34" customFormat="false" ht="15" hidden="false" customHeight="false" outlineLevel="0" collapsed="false">
      <c r="A34" s="21" t="s">
        <v>128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4" t="s">
        <v>105</v>
      </c>
      <c r="B35" s="4" t="s">
        <v>106</v>
      </c>
      <c r="C35" s="4" t="s">
        <v>107</v>
      </c>
      <c r="D35" s="4" t="s">
        <v>108</v>
      </c>
      <c r="E35" s="4" t="s">
        <v>109</v>
      </c>
      <c r="F35" s="4" t="s">
        <v>110</v>
      </c>
      <c r="G35" s="4" t="s">
        <v>129</v>
      </c>
      <c r="H35" s="4" t="s">
        <v>130</v>
      </c>
      <c r="I35" s="4" t="s">
        <v>113</v>
      </c>
      <c r="J35" s="4" t="s">
        <v>114</v>
      </c>
      <c r="K35" s="4" t="s">
        <v>115</v>
      </c>
      <c r="L35" s="4" t="s">
        <v>116</v>
      </c>
    </row>
    <row r="36" customFormat="false" ht="15" hidden="false" customHeight="false" outlineLevel="0" collapsed="false">
      <c r="A36" s="23" t="n">
        <v>1</v>
      </c>
      <c r="B36" s="23" t="s">
        <v>45</v>
      </c>
      <c r="C36" s="23" t="s">
        <v>35</v>
      </c>
      <c r="D36" s="24" t="n">
        <v>212191.05</v>
      </c>
      <c r="E36" s="24" t="n">
        <v>0</v>
      </c>
      <c r="F36" s="24" t="n">
        <v>0</v>
      </c>
      <c r="G36" s="24" t="n">
        <v>62049.02</v>
      </c>
      <c r="H36" s="24" t="n">
        <v>7716.04</v>
      </c>
      <c r="I36" s="24" t="n">
        <f aca="false">G36+H36</f>
        <v>69765.06</v>
      </c>
      <c r="J36" s="24" t="n">
        <f aca="false">D36-I36</f>
        <v>142425.99</v>
      </c>
      <c r="K36" s="25" t="s">
        <v>117</v>
      </c>
      <c r="L36" s="25" t="s">
        <v>118</v>
      </c>
    </row>
    <row r="37" customFormat="false" ht="15" hidden="false" customHeight="false" outlineLevel="0" collapsed="false">
      <c r="A37" s="23" t="n">
        <v>2</v>
      </c>
      <c r="B37" s="23" t="s">
        <v>46</v>
      </c>
      <c r="C37" s="23" t="s">
        <v>37</v>
      </c>
      <c r="D37" s="24" t="n">
        <v>386.45</v>
      </c>
      <c r="E37" s="24" t="n">
        <v>0</v>
      </c>
      <c r="F37" s="24" t="n">
        <v>0</v>
      </c>
      <c r="G37" s="24" t="n">
        <v>111.91</v>
      </c>
      <c r="H37" s="24" t="n">
        <v>14.06</v>
      </c>
      <c r="I37" s="24" t="n">
        <f aca="false">G37+H37</f>
        <v>125.97</v>
      </c>
      <c r="J37" s="24" t="n">
        <f aca="false">D37-I37</f>
        <v>260.48</v>
      </c>
      <c r="K37" s="25" t="s">
        <v>117</v>
      </c>
      <c r="L37" s="25" t="s">
        <v>118</v>
      </c>
    </row>
    <row r="38" customFormat="false" ht="15" hidden="false" customHeight="false" outlineLevel="0" collapsed="false">
      <c r="A38" s="23" t="n">
        <v>3</v>
      </c>
      <c r="B38" s="23" t="s">
        <v>47</v>
      </c>
      <c r="C38" s="23" t="s">
        <v>35</v>
      </c>
      <c r="D38" s="24" t="n">
        <v>20018</v>
      </c>
      <c r="E38" s="24" t="n">
        <v>0</v>
      </c>
      <c r="F38" s="24" t="n">
        <v>0</v>
      </c>
      <c r="G38" s="24" t="n">
        <v>11723.87</v>
      </c>
      <c r="H38" s="24" t="n">
        <v>1181.07</v>
      </c>
      <c r="I38" s="24" t="n">
        <f aca="false">G38+H38</f>
        <v>12904.94</v>
      </c>
      <c r="J38" s="24" t="n">
        <f aca="false">D38-I38</f>
        <v>7113.06</v>
      </c>
      <c r="K38" s="25" t="s">
        <v>119</v>
      </c>
      <c r="L38" s="25" t="s">
        <v>120</v>
      </c>
    </row>
    <row r="39" customFormat="false" ht="15" hidden="false" customHeight="false" outlineLevel="0" collapsed="false">
      <c r="A39" s="23" t="n">
        <v>4</v>
      </c>
      <c r="B39" s="23" t="s">
        <v>48</v>
      </c>
      <c r="C39" s="23" t="s">
        <v>35</v>
      </c>
      <c r="D39" s="24" t="n">
        <v>36260.17</v>
      </c>
      <c r="E39" s="24" t="n">
        <v>0</v>
      </c>
      <c r="F39" s="24" t="n">
        <v>0</v>
      </c>
      <c r="G39" s="24" t="n">
        <v>35051.5</v>
      </c>
      <c r="H39" s="24" t="n">
        <v>0</v>
      </c>
      <c r="I39" s="24" t="n">
        <f aca="false">G39+H39</f>
        <v>35051.5</v>
      </c>
      <c r="J39" s="24" t="n">
        <f aca="false">D39-I39</f>
        <v>1208.67</v>
      </c>
      <c r="K39" s="25" t="s">
        <v>121</v>
      </c>
      <c r="L39" s="25" t="s">
        <v>122</v>
      </c>
    </row>
    <row r="40" customFormat="false" ht="15" hidden="false" customHeight="false" outlineLevel="0" collapsed="false">
      <c r="A40" s="26"/>
      <c r="B40" s="27" t="s">
        <v>53</v>
      </c>
      <c r="C40" s="26"/>
      <c r="D40" s="28" t="n">
        <f aca="false">SUM(D36:D39)</f>
        <v>268855.67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108936.3</v>
      </c>
      <c r="H40" s="28" t="n">
        <f aca="false">SUM(H36:H39)</f>
        <v>8911.17</v>
      </c>
      <c r="I40" s="28" t="n">
        <f aca="false">SUM(I36:I39)</f>
        <v>117847.47</v>
      </c>
      <c r="J40" s="28" t="n">
        <f aca="false">SUM(J36:J39)</f>
        <v>151008.2</v>
      </c>
      <c r="K40" s="26"/>
      <c r="L40" s="26"/>
    </row>
    <row r="42" customFormat="false" ht="15" hidden="false" customHeight="false" outlineLevel="0" collapsed="false">
      <c r="A42" s="21" t="s">
        <v>131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4" t="s">
        <v>105</v>
      </c>
      <c r="B43" s="4" t="s">
        <v>106</v>
      </c>
      <c r="C43" s="4" t="s">
        <v>107</v>
      </c>
      <c r="D43" s="4" t="s">
        <v>108</v>
      </c>
      <c r="E43" s="4" t="s">
        <v>109</v>
      </c>
      <c r="F43" s="4" t="s">
        <v>110</v>
      </c>
      <c r="G43" s="4" t="s">
        <v>129</v>
      </c>
      <c r="H43" s="4" t="s">
        <v>130</v>
      </c>
      <c r="I43" s="4" t="s">
        <v>113</v>
      </c>
      <c r="J43" s="4" t="s">
        <v>114</v>
      </c>
      <c r="K43" s="4" t="s">
        <v>115</v>
      </c>
      <c r="L43" s="4" t="s">
        <v>116</v>
      </c>
    </row>
    <row r="44" customFormat="false" ht="15" hidden="false" customHeight="false" outlineLevel="0" collapsed="false">
      <c r="A44" s="23" t="n">
        <v>1</v>
      </c>
      <c r="B44" s="23" t="s">
        <v>71</v>
      </c>
      <c r="C44" s="23" t="s">
        <v>35</v>
      </c>
      <c r="D44" s="24" t="n">
        <v>41085.46</v>
      </c>
      <c r="E44" s="24" t="n">
        <v>0</v>
      </c>
      <c r="F44" s="24" t="n">
        <v>0</v>
      </c>
      <c r="G44" s="24" t="n">
        <v>41085.46</v>
      </c>
      <c r="H44" s="24" t="n">
        <v>0</v>
      </c>
      <c r="I44" s="24" t="n">
        <f aca="false">G44+H44</f>
        <v>41085.46</v>
      </c>
      <c r="J44" s="24" t="n">
        <f aca="false">D44-I44</f>
        <v>0</v>
      </c>
      <c r="K44" s="25" t="s">
        <v>121</v>
      </c>
      <c r="L44" s="25" t="s">
        <v>122</v>
      </c>
    </row>
    <row r="45" customFormat="false" ht="15" hidden="false" customHeight="false" outlineLevel="0" collapsed="false">
      <c r="A45" s="23" t="n">
        <v>2</v>
      </c>
      <c r="B45" s="23" t="s">
        <v>72</v>
      </c>
      <c r="C45" s="23" t="s">
        <v>35</v>
      </c>
      <c r="D45" s="24" t="n">
        <v>171105.59</v>
      </c>
      <c r="E45" s="24" t="n">
        <v>0</v>
      </c>
      <c r="F45" s="24" t="n">
        <v>0</v>
      </c>
      <c r="G45" s="24" t="n">
        <v>50035.41</v>
      </c>
      <c r="H45" s="24" t="n">
        <v>6222.02</v>
      </c>
      <c r="I45" s="24" t="n">
        <f aca="false">G45+H45</f>
        <v>56257.43</v>
      </c>
      <c r="J45" s="24" t="n">
        <f aca="false">D45-I45</f>
        <v>114848.16</v>
      </c>
      <c r="K45" s="25" t="s">
        <v>117</v>
      </c>
      <c r="L45" s="25" t="s">
        <v>118</v>
      </c>
    </row>
    <row r="46" customFormat="false" ht="15" hidden="false" customHeight="false" outlineLevel="0" collapsed="false">
      <c r="A46" s="23" t="n">
        <v>3</v>
      </c>
      <c r="B46" s="23" t="s">
        <v>73</v>
      </c>
      <c r="C46" s="23" t="s">
        <v>37</v>
      </c>
      <c r="D46" s="24" t="n">
        <v>74.83</v>
      </c>
      <c r="E46" s="24" t="n">
        <v>0</v>
      </c>
      <c r="F46" s="24" t="n">
        <v>0</v>
      </c>
      <c r="G46" s="24" t="n">
        <v>74.83</v>
      </c>
      <c r="H46" s="24" t="n">
        <v>0</v>
      </c>
      <c r="I46" s="24" t="n">
        <f aca="false">G46+H46</f>
        <v>74.83</v>
      </c>
      <c r="J46" s="24" t="n">
        <f aca="false">D46-I46</f>
        <v>0</v>
      </c>
      <c r="K46" s="25" t="s">
        <v>121</v>
      </c>
      <c r="L46" s="25" t="s">
        <v>122</v>
      </c>
    </row>
    <row r="47" customFormat="false" ht="15" hidden="false" customHeight="false" outlineLevel="0" collapsed="false">
      <c r="A47" s="23" t="n">
        <v>4</v>
      </c>
      <c r="B47" s="23" t="s">
        <v>74</v>
      </c>
      <c r="C47" s="23" t="s">
        <v>37</v>
      </c>
      <c r="D47" s="24" t="n">
        <v>311.62</v>
      </c>
      <c r="E47" s="24" t="n">
        <v>0</v>
      </c>
      <c r="F47" s="24" t="n">
        <v>0</v>
      </c>
      <c r="G47" s="24" t="n">
        <v>90.17</v>
      </c>
      <c r="H47" s="24" t="n">
        <v>11.33</v>
      </c>
      <c r="I47" s="24" t="n">
        <f aca="false">G47+H47</f>
        <v>101.5</v>
      </c>
      <c r="J47" s="24" t="n">
        <f aca="false">D47-I47</f>
        <v>210.12</v>
      </c>
      <c r="K47" s="25" t="s">
        <v>117</v>
      </c>
      <c r="L47" s="25" t="s">
        <v>118</v>
      </c>
    </row>
    <row r="48" customFormat="false" ht="15" hidden="false" customHeight="false" outlineLevel="0" collapsed="false">
      <c r="A48" s="23" t="n">
        <v>5</v>
      </c>
      <c r="B48" s="23" t="s">
        <v>75</v>
      </c>
      <c r="C48" s="23" t="s">
        <v>35</v>
      </c>
      <c r="D48" s="24" t="n">
        <v>3875.98</v>
      </c>
      <c r="E48" s="24" t="n">
        <v>0</v>
      </c>
      <c r="F48" s="24" t="n">
        <v>0</v>
      </c>
      <c r="G48" s="24" t="n">
        <v>3875.98</v>
      </c>
      <c r="H48" s="24" t="n">
        <v>0</v>
      </c>
      <c r="I48" s="24" t="n">
        <f aca="false">G48+H48</f>
        <v>3875.98</v>
      </c>
      <c r="J48" s="24" t="n">
        <f aca="false">D48-I48</f>
        <v>0</v>
      </c>
      <c r="K48" s="25" t="s">
        <v>121</v>
      </c>
      <c r="L48" s="25" t="s">
        <v>122</v>
      </c>
    </row>
    <row r="49" customFormat="false" ht="15" hidden="false" customHeight="false" outlineLevel="0" collapsed="false">
      <c r="A49" s="23" t="n">
        <v>6</v>
      </c>
      <c r="B49" s="23" t="s">
        <v>76</v>
      </c>
      <c r="C49" s="23" t="s">
        <v>35</v>
      </c>
      <c r="D49" s="24" t="n">
        <v>16142.02</v>
      </c>
      <c r="E49" s="24" t="n">
        <v>0</v>
      </c>
      <c r="F49" s="24" t="n">
        <v>0</v>
      </c>
      <c r="G49" s="24" t="n">
        <v>4720.3</v>
      </c>
      <c r="H49" s="24" t="n">
        <v>586.98</v>
      </c>
      <c r="I49" s="24" t="n">
        <f aca="false">G49+H49</f>
        <v>5307.28</v>
      </c>
      <c r="J49" s="24" t="n">
        <f aca="false">D49-I49</f>
        <v>10834.74</v>
      </c>
      <c r="K49" s="25" t="s">
        <v>117</v>
      </c>
      <c r="L49" s="25" t="s">
        <v>118</v>
      </c>
    </row>
    <row r="50" customFormat="false" ht="15" hidden="false" customHeight="false" outlineLevel="0" collapsed="false">
      <c r="A50" s="23" t="n">
        <v>7</v>
      </c>
      <c r="B50" s="23" t="s">
        <v>77</v>
      </c>
      <c r="C50" s="23" t="s">
        <v>35</v>
      </c>
      <c r="D50" s="24" t="n">
        <v>7020.87</v>
      </c>
      <c r="E50" s="24" t="n">
        <v>0</v>
      </c>
      <c r="F50" s="24" t="n">
        <v>0</v>
      </c>
      <c r="G50" s="24" t="n">
        <v>7020.87</v>
      </c>
      <c r="H50" s="24" t="n">
        <v>0</v>
      </c>
      <c r="I50" s="24" t="n">
        <f aca="false">G50+H50</f>
        <v>7020.87</v>
      </c>
      <c r="J50" s="24" t="n">
        <f aca="false">D50-I50</f>
        <v>0</v>
      </c>
      <c r="K50" s="25" t="s">
        <v>121</v>
      </c>
      <c r="L50" s="25" t="s">
        <v>122</v>
      </c>
    </row>
    <row r="51" customFormat="false" ht="15" hidden="false" customHeight="false" outlineLevel="0" collapsed="false">
      <c r="A51" s="23" t="n">
        <v>8</v>
      </c>
      <c r="B51" s="23" t="s">
        <v>78</v>
      </c>
      <c r="C51" s="23" t="s">
        <v>35</v>
      </c>
      <c r="D51" s="24" t="n">
        <v>29239.3</v>
      </c>
      <c r="E51" s="24" t="n">
        <v>0</v>
      </c>
      <c r="F51" s="24" t="n">
        <v>0</v>
      </c>
      <c r="G51" s="24" t="n">
        <v>8550.3</v>
      </c>
      <c r="H51" s="24" t="n">
        <v>1063.25</v>
      </c>
      <c r="I51" s="24" t="n">
        <f aca="false">G51+H51</f>
        <v>9613.55</v>
      </c>
      <c r="J51" s="24" t="n">
        <f aca="false">D51-I51</f>
        <v>19625.75</v>
      </c>
      <c r="K51" s="25" t="s">
        <v>117</v>
      </c>
      <c r="L51" s="25" t="s">
        <v>118</v>
      </c>
    </row>
    <row r="52" customFormat="false" ht="15" hidden="false" customHeight="false" outlineLevel="0" collapsed="false">
      <c r="A52" s="26"/>
      <c r="B52" s="27" t="s">
        <v>53</v>
      </c>
      <c r="C52" s="26"/>
      <c r="D52" s="28" t="n">
        <f aca="false">SUM(D44:D51)</f>
        <v>268855.67</v>
      </c>
      <c r="E52" s="28" t="n">
        <f aca="false">SUM(E44:E51)</f>
        <v>0</v>
      </c>
      <c r="F52" s="28" t="n">
        <f aca="false">SUM(F44:F51)</f>
        <v>0</v>
      </c>
      <c r="G52" s="28" t="n">
        <f aca="false">SUM(G44:G51)</f>
        <v>115453.32</v>
      </c>
      <c r="H52" s="28" t="n">
        <f aca="false">SUM(H44:H51)</f>
        <v>7883.58</v>
      </c>
      <c r="I52" s="28" t="n">
        <f aca="false">SUM(I44:I51)</f>
        <v>123336.9</v>
      </c>
      <c r="J52" s="28" t="n">
        <f aca="false">SUM(J44:J51)</f>
        <v>145518.77</v>
      </c>
      <c r="K52" s="26"/>
      <c r="L52" s="26"/>
    </row>
    <row r="54" customFormat="false" ht="15" hidden="false" customHeight="false" outlineLevel="0" collapsed="false">
      <c r="B54" s="18" t="s">
        <v>132</v>
      </c>
    </row>
    <row r="55" customFormat="false" ht="15" hidden="false" customHeight="false" outlineLevel="0" collapsed="false">
      <c r="B55" s="5" t="s">
        <v>125</v>
      </c>
      <c r="D55" s="6" t="n">
        <f aca="false">I40</f>
        <v>117847.47</v>
      </c>
    </row>
    <row r="56" customFormat="false" ht="15" hidden="false" customHeight="false" outlineLevel="0" collapsed="false">
      <c r="B56" s="5" t="s">
        <v>126</v>
      </c>
      <c r="D56" s="6" t="n">
        <f aca="false">I52</f>
        <v>123336.9</v>
      </c>
    </row>
    <row r="57" customFormat="false" ht="15" hidden="false" customHeight="false" outlineLevel="0" collapsed="false">
      <c r="B57" s="11" t="s">
        <v>132</v>
      </c>
      <c r="D57" s="29" t="n">
        <f aca="false">D55-D56</f>
        <v>-5489.43000000001</v>
      </c>
    </row>
    <row r="59" customFormat="false" ht="15" hidden="false" customHeight="false" outlineLevel="0" collapsed="false">
      <c r="A59" s="10" t="s">
        <v>133</v>
      </c>
    </row>
    <row r="60" customFormat="false" ht="15" hidden="false" customHeight="false" outlineLevel="0" collapsed="false">
      <c r="B60" s="11" t="s">
        <v>162</v>
      </c>
      <c r="D60" s="12" t="n">
        <f aca="false">D99</f>
        <v>268855.67</v>
      </c>
    </row>
    <row r="61" customFormat="false" ht="15" hidden="false" customHeight="false" outlineLevel="0" collapsed="false">
      <c r="B61" s="5" t="s">
        <v>163</v>
      </c>
      <c r="D61" s="6" t="n">
        <f aca="false">F99</f>
        <v>52057.14</v>
      </c>
    </row>
    <row r="62" customFormat="false" ht="15" hidden="false" customHeight="false" outlineLevel="0" collapsed="false">
      <c r="B62" s="30" t="s">
        <v>136</v>
      </c>
      <c r="D62" s="31" t="n">
        <f aca="false">F100</f>
        <v>0.193624854554862</v>
      </c>
    </row>
    <row r="63" customFormat="false" ht="15" hidden="false" customHeight="false" outlineLevel="0" collapsed="false">
      <c r="B63" s="5" t="s">
        <v>164</v>
      </c>
      <c r="D63" s="6" t="n">
        <f aca="false">H99</f>
        <v>216798.53</v>
      </c>
    </row>
    <row r="64" customFormat="false" ht="15" hidden="false" customHeight="false" outlineLevel="0" collapsed="false">
      <c r="B64" s="30" t="s">
        <v>136</v>
      </c>
      <c r="D64" s="31" t="n">
        <f aca="false">H100</f>
        <v>0.806375145445138</v>
      </c>
    </row>
    <row r="66" customFormat="false" ht="15" hidden="false" customHeight="false" outlineLevel="0" collapsed="false">
      <c r="A66" s="10" t="s">
        <v>138</v>
      </c>
    </row>
    <row r="67" customFormat="false" ht="15" hidden="false" customHeight="false" outlineLevel="0" collapsed="false">
      <c r="B67" s="4" t="s">
        <v>139</v>
      </c>
      <c r="D67" s="4" t="s">
        <v>108</v>
      </c>
      <c r="F67" s="4" t="s">
        <v>165</v>
      </c>
      <c r="H67" s="4" t="s">
        <v>141</v>
      </c>
    </row>
    <row r="68" customFormat="false" ht="15" hidden="false" customHeight="false" outlineLevel="0" collapsed="false">
      <c r="B68" s="32" t="s">
        <v>166</v>
      </c>
    </row>
    <row r="69" customFormat="false" ht="15" hidden="false" customHeight="false" outlineLevel="0" collapsed="false">
      <c r="B69" s="5" t="s">
        <v>167</v>
      </c>
      <c r="D69" s="33" t="n">
        <f aca="false">SUM(F69:H69)</f>
        <v>7759.94</v>
      </c>
      <c r="F69" s="33" t="n">
        <v>7759.94</v>
      </c>
    </row>
    <row r="70" customFormat="false" ht="15" hidden="false" customHeight="false" outlineLevel="0" collapsed="false">
      <c r="B70" s="5" t="s">
        <v>168</v>
      </c>
      <c r="D70" s="33" t="n">
        <f aca="false">SUM(F70:H70)</f>
        <v>4601.14</v>
      </c>
      <c r="F70" s="33" t="n">
        <v>4601.14</v>
      </c>
    </row>
    <row r="71" customFormat="false" ht="15" hidden="false" customHeight="false" outlineLevel="0" collapsed="false">
      <c r="B71" s="5" t="s">
        <v>169</v>
      </c>
      <c r="D71" s="33" t="n">
        <f aca="false">SUM(F71:H71)</f>
        <v>18695.69</v>
      </c>
      <c r="F71" s="33" t="n">
        <v>18695.69</v>
      </c>
    </row>
    <row r="72" customFormat="false" ht="15" hidden="false" customHeight="false" outlineLevel="0" collapsed="false">
      <c r="B72" s="5" t="s">
        <v>171</v>
      </c>
      <c r="D72" s="33" t="n">
        <f aca="false">SUM(F72:H72)</f>
        <v>2235.2</v>
      </c>
      <c r="F72" s="33" t="n">
        <v>2235.2</v>
      </c>
    </row>
    <row r="73" customFormat="false" ht="15" hidden="false" customHeight="false" outlineLevel="0" collapsed="false">
      <c r="B73" s="5" t="s">
        <v>196</v>
      </c>
      <c r="D73" s="33" t="n">
        <f aca="false">SUM(F73:H73)</f>
        <v>274.94</v>
      </c>
      <c r="F73" s="33" t="n">
        <v>274.94</v>
      </c>
    </row>
    <row r="74" customFormat="false" ht="15" hidden="false" customHeight="false" outlineLevel="0" collapsed="false">
      <c r="B74" s="5" t="s">
        <v>197</v>
      </c>
      <c r="D74" s="33" t="n">
        <f aca="false">SUM(F74:H74)</f>
        <v>120.68</v>
      </c>
      <c r="F74" s="33" t="n">
        <v>120.68</v>
      </c>
    </row>
    <row r="75" customFormat="false" ht="15" hidden="false" customHeight="false" outlineLevel="0" collapsed="false">
      <c r="B75" s="5" t="s">
        <v>172</v>
      </c>
      <c r="D75" s="33" t="n">
        <f aca="false">SUM(F75:H75)</f>
        <v>4471.44</v>
      </c>
      <c r="F75" s="33" t="n">
        <v>4471.44</v>
      </c>
    </row>
    <row r="76" customFormat="false" ht="15" hidden="false" customHeight="false" outlineLevel="0" collapsed="false">
      <c r="B76" s="5" t="s">
        <v>173</v>
      </c>
      <c r="D76" s="33" t="n">
        <f aca="false">SUM(F76:H76)</f>
        <v>1633.14</v>
      </c>
      <c r="F76" s="33" t="n">
        <v>1633.14</v>
      </c>
    </row>
    <row r="77" customFormat="false" ht="15" hidden="false" customHeight="false" outlineLevel="0" collapsed="false">
      <c r="B77" s="5" t="s">
        <v>198</v>
      </c>
      <c r="D77" s="33" t="n">
        <f aca="false">SUM(F77:H77)</f>
        <v>5141.11</v>
      </c>
      <c r="F77" s="33" t="n">
        <v>5141.11</v>
      </c>
    </row>
    <row r="78" customFormat="false" ht="15" hidden="false" customHeight="false" outlineLevel="0" collapsed="false">
      <c r="B78" s="5" t="s">
        <v>175</v>
      </c>
      <c r="D78" s="33" t="n">
        <f aca="false">SUM(F78:H78)</f>
        <v>1534.74</v>
      </c>
      <c r="F78" s="33" t="n">
        <v>1534.74</v>
      </c>
    </row>
    <row r="79" customFormat="false" ht="15" hidden="false" customHeight="false" outlineLevel="0" collapsed="false">
      <c r="B79" s="5" t="s">
        <v>199</v>
      </c>
      <c r="D79" s="33" t="n">
        <f aca="false">SUM(F79:H79)</f>
        <v>64.8</v>
      </c>
      <c r="F79" s="33" t="n">
        <v>64.8</v>
      </c>
    </row>
    <row r="80" customFormat="false" ht="15" hidden="false" customHeight="false" outlineLevel="0" collapsed="false">
      <c r="B80" s="5" t="s">
        <v>200</v>
      </c>
      <c r="D80" s="33" t="n">
        <f aca="false">SUM(F80:H80)</f>
        <v>5524.32</v>
      </c>
      <c r="F80" s="33" t="n">
        <v>5524.32</v>
      </c>
    </row>
    <row r="81" customFormat="false" ht="15" hidden="false" customHeight="false" outlineLevel="0" collapsed="false">
      <c r="B81" s="32" t="s">
        <v>177</v>
      </c>
    </row>
    <row r="82" customFormat="false" ht="15" hidden="false" customHeight="false" outlineLevel="0" collapsed="false">
      <c r="B82" s="5" t="s">
        <v>178</v>
      </c>
      <c r="D82" s="33" t="n">
        <f aca="false">SUM(F82:H82)</f>
        <v>10400.92</v>
      </c>
      <c r="H82" s="33" t="n">
        <v>10400.92</v>
      </c>
    </row>
    <row r="83" customFormat="false" ht="15" hidden="false" customHeight="false" outlineLevel="0" collapsed="false">
      <c r="B83" s="5" t="s">
        <v>179</v>
      </c>
      <c r="D83" s="33" t="n">
        <f aca="false">SUM(F83:H83)</f>
        <v>19732.45</v>
      </c>
      <c r="H83" s="33" t="n">
        <v>19732.45</v>
      </c>
    </row>
    <row r="84" customFormat="false" ht="15" hidden="false" customHeight="false" outlineLevel="0" collapsed="false">
      <c r="B84" s="5" t="s">
        <v>180</v>
      </c>
      <c r="D84" s="33" t="n">
        <f aca="false">SUM(F84:H84)</f>
        <v>18076.85</v>
      </c>
      <c r="H84" s="33" t="n">
        <v>18076.85</v>
      </c>
    </row>
    <row r="85" customFormat="false" ht="15" hidden="false" customHeight="false" outlineLevel="0" collapsed="false">
      <c r="B85" s="5" t="s">
        <v>181</v>
      </c>
      <c r="D85" s="33" t="n">
        <f aca="false">SUM(F85:H85)</f>
        <v>19867.9</v>
      </c>
      <c r="H85" s="33" t="n">
        <v>19867.9</v>
      </c>
    </row>
    <row r="86" customFormat="false" ht="15" hidden="false" customHeight="false" outlineLevel="0" collapsed="false">
      <c r="B86" s="5" t="s">
        <v>182</v>
      </c>
      <c r="D86" s="33" t="n">
        <f aca="false">SUM(F86:H86)</f>
        <v>15953.11</v>
      </c>
      <c r="H86" s="33" t="n">
        <v>15953.11</v>
      </c>
    </row>
    <row r="87" customFormat="false" ht="15" hidden="false" customHeight="false" outlineLevel="0" collapsed="false">
      <c r="B87" s="5" t="s">
        <v>183</v>
      </c>
      <c r="D87" s="33" t="n">
        <f aca="false">SUM(F87:H87)</f>
        <v>1077</v>
      </c>
      <c r="H87" s="33" t="n">
        <v>1077</v>
      </c>
    </row>
    <row r="88" customFormat="false" ht="15" hidden="false" customHeight="false" outlineLevel="0" collapsed="false">
      <c r="B88" s="5" t="s">
        <v>184</v>
      </c>
      <c r="D88" s="33" t="n">
        <f aca="false">SUM(F88:H88)</f>
        <v>24515.03</v>
      </c>
      <c r="H88" s="33" t="n">
        <v>24515.03</v>
      </c>
    </row>
    <row r="89" customFormat="false" ht="15" hidden="false" customHeight="false" outlineLevel="0" collapsed="false">
      <c r="B89" s="5" t="s">
        <v>185</v>
      </c>
      <c r="D89" s="33" t="n">
        <f aca="false">SUM(F89:H89)</f>
        <v>18444.72</v>
      </c>
      <c r="H89" s="33" t="n">
        <v>18444.72</v>
      </c>
    </row>
    <row r="90" customFormat="false" ht="15" hidden="false" customHeight="false" outlineLevel="0" collapsed="false">
      <c r="B90" s="5" t="s">
        <v>186</v>
      </c>
      <c r="D90" s="33" t="n">
        <f aca="false">SUM(F90:H90)</f>
        <v>11037.53</v>
      </c>
      <c r="H90" s="33" t="n">
        <v>11037.53</v>
      </c>
    </row>
    <row r="91" customFormat="false" ht="15" hidden="false" customHeight="false" outlineLevel="0" collapsed="false">
      <c r="B91" s="5" t="s">
        <v>187</v>
      </c>
      <c r="D91" s="33" t="n">
        <f aca="false">SUM(F91:H91)</f>
        <v>8326.32</v>
      </c>
      <c r="H91" s="33" t="n">
        <v>8326.32</v>
      </c>
    </row>
    <row r="92" customFormat="false" ht="15" hidden="false" customHeight="false" outlineLevel="0" collapsed="false">
      <c r="B92" s="5" t="s">
        <v>188</v>
      </c>
      <c r="D92" s="33" t="n">
        <f aca="false">SUM(F92:H92)</f>
        <v>20278.2</v>
      </c>
      <c r="H92" s="33" t="n">
        <v>20278.2</v>
      </c>
    </row>
    <row r="93" customFormat="false" ht="15" hidden="false" customHeight="false" outlineLevel="0" collapsed="false">
      <c r="B93" s="5" t="s">
        <v>189</v>
      </c>
      <c r="D93" s="33" t="n">
        <f aca="false">SUM(F93:H93)</f>
        <v>8613.97</v>
      </c>
      <c r="H93" s="33" t="n">
        <v>8613.97</v>
      </c>
    </row>
    <row r="94" customFormat="false" ht="15" hidden="false" customHeight="false" outlineLevel="0" collapsed="false">
      <c r="B94" s="5" t="s">
        <v>190</v>
      </c>
      <c r="D94" s="33" t="n">
        <f aca="false">SUM(F94:H94)</f>
        <v>1343.51</v>
      </c>
      <c r="H94" s="33" t="n">
        <v>1343.51</v>
      </c>
    </row>
    <row r="95" customFormat="false" ht="15" hidden="false" customHeight="false" outlineLevel="0" collapsed="false">
      <c r="B95" s="5" t="s">
        <v>192</v>
      </c>
      <c r="D95" s="33" t="n">
        <f aca="false">SUM(F95:H95)</f>
        <v>27755.5</v>
      </c>
      <c r="H95" s="33" t="n">
        <v>27755.5</v>
      </c>
    </row>
    <row r="96" customFormat="false" ht="15" hidden="false" customHeight="false" outlineLevel="0" collapsed="false">
      <c r="B96" s="5" t="s">
        <v>201</v>
      </c>
      <c r="D96" s="33" t="n">
        <f aca="false">SUM(F96:H96)</f>
        <v>6811.28</v>
      </c>
      <c r="H96" s="33" t="n">
        <v>6811.28</v>
      </c>
    </row>
    <row r="97" customFormat="false" ht="15" hidden="false" customHeight="false" outlineLevel="0" collapsed="false">
      <c r="B97" s="5" t="s">
        <v>193</v>
      </c>
      <c r="D97" s="33" t="n">
        <f aca="false">SUM(F97:H97)</f>
        <v>1999.53</v>
      </c>
      <c r="H97" s="33" t="n">
        <v>1999.53</v>
      </c>
    </row>
    <row r="98" customFormat="false" ht="15" hidden="false" customHeight="false" outlineLevel="0" collapsed="false">
      <c r="B98" s="5" t="s">
        <v>202</v>
      </c>
      <c r="D98" s="33" t="n">
        <f aca="false">SUM(F98:H98)</f>
        <v>2564.71</v>
      </c>
      <c r="H98" s="33" t="n">
        <v>2564.71</v>
      </c>
    </row>
    <row r="99" customFormat="false" ht="15" hidden="false" customHeight="false" outlineLevel="0" collapsed="false">
      <c r="B99" s="11" t="s">
        <v>162</v>
      </c>
      <c r="D99" s="34" t="n">
        <f aca="false">SUM(D68:D98)</f>
        <v>268855.67</v>
      </c>
      <c r="F99" s="34" t="n">
        <f aca="false">SUM(F68:F98)</f>
        <v>52057.14</v>
      </c>
      <c r="H99" s="34" t="n">
        <f aca="false">SUM(H68:H98)</f>
        <v>216798.53</v>
      </c>
    </row>
    <row r="100" customFormat="false" ht="15" hidden="false" customHeight="false" outlineLevel="0" collapsed="false">
      <c r="B100" s="30" t="s">
        <v>136</v>
      </c>
      <c r="F100" s="31" t="n">
        <f aca="false">F99/D99</f>
        <v>0.193624854554862</v>
      </c>
      <c r="H100" s="31" t="n">
        <f aca="false">H99/D99</f>
        <v>0.806375145445138</v>
      </c>
    </row>
    <row r="102" customFormat="false" ht="15" hidden="false" customHeight="false" outlineLevel="0" collapsed="false">
      <c r="A102" s="10" t="s">
        <v>157</v>
      </c>
    </row>
    <row r="103" customFormat="false" ht="15" hidden="false" customHeight="false" outlineLevel="0" collapsed="false">
      <c r="B103" s="4" t="s">
        <v>158</v>
      </c>
      <c r="D103" s="4" t="s">
        <v>108</v>
      </c>
      <c r="F103" s="4" t="s">
        <v>165</v>
      </c>
      <c r="H103" s="4" t="s">
        <v>141</v>
      </c>
    </row>
    <row r="104" customFormat="false" ht="15" hidden="false" customHeight="false" outlineLevel="0" collapsed="false">
      <c r="B104" s="5" t="str">
        <f aca="false">'Building 14'!B18</f>
        <v>1 - Buillding - Apt - 5yr</v>
      </c>
      <c r="D104" s="33" t="n">
        <f aca="false">SUM(F104:H104)</f>
        <v>41085.46</v>
      </c>
      <c r="F104" s="33" t="n">
        <f aca="false">'Building 14'!D18</f>
        <v>41085.46</v>
      </c>
    </row>
    <row r="105" customFormat="false" ht="15" hidden="false" customHeight="false" outlineLevel="0" collapsed="false">
      <c r="B105" s="5" t="str">
        <f aca="false">'Building 14'!B19</f>
        <v>1 - Buillding - Apt - 27.5yr</v>
      </c>
      <c r="D105" s="33" t="n">
        <f aca="false">SUM(F105:H105)</f>
        <v>171105.59</v>
      </c>
      <c r="H105" s="33" t="n">
        <f aca="false">'Building 14'!D19</f>
        <v>171105.59</v>
      </c>
    </row>
    <row r="106" customFormat="false" ht="15" hidden="false" customHeight="false" outlineLevel="0" collapsed="false">
      <c r="B106" s="5" t="str">
        <f aca="false">'Building 14'!B20</f>
        <v>5 - Building - Apt - 5yr</v>
      </c>
      <c r="D106" s="33" t="n">
        <f aca="false">SUM(F106:H106)</f>
        <v>74.83</v>
      </c>
      <c r="F106" s="33" t="n">
        <f aca="false">'Building 14'!D20</f>
        <v>74.83</v>
      </c>
    </row>
    <row r="107" customFormat="false" ht="15" hidden="false" customHeight="false" outlineLevel="0" collapsed="false">
      <c r="B107" s="5" t="str">
        <f aca="false">'Building 14'!B21</f>
        <v>5 - Building - Apt - 27.5yr</v>
      </c>
      <c r="D107" s="33" t="n">
        <f aca="false">SUM(F107:H107)</f>
        <v>311.62</v>
      </c>
      <c r="H107" s="33" t="n">
        <f aca="false">'Building 14'!D21</f>
        <v>311.62</v>
      </c>
    </row>
    <row r="108" customFormat="false" ht="15" hidden="false" customHeight="false" outlineLevel="0" collapsed="false">
      <c r="B108" s="5" t="str">
        <f aca="false">'Building 14'!B22</f>
        <v>3 - Land Improvements - Apt - 5yr</v>
      </c>
      <c r="D108" s="33" t="n">
        <f aca="false">SUM(F108:H108)</f>
        <v>3875.98</v>
      </c>
      <c r="F108" s="33" t="n">
        <f aca="false">'Building 14'!D22</f>
        <v>3875.98</v>
      </c>
    </row>
    <row r="109" customFormat="false" ht="15" hidden="false" customHeight="false" outlineLevel="0" collapsed="false">
      <c r="B109" s="5" t="str">
        <f aca="false">'Building 14'!B23</f>
        <v>3 - Land Improvements - Apt - 27.5yr</v>
      </c>
      <c r="D109" s="33" t="n">
        <f aca="false">SUM(F109:H109)</f>
        <v>16142.02</v>
      </c>
      <c r="H109" s="33" t="n">
        <f aca="false">'Building 14'!D23</f>
        <v>16142.02</v>
      </c>
    </row>
    <row r="110" customFormat="false" ht="15" hidden="false" customHeight="false" outlineLevel="0" collapsed="false">
      <c r="B110" s="5" t="str">
        <f aca="false">'Building 14'!B24</f>
        <v>4 - Equipment - Apt - 5yr</v>
      </c>
      <c r="D110" s="33" t="n">
        <f aca="false">SUM(F110:H110)</f>
        <v>7020.87</v>
      </c>
      <c r="F110" s="33" t="n">
        <f aca="false">'Building 14'!D24</f>
        <v>7020.87</v>
      </c>
    </row>
    <row r="111" customFormat="false" ht="15" hidden="false" customHeight="false" outlineLevel="0" collapsed="false">
      <c r="B111" s="5" t="str">
        <f aca="false">'Building 14'!B25</f>
        <v>4 - Equipment - Apt - 27.5yr</v>
      </c>
      <c r="D111" s="33" t="n">
        <f aca="false">SUM(F111:H111)</f>
        <v>29239.3</v>
      </c>
      <c r="H111" s="33" t="n">
        <f aca="false">'Building 14'!D25</f>
        <v>29239.3</v>
      </c>
    </row>
    <row r="112" customFormat="false" ht="15" hidden="false" customHeight="false" outlineLevel="0" collapsed="false">
      <c r="B112" s="11" t="s">
        <v>159</v>
      </c>
      <c r="D112" s="34" t="n">
        <f aca="false">SUM(D104:D111)</f>
        <v>268855.67</v>
      </c>
      <c r="F112" s="34" t="n">
        <f aca="false">SUM(F104:F111)</f>
        <v>52057.14</v>
      </c>
      <c r="H112" s="34" t="n">
        <f aca="false">SUM(H104:H111)</f>
        <v>216798.53</v>
      </c>
    </row>
    <row r="113" customFormat="false" ht="15" hidden="false" customHeight="false" outlineLevel="0" collapsed="false">
      <c r="B113" s="16" t="s">
        <v>160</v>
      </c>
      <c r="D113" s="17" t="n">
        <f aca="false">D112-D99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216</v>
      </c>
    </row>
    <row r="5" customFormat="false" ht="15" hidden="false" customHeight="false" outlineLevel="0" collapsed="false">
      <c r="A5" s="16" t="s">
        <v>102</v>
      </c>
    </row>
    <row r="7" customFormat="false" ht="15" hidden="false" customHeight="false" outlineLevel="0" collapsed="false">
      <c r="A7" s="10" t="s">
        <v>103</v>
      </c>
    </row>
    <row r="8" customFormat="false" ht="15" hidden="false" customHeight="false" outlineLevel="0" collapsed="false">
      <c r="A8" s="21" t="s">
        <v>104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105</v>
      </c>
      <c r="B9" s="4" t="s">
        <v>106</v>
      </c>
      <c r="C9" s="4" t="s">
        <v>107</v>
      </c>
      <c r="D9" s="4" t="s">
        <v>108</v>
      </c>
      <c r="E9" s="4" t="s">
        <v>109</v>
      </c>
      <c r="F9" s="4" t="s">
        <v>110</v>
      </c>
      <c r="G9" s="4" t="s">
        <v>111</v>
      </c>
      <c r="H9" s="4" t="s">
        <v>112</v>
      </c>
      <c r="I9" s="4" t="s">
        <v>113</v>
      </c>
      <c r="J9" s="4" t="s">
        <v>114</v>
      </c>
      <c r="K9" s="4" t="s">
        <v>115</v>
      </c>
      <c r="L9" s="4" t="s">
        <v>116</v>
      </c>
    </row>
    <row r="10" customFormat="false" ht="15" hidden="false" customHeight="false" outlineLevel="0" collapsed="false">
      <c r="A10" s="23" t="n">
        <v>1</v>
      </c>
      <c r="B10" s="23" t="s">
        <v>45</v>
      </c>
      <c r="C10" s="23" t="s">
        <v>35</v>
      </c>
      <c r="D10" s="24" t="n">
        <v>91140.5</v>
      </c>
      <c r="E10" s="24" t="n">
        <v>0</v>
      </c>
      <c r="F10" s="24" t="n">
        <v>0</v>
      </c>
      <c r="G10" s="24" t="n">
        <v>26651.36</v>
      </c>
      <c r="H10" s="24" t="n">
        <v>3314.2</v>
      </c>
      <c r="I10" s="24" t="n">
        <f aca="false">G10+H10</f>
        <v>29965.56</v>
      </c>
      <c r="J10" s="24" t="n">
        <f aca="false">D10-I10</f>
        <v>61174.94</v>
      </c>
      <c r="K10" s="25" t="s">
        <v>117</v>
      </c>
      <c r="L10" s="25" t="s">
        <v>118</v>
      </c>
    </row>
    <row r="11" customFormat="false" ht="15" hidden="false" customHeight="false" outlineLevel="0" collapsed="false">
      <c r="A11" s="23" t="n">
        <v>2</v>
      </c>
      <c r="B11" s="23" t="s">
        <v>46</v>
      </c>
      <c r="C11" s="23" t="s">
        <v>37</v>
      </c>
      <c r="D11" s="24" t="n">
        <v>165.99</v>
      </c>
      <c r="E11" s="24" t="n">
        <v>0</v>
      </c>
      <c r="F11" s="24" t="n">
        <v>0</v>
      </c>
      <c r="G11" s="24" t="n">
        <v>48.07</v>
      </c>
      <c r="H11" s="24" t="n">
        <v>6.04</v>
      </c>
      <c r="I11" s="24" t="n">
        <f aca="false">G11+H11</f>
        <v>54.11</v>
      </c>
      <c r="J11" s="24" t="n">
        <f aca="false">D11-I11</f>
        <v>111.88</v>
      </c>
      <c r="K11" s="25" t="s">
        <v>117</v>
      </c>
      <c r="L11" s="25" t="s">
        <v>118</v>
      </c>
    </row>
    <row r="12" customFormat="false" ht="15" hidden="false" customHeight="false" outlineLevel="0" collapsed="false">
      <c r="A12" s="23" t="n">
        <v>3</v>
      </c>
      <c r="B12" s="23" t="s">
        <v>47</v>
      </c>
      <c r="C12" s="23" t="s">
        <v>35</v>
      </c>
      <c r="D12" s="24" t="n">
        <v>8598.15</v>
      </c>
      <c r="E12" s="24" t="n">
        <v>0</v>
      </c>
      <c r="F12" s="24" t="n">
        <v>0</v>
      </c>
      <c r="G12" s="24" t="n">
        <v>5035.65</v>
      </c>
      <c r="H12" s="24" t="n">
        <v>507.3</v>
      </c>
      <c r="I12" s="24" t="n">
        <f aca="false">G12+H12</f>
        <v>5542.95</v>
      </c>
      <c r="J12" s="24" t="n">
        <f aca="false">D12-I12</f>
        <v>3055.2</v>
      </c>
      <c r="K12" s="25" t="s">
        <v>119</v>
      </c>
      <c r="L12" s="25" t="s">
        <v>120</v>
      </c>
    </row>
    <row r="13" customFormat="false" ht="15" hidden="false" customHeight="false" outlineLevel="0" collapsed="false">
      <c r="A13" s="23" t="n">
        <v>4</v>
      </c>
      <c r="B13" s="23" t="s">
        <v>48</v>
      </c>
      <c r="C13" s="23" t="s">
        <v>35</v>
      </c>
      <c r="D13" s="24" t="n">
        <v>15574.5</v>
      </c>
      <c r="E13" s="24" t="n">
        <v>0</v>
      </c>
      <c r="F13" s="24" t="n">
        <v>0</v>
      </c>
      <c r="G13" s="24" t="n">
        <v>15055.35</v>
      </c>
      <c r="H13" s="24" t="n">
        <v>0</v>
      </c>
      <c r="I13" s="24" t="n">
        <f aca="false">G13+H13</f>
        <v>15055.35</v>
      </c>
      <c r="J13" s="24" t="n">
        <f aca="false">D13-I13</f>
        <v>519.15</v>
      </c>
      <c r="K13" s="25" t="s">
        <v>121</v>
      </c>
      <c r="L13" s="25" t="s">
        <v>122</v>
      </c>
    </row>
    <row r="14" customFormat="false" ht="15" hidden="false" customHeight="false" outlineLevel="0" collapsed="false">
      <c r="A14" s="26"/>
      <c r="B14" s="27" t="s">
        <v>53</v>
      </c>
      <c r="C14" s="26"/>
      <c r="D14" s="28" t="n">
        <f aca="false">SUM(D10:D13)</f>
        <v>115479.14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46790.43</v>
      </c>
      <c r="H14" s="28" t="n">
        <f aca="false">SUM(H10:H13)</f>
        <v>3827.54</v>
      </c>
      <c r="I14" s="28" t="n">
        <f aca="false">SUM(I10:I13)</f>
        <v>50617.97</v>
      </c>
      <c r="J14" s="28" t="n">
        <f aca="false">SUM(J10:J13)</f>
        <v>64861.17</v>
      </c>
      <c r="K14" s="26"/>
      <c r="L14" s="26"/>
    </row>
    <row r="16" customFormat="false" ht="15" hidden="false" customHeight="false" outlineLevel="0" collapsed="false">
      <c r="A16" s="21" t="s">
        <v>123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4" t="s">
        <v>105</v>
      </c>
      <c r="B17" s="4" t="s">
        <v>106</v>
      </c>
      <c r="C17" s="4" t="s">
        <v>107</v>
      </c>
      <c r="D17" s="4" t="s">
        <v>108</v>
      </c>
      <c r="E17" s="4" t="s">
        <v>109</v>
      </c>
      <c r="F17" s="4" t="s">
        <v>110</v>
      </c>
      <c r="G17" s="4" t="s">
        <v>111</v>
      </c>
      <c r="H17" s="4" t="s">
        <v>112</v>
      </c>
      <c r="I17" s="4" t="s">
        <v>113</v>
      </c>
      <c r="J17" s="4" t="s">
        <v>114</v>
      </c>
      <c r="K17" s="4" t="s">
        <v>115</v>
      </c>
      <c r="L17" s="4" t="s">
        <v>116</v>
      </c>
    </row>
    <row r="18" customFormat="false" ht="15" hidden="false" customHeight="false" outlineLevel="0" collapsed="false">
      <c r="A18" s="23" t="n">
        <v>1</v>
      </c>
      <c r="B18" s="23" t="s">
        <v>71</v>
      </c>
      <c r="C18" s="23" t="s">
        <v>35</v>
      </c>
      <c r="D18" s="24" t="n">
        <v>21279.35</v>
      </c>
      <c r="E18" s="24" t="n">
        <v>0</v>
      </c>
      <c r="F18" s="24" t="n">
        <v>0</v>
      </c>
      <c r="G18" s="24" t="n">
        <v>21279.35</v>
      </c>
      <c r="H18" s="24" t="n">
        <v>0</v>
      </c>
      <c r="I18" s="24" t="n">
        <f aca="false">G18+H18</f>
        <v>21279.35</v>
      </c>
      <c r="J18" s="24" t="n">
        <f aca="false">D18-I18</f>
        <v>0</v>
      </c>
      <c r="K18" s="25" t="s">
        <v>121</v>
      </c>
      <c r="L18" s="25" t="s">
        <v>122</v>
      </c>
    </row>
    <row r="19" customFormat="false" ht="15" hidden="false" customHeight="false" outlineLevel="0" collapsed="false">
      <c r="A19" s="23" t="n">
        <v>2</v>
      </c>
      <c r="B19" s="23" t="s">
        <v>72</v>
      </c>
      <c r="C19" s="23" t="s">
        <v>35</v>
      </c>
      <c r="D19" s="24" t="n">
        <v>69861.15</v>
      </c>
      <c r="E19" s="24" t="n">
        <v>0</v>
      </c>
      <c r="F19" s="24" t="n">
        <v>0</v>
      </c>
      <c r="G19" s="24" t="n">
        <v>20429.13</v>
      </c>
      <c r="H19" s="24" t="n">
        <v>2540.41</v>
      </c>
      <c r="I19" s="24" t="n">
        <f aca="false">G19+H19</f>
        <v>22969.54</v>
      </c>
      <c r="J19" s="24" t="n">
        <f aca="false">D19-I19</f>
        <v>46891.61</v>
      </c>
      <c r="K19" s="25" t="s">
        <v>117</v>
      </c>
      <c r="L19" s="25" t="s">
        <v>118</v>
      </c>
    </row>
    <row r="20" customFormat="false" ht="15" hidden="false" customHeight="false" outlineLevel="0" collapsed="false">
      <c r="A20" s="23" t="n">
        <v>3</v>
      </c>
      <c r="B20" s="23" t="s">
        <v>73</v>
      </c>
      <c r="C20" s="23" t="s">
        <v>37</v>
      </c>
      <c r="D20" s="24" t="n">
        <v>38.76</v>
      </c>
      <c r="E20" s="24" t="n">
        <v>0</v>
      </c>
      <c r="F20" s="24" t="n">
        <v>0</v>
      </c>
      <c r="G20" s="24" t="n">
        <v>38.76</v>
      </c>
      <c r="H20" s="24" t="n">
        <v>0</v>
      </c>
      <c r="I20" s="24" t="n">
        <f aca="false">G20+H20</f>
        <v>38.76</v>
      </c>
      <c r="J20" s="24" t="n">
        <f aca="false">D20-I20</f>
        <v>0</v>
      </c>
      <c r="K20" s="25" t="s">
        <v>121</v>
      </c>
      <c r="L20" s="25" t="s">
        <v>122</v>
      </c>
    </row>
    <row r="21" customFormat="false" ht="15" hidden="false" customHeight="false" outlineLevel="0" collapsed="false">
      <c r="A21" s="23" t="n">
        <v>4</v>
      </c>
      <c r="B21" s="23" t="s">
        <v>74</v>
      </c>
      <c r="C21" s="23" t="s">
        <v>37</v>
      </c>
      <c r="D21" s="24" t="n">
        <v>127.23</v>
      </c>
      <c r="E21" s="24" t="n">
        <v>0</v>
      </c>
      <c r="F21" s="24" t="n">
        <v>0</v>
      </c>
      <c r="G21" s="24" t="n">
        <v>36.84</v>
      </c>
      <c r="H21" s="24" t="n">
        <v>4.63</v>
      </c>
      <c r="I21" s="24" t="n">
        <f aca="false">G21+H21</f>
        <v>41.47</v>
      </c>
      <c r="J21" s="24" t="n">
        <f aca="false">D21-I21</f>
        <v>85.76</v>
      </c>
      <c r="K21" s="25" t="s">
        <v>117</v>
      </c>
      <c r="L21" s="25" t="s">
        <v>118</v>
      </c>
    </row>
    <row r="22" customFormat="false" ht="15" hidden="false" customHeight="false" outlineLevel="0" collapsed="false">
      <c r="A22" s="23" t="n">
        <v>5</v>
      </c>
      <c r="B22" s="23" t="s">
        <v>79</v>
      </c>
      <c r="C22" s="23" t="s">
        <v>35</v>
      </c>
      <c r="D22" s="24" t="n">
        <v>2007.48</v>
      </c>
      <c r="E22" s="24" t="n">
        <v>0</v>
      </c>
      <c r="F22" s="24" t="n">
        <v>0</v>
      </c>
      <c r="G22" s="24" t="n">
        <v>2007.48</v>
      </c>
      <c r="H22" s="24" t="n">
        <v>0</v>
      </c>
      <c r="I22" s="24" t="n">
        <f aca="false">G22+H22</f>
        <v>2007.48</v>
      </c>
      <c r="J22" s="24" t="n">
        <f aca="false">D22-I22</f>
        <v>0</v>
      </c>
      <c r="K22" s="25" t="s">
        <v>121</v>
      </c>
      <c r="L22" s="25" t="s">
        <v>122</v>
      </c>
    </row>
    <row r="23" customFormat="false" ht="15" hidden="false" customHeight="false" outlineLevel="0" collapsed="false">
      <c r="A23" s="23" t="n">
        <v>6</v>
      </c>
      <c r="B23" s="23" t="s">
        <v>80</v>
      </c>
      <c r="C23" s="23" t="s">
        <v>35</v>
      </c>
      <c r="D23" s="24" t="n">
        <v>6590.67</v>
      </c>
      <c r="E23" s="24" t="n">
        <v>0</v>
      </c>
      <c r="F23" s="24" t="n">
        <v>0</v>
      </c>
      <c r="G23" s="24" t="n">
        <v>1927.27</v>
      </c>
      <c r="H23" s="24" t="n">
        <v>239.66</v>
      </c>
      <c r="I23" s="24" t="n">
        <f aca="false">G23+H23</f>
        <v>2166.93</v>
      </c>
      <c r="J23" s="24" t="n">
        <f aca="false">D23-I23</f>
        <v>4423.74</v>
      </c>
      <c r="K23" s="25" t="s">
        <v>117</v>
      </c>
      <c r="L23" s="25" t="s">
        <v>118</v>
      </c>
    </row>
    <row r="24" customFormat="false" ht="15" hidden="false" customHeight="false" outlineLevel="0" collapsed="false">
      <c r="A24" s="23" t="n">
        <v>7</v>
      </c>
      <c r="B24" s="23" t="s">
        <v>77</v>
      </c>
      <c r="C24" s="23" t="s">
        <v>35</v>
      </c>
      <c r="D24" s="24" t="n">
        <v>3636.33</v>
      </c>
      <c r="E24" s="24" t="n">
        <v>0</v>
      </c>
      <c r="F24" s="24" t="n">
        <v>0</v>
      </c>
      <c r="G24" s="24" t="n">
        <v>3636.33</v>
      </c>
      <c r="H24" s="24" t="n">
        <v>0</v>
      </c>
      <c r="I24" s="24" t="n">
        <f aca="false">G24+H24</f>
        <v>3636.33</v>
      </c>
      <c r="J24" s="24" t="n">
        <f aca="false">D24-I24</f>
        <v>0</v>
      </c>
      <c r="K24" s="25" t="s">
        <v>121</v>
      </c>
      <c r="L24" s="25" t="s">
        <v>122</v>
      </c>
    </row>
    <row r="25" customFormat="false" ht="15" hidden="false" customHeight="false" outlineLevel="0" collapsed="false">
      <c r="A25" s="23" t="n">
        <v>8</v>
      </c>
      <c r="B25" s="23" t="s">
        <v>78</v>
      </c>
      <c r="C25" s="23" t="s">
        <v>35</v>
      </c>
      <c r="D25" s="24" t="n">
        <v>11938.19</v>
      </c>
      <c r="E25" s="24" t="n">
        <v>0</v>
      </c>
      <c r="F25" s="24" t="n">
        <v>0</v>
      </c>
      <c r="G25" s="24" t="n">
        <v>3491.05</v>
      </c>
      <c r="H25" s="24" t="n">
        <v>434.12</v>
      </c>
      <c r="I25" s="24" t="n">
        <f aca="false">G25+H25</f>
        <v>3925.17</v>
      </c>
      <c r="J25" s="24" t="n">
        <f aca="false">D25-I25</f>
        <v>8013.02</v>
      </c>
      <c r="K25" s="25" t="s">
        <v>117</v>
      </c>
      <c r="L25" s="25" t="s">
        <v>118</v>
      </c>
    </row>
    <row r="26" customFormat="false" ht="15" hidden="false" customHeight="false" outlineLevel="0" collapsed="false">
      <c r="A26" s="26"/>
      <c r="B26" s="27" t="s">
        <v>53</v>
      </c>
      <c r="C26" s="26"/>
      <c r="D26" s="28" t="n">
        <f aca="false">SUM(D18:D25)</f>
        <v>115479.16</v>
      </c>
      <c r="E26" s="28" t="n">
        <f aca="false">SUM(E18:E25)</f>
        <v>0</v>
      </c>
      <c r="F26" s="28" t="n">
        <f aca="false">SUM(F18:F25)</f>
        <v>0</v>
      </c>
      <c r="G26" s="28" t="n">
        <f aca="false">SUM(G18:G25)</f>
        <v>52846.21</v>
      </c>
      <c r="H26" s="28" t="n">
        <f aca="false">SUM(H18:H25)</f>
        <v>3218.82</v>
      </c>
      <c r="I26" s="28" t="n">
        <f aca="false">SUM(I18:I25)</f>
        <v>56065.03</v>
      </c>
      <c r="J26" s="28" t="n">
        <f aca="false">SUM(J18:J25)</f>
        <v>59414.13</v>
      </c>
      <c r="K26" s="26"/>
      <c r="L26" s="26"/>
    </row>
    <row r="28" customFormat="false" ht="15" hidden="false" customHeight="false" outlineLevel="0" collapsed="false">
      <c r="B28" s="18" t="s">
        <v>124</v>
      </c>
    </row>
    <row r="29" customFormat="false" ht="15" hidden="false" customHeight="false" outlineLevel="0" collapsed="false">
      <c r="B29" s="5" t="s">
        <v>125</v>
      </c>
      <c r="D29" s="6" t="n">
        <f aca="false">I14</f>
        <v>50617.97</v>
      </c>
    </row>
    <row r="30" customFormat="false" ht="15" hidden="false" customHeight="false" outlineLevel="0" collapsed="false">
      <c r="B30" s="5" t="s">
        <v>126</v>
      </c>
      <c r="D30" s="6" t="n">
        <f aca="false">I26</f>
        <v>56065.03</v>
      </c>
    </row>
    <row r="31" customFormat="false" ht="15" hidden="false" customHeight="false" outlineLevel="0" collapsed="false">
      <c r="B31" s="11" t="s">
        <v>124</v>
      </c>
      <c r="D31" s="29" t="n">
        <f aca="false">D29-D30</f>
        <v>-5447.06</v>
      </c>
    </row>
    <row r="33" customFormat="false" ht="15" hidden="false" customHeight="false" outlineLevel="0" collapsed="false">
      <c r="A33" s="10" t="s">
        <v>127</v>
      </c>
    </row>
    <row r="34" customFormat="false" ht="15" hidden="false" customHeight="false" outlineLevel="0" collapsed="false">
      <c r="A34" s="21" t="s">
        <v>128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4" t="s">
        <v>105</v>
      </c>
      <c r="B35" s="4" t="s">
        <v>106</v>
      </c>
      <c r="C35" s="4" t="s">
        <v>107</v>
      </c>
      <c r="D35" s="4" t="s">
        <v>108</v>
      </c>
      <c r="E35" s="4" t="s">
        <v>109</v>
      </c>
      <c r="F35" s="4" t="s">
        <v>110</v>
      </c>
      <c r="G35" s="4" t="s">
        <v>129</v>
      </c>
      <c r="H35" s="4" t="s">
        <v>130</v>
      </c>
      <c r="I35" s="4" t="s">
        <v>113</v>
      </c>
      <c r="J35" s="4" t="s">
        <v>114</v>
      </c>
      <c r="K35" s="4" t="s">
        <v>115</v>
      </c>
      <c r="L35" s="4" t="s">
        <v>116</v>
      </c>
    </row>
    <row r="36" customFormat="false" ht="15" hidden="false" customHeight="false" outlineLevel="0" collapsed="false">
      <c r="A36" s="23" t="n">
        <v>1</v>
      </c>
      <c r="B36" s="23" t="s">
        <v>45</v>
      </c>
      <c r="C36" s="23" t="s">
        <v>35</v>
      </c>
      <c r="D36" s="24" t="n">
        <v>91140.5</v>
      </c>
      <c r="E36" s="24" t="n">
        <v>0</v>
      </c>
      <c r="F36" s="24" t="n">
        <v>0</v>
      </c>
      <c r="G36" s="24" t="n">
        <v>26651.36</v>
      </c>
      <c r="H36" s="24" t="n">
        <v>3314.2</v>
      </c>
      <c r="I36" s="24" t="n">
        <f aca="false">G36+H36</f>
        <v>29965.56</v>
      </c>
      <c r="J36" s="24" t="n">
        <f aca="false">D36-I36</f>
        <v>61174.94</v>
      </c>
      <c r="K36" s="25" t="s">
        <v>117</v>
      </c>
      <c r="L36" s="25" t="s">
        <v>118</v>
      </c>
    </row>
    <row r="37" customFormat="false" ht="15" hidden="false" customHeight="false" outlineLevel="0" collapsed="false">
      <c r="A37" s="23" t="n">
        <v>2</v>
      </c>
      <c r="B37" s="23" t="s">
        <v>46</v>
      </c>
      <c r="C37" s="23" t="s">
        <v>37</v>
      </c>
      <c r="D37" s="24" t="n">
        <v>165.99</v>
      </c>
      <c r="E37" s="24" t="n">
        <v>0</v>
      </c>
      <c r="F37" s="24" t="n">
        <v>0</v>
      </c>
      <c r="G37" s="24" t="n">
        <v>48.07</v>
      </c>
      <c r="H37" s="24" t="n">
        <v>6.04</v>
      </c>
      <c r="I37" s="24" t="n">
        <f aca="false">G37+H37</f>
        <v>54.11</v>
      </c>
      <c r="J37" s="24" t="n">
        <f aca="false">D37-I37</f>
        <v>111.88</v>
      </c>
      <c r="K37" s="25" t="s">
        <v>117</v>
      </c>
      <c r="L37" s="25" t="s">
        <v>118</v>
      </c>
    </row>
    <row r="38" customFormat="false" ht="15" hidden="false" customHeight="false" outlineLevel="0" collapsed="false">
      <c r="A38" s="23" t="n">
        <v>3</v>
      </c>
      <c r="B38" s="23" t="s">
        <v>47</v>
      </c>
      <c r="C38" s="23" t="s">
        <v>35</v>
      </c>
      <c r="D38" s="24" t="n">
        <v>8598.15</v>
      </c>
      <c r="E38" s="24" t="n">
        <v>0</v>
      </c>
      <c r="F38" s="24" t="n">
        <v>0</v>
      </c>
      <c r="G38" s="24" t="n">
        <v>5035.65</v>
      </c>
      <c r="H38" s="24" t="n">
        <v>507.3</v>
      </c>
      <c r="I38" s="24" t="n">
        <f aca="false">G38+H38</f>
        <v>5542.95</v>
      </c>
      <c r="J38" s="24" t="n">
        <f aca="false">D38-I38</f>
        <v>3055.2</v>
      </c>
      <c r="K38" s="25" t="s">
        <v>119</v>
      </c>
      <c r="L38" s="25" t="s">
        <v>120</v>
      </c>
    </row>
    <row r="39" customFormat="false" ht="15" hidden="false" customHeight="false" outlineLevel="0" collapsed="false">
      <c r="A39" s="23" t="n">
        <v>4</v>
      </c>
      <c r="B39" s="23" t="s">
        <v>48</v>
      </c>
      <c r="C39" s="23" t="s">
        <v>35</v>
      </c>
      <c r="D39" s="24" t="n">
        <v>15574.5</v>
      </c>
      <c r="E39" s="24" t="n">
        <v>0</v>
      </c>
      <c r="F39" s="24" t="n">
        <v>0</v>
      </c>
      <c r="G39" s="24" t="n">
        <v>15055.35</v>
      </c>
      <c r="H39" s="24" t="n">
        <v>0</v>
      </c>
      <c r="I39" s="24" t="n">
        <f aca="false">G39+H39</f>
        <v>15055.35</v>
      </c>
      <c r="J39" s="24" t="n">
        <f aca="false">D39-I39</f>
        <v>519.15</v>
      </c>
      <c r="K39" s="25" t="s">
        <v>121</v>
      </c>
      <c r="L39" s="25" t="s">
        <v>122</v>
      </c>
    </row>
    <row r="40" customFormat="false" ht="15" hidden="false" customHeight="false" outlineLevel="0" collapsed="false">
      <c r="A40" s="26"/>
      <c r="B40" s="27" t="s">
        <v>53</v>
      </c>
      <c r="C40" s="26"/>
      <c r="D40" s="28" t="n">
        <f aca="false">SUM(D36:D39)</f>
        <v>115479.14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46790.43</v>
      </c>
      <c r="H40" s="28" t="n">
        <f aca="false">SUM(H36:H39)</f>
        <v>3827.54</v>
      </c>
      <c r="I40" s="28" t="n">
        <f aca="false">SUM(I36:I39)</f>
        <v>50617.97</v>
      </c>
      <c r="J40" s="28" t="n">
        <f aca="false">SUM(J36:J39)</f>
        <v>64861.17</v>
      </c>
      <c r="K40" s="26"/>
      <c r="L40" s="26"/>
    </row>
    <row r="42" customFormat="false" ht="15" hidden="false" customHeight="false" outlineLevel="0" collapsed="false">
      <c r="A42" s="21" t="s">
        <v>131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4" t="s">
        <v>105</v>
      </c>
      <c r="B43" s="4" t="s">
        <v>106</v>
      </c>
      <c r="C43" s="4" t="s">
        <v>107</v>
      </c>
      <c r="D43" s="4" t="s">
        <v>108</v>
      </c>
      <c r="E43" s="4" t="s">
        <v>109</v>
      </c>
      <c r="F43" s="4" t="s">
        <v>110</v>
      </c>
      <c r="G43" s="4" t="s">
        <v>129</v>
      </c>
      <c r="H43" s="4" t="s">
        <v>130</v>
      </c>
      <c r="I43" s="4" t="s">
        <v>113</v>
      </c>
      <c r="J43" s="4" t="s">
        <v>114</v>
      </c>
      <c r="K43" s="4" t="s">
        <v>115</v>
      </c>
      <c r="L43" s="4" t="s">
        <v>116</v>
      </c>
    </row>
    <row r="44" customFormat="false" ht="15" hidden="false" customHeight="false" outlineLevel="0" collapsed="false">
      <c r="A44" s="23" t="n">
        <v>1</v>
      </c>
      <c r="B44" s="23" t="s">
        <v>71</v>
      </c>
      <c r="C44" s="23" t="s">
        <v>35</v>
      </c>
      <c r="D44" s="24" t="n">
        <v>21279.35</v>
      </c>
      <c r="E44" s="24" t="n">
        <v>0</v>
      </c>
      <c r="F44" s="24" t="n">
        <v>0</v>
      </c>
      <c r="G44" s="24" t="n">
        <v>21279.35</v>
      </c>
      <c r="H44" s="24" t="n">
        <v>0</v>
      </c>
      <c r="I44" s="24" t="n">
        <f aca="false">G44+H44</f>
        <v>21279.35</v>
      </c>
      <c r="J44" s="24" t="n">
        <f aca="false">D44-I44</f>
        <v>0</v>
      </c>
      <c r="K44" s="25" t="s">
        <v>121</v>
      </c>
      <c r="L44" s="25" t="s">
        <v>122</v>
      </c>
    </row>
    <row r="45" customFormat="false" ht="15" hidden="false" customHeight="false" outlineLevel="0" collapsed="false">
      <c r="A45" s="23" t="n">
        <v>2</v>
      </c>
      <c r="B45" s="23" t="s">
        <v>72</v>
      </c>
      <c r="C45" s="23" t="s">
        <v>35</v>
      </c>
      <c r="D45" s="24" t="n">
        <v>69861.15</v>
      </c>
      <c r="E45" s="24" t="n">
        <v>0</v>
      </c>
      <c r="F45" s="24" t="n">
        <v>0</v>
      </c>
      <c r="G45" s="24" t="n">
        <v>20429.13</v>
      </c>
      <c r="H45" s="24" t="n">
        <v>2540.41</v>
      </c>
      <c r="I45" s="24" t="n">
        <f aca="false">G45+H45</f>
        <v>22969.54</v>
      </c>
      <c r="J45" s="24" t="n">
        <f aca="false">D45-I45</f>
        <v>46891.61</v>
      </c>
      <c r="K45" s="25" t="s">
        <v>117</v>
      </c>
      <c r="L45" s="25" t="s">
        <v>118</v>
      </c>
    </row>
    <row r="46" customFormat="false" ht="15" hidden="false" customHeight="false" outlineLevel="0" collapsed="false">
      <c r="A46" s="23" t="n">
        <v>3</v>
      </c>
      <c r="B46" s="23" t="s">
        <v>73</v>
      </c>
      <c r="C46" s="23" t="s">
        <v>37</v>
      </c>
      <c r="D46" s="24" t="n">
        <v>38.76</v>
      </c>
      <c r="E46" s="24" t="n">
        <v>0</v>
      </c>
      <c r="F46" s="24" t="n">
        <v>0</v>
      </c>
      <c r="G46" s="24" t="n">
        <v>38.76</v>
      </c>
      <c r="H46" s="24" t="n">
        <v>0</v>
      </c>
      <c r="I46" s="24" t="n">
        <f aca="false">G46+H46</f>
        <v>38.76</v>
      </c>
      <c r="J46" s="24" t="n">
        <f aca="false">D46-I46</f>
        <v>0</v>
      </c>
      <c r="K46" s="25" t="s">
        <v>121</v>
      </c>
      <c r="L46" s="25" t="s">
        <v>122</v>
      </c>
    </row>
    <row r="47" customFormat="false" ht="15" hidden="false" customHeight="false" outlineLevel="0" collapsed="false">
      <c r="A47" s="23" t="n">
        <v>4</v>
      </c>
      <c r="B47" s="23" t="s">
        <v>74</v>
      </c>
      <c r="C47" s="23" t="s">
        <v>37</v>
      </c>
      <c r="D47" s="24" t="n">
        <v>127.23</v>
      </c>
      <c r="E47" s="24" t="n">
        <v>0</v>
      </c>
      <c r="F47" s="24" t="n">
        <v>0</v>
      </c>
      <c r="G47" s="24" t="n">
        <v>36.84</v>
      </c>
      <c r="H47" s="24" t="n">
        <v>4.63</v>
      </c>
      <c r="I47" s="24" t="n">
        <f aca="false">G47+H47</f>
        <v>41.47</v>
      </c>
      <c r="J47" s="24" t="n">
        <f aca="false">D47-I47</f>
        <v>85.76</v>
      </c>
      <c r="K47" s="25" t="s">
        <v>117</v>
      </c>
      <c r="L47" s="25" t="s">
        <v>118</v>
      </c>
    </row>
    <row r="48" customFormat="false" ht="15" hidden="false" customHeight="false" outlineLevel="0" collapsed="false">
      <c r="A48" s="23" t="n">
        <v>5</v>
      </c>
      <c r="B48" s="23" t="s">
        <v>79</v>
      </c>
      <c r="C48" s="23" t="s">
        <v>35</v>
      </c>
      <c r="D48" s="24" t="n">
        <v>2007.48</v>
      </c>
      <c r="E48" s="24" t="n">
        <v>0</v>
      </c>
      <c r="F48" s="24" t="n">
        <v>0</v>
      </c>
      <c r="G48" s="24" t="n">
        <v>2007.48</v>
      </c>
      <c r="H48" s="24" t="n">
        <v>0</v>
      </c>
      <c r="I48" s="24" t="n">
        <f aca="false">G48+H48</f>
        <v>2007.48</v>
      </c>
      <c r="J48" s="24" t="n">
        <f aca="false">D48-I48</f>
        <v>0</v>
      </c>
      <c r="K48" s="25" t="s">
        <v>121</v>
      </c>
      <c r="L48" s="25" t="s">
        <v>122</v>
      </c>
    </row>
    <row r="49" customFormat="false" ht="15" hidden="false" customHeight="false" outlineLevel="0" collapsed="false">
      <c r="A49" s="23" t="n">
        <v>6</v>
      </c>
      <c r="B49" s="23" t="s">
        <v>80</v>
      </c>
      <c r="C49" s="23" t="s">
        <v>35</v>
      </c>
      <c r="D49" s="24" t="n">
        <v>6590.67</v>
      </c>
      <c r="E49" s="24" t="n">
        <v>0</v>
      </c>
      <c r="F49" s="24" t="n">
        <v>0</v>
      </c>
      <c r="G49" s="24" t="n">
        <v>1927.27</v>
      </c>
      <c r="H49" s="24" t="n">
        <v>239.66</v>
      </c>
      <c r="I49" s="24" t="n">
        <f aca="false">G49+H49</f>
        <v>2166.93</v>
      </c>
      <c r="J49" s="24" t="n">
        <f aca="false">D49-I49</f>
        <v>4423.74</v>
      </c>
      <c r="K49" s="25" t="s">
        <v>117</v>
      </c>
      <c r="L49" s="25" t="s">
        <v>118</v>
      </c>
    </row>
    <row r="50" customFormat="false" ht="15" hidden="false" customHeight="false" outlineLevel="0" collapsed="false">
      <c r="A50" s="23" t="n">
        <v>7</v>
      </c>
      <c r="B50" s="23" t="s">
        <v>77</v>
      </c>
      <c r="C50" s="23" t="s">
        <v>35</v>
      </c>
      <c r="D50" s="24" t="n">
        <v>3636.33</v>
      </c>
      <c r="E50" s="24" t="n">
        <v>0</v>
      </c>
      <c r="F50" s="24" t="n">
        <v>0</v>
      </c>
      <c r="G50" s="24" t="n">
        <v>3636.33</v>
      </c>
      <c r="H50" s="24" t="n">
        <v>0</v>
      </c>
      <c r="I50" s="24" t="n">
        <f aca="false">G50+H50</f>
        <v>3636.33</v>
      </c>
      <c r="J50" s="24" t="n">
        <f aca="false">D50-I50</f>
        <v>0</v>
      </c>
      <c r="K50" s="25" t="s">
        <v>121</v>
      </c>
      <c r="L50" s="25" t="s">
        <v>122</v>
      </c>
    </row>
    <row r="51" customFormat="false" ht="15" hidden="false" customHeight="false" outlineLevel="0" collapsed="false">
      <c r="A51" s="23" t="n">
        <v>8</v>
      </c>
      <c r="B51" s="23" t="s">
        <v>78</v>
      </c>
      <c r="C51" s="23" t="s">
        <v>35</v>
      </c>
      <c r="D51" s="24" t="n">
        <v>11938.19</v>
      </c>
      <c r="E51" s="24" t="n">
        <v>0</v>
      </c>
      <c r="F51" s="24" t="n">
        <v>0</v>
      </c>
      <c r="G51" s="24" t="n">
        <v>3491.05</v>
      </c>
      <c r="H51" s="24" t="n">
        <v>434.12</v>
      </c>
      <c r="I51" s="24" t="n">
        <f aca="false">G51+H51</f>
        <v>3925.17</v>
      </c>
      <c r="J51" s="24" t="n">
        <f aca="false">D51-I51</f>
        <v>8013.02</v>
      </c>
      <c r="K51" s="25" t="s">
        <v>117</v>
      </c>
      <c r="L51" s="25" t="s">
        <v>118</v>
      </c>
    </row>
    <row r="52" customFormat="false" ht="15" hidden="false" customHeight="false" outlineLevel="0" collapsed="false">
      <c r="A52" s="26"/>
      <c r="B52" s="27" t="s">
        <v>53</v>
      </c>
      <c r="C52" s="26"/>
      <c r="D52" s="28" t="n">
        <f aca="false">SUM(D44:D51)</f>
        <v>115479.16</v>
      </c>
      <c r="E52" s="28" t="n">
        <f aca="false">SUM(E44:E51)</f>
        <v>0</v>
      </c>
      <c r="F52" s="28" t="n">
        <f aca="false">SUM(F44:F51)</f>
        <v>0</v>
      </c>
      <c r="G52" s="28" t="n">
        <f aca="false">SUM(G44:G51)</f>
        <v>52846.21</v>
      </c>
      <c r="H52" s="28" t="n">
        <f aca="false">SUM(H44:H51)</f>
        <v>3218.82</v>
      </c>
      <c r="I52" s="28" t="n">
        <f aca="false">SUM(I44:I51)</f>
        <v>56065.03</v>
      </c>
      <c r="J52" s="28" t="n">
        <f aca="false">SUM(J44:J51)</f>
        <v>59414.13</v>
      </c>
      <c r="K52" s="26"/>
      <c r="L52" s="26"/>
    </row>
    <row r="54" customFormat="false" ht="15" hidden="false" customHeight="false" outlineLevel="0" collapsed="false">
      <c r="B54" s="18" t="s">
        <v>132</v>
      </c>
    </row>
    <row r="55" customFormat="false" ht="15" hidden="false" customHeight="false" outlineLevel="0" collapsed="false">
      <c r="B55" s="5" t="s">
        <v>125</v>
      </c>
      <c r="D55" s="6" t="n">
        <f aca="false">I40</f>
        <v>50617.97</v>
      </c>
    </row>
    <row r="56" customFormat="false" ht="15" hidden="false" customHeight="false" outlineLevel="0" collapsed="false">
      <c r="B56" s="5" t="s">
        <v>126</v>
      </c>
      <c r="D56" s="6" t="n">
        <f aca="false">I52</f>
        <v>56065.03</v>
      </c>
    </row>
    <row r="57" customFormat="false" ht="15" hidden="false" customHeight="false" outlineLevel="0" collapsed="false">
      <c r="B57" s="11" t="s">
        <v>132</v>
      </c>
      <c r="D57" s="29" t="n">
        <f aca="false">D55-D56</f>
        <v>-5447.06</v>
      </c>
    </row>
    <row r="59" customFormat="false" ht="15" hidden="false" customHeight="false" outlineLevel="0" collapsed="false">
      <c r="A59" s="10" t="s">
        <v>133</v>
      </c>
    </row>
    <row r="60" customFormat="false" ht="15" hidden="false" customHeight="false" outlineLevel="0" collapsed="false">
      <c r="B60" s="11" t="s">
        <v>162</v>
      </c>
      <c r="D60" s="12" t="n">
        <f aca="false">D98</f>
        <v>115479.14</v>
      </c>
    </row>
    <row r="61" customFormat="false" ht="15" hidden="false" customHeight="false" outlineLevel="0" collapsed="false">
      <c r="B61" s="5" t="s">
        <v>163</v>
      </c>
      <c r="D61" s="6" t="n">
        <f aca="false">F98</f>
        <v>26961.9</v>
      </c>
    </row>
    <row r="62" customFormat="false" ht="15" hidden="false" customHeight="false" outlineLevel="0" collapsed="false">
      <c r="B62" s="30" t="s">
        <v>136</v>
      </c>
      <c r="D62" s="31" t="n">
        <f aca="false">F99</f>
        <v>0.233478531274133</v>
      </c>
    </row>
    <row r="63" customFormat="false" ht="15" hidden="false" customHeight="false" outlineLevel="0" collapsed="false">
      <c r="B63" s="5" t="s">
        <v>164</v>
      </c>
      <c r="D63" s="6" t="n">
        <f aca="false">H98</f>
        <v>88517.24</v>
      </c>
    </row>
    <row r="64" customFormat="false" ht="15" hidden="false" customHeight="false" outlineLevel="0" collapsed="false">
      <c r="B64" s="30" t="s">
        <v>136</v>
      </c>
      <c r="D64" s="31" t="n">
        <f aca="false">H99</f>
        <v>0.766521468725867</v>
      </c>
    </row>
    <row r="66" customFormat="false" ht="15" hidden="false" customHeight="false" outlineLevel="0" collapsed="false">
      <c r="A66" s="10" t="s">
        <v>138</v>
      </c>
    </row>
    <row r="67" customFormat="false" ht="15" hidden="false" customHeight="false" outlineLevel="0" collapsed="false">
      <c r="B67" s="4" t="s">
        <v>139</v>
      </c>
      <c r="D67" s="4" t="s">
        <v>108</v>
      </c>
      <c r="F67" s="4" t="s">
        <v>165</v>
      </c>
      <c r="H67" s="4" t="s">
        <v>141</v>
      </c>
    </row>
    <row r="68" customFormat="false" ht="15" hidden="false" customHeight="false" outlineLevel="0" collapsed="false">
      <c r="B68" s="32" t="s">
        <v>166</v>
      </c>
    </row>
    <row r="69" customFormat="false" ht="15" hidden="false" customHeight="false" outlineLevel="0" collapsed="false">
      <c r="B69" s="5" t="s">
        <v>167</v>
      </c>
      <c r="D69" s="33" t="n">
        <f aca="false">SUM(F69:H69)</f>
        <v>4785.17</v>
      </c>
      <c r="F69" s="33" t="n">
        <v>4785.17</v>
      </c>
    </row>
    <row r="70" customFormat="false" ht="15" hidden="false" customHeight="false" outlineLevel="0" collapsed="false">
      <c r="B70" s="5" t="s">
        <v>168</v>
      </c>
      <c r="D70" s="33" t="n">
        <f aca="false">SUM(F70:H70)</f>
        <v>1941.11</v>
      </c>
      <c r="F70" s="33" t="n">
        <v>1941.11</v>
      </c>
    </row>
    <row r="71" customFormat="false" ht="15" hidden="false" customHeight="false" outlineLevel="0" collapsed="false">
      <c r="B71" s="5" t="s">
        <v>169</v>
      </c>
      <c r="D71" s="33" t="n">
        <f aca="false">SUM(F71:H71)</f>
        <v>7939.87</v>
      </c>
      <c r="F71" s="33" t="n">
        <v>7939.87</v>
      </c>
    </row>
    <row r="72" customFormat="false" ht="15" hidden="false" customHeight="false" outlineLevel="0" collapsed="false">
      <c r="B72" s="5" t="s">
        <v>171</v>
      </c>
      <c r="D72" s="33" t="n">
        <f aca="false">SUM(F72:H72)</f>
        <v>428.82</v>
      </c>
      <c r="F72" s="33" t="n">
        <v>428.82</v>
      </c>
    </row>
    <row r="73" customFormat="false" ht="15" hidden="false" customHeight="false" outlineLevel="0" collapsed="false">
      <c r="B73" s="5" t="s">
        <v>196</v>
      </c>
      <c r="D73" s="33" t="n">
        <f aca="false">SUM(F73:H73)</f>
        <v>183.29</v>
      </c>
      <c r="F73" s="33" t="n">
        <v>183.29</v>
      </c>
    </row>
    <row r="74" customFormat="false" ht="15" hidden="false" customHeight="false" outlineLevel="0" collapsed="false">
      <c r="B74" s="5" t="s">
        <v>197</v>
      </c>
      <c r="D74" s="33" t="n">
        <f aca="false">SUM(F74:H74)</f>
        <v>96.76</v>
      </c>
      <c r="F74" s="33" t="n">
        <v>96.76</v>
      </c>
    </row>
    <row r="75" customFormat="false" ht="15" hidden="false" customHeight="false" outlineLevel="0" collapsed="false">
      <c r="B75" s="5" t="s">
        <v>172</v>
      </c>
      <c r="D75" s="33" t="n">
        <f aca="false">SUM(F75:H75)</f>
        <v>2980.97</v>
      </c>
      <c r="F75" s="33" t="n">
        <v>2980.97</v>
      </c>
    </row>
    <row r="76" customFormat="false" ht="15" hidden="false" customHeight="false" outlineLevel="0" collapsed="false">
      <c r="B76" s="5" t="s">
        <v>173</v>
      </c>
      <c r="D76" s="33" t="n">
        <f aca="false">SUM(F76:H76)</f>
        <v>693.58</v>
      </c>
      <c r="F76" s="33" t="n">
        <v>693.58</v>
      </c>
    </row>
    <row r="77" customFormat="false" ht="15" hidden="false" customHeight="false" outlineLevel="0" collapsed="false">
      <c r="B77" s="5" t="s">
        <v>198</v>
      </c>
      <c r="D77" s="33" t="n">
        <f aca="false">SUM(F77:H77)</f>
        <v>3427.41</v>
      </c>
      <c r="F77" s="33" t="n">
        <v>3427.41</v>
      </c>
    </row>
    <row r="78" customFormat="false" ht="15" hidden="false" customHeight="false" outlineLevel="0" collapsed="false">
      <c r="B78" s="5" t="s">
        <v>175</v>
      </c>
      <c r="D78" s="33" t="n">
        <f aca="false">SUM(F78:H78)</f>
        <v>758.85</v>
      </c>
      <c r="F78" s="33" t="n">
        <v>758.85</v>
      </c>
    </row>
    <row r="79" customFormat="false" ht="15" hidden="false" customHeight="false" outlineLevel="0" collapsed="false">
      <c r="B79" s="5" t="s">
        <v>199</v>
      </c>
      <c r="D79" s="33" t="n">
        <f aca="false">SUM(F79:H79)</f>
        <v>43.2</v>
      </c>
      <c r="F79" s="33" t="n">
        <v>43.2</v>
      </c>
    </row>
    <row r="80" customFormat="false" ht="15" hidden="false" customHeight="false" outlineLevel="0" collapsed="false">
      <c r="B80" s="5" t="s">
        <v>200</v>
      </c>
      <c r="D80" s="33" t="n">
        <f aca="false">SUM(F80:H80)</f>
        <v>3682.87</v>
      </c>
      <c r="F80" s="33" t="n">
        <v>3682.87</v>
      </c>
    </row>
    <row r="81" customFormat="false" ht="15" hidden="false" customHeight="false" outlineLevel="0" collapsed="false">
      <c r="B81" s="32" t="s">
        <v>177</v>
      </c>
    </row>
    <row r="82" customFormat="false" ht="15" hidden="false" customHeight="false" outlineLevel="0" collapsed="false">
      <c r="B82" s="5" t="s">
        <v>178</v>
      </c>
      <c r="D82" s="33" t="n">
        <f aca="false">SUM(F82:H82)</f>
        <v>6281.12</v>
      </c>
      <c r="H82" s="33" t="n">
        <v>6281.12</v>
      </c>
    </row>
    <row r="83" customFormat="false" ht="15" hidden="false" customHeight="false" outlineLevel="0" collapsed="false">
      <c r="B83" s="5" t="s">
        <v>179</v>
      </c>
      <c r="D83" s="33" t="n">
        <f aca="false">SUM(F83:H83)</f>
        <v>12157.7</v>
      </c>
      <c r="H83" s="33" t="n">
        <v>12157.7</v>
      </c>
    </row>
    <row r="84" customFormat="false" ht="15" hidden="false" customHeight="false" outlineLevel="0" collapsed="false">
      <c r="B84" s="5" t="s">
        <v>180</v>
      </c>
      <c r="D84" s="33" t="n">
        <f aca="false">SUM(F84:H84)</f>
        <v>7610.53</v>
      </c>
      <c r="H84" s="33" t="n">
        <v>7610.53</v>
      </c>
    </row>
    <row r="85" customFormat="false" ht="15" hidden="false" customHeight="false" outlineLevel="0" collapsed="false">
      <c r="B85" s="5" t="s">
        <v>181</v>
      </c>
      <c r="D85" s="33" t="n">
        <f aca="false">SUM(F85:H85)</f>
        <v>8437.69</v>
      </c>
      <c r="H85" s="33" t="n">
        <v>8437.69</v>
      </c>
    </row>
    <row r="86" customFormat="false" ht="15" hidden="false" customHeight="false" outlineLevel="0" collapsed="false">
      <c r="B86" s="5" t="s">
        <v>182</v>
      </c>
      <c r="D86" s="33" t="n">
        <f aca="false">SUM(F86:H86)</f>
        <v>6775.13</v>
      </c>
      <c r="H86" s="33" t="n">
        <v>6775.13</v>
      </c>
    </row>
    <row r="87" customFormat="false" ht="15" hidden="false" customHeight="false" outlineLevel="0" collapsed="false">
      <c r="B87" s="5" t="s">
        <v>183</v>
      </c>
      <c r="D87" s="33" t="n">
        <f aca="false">SUM(F87:H87)</f>
        <v>378.96</v>
      </c>
      <c r="H87" s="33" t="n">
        <v>378.96</v>
      </c>
    </row>
    <row r="88" customFormat="false" ht="15" hidden="false" customHeight="false" outlineLevel="0" collapsed="false">
      <c r="B88" s="5" t="s">
        <v>184</v>
      </c>
      <c r="D88" s="33" t="n">
        <f aca="false">SUM(F88:H88)</f>
        <v>10712.7</v>
      </c>
      <c r="H88" s="33" t="n">
        <v>10712.7</v>
      </c>
    </row>
    <row r="89" customFormat="false" ht="15" hidden="false" customHeight="false" outlineLevel="0" collapsed="false">
      <c r="B89" s="5" t="s">
        <v>185</v>
      </c>
      <c r="D89" s="33" t="n">
        <f aca="false">SUM(F89:H89)</f>
        <v>5035.68</v>
      </c>
      <c r="H89" s="33" t="n">
        <v>5035.68</v>
      </c>
    </row>
    <row r="90" customFormat="false" ht="15" hidden="false" customHeight="false" outlineLevel="0" collapsed="false">
      <c r="B90" s="5" t="s">
        <v>186</v>
      </c>
      <c r="D90" s="33" t="n">
        <f aca="false">SUM(F90:H90)</f>
        <v>2117.51</v>
      </c>
      <c r="H90" s="33" t="n">
        <v>2117.51</v>
      </c>
    </row>
    <row r="91" customFormat="false" ht="15" hidden="false" customHeight="false" outlineLevel="0" collapsed="false">
      <c r="B91" s="5" t="s">
        <v>187</v>
      </c>
      <c r="D91" s="33" t="n">
        <f aca="false">SUM(F91:H91)</f>
        <v>3536.09</v>
      </c>
      <c r="H91" s="33" t="n">
        <v>3536.09</v>
      </c>
    </row>
    <row r="92" customFormat="false" ht="15" hidden="false" customHeight="false" outlineLevel="0" collapsed="false">
      <c r="B92" s="5" t="s">
        <v>188</v>
      </c>
      <c r="D92" s="33" t="n">
        <f aca="false">SUM(F92:H92)</f>
        <v>8613.79</v>
      </c>
      <c r="H92" s="33" t="n">
        <v>8613.79</v>
      </c>
    </row>
    <row r="93" customFormat="false" ht="15" hidden="false" customHeight="false" outlineLevel="0" collapsed="false">
      <c r="B93" s="5" t="s">
        <v>189</v>
      </c>
      <c r="D93" s="33" t="n">
        <f aca="false">SUM(F93:H93)</f>
        <v>3604.7</v>
      </c>
      <c r="H93" s="33" t="n">
        <v>3604.7</v>
      </c>
    </row>
    <row r="94" customFormat="false" ht="15" hidden="false" customHeight="false" outlineLevel="0" collapsed="false">
      <c r="B94" s="5" t="s">
        <v>190</v>
      </c>
      <c r="D94" s="33" t="n">
        <f aca="false">SUM(F94:H94)</f>
        <v>868.78</v>
      </c>
      <c r="H94" s="33" t="n">
        <v>868.78</v>
      </c>
    </row>
    <row r="95" customFormat="false" ht="15" hidden="false" customHeight="false" outlineLevel="0" collapsed="false">
      <c r="B95" s="5" t="s">
        <v>192</v>
      </c>
      <c r="D95" s="33" t="n">
        <f aca="false">SUM(F95:H95)</f>
        <v>10912.49</v>
      </c>
      <c r="H95" s="33" t="n">
        <v>10912.49</v>
      </c>
    </row>
    <row r="96" customFormat="false" ht="15" hidden="false" customHeight="false" outlineLevel="0" collapsed="false">
      <c r="B96" s="5" t="s">
        <v>193</v>
      </c>
      <c r="D96" s="33" t="n">
        <f aca="false">SUM(F96:H96)</f>
        <v>662.8</v>
      </c>
      <c r="H96" s="33" t="n">
        <v>662.8</v>
      </c>
    </row>
    <row r="97" customFormat="false" ht="15" hidden="false" customHeight="false" outlineLevel="0" collapsed="false">
      <c r="B97" s="5" t="s">
        <v>202</v>
      </c>
      <c r="D97" s="33" t="n">
        <f aca="false">SUM(F97:H97)</f>
        <v>811.57</v>
      </c>
      <c r="H97" s="33" t="n">
        <v>811.57</v>
      </c>
    </row>
    <row r="98" customFormat="false" ht="15" hidden="false" customHeight="false" outlineLevel="0" collapsed="false">
      <c r="B98" s="11" t="s">
        <v>162</v>
      </c>
      <c r="D98" s="34" t="n">
        <f aca="false">SUM(D68:D97)</f>
        <v>115479.14</v>
      </c>
      <c r="F98" s="34" t="n">
        <f aca="false">SUM(F68:F97)</f>
        <v>26961.9</v>
      </c>
      <c r="H98" s="34" t="n">
        <f aca="false">SUM(H68:H97)</f>
        <v>88517.24</v>
      </c>
    </row>
    <row r="99" customFormat="false" ht="15" hidden="false" customHeight="false" outlineLevel="0" collapsed="false">
      <c r="B99" s="30" t="s">
        <v>136</v>
      </c>
      <c r="F99" s="31" t="n">
        <f aca="false">F98/D98</f>
        <v>0.233478531274133</v>
      </c>
      <c r="H99" s="31" t="n">
        <f aca="false">H98/D98</f>
        <v>0.766521468725867</v>
      </c>
    </row>
    <row r="101" customFormat="false" ht="15" hidden="false" customHeight="false" outlineLevel="0" collapsed="false">
      <c r="A101" s="10" t="s">
        <v>157</v>
      </c>
    </row>
    <row r="102" customFormat="false" ht="15" hidden="false" customHeight="false" outlineLevel="0" collapsed="false">
      <c r="B102" s="4" t="s">
        <v>158</v>
      </c>
      <c r="D102" s="4" t="s">
        <v>108</v>
      </c>
      <c r="F102" s="4" t="s">
        <v>165</v>
      </c>
      <c r="H102" s="4" t="s">
        <v>141</v>
      </c>
    </row>
    <row r="103" customFormat="false" ht="15" hidden="false" customHeight="false" outlineLevel="0" collapsed="false">
      <c r="B103" s="5" t="str">
        <f aca="false">'Building 15'!B18</f>
        <v>1 - Buillding - Apt - 5yr</v>
      </c>
      <c r="D103" s="33" t="n">
        <f aca="false">SUM(F103:H103)</f>
        <v>21279.35</v>
      </c>
      <c r="F103" s="33" t="n">
        <f aca="false">'Building 15'!D18</f>
        <v>21279.35</v>
      </c>
    </row>
    <row r="104" customFormat="false" ht="15" hidden="false" customHeight="false" outlineLevel="0" collapsed="false">
      <c r="B104" s="5" t="str">
        <f aca="false">'Building 15'!B19</f>
        <v>1 - Buillding - Apt - 27.5yr</v>
      </c>
      <c r="D104" s="33" t="n">
        <f aca="false">SUM(F104:H104)</f>
        <v>69861.15</v>
      </c>
      <c r="H104" s="33" t="n">
        <f aca="false">'Building 15'!D19</f>
        <v>69861.15</v>
      </c>
    </row>
    <row r="105" customFormat="false" ht="15" hidden="false" customHeight="false" outlineLevel="0" collapsed="false">
      <c r="B105" s="5" t="str">
        <f aca="false">'Building 15'!B20</f>
        <v>5 - Building - Apt - 5yr</v>
      </c>
      <c r="D105" s="33" t="n">
        <f aca="false">SUM(F105:H105)</f>
        <v>38.76</v>
      </c>
      <c r="F105" s="33" t="n">
        <f aca="false">'Building 15'!D20</f>
        <v>38.76</v>
      </c>
    </row>
    <row r="106" customFormat="false" ht="15" hidden="false" customHeight="false" outlineLevel="0" collapsed="false">
      <c r="B106" s="5" t="str">
        <f aca="false">'Building 15'!B21</f>
        <v>5 - Building - Apt - 27.5yr</v>
      </c>
      <c r="D106" s="33" t="n">
        <f aca="false">SUM(F106:H106)</f>
        <v>127.23</v>
      </c>
      <c r="H106" s="33" t="n">
        <f aca="false">'Building 15'!D21</f>
        <v>127.23</v>
      </c>
    </row>
    <row r="107" customFormat="false" ht="15" hidden="false" customHeight="false" outlineLevel="0" collapsed="false">
      <c r="B107" s="5" t="str">
        <f aca="false">'Building 15'!B22</f>
        <v>3 - Land Improvements - Apt 5yr</v>
      </c>
      <c r="D107" s="33" t="n">
        <f aca="false">SUM(F107:H107)</f>
        <v>2007.48</v>
      </c>
      <c r="F107" s="33" t="n">
        <f aca="false">'Building 15'!D22</f>
        <v>2007.48</v>
      </c>
    </row>
    <row r="108" customFormat="false" ht="15" hidden="false" customHeight="false" outlineLevel="0" collapsed="false">
      <c r="B108" s="5" t="str">
        <f aca="false">'Building 15'!B23</f>
        <v>3 - Land Improvements - Apt 27.5yr</v>
      </c>
      <c r="D108" s="33" t="n">
        <f aca="false">SUM(F108:H108)</f>
        <v>6590.67</v>
      </c>
      <c r="H108" s="33" t="n">
        <f aca="false">'Building 15'!D23</f>
        <v>6590.67</v>
      </c>
    </row>
    <row r="109" customFormat="false" ht="15" hidden="false" customHeight="false" outlineLevel="0" collapsed="false">
      <c r="B109" s="5" t="str">
        <f aca="false">'Building 15'!B24</f>
        <v>4 - Equipment - Apt - 5yr</v>
      </c>
      <c r="D109" s="33" t="n">
        <f aca="false">SUM(F109:H109)</f>
        <v>3636.33</v>
      </c>
      <c r="F109" s="33" t="n">
        <f aca="false">'Building 15'!D24</f>
        <v>3636.33</v>
      </c>
    </row>
    <row r="110" customFormat="false" ht="15" hidden="false" customHeight="false" outlineLevel="0" collapsed="false">
      <c r="B110" s="5" t="str">
        <f aca="false">'Building 15'!B25</f>
        <v>4 - Equipment - Apt - 27.5yr</v>
      </c>
      <c r="D110" s="33" t="n">
        <f aca="false">SUM(F110:H110)</f>
        <v>11938.19</v>
      </c>
      <c r="H110" s="33" t="n">
        <f aca="false">'Building 15'!D25</f>
        <v>11938.19</v>
      </c>
    </row>
    <row r="111" customFormat="false" ht="15" hidden="false" customHeight="false" outlineLevel="0" collapsed="false">
      <c r="B111" s="11" t="s">
        <v>159</v>
      </c>
      <c r="D111" s="34" t="n">
        <f aca="false">SUM(D103:D110)</f>
        <v>115479.16</v>
      </c>
      <c r="F111" s="34" t="n">
        <f aca="false">SUM(F103:F110)</f>
        <v>26961.92</v>
      </c>
      <c r="H111" s="34" t="n">
        <f aca="false">SUM(H103:H110)</f>
        <v>88517.24</v>
      </c>
    </row>
    <row r="112" customFormat="false" ht="15" hidden="false" customHeight="false" outlineLevel="0" collapsed="false">
      <c r="B112" s="16" t="s">
        <v>160</v>
      </c>
      <c r="D112" s="17" t="n">
        <f aca="false">D111-D98</f>
        <v>0.0199999999749707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217</v>
      </c>
    </row>
    <row r="5" customFormat="false" ht="15" hidden="false" customHeight="false" outlineLevel="0" collapsed="false">
      <c r="A5" s="16" t="s">
        <v>102</v>
      </c>
    </row>
    <row r="7" customFormat="false" ht="15" hidden="false" customHeight="false" outlineLevel="0" collapsed="false">
      <c r="A7" s="10" t="s">
        <v>103</v>
      </c>
    </row>
    <row r="8" customFormat="false" ht="15" hidden="false" customHeight="false" outlineLevel="0" collapsed="false">
      <c r="A8" s="21" t="s">
        <v>104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105</v>
      </c>
      <c r="B9" s="4" t="s">
        <v>106</v>
      </c>
      <c r="C9" s="4" t="s">
        <v>107</v>
      </c>
      <c r="D9" s="4" t="s">
        <v>108</v>
      </c>
      <c r="E9" s="4" t="s">
        <v>109</v>
      </c>
      <c r="F9" s="4" t="s">
        <v>110</v>
      </c>
      <c r="G9" s="4" t="s">
        <v>111</v>
      </c>
      <c r="H9" s="4" t="s">
        <v>112</v>
      </c>
      <c r="I9" s="4" t="s">
        <v>113</v>
      </c>
      <c r="J9" s="4" t="s">
        <v>114</v>
      </c>
      <c r="K9" s="4" t="s">
        <v>115</v>
      </c>
      <c r="L9" s="4" t="s">
        <v>116</v>
      </c>
    </row>
    <row r="10" customFormat="false" ht="15" hidden="false" customHeight="false" outlineLevel="0" collapsed="false">
      <c r="A10" s="23" t="n">
        <v>1</v>
      </c>
      <c r="B10" s="23" t="s">
        <v>45</v>
      </c>
      <c r="C10" s="23" t="s">
        <v>35</v>
      </c>
      <c r="D10" s="24" t="n">
        <v>116723.12</v>
      </c>
      <c r="E10" s="24" t="n">
        <v>0</v>
      </c>
      <c r="F10" s="24" t="n">
        <v>0</v>
      </c>
      <c r="G10" s="24" t="n">
        <v>34132.24</v>
      </c>
      <c r="H10" s="24" t="n">
        <v>4244.48</v>
      </c>
      <c r="I10" s="24" t="n">
        <f aca="false">G10+H10</f>
        <v>38376.72</v>
      </c>
      <c r="J10" s="24" t="n">
        <f aca="false">D10-I10</f>
        <v>78346.4</v>
      </c>
      <c r="K10" s="25" t="s">
        <v>117</v>
      </c>
      <c r="L10" s="25" t="s">
        <v>118</v>
      </c>
    </row>
    <row r="11" customFormat="false" ht="15" hidden="false" customHeight="false" outlineLevel="0" collapsed="false">
      <c r="A11" s="23" t="n">
        <v>2</v>
      </c>
      <c r="B11" s="23" t="s">
        <v>46</v>
      </c>
      <c r="C11" s="23" t="s">
        <v>37</v>
      </c>
      <c r="D11" s="24" t="n">
        <v>212.58</v>
      </c>
      <c r="E11" s="24" t="n">
        <v>0</v>
      </c>
      <c r="F11" s="24" t="n">
        <v>0</v>
      </c>
      <c r="G11" s="24" t="n">
        <v>61.56</v>
      </c>
      <c r="H11" s="24" t="n">
        <v>7.73</v>
      </c>
      <c r="I11" s="24" t="n">
        <f aca="false">G11+H11</f>
        <v>69.29</v>
      </c>
      <c r="J11" s="24" t="n">
        <f aca="false">D11-I11</f>
        <v>143.29</v>
      </c>
      <c r="K11" s="25" t="s">
        <v>117</v>
      </c>
      <c r="L11" s="25" t="s">
        <v>118</v>
      </c>
    </row>
    <row r="12" customFormat="false" ht="15" hidden="false" customHeight="false" outlineLevel="0" collapsed="false">
      <c r="A12" s="23" t="n">
        <v>3</v>
      </c>
      <c r="B12" s="23" t="s">
        <v>47</v>
      </c>
      <c r="C12" s="23" t="s">
        <v>35</v>
      </c>
      <c r="D12" s="24" t="n">
        <v>11011.6</v>
      </c>
      <c r="E12" s="24" t="n">
        <v>0</v>
      </c>
      <c r="F12" s="24" t="n">
        <v>0</v>
      </c>
      <c r="G12" s="24" t="n">
        <v>6449.13</v>
      </c>
      <c r="H12" s="24" t="n">
        <v>649.69</v>
      </c>
      <c r="I12" s="24" t="n">
        <f aca="false">G12+H12</f>
        <v>7098.82</v>
      </c>
      <c r="J12" s="24" t="n">
        <f aca="false">D12-I12</f>
        <v>3912.78</v>
      </c>
      <c r="K12" s="25" t="s">
        <v>119</v>
      </c>
      <c r="L12" s="25" t="s">
        <v>120</v>
      </c>
    </row>
    <row r="13" customFormat="false" ht="15" hidden="false" customHeight="false" outlineLevel="0" collapsed="false">
      <c r="A13" s="23" t="n">
        <v>4</v>
      </c>
      <c r="B13" s="23" t="s">
        <v>48</v>
      </c>
      <c r="C13" s="23" t="s">
        <v>35</v>
      </c>
      <c r="D13" s="24" t="n">
        <v>19946.17</v>
      </c>
      <c r="E13" s="24" t="n">
        <v>0</v>
      </c>
      <c r="F13" s="24" t="n">
        <v>0</v>
      </c>
      <c r="G13" s="24" t="n">
        <v>19281.3</v>
      </c>
      <c r="H13" s="24" t="n">
        <v>0</v>
      </c>
      <c r="I13" s="24" t="n">
        <f aca="false">G13+H13</f>
        <v>19281.3</v>
      </c>
      <c r="J13" s="24" t="n">
        <f aca="false">D13-I13</f>
        <v>664.869999999999</v>
      </c>
      <c r="K13" s="25" t="s">
        <v>121</v>
      </c>
      <c r="L13" s="25" t="s">
        <v>122</v>
      </c>
    </row>
    <row r="14" customFormat="false" ht="15" hidden="false" customHeight="false" outlineLevel="0" collapsed="false">
      <c r="A14" s="26"/>
      <c r="B14" s="27" t="s">
        <v>53</v>
      </c>
      <c r="C14" s="26"/>
      <c r="D14" s="28" t="n">
        <f aca="false">SUM(D10:D13)</f>
        <v>147893.47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59924.23</v>
      </c>
      <c r="H14" s="28" t="n">
        <f aca="false">SUM(H10:H13)</f>
        <v>4901.9</v>
      </c>
      <c r="I14" s="28" t="n">
        <f aca="false">SUM(I10:I13)</f>
        <v>64826.13</v>
      </c>
      <c r="J14" s="28" t="n">
        <f aca="false">SUM(J10:J13)</f>
        <v>83067.34</v>
      </c>
      <c r="K14" s="26"/>
      <c r="L14" s="26"/>
    </row>
    <row r="16" customFormat="false" ht="15" hidden="false" customHeight="false" outlineLevel="0" collapsed="false">
      <c r="A16" s="21" t="s">
        <v>123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4" t="s">
        <v>105</v>
      </c>
      <c r="B17" s="4" t="s">
        <v>106</v>
      </c>
      <c r="C17" s="4" t="s">
        <v>107</v>
      </c>
      <c r="D17" s="4" t="s">
        <v>108</v>
      </c>
      <c r="E17" s="4" t="s">
        <v>109</v>
      </c>
      <c r="F17" s="4" t="s">
        <v>110</v>
      </c>
      <c r="G17" s="4" t="s">
        <v>111</v>
      </c>
      <c r="H17" s="4" t="s">
        <v>112</v>
      </c>
      <c r="I17" s="4" t="s">
        <v>113</v>
      </c>
      <c r="J17" s="4" t="s">
        <v>114</v>
      </c>
      <c r="K17" s="4" t="s">
        <v>115</v>
      </c>
      <c r="L17" s="4" t="s">
        <v>116</v>
      </c>
    </row>
    <row r="18" customFormat="false" ht="15" hidden="false" customHeight="false" outlineLevel="0" collapsed="false">
      <c r="A18" s="23" t="n">
        <v>1</v>
      </c>
      <c r="B18" s="23" t="s">
        <v>71</v>
      </c>
      <c r="C18" s="23" t="s">
        <v>35</v>
      </c>
      <c r="D18" s="24" t="n">
        <v>24387.48</v>
      </c>
      <c r="E18" s="24" t="n">
        <v>0</v>
      </c>
      <c r="F18" s="24" t="n">
        <v>0</v>
      </c>
      <c r="G18" s="24" t="n">
        <v>24387.48</v>
      </c>
      <c r="H18" s="24" t="n">
        <v>0</v>
      </c>
      <c r="I18" s="24" t="n">
        <f aca="false">G18+H18</f>
        <v>24387.48</v>
      </c>
      <c r="J18" s="24" t="n">
        <f aca="false">D18-I18</f>
        <v>0</v>
      </c>
      <c r="K18" s="25" t="s">
        <v>121</v>
      </c>
      <c r="L18" s="25" t="s">
        <v>122</v>
      </c>
    </row>
    <row r="19" customFormat="false" ht="15" hidden="false" customHeight="false" outlineLevel="0" collapsed="false">
      <c r="A19" s="23" t="n">
        <v>2</v>
      </c>
      <c r="B19" s="23" t="s">
        <v>72</v>
      </c>
      <c r="C19" s="23" t="s">
        <v>35</v>
      </c>
      <c r="D19" s="24" t="n">
        <v>92335.64</v>
      </c>
      <c r="E19" s="24" t="n">
        <v>0</v>
      </c>
      <c r="F19" s="24" t="n">
        <v>0</v>
      </c>
      <c r="G19" s="24" t="n">
        <v>27001.18</v>
      </c>
      <c r="H19" s="24" t="n">
        <v>3357.66</v>
      </c>
      <c r="I19" s="24" t="n">
        <f aca="false">G19+H19</f>
        <v>30358.84</v>
      </c>
      <c r="J19" s="24" t="n">
        <f aca="false">D19-I19</f>
        <v>61976.8</v>
      </c>
      <c r="K19" s="25" t="s">
        <v>117</v>
      </c>
      <c r="L19" s="25" t="s">
        <v>118</v>
      </c>
    </row>
    <row r="20" customFormat="false" ht="15" hidden="false" customHeight="false" outlineLevel="0" collapsed="false">
      <c r="A20" s="23" t="n">
        <v>3</v>
      </c>
      <c r="B20" s="23" t="s">
        <v>73</v>
      </c>
      <c r="C20" s="23" t="s">
        <v>37</v>
      </c>
      <c r="D20" s="24" t="n">
        <v>44.42</v>
      </c>
      <c r="E20" s="24" t="n">
        <v>0</v>
      </c>
      <c r="F20" s="24" t="n">
        <v>0</v>
      </c>
      <c r="G20" s="24" t="n">
        <v>44.42</v>
      </c>
      <c r="H20" s="24" t="n">
        <v>0</v>
      </c>
      <c r="I20" s="24" t="n">
        <f aca="false">G20+H20</f>
        <v>44.42</v>
      </c>
      <c r="J20" s="24" t="n">
        <f aca="false">D20-I20</f>
        <v>0</v>
      </c>
      <c r="K20" s="25" t="s">
        <v>121</v>
      </c>
      <c r="L20" s="25" t="s">
        <v>122</v>
      </c>
    </row>
    <row r="21" customFormat="false" ht="15" hidden="false" customHeight="false" outlineLevel="0" collapsed="false">
      <c r="A21" s="23" t="n">
        <v>4</v>
      </c>
      <c r="B21" s="23" t="s">
        <v>74</v>
      </c>
      <c r="C21" s="23" t="s">
        <v>37</v>
      </c>
      <c r="D21" s="24" t="n">
        <v>168.16</v>
      </c>
      <c r="E21" s="24" t="n">
        <v>0</v>
      </c>
      <c r="F21" s="24" t="n">
        <v>0</v>
      </c>
      <c r="G21" s="24" t="n">
        <v>48.63</v>
      </c>
      <c r="H21" s="24" t="n">
        <v>6.11</v>
      </c>
      <c r="I21" s="24" t="n">
        <f aca="false">G21+H21</f>
        <v>54.74</v>
      </c>
      <c r="J21" s="24" t="n">
        <f aca="false">D21-I21</f>
        <v>113.42</v>
      </c>
      <c r="K21" s="25" t="s">
        <v>117</v>
      </c>
      <c r="L21" s="25" t="s">
        <v>118</v>
      </c>
    </row>
    <row r="22" customFormat="false" ht="15" hidden="false" customHeight="false" outlineLevel="0" collapsed="false">
      <c r="A22" s="23" t="n">
        <v>5</v>
      </c>
      <c r="B22" s="23" t="s">
        <v>75</v>
      </c>
      <c r="C22" s="23" t="s">
        <v>35</v>
      </c>
      <c r="D22" s="24" t="n">
        <v>2300.7</v>
      </c>
      <c r="E22" s="24" t="n">
        <v>0</v>
      </c>
      <c r="F22" s="24" t="n">
        <v>0</v>
      </c>
      <c r="G22" s="24" t="n">
        <v>2300.7</v>
      </c>
      <c r="H22" s="24" t="n">
        <v>0</v>
      </c>
      <c r="I22" s="24" t="n">
        <f aca="false">G22+H22</f>
        <v>2300.7</v>
      </c>
      <c r="J22" s="24" t="n">
        <f aca="false">D22-I22</f>
        <v>0</v>
      </c>
      <c r="K22" s="25" t="s">
        <v>121</v>
      </c>
      <c r="L22" s="25" t="s">
        <v>122</v>
      </c>
    </row>
    <row r="23" customFormat="false" ht="15" hidden="false" customHeight="false" outlineLevel="0" collapsed="false">
      <c r="A23" s="23" t="n">
        <v>6</v>
      </c>
      <c r="B23" s="23" t="s">
        <v>76</v>
      </c>
      <c r="C23" s="23" t="s">
        <v>35</v>
      </c>
      <c r="D23" s="24" t="n">
        <v>8710.9</v>
      </c>
      <c r="E23" s="24" t="n">
        <v>0</v>
      </c>
      <c r="F23" s="24" t="n">
        <v>0</v>
      </c>
      <c r="G23" s="24" t="n">
        <v>2547.28</v>
      </c>
      <c r="H23" s="24" t="n">
        <v>316.76</v>
      </c>
      <c r="I23" s="24" t="n">
        <f aca="false">G23+H23</f>
        <v>2864.04</v>
      </c>
      <c r="J23" s="24" t="n">
        <f aca="false">D23-I23</f>
        <v>5846.86</v>
      </c>
      <c r="K23" s="25" t="s">
        <v>117</v>
      </c>
      <c r="L23" s="25" t="s">
        <v>118</v>
      </c>
    </row>
    <row r="24" customFormat="false" ht="15" hidden="false" customHeight="false" outlineLevel="0" collapsed="false">
      <c r="A24" s="23" t="n">
        <v>7</v>
      </c>
      <c r="B24" s="23" t="s">
        <v>77</v>
      </c>
      <c r="C24" s="23" t="s">
        <v>35</v>
      </c>
      <c r="D24" s="24" t="n">
        <v>4167.44</v>
      </c>
      <c r="E24" s="24" t="n">
        <v>0</v>
      </c>
      <c r="F24" s="24" t="n">
        <v>0</v>
      </c>
      <c r="G24" s="24" t="n">
        <v>4167.44</v>
      </c>
      <c r="H24" s="24" t="n">
        <v>0</v>
      </c>
      <c r="I24" s="24" t="n">
        <f aca="false">G24+H24</f>
        <v>4167.44</v>
      </c>
      <c r="J24" s="24" t="n">
        <f aca="false">D24-I24</f>
        <v>0</v>
      </c>
      <c r="K24" s="25" t="s">
        <v>121</v>
      </c>
      <c r="L24" s="25" t="s">
        <v>122</v>
      </c>
    </row>
    <row r="25" customFormat="false" ht="15" hidden="false" customHeight="false" outlineLevel="0" collapsed="false">
      <c r="A25" s="23" t="n">
        <v>8</v>
      </c>
      <c r="B25" s="23" t="s">
        <v>78</v>
      </c>
      <c r="C25" s="23" t="s">
        <v>35</v>
      </c>
      <c r="D25" s="24" t="n">
        <v>15778.73</v>
      </c>
      <c r="E25" s="24" t="n">
        <v>0</v>
      </c>
      <c r="F25" s="24" t="n">
        <v>0</v>
      </c>
      <c r="G25" s="24" t="n">
        <v>4614.07</v>
      </c>
      <c r="H25" s="24" t="n">
        <v>573.77</v>
      </c>
      <c r="I25" s="24" t="n">
        <f aca="false">G25+H25</f>
        <v>5187.84</v>
      </c>
      <c r="J25" s="24" t="n">
        <f aca="false">D25-I25</f>
        <v>10590.89</v>
      </c>
      <c r="K25" s="25" t="s">
        <v>117</v>
      </c>
      <c r="L25" s="25" t="s">
        <v>118</v>
      </c>
    </row>
    <row r="26" customFormat="false" ht="15" hidden="false" customHeight="false" outlineLevel="0" collapsed="false">
      <c r="A26" s="26"/>
      <c r="B26" s="27" t="s">
        <v>53</v>
      </c>
      <c r="C26" s="26"/>
      <c r="D26" s="28" t="n">
        <f aca="false">SUM(D18:D25)</f>
        <v>147893.47</v>
      </c>
      <c r="E26" s="28" t="n">
        <f aca="false">SUM(E18:E25)</f>
        <v>0</v>
      </c>
      <c r="F26" s="28" t="n">
        <f aca="false">SUM(F18:F25)</f>
        <v>0</v>
      </c>
      <c r="G26" s="28" t="n">
        <f aca="false">SUM(G18:G25)</f>
        <v>65111.2</v>
      </c>
      <c r="H26" s="28" t="n">
        <f aca="false">SUM(H18:H25)</f>
        <v>4254.3</v>
      </c>
      <c r="I26" s="28" t="n">
        <f aca="false">SUM(I18:I25)</f>
        <v>69365.5</v>
      </c>
      <c r="J26" s="28" t="n">
        <f aca="false">SUM(J18:J25)</f>
        <v>78527.97</v>
      </c>
      <c r="K26" s="26"/>
      <c r="L26" s="26"/>
    </row>
    <row r="28" customFormat="false" ht="15" hidden="false" customHeight="false" outlineLevel="0" collapsed="false">
      <c r="B28" s="18" t="s">
        <v>124</v>
      </c>
    </row>
    <row r="29" customFormat="false" ht="15" hidden="false" customHeight="false" outlineLevel="0" collapsed="false">
      <c r="B29" s="5" t="s">
        <v>125</v>
      </c>
      <c r="D29" s="6" t="n">
        <f aca="false">I14</f>
        <v>64826.13</v>
      </c>
    </row>
    <row r="30" customFormat="false" ht="15" hidden="false" customHeight="false" outlineLevel="0" collapsed="false">
      <c r="B30" s="5" t="s">
        <v>126</v>
      </c>
      <c r="D30" s="6" t="n">
        <f aca="false">I26</f>
        <v>69365.5</v>
      </c>
    </row>
    <row r="31" customFormat="false" ht="15" hidden="false" customHeight="false" outlineLevel="0" collapsed="false">
      <c r="B31" s="11" t="s">
        <v>124</v>
      </c>
      <c r="D31" s="29" t="n">
        <f aca="false">D29-D30</f>
        <v>-4539.37</v>
      </c>
    </row>
    <row r="33" customFormat="false" ht="15" hidden="false" customHeight="false" outlineLevel="0" collapsed="false">
      <c r="A33" s="10" t="s">
        <v>127</v>
      </c>
    </row>
    <row r="34" customFormat="false" ht="15" hidden="false" customHeight="false" outlineLevel="0" collapsed="false">
      <c r="A34" s="21" t="s">
        <v>128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4" t="s">
        <v>105</v>
      </c>
      <c r="B35" s="4" t="s">
        <v>106</v>
      </c>
      <c r="C35" s="4" t="s">
        <v>107</v>
      </c>
      <c r="D35" s="4" t="s">
        <v>108</v>
      </c>
      <c r="E35" s="4" t="s">
        <v>109</v>
      </c>
      <c r="F35" s="4" t="s">
        <v>110</v>
      </c>
      <c r="G35" s="4" t="s">
        <v>129</v>
      </c>
      <c r="H35" s="4" t="s">
        <v>130</v>
      </c>
      <c r="I35" s="4" t="s">
        <v>113</v>
      </c>
      <c r="J35" s="4" t="s">
        <v>114</v>
      </c>
      <c r="K35" s="4" t="s">
        <v>115</v>
      </c>
      <c r="L35" s="4" t="s">
        <v>116</v>
      </c>
    </row>
    <row r="36" customFormat="false" ht="15" hidden="false" customHeight="false" outlineLevel="0" collapsed="false">
      <c r="A36" s="23" t="n">
        <v>1</v>
      </c>
      <c r="B36" s="23" t="s">
        <v>45</v>
      </c>
      <c r="C36" s="23" t="s">
        <v>35</v>
      </c>
      <c r="D36" s="24" t="n">
        <v>116723.12</v>
      </c>
      <c r="E36" s="24" t="n">
        <v>0</v>
      </c>
      <c r="F36" s="24" t="n">
        <v>0</v>
      </c>
      <c r="G36" s="24" t="n">
        <v>34132.24</v>
      </c>
      <c r="H36" s="24" t="n">
        <v>4244.48</v>
      </c>
      <c r="I36" s="24" t="n">
        <f aca="false">G36+H36</f>
        <v>38376.72</v>
      </c>
      <c r="J36" s="24" t="n">
        <f aca="false">D36-I36</f>
        <v>78346.4</v>
      </c>
      <c r="K36" s="25" t="s">
        <v>117</v>
      </c>
      <c r="L36" s="25" t="s">
        <v>118</v>
      </c>
    </row>
    <row r="37" customFormat="false" ht="15" hidden="false" customHeight="false" outlineLevel="0" collapsed="false">
      <c r="A37" s="23" t="n">
        <v>2</v>
      </c>
      <c r="B37" s="23" t="s">
        <v>46</v>
      </c>
      <c r="C37" s="23" t="s">
        <v>37</v>
      </c>
      <c r="D37" s="24" t="n">
        <v>212.58</v>
      </c>
      <c r="E37" s="24" t="n">
        <v>0</v>
      </c>
      <c r="F37" s="24" t="n">
        <v>0</v>
      </c>
      <c r="G37" s="24" t="n">
        <v>61.56</v>
      </c>
      <c r="H37" s="24" t="n">
        <v>7.73</v>
      </c>
      <c r="I37" s="24" t="n">
        <f aca="false">G37+H37</f>
        <v>69.29</v>
      </c>
      <c r="J37" s="24" t="n">
        <f aca="false">D37-I37</f>
        <v>143.29</v>
      </c>
      <c r="K37" s="25" t="s">
        <v>117</v>
      </c>
      <c r="L37" s="25" t="s">
        <v>118</v>
      </c>
    </row>
    <row r="38" customFormat="false" ht="15" hidden="false" customHeight="false" outlineLevel="0" collapsed="false">
      <c r="A38" s="23" t="n">
        <v>3</v>
      </c>
      <c r="B38" s="23" t="s">
        <v>47</v>
      </c>
      <c r="C38" s="23" t="s">
        <v>35</v>
      </c>
      <c r="D38" s="24" t="n">
        <v>11011.6</v>
      </c>
      <c r="E38" s="24" t="n">
        <v>0</v>
      </c>
      <c r="F38" s="24" t="n">
        <v>0</v>
      </c>
      <c r="G38" s="24" t="n">
        <v>6449.13</v>
      </c>
      <c r="H38" s="24" t="n">
        <v>649.69</v>
      </c>
      <c r="I38" s="24" t="n">
        <f aca="false">G38+H38</f>
        <v>7098.82</v>
      </c>
      <c r="J38" s="24" t="n">
        <f aca="false">D38-I38</f>
        <v>3912.78</v>
      </c>
      <c r="K38" s="25" t="s">
        <v>119</v>
      </c>
      <c r="L38" s="25" t="s">
        <v>120</v>
      </c>
    </row>
    <row r="39" customFormat="false" ht="15" hidden="false" customHeight="false" outlineLevel="0" collapsed="false">
      <c r="A39" s="23" t="n">
        <v>4</v>
      </c>
      <c r="B39" s="23" t="s">
        <v>48</v>
      </c>
      <c r="C39" s="23" t="s">
        <v>35</v>
      </c>
      <c r="D39" s="24" t="n">
        <v>19946.17</v>
      </c>
      <c r="E39" s="24" t="n">
        <v>0</v>
      </c>
      <c r="F39" s="24" t="n">
        <v>0</v>
      </c>
      <c r="G39" s="24" t="n">
        <v>19281.3</v>
      </c>
      <c r="H39" s="24" t="n">
        <v>0</v>
      </c>
      <c r="I39" s="24" t="n">
        <f aca="false">G39+H39</f>
        <v>19281.3</v>
      </c>
      <c r="J39" s="24" t="n">
        <f aca="false">D39-I39</f>
        <v>664.869999999999</v>
      </c>
      <c r="K39" s="25" t="s">
        <v>121</v>
      </c>
      <c r="L39" s="25" t="s">
        <v>122</v>
      </c>
    </row>
    <row r="40" customFormat="false" ht="15" hidden="false" customHeight="false" outlineLevel="0" collapsed="false">
      <c r="A40" s="26"/>
      <c r="B40" s="27" t="s">
        <v>53</v>
      </c>
      <c r="C40" s="26"/>
      <c r="D40" s="28" t="n">
        <f aca="false">SUM(D36:D39)</f>
        <v>147893.47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59924.23</v>
      </c>
      <c r="H40" s="28" t="n">
        <f aca="false">SUM(H36:H39)</f>
        <v>4901.9</v>
      </c>
      <c r="I40" s="28" t="n">
        <f aca="false">SUM(I36:I39)</f>
        <v>64826.13</v>
      </c>
      <c r="J40" s="28" t="n">
        <f aca="false">SUM(J36:J39)</f>
        <v>83067.34</v>
      </c>
      <c r="K40" s="26"/>
      <c r="L40" s="26"/>
    </row>
    <row r="42" customFormat="false" ht="15" hidden="false" customHeight="false" outlineLevel="0" collapsed="false">
      <c r="A42" s="21" t="s">
        <v>131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4" t="s">
        <v>105</v>
      </c>
      <c r="B43" s="4" t="s">
        <v>106</v>
      </c>
      <c r="C43" s="4" t="s">
        <v>107</v>
      </c>
      <c r="D43" s="4" t="s">
        <v>108</v>
      </c>
      <c r="E43" s="4" t="s">
        <v>109</v>
      </c>
      <c r="F43" s="4" t="s">
        <v>110</v>
      </c>
      <c r="G43" s="4" t="s">
        <v>129</v>
      </c>
      <c r="H43" s="4" t="s">
        <v>130</v>
      </c>
      <c r="I43" s="4" t="s">
        <v>113</v>
      </c>
      <c r="J43" s="4" t="s">
        <v>114</v>
      </c>
      <c r="K43" s="4" t="s">
        <v>115</v>
      </c>
      <c r="L43" s="4" t="s">
        <v>116</v>
      </c>
    </row>
    <row r="44" customFormat="false" ht="15" hidden="false" customHeight="false" outlineLevel="0" collapsed="false">
      <c r="A44" s="23" t="n">
        <v>1</v>
      </c>
      <c r="B44" s="23" t="s">
        <v>71</v>
      </c>
      <c r="C44" s="23" t="s">
        <v>35</v>
      </c>
      <c r="D44" s="24" t="n">
        <v>24387.48</v>
      </c>
      <c r="E44" s="24" t="n">
        <v>0</v>
      </c>
      <c r="F44" s="24" t="n">
        <v>0</v>
      </c>
      <c r="G44" s="24" t="n">
        <v>24387.48</v>
      </c>
      <c r="H44" s="24" t="n">
        <v>0</v>
      </c>
      <c r="I44" s="24" t="n">
        <f aca="false">G44+H44</f>
        <v>24387.48</v>
      </c>
      <c r="J44" s="24" t="n">
        <f aca="false">D44-I44</f>
        <v>0</v>
      </c>
      <c r="K44" s="25" t="s">
        <v>121</v>
      </c>
      <c r="L44" s="25" t="s">
        <v>122</v>
      </c>
    </row>
    <row r="45" customFormat="false" ht="15" hidden="false" customHeight="false" outlineLevel="0" collapsed="false">
      <c r="A45" s="23" t="n">
        <v>2</v>
      </c>
      <c r="B45" s="23" t="s">
        <v>72</v>
      </c>
      <c r="C45" s="23" t="s">
        <v>35</v>
      </c>
      <c r="D45" s="24" t="n">
        <v>92335.64</v>
      </c>
      <c r="E45" s="24" t="n">
        <v>0</v>
      </c>
      <c r="F45" s="24" t="n">
        <v>0</v>
      </c>
      <c r="G45" s="24" t="n">
        <v>27001.18</v>
      </c>
      <c r="H45" s="24" t="n">
        <v>3357.66</v>
      </c>
      <c r="I45" s="24" t="n">
        <f aca="false">G45+H45</f>
        <v>30358.84</v>
      </c>
      <c r="J45" s="24" t="n">
        <f aca="false">D45-I45</f>
        <v>61976.8</v>
      </c>
      <c r="K45" s="25" t="s">
        <v>117</v>
      </c>
      <c r="L45" s="25" t="s">
        <v>118</v>
      </c>
    </row>
    <row r="46" customFormat="false" ht="15" hidden="false" customHeight="false" outlineLevel="0" collapsed="false">
      <c r="A46" s="23" t="n">
        <v>3</v>
      </c>
      <c r="B46" s="23" t="s">
        <v>73</v>
      </c>
      <c r="C46" s="23" t="s">
        <v>37</v>
      </c>
      <c r="D46" s="24" t="n">
        <v>44.42</v>
      </c>
      <c r="E46" s="24" t="n">
        <v>0</v>
      </c>
      <c r="F46" s="24" t="n">
        <v>0</v>
      </c>
      <c r="G46" s="24" t="n">
        <v>44.42</v>
      </c>
      <c r="H46" s="24" t="n">
        <v>0</v>
      </c>
      <c r="I46" s="24" t="n">
        <f aca="false">G46+H46</f>
        <v>44.42</v>
      </c>
      <c r="J46" s="24" t="n">
        <f aca="false">D46-I46</f>
        <v>0</v>
      </c>
      <c r="K46" s="25" t="s">
        <v>121</v>
      </c>
      <c r="L46" s="25" t="s">
        <v>122</v>
      </c>
    </row>
    <row r="47" customFormat="false" ht="15" hidden="false" customHeight="false" outlineLevel="0" collapsed="false">
      <c r="A47" s="23" t="n">
        <v>4</v>
      </c>
      <c r="B47" s="23" t="s">
        <v>74</v>
      </c>
      <c r="C47" s="23" t="s">
        <v>37</v>
      </c>
      <c r="D47" s="24" t="n">
        <v>168.16</v>
      </c>
      <c r="E47" s="24" t="n">
        <v>0</v>
      </c>
      <c r="F47" s="24" t="n">
        <v>0</v>
      </c>
      <c r="G47" s="24" t="n">
        <v>48.63</v>
      </c>
      <c r="H47" s="24" t="n">
        <v>6.11</v>
      </c>
      <c r="I47" s="24" t="n">
        <f aca="false">G47+H47</f>
        <v>54.74</v>
      </c>
      <c r="J47" s="24" t="n">
        <f aca="false">D47-I47</f>
        <v>113.42</v>
      </c>
      <c r="K47" s="25" t="s">
        <v>117</v>
      </c>
      <c r="L47" s="25" t="s">
        <v>118</v>
      </c>
    </row>
    <row r="48" customFormat="false" ht="15" hidden="false" customHeight="false" outlineLevel="0" collapsed="false">
      <c r="A48" s="23" t="n">
        <v>5</v>
      </c>
      <c r="B48" s="23" t="s">
        <v>75</v>
      </c>
      <c r="C48" s="23" t="s">
        <v>35</v>
      </c>
      <c r="D48" s="24" t="n">
        <v>2300.7</v>
      </c>
      <c r="E48" s="24" t="n">
        <v>0</v>
      </c>
      <c r="F48" s="24" t="n">
        <v>0</v>
      </c>
      <c r="G48" s="24" t="n">
        <v>2300.7</v>
      </c>
      <c r="H48" s="24" t="n">
        <v>0</v>
      </c>
      <c r="I48" s="24" t="n">
        <f aca="false">G48+H48</f>
        <v>2300.7</v>
      </c>
      <c r="J48" s="24" t="n">
        <f aca="false">D48-I48</f>
        <v>0</v>
      </c>
      <c r="K48" s="25" t="s">
        <v>121</v>
      </c>
      <c r="L48" s="25" t="s">
        <v>122</v>
      </c>
    </row>
    <row r="49" customFormat="false" ht="15" hidden="false" customHeight="false" outlineLevel="0" collapsed="false">
      <c r="A49" s="23" t="n">
        <v>6</v>
      </c>
      <c r="B49" s="23" t="s">
        <v>76</v>
      </c>
      <c r="C49" s="23" t="s">
        <v>35</v>
      </c>
      <c r="D49" s="24" t="n">
        <v>8710.9</v>
      </c>
      <c r="E49" s="24" t="n">
        <v>0</v>
      </c>
      <c r="F49" s="24" t="n">
        <v>0</v>
      </c>
      <c r="G49" s="24" t="n">
        <v>2547.28</v>
      </c>
      <c r="H49" s="24" t="n">
        <v>316.76</v>
      </c>
      <c r="I49" s="24" t="n">
        <f aca="false">G49+H49</f>
        <v>2864.04</v>
      </c>
      <c r="J49" s="24" t="n">
        <f aca="false">D49-I49</f>
        <v>5846.86</v>
      </c>
      <c r="K49" s="25" t="s">
        <v>117</v>
      </c>
      <c r="L49" s="25" t="s">
        <v>118</v>
      </c>
    </row>
    <row r="50" customFormat="false" ht="15" hidden="false" customHeight="false" outlineLevel="0" collapsed="false">
      <c r="A50" s="23" t="n">
        <v>7</v>
      </c>
      <c r="B50" s="23" t="s">
        <v>77</v>
      </c>
      <c r="C50" s="23" t="s">
        <v>35</v>
      </c>
      <c r="D50" s="24" t="n">
        <v>4167.44</v>
      </c>
      <c r="E50" s="24" t="n">
        <v>0</v>
      </c>
      <c r="F50" s="24" t="n">
        <v>0</v>
      </c>
      <c r="G50" s="24" t="n">
        <v>4167.44</v>
      </c>
      <c r="H50" s="24" t="n">
        <v>0</v>
      </c>
      <c r="I50" s="24" t="n">
        <f aca="false">G50+H50</f>
        <v>4167.44</v>
      </c>
      <c r="J50" s="24" t="n">
        <f aca="false">D50-I50</f>
        <v>0</v>
      </c>
      <c r="K50" s="25" t="s">
        <v>121</v>
      </c>
      <c r="L50" s="25" t="s">
        <v>122</v>
      </c>
    </row>
    <row r="51" customFormat="false" ht="15" hidden="false" customHeight="false" outlineLevel="0" collapsed="false">
      <c r="A51" s="23" t="n">
        <v>8</v>
      </c>
      <c r="B51" s="23" t="s">
        <v>78</v>
      </c>
      <c r="C51" s="23" t="s">
        <v>35</v>
      </c>
      <c r="D51" s="24" t="n">
        <v>15778.73</v>
      </c>
      <c r="E51" s="24" t="n">
        <v>0</v>
      </c>
      <c r="F51" s="24" t="n">
        <v>0</v>
      </c>
      <c r="G51" s="24" t="n">
        <v>4614.07</v>
      </c>
      <c r="H51" s="24" t="n">
        <v>573.77</v>
      </c>
      <c r="I51" s="24" t="n">
        <f aca="false">G51+H51</f>
        <v>5187.84</v>
      </c>
      <c r="J51" s="24" t="n">
        <f aca="false">D51-I51</f>
        <v>10590.89</v>
      </c>
      <c r="K51" s="25" t="s">
        <v>117</v>
      </c>
      <c r="L51" s="25" t="s">
        <v>118</v>
      </c>
    </row>
    <row r="52" customFormat="false" ht="15" hidden="false" customHeight="false" outlineLevel="0" collapsed="false">
      <c r="A52" s="26"/>
      <c r="B52" s="27" t="s">
        <v>53</v>
      </c>
      <c r="C52" s="26"/>
      <c r="D52" s="28" t="n">
        <f aca="false">SUM(D44:D51)</f>
        <v>147893.47</v>
      </c>
      <c r="E52" s="28" t="n">
        <f aca="false">SUM(E44:E51)</f>
        <v>0</v>
      </c>
      <c r="F52" s="28" t="n">
        <f aca="false">SUM(F44:F51)</f>
        <v>0</v>
      </c>
      <c r="G52" s="28" t="n">
        <f aca="false">SUM(G44:G51)</f>
        <v>65111.2</v>
      </c>
      <c r="H52" s="28" t="n">
        <f aca="false">SUM(H44:H51)</f>
        <v>4254.3</v>
      </c>
      <c r="I52" s="28" t="n">
        <f aca="false">SUM(I44:I51)</f>
        <v>69365.5</v>
      </c>
      <c r="J52" s="28" t="n">
        <f aca="false">SUM(J44:J51)</f>
        <v>78527.97</v>
      </c>
      <c r="K52" s="26"/>
      <c r="L52" s="26"/>
    </row>
    <row r="54" customFormat="false" ht="15" hidden="false" customHeight="false" outlineLevel="0" collapsed="false">
      <c r="B54" s="18" t="s">
        <v>132</v>
      </c>
    </row>
    <row r="55" customFormat="false" ht="15" hidden="false" customHeight="false" outlineLevel="0" collapsed="false">
      <c r="B55" s="5" t="s">
        <v>125</v>
      </c>
      <c r="D55" s="6" t="n">
        <f aca="false">I40</f>
        <v>64826.13</v>
      </c>
    </row>
    <row r="56" customFormat="false" ht="15" hidden="false" customHeight="false" outlineLevel="0" collapsed="false">
      <c r="B56" s="5" t="s">
        <v>126</v>
      </c>
      <c r="D56" s="6" t="n">
        <f aca="false">I52</f>
        <v>69365.5</v>
      </c>
    </row>
    <row r="57" customFormat="false" ht="15" hidden="false" customHeight="false" outlineLevel="0" collapsed="false">
      <c r="B57" s="11" t="s">
        <v>132</v>
      </c>
      <c r="D57" s="29" t="n">
        <f aca="false">D55-D56</f>
        <v>-4539.37</v>
      </c>
    </row>
    <row r="59" customFormat="false" ht="15" hidden="false" customHeight="false" outlineLevel="0" collapsed="false">
      <c r="A59" s="10" t="s">
        <v>133</v>
      </c>
    </row>
    <row r="60" customFormat="false" ht="15" hidden="false" customHeight="false" outlineLevel="0" collapsed="false">
      <c r="B60" s="11" t="s">
        <v>162</v>
      </c>
      <c r="D60" s="12" t="n">
        <f aca="false">D98</f>
        <v>147893.47</v>
      </c>
    </row>
    <row r="61" customFormat="false" ht="15" hidden="false" customHeight="false" outlineLevel="0" collapsed="false">
      <c r="B61" s="5" t="s">
        <v>163</v>
      </c>
      <c r="D61" s="6" t="n">
        <f aca="false">F98</f>
        <v>30900.04</v>
      </c>
    </row>
    <row r="62" customFormat="false" ht="15" hidden="false" customHeight="false" outlineLevel="0" collapsed="false">
      <c r="B62" s="30" t="s">
        <v>136</v>
      </c>
      <c r="D62" s="31" t="n">
        <f aca="false">F99</f>
        <v>0.208934444502519</v>
      </c>
    </row>
    <row r="63" customFormat="false" ht="15" hidden="false" customHeight="false" outlineLevel="0" collapsed="false">
      <c r="B63" s="5" t="s">
        <v>164</v>
      </c>
      <c r="D63" s="6" t="n">
        <f aca="false">H98</f>
        <v>116993.43</v>
      </c>
    </row>
    <row r="64" customFormat="false" ht="15" hidden="false" customHeight="false" outlineLevel="0" collapsed="false">
      <c r="B64" s="30" t="s">
        <v>136</v>
      </c>
      <c r="D64" s="31" t="n">
        <f aca="false">H99</f>
        <v>0.791065555497481</v>
      </c>
    </row>
    <row r="66" customFormat="false" ht="15" hidden="false" customHeight="false" outlineLevel="0" collapsed="false">
      <c r="A66" s="10" t="s">
        <v>138</v>
      </c>
    </row>
    <row r="67" customFormat="false" ht="15" hidden="false" customHeight="false" outlineLevel="0" collapsed="false">
      <c r="B67" s="4" t="s">
        <v>139</v>
      </c>
      <c r="D67" s="4" t="s">
        <v>108</v>
      </c>
      <c r="F67" s="4" t="s">
        <v>165</v>
      </c>
      <c r="H67" s="4" t="s">
        <v>141</v>
      </c>
    </row>
    <row r="68" customFormat="false" ht="15" hidden="false" customHeight="false" outlineLevel="0" collapsed="false">
      <c r="B68" s="32" t="s">
        <v>166</v>
      </c>
    </row>
    <row r="69" customFormat="false" ht="15" hidden="false" customHeight="false" outlineLevel="0" collapsed="false">
      <c r="B69" s="5" t="s">
        <v>167</v>
      </c>
      <c r="D69" s="33" t="n">
        <f aca="false">SUM(F69:H69)</f>
        <v>4901.61</v>
      </c>
      <c r="F69" s="33" t="n">
        <v>4901.61</v>
      </c>
    </row>
    <row r="70" customFormat="false" ht="15" hidden="false" customHeight="false" outlineLevel="0" collapsed="false">
      <c r="B70" s="5" t="s">
        <v>168</v>
      </c>
      <c r="D70" s="33" t="n">
        <f aca="false">SUM(F70:H70)</f>
        <v>2185.54</v>
      </c>
      <c r="F70" s="33" t="n">
        <v>2185.54</v>
      </c>
    </row>
    <row r="71" customFormat="false" ht="15" hidden="false" customHeight="false" outlineLevel="0" collapsed="false">
      <c r="B71" s="5" t="s">
        <v>169</v>
      </c>
      <c r="D71" s="33" t="n">
        <f aca="false">SUM(F71:H71)</f>
        <v>11385.26</v>
      </c>
      <c r="F71" s="33" t="n">
        <v>11385.26</v>
      </c>
    </row>
    <row r="72" customFormat="false" ht="15" hidden="false" customHeight="false" outlineLevel="0" collapsed="false">
      <c r="B72" s="5" t="s">
        <v>171</v>
      </c>
      <c r="D72" s="33" t="n">
        <f aca="false">SUM(F72:H72)</f>
        <v>589.62</v>
      </c>
      <c r="F72" s="33" t="n">
        <v>589.62</v>
      </c>
    </row>
    <row r="73" customFormat="false" ht="15" hidden="false" customHeight="false" outlineLevel="0" collapsed="false">
      <c r="B73" s="5" t="s">
        <v>196</v>
      </c>
      <c r="D73" s="33" t="n">
        <f aca="false">SUM(F73:H73)</f>
        <v>183.29</v>
      </c>
      <c r="F73" s="33" t="n">
        <v>183.29</v>
      </c>
    </row>
    <row r="74" customFormat="false" ht="15" hidden="false" customHeight="false" outlineLevel="0" collapsed="false">
      <c r="B74" s="5" t="s">
        <v>197</v>
      </c>
      <c r="D74" s="33" t="n">
        <f aca="false">SUM(F74:H74)</f>
        <v>96.76</v>
      </c>
      <c r="F74" s="33" t="n">
        <v>96.76</v>
      </c>
    </row>
    <row r="75" customFormat="false" ht="15" hidden="false" customHeight="false" outlineLevel="0" collapsed="false">
      <c r="B75" s="5" t="s">
        <v>172</v>
      </c>
      <c r="D75" s="33" t="n">
        <f aca="false">SUM(F75:H75)</f>
        <v>2980.97</v>
      </c>
      <c r="F75" s="33" t="n">
        <v>2980.97</v>
      </c>
    </row>
    <row r="76" customFormat="false" ht="15" hidden="false" customHeight="false" outlineLevel="0" collapsed="false">
      <c r="B76" s="5" t="s">
        <v>173</v>
      </c>
      <c r="D76" s="33" t="n">
        <f aca="false">SUM(F76:H76)</f>
        <v>994.55</v>
      </c>
      <c r="F76" s="33" t="n">
        <v>994.55</v>
      </c>
    </row>
    <row r="77" customFormat="false" ht="15" hidden="false" customHeight="false" outlineLevel="0" collapsed="false">
      <c r="B77" s="5" t="s">
        <v>198</v>
      </c>
      <c r="D77" s="33" t="n">
        <f aca="false">SUM(F77:H77)</f>
        <v>3427.41</v>
      </c>
      <c r="F77" s="33" t="n">
        <v>3427.41</v>
      </c>
    </row>
    <row r="78" customFormat="false" ht="15" hidden="false" customHeight="false" outlineLevel="0" collapsed="false">
      <c r="B78" s="5" t="s">
        <v>175</v>
      </c>
      <c r="D78" s="33" t="n">
        <f aca="false">SUM(F78:H78)</f>
        <v>428.96</v>
      </c>
      <c r="F78" s="33" t="n">
        <v>428.96</v>
      </c>
    </row>
    <row r="79" customFormat="false" ht="15" hidden="false" customHeight="false" outlineLevel="0" collapsed="false">
      <c r="B79" s="5" t="s">
        <v>199</v>
      </c>
      <c r="D79" s="33" t="n">
        <f aca="false">SUM(F79:H79)</f>
        <v>43.2</v>
      </c>
      <c r="F79" s="33" t="n">
        <v>43.2</v>
      </c>
    </row>
    <row r="80" customFormat="false" ht="15" hidden="false" customHeight="false" outlineLevel="0" collapsed="false">
      <c r="B80" s="5" t="s">
        <v>200</v>
      </c>
      <c r="D80" s="33" t="n">
        <f aca="false">SUM(F80:H80)</f>
        <v>3682.87</v>
      </c>
      <c r="F80" s="33" t="n">
        <v>3682.87</v>
      </c>
    </row>
    <row r="81" customFormat="false" ht="15" hidden="false" customHeight="false" outlineLevel="0" collapsed="false">
      <c r="B81" s="32" t="s">
        <v>177</v>
      </c>
    </row>
    <row r="82" customFormat="false" ht="15" hidden="false" customHeight="false" outlineLevel="0" collapsed="false">
      <c r="B82" s="5" t="s">
        <v>178</v>
      </c>
      <c r="D82" s="33" t="n">
        <f aca="false">SUM(F82:H82)</f>
        <v>8561.68</v>
      </c>
      <c r="H82" s="33" t="n">
        <v>8561.68</v>
      </c>
    </row>
    <row r="83" customFormat="false" ht="15" hidden="false" customHeight="false" outlineLevel="0" collapsed="false">
      <c r="B83" s="5" t="s">
        <v>179</v>
      </c>
      <c r="D83" s="33" t="n">
        <f aca="false">SUM(F83:H83)</f>
        <v>16225.62</v>
      </c>
      <c r="H83" s="33" t="n">
        <v>16225.62</v>
      </c>
    </row>
    <row r="84" customFormat="false" ht="15" hidden="false" customHeight="false" outlineLevel="0" collapsed="false">
      <c r="B84" s="5" t="s">
        <v>180</v>
      </c>
      <c r="D84" s="33" t="n">
        <f aca="false">SUM(F84:H84)</f>
        <v>10992.55</v>
      </c>
      <c r="H84" s="33" t="n">
        <v>10992.55</v>
      </c>
    </row>
    <row r="85" customFormat="false" ht="15" hidden="false" customHeight="false" outlineLevel="0" collapsed="false">
      <c r="B85" s="5" t="s">
        <v>181</v>
      </c>
      <c r="D85" s="33" t="n">
        <f aca="false">SUM(F85:H85)</f>
        <v>12099.12</v>
      </c>
      <c r="H85" s="33" t="n">
        <v>12099.12</v>
      </c>
    </row>
    <row r="86" customFormat="false" ht="15" hidden="false" customHeight="false" outlineLevel="0" collapsed="false">
      <c r="B86" s="5" t="s">
        <v>182</v>
      </c>
      <c r="D86" s="33" t="n">
        <f aca="false">SUM(F86:H86)</f>
        <v>9715.1</v>
      </c>
      <c r="H86" s="33" t="n">
        <v>9715.1</v>
      </c>
    </row>
    <row r="87" customFormat="false" ht="15" hidden="false" customHeight="false" outlineLevel="0" collapsed="false">
      <c r="B87" s="5" t="s">
        <v>183</v>
      </c>
      <c r="D87" s="33" t="n">
        <f aca="false">SUM(F87:H87)</f>
        <v>548.48</v>
      </c>
      <c r="H87" s="33" t="n">
        <v>548.48</v>
      </c>
    </row>
    <row r="88" customFormat="false" ht="15" hidden="false" customHeight="false" outlineLevel="0" collapsed="false">
      <c r="B88" s="5" t="s">
        <v>184</v>
      </c>
      <c r="D88" s="33" t="n">
        <f aca="false">SUM(F88:H88)</f>
        <v>12559.71</v>
      </c>
      <c r="H88" s="33" t="n">
        <v>12559.71</v>
      </c>
    </row>
    <row r="89" customFormat="false" ht="15" hidden="false" customHeight="false" outlineLevel="0" collapsed="false">
      <c r="B89" s="5" t="s">
        <v>185</v>
      </c>
      <c r="D89" s="33" t="n">
        <f aca="false">SUM(F89:H89)</f>
        <v>5680.09</v>
      </c>
      <c r="H89" s="33" t="n">
        <v>5680.09</v>
      </c>
    </row>
    <row r="90" customFormat="false" ht="15" hidden="false" customHeight="false" outlineLevel="0" collapsed="false">
      <c r="B90" s="5" t="s">
        <v>186</v>
      </c>
      <c r="D90" s="33" t="n">
        <f aca="false">SUM(F90:H90)</f>
        <v>2911.57</v>
      </c>
      <c r="H90" s="33" t="n">
        <v>2911.57</v>
      </c>
    </row>
    <row r="91" customFormat="false" ht="15" hidden="false" customHeight="false" outlineLevel="0" collapsed="false">
      <c r="B91" s="5" t="s">
        <v>187</v>
      </c>
      <c r="D91" s="33" t="n">
        <f aca="false">SUM(F91:H91)</f>
        <v>5070.55</v>
      </c>
      <c r="H91" s="33" t="n">
        <v>5070.55</v>
      </c>
    </row>
    <row r="92" customFormat="false" ht="15" hidden="false" customHeight="false" outlineLevel="0" collapsed="false">
      <c r="B92" s="5" t="s">
        <v>188</v>
      </c>
      <c r="D92" s="33" t="n">
        <f aca="false">SUM(F92:H92)</f>
        <v>9837.36</v>
      </c>
      <c r="H92" s="33" t="n">
        <v>9837.36</v>
      </c>
    </row>
    <row r="93" customFormat="false" ht="15" hidden="false" customHeight="false" outlineLevel="0" collapsed="false">
      <c r="B93" s="5" t="s">
        <v>189</v>
      </c>
      <c r="D93" s="33" t="n">
        <f aca="false">SUM(F93:H93)</f>
        <v>4408.6</v>
      </c>
      <c r="H93" s="33" t="n">
        <v>4408.6</v>
      </c>
    </row>
    <row r="94" customFormat="false" ht="15" hidden="false" customHeight="false" outlineLevel="0" collapsed="false">
      <c r="B94" s="5" t="s">
        <v>190</v>
      </c>
      <c r="D94" s="33" t="n">
        <f aca="false">SUM(F94:H94)</f>
        <v>1012.22</v>
      </c>
      <c r="H94" s="33" t="n">
        <v>1012.22</v>
      </c>
    </row>
    <row r="95" customFormat="false" ht="15" hidden="false" customHeight="false" outlineLevel="0" collapsed="false">
      <c r="B95" s="5" t="s">
        <v>192</v>
      </c>
      <c r="D95" s="33" t="n">
        <f aca="false">SUM(F95:H95)</f>
        <v>14327.98</v>
      </c>
      <c r="H95" s="33" t="n">
        <v>14327.98</v>
      </c>
    </row>
    <row r="96" customFormat="false" ht="15" hidden="false" customHeight="false" outlineLevel="0" collapsed="false">
      <c r="B96" s="5" t="s">
        <v>193</v>
      </c>
      <c r="D96" s="33" t="n">
        <f aca="false">SUM(F96:H96)</f>
        <v>1332.99</v>
      </c>
      <c r="H96" s="33" t="n">
        <v>1332.99</v>
      </c>
    </row>
    <row r="97" customFormat="false" ht="15" hidden="false" customHeight="false" outlineLevel="0" collapsed="false">
      <c r="B97" s="5" t="s">
        <v>202</v>
      </c>
      <c r="D97" s="33" t="n">
        <f aca="false">SUM(F97:H97)</f>
        <v>1709.81</v>
      </c>
      <c r="H97" s="33" t="n">
        <v>1709.81</v>
      </c>
    </row>
    <row r="98" customFormat="false" ht="15" hidden="false" customHeight="false" outlineLevel="0" collapsed="false">
      <c r="B98" s="11" t="s">
        <v>162</v>
      </c>
      <c r="D98" s="34" t="n">
        <f aca="false">SUM(D68:D97)</f>
        <v>147893.47</v>
      </c>
      <c r="F98" s="34" t="n">
        <f aca="false">SUM(F68:F97)</f>
        <v>30900.04</v>
      </c>
      <c r="H98" s="34" t="n">
        <f aca="false">SUM(H68:H97)</f>
        <v>116993.43</v>
      </c>
    </row>
    <row r="99" customFormat="false" ht="15" hidden="false" customHeight="false" outlineLevel="0" collapsed="false">
      <c r="B99" s="30" t="s">
        <v>136</v>
      </c>
      <c r="F99" s="31" t="n">
        <f aca="false">F98/D98</f>
        <v>0.208934444502519</v>
      </c>
      <c r="H99" s="31" t="n">
        <f aca="false">H98/D98</f>
        <v>0.791065555497481</v>
      </c>
    </row>
    <row r="101" customFormat="false" ht="15" hidden="false" customHeight="false" outlineLevel="0" collapsed="false">
      <c r="A101" s="10" t="s">
        <v>157</v>
      </c>
    </row>
    <row r="102" customFormat="false" ht="15" hidden="false" customHeight="false" outlineLevel="0" collapsed="false">
      <c r="B102" s="4" t="s">
        <v>158</v>
      </c>
      <c r="D102" s="4" t="s">
        <v>108</v>
      </c>
      <c r="F102" s="4" t="s">
        <v>165</v>
      </c>
      <c r="H102" s="4" t="s">
        <v>141</v>
      </c>
    </row>
    <row r="103" customFormat="false" ht="15" hidden="false" customHeight="false" outlineLevel="0" collapsed="false">
      <c r="B103" s="5" t="str">
        <f aca="false">'Building 16'!B18</f>
        <v>1 - Buillding - Apt - 5yr</v>
      </c>
      <c r="D103" s="33" t="n">
        <f aca="false">SUM(F103:H103)</f>
        <v>24387.48</v>
      </c>
      <c r="F103" s="33" t="n">
        <f aca="false">'Building 16'!D18</f>
        <v>24387.48</v>
      </c>
    </row>
    <row r="104" customFormat="false" ht="15" hidden="false" customHeight="false" outlineLevel="0" collapsed="false">
      <c r="B104" s="5" t="str">
        <f aca="false">'Building 16'!B19</f>
        <v>1 - Buillding - Apt - 27.5yr</v>
      </c>
      <c r="D104" s="33" t="n">
        <f aca="false">SUM(F104:H104)</f>
        <v>92335.64</v>
      </c>
      <c r="H104" s="33" t="n">
        <f aca="false">'Building 16'!D19</f>
        <v>92335.64</v>
      </c>
    </row>
    <row r="105" customFormat="false" ht="15" hidden="false" customHeight="false" outlineLevel="0" collapsed="false">
      <c r="B105" s="5" t="str">
        <f aca="false">'Building 16'!B20</f>
        <v>5 - Building - Apt - 5yr</v>
      </c>
      <c r="D105" s="33" t="n">
        <f aca="false">SUM(F105:H105)</f>
        <v>44.42</v>
      </c>
      <c r="F105" s="33" t="n">
        <f aca="false">'Building 16'!D20</f>
        <v>44.42</v>
      </c>
    </row>
    <row r="106" customFormat="false" ht="15" hidden="false" customHeight="false" outlineLevel="0" collapsed="false">
      <c r="B106" s="5" t="str">
        <f aca="false">'Building 16'!B21</f>
        <v>5 - Building - Apt - 27.5yr</v>
      </c>
      <c r="D106" s="33" t="n">
        <f aca="false">SUM(F106:H106)</f>
        <v>168.16</v>
      </c>
      <c r="H106" s="33" t="n">
        <f aca="false">'Building 16'!D21</f>
        <v>168.16</v>
      </c>
    </row>
    <row r="107" customFormat="false" ht="15" hidden="false" customHeight="false" outlineLevel="0" collapsed="false">
      <c r="B107" s="5" t="str">
        <f aca="false">'Building 16'!B22</f>
        <v>3 - Land Improvements - Apt - 5yr</v>
      </c>
      <c r="D107" s="33" t="n">
        <f aca="false">SUM(F107:H107)</f>
        <v>2300.7</v>
      </c>
      <c r="F107" s="33" t="n">
        <f aca="false">'Building 16'!D22</f>
        <v>2300.7</v>
      </c>
    </row>
    <row r="108" customFormat="false" ht="15" hidden="false" customHeight="false" outlineLevel="0" collapsed="false">
      <c r="B108" s="5" t="str">
        <f aca="false">'Building 16'!B23</f>
        <v>3 - Land Improvements - Apt - 27.5yr</v>
      </c>
      <c r="D108" s="33" t="n">
        <f aca="false">SUM(F108:H108)</f>
        <v>8710.9</v>
      </c>
      <c r="H108" s="33" t="n">
        <f aca="false">'Building 16'!D23</f>
        <v>8710.9</v>
      </c>
    </row>
    <row r="109" customFormat="false" ht="15" hidden="false" customHeight="false" outlineLevel="0" collapsed="false">
      <c r="B109" s="5" t="str">
        <f aca="false">'Building 16'!B24</f>
        <v>4 - Equipment - Apt - 5yr</v>
      </c>
      <c r="D109" s="33" t="n">
        <f aca="false">SUM(F109:H109)</f>
        <v>4167.44</v>
      </c>
      <c r="F109" s="33" t="n">
        <f aca="false">'Building 16'!D24</f>
        <v>4167.44</v>
      </c>
    </row>
    <row r="110" customFormat="false" ht="15" hidden="false" customHeight="false" outlineLevel="0" collapsed="false">
      <c r="B110" s="5" t="str">
        <f aca="false">'Building 16'!B25</f>
        <v>4 - Equipment - Apt - 27.5yr</v>
      </c>
      <c r="D110" s="33" t="n">
        <f aca="false">SUM(F110:H110)</f>
        <v>15778.73</v>
      </c>
      <c r="H110" s="33" t="n">
        <f aca="false">'Building 16'!D25</f>
        <v>15778.73</v>
      </c>
    </row>
    <row r="111" customFormat="false" ht="15" hidden="false" customHeight="false" outlineLevel="0" collapsed="false">
      <c r="B111" s="11" t="s">
        <v>159</v>
      </c>
      <c r="D111" s="34" t="n">
        <f aca="false">SUM(D103:D110)</f>
        <v>147893.47</v>
      </c>
      <c r="F111" s="34" t="n">
        <f aca="false">SUM(F103:F110)</f>
        <v>30900.04</v>
      </c>
      <c r="H111" s="34" t="n">
        <f aca="false">SUM(H103:H110)</f>
        <v>116993.43</v>
      </c>
    </row>
    <row r="112" customFormat="false" ht="15" hidden="false" customHeight="false" outlineLevel="0" collapsed="false">
      <c r="B112" s="16" t="s">
        <v>160</v>
      </c>
      <c r="D112" s="17" t="n">
        <f aca="false">D111-D98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218</v>
      </c>
    </row>
    <row r="5" customFormat="false" ht="15" hidden="false" customHeight="false" outlineLevel="0" collapsed="false">
      <c r="A5" s="16" t="s">
        <v>102</v>
      </c>
    </row>
    <row r="7" customFormat="false" ht="15" hidden="false" customHeight="false" outlineLevel="0" collapsed="false">
      <c r="A7" s="10" t="s">
        <v>103</v>
      </c>
    </row>
    <row r="8" customFormat="false" ht="15" hidden="false" customHeight="false" outlineLevel="0" collapsed="false">
      <c r="A8" s="21" t="s">
        <v>104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105</v>
      </c>
      <c r="B9" s="4" t="s">
        <v>106</v>
      </c>
      <c r="C9" s="4" t="s">
        <v>107</v>
      </c>
      <c r="D9" s="4" t="s">
        <v>108</v>
      </c>
      <c r="E9" s="4" t="s">
        <v>109</v>
      </c>
      <c r="F9" s="4" t="s">
        <v>110</v>
      </c>
      <c r="G9" s="4" t="s">
        <v>111</v>
      </c>
      <c r="H9" s="4" t="s">
        <v>112</v>
      </c>
      <c r="I9" s="4" t="s">
        <v>113</v>
      </c>
      <c r="J9" s="4" t="s">
        <v>114</v>
      </c>
      <c r="K9" s="4" t="s">
        <v>115</v>
      </c>
      <c r="L9" s="4" t="s">
        <v>116</v>
      </c>
    </row>
    <row r="10" customFormat="false" ht="15" hidden="false" customHeight="false" outlineLevel="0" collapsed="false">
      <c r="A10" s="23" t="n">
        <v>1</v>
      </c>
      <c r="B10" s="23" t="s">
        <v>45</v>
      </c>
      <c r="C10" s="23" t="s">
        <v>35</v>
      </c>
      <c r="D10" s="24" t="n">
        <v>116723.12</v>
      </c>
      <c r="E10" s="24" t="n">
        <v>0</v>
      </c>
      <c r="F10" s="24" t="n">
        <v>0</v>
      </c>
      <c r="G10" s="24" t="n">
        <v>34132.24</v>
      </c>
      <c r="H10" s="24" t="n">
        <v>4244.48</v>
      </c>
      <c r="I10" s="24" t="n">
        <f aca="false">G10+H10</f>
        <v>38376.72</v>
      </c>
      <c r="J10" s="24" t="n">
        <f aca="false">D10-I10</f>
        <v>78346.4</v>
      </c>
      <c r="K10" s="25" t="s">
        <v>117</v>
      </c>
      <c r="L10" s="25" t="s">
        <v>118</v>
      </c>
    </row>
    <row r="11" customFormat="false" ht="15" hidden="false" customHeight="false" outlineLevel="0" collapsed="false">
      <c r="A11" s="23" t="n">
        <v>2</v>
      </c>
      <c r="B11" s="23" t="s">
        <v>46</v>
      </c>
      <c r="C11" s="23" t="s">
        <v>37</v>
      </c>
      <c r="D11" s="24" t="n">
        <v>212.58</v>
      </c>
      <c r="E11" s="24" t="n">
        <v>0</v>
      </c>
      <c r="F11" s="24" t="n">
        <v>0</v>
      </c>
      <c r="G11" s="24" t="n">
        <v>61.56</v>
      </c>
      <c r="H11" s="24" t="n">
        <v>7.73</v>
      </c>
      <c r="I11" s="24" t="n">
        <f aca="false">G11+H11</f>
        <v>69.29</v>
      </c>
      <c r="J11" s="24" t="n">
        <f aca="false">D11-I11</f>
        <v>143.29</v>
      </c>
      <c r="K11" s="25" t="s">
        <v>117</v>
      </c>
      <c r="L11" s="25" t="s">
        <v>118</v>
      </c>
    </row>
    <row r="12" customFormat="false" ht="15" hidden="false" customHeight="false" outlineLevel="0" collapsed="false">
      <c r="A12" s="23" t="n">
        <v>3</v>
      </c>
      <c r="B12" s="23" t="s">
        <v>47</v>
      </c>
      <c r="C12" s="23" t="s">
        <v>35</v>
      </c>
      <c r="D12" s="24" t="n">
        <v>11011.6</v>
      </c>
      <c r="E12" s="24" t="n">
        <v>0</v>
      </c>
      <c r="F12" s="24" t="n">
        <v>0</v>
      </c>
      <c r="G12" s="24" t="n">
        <v>6449.13</v>
      </c>
      <c r="H12" s="24" t="n">
        <v>649.69</v>
      </c>
      <c r="I12" s="24" t="n">
        <f aca="false">G12+H12</f>
        <v>7098.82</v>
      </c>
      <c r="J12" s="24" t="n">
        <f aca="false">D12-I12</f>
        <v>3912.78</v>
      </c>
      <c r="K12" s="25" t="s">
        <v>119</v>
      </c>
      <c r="L12" s="25" t="s">
        <v>120</v>
      </c>
    </row>
    <row r="13" customFormat="false" ht="15" hidden="false" customHeight="false" outlineLevel="0" collapsed="false">
      <c r="A13" s="23" t="n">
        <v>4</v>
      </c>
      <c r="B13" s="23" t="s">
        <v>48</v>
      </c>
      <c r="C13" s="23" t="s">
        <v>35</v>
      </c>
      <c r="D13" s="24" t="n">
        <v>19946.17</v>
      </c>
      <c r="E13" s="24" t="n">
        <v>0</v>
      </c>
      <c r="F13" s="24" t="n">
        <v>0</v>
      </c>
      <c r="G13" s="24" t="n">
        <v>19281.3</v>
      </c>
      <c r="H13" s="24" t="n">
        <v>0</v>
      </c>
      <c r="I13" s="24" t="n">
        <f aca="false">G13+H13</f>
        <v>19281.3</v>
      </c>
      <c r="J13" s="24" t="n">
        <f aca="false">D13-I13</f>
        <v>664.869999999999</v>
      </c>
      <c r="K13" s="25" t="s">
        <v>121</v>
      </c>
      <c r="L13" s="25" t="s">
        <v>122</v>
      </c>
    </row>
    <row r="14" customFormat="false" ht="15" hidden="false" customHeight="false" outlineLevel="0" collapsed="false">
      <c r="A14" s="26"/>
      <c r="B14" s="27" t="s">
        <v>53</v>
      </c>
      <c r="C14" s="26"/>
      <c r="D14" s="28" t="n">
        <f aca="false">SUM(D10:D13)</f>
        <v>147893.47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59924.23</v>
      </c>
      <c r="H14" s="28" t="n">
        <f aca="false">SUM(H10:H13)</f>
        <v>4901.9</v>
      </c>
      <c r="I14" s="28" t="n">
        <f aca="false">SUM(I10:I13)</f>
        <v>64826.13</v>
      </c>
      <c r="J14" s="28" t="n">
        <f aca="false">SUM(J10:J13)</f>
        <v>83067.34</v>
      </c>
      <c r="K14" s="26"/>
      <c r="L14" s="26"/>
    </row>
    <row r="16" customFormat="false" ht="15" hidden="false" customHeight="false" outlineLevel="0" collapsed="false">
      <c r="A16" s="21" t="s">
        <v>123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4" t="s">
        <v>105</v>
      </c>
      <c r="B17" s="4" t="s">
        <v>106</v>
      </c>
      <c r="C17" s="4" t="s">
        <v>107</v>
      </c>
      <c r="D17" s="4" t="s">
        <v>108</v>
      </c>
      <c r="E17" s="4" t="s">
        <v>109</v>
      </c>
      <c r="F17" s="4" t="s">
        <v>110</v>
      </c>
      <c r="G17" s="4" t="s">
        <v>111</v>
      </c>
      <c r="H17" s="4" t="s">
        <v>112</v>
      </c>
      <c r="I17" s="4" t="s">
        <v>113</v>
      </c>
      <c r="J17" s="4" t="s">
        <v>114</v>
      </c>
      <c r="K17" s="4" t="s">
        <v>115</v>
      </c>
      <c r="L17" s="4" t="s">
        <v>116</v>
      </c>
    </row>
    <row r="18" customFormat="false" ht="15" hidden="false" customHeight="false" outlineLevel="0" collapsed="false">
      <c r="A18" s="23" t="n">
        <v>1</v>
      </c>
      <c r="B18" s="23" t="s">
        <v>71</v>
      </c>
      <c r="C18" s="23" t="s">
        <v>35</v>
      </c>
      <c r="D18" s="24" t="n">
        <v>24387.48</v>
      </c>
      <c r="E18" s="24" t="n">
        <v>0</v>
      </c>
      <c r="F18" s="24" t="n">
        <v>0</v>
      </c>
      <c r="G18" s="24" t="n">
        <v>24387.48</v>
      </c>
      <c r="H18" s="24" t="n">
        <v>0</v>
      </c>
      <c r="I18" s="24" t="n">
        <f aca="false">G18+H18</f>
        <v>24387.48</v>
      </c>
      <c r="J18" s="24" t="n">
        <f aca="false">D18-I18</f>
        <v>0</v>
      </c>
      <c r="K18" s="25" t="s">
        <v>121</v>
      </c>
      <c r="L18" s="25" t="s">
        <v>122</v>
      </c>
    </row>
    <row r="19" customFormat="false" ht="15" hidden="false" customHeight="false" outlineLevel="0" collapsed="false">
      <c r="A19" s="23" t="n">
        <v>2</v>
      </c>
      <c r="B19" s="23" t="s">
        <v>72</v>
      </c>
      <c r="C19" s="23" t="s">
        <v>35</v>
      </c>
      <c r="D19" s="24" t="n">
        <v>92335.64</v>
      </c>
      <c r="E19" s="24" t="n">
        <v>0</v>
      </c>
      <c r="F19" s="24" t="n">
        <v>0</v>
      </c>
      <c r="G19" s="24" t="n">
        <v>27001.18</v>
      </c>
      <c r="H19" s="24" t="n">
        <v>3357.66</v>
      </c>
      <c r="I19" s="24" t="n">
        <f aca="false">G19+H19</f>
        <v>30358.84</v>
      </c>
      <c r="J19" s="24" t="n">
        <f aca="false">D19-I19</f>
        <v>61976.8</v>
      </c>
      <c r="K19" s="25" t="s">
        <v>117</v>
      </c>
      <c r="L19" s="25" t="s">
        <v>118</v>
      </c>
    </row>
    <row r="20" customFormat="false" ht="15" hidden="false" customHeight="false" outlineLevel="0" collapsed="false">
      <c r="A20" s="23" t="n">
        <v>3</v>
      </c>
      <c r="B20" s="23" t="s">
        <v>73</v>
      </c>
      <c r="C20" s="23" t="s">
        <v>37</v>
      </c>
      <c r="D20" s="24" t="n">
        <v>44.42</v>
      </c>
      <c r="E20" s="24" t="n">
        <v>0</v>
      </c>
      <c r="F20" s="24" t="n">
        <v>0</v>
      </c>
      <c r="G20" s="24" t="n">
        <v>44.42</v>
      </c>
      <c r="H20" s="24" t="n">
        <v>0</v>
      </c>
      <c r="I20" s="24" t="n">
        <f aca="false">G20+H20</f>
        <v>44.42</v>
      </c>
      <c r="J20" s="24" t="n">
        <f aca="false">D20-I20</f>
        <v>0</v>
      </c>
      <c r="K20" s="25" t="s">
        <v>121</v>
      </c>
      <c r="L20" s="25" t="s">
        <v>122</v>
      </c>
    </row>
    <row r="21" customFormat="false" ht="15" hidden="false" customHeight="false" outlineLevel="0" collapsed="false">
      <c r="A21" s="23" t="n">
        <v>4</v>
      </c>
      <c r="B21" s="23" t="s">
        <v>74</v>
      </c>
      <c r="C21" s="23" t="s">
        <v>37</v>
      </c>
      <c r="D21" s="24" t="n">
        <v>168.16</v>
      </c>
      <c r="E21" s="24" t="n">
        <v>0</v>
      </c>
      <c r="F21" s="24" t="n">
        <v>0</v>
      </c>
      <c r="G21" s="24" t="n">
        <v>48.63</v>
      </c>
      <c r="H21" s="24" t="n">
        <v>6.11</v>
      </c>
      <c r="I21" s="24" t="n">
        <f aca="false">G21+H21</f>
        <v>54.74</v>
      </c>
      <c r="J21" s="24" t="n">
        <f aca="false">D21-I21</f>
        <v>113.42</v>
      </c>
      <c r="K21" s="25" t="s">
        <v>117</v>
      </c>
      <c r="L21" s="25" t="s">
        <v>118</v>
      </c>
    </row>
    <row r="22" customFormat="false" ht="15" hidden="false" customHeight="false" outlineLevel="0" collapsed="false">
      <c r="A22" s="23" t="n">
        <v>5</v>
      </c>
      <c r="B22" s="23" t="s">
        <v>75</v>
      </c>
      <c r="C22" s="23" t="s">
        <v>35</v>
      </c>
      <c r="D22" s="24" t="n">
        <v>2300.7</v>
      </c>
      <c r="E22" s="24" t="n">
        <v>0</v>
      </c>
      <c r="F22" s="24" t="n">
        <v>0</v>
      </c>
      <c r="G22" s="24" t="n">
        <v>2300.7</v>
      </c>
      <c r="H22" s="24" t="n">
        <v>0</v>
      </c>
      <c r="I22" s="24" t="n">
        <f aca="false">G22+H22</f>
        <v>2300.7</v>
      </c>
      <c r="J22" s="24" t="n">
        <f aca="false">D22-I22</f>
        <v>0</v>
      </c>
      <c r="K22" s="25" t="s">
        <v>121</v>
      </c>
      <c r="L22" s="25" t="s">
        <v>122</v>
      </c>
    </row>
    <row r="23" customFormat="false" ht="15" hidden="false" customHeight="false" outlineLevel="0" collapsed="false">
      <c r="A23" s="23" t="n">
        <v>6</v>
      </c>
      <c r="B23" s="23" t="s">
        <v>76</v>
      </c>
      <c r="C23" s="23" t="s">
        <v>35</v>
      </c>
      <c r="D23" s="24" t="n">
        <v>8710.9</v>
      </c>
      <c r="E23" s="24" t="n">
        <v>0</v>
      </c>
      <c r="F23" s="24" t="n">
        <v>0</v>
      </c>
      <c r="G23" s="24" t="n">
        <v>2547.28</v>
      </c>
      <c r="H23" s="24" t="n">
        <v>316.76</v>
      </c>
      <c r="I23" s="24" t="n">
        <f aca="false">G23+H23</f>
        <v>2864.04</v>
      </c>
      <c r="J23" s="24" t="n">
        <f aca="false">D23-I23</f>
        <v>5846.86</v>
      </c>
      <c r="K23" s="25" t="s">
        <v>117</v>
      </c>
      <c r="L23" s="25" t="s">
        <v>118</v>
      </c>
    </row>
    <row r="24" customFormat="false" ht="15" hidden="false" customHeight="false" outlineLevel="0" collapsed="false">
      <c r="A24" s="23" t="n">
        <v>7</v>
      </c>
      <c r="B24" s="23" t="s">
        <v>77</v>
      </c>
      <c r="C24" s="23" t="s">
        <v>35</v>
      </c>
      <c r="D24" s="24" t="n">
        <v>4167.44</v>
      </c>
      <c r="E24" s="24" t="n">
        <v>0</v>
      </c>
      <c r="F24" s="24" t="n">
        <v>0</v>
      </c>
      <c r="G24" s="24" t="n">
        <v>4167.44</v>
      </c>
      <c r="H24" s="24" t="n">
        <v>0</v>
      </c>
      <c r="I24" s="24" t="n">
        <f aca="false">G24+H24</f>
        <v>4167.44</v>
      </c>
      <c r="J24" s="24" t="n">
        <f aca="false">D24-I24</f>
        <v>0</v>
      </c>
      <c r="K24" s="25" t="s">
        <v>121</v>
      </c>
      <c r="L24" s="25" t="s">
        <v>122</v>
      </c>
    </row>
    <row r="25" customFormat="false" ht="15" hidden="false" customHeight="false" outlineLevel="0" collapsed="false">
      <c r="A25" s="23" t="n">
        <v>8</v>
      </c>
      <c r="B25" s="23" t="s">
        <v>78</v>
      </c>
      <c r="C25" s="23" t="s">
        <v>35</v>
      </c>
      <c r="D25" s="24" t="n">
        <v>15778.73</v>
      </c>
      <c r="E25" s="24" t="n">
        <v>0</v>
      </c>
      <c r="F25" s="24" t="n">
        <v>0</v>
      </c>
      <c r="G25" s="24" t="n">
        <v>4614.07</v>
      </c>
      <c r="H25" s="24" t="n">
        <v>573.77</v>
      </c>
      <c r="I25" s="24" t="n">
        <f aca="false">G25+H25</f>
        <v>5187.84</v>
      </c>
      <c r="J25" s="24" t="n">
        <f aca="false">D25-I25</f>
        <v>10590.89</v>
      </c>
      <c r="K25" s="25" t="s">
        <v>117</v>
      </c>
      <c r="L25" s="25" t="s">
        <v>118</v>
      </c>
    </row>
    <row r="26" customFormat="false" ht="15" hidden="false" customHeight="false" outlineLevel="0" collapsed="false">
      <c r="A26" s="26"/>
      <c r="B26" s="27" t="s">
        <v>53</v>
      </c>
      <c r="C26" s="26"/>
      <c r="D26" s="28" t="n">
        <f aca="false">SUM(D18:D25)</f>
        <v>147893.47</v>
      </c>
      <c r="E26" s="28" t="n">
        <f aca="false">SUM(E18:E25)</f>
        <v>0</v>
      </c>
      <c r="F26" s="28" t="n">
        <f aca="false">SUM(F18:F25)</f>
        <v>0</v>
      </c>
      <c r="G26" s="28" t="n">
        <f aca="false">SUM(G18:G25)</f>
        <v>65111.2</v>
      </c>
      <c r="H26" s="28" t="n">
        <f aca="false">SUM(H18:H25)</f>
        <v>4254.3</v>
      </c>
      <c r="I26" s="28" t="n">
        <f aca="false">SUM(I18:I25)</f>
        <v>69365.5</v>
      </c>
      <c r="J26" s="28" t="n">
        <f aca="false">SUM(J18:J25)</f>
        <v>78527.97</v>
      </c>
      <c r="K26" s="26"/>
      <c r="L26" s="26"/>
    </row>
    <row r="28" customFormat="false" ht="15" hidden="false" customHeight="false" outlineLevel="0" collapsed="false">
      <c r="B28" s="18" t="s">
        <v>124</v>
      </c>
    </row>
    <row r="29" customFormat="false" ht="15" hidden="false" customHeight="false" outlineLevel="0" collapsed="false">
      <c r="B29" s="5" t="s">
        <v>125</v>
      </c>
      <c r="D29" s="6" t="n">
        <f aca="false">I14</f>
        <v>64826.13</v>
      </c>
    </row>
    <row r="30" customFormat="false" ht="15" hidden="false" customHeight="false" outlineLevel="0" collapsed="false">
      <c r="B30" s="5" t="s">
        <v>126</v>
      </c>
      <c r="D30" s="6" t="n">
        <f aca="false">I26</f>
        <v>69365.5</v>
      </c>
    </row>
    <row r="31" customFormat="false" ht="15" hidden="false" customHeight="false" outlineLevel="0" collapsed="false">
      <c r="B31" s="11" t="s">
        <v>124</v>
      </c>
      <c r="D31" s="29" t="n">
        <f aca="false">D29-D30</f>
        <v>-4539.37</v>
      </c>
    </row>
    <row r="33" customFormat="false" ht="15" hidden="false" customHeight="false" outlineLevel="0" collapsed="false">
      <c r="A33" s="10" t="s">
        <v>127</v>
      </c>
    </row>
    <row r="34" customFormat="false" ht="15" hidden="false" customHeight="false" outlineLevel="0" collapsed="false">
      <c r="A34" s="21" t="s">
        <v>128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4" t="s">
        <v>105</v>
      </c>
      <c r="B35" s="4" t="s">
        <v>106</v>
      </c>
      <c r="C35" s="4" t="s">
        <v>107</v>
      </c>
      <c r="D35" s="4" t="s">
        <v>108</v>
      </c>
      <c r="E35" s="4" t="s">
        <v>109</v>
      </c>
      <c r="F35" s="4" t="s">
        <v>110</v>
      </c>
      <c r="G35" s="4" t="s">
        <v>129</v>
      </c>
      <c r="H35" s="4" t="s">
        <v>130</v>
      </c>
      <c r="I35" s="4" t="s">
        <v>113</v>
      </c>
      <c r="J35" s="4" t="s">
        <v>114</v>
      </c>
      <c r="K35" s="4" t="s">
        <v>115</v>
      </c>
      <c r="L35" s="4" t="s">
        <v>116</v>
      </c>
    </row>
    <row r="36" customFormat="false" ht="15" hidden="false" customHeight="false" outlineLevel="0" collapsed="false">
      <c r="A36" s="23" t="n">
        <v>1</v>
      </c>
      <c r="B36" s="23" t="s">
        <v>45</v>
      </c>
      <c r="C36" s="23" t="s">
        <v>35</v>
      </c>
      <c r="D36" s="24" t="n">
        <v>116723.12</v>
      </c>
      <c r="E36" s="24" t="n">
        <v>0</v>
      </c>
      <c r="F36" s="24" t="n">
        <v>0</v>
      </c>
      <c r="G36" s="24" t="n">
        <v>34132.24</v>
      </c>
      <c r="H36" s="24" t="n">
        <v>4244.48</v>
      </c>
      <c r="I36" s="24" t="n">
        <f aca="false">G36+H36</f>
        <v>38376.72</v>
      </c>
      <c r="J36" s="24" t="n">
        <f aca="false">D36-I36</f>
        <v>78346.4</v>
      </c>
      <c r="K36" s="25" t="s">
        <v>117</v>
      </c>
      <c r="L36" s="25" t="s">
        <v>118</v>
      </c>
    </row>
    <row r="37" customFormat="false" ht="15" hidden="false" customHeight="false" outlineLevel="0" collapsed="false">
      <c r="A37" s="23" t="n">
        <v>2</v>
      </c>
      <c r="B37" s="23" t="s">
        <v>46</v>
      </c>
      <c r="C37" s="23" t="s">
        <v>37</v>
      </c>
      <c r="D37" s="24" t="n">
        <v>212.58</v>
      </c>
      <c r="E37" s="24" t="n">
        <v>0</v>
      </c>
      <c r="F37" s="24" t="n">
        <v>0</v>
      </c>
      <c r="G37" s="24" t="n">
        <v>61.56</v>
      </c>
      <c r="H37" s="24" t="n">
        <v>7.73</v>
      </c>
      <c r="I37" s="24" t="n">
        <f aca="false">G37+H37</f>
        <v>69.29</v>
      </c>
      <c r="J37" s="24" t="n">
        <f aca="false">D37-I37</f>
        <v>143.29</v>
      </c>
      <c r="K37" s="25" t="s">
        <v>117</v>
      </c>
      <c r="L37" s="25" t="s">
        <v>118</v>
      </c>
    </row>
    <row r="38" customFormat="false" ht="15" hidden="false" customHeight="false" outlineLevel="0" collapsed="false">
      <c r="A38" s="23" t="n">
        <v>3</v>
      </c>
      <c r="B38" s="23" t="s">
        <v>47</v>
      </c>
      <c r="C38" s="23" t="s">
        <v>35</v>
      </c>
      <c r="D38" s="24" t="n">
        <v>11011.6</v>
      </c>
      <c r="E38" s="24" t="n">
        <v>0</v>
      </c>
      <c r="F38" s="24" t="n">
        <v>0</v>
      </c>
      <c r="G38" s="24" t="n">
        <v>6449.13</v>
      </c>
      <c r="H38" s="24" t="n">
        <v>649.69</v>
      </c>
      <c r="I38" s="24" t="n">
        <f aca="false">G38+H38</f>
        <v>7098.82</v>
      </c>
      <c r="J38" s="24" t="n">
        <f aca="false">D38-I38</f>
        <v>3912.78</v>
      </c>
      <c r="K38" s="25" t="s">
        <v>119</v>
      </c>
      <c r="L38" s="25" t="s">
        <v>120</v>
      </c>
    </row>
    <row r="39" customFormat="false" ht="15" hidden="false" customHeight="false" outlineLevel="0" collapsed="false">
      <c r="A39" s="23" t="n">
        <v>4</v>
      </c>
      <c r="B39" s="23" t="s">
        <v>48</v>
      </c>
      <c r="C39" s="23" t="s">
        <v>35</v>
      </c>
      <c r="D39" s="24" t="n">
        <v>19946.17</v>
      </c>
      <c r="E39" s="24" t="n">
        <v>0</v>
      </c>
      <c r="F39" s="24" t="n">
        <v>0</v>
      </c>
      <c r="G39" s="24" t="n">
        <v>19281.3</v>
      </c>
      <c r="H39" s="24" t="n">
        <v>0</v>
      </c>
      <c r="I39" s="24" t="n">
        <f aca="false">G39+H39</f>
        <v>19281.3</v>
      </c>
      <c r="J39" s="24" t="n">
        <f aca="false">D39-I39</f>
        <v>664.869999999999</v>
      </c>
      <c r="K39" s="25" t="s">
        <v>121</v>
      </c>
      <c r="L39" s="25" t="s">
        <v>122</v>
      </c>
    </row>
    <row r="40" customFormat="false" ht="15" hidden="false" customHeight="false" outlineLevel="0" collapsed="false">
      <c r="A40" s="26"/>
      <c r="B40" s="27" t="s">
        <v>53</v>
      </c>
      <c r="C40" s="26"/>
      <c r="D40" s="28" t="n">
        <f aca="false">SUM(D36:D39)</f>
        <v>147893.47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59924.23</v>
      </c>
      <c r="H40" s="28" t="n">
        <f aca="false">SUM(H36:H39)</f>
        <v>4901.9</v>
      </c>
      <c r="I40" s="28" t="n">
        <f aca="false">SUM(I36:I39)</f>
        <v>64826.13</v>
      </c>
      <c r="J40" s="28" t="n">
        <f aca="false">SUM(J36:J39)</f>
        <v>83067.34</v>
      </c>
      <c r="K40" s="26"/>
      <c r="L40" s="26"/>
    </row>
    <row r="42" customFormat="false" ht="15" hidden="false" customHeight="false" outlineLevel="0" collapsed="false">
      <c r="A42" s="21" t="s">
        <v>131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4" t="s">
        <v>105</v>
      </c>
      <c r="B43" s="4" t="s">
        <v>106</v>
      </c>
      <c r="C43" s="4" t="s">
        <v>107</v>
      </c>
      <c r="D43" s="4" t="s">
        <v>108</v>
      </c>
      <c r="E43" s="4" t="s">
        <v>109</v>
      </c>
      <c r="F43" s="4" t="s">
        <v>110</v>
      </c>
      <c r="G43" s="4" t="s">
        <v>129</v>
      </c>
      <c r="H43" s="4" t="s">
        <v>130</v>
      </c>
      <c r="I43" s="4" t="s">
        <v>113</v>
      </c>
      <c r="J43" s="4" t="s">
        <v>114</v>
      </c>
      <c r="K43" s="4" t="s">
        <v>115</v>
      </c>
      <c r="L43" s="4" t="s">
        <v>116</v>
      </c>
    </row>
    <row r="44" customFormat="false" ht="15" hidden="false" customHeight="false" outlineLevel="0" collapsed="false">
      <c r="A44" s="23" t="n">
        <v>1</v>
      </c>
      <c r="B44" s="23" t="s">
        <v>71</v>
      </c>
      <c r="C44" s="23" t="s">
        <v>35</v>
      </c>
      <c r="D44" s="24" t="n">
        <v>24387.48</v>
      </c>
      <c r="E44" s="24" t="n">
        <v>0</v>
      </c>
      <c r="F44" s="24" t="n">
        <v>0</v>
      </c>
      <c r="G44" s="24" t="n">
        <v>24387.48</v>
      </c>
      <c r="H44" s="24" t="n">
        <v>0</v>
      </c>
      <c r="I44" s="24" t="n">
        <f aca="false">G44+H44</f>
        <v>24387.48</v>
      </c>
      <c r="J44" s="24" t="n">
        <f aca="false">D44-I44</f>
        <v>0</v>
      </c>
      <c r="K44" s="25" t="s">
        <v>121</v>
      </c>
      <c r="L44" s="25" t="s">
        <v>122</v>
      </c>
    </row>
    <row r="45" customFormat="false" ht="15" hidden="false" customHeight="false" outlineLevel="0" collapsed="false">
      <c r="A45" s="23" t="n">
        <v>2</v>
      </c>
      <c r="B45" s="23" t="s">
        <v>72</v>
      </c>
      <c r="C45" s="23" t="s">
        <v>35</v>
      </c>
      <c r="D45" s="24" t="n">
        <v>92335.64</v>
      </c>
      <c r="E45" s="24" t="n">
        <v>0</v>
      </c>
      <c r="F45" s="24" t="n">
        <v>0</v>
      </c>
      <c r="G45" s="24" t="n">
        <v>27001.18</v>
      </c>
      <c r="H45" s="24" t="n">
        <v>3357.66</v>
      </c>
      <c r="I45" s="24" t="n">
        <f aca="false">G45+H45</f>
        <v>30358.84</v>
      </c>
      <c r="J45" s="24" t="n">
        <f aca="false">D45-I45</f>
        <v>61976.8</v>
      </c>
      <c r="K45" s="25" t="s">
        <v>117</v>
      </c>
      <c r="L45" s="25" t="s">
        <v>118</v>
      </c>
    </row>
    <row r="46" customFormat="false" ht="15" hidden="false" customHeight="false" outlineLevel="0" collapsed="false">
      <c r="A46" s="23" t="n">
        <v>3</v>
      </c>
      <c r="B46" s="23" t="s">
        <v>73</v>
      </c>
      <c r="C46" s="23" t="s">
        <v>37</v>
      </c>
      <c r="D46" s="24" t="n">
        <v>44.42</v>
      </c>
      <c r="E46" s="24" t="n">
        <v>0</v>
      </c>
      <c r="F46" s="24" t="n">
        <v>0</v>
      </c>
      <c r="G46" s="24" t="n">
        <v>44.42</v>
      </c>
      <c r="H46" s="24" t="n">
        <v>0</v>
      </c>
      <c r="I46" s="24" t="n">
        <f aca="false">G46+H46</f>
        <v>44.42</v>
      </c>
      <c r="J46" s="24" t="n">
        <f aca="false">D46-I46</f>
        <v>0</v>
      </c>
      <c r="K46" s="25" t="s">
        <v>121</v>
      </c>
      <c r="L46" s="25" t="s">
        <v>122</v>
      </c>
    </row>
    <row r="47" customFormat="false" ht="15" hidden="false" customHeight="false" outlineLevel="0" collapsed="false">
      <c r="A47" s="23" t="n">
        <v>4</v>
      </c>
      <c r="B47" s="23" t="s">
        <v>74</v>
      </c>
      <c r="C47" s="23" t="s">
        <v>37</v>
      </c>
      <c r="D47" s="24" t="n">
        <v>168.16</v>
      </c>
      <c r="E47" s="24" t="n">
        <v>0</v>
      </c>
      <c r="F47" s="24" t="n">
        <v>0</v>
      </c>
      <c r="G47" s="24" t="n">
        <v>48.63</v>
      </c>
      <c r="H47" s="24" t="n">
        <v>6.11</v>
      </c>
      <c r="I47" s="24" t="n">
        <f aca="false">G47+H47</f>
        <v>54.74</v>
      </c>
      <c r="J47" s="24" t="n">
        <f aca="false">D47-I47</f>
        <v>113.42</v>
      </c>
      <c r="K47" s="25" t="s">
        <v>117</v>
      </c>
      <c r="L47" s="25" t="s">
        <v>118</v>
      </c>
    </row>
    <row r="48" customFormat="false" ht="15" hidden="false" customHeight="false" outlineLevel="0" collapsed="false">
      <c r="A48" s="23" t="n">
        <v>5</v>
      </c>
      <c r="B48" s="23" t="s">
        <v>75</v>
      </c>
      <c r="C48" s="23" t="s">
        <v>35</v>
      </c>
      <c r="D48" s="24" t="n">
        <v>2300.7</v>
      </c>
      <c r="E48" s="24" t="n">
        <v>0</v>
      </c>
      <c r="F48" s="24" t="n">
        <v>0</v>
      </c>
      <c r="G48" s="24" t="n">
        <v>2300.7</v>
      </c>
      <c r="H48" s="24" t="n">
        <v>0</v>
      </c>
      <c r="I48" s="24" t="n">
        <f aca="false">G48+H48</f>
        <v>2300.7</v>
      </c>
      <c r="J48" s="24" t="n">
        <f aca="false">D48-I48</f>
        <v>0</v>
      </c>
      <c r="K48" s="25" t="s">
        <v>121</v>
      </c>
      <c r="L48" s="25" t="s">
        <v>122</v>
      </c>
    </row>
    <row r="49" customFormat="false" ht="15" hidden="false" customHeight="false" outlineLevel="0" collapsed="false">
      <c r="A49" s="23" t="n">
        <v>6</v>
      </c>
      <c r="B49" s="23" t="s">
        <v>76</v>
      </c>
      <c r="C49" s="23" t="s">
        <v>35</v>
      </c>
      <c r="D49" s="24" t="n">
        <v>8710.9</v>
      </c>
      <c r="E49" s="24" t="n">
        <v>0</v>
      </c>
      <c r="F49" s="24" t="n">
        <v>0</v>
      </c>
      <c r="G49" s="24" t="n">
        <v>2547.28</v>
      </c>
      <c r="H49" s="24" t="n">
        <v>316.76</v>
      </c>
      <c r="I49" s="24" t="n">
        <f aca="false">G49+H49</f>
        <v>2864.04</v>
      </c>
      <c r="J49" s="24" t="n">
        <f aca="false">D49-I49</f>
        <v>5846.86</v>
      </c>
      <c r="K49" s="25" t="s">
        <v>117</v>
      </c>
      <c r="L49" s="25" t="s">
        <v>118</v>
      </c>
    </row>
    <row r="50" customFormat="false" ht="15" hidden="false" customHeight="false" outlineLevel="0" collapsed="false">
      <c r="A50" s="23" t="n">
        <v>7</v>
      </c>
      <c r="B50" s="23" t="s">
        <v>77</v>
      </c>
      <c r="C50" s="23" t="s">
        <v>35</v>
      </c>
      <c r="D50" s="24" t="n">
        <v>4167.44</v>
      </c>
      <c r="E50" s="24" t="n">
        <v>0</v>
      </c>
      <c r="F50" s="24" t="n">
        <v>0</v>
      </c>
      <c r="G50" s="24" t="n">
        <v>4167.44</v>
      </c>
      <c r="H50" s="24" t="n">
        <v>0</v>
      </c>
      <c r="I50" s="24" t="n">
        <f aca="false">G50+H50</f>
        <v>4167.44</v>
      </c>
      <c r="J50" s="24" t="n">
        <f aca="false">D50-I50</f>
        <v>0</v>
      </c>
      <c r="K50" s="25" t="s">
        <v>121</v>
      </c>
      <c r="L50" s="25" t="s">
        <v>122</v>
      </c>
    </row>
    <row r="51" customFormat="false" ht="15" hidden="false" customHeight="false" outlineLevel="0" collapsed="false">
      <c r="A51" s="23" t="n">
        <v>8</v>
      </c>
      <c r="B51" s="23" t="s">
        <v>78</v>
      </c>
      <c r="C51" s="23" t="s">
        <v>35</v>
      </c>
      <c r="D51" s="24" t="n">
        <v>15778.73</v>
      </c>
      <c r="E51" s="24" t="n">
        <v>0</v>
      </c>
      <c r="F51" s="24" t="n">
        <v>0</v>
      </c>
      <c r="G51" s="24" t="n">
        <v>4614.07</v>
      </c>
      <c r="H51" s="24" t="n">
        <v>573.77</v>
      </c>
      <c r="I51" s="24" t="n">
        <f aca="false">G51+H51</f>
        <v>5187.84</v>
      </c>
      <c r="J51" s="24" t="n">
        <f aca="false">D51-I51</f>
        <v>10590.89</v>
      </c>
      <c r="K51" s="25" t="s">
        <v>117</v>
      </c>
      <c r="L51" s="25" t="s">
        <v>118</v>
      </c>
    </row>
    <row r="52" customFormat="false" ht="15" hidden="false" customHeight="false" outlineLevel="0" collapsed="false">
      <c r="A52" s="26"/>
      <c r="B52" s="27" t="s">
        <v>53</v>
      </c>
      <c r="C52" s="26"/>
      <c r="D52" s="28" t="n">
        <f aca="false">SUM(D44:D51)</f>
        <v>147893.47</v>
      </c>
      <c r="E52" s="28" t="n">
        <f aca="false">SUM(E44:E51)</f>
        <v>0</v>
      </c>
      <c r="F52" s="28" t="n">
        <f aca="false">SUM(F44:F51)</f>
        <v>0</v>
      </c>
      <c r="G52" s="28" t="n">
        <f aca="false">SUM(G44:G51)</f>
        <v>65111.2</v>
      </c>
      <c r="H52" s="28" t="n">
        <f aca="false">SUM(H44:H51)</f>
        <v>4254.3</v>
      </c>
      <c r="I52" s="28" t="n">
        <f aca="false">SUM(I44:I51)</f>
        <v>69365.5</v>
      </c>
      <c r="J52" s="28" t="n">
        <f aca="false">SUM(J44:J51)</f>
        <v>78527.97</v>
      </c>
      <c r="K52" s="26"/>
      <c r="L52" s="26"/>
    </row>
    <row r="54" customFormat="false" ht="15" hidden="false" customHeight="false" outlineLevel="0" collapsed="false">
      <c r="B54" s="18" t="s">
        <v>132</v>
      </c>
    </row>
    <row r="55" customFormat="false" ht="15" hidden="false" customHeight="false" outlineLevel="0" collapsed="false">
      <c r="B55" s="5" t="s">
        <v>125</v>
      </c>
      <c r="D55" s="6" t="n">
        <f aca="false">I40</f>
        <v>64826.13</v>
      </c>
    </row>
    <row r="56" customFormat="false" ht="15" hidden="false" customHeight="false" outlineLevel="0" collapsed="false">
      <c r="B56" s="5" t="s">
        <v>126</v>
      </c>
      <c r="D56" s="6" t="n">
        <f aca="false">I52</f>
        <v>69365.5</v>
      </c>
    </row>
    <row r="57" customFormat="false" ht="15" hidden="false" customHeight="false" outlineLevel="0" collapsed="false">
      <c r="B57" s="11" t="s">
        <v>132</v>
      </c>
      <c r="D57" s="29" t="n">
        <f aca="false">D55-D56</f>
        <v>-4539.37</v>
      </c>
    </row>
    <row r="59" customFormat="false" ht="15" hidden="false" customHeight="false" outlineLevel="0" collapsed="false">
      <c r="A59" s="10" t="s">
        <v>133</v>
      </c>
    </row>
    <row r="60" customFormat="false" ht="15" hidden="false" customHeight="false" outlineLevel="0" collapsed="false">
      <c r="B60" s="11" t="s">
        <v>162</v>
      </c>
      <c r="D60" s="12" t="n">
        <f aca="false">D98</f>
        <v>147893.47</v>
      </c>
    </row>
    <row r="61" customFormat="false" ht="15" hidden="false" customHeight="false" outlineLevel="0" collapsed="false">
      <c r="B61" s="5" t="s">
        <v>163</v>
      </c>
      <c r="D61" s="6" t="n">
        <f aca="false">F98</f>
        <v>30900.04</v>
      </c>
    </row>
    <row r="62" customFormat="false" ht="15" hidden="false" customHeight="false" outlineLevel="0" collapsed="false">
      <c r="B62" s="30" t="s">
        <v>136</v>
      </c>
      <c r="D62" s="31" t="n">
        <f aca="false">F99</f>
        <v>0.208934444502519</v>
      </c>
    </row>
    <row r="63" customFormat="false" ht="15" hidden="false" customHeight="false" outlineLevel="0" collapsed="false">
      <c r="B63" s="5" t="s">
        <v>164</v>
      </c>
      <c r="D63" s="6" t="n">
        <f aca="false">H98</f>
        <v>116993.43</v>
      </c>
    </row>
    <row r="64" customFormat="false" ht="15" hidden="false" customHeight="false" outlineLevel="0" collapsed="false">
      <c r="B64" s="30" t="s">
        <v>136</v>
      </c>
      <c r="D64" s="31" t="n">
        <f aca="false">H99</f>
        <v>0.791065555497481</v>
      </c>
    </row>
    <row r="66" customFormat="false" ht="15" hidden="false" customHeight="false" outlineLevel="0" collapsed="false">
      <c r="A66" s="10" t="s">
        <v>138</v>
      </c>
    </row>
    <row r="67" customFormat="false" ht="15" hidden="false" customHeight="false" outlineLevel="0" collapsed="false">
      <c r="B67" s="4" t="s">
        <v>139</v>
      </c>
      <c r="D67" s="4" t="s">
        <v>108</v>
      </c>
      <c r="F67" s="4" t="s">
        <v>165</v>
      </c>
      <c r="H67" s="4" t="s">
        <v>141</v>
      </c>
    </row>
    <row r="68" customFormat="false" ht="15" hidden="false" customHeight="false" outlineLevel="0" collapsed="false">
      <c r="B68" s="32" t="s">
        <v>166</v>
      </c>
    </row>
    <row r="69" customFormat="false" ht="15" hidden="false" customHeight="false" outlineLevel="0" collapsed="false">
      <c r="B69" s="5" t="s">
        <v>167</v>
      </c>
      <c r="D69" s="33" t="n">
        <f aca="false">SUM(F69:H69)</f>
        <v>4901.61</v>
      </c>
      <c r="F69" s="33" t="n">
        <v>4901.61</v>
      </c>
    </row>
    <row r="70" customFormat="false" ht="15" hidden="false" customHeight="false" outlineLevel="0" collapsed="false">
      <c r="B70" s="5" t="s">
        <v>168</v>
      </c>
      <c r="D70" s="33" t="n">
        <f aca="false">SUM(F70:H70)</f>
        <v>2185.54</v>
      </c>
      <c r="F70" s="33" t="n">
        <v>2185.54</v>
      </c>
    </row>
    <row r="71" customFormat="false" ht="15" hidden="false" customHeight="false" outlineLevel="0" collapsed="false">
      <c r="B71" s="5" t="s">
        <v>169</v>
      </c>
      <c r="D71" s="33" t="n">
        <f aca="false">SUM(F71:H71)</f>
        <v>11385.26</v>
      </c>
      <c r="F71" s="33" t="n">
        <v>11385.26</v>
      </c>
    </row>
    <row r="72" customFormat="false" ht="15" hidden="false" customHeight="false" outlineLevel="0" collapsed="false">
      <c r="B72" s="5" t="s">
        <v>171</v>
      </c>
      <c r="D72" s="33" t="n">
        <f aca="false">SUM(F72:H72)</f>
        <v>589.62</v>
      </c>
      <c r="F72" s="33" t="n">
        <v>589.62</v>
      </c>
    </row>
    <row r="73" customFormat="false" ht="15" hidden="false" customHeight="false" outlineLevel="0" collapsed="false">
      <c r="B73" s="5" t="s">
        <v>196</v>
      </c>
      <c r="D73" s="33" t="n">
        <f aca="false">SUM(F73:H73)</f>
        <v>183.29</v>
      </c>
      <c r="F73" s="33" t="n">
        <v>183.29</v>
      </c>
    </row>
    <row r="74" customFormat="false" ht="15" hidden="false" customHeight="false" outlineLevel="0" collapsed="false">
      <c r="B74" s="5" t="s">
        <v>197</v>
      </c>
      <c r="D74" s="33" t="n">
        <f aca="false">SUM(F74:H74)</f>
        <v>96.76</v>
      </c>
      <c r="F74" s="33" t="n">
        <v>96.76</v>
      </c>
    </row>
    <row r="75" customFormat="false" ht="15" hidden="false" customHeight="false" outlineLevel="0" collapsed="false">
      <c r="B75" s="5" t="s">
        <v>172</v>
      </c>
      <c r="D75" s="33" t="n">
        <f aca="false">SUM(F75:H75)</f>
        <v>2980.97</v>
      </c>
      <c r="F75" s="33" t="n">
        <v>2980.97</v>
      </c>
    </row>
    <row r="76" customFormat="false" ht="15" hidden="false" customHeight="false" outlineLevel="0" collapsed="false">
      <c r="B76" s="5" t="s">
        <v>173</v>
      </c>
      <c r="D76" s="33" t="n">
        <f aca="false">SUM(F76:H76)</f>
        <v>994.55</v>
      </c>
      <c r="F76" s="33" t="n">
        <v>994.55</v>
      </c>
    </row>
    <row r="77" customFormat="false" ht="15" hidden="false" customHeight="false" outlineLevel="0" collapsed="false">
      <c r="B77" s="5" t="s">
        <v>198</v>
      </c>
      <c r="D77" s="33" t="n">
        <f aca="false">SUM(F77:H77)</f>
        <v>3427.41</v>
      </c>
      <c r="F77" s="33" t="n">
        <v>3427.41</v>
      </c>
    </row>
    <row r="78" customFormat="false" ht="15" hidden="false" customHeight="false" outlineLevel="0" collapsed="false">
      <c r="B78" s="5" t="s">
        <v>175</v>
      </c>
      <c r="D78" s="33" t="n">
        <f aca="false">SUM(F78:H78)</f>
        <v>428.96</v>
      </c>
      <c r="F78" s="33" t="n">
        <v>428.96</v>
      </c>
    </row>
    <row r="79" customFormat="false" ht="15" hidden="false" customHeight="false" outlineLevel="0" collapsed="false">
      <c r="B79" s="5" t="s">
        <v>199</v>
      </c>
      <c r="D79" s="33" t="n">
        <f aca="false">SUM(F79:H79)</f>
        <v>43.2</v>
      </c>
      <c r="F79" s="33" t="n">
        <v>43.2</v>
      </c>
    </row>
    <row r="80" customFormat="false" ht="15" hidden="false" customHeight="false" outlineLevel="0" collapsed="false">
      <c r="B80" s="5" t="s">
        <v>200</v>
      </c>
      <c r="D80" s="33" t="n">
        <f aca="false">SUM(F80:H80)</f>
        <v>3682.87</v>
      </c>
      <c r="F80" s="33" t="n">
        <v>3682.87</v>
      </c>
    </row>
    <row r="81" customFormat="false" ht="15" hidden="false" customHeight="false" outlineLevel="0" collapsed="false">
      <c r="B81" s="32" t="s">
        <v>177</v>
      </c>
    </row>
    <row r="82" customFormat="false" ht="15" hidden="false" customHeight="false" outlineLevel="0" collapsed="false">
      <c r="B82" s="5" t="s">
        <v>178</v>
      </c>
      <c r="D82" s="33" t="n">
        <f aca="false">SUM(F82:H82)</f>
        <v>8561.68</v>
      </c>
      <c r="H82" s="33" t="n">
        <v>8561.68</v>
      </c>
    </row>
    <row r="83" customFormat="false" ht="15" hidden="false" customHeight="false" outlineLevel="0" collapsed="false">
      <c r="B83" s="5" t="s">
        <v>179</v>
      </c>
      <c r="D83" s="33" t="n">
        <f aca="false">SUM(F83:H83)</f>
        <v>16225.62</v>
      </c>
      <c r="H83" s="33" t="n">
        <v>16225.62</v>
      </c>
    </row>
    <row r="84" customFormat="false" ht="15" hidden="false" customHeight="false" outlineLevel="0" collapsed="false">
      <c r="B84" s="5" t="s">
        <v>180</v>
      </c>
      <c r="D84" s="33" t="n">
        <f aca="false">SUM(F84:H84)</f>
        <v>10992.55</v>
      </c>
      <c r="H84" s="33" t="n">
        <v>10992.55</v>
      </c>
    </row>
    <row r="85" customFormat="false" ht="15" hidden="false" customHeight="false" outlineLevel="0" collapsed="false">
      <c r="B85" s="5" t="s">
        <v>181</v>
      </c>
      <c r="D85" s="33" t="n">
        <f aca="false">SUM(F85:H85)</f>
        <v>12099.12</v>
      </c>
      <c r="H85" s="33" t="n">
        <v>12099.12</v>
      </c>
    </row>
    <row r="86" customFormat="false" ht="15" hidden="false" customHeight="false" outlineLevel="0" collapsed="false">
      <c r="B86" s="5" t="s">
        <v>182</v>
      </c>
      <c r="D86" s="33" t="n">
        <f aca="false">SUM(F86:H86)</f>
        <v>9715.1</v>
      </c>
      <c r="H86" s="33" t="n">
        <v>9715.1</v>
      </c>
    </row>
    <row r="87" customFormat="false" ht="15" hidden="false" customHeight="false" outlineLevel="0" collapsed="false">
      <c r="B87" s="5" t="s">
        <v>183</v>
      </c>
      <c r="D87" s="33" t="n">
        <f aca="false">SUM(F87:H87)</f>
        <v>548.48</v>
      </c>
      <c r="H87" s="33" t="n">
        <v>548.48</v>
      </c>
    </row>
    <row r="88" customFormat="false" ht="15" hidden="false" customHeight="false" outlineLevel="0" collapsed="false">
      <c r="B88" s="5" t="s">
        <v>184</v>
      </c>
      <c r="D88" s="33" t="n">
        <f aca="false">SUM(F88:H88)</f>
        <v>12559.71</v>
      </c>
      <c r="H88" s="33" t="n">
        <v>12559.71</v>
      </c>
    </row>
    <row r="89" customFormat="false" ht="15" hidden="false" customHeight="false" outlineLevel="0" collapsed="false">
      <c r="B89" s="5" t="s">
        <v>185</v>
      </c>
      <c r="D89" s="33" t="n">
        <f aca="false">SUM(F89:H89)</f>
        <v>5680.09</v>
      </c>
      <c r="H89" s="33" t="n">
        <v>5680.09</v>
      </c>
    </row>
    <row r="90" customFormat="false" ht="15" hidden="false" customHeight="false" outlineLevel="0" collapsed="false">
      <c r="B90" s="5" t="s">
        <v>186</v>
      </c>
      <c r="D90" s="33" t="n">
        <f aca="false">SUM(F90:H90)</f>
        <v>2911.57</v>
      </c>
      <c r="H90" s="33" t="n">
        <v>2911.57</v>
      </c>
    </row>
    <row r="91" customFormat="false" ht="15" hidden="false" customHeight="false" outlineLevel="0" collapsed="false">
      <c r="B91" s="5" t="s">
        <v>187</v>
      </c>
      <c r="D91" s="33" t="n">
        <f aca="false">SUM(F91:H91)</f>
        <v>5070.55</v>
      </c>
      <c r="H91" s="33" t="n">
        <v>5070.55</v>
      </c>
    </row>
    <row r="92" customFormat="false" ht="15" hidden="false" customHeight="false" outlineLevel="0" collapsed="false">
      <c r="B92" s="5" t="s">
        <v>188</v>
      </c>
      <c r="D92" s="33" t="n">
        <f aca="false">SUM(F92:H92)</f>
        <v>9837.36</v>
      </c>
      <c r="H92" s="33" t="n">
        <v>9837.36</v>
      </c>
    </row>
    <row r="93" customFormat="false" ht="15" hidden="false" customHeight="false" outlineLevel="0" collapsed="false">
      <c r="B93" s="5" t="s">
        <v>189</v>
      </c>
      <c r="D93" s="33" t="n">
        <f aca="false">SUM(F93:H93)</f>
        <v>4408.6</v>
      </c>
      <c r="H93" s="33" t="n">
        <v>4408.6</v>
      </c>
    </row>
    <row r="94" customFormat="false" ht="15" hidden="false" customHeight="false" outlineLevel="0" collapsed="false">
      <c r="B94" s="5" t="s">
        <v>190</v>
      </c>
      <c r="D94" s="33" t="n">
        <f aca="false">SUM(F94:H94)</f>
        <v>1012.22</v>
      </c>
      <c r="H94" s="33" t="n">
        <v>1012.22</v>
      </c>
    </row>
    <row r="95" customFormat="false" ht="15" hidden="false" customHeight="false" outlineLevel="0" collapsed="false">
      <c r="B95" s="5" t="s">
        <v>192</v>
      </c>
      <c r="D95" s="33" t="n">
        <f aca="false">SUM(F95:H95)</f>
        <v>14327.98</v>
      </c>
      <c r="H95" s="33" t="n">
        <v>14327.98</v>
      </c>
    </row>
    <row r="96" customFormat="false" ht="15" hidden="false" customHeight="false" outlineLevel="0" collapsed="false">
      <c r="B96" s="5" t="s">
        <v>193</v>
      </c>
      <c r="D96" s="33" t="n">
        <f aca="false">SUM(F96:H96)</f>
        <v>1332.99</v>
      </c>
      <c r="H96" s="33" t="n">
        <v>1332.99</v>
      </c>
    </row>
    <row r="97" customFormat="false" ht="15" hidden="false" customHeight="false" outlineLevel="0" collapsed="false">
      <c r="B97" s="5" t="s">
        <v>202</v>
      </c>
      <c r="D97" s="33" t="n">
        <f aca="false">SUM(F97:H97)</f>
        <v>1709.81</v>
      </c>
      <c r="H97" s="33" t="n">
        <v>1709.81</v>
      </c>
    </row>
    <row r="98" customFormat="false" ht="15" hidden="false" customHeight="false" outlineLevel="0" collapsed="false">
      <c r="B98" s="11" t="s">
        <v>162</v>
      </c>
      <c r="D98" s="34" t="n">
        <f aca="false">SUM(D68:D97)</f>
        <v>147893.47</v>
      </c>
      <c r="F98" s="34" t="n">
        <f aca="false">SUM(F68:F97)</f>
        <v>30900.04</v>
      </c>
      <c r="H98" s="34" t="n">
        <f aca="false">SUM(H68:H97)</f>
        <v>116993.43</v>
      </c>
    </row>
    <row r="99" customFormat="false" ht="15" hidden="false" customHeight="false" outlineLevel="0" collapsed="false">
      <c r="B99" s="30" t="s">
        <v>136</v>
      </c>
      <c r="F99" s="31" t="n">
        <f aca="false">F98/D98</f>
        <v>0.208934444502519</v>
      </c>
      <c r="H99" s="31" t="n">
        <f aca="false">H98/D98</f>
        <v>0.791065555497481</v>
      </c>
    </row>
    <row r="101" customFormat="false" ht="15" hidden="false" customHeight="false" outlineLevel="0" collapsed="false">
      <c r="A101" s="10" t="s">
        <v>157</v>
      </c>
    </row>
    <row r="102" customFormat="false" ht="15" hidden="false" customHeight="false" outlineLevel="0" collapsed="false">
      <c r="B102" s="4" t="s">
        <v>158</v>
      </c>
      <c r="D102" s="4" t="s">
        <v>108</v>
      </c>
      <c r="F102" s="4" t="s">
        <v>165</v>
      </c>
      <c r="H102" s="4" t="s">
        <v>141</v>
      </c>
    </row>
    <row r="103" customFormat="false" ht="15" hidden="false" customHeight="false" outlineLevel="0" collapsed="false">
      <c r="B103" s="5" t="str">
        <f aca="false">'Building 17'!B18</f>
        <v>1 - Buillding - Apt - 5yr</v>
      </c>
      <c r="D103" s="33" t="n">
        <f aca="false">SUM(F103:H103)</f>
        <v>24387.48</v>
      </c>
      <c r="F103" s="33" t="n">
        <f aca="false">'Building 17'!D18</f>
        <v>24387.48</v>
      </c>
    </row>
    <row r="104" customFormat="false" ht="15" hidden="false" customHeight="false" outlineLevel="0" collapsed="false">
      <c r="B104" s="5" t="str">
        <f aca="false">'Building 17'!B19</f>
        <v>1 - Buillding - Apt - 27.5yr</v>
      </c>
      <c r="D104" s="33" t="n">
        <f aca="false">SUM(F104:H104)</f>
        <v>92335.64</v>
      </c>
      <c r="H104" s="33" t="n">
        <f aca="false">'Building 17'!D19</f>
        <v>92335.64</v>
      </c>
    </row>
    <row r="105" customFormat="false" ht="15" hidden="false" customHeight="false" outlineLevel="0" collapsed="false">
      <c r="B105" s="5" t="str">
        <f aca="false">'Building 17'!B20</f>
        <v>5 - Building - Apt - 5yr</v>
      </c>
      <c r="D105" s="33" t="n">
        <f aca="false">SUM(F105:H105)</f>
        <v>44.42</v>
      </c>
      <c r="F105" s="33" t="n">
        <f aca="false">'Building 17'!D20</f>
        <v>44.42</v>
      </c>
    </row>
    <row r="106" customFormat="false" ht="15" hidden="false" customHeight="false" outlineLevel="0" collapsed="false">
      <c r="B106" s="5" t="str">
        <f aca="false">'Building 17'!B21</f>
        <v>5 - Building - Apt - 27.5yr</v>
      </c>
      <c r="D106" s="33" t="n">
        <f aca="false">SUM(F106:H106)</f>
        <v>168.16</v>
      </c>
      <c r="H106" s="33" t="n">
        <f aca="false">'Building 17'!D21</f>
        <v>168.16</v>
      </c>
    </row>
    <row r="107" customFormat="false" ht="15" hidden="false" customHeight="false" outlineLevel="0" collapsed="false">
      <c r="B107" s="5" t="str">
        <f aca="false">'Building 17'!B22</f>
        <v>3 - Land Improvements - Apt - 5yr</v>
      </c>
      <c r="D107" s="33" t="n">
        <f aca="false">SUM(F107:H107)</f>
        <v>2300.7</v>
      </c>
      <c r="F107" s="33" t="n">
        <f aca="false">'Building 17'!D22</f>
        <v>2300.7</v>
      </c>
    </row>
    <row r="108" customFormat="false" ht="15" hidden="false" customHeight="false" outlineLevel="0" collapsed="false">
      <c r="B108" s="5" t="str">
        <f aca="false">'Building 17'!B23</f>
        <v>3 - Land Improvements - Apt - 27.5yr</v>
      </c>
      <c r="D108" s="33" t="n">
        <f aca="false">SUM(F108:H108)</f>
        <v>8710.9</v>
      </c>
      <c r="H108" s="33" t="n">
        <f aca="false">'Building 17'!D23</f>
        <v>8710.9</v>
      </c>
    </row>
    <row r="109" customFormat="false" ht="15" hidden="false" customHeight="false" outlineLevel="0" collapsed="false">
      <c r="B109" s="5" t="str">
        <f aca="false">'Building 17'!B24</f>
        <v>4 - Equipment - Apt - 5yr</v>
      </c>
      <c r="D109" s="33" t="n">
        <f aca="false">SUM(F109:H109)</f>
        <v>4167.44</v>
      </c>
      <c r="F109" s="33" t="n">
        <f aca="false">'Building 17'!D24</f>
        <v>4167.44</v>
      </c>
    </row>
    <row r="110" customFormat="false" ht="15" hidden="false" customHeight="false" outlineLevel="0" collapsed="false">
      <c r="B110" s="5" t="str">
        <f aca="false">'Building 17'!B25</f>
        <v>4 - Equipment - Apt - 27.5yr</v>
      </c>
      <c r="D110" s="33" t="n">
        <f aca="false">SUM(F110:H110)</f>
        <v>15778.73</v>
      </c>
      <c r="H110" s="33" t="n">
        <f aca="false">'Building 17'!D25</f>
        <v>15778.73</v>
      </c>
    </row>
    <row r="111" customFormat="false" ht="15" hidden="false" customHeight="false" outlineLevel="0" collapsed="false">
      <c r="B111" s="11" t="s">
        <v>159</v>
      </c>
      <c r="D111" s="34" t="n">
        <f aca="false">SUM(D103:D110)</f>
        <v>147893.47</v>
      </c>
      <c r="F111" s="34" t="n">
        <f aca="false">SUM(F103:F110)</f>
        <v>30900.04</v>
      </c>
      <c r="H111" s="34" t="n">
        <f aca="false">SUM(H103:H110)</f>
        <v>116993.43</v>
      </c>
    </row>
    <row r="112" customFormat="false" ht="15" hidden="false" customHeight="false" outlineLevel="0" collapsed="false">
      <c r="B112" s="16" t="s">
        <v>160</v>
      </c>
      <c r="D112" s="17" t="n">
        <f aca="false">D111-D98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219</v>
      </c>
    </row>
    <row r="5" customFormat="false" ht="15" hidden="false" customHeight="false" outlineLevel="0" collapsed="false">
      <c r="A5" s="16" t="s">
        <v>102</v>
      </c>
    </row>
    <row r="7" customFormat="false" ht="15" hidden="false" customHeight="false" outlineLevel="0" collapsed="false">
      <c r="A7" s="10" t="s">
        <v>103</v>
      </c>
    </row>
    <row r="8" customFormat="false" ht="15" hidden="false" customHeight="false" outlineLevel="0" collapsed="false">
      <c r="A8" s="21" t="s">
        <v>104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105</v>
      </c>
      <c r="B9" s="4" t="s">
        <v>106</v>
      </c>
      <c r="C9" s="4" t="s">
        <v>107</v>
      </c>
      <c r="D9" s="4" t="s">
        <v>108</v>
      </c>
      <c r="E9" s="4" t="s">
        <v>109</v>
      </c>
      <c r="F9" s="4" t="s">
        <v>110</v>
      </c>
      <c r="G9" s="4" t="s">
        <v>111</v>
      </c>
      <c r="H9" s="4" t="s">
        <v>112</v>
      </c>
      <c r="I9" s="4" t="s">
        <v>113</v>
      </c>
      <c r="J9" s="4" t="s">
        <v>114</v>
      </c>
      <c r="K9" s="4" t="s">
        <v>115</v>
      </c>
      <c r="L9" s="4" t="s">
        <v>116</v>
      </c>
    </row>
    <row r="10" customFormat="false" ht="15" hidden="false" customHeight="false" outlineLevel="0" collapsed="false">
      <c r="A10" s="23" t="n">
        <v>1</v>
      </c>
      <c r="B10" s="23" t="s">
        <v>45</v>
      </c>
      <c r="C10" s="23" t="s">
        <v>35</v>
      </c>
      <c r="D10" s="24" t="n">
        <v>91140.5</v>
      </c>
      <c r="E10" s="24" t="n">
        <v>0</v>
      </c>
      <c r="F10" s="24" t="n">
        <v>0</v>
      </c>
      <c r="G10" s="24" t="n">
        <v>26651.36</v>
      </c>
      <c r="H10" s="24" t="n">
        <v>3314.2</v>
      </c>
      <c r="I10" s="24" t="n">
        <f aca="false">G10+H10</f>
        <v>29965.56</v>
      </c>
      <c r="J10" s="24" t="n">
        <f aca="false">D10-I10</f>
        <v>61174.94</v>
      </c>
      <c r="K10" s="25" t="s">
        <v>117</v>
      </c>
      <c r="L10" s="25" t="s">
        <v>118</v>
      </c>
    </row>
    <row r="11" customFormat="false" ht="15" hidden="false" customHeight="false" outlineLevel="0" collapsed="false">
      <c r="A11" s="23" t="n">
        <v>2</v>
      </c>
      <c r="B11" s="23" t="s">
        <v>46</v>
      </c>
      <c r="C11" s="23" t="s">
        <v>37</v>
      </c>
      <c r="D11" s="24" t="n">
        <v>165.99</v>
      </c>
      <c r="E11" s="24" t="n">
        <v>0</v>
      </c>
      <c r="F11" s="24" t="n">
        <v>0</v>
      </c>
      <c r="G11" s="24" t="n">
        <v>48.07</v>
      </c>
      <c r="H11" s="24" t="n">
        <v>6.04</v>
      </c>
      <c r="I11" s="24" t="n">
        <f aca="false">G11+H11</f>
        <v>54.11</v>
      </c>
      <c r="J11" s="24" t="n">
        <f aca="false">D11-I11</f>
        <v>111.88</v>
      </c>
      <c r="K11" s="25" t="s">
        <v>117</v>
      </c>
      <c r="L11" s="25" t="s">
        <v>118</v>
      </c>
    </row>
    <row r="12" customFormat="false" ht="15" hidden="false" customHeight="false" outlineLevel="0" collapsed="false">
      <c r="A12" s="23" t="n">
        <v>3</v>
      </c>
      <c r="B12" s="23" t="s">
        <v>47</v>
      </c>
      <c r="C12" s="23" t="s">
        <v>35</v>
      </c>
      <c r="D12" s="24" t="n">
        <v>8598.15</v>
      </c>
      <c r="E12" s="24" t="n">
        <v>0</v>
      </c>
      <c r="F12" s="24" t="n">
        <v>0</v>
      </c>
      <c r="G12" s="24" t="n">
        <v>5035.65</v>
      </c>
      <c r="H12" s="24" t="n">
        <v>507.3</v>
      </c>
      <c r="I12" s="24" t="n">
        <f aca="false">G12+H12</f>
        <v>5542.95</v>
      </c>
      <c r="J12" s="24" t="n">
        <f aca="false">D12-I12</f>
        <v>3055.2</v>
      </c>
      <c r="K12" s="25" t="s">
        <v>119</v>
      </c>
      <c r="L12" s="25" t="s">
        <v>120</v>
      </c>
    </row>
    <row r="13" customFormat="false" ht="15" hidden="false" customHeight="false" outlineLevel="0" collapsed="false">
      <c r="A13" s="23" t="n">
        <v>4</v>
      </c>
      <c r="B13" s="23" t="s">
        <v>48</v>
      </c>
      <c r="C13" s="23" t="s">
        <v>35</v>
      </c>
      <c r="D13" s="24" t="n">
        <v>15574.5</v>
      </c>
      <c r="E13" s="24" t="n">
        <v>0</v>
      </c>
      <c r="F13" s="24" t="n">
        <v>0</v>
      </c>
      <c r="G13" s="24" t="n">
        <v>15055.35</v>
      </c>
      <c r="H13" s="24" t="n">
        <v>0</v>
      </c>
      <c r="I13" s="24" t="n">
        <f aca="false">G13+H13</f>
        <v>15055.35</v>
      </c>
      <c r="J13" s="24" t="n">
        <f aca="false">D13-I13</f>
        <v>519.15</v>
      </c>
      <c r="K13" s="25" t="s">
        <v>121</v>
      </c>
      <c r="L13" s="25" t="s">
        <v>122</v>
      </c>
    </row>
    <row r="14" customFormat="false" ht="15" hidden="false" customHeight="false" outlineLevel="0" collapsed="false">
      <c r="A14" s="26"/>
      <c r="B14" s="27" t="s">
        <v>53</v>
      </c>
      <c r="C14" s="26"/>
      <c r="D14" s="28" t="n">
        <f aca="false">SUM(D10:D13)</f>
        <v>115479.14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46790.43</v>
      </c>
      <c r="H14" s="28" t="n">
        <f aca="false">SUM(H10:H13)</f>
        <v>3827.54</v>
      </c>
      <c r="I14" s="28" t="n">
        <f aca="false">SUM(I10:I13)</f>
        <v>50617.97</v>
      </c>
      <c r="J14" s="28" t="n">
        <f aca="false">SUM(J10:J13)</f>
        <v>64861.17</v>
      </c>
      <c r="K14" s="26"/>
      <c r="L14" s="26"/>
    </row>
    <row r="16" customFormat="false" ht="15" hidden="false" customHeight="false" outlineLevel="0" collapsed="false">
      <c r="A16" s="21" t="s">
        <v>123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4" t="s">
        <v>105</v>
      </c>
      <c r="B17" s="4" t="s">
        <v>106</v>
      </c>
      <c r="C17" s="4" t="s">
        <v>107</v>
      </c>
      <c r="D17" s="4" t="s">
        <v>108</v>
      </c>
      <c r="E17" s="4" t="s">
        <v>109</v>
      </c>
      <c r="F17" s="4" t="s">
        <v>110</v>
      </c>
      <c r="G17" s="4" t="s">
        <v>111</v>
      </c>
      <c r="H17" s="4" t="s">
        <v>112</v>
      </c>
      <c r="I17" s="4" t="s">
        <v>113</v>
      </c>
      <c r="J17" s="4" t="s">
        <v>114</v>
      </c>
      <c r="K17" s="4" t="s">
        <v>115</v>
      </c>
      <c r="L17" s="4" t="s">
        <v>116</v>
      </c>
    </row>
    <row r="18" customFormat="false" ht="15" hidden="false" customHeight="false" outlineLevel="0" collapsed="false">
      <c r="A18" s="23" t="n">
        <v>1</v>
      </c>
      <c r="B18" s="23" t="s">
        <v>71</v>
      </c>
      <c r="C18" s="23" t="s">
        <v>35</v>
      </c>
      <c r="D18" s="24" t="n">
        <v>21279.35</v>
      </c>
      <c r="E18" s="24" t="n">
        <v>0</v>
      </c>
      <c r="F18" s="24" t="n">
        <v>0</v>
      </c>
      <c r="G18" s="24" t="n">
        <v>21279.35</v>
      </c>
      <c r="H18" s="24" t="n">
        <v>0</v>
      </c>
      <c r="I18" s="24" t="n">
        <f aca="false">G18+H18</f>
        <v>21279.35</v>
      </c>
      <c r="J18" s="24" t="n">
        <f aca="false">D18-I18</f>
        <v>0</v>
      </c>
      <c r="K18" s="25" t="s">
        <v>121</v>
      </c>
      <c r="L18" s="25" t="s">
        <v>122</v>
      </c>
    </row>
    <row r="19" customFormat="false" ht="15" hidden="false" customHeight="false" outlineLevel="0" collapsed="false">
      <c r="A19" s="23" t="n">
        <v>2</v>
      </c>
      <c r="B19" s="23" t="s">
        <v>72</v>
      </c>
      <c r="C19" s="23" t="s">
        <v>35</v>
      </c>
      <c r="D19" s="24" t="n">
        <v>69861.15</v>
      </c>
      <c r="E19" s="24" t="n">
        <v>0</v>
      </c>
      <c r="F19" s="24" t="n">
        <v>0</v>
      </c>
      <c r="G19" s="24" t="n">
        <v>20429.13</v>
      </c>
      <c r="H19" s="24" t="n">
        <v>2540.41</v>
      </c>
      <c r="I19" s="24" t="n">
        <f aca="false">G19+H19</f>
        <v>22969.54</v>
      </c>
      <c r="J19" s="24" t="n">
        <f aca="false">D19-I19</f>
        <v>46891.61</v>
      </c>
      <c r="K19" s="25" t="s">
        <v>117</v>
      </c>
      <c r="L19" s="25" t="s">
        <v>118</v>
      </c>
    </row>
    <row r="20" customFormat="false" ht="15" hidden="false" customHeight="false" outlineLevel="0" collapsed="false">
      <c r="A20" s="23" t="n">
        <v>3</v>
      </c>
      <c r="B20" s="23" t="s">
        <v>73</v>
      </c>
      <c r="C20" s="23" t="s">
        <v>37</v>
      </c>
      <c r="D20" s="24" t="n">
        <v>38.76</v>
      </c>
      <c r="E20" s="24" t="n">
        <v>0</v>
      </c>
      <c r="F20" s="24" t="n">
        <v>0</v>
      </c>
      <c r="G20" s="24" t="n">
        <v>38.76</v>
      </c>
      <c r="H20" s="24" t="n">
        <v>0</v>
      </c>
      <c r="I20" s="24" t="n">
        <f aca="false">G20+H20</f>
        <v>38.76</v>
      </c>
      <c r="J20" s="24" t="n">
        <f aca="false">D20-I20</f>
        <v>0</v>
      </c>
      <c r="K20" s="25" t="s">
        <v>121</v>
      </c>
      <c r="L20" s="25" t="s">
        <v>122</v>
      </c>
    </row>
    <row r="21" customFormat="false" ht="15" hidden="false" customHeight="false" outlineLevel="0" collapsed="false">
      <c r="A21" s="23" t="n">
        <v>4</v>
      </c>
      <c r="B21" s="23" t="s">
        <v>74</v>
      </c>
      <c r="C21" s="23" t="s">
        <v>37</v>
      </c>
      <c r="D21" s="24" t="n">
        <v>127.23</v>
      </c>
      <c r="E21" s="24" t="n">
        <v>0</v>
      </c>
      <c r="F21" s="24" t="n">
        <v>0</v>
      </c>
      <c r="G21" s="24" t="n">
        <v>36.84</v>
      </c>
      <c r="H21" s="24" t="n">
        <v>4.63</v>
      </c>
      <c r="I21" s="24" t="n">
        <f aca="false">G21+H21</f>
        <v>41.47</v>
      </c>
      <c r="J21" s="24" t="n">
        <f aca="false">D21-I21</f>
        <v>85.76</v>
      </c>
      <c r="K21" s="25" t="s">
        <v>117</v>
      </c>
      <c r="L21" s="25" t="s">
        <v>118</v>
      </c>
    </row>
    <row r="22" customFormat="false" ht="15" hidden="false" customHeight="false" outlineLevel="0" collapsed="false">
      <c r="A22" s="23" t="n">
        <v>5</v>
      </c>
      <c r="B22" s="23" t="s">
        <v>79</v>
      </c>
      <c r="C22" s="23" t="s">
        <v>35</v>
      </c>
      <c r="D22" s="24" t="n">
        <v>2007.48</v>
      </c>
      <c r="E22" s="24" t="n">
        <v>0</v>
      </c>
      <c r="F22" s="24" t="n">
        <v>0</v>
      </c>
      <c r="G22" s="24" t="n">
        <v>2007.48</v>
      </c>
      <c r="H22" s="24" t="n">
        <v>0</v>
      </c>
      <c r="I22" s="24" t="n">
        <f aca="false">G22+H22</f>
        <v>2007.48</v>
      </c>
      <c r="J22" s="24" t="n">
        <f aca="false">D22-I22</f>
        <v>0</v>
      </c>
      <c r="K22" s="25" t="s">
        <v>121</v>
      </c>
      <c r="L22" s="25" t="s">
        <v>122</v>
      </c>
    </row>
    <row r="23" customFormat="false" ht="15" hidden="false" customHeight="false" outlineLevel="0" collapsed="false">
      <c r="A23" s="23" t="n">
        <v>6</v>
      </c>
      <c r="B23" s="23" t="s">
        <v>80</v>
      </c>
      <c r="C23" s="23" t="s">
        <v>35</v>
      </c>
      <c r="D23" s="24" t="n">
        <v>6590.67</v>
      </c>
      <c r="E23" s="24" t="n">
        <v>0</v>
      </c>
      <c r="F23" s="24" t="n">
        <v>0</v>
      </c>
      <c r="G23" s="24" t="n">
        <v>1927.27</v>
      </c>
      <c r="H23" s="24" t="n">
        <v>239.66</v>
      </c>
      <c r="I23" s="24" t="n">
        <f aca="false">G23+H23</f>
        <v>2166.93</v>
      </c>
      <c r="J23" s="24" t="n">
        <f aca="false">D23-I23</f>
        <v>4423.74</v>
      </c>
      <c r="K23" s="25" t="s">
        <v>117</v>
      </c>
      <c r="L23" s="25" t="s">
        <v>118</v>
      </c>
    </row>
    <row r="24" customFormat="false" ht="15" hidden="false" customHeight="false" outlineLevel="0" collapsed="false">
      <c r="A24" s="23" t="n">
        <v>7</v>
      </c>
      <c r="B24" s="23" t="s">
        <v>77</v>
      </c>
      <c r="C24" s="23" t="s">
        <v>35</v>
      </c>
      <c r="D24" s="24" t="n">
        <v>3636.33</v>
      </c>
      <c r="E24" s="24" t="n">
        <v>0</v>
      </c>
      <c r="F24" s="24" t="n">
        <v>0</v>
      </c>
      <c r="G24" s="24" t="n">
        <v>3636.33</v>
      </c>
      <c r="H24" s="24" t="n">
        <v>0</v>
      </c>
      <c r="I24" s="24" t="n">
        <f aca="false">G24+H24</f>
        <v>3636.33</v>
      </c>
      <c r="J24" s="24" t="n">
        <f aca="false">D24-I24</f>
        <v>0</v>
      </c>
      <c r="K24" s="25" t="s">
        <v>121</v>
      </c>
      <c r="L24" s="25" t="s">
        <v>122</v>
      </c>
    </row>
    <row r="25" customFormat="false" ht="15" hidden="false" customHeight="false" outlineLevel="0" collapsed="false">
      <c r="A25" s="23" t="n">
        <v>8</v>
      </c>
      <c r="B25" s="23" t="s">
        <v>78</v>
      </c>
      <c r="C25" s="23" t="s">
        <v>35</v>
      </c>
      <c r="D25" s="24" t="n">
        <v>11938.19</v>
      </c>
      <c r="E25" s="24" t="n">
        <v>0</v>
      </c>
      <c r="F25" s="24" t="n">
        <v>0</v>
      </c>
      <c r="G25" s="24" t="n">
        <v>3491.05</v>
      </c>
      <c r="H25" s="24" t="n">
        <v>434.12</v>
      </c>
      <c r="I25" s="24" t="n">
        <f aca="false">G25+H25</f>
        <v>3925.17</v>
      </c>
      <c r="J25" s="24" t="n">
        <f aca="false">D25-I25</f>
        <v>8013.02</v>
      </c>
      <c r="K25" s="25" t="s">
        <v>117</v>
      </c>
      <c r="L25" s="25" t="s">
        <v>118</v>
      </c>
    </row>
    <row r="26" customFormat="false" ht="15" hidden="false" customHeight="false" outlineLevel="0" collapsed="false">
      <c r="A26" s="26"/>
      <c r="B26" s="27" t="s">
        <v>53</v>
      </c>
      <c r="C26" s="26"/>
      <c r="D26" s="28" t="n">
        <f aca="false">SUM(D18:D25)</f>
        <v>115479.16</v>
      </c>
      <c r="E26" s="28" t="n">
        <f aca="false">SUM(E18:E25)</f>
        <v>0</v>
      </c>
      <c r="F26" s="28" t="n">
        <f aca="false">SUM(F18:F25)</f>
        <v>0</v>
      </c>
      <c r="G26" s="28" t="n">
        <f aca="false">SUM(G18:G25)</f>
        <v>52846.21</v>
      </c>
      <c r="H26" s="28" t="n">
        <f aca="false">SUM(H18:H25)</f>
        <v>3218.82</v>
      </c>
      <c r="I26" s="28" t="n">
        <f aca="false">SUM(I18:I25)</f>
        <v>56065.03</v>
      </c>
      <c r="J26" s="28" t="n">
        <f aca="false">SUM(J18:J25)</f>
        <v>59414.13</v>
      </c>
      <c r="K26" s="26"/>
      <c r="L26" s="26"/>
    </row>
    <row r="28" customFormat="false" ht="15" hidden="false" customHeight="false" outlineLevel="0" collapsed="false">
      <c r="B28" s="18" t="s">
        <v>124</v>
      </c>
    </row>
    <row r="29" customFormat="false" ht="15" hidden="false" customHeight="false" outlineLevel="0" collapsed="false">
      <c r="B29" s="5" t="s">
        <v>125</v>
      </c>
      <c r="D29" s="6" t="n">
        <f aca="false">I14</f>
        <v>50617.97</v>
      </c>
    </row>
    <row r="30" customFormat="false" ht="15" hidden="false" customHeight="false" outlineLevel="0" collapsed="false">
      <c r="B30" s="5" t="s">
        <v>126</v>
      </c>
      <c r="D30" s="6" t="n">
        <f aca="false">I26</f>
        <v>56065.03</v>
      </c>
    </row>
    <row r="31" customFormat="false" ht="15" hidden="false" customHeight="false" outlineLevel="0" collapsed="false">
      <c r="B31" s="11" t="s">
        <v>124</v>
      </c>
      <c r="D31" s="29" t="n">
        <f aca="false">D29-D30</f>
        <v>-5447.06</v>
      </c>
    </row>
    <row r="33" customFormat="false" ht="15" hidden="false" customHeight="false" outlineLevel="0" collapsed="false">
      <c r="A33" s="10" t="s">
        <v>127</v>
      </c>
    </row>
    <row r="34" customFormat="false" ht="15" hidden="false" customHeight="false" outlineLevel="0" collapsed="false">
      <c r="A34" s="21" t="s">
        <v>128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4" t="s">
        <v>105</v>
      </c>
      <c r="B35" s="4" t="s">
        <v>106</v>
      </c>
      <c r="C35" s="4" t="s">
        <v>107</v>
      </c>
      <c r="D35" s="4" t="s">
        <v>108</v>
      </c>
      <c r="E35" s="4" t="s">
        <v>109</v>
      </c>
      <c r="F35" s="4" t="s">
        <v>110</v>
      </c>
      <c r="G35" s="4" t="s">
        <v>129</v>
      </c>
      <c r="H35" s="4" t="s">
        <v>130</v>
      </c>
      <c r="I35" s="4" t="s">
        <v>113</v>
      </c>
      <c r="J35" s="4" t="s">
        <v>114</v>
      </c>
      <c r="K35" s="4" t="s">
        <v>115</v>
      </c>
      <c r="L35" s="4" t="s">
        <v>116</v>
      </c>
    </row>
    <row r="36" customFormat="false" ht="15" hidden="false" customHeight="false" outlineLevel="0" collapsed="false">
      <c r="A36" s="23" t="n">
        <v>1</v>
      </c>
      <c r="B36" s="23" t="s">
        <v>45</v>
      </c>
      <c r="C36" s="23" t="s">
        <v>35</v>
      </c>
      <c r="D36" s="24" t="n">
        <v>91140.5</v>
      </c>
      <c r="E36" s="24" t="n">
        <v>0</v>
      </c>
      <c r="F36" s="24" t="n">
        <v>0</v>
      </c>
      <c r="G36" s="24" t="n">
        <v>26651.36</v>
      </c>
      <c r="H36" s="24" t="n">
        <v>3314.2</v>
      </c>
      <c r="I36" s="24" t="n">
        <f aca="false">G36+H36</f>
        <v>29965.56</v>
      </c>
      <c r="J36" s="24" t="n">
        <f aca="false">D36-I36</f>
        <v>61174.94</v>
      </c>
      <c r="K36" s="25" t="s">
        <v>117</v>
      </c>
      <c r="L36" s="25" t="s">
        <v>118</v>
      </c>
    </row>
    <row r="37" customFormat="false" ht="15" hidden="false" customHeight="false" outlineLevel="0" collapsed="false">
      <c r="A37" s="23" t="n">
        <v>2</v>
      </c>
      <c r="B37" s="23" t="s">
        <v>46</v>
      </c>
      <c r="C37" s="23" t="s">
        <v>37</v>
      </c>
      <c r="D37" s="24" t="n">
        <v>165.99</v>
      </c>
      <c r="E37" s="24" t="n">
        <v>0</v>
      </c>
      <c r="F37" s="24" t="n">
        <v>0</v>
      </c>
      <c r="G37" s="24" t="n">
        <v>48.07</v>
      </c>
      <c r="H37" s="24" t="n">
        <v>6.04</v>
      </c>
      <c r="I37" s="24" t="n">
        <f aca="false">G37+H37</f>
        <v>54.11</v>
      </c>
      <c r="J37" s="24" t="n">
        <f aca="false">D37-I37</f>
        <v>111.88</v>
      </c>
      <c r="K37" s="25" t="s">
        <v>117</v>
      </c>
      <c r="L37" s="25" t="s">
        <v>118</v>
      </c>
    </row>
    <row r="38" customFormat="false" ht="15" hidden="false" customHeight="false" outlineLevel="0" collapsed="false">
      <c r="A38" s="23" t="n">
        <v>3</v>
      </c>
      <c r="B38" s="23" t="s">
        <v>47</v>
      </c>
      <c r="C38" s="23" t="s">
        <v>35</v>
      </c>
      <c r="D38" s="24" t="n">
        <v>8598.15</v>
      </c>
      <c r="E38" s="24" t="n">
        <v>0</v>
      </c>
      <c r="F38" s="24" t="n">
        <v>0</v>
      </c>
      <c r="G38" s="24" t="n">
        <v>5035.65</v>
      </c>
      <c r="H38" s="24" t="n">
        <v>507.3</v>
      </c>
      <c r="I38" s="24" t="n">
        <f aca="false">G38+H38</f>
        <v>5542.95</v>
      </c>
      <c r="J38" s="24" t="n">
        <f aca="false">D38-I38</f>
        <v>3055.2</v>
      </c>
      <c r="K38" s="25" t="s">
        <v>119</v>
      </c>
      <c r="L38" s="25" t="s">
        <v>120</v>
      </c>
    </row>
    <row r="39" customFormat="false" ht="15" hidden="false" customHeight="false" outlineLevel="0" collapsed="false">
      <c r="A39" s="23" t="n">
        <v>4</v>
      </c>
      <c r="B39" s="23" t="s">
        <v>48</v>
      </c>
      <c r="C39" s="23" t="s">
        <v>35</v>
      </c>
      <c r="D39" s="24" t="n">
        <v>15574.5</v>
      </c>
      <c r="E39" s="24" t="n">
        <v>0</v>
      </c>
      <c r="F39" s="24" t="n">
        <v>0</v>
      </c>
      <c r="G39" s="24" t="n">
        <v>15055.35</v>
      </c>
      <c r="H39" s="24" t="n">
        <v>0</v>
      </c>
      <c r="I39" s="24" t="n">
        <f aca="false">G39+H39</f>
        <v>15055.35</v>
      </c>
      <c r="J39" s="24" t="n">
        <f aca="false">D39-I39</f>
        <v>519.15</v>
      </c>
      <c r="K39" s="25" t="s">
        <v>121</v>
      </c>
      <c r="L39" s="25" t="s">
        <v>122</v>
      </c>
    </row>
    <row r="40" customFormat="false" ht="15" hidden="false" customHeight="false" outlineLevel="0" collapsed="false">
      <c r="A40" s="26"/>
      <c r="B40" s="27" t="s">
        <v>53</v>
      </c>
      <c r="C40" s="26"/>
      <c r="D40" s="28" t="n">
        <f aca="false">SUM(D36:D39)</f>
        <v>115479.14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46790.43</v>
      </c>
      <c r="H40" s="28" t="n">
        <f aca="false">SUM(H36:H39)</f>
        <v>3827.54</v>
      </c>
      <c r="I40" s="28" t="n">
        <f aca="false">SUM(I36:I39)</f>
        <v>50617.97</v>
      </c>
      <c r="J40" s="28" t="n">
        <f aca="false">SUM(J36:J39)</f>
        <v>64861.17</v>
      </c>
      <c r="K40" s="26"/>
      <c r="L40" s="26"/>
    </row>
    <row r="42" customFormat="false" ht="15" hidden="false" customHeight="false" outlineLevel="0" collapsed="false">
      <c r="A42" s="21" t="s">
        <v>131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4" t="s">
        <v>105</v>
      </c>
      <c r="B43" s="4" t="s">
        <v>106</v>
      </c>
      <c r="C43" s="4" t="s">
        <v>107</v>
      </c>
      <c r="D43" s="4" t="s">
        <v>108</v>
      </c>
      <c r="E43" s="4" t="s">
        <v>109</v>
      </c>
      <c r="F43" s="4" t="s">
        <v>110</v>
      </c>
      <c r="G43" s="4" t="s">
        <v>129</v>
      </c>
      <c r="H43" s="4" t="s">
        <v>130</v>
      </c>
      <c r="I43" s="4" t="s">
        <v>113</v>
      </c>
      <c r="J43" s="4" t="s">
        <v>114</v>
      </c>
      <c r="K43" s="4" t="s">
        <v>115</v>
      </c>
      <c r="L43" s="4" t="s">
        <v>116</v>
      </c>
    </row>
    <row r="44" customFormat="false" ht="15" hidden="false" customHeight="false" outlineLevel="0" collapsed="false">
      <c r="A44" s="23" t="n">
        <v>1</v>
      </c>
      <c r="B44" s="23" t="s">
        <v>71</v>
      </c>
      <c r="C44" s="23" t="s">
        <v>35</v>
      </c>
      <c r="D44" s="24" t="n">
        <v>21279.35</v>
      </c>
      <c r="E44" s="24" t="n">
        <v>0</v>
      </c>
      <c r="F44" s="24" t="n">
        <v>0</v>
      </c>
      <c r="G44" s="24" t="n">
        <v>21279.35</v>
      </c>
      <c r="H44" s="24" t="n">
        <v>0</v>
      </c>
      <c r="I44" s="24" t="n">
        <f aca="false">G44+H44</f>
        <v>21279.35</v>
      </c>
      <c r="J44" s="24" t="n">
        <f aca="false">D44-I44</f>
        <v>0</v>
      </c>
      <c r="K44" s="25" t="s">
        <v>121</v>
      </c>
      <c r="L44" s="25" t="s">
        <v>122</v>
      </c>
    </row>
    <row r="45" customFormat="false" ht="15" hidden="false" customHeight="false" outlineLevel="0" collapsed="false">
      <c r="A45" s="23" t="n">
        <v>2</v>
      </c>
      <c r="B45" s="23" t="s">
        <v>72</v>
      </c>
      <c r="C45" s="23" t="s">
        <v>35</v>
      </c>
      <c r="D45" s="24" t="n">
        <v>69861.15</v>
      </c>
      <c r="E45" s="24" t="n">
        <v>0</v>
      </c>
      <c r="F45" s="24" t="n">
        <v>0</v>
      </c>
      <c r="G45" s="24" t="n">
        <v>20429.13</v>
      </c>
      <c r="H45" s="24" t="n">
        <v>2540.41</v>
      </c>
      <c r="I45" s="24" t="n">
        <f aca="false">G45+H45</f>
        <v>22969.54</v>
      </c>
      <c r="J45" s="24" t="n">
        <f aca="false">D45-I45</f>
        <v>46891.61</v>
      </c>
      <c r="K45" s="25" t="s">
        <v>117</v>
      </c>
      <c r="L45" s="25" t="s">
        <v>118</v>
      </c>
    </row>
    <row r="46" customFormat="false" ht="15" hidden="false" customHeight="false" outlineLevel="0" collapsed="false">
      <c r="A46" s="23" t="n">
        <v>3</v>
      </c>
      <c r="B46" s="23" t="s">
        <v>73</v>
      </c>
      <c r="C46" s="23" t="s">
        <v>37</v>
      </c>
      <c r="D46" s="24" t="n">
        <v>38.76</v>
      </c>
      <c r="E46" s="24" t="n">
        <v>0</v>
      </c>
      <c r="F46" s="24" t="n">
        <v>0</v>
      </c>
      <c r="G46" s="24" t="n">
        <v>38.76</v>
      </c>
      <c r="H46" s="24" t="n">
        <v>0</v>
      </c>
      <c r="I46" s="24" t="n">
        <f aca="false">G46+H46</f>
        <v>38.76</v>
      </c>
      <c r="J46" s="24" t="n">
        <f aca="false">D46-I46</f>
        <v>0</v>
      </c>
      <c r="K46" s="25" t="s">
        <v>121</v>
      </c>
      <c r="L46" s="25" t="s">
        <v>122</v>
      </c>
    </row>
    <row r="47" customFormat="false" ht="15" hidden="false" customHeight="false" outlineLevel="0" collapsed="false">
      <c r="A47" s="23" t="n">
        <v>4</v>
      </c>
      <c r="B47" s="23" t="s">
        <v>74</v>
      </c>
      <c r="C47" s="23" t="s">
        <v>37</v>
      </c>
      <c r="D47" s="24" t="n">
        <v>127.23</v>
      </c>
      <c r="E47" s="24" t="n">
        <v>0</v>
      </c>
      <c r="F47" s="24" t="n">
        <v>0</v>
      </c>
      <c r="G47" s="24" t="n">
        <v>36.84</v>
      </c>
      <c r="H47" s="24" t="n">
        <v>4.63</v>
      </c>
      <c r="I47" s="24" t="n">
        <f aca="false">G47+H47</f>
        <v>41.47</v>
      </c>
      <c r="J47" s="24" t="n">
        <f aca="false">D47-I47</f>
        <v>85.76</v>
      </c>
      <c r="K47" s="25" t="s">
        <v>117</v>
      </c>
      <c r="L47" s="25" t="s">
        <v>118</v>
      </c>
    </row>
    <row r="48" customFormat="false" ht="15" hidden="false" customHeight="false" outlineLevel="0" collapsed="false">
      <c r="A48" s="23" t="n">
        <v>5</v>
      </c>
      <c r="B48" s="23" t="s">
        <v>79</v>
      </c>
      <c r="C48" s="23" t="s">
        <v>35</v>
      </c>
      <c r="D48" s="24" t="n">
        <v>2007.48</v>
      </c>
      <c r="E48" s="24" t="n">
        <v>0</v>
      </c>
      <c r="F48" s="24" t="n">
        <v>0</v>
      </c>
      <c r="G48" s="24" t="n">
        <v>2007.48</v>
      </c>
      <c r="H48" s="24" t="n">
        <v>0</v>
      </c>
      <c r="I48" s="24" t="n">
        <f aca="false">G48+H48</f>
        <v>2007.48</v>
      </c>
      <c r="J48" s="24" t="n">
        <f aca="false">D48-I48</f>
        <v>0</v>
      </c>
      <c r="K48" s="25" t="s">
        <v>121</v>
      </c>
      <c r="L48" s="25" t="s">
        <v>122</v>
      </c>
    </row>
    <row r="49" customFormat="false" ht="15" hidden="false" customHeight="false" outlineLevel="0" collapsed="false">
      <c r="A49" s="23" t="n">
        <v>6</v>
      </c>
      <c r="B49" s="23" t="s">
        <v>80</v>
      </c>
      <c r="C49" s="23" t="s">
        <v>35</v>
      </c>
      <c r="D49" s="24" t="n">
        <v>6590.67</v>
      </c>
      <c r="E49" s="24" t="n">
        <v>0</v>
      </c>
      <c r="F49" s="24" t="n">
        <v>0</v>
      </c>
      <c r="G49" s="24" t="n">
        <v>1927.27</v>
      </c>
      <c r="H49" s="24" t="n">
        <v>239.66</v>
      </c>
      <c r="I49" s="24" t="n">
        <f aca="false">G49+H49</f>
        <v>2166.93</v>
      </c>
      <c r="J49" s="24" t="n">
        <f aca="false">D49-I49</f>
        <v>4423.74</v>
      </c>
      <c r="K49" s="25" t="s">
        <v>117</v>
      </c>
      <c r="L49" s="25" t="s">
        <v>118</v>
      </c>
    </row>
    <row r="50" customFormat="false" ht="15" hidden="false" customHeight="false" outlineLevel="0" collapsed="false">
      <c r="A50" s="23" t="n">
        <v>7</v>
      </c>
      <c r="B50" s="23" t="s">
        <v>77</v>
      </c>
      <c r="C50" s="23" t="s">
        <v>35</v>
      </c>
      <c r="D50" s="24" t="n">
        <v>3636.33</v>
      </c>
      <c r="E50" s="24" t="n">
        <v>0</v>
      </c>
      <c r="F50" s="24" t="n">
        <v>0</v>
      </c>
      <c r="G50" s="24" t="n">
        <v>3636.33</v>
      </c>
      <c r="H50" s="24" t="n">
        <v>0</v>
      </c>
      <c r="I50" s="24" t="n">
        <f aca="false">G50+H50</f>
        <v>3636.33</v>
      </c>
      <c r="J50" s="24" t="n">
        <f aca="false">D50-I50</f>
        <v>0</v>
      </c>
      <c r="K50" s="25" t="s">
        <v>121</v>
      </c>
      <c r="L50" s="25" t="s">
        <v>122</v>
      </c>
    </row>
    <row r="51" customFormat="false" ht="15" hidden="false" customHeight="false" outlineLevel="0" collapsed="false">
      <c r="A51" s="23" t="n">
        <v>8</v>
      </c>
      <c r="B51" s="23" t="s">
        <v>78</v>
      </c>
      <c r="C51" s="23" t="s">
        <v>35</v>
      </c>
      <c r="D51" s="24" t="n">
        <v>11938.19</v>
      </c>
      <c r="E51" s="24" t="n">
        <v>0</v>
      </c>
      <c r="F51" s="24" t="n">
        <v>0</v>
      </c>
      <c r="G51" s="24" t="n">
        <v>3491.05</v>
      </c>
      <c r="H51" s="24" t="n">
        <v>434.12</v>
      </c>
      <c r="I51" s="24" t="n">
        <f aca="false">G51+H51</f>
        <v>3925.17</v>
      </c>
      <c r="J51" s="24" t="n">
        <f aca="false">D51-I51</f>
        <v>8013.02</v>
      </c>
      <c r="K51" s="25" t="s">
        <v>117</v>
      </c>
      <c r="L51" s="25" t="s">
        <v>118</v>
      </c>
    </row>
    <row r="52" customFormat="false" ht="15" hidden="false" customHeight="false" outlineLevel="0" collapsed="false">
      <c r="A52" s="26"/>
      <c r="B52" s="27" t="s">
        <v>53</v>
      </c>
      <c r="C52" s="26"/>
      <c r="D52" s="28" t="n">
        <f aca="false">SUM(D44:D51)</f>
        <v>115479.16</v>
      </c>
      <c r="E52" s="28" t="n">
        <f aca="false">SUM(E44:E51)</f>
        <v>0</v>
      </c>
      <c r="F52" s="28" t="n">
        <f aca="false">SUM(F44:F51)</f>
        <v>0</v>
      </c>
      <c r="G52" s="28" t="n">
        <f aca="false">SUM(G44:G51)</f>
        <v>52846.21</v>
      </c>
      <c r="H52" s="28" t="n">
        <f aca="false">SUM(H44:H51)</f>
        <v>3218.82</v>
      </c>
      <c r="I52" s="28" t="n">
        <f aca="false">SUM(I44:I51)</f>
        <v>56065.03</v>
      </c>
      <c r="J52" s="28" t="n">
        <f aca="false">SUM(J44:J51)</f>
        <v>59414.13</v>
      </c>
      <c r="K52" s="26"/>
      <c r="L52" s="26"/>
    </row>
    <row r="54" customFormat="false" ht="15" hidden="false" customHeight="false" outlineLevel="0" collapsed="false">
      <c r="B54" s="18" t="s">
        <v>132</v>
      </c>
    </row>
    <row r="55" customFormat="false" ht="15" hidden="false" customHeight="false" outlineLevel="0" collapsed="false">
      <c r="B55" s="5" t="s">
        <v>125</v>
      </c>
      <c r="D55" s="6" t="n">
        <f aca="false">I40</f>
        <v>50617.97</v>
      </c>
    </row>
    <row r="56" customFormat="false" ht="15" hidden="false" customHeight="false" outlineLevel="0" collapsed="false">
      <c r="B56" s="5" t="s">
        <v>126</v>
      </c>
      <c r="D56" s="6" t="n">
        <f aca="false">I52</f>
        <v>56065.03</v>
      </c>
    </row>
    <row r="57" customFormat="false" ht="15" hidden="false" customHeight="false" outlineLevel="0" collapsed="false">
      <c r="B57" s="11" t="s">
        <v>132</v>
      </c>
      <c r="D57" s="29" t="n">
        <f aca="false">D55-D56</f>
        <v>-5447.06</v>
      </c>
    </row>
    <row r="59" customFormat="false" ht="15" hidden="false" customHeight="false" outlineLevel="0" collapsed="false">
      <c r="A59" s="10" t="s">
        <v>133</v>
      </c>
    </row>
    <row r="60" customFormat="false" ht="15" hidden="false" customHeight="false" outlineLevel="0" collapsed="false">
      <c r="B60" s="11" t="s">
        <v>162</v>
      </c>
      <c r="D60" s="12" t="n">
        <f aca="false">D98</f>
        <v>115479.14</v>
      </c>
    </row>
    <row r="61" customFormat="false" ht="15" hidden="false" customHeight="false" outlineLevel="0" collapsed="false">
      <c r="B61" s="5" t="s">
        <v>163</v>
      </c>
      <c r="D61" s="6" t="n">
        <f aca="false">F98</f>
        <v>26961.9</v>
      </c>
    </row>
    <row r="62" customFormat="false" ht="15" hidden="false" customHeight="false" outlineLevel="0" collapsed="false">
      <c r="B62" s="30" t="s">
        <v>136</v>
      </c>
      <c r="D62" s="31" t="n">
        <f aca="false">F99</f>
        <v>0.233478531274133</v>
      </c>
    </row>
    <row r="63" customFormat="false" ht="15" hidden="false" customHeight="false" outlineLevel="0" collapsed="false">
      <c r="B63" s="5" t="s">
        <v>164</v>
      </c>
      <c r="D63" s="6" t="n">
        <f aca="false">H98</f>
        <v>88517.24</v>
      </c>
    </row>
    <row r="64" customFormat="false" ht="15" hidden="false" customHeight="false" outlineLevel="0" collapsed="false">
      <c r="B64" s="30" t="s">
        <v>136</v>
      </c>
      <c r="D64" s="31" t="n">
        <f aca="false">H99</f>
        <v>0.766521468725867</v>
      </c>
    </row>
    <row r="66" customFormat="false" ht="15" hidden="false" customHeight="false" outlineLevel="0" collapsed="false">
      <c r="A66" s="10" t="s">
        <v>138</v>
      </c>
    </row>
    <row r="67" customFormat="false" ht="15" hidden="false" customHeight="false" outlineLevel="0" collapsed="false">
      <c r="B67" s="4" t="s">
        <v>139</v>
      </c>
      <c r="D67" s="4" t="s">
        <v>108</v>
      </c>
      <c r="F67" s="4" t="s">
        <v>165</v>
      </c>
      <c r="H67" s="4" t="s">
        <v>141</v>
      </c>
    </row>
    <row r="68" customFormat="false" ht="15" hidden="false" customHeight="false" outlineLevel="0" collapsed="false">
      <c r="B68" s="32" t="s">
        <v>166</v>
      </c>
    </row>
    <row r="69" customFormat="false" ht="15" hidden="false" customHeight="false" outlineLevel="0" collapsed="false">
      <c r="B69" s="5" t="s">
        <v>167</v>
      </c>
      <c r="D69" s="33" t="n">
        <f aca="false">SUM(F69:H69)</f>
        <v>4785.17</v>
      </c>
      <c r="F69" s="33" t="n">
        <v>4785.17</v>
      </c>
    </row>
    <row r="70" customFormat="false" ht="15" hidden="false" customHeight="false" outlineLevel="0" collapsed="false">
      <c r="B70" s="5" t="s">
        <v>168</v>
      </c>
      <c r="D70" s="33" t="n">
        <f aca="false">SUM(F70:H70)</f>
        <v>1941.11</v>
      </c>
      <c r="F70" s="33" t="n">
        <v>1941.11</v>
      </c>
    </row>
    <row r="71" customFormat="false" ht="15" hidden="false" customHeight="false" outlineLevel="0" collapsed="false">
      <c r="B71" s="5" t="s">
        <v>169</v>
      </c>
      <c r="D71" s="33" t="n">
        <f aca="false">SUM(F71:H71)</f>
        <v>7939.87</v>
      </c>
      <c r="F71" s="33" t="n">
        <v>7939.87</v>
      </c>
    </row>
    <row r="72" customFormat="false" ht="15" hidden="false" customHeight="false" outlineLevel="0" collapsed="false">
      <c r="B72" s="5" t="s">
        <v>171</v>
      </c>
      <c r="D72" s="33" t="n">
        <f aca="false">SUM(F72:H72)</f>
        <v>428.82</v>
      </c>
      <c r="F72" s="33" t="n">
        <v>428.82</v>
      </c>
    </row>
    <row r="73" customFormat="false" ht="15" hidden="false" customHeight="false" outlineLevel="0" collapsed="false">
      <c r="B73" s="5" t="s">
        <v>196</v>
      </c>
      <c r="D73" s="33" t="n">
        <f aca="false">SUM(F73:H73)</f>
        <v>183.29</v>
      </c>
      <c r="F73" s="33" t="n">
        <v>183.29</v>
      </c>
    </row>
    <row r="74" customFormat="false" ht="15" hidden="false" customHeight="false" outlineLevel="0" collapsed="false">
      <c r="B74" s="5" t="s">
        <v>197</v>
      </c>
      <c r="D74" s="33" t="n">
        <f aca="false">SUM(F74:H74)</f>
        <v>96.76</v>
      </c>
      <c r="F74" s="33" t="n">
        <v>96.76</v>
      </c>
    </row>
    <row r="75" customFormat="false" ht="15" hidden="false" customHeight="false" outlineLevel="0" collapsed="false">
      <c r="B75" s="5" t="s">
        <v>172</v>
      </c>
      <c r="D75" s="33" t="n">
        <f aca="false">SUM(F75:H75)</f>
        <v>2980.97</v>
      </c>
      <c r="F75" s="33" t="n">
        <v>2980.97</v>
      </c>
    </row>
    <row r="76" customFormat="false" ht="15" hidden="false" customHeight="false" outlineLevel="0" collapsed="false">
      <c r="B76" s="5" t="s">
        <v>173</v>
      </c>
      <c r="D76" s="33" t="n">
        <f aca="false">SUM(F76:H76)</f>
        <v>693.58</v>
      </c>
      <c r="F76" s="33" t="n">
        <v>693.58</v>
      </c>
    </row>
    <row r="77" customFormat="false" ht="15" hidden="false" customHeight="false" outlineLevel="0" collapsed="false">
      <c r="B77" s="5" t="s">
        <v>198</v>
      </c>
      <c r="D77" s="33" t="n">
        <f aca="false">SUM(F77:H77)</f>
        <v>3427.41</v>
      </c>
      <c r="F77" s="33" t="n">
        <v>3427.41</v>
      </c>
    </row>
    <row r="78" customFormat="false" ht="15" hidden="false" customHeight="false" outlineLevel="0" collapsed="false">
      <c r="B78" s="5" t="s">
        <v>175</v>
      </c>
      <c r="D78" s="33" t="n">
        <f aca="false">SUM(F78:H78)</f>
        <v>758.85</v>
      </c>
      <c r="F78" s="33" t="n">
        <v>758.85</v>
      </c>
    </row>
    <row r="79" customFormat="false" ht="15" hidden="false" customHeight="false" outlineLevel="0" collapsed="false">
      <c r="B79" s="5" t="s">
        <v>199</v>
      </c>
      <c r="D79" s="33" t="n">
        <f aca="false">SUM(F79:H79)</f>
        <v>43.2</v>
      </c>
      <c r="F79" s="33" t="n">
        <v>43.2</v>
      </c>
    </row>
    <row r="80" customFormat="false" ht="15" hidden="false" customHeight="false" outlineLevel="0" collapsed="false">
      <c r="B80" s="5" t="s">
        <v>200</v>
      </c>
      <c r="D80" s="33" t="n">
        <f aca="false">SUM(F80:H80)</f>
        <v>3682.87</v>
      </c>
      <c r="F80" s="33" t="n">
        <v>3682.87</v>
      </c>
    </row>
    <row r="81" customFormat="false" ht="15" hidden="false" customHeight="false" outlineLevel="0" collapsed="false">
      <c r="B81" s="32" t="s">
        <v>177</v>
      </c>
    </row>
    <row r="82" customFormat="false" ht="15" hidden="false" customHeight="false" outlineLevel="0" collapsed="false">
      <c r="B82" s="5" t="s">
        <v>178</v>
      </c>
      <c r="D82" s="33" t="n">
        <f aca="false">SUM(F82:H82)</f>
        <v>6281.12</v>
      </c>
      <c r="H82" s="33" t="n">
        <v>6281.12</v>
      </c>
    </row>
    <row r="83" customFormat="false" ht="15" hidden="false" customHeight="false" outlineLevel="0" collapsed="false">
      <c r="B83" s="5" t="s">
        <v>179</v>
      </c>
      <c r="D83" s="33" t="n">
        <f aca="false">SUM(F83:H83)</f>
        <v>12157.7</v>
      </c>
      <c r="H83" s="33" t="n">
        <v>12157.7</v>
      </c>
    </row>
    <row r="84" customFormat="false" ht="15" hidden="false" customHeight="false" outlineLevel="0" collapsed="false">
      <c r="B84" s="5" t="s">
        <v>180</v>
      </c>
      <c r="D84" s="33" t="n">
        <f aca="false">SUM(F84:H84)</f>
        <v>7610.53</v>
      </c>
      <c r="H84" s="33" t="n">
        <v>7610.53</v>
      </c>
    </row>
    <row r="85" customFormat="false" ht="15" hidden="false" customHeight="false" outlineLevel="0" collapsed="false">
      <c r="B85" s="5" t="s">
        <v>181</v>
      </c>
      <c r="D85" s="33" t="n">
        <f aca="false">SUM(F85:H85)</f>
        <v>8437.69</v>
      </c>
      <c r="H85" s="33" t="n">
        <v>8437.69</v>
      </c>
    </row>
    <row r="86" customFormat="false" ht="15" hidden="false" customHeight="false" outlineLevel="0" collapsed="false">
      <c r="B86" s="5" t="s">
        <v>182</v>
      </c>
      <c r="D86" s="33" t="n">
        <f aca="false">SUM(F86:H86)</f>
        <v>6775.13</v>
      </c>
      <c r="H86" s="33" t="n">
        <v>6775.13</v>
      </c>
    </row>
    <row r="87" customFormat="false" ht="15" hidden="false" customHeight="false" outlineLevel="0" collapsed="false">
      <c r="B87" s="5" t="s">
        <v>183</v>
      </c>
      <c r="D87" s="33" t="n">
        <f aca="false">SUM(F87:H87)</f>
        <v>378.96</v>
      </c>
      <c r="H87" s="33" t="n">
        <v>378.96</v>
      </c>
    </row>
    <row r="88" customFormat="false" ht="15" hidden="false" customHeight="false" outlineLevel="0" collapsed="false">
      <c r="B88" s="5" t="s">
        <v>184</v>
      </c>
      <c r="D88" s="33" t="n">
        <f aca="false">SUM(F88:H88)</f>
        <v>10712.7</v>
      </c>
      <c r="H88" s="33" t="n">
        <v>10712.7</v>
      </c>
    </row>
    <row r="89" customFormat="false" ht="15" hidden="false" customHeight="false" outlineLevel="0" collapsed="false">
      <c r="B89" s="5" t="s">
        <v>185</v>
      </c>
      <c r="D89" s="33" t="n">
        <f aca="false">SUM(F89:H89)</f>
        <v>5035.68</v>
      </c>
      <c r="H89" s="33" t="n">
        <v>5035.68</v>
      </c>
    </row>
    <row r="90" customFormat="false" ht="15" hidden="false" customHeight="false" outlineLevel="0" collapsed="false">
      <c r="B90" s="5" t="s">
        <v>186</v>
      </c>
      <c r="D90" s="33" t="n">
        <f aca="false">SUM(F90:H90)</f>
        <v>2117.51</v>
      </c>
      <c r="H90" s="33" t="n">
        <v>2117.51</v>
      </c>
    </row>
    <row r="91" customFormat="false" ht="15" hidden="false" customHeight="false" outlineLevel="0" collapsed="false">
      <c r="B91" s="5" t="s">
        <v>187</v>
      </c>
      <c r="D91" s="33" t="n">
        <f aca="false">SUM(F91:H91)</f>
        <v>3536.09</v>
      </c>
      <c r="H91" s="33" t="n">
        <v>3536.09</v>
      </c>
    </row>
    <row r="92" customFormat="false" ht="15" hidden="false" customHeight="false" outlineLevel="0" collapsed="false">
      <c r="B92" s="5" t="s">
        <v>188</v>
      </c>
      <c r="D92" s="33" t="n">
        <f aca="false">SUM(F92:H92)</f>
        <v>8613.79</v>
      </c>
      <c r="H92" s="33" t="n">
        <v>8613.79</v>
      </c>
    </row>
    <row r="93" customFormat="false" ht="15" hidden="false" customHeight="false" outlineLevel="0" collapsed="false">
      <c r="B93" s="5" t="s">
        <v>189</v>
      </c>
      <c r="D93" s="33" t="n">
        <f aca="false">SUM(F93:H93)</f>
        <v>3604.7</v>
      </c>
      <c r="H93" s="33" t="n">
        <v>3604.7</v>
      </c>
    </row>
    <row r="94" customFormat="false" ht="15" hidden="false" customHeight="false" outlineLevel="0" collapsed="false">
      <c r="B94" s="5" t="s">
        <v>190</v>
      </c>
      <c r="D94" s="33" t="n">
        <f aca="false">SUM(F94:H94)</f>
        <v>868.78</v>
      </c>
      <c r="H94" s="33" t="n">
        <v>868.78</v>
      </c>
    </row>
    <row r="95" customFormat="false" ht="15" hidden="false" customHeight="false" outlineLevel="0" collapsed="false">
      <c r="B95" s="5" t="s">
        <v>192</v>
      </c>
      <c r="D95" s="33" t="n">
        <f aca="false">SUM(F95:H95)</f>
        <v>10912.49</v>
      </c>
      <c r="H95" s="33" t="n">
        <v>10912.49</v>
      </c>
    </row>
    <row r="96" customFormat="false" ht="15" hidden="false" customHeight="false" outlineLevel="0" collapsed="false">
      <c r="B96" s="5" t="s">
        <v>193</v>
      </c>
      <c r="D96" s="33" t="n">
        <f aca="false">SUM(F96:H96)</f>
        <v>662.8</v>
      </c>
      <c r="H96" s="33" t="n">
        <v>662.8</v>
      </c>
    </row>
    <row r="97" customFormat="false" ht="15" hidden="false" customHeight="false" outlineLevel="0" collapsed="false">
      <c r="B97" s="5" t="s">
        <v>202</v>
      </c>
      <c r="D97" s="33" t="n">
        <f aca="false">SUM(F97:H97)</f>
        <v>811.57</v>
      </c>
      <c r="H97" s="33" t="n">
        <v>811.57</v>
      </c>
    </row>
    <row r="98" customFormat="false" ht="15" hidden="false" customHeight="false" outlineLevel="0" collapsed="false">
      <c r="B98" s="11" t="s">
        <v>162</v>
      </c>
      <c r="D98" s="34" t="n">
        <f aca="false">SUM(D68:D97)</f>
        <v>115479.14</v>
      </c>
      <c r="F98" s="34" t="n">
        <f aca="false">SUM(F68:F97)</f>
        <v>26961.9</v>
      </c>
      <c r="H98" s="34" t="n">
        <f aca="false">SUM(H68:H97)</f>
        <v>88517.24</v>
      </c>
    </row>
    <row r="99" customFormat="false" ht="15" hidden="false" customHeight="false" outlineLevel="0" collapsed="false">
      <c r="B99" s="30" t="s">
        <v>136</v>
      </c>
      <c r="F99" s="31" t="n">
        <f aca="false">F98/D98</f>
        <v>0.233478531274133</v>
      </c>
      <c r="H99" s="31" t="n">
        <f aca="false">H98/D98</f>
        <v>0.766521468725867</v>
      </c>
    </row>
    <row r="101" customFormat="false" ht="15" hidden="false" customHeight="false" outlineLevel="0" collapsed="false">
      <c r="A101" s="10" t="s">
        <v>157</v>
      </c>
    </row>
    <row r="102" customFormat="false" ht="15" hidden="false" customHeight="false" outlineLevel="0" collapsed="false">
      <c r="B102" s="4" t="s">
        <v>158</v>
      </c>
      <c r="D102" s="4" t="s">
        <v>108</v>
      </c>
      <c r="F102" s="4" t="s">
        <v>165</v>
      </c>
      <c r="H102" s="4" t="s">
        <v>141</v>
      </c>
    </row>
    <row r="103" customFormat="false" ht="15" hidden="false" customHeight="false" outlineLevel="0" collapsed="false">
      <c r="B103" s="5" t="str">
        <f aca="false">'Building 18'!B18</f>
        <v>1 - Buillding - Apt - 5yr</v>
      </c>
      <c r="D103" s="33" t="n">
        <f aca="false">SUM(F103:H103)</f>
        <v>21279.35</v>
      </c>
      <c r="F103" s="33" t="n">
        <f aca="false">'Building 18'!D18</f>
        <v>21279.35</v>
      </c>
    </row>
    <row r="104" customFormat="false" ht="15" hidden="false" customHeight="false" outlineLevel="0" collapsed="false">
      <c r="B104" s="5" t="str">
        <f aca="false">'Building 18'!B19</f>
        <v>1 - Buillding - Apt - 27.5yr</v>
      </c>
      <c r="D104" s="33" t="n">
        <f aca="false">SUM(F104:H104)</f>
        <v>69861.15</v>
      </c>
      <c r="H104" s="33" t="n">
        <f aca="false">'Building 18'!D19</f>
        <v>69861.15</v>
      </c>
    </row>
    <row r="105" customFormat="false" ht="15" hidden="false" customHeight="false" outlineLevel="0" collapsed="false">
      <c r="B105" s="5" t="str">
        <f aca="false">'Building 18'!B20</f>
        <v>5 - Building - Apt - 5yr</v>
      </c>
      <c r="D105" s="33" t="n">
        <f aca="false">SUM(F105:H105)</f>
        <v>38.76</v>
      </c>
      <c r="F105" s="33" t="n">
        <f aca="false">'Building 18'!D20</f>
        <v>38.76</v>
      </c>
    </row>
    <row r="106" customFormat="false" ht="15" hidden="false" customHeight="false" outlineLevel="0" collapsed="false">
      <c r="B106" s="5" t="str">
        <f aca="false">'Building 18'!B21</f>
        <v>5 - Building - Apt - 27.5yr</v>
      </c>
      <c r="D106" s="33" t="n">
        <f aca="false">SUM(F106:H106)</f>
        <v>127.23</v>
      </c>
      <c r="H106" s="33" t="n">
        <f aca="false">'Building 18'!D21</f>
        <v>127.23</v>
      </c>
    </row>
    <row r="107" customFormat="false" ht="15" hidden="false" customHeight="false" outlineLevel="0" collapsed="false">
      <c r="B107" s="5" t="str">
        <f aca="false">'Building 18'!B22</f>
        <v>3 - Land Improvements - Apt 5yr</v>
      </c>
      <c r="D107" s="33" t="n">
        <f aca="false">SUM(F107:H107)</f>
        <v>2007.48</v>
      </c>
      <c r="F107" s="33" t="n">
        <f aca="false">'Building 18'!D22</f>
        <v>2007.48</v>
      </c>
    </row>
    <row r="108" customFormat="false" ht="15" hidden="false" customHeight="false" outlineLevel="0" collapsed="false">
      <c r="B108" s="5" t="str">
        <f aca="false">'Building 18'!B23</f>
        <v>3 - Land Improvements - Apt 27.5yr</v>
      </c>
      <c r="D108" s="33" t="n">
        <f aca="false">SUM(F108:H108)</f>
        <v>6590.67</v>
      </c>
      <c r="H108" s="33" t="n">
        <f aca="false">'Building 18'!D23</f>
        <v>6590.67</v>
      </c>
    </row>
    <row r="109" customFormat="false" ht="15" hidden="false" customHeight="false" outlineLevel="0" collapsed="false">
      <c r="B109" s="5" t="str">
        <f aca="false">'Building 18'!B24</f>
        <v>4 - Equipment - Apt - 5yr</v>
      </c>
      <c r="D109" s="33" t="n">
        <f aca="false">SUM(F109:H109)</f>
        <v>3636.33</v>
      </c>
      <c r="F109" s="33" t="n">
        <f aca="false">'Building 18'!D24</f>
        <v>3636.33</v>
      </c>
    </row>
    <row r="110" customFormat="false" ht="15" hidden="false" customHeight="false" outlineLevel="0" collapsed="false">
      <c r="B110" s="5" t="str">
        <f aca="false">'Building 18'!B25</f>
        <v>4 - Equipment - Apt - 27.5yr</v>
      </c>
      <c r="D110" s="33" t="n">
        <f aca="false">SUM(F110:H110)</f>
        <v>11938.19</v>
      </c>
      <c r="H110" s="33" t="n">
        <f aca="false">'Building 18'!D25</f>
        <v>11938.19</v>
      </c>
    </row>
    <row r="111" customFormat="false" ht="15" hidden="false" customHeight="false" outlineLevel="0" collapsed="false">
      <c r="B111" s="11" t="s">
        <v>159</v>
      </c>
      <c r="D111" s="34" t="n">
        <f aca="false">SUM(D103:D110)</f>
        <v>115479.16</v>
      </c>
      <c r="F111" s="34" t="n">
        <f aca="false">SUM(F103:F110)</f>
        <v>26961.92</v>
      </c>
      <c r="H111" s="34" t="n">
        <f aca="false">SUM(H103:H110)</f>
        <v>88517.24</v>
      </c>
    </row>
    <row r="112" customFormat="false" ht="15" hidden="false" customHeight="false" outlineLevel="0" collapsed="false">
      <c r="B112" s="16" t="s">
        <v>160</v>
      </c>
      <c r="D112" s="17" t="n">
        <f aca="false">D111-D98</f>
        <v>0.0199999999749707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220</v>
      </c>
    </row>
    <row r="5" customFormat="false" ht="15" hidden="false" customHeight="false" outlineLevel="0" collapsed="false">
      <c r="A5" s="16" t="s">
        <v>102</v>
      </c>
    </row>
    <row r="7" customFormat="false" ht="15" hidden="false" customHeight="false" outlineLevel="0" collapsed="false">
      <c r="A7" s="10" t="s">
        <v>103</v>
      </c>
    </row>
    <row r="8" customFormat="false" ht="15" hidden="false" customHeight="false" outlineLevel="0" collapsed="false">
      <c r="A8" s="21" t="s">
        <v>104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105</v>
      </c>
      <c r="B9" s="4" t="s">
        <v>106</v>
      </c>
      <c r="C9" s="4" t="s">
        <v>107</v>
      </c>
      <c r="D9" s="4" t="s">
        <v>108</v>
      </c>
      <c r="E9" s="4" t="s">
        <v>109</v>
      </c>
      <c r="F9" s="4" t="s">
        <v>110</v>
      </c>
      <c r="G9" s="4" t="s">
        <v>111</v>
      </c>
      <c r="H9" s="4" t="s">
        <v>112</v>
      </c>
      <c r="I9" s="4" t="s">
        <v>113</v>
      </c>
      <c r="J9" s="4" t="s">
        <v>114</v>
      </c>
      <c r="K9" s="4" t="s">
        <v>115</v>
      </c>
      <c r="L9" s="4" t="s">
        <v>116</v>
      </c>
    </row>
    <row r="10" customFormat="false" ht="15" hidden="false" customHeight="false" outlineLevel="0" collapsed="false">
      <c r="A10" s="23" t="n">
        <v>1</v>
      </c>
      <c r="B10" s="23" t="s">
        <v>45</v>
      </c>
      <c r="C10" s="23" t="s">
        <v>35</v>
      </c>
      <c r="D10" s="24" t="n">
        <v>116723.12</v>
      </c>
      <c r="E10" s="24" t="n">
        <v>0</v>
      </c>
      <c r="F10" s="24" t="n">
        <v>0</v>
      </c>
      <c r="G10" s="24" t="n">
        <v>34132.24</v>
      </c>
      <c r="H10" s="24" t="n">
        <v>4244.48</v>
      </c>
      <c r="I10" s="24" t="n">
        <f aca="false">G10+H10</f>
        <v>38376.72</v>
      </c>
      <c r="J10" s="24" t="n">
        <f aca="false">D10-I10</f>
        <v>78346.4</v>
      </c>
      <c r="K10" s="25" t="s">
        <v>117</v>
      </c>
      <c r="L10" s="25" t="s">
        <v>118</v>
      </c>
    </row>
    <row r="11" customFormat="false" ht="15" hidden="false" customHeight="false" outlineLevel="0" collapsed="false">
      <c r="A11" s="23" t="n">
        <v>2</v>
      </c>
      <c r="B11" s="23" t="s">
        <v>46</v>
      </c>
      <c r="C11" s="23" t="s">
        <v>37</v>
      </c>
      <c r="D11" s="24" t="n">
        <v>212.58</v>
      </c>
      <c r="E11" s="24" t="n">
        <v>0</v>
      </c>
      <c r="F11" s="24" t="n">
        <v>0</v>
      </c>
      <c r="G11" s="24" t="n">
        <v>61.56</v>
      </c>
      <c r="H11" s="24" t="n">
        <v>7.73</v>
      </c>
      <c r="I11" s="24" t="n">
        <f aca="false">G11+H11</f>
        <v>69.29</v>
      </c>
      <c r="J11" s="24" t="n">
        <f aca="false">D11-I11</f>
        <v>143.29</v>
      </c>
      <c r="K11" s="25" t="s">
        <v>117</v>
      </c>
      <c r="L11" s="25" t="s">
        <v>118</v>
      </c>
    </row>
    <row r="12" customFormat="false" ht="15" hidden="false" customHeight="false" outlineLevel="0" collapsed="false">
      <c r="A12" s="23" t="n">
        <v>3</v>
      </c>
      <c r="B12" s="23" t="s">
        <v>47</v>
      </c>
      <c r="C12" s="23" t="s">
        <v>35</v>
      </c>
      <c r="D12" s="24" t="n">
        <v>11011.6</v>
      </c>
      <c r="E12" s="24" t="n">
        <v>0</v>
      </c>
      <c r="F12" s="24" t="n">
        <v>0</v>
      </c>
      <c r="G12" s="24" t="n">
        <v>6449.13</v>
      </c>
      <c r="H12" s="24" t="n">
        <v>649.69</v>
      </c>
      <c r="I12" s="24" t="n">
        <f aca="false">G12+H12</f>
        <v>7098.82</v>
      </c>
      <c r="J12" s="24" t="n">
        <f aca="false">D12-I12</f>
        <v>3912.78</v>
      </c>
      <c r="K12" s="25" t="s">
        <v>119</v>
      </c>
      <c r="L12" s="25" t="s">
        <v>120</v>
      </c>
    </row>
    <row r="13" customFormat="false" ht="15" hidden="false" customHeight="false" outlineLevel="0" collapsed="false">
      <c r="A13" s="23" t="n">
        <v>4</v>
      </c>
      <c r="B13" s="23" t="s">
        <v>48</v>
      </c>
      <c r="C13" s="23" t="s">
        <v>35</v>
      </c>
      <c r="D13" s="24" t="n">
        <v>19946.17</v>
      </c>
      <c r="E13" s="24" t="n">
        <v>0</v>
      </c>
      <c r="F13" s="24" t="n">
        <v>0</v>
      </c>
      <c r="G13" s="24" t="n">
        <v>19281.3</v>
      </c>
      <c r="H13" s="24" t="n">
        <v>0</v>
      </c>
      <c r="I13" s="24" t="n">
        <f aca="false">G13+H13</f>
        <v>19281.3</v>
      </c>
      <c r="J13" s="24" t="n">
        <f aca="false">D13-I13</f>
        <v>664.869999999999</v>
      </c>
      <c r="K13" s="25" t="s">
        <v>121</v>
      </c>
      <c r="L13" s="25" t="s">
        <v>122</v>
      </c>
    </row>
    <row r="14" customFormat="false" ht="15" hidden="false" customHeight="false" outlineLevel="0" collapsed="false">
      <c r="A14" s="26"/>
      <c r="B14" s="27" t="s">
        <v>53</v>
      </c>
      <c r="C14" s="26"/>
      <c r="D14" s="28" t="n">
        <f aca="false">SUM(D10:D13)</f>
        <v>147893.47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59924.23</v>
      </c>
      <c r="H14" s="28" t="n">
        <f aca="false">SUM(H10:H13)</f>
        <v>4901.9</v>
      </c>
      <c r="I14" s="28" t="n">
        <f aca="false">SUM(I10:I13)</f>
        <v>64826.13</v>
      </c>
      <c r="J14" s="28" t="n">
        <f aca="false">SUM(J10:J13)</f>
        <v>83067.34</v>
      </c>
      <c r="K14" s="26"/>
      <c r="L14" s="26"/>
    </row>
    <row r="16" customFormat="false" ht="15" hidden="false" customHeight="false" outlineLevel="0" collapsed="false">
      <c r="A16" s="21" t="s">
        <v>123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4" t="s">
        <v>105</v>
      </c>
      <c r="B17" s="4" t="s">
        <v>106</v>
      </c>
      <c r="C17" s="4" t="s">
        <v>107</v>
      </c>
      <c r="D17" s="4" t="s">
        <v>108</v>
      </c>
      <c r="E17" s="4" t="s">
        <v>109</v>
      </c>
      <c r="F17" s="4" t="s">
        <v>110</v>
      </c>
      <c r="G17" s="4" t="s">
        <v>111</v>
      </c>
      <c r="H17" s="4" t="s">
        <v>112</v>
      </c>
      <c r="I17" s="4" t="s">
        <v>113</v>
      </c>
      <c r="J17" s="4" t="s">
        <v>114</v>
      </c>
      <c r="K17" s="4" t="s">
        <v>115</v>
      </c>
      <c r="L17" s="4" t="s">
        <v>116</v>
      </c>
    </row>
    <row r="18" customFormat="false" ht="15" hidden="false" customHeight="false" outlineLevel="0" collapsed="false">
      <c r="A18" s="23" t="n">
        <v>1</v>
      </c>
      <c r="B18" s="23" t="s">
        <v>71</v>
      </c>
      <c r="C18" s="23" t="s">
        <v>35</v>
      </c>
      <c r="D18" s="24" t="n">
        <v>24387.48</v>
      </c>
      <c r="E18" s="24" t="n">
        <v>0</v>
      </c>
      <c r="F18" s="24" t="n">
        <v>0</v>
      </c>
      <c r="G18" s="24" t="n">
        <v>24387.48</v>
      </c>
      <c r="H18" s="24" t="n">
        <v>0</v>
      </c>
      <c r="I18" s="24" t="n">
        <f aca="false">G18+H18</f>
        <v>24387.48</v>
      </c>
      <c r="J18" s="24" t="n">
        <f aca="false">D18-I18</f>
        <v>0</v>
      </c>
      <c r="K18" s="25" t="s">
        <v>121</v>
      </c>
      <c r="L18" s="25" t="s">
        <v>122</v>
      </c>
    </row>
    <row r="19" customFormat="false" ht="15" hidden="false" customHeight="false" outlineLevel="0" collapsed="false">
      <c r="A19" s="23" t="n">
        <v>2</v>
      </c>
      <c r="B19" s="23" t="s">
        <v>72</v>
      </c>
      <c r="C19" s="23" t="s">
        <v>35</v>
      </c>
      <c r="D19" s="24" t="n">
        <v>92335.64</v>
      </c>
      <c r="E19" s="24" t="n">
        <v>0</v>
      </c>
      <c r="F19" s="24" t="n">
        <v>0</v>
      </c>
      <c r="G19" s="24" t="n">
        <v>27001.18</v>
      </c>
      <c r="H19" s="24" t="n">
        <v>3357.66</v>
      </c>
      <c r="I19" s="24" t="n">
        <f aca="false">G19+H19</f>
        <v>30358.84</v>
      </c>
      <c r="J19" s="24" t="n">
        <f aca="false">D19-I19</f>
        <v>61976.8</v>
      </c>
      <c r="K19" s="25" t="s">
        <v>117</v>
      </c>
      <c r="L19" s="25" t="s">
        <v>118</v>
      </c>
    </row>
    <row r="20" customFormat="false" ht="15" hidden="false" customHeight="false" outlineLevel="0" collapsed="false">
      <c r="A20" s="23" t="n">
        <v>3</v>
      </c>
      <c r="B20" s="23" t="s">
        <v>73</v>
      </c>
      <c r="C20" s="23" t="s">
        <v>37</v>
      </c>
      <c r="D20" s="24" t="n">
        <v>44.42</v>
      </c>
      <c r="E20" s="24" t="n">
        <v>0</v>
      </c>
      <c r="F20" s="24" t="n">
        <v>0</v>
      </c>
      <c r="G20" s="24" t="n">
        <v>44.42</v>
      </c>
      <c r="H20" s="24" t="n">
        <v>0</v>
      </c>
      <c r="I20" s="24" t="n">
        <f aca="false">G20+H20</f>
        <v>44.42</v>
      </c>
      <c r="J20" s="24" t="n">
        <f aca="false">D20-I20</f>
        <v>0</v>
      </c>
      <c r="K20" s="25" t="s">
        <v>121</v>
      </c>
      <c r="L20" s="25" t="s">
        <v>122</v>
      </c>
    </row>
    <row r="21" customFormat="false" ht="15" hidden="false" customHeight="false" outlineLevel="0" collapsed="false">
      <c r="A21" s="23" t="n">
        <v>4</v>
      </c>
      <c r="B21" s="23" t="s">
        <v>74</v>
      </c>
      <c r="C21" s="23" t="s">
        <v>37</v>
      </c>
      <c r="D21" s="24" t="n">
        <v>168.16</v>
      </c>
      <c r="E21" s="24" t="n">
        <v>0</v>
      </c>
      <c r="F21" s="24" t="n">
        <v>0</v>
      </c>
      <c r="G21" s="24" t="n">
        <v>48.63</v>
      </c>
      <c r="H21" s="24" t="n">
        <v>6.11</v>
      </c>
      <c r="I21" s="24" t="n">
        <f aca="false">G21+H21</f>
        <v>54.74</v>
      </c>
      <c r="J21" s="24" t="n">
        <f aca="false">D21-I21</f>
        <v>113.42</v>
      </c>
      <c r="K21" s="25" t="s">
        <v>117</v>
      </c>
      <c r="L21" s="25" t="s">
        <v>118</v>
      </c>
    </row>
    <row r="22" customFormat="false" ht="15" hidden="false" customHeight="false" outlineLevel="0" collapsed="false">
      <c r="A22" s="23" t="n">
        <v>5</v>
      </c>
      <c r="B22" s="23" t="s">
        <v>75</v>
      </c>
      <c r="C22" s="23" t="s">
        <v>35</v>
      </c>
      <c r="D22" s="24" t="n">
        <v>2300.7</v>
      </c>
      <c r="E22" s="24" t="n">
        <v>0</v>
      </c>
      <c r="F22" s="24" t="n">
        <v>0</v>
      </c>
      <c r="G22" s="24" t="n">
        <v>2300.7</v>
      </c>
      <c r="H22" s="24" t="n">
        <v>0</v>
      </c>
      <c r="I22" s="24" t="n">
        <f aca="false">G22+H22</f>
        <v>2300.7</v>
      </c>
      <c r="J22" s="24" t="n">
        <f aca="false">D22-I22</f>
        <v>0</v>
      </c>
      <c r="K22" s="25" t="s">
        <v>121</v>
      </c>
      <c r="L22" s="25" t="s">
        <v>122</v>
      </c>
    </row>
    <row r="23" customFormat="false" ht="15" hidden="false" customHeight="false" outlineLevel="0" collapsed="false">
      <c r="A23" s="23" t="n">
        <v>6</v>
      </c>
      <c r="B23" s="23" t="s">
        <v>76</v>
      </c>
      <c r="C23" s="23" t="s">
        <v>35</v>
      </c>
      <c r="D23" s="24" t="n">
        <v>8710.9</v>
      </c>
      <c r="E23" s="24" t="n">
        <v>0</v>
      </c>
      <c r="F23" s="24" t="n">
        <v>0</v>
      </c>
      <c r="G23" s="24" t="n">
        <v>2547.28</v>
      </c>
      <c r="H23" s="24" t="n">
        <v>316.76</v>
      </c>
      <c r="I23" s="24" t="n">
        <f aca="false">G23+H23</f>
        <v>2864.04</v>
      </c>
      <c r="J23" s="24" t="n">
        <f aca="false">D23-I23</f>
        <v>5846.86</v>
      </c>
      <c r="K23" s="25" t="s">
        <v>117</v>
      </c>
      <c r="L23" s="25" t="s">
        <v>118</v>
      </c>
    </row>
    <row r="24" customFormat="false" ht="15" hidden="false" customHeight="false" outlineLevel="0" collapsed="false">
      <c r="A24" s="23" t="n">
        <v>7</v>
      </c>
      <c r="B24" s="23" t="s">
        <v>77</v>
      </c>
      <c r="C24" s="23" t="s">
        <v>35</v>
      </c>
      <c r="D24" s="24" t="n">
        <v>4167.44</v>
      </c>
      <c r="E24" s="24" t="n">
        <v>0</v>
      </c>
      <c r="F24" s="24" t="n">
        <v>0</v>
      </c>
      <c r="G24" s="24" t="n">
        <v>4167.44</v>
      </c>
      <c r="H24" s="24" t="n">
        <v>0</v>
      </c>
      <c r="I24" s="24" t="n">
        <f aca="false">G24+H24</f>
        <v>4167.44</v>
      </c>
      <c r="J24" s="24" t="n">
        <f aca="false">D24-I24</f>
        <v>0</v>
      </c>
      <c r="K24" s="25" t="s">
        <v>121</v>
      </c>
      <c r="L24" s="25" t="s">
        <v>122</v>
      </c>
    </row>
    <row r="25" customFormat="false" ht="15" hidden="false" customHeight="false" outlineLevel="0" collapsed="false">
      <c r="A25" s="23" t="n">
        <v>8</v>
      </c>
      <c r="B25" s="23" t="s">
        <v>78</v>
      </c>
      <c r="C25" s="23" t="s">
        <v>35</v>
      </c>
      <c r="D25" s="24" t="n">
        <v>15778.73</v>
      </c>
      <c r="E25" s="24" t="n">
        <v>0</v>
      </c>
      <c r="F25" s="24" t="n">
        <v>0</v>
      </c>
      <c r="G25" s="24" t="n">
        <v>4614.07</v>
      </c>
      <c r="H25" s="24" t="n">
        <v>573.77</v>
      </c>
      <c r="I25" s="24" t="n">
        <f aca="false">G25+H25</f>
        <v>5187.84</v>
      </c>
      <c r="J25" s="24" t="n">
        <f aca="false">D25-I25</f>
        <v>10590.89</v>
      </c>
      <c r="K25" s="25" t="s">
        <v>117</v>
      </c>
      <c r="L25" s="25" t="s">
        <v>118</v>
      </c>
    </row>
    <row r="26" customFormat="false" ht="15" hidden="false" customHeight="false" outlineLevel="0" collapsed="false">
      <c r="A26" s="26"/>
      <c r="B26" s="27" t="s">
        <v>53</v>
      </c>
      <c r="C26" s="26"/>
      <c r="D26" s="28" t="n">
        <f aca="false">SUM(D18:D25)</f>
        <v>147893.47</v>
      </c>
      <c r="E26" s="28" t="n">
        <f aca="false">SUM(E18:E25)</f>
        <v>0</v>
      </c>
      <c r="F26" s="28" t="n">
        <f aca="false">SUM(F18:F25)</f>
        <v>0</v>
      </c>
      <c r="G26" s="28" t="n">
        <f aca="false">SUM(G18:G25)</f>
        <v>65111.2</v>
      </c>
      <c r="H26" s="28" t="n">
        <f aca="false">SUM(H18:H25)</f>
        <v>4254.3</v>
      </c>
      <c r="I26" s="28" t="n">
        <f aca="false">SUM(I18:I25)</f>
        <v>69365.5</v>
      </c>
      <c r="J26" s="28" t="n">
        <f aca="false">SUM(J18:J25)</f>
        <v>78527.97</v>
      </c>
      <c r="K26" s="26"/>
      <c r="L26" s="26"/>
    </row>
    <row r="28" customFormat="false" ht="15" hidden="false" customHeight="false" outlineLevel="0" collapsed="false">
      <c r="B28" s="18" t="s">
        <v>124</v>
      </c>
    </row>
    <row r="29" customFormat="false" ht="15" hidden="false" customHeight="false" outlineLevel="0" collapsed="false">
      <c r="B29" s="5" t="s">
        <v>125</v>
      </c>
      <c r="D29" s="6" t="n">
        <f aca="false">I14</f>
        <v>64826.13</v>
      </c>
    </row>
    <row r="30" customFormat="false" ht="15" hidden="false" customHeight="false" outlineLevel="0" collapsed="false">
      <c r="B30" s="5" t="s">
        <v>126</v>
      </c>
      <c r="D30" s="6" t="n">
        <f aca="false">I26</f>
        <v>69365.5</v>
      </c>
    </row>
    <row r="31" customFormat="false" ht="15" hidden="false" customHeight="false" outlineLevel="0" collapsed="false">
      <c r="B31" s="11" t="s">
        <v>124</v>
      </c>
      <c r="D31" s="29" t="n">
        <f aca="false">D29-D30</f>
        <v>-4539.37</v>
      </c>
    </row>
    <row r="33" customFormat="false" ht="15" hidden="false" customHeight="false" outlineLevel="0" collapsed="false">
      <c r="A33" s="10" t="s">
        <v>127</v>
      </c>
    </row>
    <row r="34" customFormat="false" ht="15" hidden="false" customHeight="false" outlineLevel="0" collapsed="false">
      <c r="A34" s="21" t="s">
        <v>128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4" t="s">
        <v>105</v>
      </c>
      <c r="B35" s="4" t="s">
        <v>106</v>
      </c>
      <c r="C35" s="4" t="s">
        <v>107</v>
      </c>
      <c r="D35" s="4" t="s">
        <v>108</v>
      </c>
      <c r="E35" s="4" t="s">
        <v>109</v>
      </c>
      <c r="F35" s="4" t="s">
        <v>110</v>
      </c>
      <c r="G35" s="4" t="s">
        <v>129</v>
      </c>
      <c r="H35" s="4" t="s">
        <v>130</v>
      </c>
      <c r="I35" s="4" t="s">
        <v>113</v>
      </c>
      <c r="J35" s="4" t="s">
        <v>114</v>
      </c>
      <c r="K35" s="4" t="s">
        <v>115</v>
      </c>
      <c r="L35" s="4" t="s">
        <v>116</v>
      </c>
    </row>
    <row r="36" customFormat="false" ht="15" hidden="false" customHeight="false" outlineLevel="0" collapsed="false">
      <c r="A36" s="23" t="n">
        <v>1</v>
      </c>
      <c r="B36" s="23" t="s">
        <v>45</v>
      </c>
      <c r="C36" s="23" t="s">
        <v>35</v>
      </c>
      <c r="D36" s="24" t="n">
        <v>116723.12</v>
      </c>
      <c r="E36" s="24" t="n">
        <v>0</v>
      </c>
      <c r="F36" s="24" t="n">
        <v>0</v>
      </c>
      <c r="G36" s="24" t="n">
        <v>34132.24</v>
      </c>
      <c r="H36" s="24" t="n">
        <v>4244.48</v>
      </c>
      <c r="I36" s="24" t="n">
        <f aca="false">G36+H36</f>
        <v>38376.72</v>
      </c>
      <c r="J36" s="24" t="n">
        <f aca="false">D36-I36</f>
        <v>78346.4</v>
      </c>
      <c r="K36" s="25" t="s">
        <v>117</v>
      </c>
      <c r="L36" s="25" t="s">
        <v>118</v>
      </c>
    </row>
    <row r="37" customFormat="false" ht="15" hidden="false" customHeight="false" outlineLevel="0" collapsed="false">
      <c r="A37" s="23" t="n">
        <v>2</v>
      </c>
      <c r="B37" s="23" t="s">
        <v>46</v>
      </c>
      <c r="C37" s="23" t="s">
        <v>37</v>
      </c>
      <c r="D37" s="24" t="n">
        <v>212.58</v>
      </c>
      <c r="E37" s="24" t="n">
        <v>0</v>
      </c>
      <c r="F37" s="24" t="n">
        <v>0</v>
      </c>
      <c r="G37" s="24" t="n">
        <v>61.56</v>
      </c>
      <c r="H37" s="24" t="n">
        <v>7.73</v>
      </c>
      <c r="I37" s="24" t="n">
        <f aca="false">G37+H37</f>
        <v>69.29</v>
      </c>
      <c r="J37" s="24" t="n">
        <f aca="false">D37-I37</f>
        <v>143.29</v>
      </c>
      <c r="K37" s="25" t="s">
        <v>117</v>
      </c>
      <c r="L37" s="25" t="s">
        <v>118</v>
      </c>
    </row>
    <row r="38" customFormat="false" ht="15" hidden="false" customHeight="false" outlineLevel="0" collapsed="false">
      <c r="A38" s="23" t="n">
        <v>3</v>
      </c>
      <c r="B38" s="23" t="s">
        <v>47</v>
      </c>
      <c r="C38" s="23" t="s">
        <v>35</v>
      </c>
      <c r="D38" s="24" t="n">
        <v>11011.6</v>
      </c>
      <c r="E38" s="24" t="n">
        <v>0</v>
      </c>
      <c r="F38" s="24" t="n">
        <v>0</v>
      </c>
      <c r="G38" s="24" t="n">
        <v>6449.13</v>
      </c>
      <c r="H38" s="24" t="n">
        <v>649.69</v>
      </c>
      <c r="I38" s="24" t="n">
        <f aca="false">G38+H38</f>
        <v>7098.82</v>
      </c>
      <c r="J38" s="24" t="n">
        <f aca="false">D38-I38</f>
        <v>3912.78</v>
      </c>
      <c r="K38" s="25" t="s">
        <v>119</v>
      </c>
      <c r="L38" s="25" t="s">
        <v>120</v>
      </c>
    </row>
    <row r="39" customFormat="false" ht="15" hidden="false" customHeight="false" outlineLevel="0" collapsed="false">
      <c r="A39" s="23" t="n">
        <v>4</v>
      </c>
      <c r="B39" s="23" t="s">
        <v>48</v>
      </c>
      <c r="C39" s="23" t="s">
        <v>35</v>
      </c>
      <c r="D39" s="24" t="n">
        <v>19946.17</v>
      </c>
      <c r="E39" s="24" t="n">
        <v>0</v>
      </c>
      <c r="F39" s="24" t="n">
        <v>0</v>
      </c>
      <c r="G39" s="24" t="n">
        <v>19281.3</v>
      </c>
      <c r="H39" s="24" t="n">
        <v>0</v>
      </c>
      <c r="I39" s="24" t="n">
        <f aca="false">G39+H39</f>
        <v>19281.3</v>
      </c>
      <c r="J39" s="24" t="n">
        <f aca="false">D39-I39</f>
        <v>664.869999999999</v>
      </c>
      <c r="K39" s="25" t="s">
        <v>121</v>
      </c>
      <c r="L39" s="25" t="s">
        <v>122</v>
      </c>
    </row>
    <row r="40" customFormat="false" ht="15" hidden="false" customHeight="false" outlineLevel="0" collapsed="false">
      <c r="A40" s="26"/>
      <c r="B40" s="27" t="s">
        <v>53</v>
      </c>
      <c r="C40" s="26"/>
      <c r="D40" s="28" t="n">
        <f aca="false">SUM(D36:D39)</f>
        <v>147893.47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59924.23</v>
      </c>
      <c r="H40" s="28" t="n">
        <f aca="false">SUM(H36:H39)</f>
        <v>4901.9</v>
      </c>
      <c r="I40" s="28" t="n">
        <f aca="false">SUM(I36:I39)</f>
        <v>64826.13</v>
      </c>
      <c r="J40" s="28" t="n">
        <f aca="false">SUM(J36:J39)</f>
        <v>83067.34</v>
      </c>
      <c r="K40" s="26"/>
      <c r="L40" s="26"/>
    </row>
    <row r="42" customFormat="false" ht="15" hidden="false" customHeight="false" outlineLevel="0" collapsed="false">
      <c r="A42" s="21" t="s">
        <v>131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4" t="s">
        <v>105</v>
      </c>
      <c r="B43" s="4" t="s">
        <v>106</v>
      </c>
      <c r="C43" s="4" t="s">
        <v>107</v>
      </c>
      <c r="D43" s="4" t="s">
        <v>108</v>
      </c>
      <c r="E43" s="4" t="s">
        <v>109</v>
      </c>
      <c r="F43" s="4" t="s">
        <v>110</v>
      </c>
      <c r="G43" s="4" t="s">
        <v>129</v>
      </c>
      <c r="H43" s="4" t="s">
        <v>130</v>
      </c>
      <c r="I43" s="4" t="s">
        <v>113</v>
      </c>
      <c r="J43" s="4" t="s">
        <v>114</v>
      </c>
      <c r="K43" s="4" t="s">
        <v>115</v>
      </c>
      <c r="L43" s="4" t="s">
        <v>116</v>
      </c>
    </row>
    <row r="44" customFormat="false" ht="15" hidden="false" customHeight="false" outlineLevel="0" collapsed="false">
      <c r="A44" s="23" t="n">
        <v>1</v>
      </c>
      <c r="B44" s="23" t="s">
        <v>71</v>
      </c>
      <c r="C44" s="23" t="s">
        <v>35</v>
      </c>
      <c r="D44" s="24" t="n">
        <v>24387.48</v>
      </c>
      <c r="E44" s="24" t="n">
        <v>0</v>
      </c>
      <c r="F44" s="24" t="n">
        <v>0</v>
      </c>
      <c r="G44" s="24" t="n">
        <v>24387.48</v>
      </c>
      <c r="H44" s="24" t="n">
        <v>0</v>
      </c>
      <c r="I44" s="24" t="n">
        <f aca="false">G44+H44</f>
        <v>24387.48</v>
      </c>
      <c r="J44" s="24" t="n">
        <f aca="false">D44-I44</f>
        <v>0</v>
      </c>
      <c r="K44" s="25" t="s">
        <v>121</v>
      </c>
      <c r="L44" s="25" t="s">
        <v>122</v>
      </c>
    </row>
    <row r="45" customFormat="false" ht="15" hidden="false" customHeight="false" outlineLevel="0" collapsed="false">
      <c r="A45" s="23" t="n">
        <v>2</v>
      </c>
      <c r="B45" s="23" t="s">
        <v>72</v>
      </c>
      <c r="C45" s="23" t="s">
        <v>35</v>
      </c>
      <c r="D45" s="24" t="n">
        <v>92335.64</v>
      </c>
      <c r="E45" s="24" t="n">
        <v>0</v>
      </c>
      <c r="F45" s="24" t="n">
        <v>0</v>
      </c>
      <c r="G45" s="24" t="n">
        <v>27001.18</v>
      </c>
      <c r="H45" s="24" t="n">
        <v>3357.66</v>
      </c>
      <c r="I45" s="24" t="n">
        <f aca="false">G45+H45</f>
        <v>30358.84</v>
      </c>
      <c r="J45" s="24" t="n">
        <f aca="false">D45-I45</f>
        <v>61976.8</v>
      </c>
      <c r="K45" s="25" t="s">
        <v>117</v>
      </c>
      <c r="L45" s="25" t="s">
        <v>118</v>
      </c>
    </row>
    <row r="46" customFormat="false" ht="15" hidden="false" customHeight="false" outlineLevel="0" collapsed="false">
      <c r="A46" s="23" t="n">
        <v>3</v>
      </c>
      <c r="B46" s="23" t="s">
        <v>73</v>
      </c>
      <c r="C46" s="23" t="s">
        <v>37</v>
      </c>
      <c r="D46" s="24" t="n">
        <v>44.42</v>
      </c>
      <c r="E46" s="24" t="n">
        <v>0</v>
      </c>
      <c r="F46" s="24" t="n">
        <v>0</v>
      </c>
      <c r="G46" s="24" t="n">
        <v>44.42</v>
      </c>
      <c r="H46" s="24" t="n">
        <v>0</v>
      </c>
      <c r="I46" s="24" t="n">
        <f aca="false">G46+H46</f>
        <v>44.42</v>
      </c>
      <c r="J46" s="24" t="n">
        <f aca="false">D46-I46</f>
        <v>0</v>
      </c>
      <c r="K46" s="25" t="s">
        <v>121</v>
      </c>
      <c r="L46" s="25" t="s">
        <v>122</v>
      </c>
    </row>
    <row r="47" customFormat="false" ht="15" hidden="false" customHeight="false" outlineLevel="0" collapsed="false">
      <c r="A47" s="23" t="n">
        <v>4</v>
      </c>
      <c r="B47" s="23" t="s">
        <v>74</v>
      </c>
      <c r="C47" s="23" t="s">
        <v>37</v>
      </c>
      <c r="D47" s="24" t="n">
        <v>168.16</v>
      </c>
      <c r="E47" s="24" t="n">
        <v>0</v>
      </c>
      <c r="F47" s="24" t="n">
        <v>0</v>
      </c>
      <c r="G47" s="24" t="n">
        <v>48.63</v>
      </c>
      <c r="H47" s="24" t="n">
        <v>6.11</v>
      </c>
      <c r="I47" s="24" t="n">
        <f aca="false">G47+H47</f>
        <v>54.74</v>
      </c>
      <c r="J47" s="24" t="n">
        <f aca="false">D47-I47</f>
        <v>113.42</v>
      </c>
      <c r="K47" s="25" t="s">
        <v>117</v>
      </c>
      <c r="L47" s="25" t="s">
        <v>118</v>
      </c>
    </row>
    <row r="48" customFormat="false" ht="15" hidden="false" customHeight="false" outlineLevel="0" collapsed="false">
      <c r="A48" s="23" t="n">
        <v>5</v>
      </c>
      <c r="B48" s="23" t="s">
        <v>75</v>
      </c>
      <c r="C48" s="23" t="s">
        <v>35</v>
      </c>
      <c r="D48" s="24" t="n">
        <v>2300.7</v>
      </c>
      <c r="E48" s="24" t="n">
        <v>0</v>
      </c>
      <c r="F48" s="24" t="n">
        <v>0</v>
      </c>
      <c r="G48" s="24" t="n">
        <v>2300.7</v>
      </c>
      <c r="H48" s="24" t="n">
        <v>0</v>
      </c>
      <c r="I48" s="24" t="n">
        <f aca="false">G48+H48</f>
        <v>2300.7</v>
      </c>
      <c r="J48" s="24" t="n">
        <f aca="false">D48-I48</f>
        <v>0</v>
      </c>
      <c r="K48" s="25" t="s">
        <v>121</v>
      </c>
      <c r="L48" s="25" t="s">
        <v>122</v>
      </c>
    </row>
    <row r="49" customFormat="false" ht="15" hidden="false" customHeight="false" outlineLevel="0" collapsed="false">
      <c r="A49" s="23" t="n">
        <v>6</v>
      </c>
      <c r="B49" s="23" t="s">
        <v>76</v>
      </c>
      <c r="C49" s="23" t="s">
        <v>35</v>
      </c>
      <c r="D49" s="24" t="n">
        <v>8710.9</v>
      </c>
      <c r="E49" s="24" t="n">
        <v>0</v>
      </c>
      <c r="F49" s="24" t="n">
        <v>0</v>
      </c>
      <c r="G49" s="24" t="n">
        <v>2547.28</v>
      </c>
      <c r="H49" s="24" t="n">
        <v>316.76</v>
      </c>
      <c r="I49" s="24" t="n">
        <f aca="false">G49+H49</f>
        <v>2864.04</v>
      </c>
      <c r="J49" s="24" t="n">
        <f aca="false">D49-I49</f>
        <v>5846.86</v>
      </c>
      <c r="K49" s="25" t="s">
        <v>117</v>
      </c>
      <c r="L49" s="25" t="s">
        <v>118</v>
      </c>
    </row>
    <row r="50" customFormat="false" ht="15" hidden="false" customHeight="false" outlineLevel="0" collapsed="false">
      <c r="A50" s="23" t="n">
        <v>7</v>
      </c>
      <c r="B50" s="23" t="s">
        <v>77</v>
      </c>
      <c r="C50" s="23" t="s">
        <v>35</v>
      </c>
      <c r="D50" s="24" t="n">
        <v>4167.44</v>
      </c>
      <c r="E50" s="24" t="n">
        <v>0</v>
      </c>
      <c r="F50" s="24" t="n">
        <v>0</v>
      </c>
      <c r="G50" s="24" t="n">
        <v>4167.44</v>
      </c>
      <c r="H50" s="24" t="n">
        <v>0</v>
      </c>
      <c r="I50" s="24" t="n">
        <f aca="false">G50+H50</f>
        <v>4167.44</v>
      </c>
      <c r="J50" s="24" t="n">
        <f aca="false">D50-I50</f>
        <v>0</v>
      </c>
      <c r="K50" s="25" t="s">
        <v>121</v>
      </c>
      <c r="L50" s="25" t="s">
        <v>122</v>
      </c>
    </row>
    <row r="51" customFormat="false" ht="15" hidden="false" customHeight="false" outlineLevel="0" collapsed="false">
      <c r="A51" s="23" t="n">
        <v>8</v>
      </c>
      <c r="B51" s="23" t="s">
        <v>78</v>
      </c>
      <c r="C51" s="23" t="s">
        <v>35</v>
      </c>
      <c r="D51" s="24" t="n">
        <v>15778.73</v>
      </c>
      <c r="E51" s="24" t="n">
        <v>0</v>
      </c>
      <c r="F51" s="24" t="n">
        <v>0</v>
      </c>
      <c r="G51" s="24" t="n">
        <v>4614.07</v>
      </c>
      <c r="H51" s="24" t="n">
        <v>573.77</v>
      </c>
      <c r="I51" s="24" t="n">
        <f aca="false">G51+H51</f>
        <v>5187.84</v>
      </c>
      <c r="J51" s="24" t="n">
        <f aca="false">D51-I51</f>
        <v>10590.89</v>
      </c>
      <c r="K51" s="25" t="s">
        <v>117</v>
      </c>
      <c r="L51" s="25" t="s">
        <v>118</v>
      </c>
    </row>
    <row r="52" customFormat="false" ht="15" hidden="false" customHeight="false" outlineLevel="0" collapsed="false">
      <c r="A52" s="26"/>
      <c r="B52" s="27" t="s">
        <v>53</v>
      </c>
      <c r="C52" s="26"/>
      <c r="D52" s="28" t="n">
        <f aca="false">SUM(D44:D51)</f>
        <v>147893.47</v>
      </c>
      <c r="E52" s="28" t="n">
        <f aca="false">SUM(E44:E51)</f>
        <v>0</v>
      </c>
      <c r="F52" s="28" t="n">
        <f aca="false">SUM(F44:F51)</f>
        <v>0</v>
      </c>
      <c r="G52" s="28" t="n">
        <f aca="false">SUM(G44:G51)</f>
        <v>65111.2</v>
      </c>
      <c r="H52" s="28" t="n">
        <f aca="false">SUM(H44:H51)</f>
        <v>4254.3</v>
      </c>
      <c r="I52" s="28" t="n">
        <f aca="false">SUM(I44:I51)</f>
        <v>69365.5</v>
      </c>
      <c r="J52" s="28" t="n">
        <f aca="false">SUM(J44:J51)</f>
        <v>78527.97</v>
      </c>
      <c r="K52" s="26"/>
      <c r="L52" s="26"/>
    </row>
    <row r="54" customFormat="false" ht="15" hidden="false" customHeight="false" outlineLevel="0" collapsed="false">
      <c r="B54" s="18" t="s">
        <v>132</v>
      </c>
    </row>
    <row r="55" customFormat="false" ht="15" hidden="false" customHeight="false" outlineLevel="0" collapsed="false">
      <c r="B55" s="5" t="s">
        <v>125</v>
      </c>
      <c r="D55" s="6" t="n">
        <f aca="false">I40</f>
        <v>64826.13</v>
      </c>
    </row>
    <row r="56" customFormat="false" ht="15" hidden="false" customHeight="false" outlineLevel="0" collapsed="false">
      <c r="B56" s="5" t="s">
        <v>126</v>
      </c>
      <c r="D56" s="6" t="n">
        <f aca="false">I52</f>
        <v>69365.5</v>
      </c>
    </row>
    <row r="57" customFormat="false" ht="15" hidden="false" customHeight="false" outlineLevel="0" collapsed="false">
      <c r="B57" s="11" t="s">
        <v>132</v>
      </c>
      <c r="D57" s="29" t="n">
        <f aca="false">D55-D56</f>
        <v>-4539.37</v>
      </c>
    </row>
    <row r="59" customFormat="false" ht="15" hidden="false" customHeight="false" outlineLevel="0" collapsed="false">
      <c r="A59" s="10" t="s">
        <v>133</v>
      </c>
    </row>
    <row r="60" customFormat="false" ht="15" hidden="false" customHeight="false" outlineLevel="0" collapsed="false">
      <c r="B60" s="11" t="s">
        <v>162</v>
      </c>
      <c r="D60" s="12" t="n">
        <f aca="false">D98</f>
        <v>147893.47</v>
      </c>
    </row>
    <row r="61" customFormat="false" ht="15" hidden="false" customHeight="false" outlineLevel="0" collapsed="false">
      <c r="B61" s="5" t="s">
        <v>163</v>
      </c>
      <c r="D61" s="6" t="n">
        <f aca="false">F98</f>
        <v>30900.04</v>
      </c>
    </row>
    <row r="62" customFormat="false" ht="15" hidden="false" customHeight="false" outlineLevel="0" collapsed="false">
      <c r="B62" s="30" t="s">
        <v>136</v>
      </c>
      <c r="D62" s="31" t="n">
        <f aca="false">F99</f>
        <v>0.208934444502519</v>
      </c>
    </row>
    <row r="63" customFormat="false" ht="15" hidden="false" customHeight="false" outlineLevel="0" collapsed="false">
      <c r="B63" s="5" t="s">
        <v>164</v>
      </c>
      <c r="D63" s="6" t="n">
        <f aca="false">H98</f>
        <v>116993.43</v>
      </c>
    </row>
    <row r="64" customFormat="false" ht="15" hidden="false" customHeight="false" outlineLevel="0" collapsed="false">
      <c r="B64" s="30" t="s">
        <v>136</v>
      </c>
      <c r="D64" s="31" t="n">
        <f aca="false">H99</f>
        <v>0.791065555497481</v>
      </c>
    </row>
    <row r="66" customFormat="false" ht="15" hidden="false" customHeight="false" outlineLevel="0" collapsed="false">
      <c r="A66" s="10" t="s">
        <v>138</v>
      </c>
    </row>
    <row r="67" customFormat="false" ht="15" hidden="false" customHeight="false" outlineLevel="0" collapsed="false">
      <c r="B67" s="4" t="s">
        <v>139</v>
      </c>
      <c r="D67" s="4" t="s">
        <v>108</v>
      </c>
      <c r="F67" s="4" t="s">
        <v>165</v>
      </c>
      <c r="H67" s="4" t="s">
        <v>141</v>
      </c>
    </row>
    <row r="68" customFormat="false" ht="15" hidden="false" customHeight="false" outlineLevel="0" collapsed="false">
      <c r="B68" s="32" t="s">
        <v>166</v>
      </c>
    </row>
    <row r="69" customFormat="false" ht="15" hidden="false" customHeight="false" outlineLevel="0" collapsed="false">
      <c r="B69" s="5" t="s">
        <v>167</v>
      </c>
      <c r="D69" s="33" t="n">
        <f aca="false">SUM(F69:H69)</f>
        <v>4901.61</v>
      </c>
      <c r="F69" s="33" t="n">
        <v>4901.61</v>
      </c>
    </row>
    <row r="70" customFormat="false" ht="15" hidden="false" customHeight="false" outlineLevel="0" collapsed="false">
      <c r="B70" s="5" t="s">
        <v>168</v>
      </c>
      <c r="D70" s="33" t="n">
        <f aca="false">SUM(F70:H70)</f>
        <v>2185.54</v>
      </c>
      <c r="F70" s="33" t="n">
        <v>2185.54</v>
      </c>
    </row>
    <row r="71" customFormat="false" ht="15" hidden="false" customHeight="false" outlineLevel="0" collapsed="false">
      <c r="B71" s="5" t="s">
        <v>169</v>
      </c>
      <c r="D71" s="33" t="n">
        <f aca="false">SUM(F71:H71)</f>
        <v>11385.26</v>
      </c>
      <c r="F71" s="33" t="n">
        <v>11385.26</v>
      </c>
    </row>
    <row r="72" customFormat="false" ht="15" hidden="false" customHeight="false" outlineLevel="0" collapsed="false">
      <c r="B72" s="5" t="s">
        <v>171</v>
      </c>
      <c r="D72" s="33" t="n">
        <f aca="false">SUM(F72:H72)</f>
        <v>589.62</v>
      </c>
      <c r="F72" s="33" t="n">
        <v>589.62</v>
      </c>
    </row>
    <row r="73" customFormat="false" ht="15" hidden="false" customHeight="false" outlineLevel="0" collapsed="false">
      <c r="B73" s="5" t="s">
        <v>196</v>
      </c>
      <c r="D73" s="33" t="n">
        <f aca="false">SUM(F73:H73)</f>
        <v>183.29</v>
      </c>
      <c r="F73" s="33" t="n">
        <v>183.29</v>
      </c>
    </row>
    <row r="74" customFormat="false" ht="15" hidden="false" customHeight="false" outlineLevel="0" collapsed="false">
      <c r="B74" s="5" t="s">
        <v>197</v>
      </c>
      <c r="D74" s="33" t="n">
        <f aca="false">SUM(F74:H74)</f>
        <v>96.76</v>
      </c>
      <c r="F74" s="33" t="n">
        <v>96.76</v>
      </c>
    </row>
    <row r="75" customFormat="false" ht="15" hidden="false" customHeight="false" outlineLevel="0" collapsed="false">
      <c r="B75" s="5" t="s">
        <v>172</v>
      </c>
      <c r="D75" s="33" t="n">
        <f aca="false">SUM(F75:H75)</f>
        <v>2980.97</v>
      </c>
      <c r="F75" s="33" t="n">
        <v>2980.97</v>
      </c>
    </row>
    <row r="76" customFormat="false" ht="15" hidden="false" customHeight="false" outlineLevel="0" collapsed="false">
      <c r="B76" s="5" t="s">
        <v>173</v>
      </c>
      <c r="D76" s="33" t="n">
        <f aca="false">SUM(F76:H76)</f>
        <v>994.55</v>
      </c>
      <c r="F76" s="33" t="n">
        <v>994.55</v>
      </c>
    </row>
    <row r="77" customFormat="false" ht="15" hidden="false" customHeight="false" outlineLevel="0" collapsed="false">
      <c r="B77" s="5" t="s">
        <v>198</v>
      </c>
      <c r="D77" s="33" t="n">
        <f aca="false">SUM(F77:H77)</f>
        <v>3427.41</v>
      </c>
      <c r="F77" s="33" t="n">
        <v>3427.41</v>
      </c>
    </row>
    <row r="78" customFormat="false" ht="15" hidden="false" customHeight="false" outlineLevel="0" collapsed="false">
      <c r="B78" s="5" t="s">
        <v>175</v>
      </c>
      <c r="D78" s="33" t="n">
        <f aca="false">SUM(F78:H78)</f>
        <v>428.96</v>
      </c>
      <c r="F78" s="33" t="n">
        <v>428.96</v>
      </c>
    </row>
    <row r="79" customFormat="false" ht="15" hidden="false" customHeight="false" outlineLevel="0" collapsed="false">
      <c r="B79" s="5" t="s">
        <v>199</v>
      </c>
      <c r="D79" s="33" t="n">
        <f aca="false">SUM(F79:H79)</f>
        <v>43.2</v>
      </c>
      <c r="F79" s="33" t="n">
        <v>43.2</v>
      </c>
    </row>
    <row r="80" customFormat="false" ht="15" hidden="false" customHeight="false" outlineLevel="0" collapsed="false">
      <c r="B80" s="5" t="s">
        <v>200</v>
      </c>
      <c r="D80" s="33" t="n">
        <f aca="false">SUM(F80:H80)</f>
        <v>3682.87</v>
      </c>
      <c r="F80" s="33" t="n">
        <v>3682.87</v>
      </c>
    </row>
    <row r="81" customFormat="false" ht="15" hidden="false" customHeight="false" outlineLevel="0" collapsed="false">
      <c r="B81" s="32" t="s">
        <v>177</v>
      </c>
    </row>
    <row r="82" customFormat="false" ht="15" hidden="false" customHeight="false" outlineLevel="0" collapsed="false">
      <c r="B82" s="5" t="s">
        <v>178</v>
      </c>
      <c r="D82" s="33" t="n">
        <f aca="false">SUM(F82:H82)</f>
        <v>8561.68</v>
      </c>
      <c r="H82" s="33" t="n">
        <v>8561.68</v>
      </c>
    </row>
    <row r="83" customFormat="false" ht="15" hidden="false" customHeight="false" outlineLevel="0" collapsed="false">
      <c r="B83" s="5" t="s">
        <v>179</v>
      </c>
      <c r="D83" s="33" t="n">
        <f aca="false">SUM(F83:H83)</f>
        <v>16225.62</v>
      </c>
      <c r="H83" s="33" t="n">
        <v>16225.62</v>
      </c>
    </row>
    <row r="84" customFormat="false" ht="15" hidden="false" customHeight="false" outlineLevel="0" collapsed="false">
      <c r="B84" s="5" t="s">
        <v>180</v>
      </c>
      <c r="D84" s="33" t="n">
        <f aca="false">SUM(F84:H84)</f>
        <v>10992.55</v>
      </c>
      <c r="H84" s="33" t="n">
        <v>10992.55</v>
      </c>
    </row>
    <row r="85" customFormat="false" ht="15" hidden="false" customHeight="false" outlineLevel="0" collapsed="false">
      <c r="B85" s="5" t="s">
        <v>181</v>
      </c>
      <c r="D85" s="33" t="n">
        <f aca="false">SUM(F85:H85)</f>
        <v>12099.12</v>
      </c>
      <c r="H85" s="33" t="n">
        <v>12099.12</v>
      </c>
    </row>
    <row r="86" customFormat="false" ht="15" hidden="false" customHeight="false" outlineLevel="0" collapsed="false">
      <c r="B86" s="5" t="s">
        <v>182</v>
      </c>
      <c r="D86" s="33" t="n">
        <f aca="false">SUM(F86:H86)</f>
        <v>9715.1</v>
      </c>
      <c r="H86" s="33" t="n">
        <v>9715.1</v>
      </c>
    </row>
    <row r="87" customFormat="false" ht="15" hidden="false" customHeight="false" outlineLevel="0" collapsed="false">
      <c r="B87" s="5" t="s">
        <v>183</v>
      </c>
      <c r="D87" s="33" t="n">
        <f aca="false">SUM(F87:H87)</f>
        <v>548.48</v>
      </c>
      <c r="H87" s="33" t="n">
        <v>548.48</v>
      </c>
    </row>
    <row r="88" customFormat="false" ht="15" hidden="false" customHeight="false" outlineLevel="0" collapsed="false">
      <c r="B88" s="5" t="s">
        <v>184</v>
      </c>
      <c r="D88" s="33" t="n">
        <f aca="false">SUM(F88:H88)</f>
        <v>12559.71</v>
      </c>
      <c r="H88" s="33" t="n">
        <v>12559.71</v>
      </c>
    </row>
    <row r="89" customFormat="false" ht="15" hidden="false" customHeight="false" outlineLevel="0" collapsed="false">
      <c r="B89" s="5" t="s">
        <v>185</v>
      </c>
      <c r="D89" s="33" t="n">
        <f aca="false">SUM(F89:H89)</f>
        <v>5680.09</v>
      </c>
      <c r="H89" s="33" t="n">
        <v>5680.09</v>
      </c>
    </row>
    <row r="90" customFormat="false" ht="15" hidden="false" customHeight="false" outlineLevel="0" collapsed="false">
      <c r="B90" s="5" t="s">
        <v>186</v>
      </c>
      <c r="D90" s="33" t="n">
        <f aca="false">SUM(F90:H90)</f>
        <v>2911.57</v>
      </c>
      <c r="H90" s="33" t="n">
        <v>2911.57</v>
      </c>
    </row>
    <row r="91" customFormat="false" ht="15" hidden="false" customHeight="false" outlineLevel="0" collapsed="false">
      <c r="B91" s="5" t="s">
        <v>187</v>
      </c>
      <c r="D91" s="33" t="n">
        <f aca="false">SUM(F91:H91)</f>
        <v>5070.55</v>
      </c>
      <c r="H91" s="33" t="n">
        <v>5070.55</v>
      </c>
    </row>
    <row r="92" customFormat="false" ht="15" hidden="false" customHeight="false" outlineLevel="0" collapsed="false">
      <c r="B92" s="5" t="s">
        <v>188</v>
      </c>
      <c r="D92" s="33" t="n">
        <f aca="false">SUM(F92:H92)</f>
        <v>9837.36</v>
      </c>
      <c r="H92" s="33" t="n">
        <v>9837.36</v>
      </c>
    </row>
    <row r="93" customFormat="false" ht="15" hidden="false" customHeight="false" outlineLevel="0" collapsed="false">
      <c r="B93" s="5" t="s">
        <v>189</v>
      </c>
      <c r="D93" s="33" t="n">
        <f aca="false">SUM(F93:H93)</f>
        <v>4408.6</v>
      </c>
      <c r="H93" s="33" t="n">
        <v>4408.6</v>
      </c>
    </row>
    <row r="94" customFormat="false" ht="15" hidden="false" customHeight="false" outlineLevel="0" collapsed="false">
      <c r="B94" s="5" t="s">
        <v>190</v>
      </c>
      <c r="D94" s="33" t="n">
        <f aca="false">SUM(F94:H94)</f>
        <v>1012.22</v>
      </c>
      <c r="H94" s="33" t="n">
        <v>1012.22</v>
      </c>
    </row>
    <row r="95" customFormat="false" ht="15" hidden="false" customHeight="false" outlineLevel="0" collapsed="false">
      <c r="B95" s="5" t="s">
        <v>192</v>
      </c>
      <c r="D95" s="33" t="n">
        <f aca="false">SUM(F95:H95)</f>
        <v>14327.98</v>
      </c>
      <c r="H95" s="33" t="n">
        <v>14327.98</v>
      </c>
    </row>
    <row r="96" customFormat="false" ht="15" hidden="false" customHeight="false" outlineLevel="0" collapsed="false">
      <c r="B96" s="5" t="s">
        <v>193</v>
      </c>
      <c r="D96" s="33" t="n">
        <f aca="false">SUM(F96:H96)</f>
        <v>1332.99</v>
      </c>
      <c r="H96" s="33" t="n">
        <v>1332.99</v>
      </c>
    </row>
    <row r="97" customFormat="false" ht="15" hidden="false" customHeight="false" outlineLevel="0" collapsed="false">
      <c r="B97" s="5" t="s">
        <v>202</v>
      </c>
      <c r="D97" s="33" t="n">
        <f aca="false">SUM(F97:H97)</f>
        <v>1709.81</v>
      </c>
      <c r="H97" s="33" t="n">
        <v>1709.81</v>
      </c>
    </row>
    <row r="98" customFormat="false" ht="15" hidden="false" customHeight="false" outlineLevel="0" collapsed="false">
      <c r="B98" s="11" t="s">
        <v>162</v>
      </c>
      <c r="D98" s="34" t="n">
        <f aca="false">SUM(D68:D97)</f>
        <v>147893.47</v>
      </c>
      <c r="F98" s="34" t="n">
        <f aca="false">SUM(F68:F97)</f>
        <v>30900.04</v>
      </c>
      <c r="H98" s="34" t="n">
        <f aca="false">SUM(H68:H97)</f>
        <v>116993.43</v>
      </c>
    </row>
    <row r="99" customFormat="false" ht="15" hidden="false" customHeight="false" outlineLevel="0" collapsed="false">
      <c r="B99" s="30" t="s">
        <v>136</v>
      </c>
      <c r="F99" s="31" t="n">
        <f aca="false">F98/D98</f>
        <v>0.208934444502519</v>
      </c>
      <c r="H99" s="31" t="n">
        <f aca="false">H98/D98</f>
        <v>0.791065555497481</v>
      </c>
    </row>
    <row r="101" customFormat="false" ht="15" hidden="false" customHeight="false" outlineLevel="0" collapsed="false">
      <c r="A101" s="10" t="s">
        <v>157</v>
      </c>
    </row>
    <row r="102" customFormat="false" ht="15" hidden="false" customHeight="false" outlineLevel="0" collapsed="false">
      <c r="B102" s="4" t="s">
        <v>158</v>
      </c>
      <c r="D102" s="4" t="s">
        <v>108</v>
      </c>
      <c r="F102" s="4" t="s">
        <v>165</v>
      </c>
      <c r="H102" s="4" t="s">
        <v>141</v>
      </c>
    </row>
    <row r="103" customFormat="false" ht="15" hidden="false" customHeight="false" outlineLevel="0" collapsed="false">
      <c r="B103" s="5" t="str">
        <f aca="false">'Building 19'!B18</f>
        <v>1 - Buillding - Apt - 5yr</v>
      </c>
      <c r="D103" s="33" t="n">
        <f aca="false">SUM(F103:H103)</f>
        <v>24387.48</v>
      </c>
      <c r="F103" s="33" t="n">
        <f aca="false">'Building 19'!D18</f>
        <v>24387.48</v>
      </c>
    </row>
    <row r="104" customFormat="false" ht="15" hidden="false" customHeight="false" outlineLevel="0" collapsed="false">
      <c r="B104" s="5" t="str">
        <f aca="false">'Building 19'!B19</f>
        <v>1 - Buillding - Apt - 27.5yr</v>
      </c>
      <c r="D104" s="33" t="n">
        <f aca="false">SUM(F104:H104)</f>
        <v>92335.64</v>
      </c>
      <c r="H104" s="33" t="n">
        <f aca="false">'Building 19'!D19</f>
        <v>92335.64</v>
      </c>
    </row>
    <row r="105" customFormat="false" ht="15" hidden="false" customHeight="false" outlineLevel="0" collapsed="false">
      <c r="B105" s="5" t="str">
        <f aca="false">'Building 19'!B20</f>
        <v>5 - Building - Apt - 5yr</v>
      </c>
      <c r="D105" s="33" t="n">
        <f aca="false">SUM(F105:H105)</f>
        <v>44.42</v>
      </c>
      <c r="F105" s="33" t="n">
        <f aca="false">'Building 19'!D20</f>
        <v>44.42</v>
      </c>
    </row>
    <row r="106" customFormat="false" ht="15" hidden="false" customHeight="false" outlineLevel="0" collapsed="false">
      <c r="B106" s="5" t="str">
        <f aca="false">'Building 19'!B21</f>
        <v>5 - Building - Apt - 27.5yr</v>
      </c>
      <c r="D106" s="33" t="n">
        <f aca="false">SUM(F106:H106)</f>
        <v>168.16</v>
      </c>
      <c r="H106" s="33" t="n">
        <f aca="false">'Building 19'!D21</f>
        <v>168.16</v>
      </c>
    </row>
    <row r="107" customFormat="false" ht="15" hidden="false" customHeight="false" outlineLevel="0" collapsed="false">
      <c r="B107" s="5" t="str">
        <f aca="false">'Building 19'!B22</f>
        <v>3 - Land Improvements - Apt - 5yr</v>
      </c>
      <c r="D107" s="33" t="n">
        <f aca="false">SUM(F107:H107)</f>
        <v>2300.7</v>
      </c>
      <c r="F107" s="33" t="n">
        <f aca="false">'Building 19'!D22</f>
        <v>2300.7</v>
      </c>
    </row>
    <row r="108" customFormat="false" ht="15" hidden="false" customHeight="false" outlineLevel="0" collapsed="false">
      <c r="B108" s="5" t="str">
        <f aca="false">'Building 19'!B23</f>
        <v>3 - Land Improvements - Apt - 27.5yr</v>
      </c>
      <c r="D108" s="33" t="n">
        <f aca="false">SUM(F108:H108)</f>
        <v>8710.9</v>
      </c>
      <c r="H108" s="33" t="n">
        <f aca="false">'Building 19'!D23</f>
        <v>8710.9</v>
      </c>
    </row>
    <row r="109" customFormat="false" ht="15" hidden="false" customHeight="false" outlineLevel="0" collapsed="false">
      <c r="B109" s="5" t="str">
        <f aca="false">'Building 19'!B24</f>
        <v>4 - Equipment - Apt - 5yr</v>
      </c>
      <c r="D109" s="33" t="n">
        <f aca="false">SUM(F109:H109)</f>
        <v>4167.44</v>
      </c>
      <c r="F109" s="33" t="n">
        <f aca="false">'Building 19'!D24</f>
        <v>4167.44</v>
      </c>
    </row>
    <row r="110" customFormat="false" ht="15" hidden="false" customHeight="false" outlineLevel="0" collapsed="false">
      <c r="B110" s="5" t="str">
        <f aca="false">'Building 19'!B25</f>
        <v>4 - Equipment - Apt - 27.5yr</v>
      </c>
      <c r="D110" s="33" t="n">
        <f aca="false">SUM(F110:H110)</f>
        <v>15778.73</v>
      </c>
      <c r="H110" s="33" t="n">
        <f aca="false">'Building 19'!D25</f>
        <v>15778.73</v>
      </c>
    </row>
    <row r="111" customFormat="false" ht="15" hidden="false" customHeight="false" outlineLevel="0" collapsed="false">
      <c r="B111" s="11" t="s">
        <v>159</v>
      </c>
      <c r="D111" s="34" t="n">
        <f aca="false">SUM(D103:D110)</f>
        <v>147893.47</v>
      </c>
      <c r="F111" s="34" t="n">
        <f aca="false">SUM(F103:F110)</f>
        <v>30900.04</v>
      </c>
      <c r="H111" s="34" t="n">
        <f aca="false">SUM(H103:H110)</f>
        <v>116993.43</v>
      </c>
    </row>
    <row r="112" customFormat="false" ht="15" hidden="false" customHeight="false" outlineLevel="0" collapsed="false">
      <c r="B112" s="16" t="s">
        <v>160</v>
      </c>
      <c r="D112" s="17" t="n">
        <f aca="false">D111-D98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221</v>
      </c>
    </row>
    <row r="5" customFormat="false" ht="15" hidden="false" customHeight="false" outlineLevel="0" collapsed="false">
      <c r="A5" s="16" t="s">
        <v>102</v>
      </c>
    </row>
    <row r="7" customFormat="false" ht="15" hidden="false" customHeight="false" outlineLevel="0" collapsed="false">
      <c r="A7" s="10" t="s">
        <v>103</v>
      </c>
    </row>
    <row r="8" customFormat="false" ht="15" hidden="false" customHeight="false" outlineLevel="0" collapsed="false">
      <c r="A8" s="21" t="s">
        <v>104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105</v>
      </c>
      <c r="B9" s="4" t="s">
        <v>106</v>
      </c>
      <c r="C9" s="4" t="s">
        <v>107</v>
      </c>
      <c r="D9" s="4" t="s">
        <v>108</v>
      </c>
      <c r="E9" s="4" t="s">
        <v>109</v>
      </c>
      <c r="F9" s="4" t="s">
        <v>110</v>
      </c>
      <c r="G9" s="4" t="s">
        <v>111</v>
      </c>
      <c r="H9" s="4" t="s">
        <v>112</v>
      </c>
      <c r="I9" s="4" t="s">
        <v>113</v>
      </c>
      <c r="J9" s="4" t="s">
        <v>114</v>
      </c>
      <c r="K9" s="4" t="s">
        <v>115</v>
      </c>
      <c r="L9" s="4" t="s">
        <v>116</v>
      </c>
    </row>
    <row r="10" customFormat="false" ht="15" hidden="false" customHeight="false" outlineLevel="0" collapsed="false">
      <c r="A10" s="23" t="n">
        <v>1</v>
      </c>
      <c r="B10" s="23" t="s">
        <v>45</v>
      </c>
      <c r="C10" s="23" t="s">
        <v>35</v>
      </c>
      <c r="D10" s="24" t="n">
        <v>91140.5</v>
      </c>
      <c r="E10" s="24" t="n">
        <v>0</v>
      </c>
      <c r="F10" s="24" t="n">
        <v>0</v>
      </c>
      <c r="G10" s="24" t="n">
        <v>26651.36</v>
      </c>
      <c r="H10" s="24" t="n">
        <v>3314.2</v>
      </c>
      <c r="I10" s="24" t="n">
        <f aca="false">G10+H10</f>
        <v>29965.56</v>
      </c>
      <c r="J10" s="24" t="n">
        <f aca="false">D10-I10</f>
        <v>61174.94</v>
      </c>
      <c r="K10" s="25" t="s">
        <v>117</v>
      </c>
      <c r="L10" s="25" t="s">
        <v>118</v>
      </c>
    </row>
    <row r="11" customFormat="false" ht="15" hidden="false" customHeight="false" outlineLevel="0" collapsed="false">
      <c r="A11" s="23" t="n">
        <v>2</v>
      </c>
      <c r="B11" s="23" t="s">
        <v>46</v>
      </c>
      <c r="C11" s="23" t="s">
        <v>37</v>
      </c>
      <c r="D11" s="24" t="n">
        <v>165.99</v>
      </c>
      <c r="E11" s="24" t="n">
        <v>0</v>
      </c>
      <c r="F11" s="24" t="n">
        <v>0</v>
      </c>
      <c r="G11" s="24" t="n">
        <v>48.07</v>
      </c>
      <c r="H11" s="24" t="n">
        <v>6.04</v>
      </c>
      <c r="I11" s="24" t="n">
        <f aca="false">G11+H11</f>
        <v>54.11</v>
      </c>
      <c r="J11" s="24" t="n">
        <f aca="false">D11-I11</f>
        <v>111.88</v>
      </c>
      <c r="K11" s="25" t="s">
        <v>117</v>
      </c>
      <c r="L11" s="25" t="s">
        <v>118</v>
      </c>
    </row>
    <row r="12" customFormat="false" ht="15" hidden="false" customHeight="false" outlineLevel="0" collapsed="false">
      <c r="A12" s="23" t="n">
        <v>3</v>
      </c>
      <c r="B12" s="23" t="s">
        <v>47</v>
      </c>
      <c r="C12" s="23" t="s">
        <v>35</v>
      </c>
      <c r="D12" s="24" t="n">
        <v>8598.15</v>
      </c>
      <c r="E12" s="24" t="n">
        <v>0</v>
      </c>
      <c r="F12" s="24" t="n">
        <v>0</v>
      </c>
      <c r="G12" s="24" t="n">
        <v>5035.65</v>
      </c>
      <c r="H12" s="24" t="n">
        <v>507.3</v>
      </c>
      <c r="I12" s="24" t="n">
        <f aca="false">G12+H12</f>
        <v>5542.95</v>
      </c>
      <c r="J12" s="24" t="n">
        <f aca="false">D12-I12</f>
        <v>3055.2</v>
      </c>
      <c r="K12" s="25" t="s">
        <v>119</v>
      </c>
      <c r="L12" s="25" t="s">
        <v>120</v>
      </c>
    </row>
    <row r="13" customFormat="false" ht="15" hidden="false" customHeight="false" outlineLevel="0" collapsed="false">
      <c r="A13" s="23" t="n">
        <v>4</v>
      </c>
      <c r="B13" s="23" t="s">
        <v>48</v>
      </c>
      <c r="C13" s="23" t="s">
        <v>35</v>
      </c>
      <c r="D13" s="24" t="n">
        <v>15574.5</v>
      </c>
      <c r="E13" s="24" t="n">
        <v>0</v>
      </c>
      <c r="F13" s="24" t="n">
        <v>0</v>
      </c>
      <c r="G13" s="24" t="n">
        <v>15055.35</v>
      </c>
      <c r="H13" s="24" t="n">
        <v>0</v>
      </c>
      <c r="I13" s="24" t="n">
        <f aca="false">G13+H13</f>
        <v>15055.35</v>
      </c>
      <c r="J13" s="24" t="n">
        <f aca="false">D13-I13</f>
        <v>519.15</v>
      </c>
      <c r="K13" s="25" t="s">
        <v>121</v>
      </c>
      <c r="L13" s="25" t="s">
        <v>122</v>
      </c>
    </row>
    <row r="14" customFormat="false" ht="15" hidden="false" customHeight="false" outlineLevel="0" collapsed="false">
      <c r="A14" s="26"/>
      <c r="B14" s="27" t="s">
        <v>53</v>
      </c>
      <c r="C14" s="26"/>
      <c r="D14" s="28" t="n">
        <f aca="false">SUM(D10:D13)</f>
        <v>115479.14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46790.43</v>
      </c>
      <c r="H14" s="28" t="n">
        <f aca="false">SUM(H10:H13)</f>
        <v>3827.54</v>
      </c>
      <c r="I14" s="28" t="n">
        <f aca="false">SUM(I10:I13)</f>
        <v>50617.97</v>
      </c>
      <c r="J14" s="28" t="n">
        <f aca="false">SUM(J10:J13)</f>
        <v>64861.17</v>
      </c>
      <c r="K14" s="26"/>
      <c r="L14" s="26"/>
    </row>
    <row r="16" customFormat="false" ht="15" hidden="false" customHeight="false" outlineLevel="0" collapsed="false">
      <c r="A16" s="21" t="s">
        <v>123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4" t="s">
        <v>105</v>
      </c>
      <c r="B17" s="4" t="s">
        <v>106</v>
      </c>
      <c r="C17" s="4" t="s">
        <v>107</v>
      </c>
      <c r="D17" s="4" t="s">
        <v>108</v>
      </c>
      <c r="E17" s="4" t="s">
        <v>109</v>
      </c>
      <c r="F17" s="4" t="s">
        <v>110</v>
      </c>
      <c r="G17" s="4" t="s">
        <v>111</v>
      </c>
      <c r="H17" s="4" t="s">
        <v>112</v>
      </c>
      <c r="I17" s="4" t="s">
        <v>113</v>
      </c>
      <c r="J17" s="4" t="s">
        <v>114</v>
      </c>
      <c r="K17" s="4" t="s">
        <v>115</v>
      </c>
      <c r="L17" s="4" t="s">
        <v>116</v>
      </c>
    </row>
    <row r="18" customFormat="false" ht="15" hidden="false" customHeight="false" outlineLevel="0" collapsed="false">
      <c r="A18" s="23" t="n">
        <v>1</v>
      </c>
      <c r="B18" s="23" t="s">
        <v>71</v>
      </c>
      <c r="C18" s="23" t="s">
        <v>35</v>
      </c>
      <c r="D18" s="24" t="n">
        <v>21279.35</v>
      </c>
      <c r="E18" s="24" t="n">
        <v>0</v>
      </c>
      <c r="F18" s="24" t="n">
        <v>0</v>
      </c>
      <c r="G18" s="24" t="n">
        <v>21279.35</v>
      </c>
      <c r="H18" s="24" t="n">
        <v>0</v>
      </c>
      <c r="I18" s="24" t="n">
        <f aca="false">G18+H18</f>
        <v>21279.35</v>
      </c>
      <c r="J18" s="24" t="n">
        <f aca="false">D18-I18</f>
        <v>0</v>
      </c>
      <c r="K18" s="25" t="s">
        <v>121</v>
      </c>
      <c r="L18" s="25" t="s">
        <v>122</v>
      </c>
    </row>
    <row r="19" customFormat="false" ht="15" hidden="false" customHeight="false" outlineLevel="0" collapsed="false">
      <c r="A19" s="23" t="n">
        <v>2</v>
      </c>
      <c r="B19" s="23" t="s">
        <v>72</v>
      </c>
      <c r="C19" s="23" t="s">
        <v>35</v>
      </c>
      <c r="D19" s="24" t="n">
        <v>69861.15</v>
      </c>
      <c r="E19" s="24" t="n">
        <v>0</v>
      </c>
      <c r="F19" s="24" t="n">
        <v>0</v>
      </c>
      <c r="G19" s="24" t="n">
        <v>20429.13</v>
      </c>
      <c r="H19" s="24" t="n">
        <v>2540.41</v>
      </c>
      <c r="I19" s="24" t="n">
        <f aca="false">G19+H19</f>
        <v>22969.54</v>
      </c>
      <c r="J19" s="24" t="n">
        <f aca="false">D19-I19</f>
        <v>46891.61</v>
      </c>
      <c r="K19" s="25" t="s">
        <v>117</v>
      </c>
      <c r="L19" s="25" t="s">
        <v>118</v>
      </c>
    </row>
    <row r="20" customFormat="false" ht="15" hidden="false" customHeight="false" outlineLevel="0" collapsed="false">
      <c r="A20" s="23" t="n">
        <v>3</v>
      </c>
      <c r="B20" s="23" t="s">
        <v>73</v>
      </c>
      <c r="C20" s="23" t="s">
        <v>37</v>
      </c>
      <c r="D20" s="24" t="n">
        <v>38.76</v>
      </c>
      <c r="E20" s="24" t="n">
        <v>0</v>
      </c>
      <c r="F20" s="24" t="n">
        <v>0</v>
      </c>
      <c r="G20" s="24" t="n">
        <v>38.76</v>
      </c>
      <c r="H20" s="24" t="n">
        <v>0</v>
      </c>
      <c r="I20" s="24" t="n">
        <f aca="false">G20+H20</f>
        <v>38.76</v>
      </c>
      <c r="J20" s="24" t="n">
        <f aca="false">D20-I20</f>
        <v>0</v>
      </c>
      <c r="K20" s="25" t="s">
        <v>121</v>
      </c>
      <c r="L20" s="25" t="s">
        <v>122</v>
      </c>
    </row>
    <row r="21" customFormat="false" ht="15" hidden="false" customHeight="false" outlineLevel="0" collapsed="false">
      <c r="A21" s="23" t="n">
        <v>4</v>
      </c>
      <c r="B21" s="23" t="s">
        <v>74</v>
      </c>
      <c r="C21" s="23" t="s">
        <v>37</v>
      </c>
      <c r="D21" s="24" t="n">
        <v>127.23</v>
      </c>
      <c r="E21" s="24" t="n">
        <v>0</v>
      </c>
      <c r="F21" s="24" t="n">
        <v>0</v>
      </c>
      <c r="G21" s="24" t="n">
        <v>36.84</v>
      </c>
      <c r="H21" s="24" t="n">
        <v>4.63</v>
      </c>
      <c r="I21" s="24" t="n">
        <f aca="false">G21+H21</f>
        <v>41.47</v>
      </c>
      <c r="J21" s="24" t="n">
        <f aca="false">D21-I21</f>
        <v>85.76</v>
      </c>
      <c r="K21" s="25" t="s">
        <v>117</v>
      </c>
      <c r="L21" s="25" t="s">
        <v>118</v>
      </c>
    </row>
    <row r="22" customFormat="false" ht="15" hidden="false" customHeight="false" outlineLevel="0" collapsed="false">
      <c r="A22" s="23" t="n">
        <v>5</v>
      </c>
      <c r="B22" s="23" t="s">
        <v>79</v>
      </c>
      <c r="C22" s="23" t="s">
        <v>35</v>
      </c>
      <c r="D22" s="24" t="n">
        <v>2007.48</v>
      </c>
      <c r="E22" s="24" t="n">
        <v>0</v>
      </c>
      <c r="F22" s="24" t="n">
        <v>0</v>
      </c>
      <c r="G22" s="24" t="n">
        <v>2007.48</v>
      </c>
      <c r="H22" s="24" t="n">
        <v>0</v>
      </c>
      <c r="I22" s="24" t="n">
        <f aca="false">G22+H22</f>
        <v>2007.48</v>
      </c>
      <c r="J22" s="24" t="n">
        <f aca="false">D22-I22</f>
        <v>0</v>
      </c>
      <c r="K22" s="25" t="s">
        <v>121</v>
      </c>
      <c r="L22" s="25" t="s">
        <v>122</v>
      </c>
    </row>
    <row r="23" customFormat="false" ht="15" hidden="false" customHeight="false" outlineLevel="0" collapsed="false">
      <c r="A23" s="23" t="n">
        <v>6</v>
      </c>
      <c r="B23" s="23" t="s">
        <v>80</v>
      </c>
      <c r="C23" s="23" t="s">
        <v>35</v>
      </c>
      <c r="D23" s="24" t="n">
        <v>6590.67</v>
      </c>
      <c r="E23" s="24" t="n">
        <v>0</v>
      </c>
      <c r="F23" s="24" t="n">
        <v>0</v>
      </c>
      <c r="G23" s="24" t="n">
        <v>1927.27</v>
      </c>
      <c r="H23" s="24" t="n">
        <v>239.66</v>
      </c>
      <c r="I23" s="24" t="n">
        <f aca="false">G23+H23</f>
        <v>2166.93</v>
      </c>
      <c r="J23" s="24" t="n">
        <f aca="false">D23-I23</f>
        <v>4423.74</v>
      </c>
      <c r="K23" s="25" t="s">
        <v>117</v>
      </c>
      <c r="L23" s="25" t="s">
        <v>118</v>
      </c>
    </row>
    <row r="24" customFormat="false" ht="15" hidden="false" customHeight="false" outlineLevel="0" collapsed="false">
      <c r="A24" s="23" t="n">
        <v>7</v>
      </c>
      <c r="B24" s="23" t="s">
        <v>77</v>
      </c>
      <c r="C24" s="23" t="s">
        <v>35</v>
      </c>
      <c r="D24" s="24" t="n">
        <v>3636.33</v>
      </c>
      <c r="E24" s="24" t="n">
        <v>0</v>
      </c>
      <c r="F24" s="24" t="n">
        <v>0</v>
      </c>
      <c r="G24" s="24" t="n">
        <v>3636.33</v>
      </c>
      <c r="H24" s="24" t="n">
        <v>0</v>
      </c>
      <c r="I24" s="24" t="n">
        <f aca="false">G24+H24</f>
        <v>3636.33</v>
      </c>
      <c r="J24" s="24" t="n">
        <f aca="false">D24-I24</f>
        <v>0</v>
      </c>
      <c r="K24" s="25" t="s">
        <v>121</v>
      </c>
      <c r="L24" s="25" t="s">
        <v>122</v>
      </c>
    </row>
    <row r="25" customFormat="false" ht="15" hidden="false" customHeight="false" outlineLevel="0" collapsed="false">
      <c r="A25" s="23" t="n">
        <v>8</v>
      </c>
      <c r="B25" s="23" t="s">
        <v>78</v>
      </c>
      <c r="C25" s="23" t="s">
        <v>35</v>
      </c>
      <c r="D25" s="24" t="n">
        <v>11938.19</v>
      </c>
      <c r="E25" s="24" t="n">
        <v>0</v>
      </c>
      <c r="F25" s="24" t="n">
        <v>0</v>
      </c>
      <c r="G25" s="24" t="n">
        <v>3491.05</v>
      </c>
      <c r="H25" s="24" t="n">
        <v>434.12</v>
      </c>
      <c r="I25" s="24" t="n">
        <f aca="false">G25+H25</f>
        <v>3925.17</v>
      </c>
      <c r="J25" s="24" t="n">
        <f aca="false">D25-I25</f>
        <v>8013.02</v>
      </c>
      <c r="K25" s="25" t="s">
        <v>117</v>
      </c>
      <c r="L25" s="25" t="s">
        <v>118</v>
      </c>
    </row>
    <row r="26" customFormat="false" ht="15" hidden="false" customHeight="false" outlineLevel="0" collapsed="false">
      <c r="A26" s="26"/>
      <c r="B26" s="27" t="s">
        <v>53</v>
      </c>
      <c r="C26" s="26"/>
      <c r="D26" s="28" t="n">
        <f aca="false">SUM(D18:D25)</f>
        <v>115479.16</v>
      </c>
      <c r="E26" s="28" t="n">
        <f aca="false">SUM(E18:E25)</f>
        <v>0</v>
      </c>
      <c r="F26" s="28" t="n">
        <f aca="false">SUM(F18:F25)</f>
        <v>0</v>
      </c>
      <c r="G26" s="28" t="n">
        <f aca="false">SUM(G18:G25)</f>
        <v>52846.21</v>
      </c>
      <c r="H26" s="28" t="n">
        <f aca="false">SUM(H18:H25)</f>
        <v>3218.82</v>
      </c>
      <c r="I26" s="28" t="n">
        <f aca="false">SUM(I18:I25)</f>
        <v>56065.03</v>
      </c>
      <c r="J26" s="28" t="n">
        <f aca="false">SUM(J18:J25)</f>
        <v>59414.13</v>
      </c>
      <c r="K26" s="26"/>
      <c r="L26" s="26"/>
    </row>
    <row r="28" customFormat="false" ht="15" hidden="false" customHeight="false" outlineLevel="0" collapsed="false">
      <c r="B28" s="18" t="s">
        <v>124</v>
      </c>
    </row>
    <row r="29" customFormat="false" ht="15" hidden="false" customHeight="false" outlineLevel="0" collapsed="false">
      <c r="B29" s="5" t="s">
        <v>125</v>
      </c>
      <c r="D29" s="6" t="n">
        <f aca="false">I14</f>
        <v>50617.97</v>
      </c>
    </row>
    <row r="30" customFormat="false" ht="15" hidden="false" customHeight="false" outlineLevel="0" collapsed="false">
      <c r="B30" s="5" t="s">
        <v>126</v>
      </c>
      <c r="D30" s="6" t="n">
        <f aca="false">I26</f>
        <v>56065.03</v>
      </c>
    </row>
    <row r="31" customFormat="false" ht="15" hidden="false" customHeight="false" outlineLevel="0" collapsed="false">
      <c r="B31" s="11" t="s">
        <v>124</v>
      </c>
      <c r="D31" s="29" t="n">
        <f aca="false">D29-D30</f>
        <v>-5447.06</v>
      </c>
    </row>
    <row r="33" customFormat="false" ht="15" hidden="false" customHeight="false" outlineLevel="0" collapsed="false">
      <c r="A33" s="10" t="s">
        <v>127</v>
      </c>
    </row>
    <row r="34" customFormat="false" ht="15" hidden="false" customHeight="false" outlineLevel="0" collapsed="false">
      <c r="A34" s="21" t="s">
        <v>128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4" t="s">
        <v>105</v>
      </c>
      <c r="B35" s="4" t="s">
        <v>106</v>
      </c>
      <c r="C35" s="4" t="s">
        <v>107</v>
      </c>
      <c r="D35" s="4" t="s">
        <v>108</v>
      </c>
      <c r="E35" s="4" t="s">
        <v>109</v>
      </c>
      <c r="F35" s="4" t="s">
        <v>110</v>
      </c>
      <c r="G35" s="4" t="s">
        <v>129</v>
      </c>
      <c r="H35" s="4" t="s">
        <v>130</v>
      </c>
      <c r="I35" s="4" t="s">
        <v>113</v>
      </c>
      <c r="J35" s="4" t="s">
        <v>114</v>
      </c>
      <c r="K35" s="4" t="s">
        <v>115</v>
      </c>
      <c r="L35" s="4" t="s">
        <v>116</v>
      </c>
    </row>
    <row r="36" customFormat="false" ht="15" hidden="false" customHeight="false" outlineLevel="0" collapsed="false">
      <c r="A36" s="23" t="n">
        <v>1</v>
      </c>
      <c r="B36" s="23" t="s">
        <v>45</v>
      </c>
      <c r="C36" s="23" t="s">
        <v>35</v>
      </c>
      <c r="D36" s="24" t="n">
        <v>91140.5</v>
      </c>
      <c r="E36" s="24" t="n">
        <v>0</v>
      </c>
      <c r="F36" s="24" t="n">
        <v>0</v>
      </c>
      <c r="G36" s="24" t="n">
        <v>26651.36</v>
      </c>
      <c r="H36" s="24" t="n">
        <v>3314.2</v>
      </c>
      <c r="I36" s="24" t="n">
        <f aca="false">G36+H36</f>
        <v>29965.56</v>
      </c>
      <c r="J36" s="24" t="n">
        <f aca="false">D36-I36</f>
        <v>61174.94</v>
      </c>
      <c r="K36" s="25" t="s">
        <v>117</v>
      </c>
      <c r="L36" s="25" t="s">
        <v>118</v>
      </c>
    </row>
    <row r="37" customFormat="false" ht="15" hidden="false" customHeight="false" outlineLevel="0" collapsed="false">
      <c r="A37" s="23" t="n">
        <v>2</v>
      </c>
      <c r="B37" s="23" t="s">
        <v>46</v>
      </c>
      <c r="C37" s="23" t="s">
        <v>37</v>
      </c>
      <c r="D37" s="24" t="n">
        <v>165.99</v>
      </c>
      <c r="E37" s="24" t="n">
        <v>0</v>
      </c>
      <c r="F37" s="24" t="n">
        <v>0</v>
      </c>
      <c r="G37" s="24" t="n">
        <v>48.07</v>
      </c>
      <c r="H37" s="24" t="n">
        <v>6.04</v>
      </c>
      <c r="I37" s="24" t="n">
        <f aca="false">G37+H37</f>
        <v>54.11</v>
      </c>
      <c r="J37" s="24" t="n">
        <f aca="false">D37-I37</f>
        <v>111.88</v>
      </c>
      <c r="K37" s="25" t="s">
        <v>117</v>
      </c>
      <c r="L37" s="25" t="s">
        <v>118</v>
      </c>
    </row>
    <row r="38" customFormat="false" ht="15" hidden="false" customHeight="false" outlineLevel="0" collapsed="false">
      <c r="A38" s="23" t="n">
        <v>3</v>
      </c>
      <c r="B38" s="23" t="s">
        <v>47</v>
      </c>
      <c r="C38" s="23" t="s">
        <v>35</v>
      </c>
      <c r="D38" s="24" t="n">
        <v>8598.15</v>
      </c>
      <c r="E38" s="24" t="n">
        <v>0</v>
      </c>
      <c r="F38" s="24" t="n">
        <v>0</v>
      </c>
      <c r="G38" s="24" t="n">
        <v>5035.65</v>
      </c>
      <c r="H38" s="24" t="n">
        <v>507.3</v>
      </c>
      <c r="I38" s="24" t="n">
        <f aca="false">G38+H38</f>
        <v>5542.95</v>
      </c>
      <c r="J38" s="24" t="n">
        <f aca="false">D38-I38</f>
        <v>3055.2</v>
      </c>
      <c r="K38" s="25" t="s">
        <v>119</v>
      </c>
      <c r="L38" s="25" t="s">
        <v>120</v>
      </c>
    </row>
    <row r="39" customFormat="false" ht="15" hidden="false" customHeight="false" outlineLevel="0" collapsed="false">
      <c r="A39" s="23" t="n">
        <v>4</v>
      </c>
      <c r="B39" s="23" t="s">
        <v>48</v>
      </c>
      <c r="C39" s="23" t="s">
        <v>35</v>
      </c>
      <c r="D39" s="24" t="n">
        <v>15574.5</v>
      </c>
      <c r="E39" s="24" t="n">
        <v>0</v>
      </c>
      <c r="F39" s="24" t="n">
        <v>0</v>
      </c>
      <c r="G39" s="24" t="n">
        <v>15055.35</v>
      </c>
      <c r="H39" s="24" t="n">
        <v>0</v>
      </c>
      <c r="I39" s="24" t="n">
        <f aca="false">G39+H39</f>
        <v>15055.35</v>
      </c>
      <c r="J39" s="24" t="n">
        <f aca="false">D39-I39</f>
        <v>519.15</v>
      </c>
      <c r="K39" s="25" t="s">
        <v>121</v>
      </c>
      <c r="L39" s="25" t="s">
        <v>122</v>
      </c>
    </row>
    <row r="40" customFormat="false" ht="15" hidden="false" customHeight="false" outlineLevel="0" collapsed="false">
      <c r="A40" s="26"/>
      <c r="B40" s="27" t="s">
        <v>53</v>
      </c>
      <c r="C40" s="26"/>
      <c r="D40" s="28" t="n">
        <f aca="false">SUM(D36:D39)</f>
        <v>115479.14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46790.43</v>
      </c>
      <c r="H40" s="28" t="n">
        <f aca="false">SUM(H36:H39)</f>
        <v>3827.54</v>
      </c>
      <c r="I40" s="28" t="n">
        <f aca="false">SUM(I36:I39)</f>
        <v>50617.97</v>
      </c>
      <c r="J40" s="28" t="n">
        <f aca="false">SUM(J36:J39)</f>
        <v>64861.17</v>
      </c>
      <c r="K40" s="26"/>
      <c r="L40" s="26"/>
    </row>
    <row r="42" customFormat="false" ht="15" hidden="false" customHeight="false" outlineLevel="0" collapsed="false">
      <c r="A42" s="21" t="s">
        <v>131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4" t="s">
        <v>105</v>
      </c>
      <c r="B43" s="4" t="s">
        <v>106</v>
      </c>
      <c r="C43" s="4" t="s">
        <v>107</v>
      </c>
      <c r="D43" s="4" t="s">
        <v>108</v>
      </c>
      <c r="E43" s="4" t="s">
        <v>109</v>
      </c>
      <c r="F43" s="4" t="s">
        <v>110</v>
      </c>
      <c r="G43" s="4" t="s">
        <v>129</v>
      </c>
      <c r="H43" s="4" t="s">
        <v>130</v>
      </c>
      <c r="I43" s="4" t="s">
        <v>113</v>
      </c>
      <c r="J43" s="4" t="s">
        <v>114</v>
      </c>
      <c r="K43" s="4" t="s">
        <v>115</v>
      </c>
      <c r="L43" s="4" t="s">
        <v>116</v>
      </c>
    </row>
    <row r="44" customFormat="false" ht="15" hidden="false" customHeight="false" outlineLevel="0" collapsed="false">
      <c r="A44" s="23" t="n">
        <v>1</v>
      </c>
      <c r="B44" s="23" t="s">
        <v>71</v>
      </c>
      <c r="C44" s="23" t="s">
        <v>35</v>
      </c>
      <c r="D44" s="24" t="n">
        <v>21279.35</v>
      </c>
      <c r="E44" s="24" t="n">
        <v>0</v>
      </c>
      <c r="F44" s="24" t="n">
        <v>0</v>
      </c>
      <c r="G44" s="24" t="n">
        <v>21279.35</v>
      </c>
      <c r="H44" s="24" t="n">
        <v>0</v>
      </c>
      <c r="I44" s="24" t="n">
        <f aca="false">G44+H44</f>
        <v>21279.35</v>
      </c>
      <c r="J44" s="24" t="n">
        <f aca="false">D44-I44</f>
        <v>0</v>
      </c>
      <c r="K44" s="25" t="s">
        <v>121</v>
      </c>
      <c r="L44" s="25" t="s">
        <v>122</v>
      </c>
    </row>
    <row r="45" customFormat="false" ht="15" hidden="false" customHeight="false" outlineLevel="0" collapsed="false">
      <c r="A45" s="23" t="n">
        <v>2</v>
      </c>
      <c r="B45" s="23" t="s">
        <v>72</v>
      </c>
      <c r="C45" s="23" t="s">
        <v>35</v>
      </c>
      <c r="D45" s="24" t="n">
        <v>69861.15</v>
      </c>
      <c r="E45" s="24" t="n">
        <v>0</v>
      </c>
      <c r="F45" s="24" t="n">
        <v>0</v>
      </c>
      <c r="G45" s="24" t="n">
        <v>20429.13</v>
      </c>
      <c r="H45" s="24" t="n">
        <v>2540.41</v>
      </c>
      <c r="I45" s="24" t="n">
        <f aca="false">G45+H45</f>
        <v>22969.54</v>
      </c>
      <c r="J45" s="24" t="n">
        <f aca="false">D45-I45</f>
        <v>46891.61</v>
      </c>
      <c r="K45" s="25" t="s">
        <v>117</v>
      </c>
      <c r="L45" s="25" t="s">
        <v>118</v>
      </c>
    </row>
    <row r="46" customFormat="false" ht="15" hidden="false" customHeight="false" outlineLevel="0" collapsed="false">
      <c r="A46" s="23" t="n">
        <v>3</v>
      </c>
      <c r="B46" s="23" t="s">
        <v>73</v>
      </c>
      <c r="C46" s="23" t="s">
        <v>37</v>
      </c>
      <c r="D46" s="24" t="n">
        <v>38.76</v>
      </c>
      <c r="E46" s="24" t="n">
        <v>0</v>
      </c>
      <c r="F46" s="24" t="n">
        <v>0</v>
      </c>
      <c r="G46" s="24" t="n">
        <v>38.76</v>
      </c>
      <c r="H46" s="24" t="n">
        <v>0</v>
      </c>
      <c r="I46" s="24" t="n">
        <f aca="false">G46+H46</f>
        <v>38.76</v>
      </c>
      <c r="J46" s="24" t="n">
        <f aca="false">D46-I46</f>
        <v>0</v>
      </c>
      <c r="K46" s="25" t="s">
        <v>121</v>
      </c>
      <c r="L46" s="25" t="s">
        <v>122</v>
      </c>
    </row>
    <row r="47" customFormat="false" ht="15" hidden="false" customHeight="false" outlineLevel="0" collapsed="false">
      <c r="A47" s="23" t="n">
        <v>4</v>
      </c>
      <c r="B47" s="23" t="s">
        <v>74</v>
      </c>
      <c r="C47" s="23" t="s">
        <v>37</v>
      </c>
      <c r="D47" s="24" t="n">
        <v>127.23</v>
      </c>
      <c r="E47" s="24" t="n">
        <v>0</v>
      </c>
      <c r="F47" s="24" t="n">
        <v>0</v>
      </c>
      <c r="G47" s="24" t="n">
        <v>36.84</v>
      </c>
      <c r="H47" s="24" t="n">
        <v>4.63</v>
      </c>
      <c r="I47" s="24" t="n">
        <f aca="false">G47+H47</f>
        <v>41.47</v>
      </c>
      <c r="J47" s="24" t="n">
        <f aca="false">D47-I47</f>
        <v>85.76</v>
      </c>
      <c r="K47" s="25" t="s">
        <v>117</v>
      </c>
      <c r="L47" s="25" t="s">
        <v>118</v>
      </c>
    </row>
    <row r="48" customFormat="false" ht="15" hidden="false" customHeight="false" outlineLevel="0" collapsed="false">
      <c r="A48" s="23" t="n">
        <v>5</v>
      </c>
      <c r="B48" s="23" t="s">
        <v>79</v>
      </c>
      <c r="C48" s="23" t="s">
        <v>35</v>
      </c>
      <c r="D48" s="24" t="n">
        <v>2007.48</v>
      </c>
      <c r="E48" s="24" t="n">
        <v>0</v>
      </c>
      <c r="F48" s="24" t="n">
        <v>0</v>
      </c>
      <c r="G48" s="24" t="n">
        <v>2007.48</v>
      </c>
      <c r="H48" s="24" t="n">
        <v>0</v>
      </c>
      <c r="I48" s="24" t="n">
        <f aca="false">G48+H48</f>
        <v>2007.48</v>
      </c>
      <c r="J48" s="24" t="n">
        <f aca="false">D48-I48</f>
        <v>0</v>
      </c>
      <c r="K48" s="25" t="s">
        <v>121</v>
      </c>
      <c r="L48" s="25" t="s">
        <v>122</v>
      </c>
    </row>
    <row r="49" customFormat="false" ht="15" hidden="false" customHeight="false" outlineLevel="0" collapsed="false">
      <c r="A49" s="23" t="n">
        <v>6</v>
      </c>
      <c r="B49" s="23" t="s">
        <v>80</v>
      </c>
      <c r="C49" s="23" t="s">
        <v>35</v>
      </c>
      <c r="D49" s="24" t="n">
        <v>6590.67</v>
      </c>
      <c r="E49" s="24" t="n">
        <v>0</v>
      </c>
      <c r="F49" s="24" t="n">
        <v>0</v>
      </c>
      <c r="G49" s="24" t="n">
        <v>1927.27</v>
      </c>
      <c r="H49" s="24" t="n">
        <v>239.66</v>
      </c>
      <c r="I49" s="24" t="n">
        <f aca="false">G49+H49</f>
        <v>2166.93</v>
      </c>
      <c r="J49" s="24" t="n">
        <f aca="false">D49-I49</f>
        <v>4423.74</v>
      </c>
      <c r="K49" s="25" t="s">
        <v>117</v>
      </c>
      <c r="L49" s="25" t="s">
        <v>118</v>
      </c>
    </row>
    <row r="50" customFormat="false" ht="15" hidden="false" customHeight="false" outlineLevel="0" collapsed="false">
      <c r="A50" s="23" t="n">
        <v>7</v>
      </c>
      <c r="B50" s="23" t="s">
        <v>77</v>
      </c>
      <c r="C50" s="23" t="s">
        <v>35</v>
      </c>
      <c r="D50" s="24" t="n">
        <v>3636.33</v>
      </c>
      <c r="E50" s="24" t="n">
        <v>0</v>
      </c>
      <c r="F50" s="24" t="n">
        <v>0</v>
      </c>
      <c r="G50" s="24" t="n">
        <v>3636.33</v>
      </c>
      <c r="H50" s="24" t="n">
        <v>0</v>
      </c>
      <c r="I50" s="24" t="n">
        <f aca="false">G50+H50</f>
        <v>3636.33</v>
      </c>
      <c r="J50" s="24" t="n">
        <f aca="false">D50-I50</f>
        <v>0</v>
      </c>
      <c r="K50" s="25" t="s">
        <v>121</v>
      </c>
      <c r="L50" s="25" t="s">
        <v>122</v>
      </c>
    </row>
    <row r="51" customFormat="false" ht="15" hidden="false" customHeight="false" outlineLevel="0" collapsed="false">
      <c r="A51" s="23" t="n">
        <v>8</v>
      </c>
      <c r="B51" s="23" t="s">
        <v>78</v>
      </c>
      <c r="C51" s="23" t="s">
        <v>35</v>
      </c>
      <c r="D51" s="24" t="n">
        <v>11938.19</v>
      </c>
      <c r="E51" s="24" t="n">
        <v>0</v>
      </c>
      <c r="F51" s="24" t="n">
        <v>0</v>
      </c>
      <c r="G51" s="24" t="n">
        <v>3491.05</v>
      </c>
      <c r="H51" s="24" t="n">
        <v>434.12</v>
      </c>
      <c r="I51" s="24" t="n">
        <f aca="false">G51+H51</f>
        <v>3925.17</v>
      </c>
      <c r="J51" s="24" t="n">
        <f aca="false">D51-I51</f>
        <v>8013.02</v>
      </c>
      <c r="K51" s="25" t="s">
        <v>117</v>
      </c>
      <c r="L51" s="25" t="s">
        <v>118</v>
      </c>
    </row>
    <row r="52" customFormat="false" ht="15" hidden="false" customHeight="false" outlineLevel="0" collapsed="false">
      <c r="A52" s="26"/>
      <c r="B52" s="27" t="s">
        <v>53</v>
      </c>
      <c r="C52" s="26"/>
      <c r="D52" s="28" t="n">
        <f aca="false">SUM(D44:D51)</f>
        <v>115479.16</v>
      </c>
      <c r="E52" s="28" t="n">
        <f aca="false">SUM(E44:E51)</f>
        <v>0</v>
      </c>
      <c r="F52" s="28" t="n">
        <f aca="false">SUM(F44:F51)</f>
        <v>0</v>
      </c>
      <c r="G52" s="28" t="n">
        <f aca="false">SUM(G44:G51)</f>
        <v>52846.21</v>
      </c>
      <c r="H52" s="28" t="n">
        <f aca="false">SUM(H44:H51)</f>
        <v>3218.82</v>
      </c>
      <c r="I52" s="28" t="n">
        <f aca="false">SUM(I44:I51)</f>
        <v>56065.03</v>
      </c>
      <c r="J52" s="28" t="n">
        <f aca="false">SUM(J44:J51)</f>
        <v>59414.13</v>
      </c>
      <c r="K52" s="26"/>
      <c r="L52" s="26"/>
    </row>
    <row r="54" customFormat="false" ht="15" hidden="false" customHeight="false" outlineLevel="0" collapsed="false">
      <c r="B54" s="18" t="s">
        <v>132</v>
      </c>
    </row>
    <row r="55" customFormat="false" ht="15" hidden="false" customHeight="false" outlineLevel="0" collapsed="false">
      <c r="B55" s="5" t="s">
        <v>125</v>
      </c>
      <c r="D55" s="6" t="n">
        <f aca="false">I40</f>
        <v>50617.97</v>
      </c>
    </row>
    <row r="56" customFormat="false" ht="15" hidden="false" customHeight="false" outlineLevel="0" collapsed="false">
      <c r="B56" s="5" t="s">
        <v>126</v>
      </c>
      <c r="D56" s="6" t="n">
        <f aca="false">I52</f>
        <v>56065.03</v>
      </c>
    </row>
    <row r="57" customFormat="false" ht="15" hidden="false" customHeight="false" outlineLevel="0" collapsed="false">
      <c r="B57" s="11" t="s">
        <v>132</v>
      </c>
      <c r="D57" s="29" t="n">
        <f aca="false">D55-D56</f>
        <v>-5447.06</v>
      </c>
    </row>
    <row r="59" customFormat="false" ht="15" hidden="false" customHeight="false" outlineLevel="0" collapsed="false">
      <c r="A59" s="10" t="s">
        <v>133</v>
      </c>
    </row>
    <row r="60" customFormat="false" ht="15" hidden="false" customHeight="false" outlineLevel="0" collapsed="false">
      <c r="B60" s="11" t="s">
        <v>162</v>
      </c>
      <c r="D60" s="12" t="n">
        <f aca="false">D98</f>
        <v>115479.14</v>
      </c>
    </row>
    <row r="61" customFormat="false" ht="15" hidden="false" customHeight="false" outlineLevel="0" collapsed="false">
      <c r="B61" s="5" t="s">
        <v>163</v>
      </c>
      <c r="D61" s="6" t="n">
        <f aca="false">F98</f>
        <v>26961.9</v>
      </c>
    </row>
    <row r="62" customFormat="false" ht="15" hidden="false" customHeight="false" outlineLevel="0" collapsed="false">
      <c r="B62" s="30" t="s">
        <v>136</v>
      </c>
      <c r="D62" s="31" t="n">
        <f aca="false">F99</f>
        <v>0.233478531274133</v>
      </c>
    </row>
    <row r="63" customFormat="false" ht="15" hidden="false" customHeight="false" outlineLevel="0" collapsed="false">
      <c r="B63" s="5" t="s">
        <v>164</v>
      </c>
      <c r="D63" s="6" t="n">
        <f aca="false">H98</f>
        <v>88517.24</v>
      </c>
    </row>
    <row r="64" customFormat="false" ht="15" hidden="false" customHeight="false" outlineLevel="0" collapsed="false">
      <c r="B64" s="30" t="s">
        <v>136</v>
      </c>
      <c r="D64" s="31" t="n">
        <f aca="false">H99</f>
        <v>0.766521468725867</v>
      </c>
    </row>
    <row r="66" customFormat="false" ht="15" hidden="false" customHeight="false" outlineLevel="0" collapsed="false">
      <c r="A66" s="10" t="s">
        <v>138</v>
      </c>
    </row>
    <row r="67" customFormat="false" ht="15" hidden="false" customHeight="false" outlineLevel="0" collapsed="false">
      <c r="B67" s="4" t="s">
        <v>139</v>
      </c>
      <c r="D67" s="4" t="s">
        <v>108</v>
      </c>
      <c r="F67" s="4" t="s">
        <v>165</v>
      </c>
      <c r="H67" s="4" t="s">
        <v>141</v>
      </c>
    </row>
    <row r="68" customFormat="false" ht="15" hidden="false" customHeight="false" outlineLevel="0" collapsed="false">
      <c r="B68" s="32" t="s">
        <v>166</v>
      </c>
    </row>
    <row r="69" customFormat="false" ht="15" hidden="false" customHeight="false" outlineLevel="0" collapsed="false">
      <c r="B69" s="5" t="s">
        <v>167</v>
      </c>
      <c r="D69" s="33" t="n">
        <f aca="false">SUM(F69:H69)</f>
        <v>4785.17</v>
      </c>
      <c r="F69" s="33" t="n">
        <v>4785.17</v>
      </c>
    </row>
    <row r="70" customFormat="false" ht="15" hidden="false" customHeight="false" outlineLevel="0" collapsed="false">
      <c r="B70" s="5" t="s">
        <v>168</v>
      </c>
      <c r="D70" s="33" t="n">
        <f aca="false">SUM(F70:H70)</f>
        <v>1941.11</v>
      </c>
      <c r="F70" s="33" t="n">
        <v>1941.11</v>
      </c>
    </row>
    <row r="71" customFormat="false" ht="15" hidden="false" customHeight="false" outlineLevel="0" collapsed="false">
      <c r="B71" s="5" t="s">
        <v>169</v>
      </c>
      <c r="D71" s="33" t="n">
        <f aca="false">SUM(F71:H71)</f>
        <v>7939.87</v>
      </c>
      <c r="F71" s="33" t="n">
        <v>7939.87</v>
      </c>
    </row>
    <row r="72" customFormat="false" ht="15" hidden="false" customHeight="false" outlineLevel="0" collapsed="false">
      <c r="B72" s="5" t="s">
        <v>171</v>
      </c>
      <c r="D72" s="33" t="n">
        <f aca="false">SUM(F72:H72)</f>
        <v>428.82</v>
      </c>
      <c r="F72" s="33" t="n">
        <v>428.82</v>
      </c>
    </row>
    <row r="73" customFormat="false" ht="15" hidden="false" customHeight="false" outlineLevel="0" collapsed="false">
      <c r="B73" s="5" t="s">
        <v>196</v>
      </c>
      <c r="D73" s="33" t="n">
        <f aca="false">SUM(F73:H73)</f>
        <v>183.29</v>
      </c>
      <c r="F73" s="33" t="n">
        <v>183.29</v>
      </c>
    </row>
    <row r="74" customFormat="false" ht="15" hidden="false" customHeight="false" outlineLevel="0" collapsed="false">
      <c r="B74" s="5" t="s">
        <v>197</v>
      </c>
      <c r="D74" s="33" t="n">
        <f aca="false">SUM(F74:H74)</f>
        <v>96.76</v>
      </c>
      <c r="F74" s="33" t="n">
        <v>96.76</v>
      </c>
    </row>
    <row r="75" customFormat="false" ht="15" hidden="false" customHeight="false" outlineLevel="0" collapsed="false">
      <c r="B75" s="5" t="s">
        <v>172</v>
      </c>
      <c r="D75" s="33" t="n">
        <f aca="false">SUM(F75:H75)</f>
        <v>2980.97</v>
      </c>
      <c r="F75" s="33" t="n">
        <v>2980.97</v>
      </c>
    </row>
    <row r="76" customFormat="false" ht="15" hidden="false" customHeight="false" outlineLevel="0" collapsed="false">
      <c r="B76" s="5" t="s">
        <v>173</v>
      </c>
      <c r="D76" s="33" t="n">
        <f aca="false">SUM(F76:H76)</f>
        <v>693.58</v>
      </c>
      <c r="F76" s="33" t="n">
        <v>693.58</v>
      </c>
    </row>
    <row r="77" customFormat="false" ht="15" hidden="false" customHeight="false" outlineLevel="0" collapsed="false">
      <c r="B77" s="5" t="s">
        <v>198</v>
      </c>
      <c r="D77" s="33" t="n">
        <f aca="false">SUM(F77:H77)</f>
        <v>3427.41</v>
      </c>
      <c r="F77" s="33" t="n">
        <v>3427.41</v>
      </c>
    </row>
    <row r="78" customFormat="false" ht="15" hidden="false" customHeight="false" outlineLevel="0" collapsed="false">
      <c r="B78" s="5" t="s">
        <v>175</v>
      </c>
      <c r="D78" s="33" t="n">
        <f aca="false">SUM(F78:H78)</f>
        <v>758.85</v>
      </c>
      <c r="F78" s="33" t="n">
        <v>758.85</v>
      </c>
    </row>
    <row r="79" customFormat="false" ht="15" hidden="false" customHeight="false" outlineLevel="0" collapsed="false">
      <c r="B79" s="5" t="s">
        <v>199</v>
      </c>
      <c r="D79" s="33" t="n">
        <f aca="false">SUM(F79:H79)</f>
        <v>43.2</v>
      </c>
      <c r="F79" s="33" t="n">
        <v>43.2</v>
      </c>
    </row>
    <row r="80" customFormat="false" ht="15" hidden="false" customHeight="false" outlineLevel="0" collapsed="false">
      <c r="B80" s="5" t="s">
        <v>200</v>
      </c>
      <c r="D80" s="33" t="n">
        <f aca="false">SUM(F80:H80)</f>
        <v>3682.87</v>
      </c>
      <c r="F80" s="33" t="n">
        <v>3682.87</v>
      </c>
    </row>
    <row r="81" customFormat="false" ht="15" hidden="false" customHeight="false" outlineLevel="0" collapsed="false">
      <c r="B81" s="32" t="s">
        <v>177</v>
      </c>
    </row>
    <row r="82" customFormat="false" ht="15" hidden="false" customHeight="false" outlineLevel="0" collapsed="false">
      <c r="B82" s="5" t="s">
        <v>178</v>
      </c>
      <c r="D82" s="33" t="n">
        <f aca="false">SUM(F82:H82)</f>
        <v>6281.12</v>
      </c>
      <c r="H82" s="33" t="n">
        <v>6281.12</v>
      </c>
    </row>
    <row r="83" customFormat="false" ht="15" hidden="false" customHeight="false" outlineLevel="0" collapsed="false">
      <c r="B83" s="5" t="s">
        <v>179</v>
      </c>
      <c r="D83" s="33" t="n">
        <f aca="false">SUM(F83:H83)</f>
        <v>12157.7</v>
      </c>
      <c r="H83" s="33" t="n">
        <v>12157.7</v>
      </c>
    </row>
    <row r="84" customFormat="false" ht="15" hidden="false" customHeight="false" outlineLevel="0" collapsed="false">
      <c r="B84" s="5" t="s">
        <v>180</v>
      </c>
      <c r="D84" s="33" t="n">
        <f aca="false">SUM(F84:H84)</f>
        <v>7610.53</v>
      </c>
      <c r="H84" s="33" t="n">
        <v>7610.53</v>
      </c>
    </row>
    <row r="85" customFormat="false" ht="15" hidden="false" customHeight="false" outlineLevel="0" collapsed="false">
      <c r="B85" s="5" t="s">
        <v>181</v>
      </c>
      <c r="D85" s="33" t="n">
        <f aca="false">SUM(F85:H85)</f>
        <v>8437.69</v>
      </c>
      <c r="H85" s="33" t="n">
        <v>8437.69</v>
      </c>
    </row>
    <row r="86" customFormat="false" ht="15" hidden="false" customHeight="false" outlineLevel="0" collapsed="false">
      <c r="B86" s="5" t="s">
        <v>182</v>
      </c>
      <c r="D86" s="33" t="n">
        <f aca="false">SUM(F86:H86)</f>
        <v>6775.13</v>
      </c>
      <c r="H86" s="33" t="n">
        <v>6775.13</v>
      </c>
    </row>
    <row r="87" customFormat="false" ht="15" hidden="false" customHeight="false" outlineLevel="0" collapsed="false">
      <c r="B87" s="5" t="s">
        <v>183</v>
      </c>
      <c r="D87" s="33" t="n">
        <f aca="false">SUM(F87:H87)</f>
        <v>378.96</v>
      </c>
      <c r="H87" s="33" t="n">
        <v>378.96</v>
      </c>
    </row>
    <row r="88" customFormat="false" ht="15" hidden="false" customHeight="false" outlineLevel="0" collapsed="false">
      <c r="B88" s="5" t="s">
        <v>184</v>
      </c>
      <c r="D88" s="33" t="n">
        <f aca="false">SUM(F88:H88)</f>
        <v>10712.7</v>
      </c>
      <c r="H88" s="33" t="n">
        <v>10712.7</v>
      </c>
    </row>
    <row r="89" customFormat="false" ht="15" hidden="false" customHeight="false" outlineLevel="0" collapsed="false">
      <c r="B89" s="5" t="s">
        <v>185</v>
      </c>
      <c r="D89" s="33" t="n">
        <f aca="false">SUM(F89:H89)</f>
        <v>5035.68</v>
      </c>
      <c r="H89" s="33" t="n">
        <v>5035.68</v>
      </c>
    </row>
    <row r="90" customFormat="false" ht="15" hidden="false" customHeight="false" outlineLevel="0" collapsed="false">
      <c r="B90" s="5" t="s">
        <v>186</v>
      </c>
      <c r="D90" s="33" t="n">
        <f aca="false">SUM(F90:H90)</f>
        <v>2117.51</v>
      </c>
      <c r="H90" s="33" t="n">
        <v>2117.51</v>
      </c>
    </row>
    <row r="91" customFormat="false" ht="15" hidden="false" customHeight="false" outlineLevel="0" collapsed="false">
      <c r="B91" s="5" t="s">
        <v>187</v>
      </c>
      <c r="D91" s="33" t="n">
        <f aca="false">SUM(F91:H91)</f>
        <v>3536.09</v>
      </c>
      <c r="H91" s="33" t="n">
        <v>3536.09</v>
      </c>
    </row>
    <row r="92" customFormat="false" ht="15" hidden="false" customHeight="false" outlineLevel="0" collapsed="false">
      <c r="B92" s="5" t="s">
        <v>188</v>
      </c>
      <c r="D92" s="33" t="n">
        <f aca="false">SUM(F92:H92)</f>
        <v>8613.79</v>
      </c>
      <c r="H92" s="33" t="n">
        <v>8613.79</v>
      </c>
    </row>
    <row r="93" customFormat="false" ht="15" hidden="false" customHeight="false" outlineLevel="0" collapsed="false">
      <c r="B93" s="5" t="s">
        <v>189</v>
      </c>
      <c r="D93" s="33" t="n">
        <f aca="false">SUM(F93:H93)</f>
        <v>3604.7</v>
      </c>
      <c r="H93" s="33" t="n">
        <v>3604.7</v>
      </c>
    </row>
    <row r="94" customFormat="false" ht="15" hidden="false" customHeight="false" outlineLevel="0" collapsed="false">
      <c r="B94" s="5" t="s">
        <v>190</v>
      </c>
      <c r="D94" s="33" t="n">
        <f aca="false">SUM(F94:H94)</f>
        <v>868.78</v>
      </c>
      <c r="H94" s="33" t="n">
        <v>868.78</v>
      </c>
    </row>
    <row r="95" customFormat="false" ht="15" hidden="false" customHeight="false" outlineLevel="0" collapsed="false">
      <c r="B95" s="5" t="s">
        <v>192</v>
      </c>
      <c r="D95" s="33" t="n">
        <f aca="false">SUM(F95:H95)</f>
        <v>10912.49</v>
      </c>
      <c r="H95" s="33" t="n">
        <v>10912.49</v>
      </c>
    </row>
    <row r="96" customFormat="false" ht="15" hidden="false" customHeight="false" outlineLevel="0" collapsed="false">
      <c r="B96" s="5" t="s">
        <v>193</v>
      </c>
      <c r="D96" s="33" t="n">
        <f aca="false">SUM(F96:H96)</f>
        <v>662.8</v>
      </c>
      <c r="H96" s="33" t="n">
        <v>662.8</v>
      </c>
    </row>
    <row r="97" customFormat="false" ht="15" hidden="false" customHeight="false" outlineLevel="0" collapsed="false">
      <c r="B97" s="5" t="s">
        <v>202</v>
      </c>
      <c r="D97" s="33" t="n">
        <f aca="false">SUM(F97:H97)</f>
        <v>811.57</v>
      </c>
      <c r="H97" s="33" t="n">
        <v>811.57</v>
      </c>
    </row>
    <row r="98" customFormat="false" ht="15" hidden="false" customHeight="false" outlineLevel="0" collapsed="false">
      <c r="B98" s="11" t="s">
        <v>162</v>
      </c>
      <c r="D98" s="34" t="n">
        <f aca="false">SUM(D68:D97)</f>
        <v>115479.14</v>
      </c>
      <c r="F98" s="34" t="n">
        <f aca="false">SUM(F68:F97)</f>
        <v>26961.9</v>
      </c>
      <c r="H98" s="34" t="n">
        <f aca="false">SUM(H68:H97)</f>
        <v>88517.24</v>
      </c>
    </row>
    <row r="99" customFormat="false" ht="15" hidden="false" customHeight="false" outlineLevel="0" collapsed="false">
      <c r="B99" s="30" t="s">
        <v>136</v>
      </c>
      <c r="F99" s="31" t="n">
        <f aca="false">F98/D98</f>
        <v>0.233478531274133</v>
      </c>
      <c r="H99" s="31" t="n">
        <f aca="false">H98/D98</f>
        <v>0.766521468725867</v>
      </c>
    </row>
    <row r="101" customFormat="false" ht="15" hidden="false" customHeight="false" outlineLevel="0" collapsed="false">
      <c r="A101" s="10" t="s">
        <v>157</v>
      </c>
    </row>
    <row r="102" customFormat="false" ht="15" hidden="false" customHeight="false" outlineLevel="0" collapsed="false">
      <c r="B102" s="4" t="s">
        <v>158</v>
      </c>
      <c r="D102" s="4" t="s">
        <v>108</v>
      </c>
      <c r="F102" s="4" t="s">
        <v>165</v>
      </c>
      <c r="H102" s="4" t="s">
        <v>141</v>
      </c>
    </row>
    <row r="103" customFormat="false" ht="15" hidden="false" customHeight="false" outlineLevel="0" collapsed="false">
      <c r="B103" s="5" t="str">
        <f aca="false">'Building 20'!B18</f>
        <v>1 - Buillding - Apt - 5yr</v>
      </c>
      <c r="D103" s="33" t="n">
        <f aca="false">SUM(F103:H103)</f>
        <v>21279.35</v>
      </c>
      <c r="F103" s="33" t="n">
        <f aca="false">'Building 20'!D18</f>
        <v>21279.35</v>
      </c>
    </row>
    <row r="104" customFormat="false" ht="15" hidden="false" customHeight="false" outlineLevel="0" collapsed="false">
      <c r="B104" s="5" t="str">
        <f aca="false">'Building 20'!B19</f>
        <v>1 - Buillding - Apt - 27.5yr</v>
      </c>
      <c r="D104" s="33" t="n">
        <f aca="false">SUM(F104:H104)</f>
        <v>69861.15</v>
      </c>
      <c r="H104" s="33" t="n">
        <f aca="false">'Building 20'!D19</f>
        <v>69861.15</v>
      </c>
    </row>
    <row r="105" customFormat="false" ht="15" hidden="false" customHeight="false" outlineLevel="0" collapsed="false">
      <c r="B105" s="5" t="str">
        <f aca="false">'Building 20'!B20</f>
        <v>5 - Building - Apt - 5yr</v>
      </c>
      <c r="D105" s="33" t="n">
        <f aca="false">SUM(F105:H105)</f>
        <v>38.76</v>
      </c>
      <c r="F105" s="33" t="n">
        <f aca="false">'Building 20'!D20</f>
        <v>38.76</v>
      </c>
    </row>
    <row r="106" customFormat="false" ht="15" hidden="false" customHeight="false" outlineLevel="0" collapsed="false">
      <c r="B106" s="5" t="str">
        <f aca="false">'Building 20'!B21</f>
        <v>5 - Building - Apt - 27.5yr</v>
      </c>
      <c r="D106" s="33" t="n">
        <f aca="false">SUM(F106:H106)</f>
        <v>127.23</v>
      </c>
      <c r="H106" s="33" t="n">
        <f aca="false">'Building 20'!D21</f>
        <v>127.23</v>
      </c>
    </row>
    <row r="107" customFormat="false" ht="15" hidden="false" customHeight="false" outlineLevel="0" collapsed="false">
      <c r="B107" s="5" t="str">
        <f aca="false">'Building 20'!B22</f>
        <v>3 - Land Improvements - Apt 5yr</v>
      </c>
      <c r="D107" s="33" t="n">
        <f aca="false">SUM(F107:H107)</f>
        <v>2007.48</v>
      </c>
      <c r="F107" s="33" t="n">
        <f aca="false">'Building 20'!D22</f>
        <v>2007.48</v>
      </c>
    </row>
    <row r="108" customFormat="false" ht="15" hidden="false" customHeight="false" outlineLevel="0" collapsed="false">
      <c r="B108" s="5" t="str">
        <f aca="false">'Building 20'!B23</f>
        <v>3 - Land Improvements - Apt 27.5yr</v>
      </c>
      <c r="D108" s="33" t="n">
        <f aca="false">SUM(F108:H108)</f>
        <v>6590.67</v>
      </c>
      <c r="H108" s="33" t="n">
        <f aca="false">'Building 20'!D23</f>
        <v>6590.67</v>
      </c>
    </row>
    <row r="109" customFormat="false" ht="15" hidden="false" customHeight="false" outlineLevel="0" collapsed="false">
      <c r="B109" s="5" t="str">
        <f aca="false">'Building 20'!B24</f>
        <v>4 - Equipment - Apt - 5yr</v>
      </c>
      <c r="D109" s="33" t="n">
        <f aca="false">SUM(F109:H109)</f>
        <v>3636.33</v>
      </c>
      <c r="F109" s="33" t="n">
        <f aca="false">'Building 20'!D24</f>
        <v>3636.33</v>
      </c>
    </row>
    <row r="110" customFormat="false" ht="15" hidden="false" customHeight="false" outlineLevel="0" collapsed="false">
      <c r="B110" s="5" t="str">
        <f aca="false">'Building 20'!B25</f>
        <v>4 - Equipment - Apt - 27.5yr</v>
      </c>
      <c r="D110" s="33" t="n">
        <f aca="false">SUM(F110:H110)</f>
        <v>11938.19</v>
      </c>
      <c r="H110" s="33" t="n">
        <f aca="false">'Building 20'!D25</f>
        <v>11938.19</v>
      </c>
    </row>
    <row r="111" customFormat="false" ht="15" hidden="false" customHeight="false" outlineLevel="0" collapsed="false">
      <c r="B111" s="11" t="s">
        <v>159</v>
      </c>
      <c r="D111" s="34" t="n">
        <f aca="false">SUM(D103:D110)</f>
        <v>115479.16</v>
      </c>
      <c r="F111" s="34" t="n">
        <f aca="false">SUM(F103:F110)</f>
        <v>26961.92</v>
      </c>
      <c r="H111" s="34" t="n">
        <f aca="false">SUM(H103:H110)</f>
        <v>88517.24</v>
      </c>
    </row>
    <row r="112" customFormat="false" ht="15" hidden="false" customHeight="false" outlineLevel="0" collapsed="false">
      <c r="B112" s="16" t="s">
        <v>160</v>
      </c>
      <c r="D112" s="17" t="n">
        <f aca="false">D111-D98</f>
        <v>0.0199999999749707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222</v>
      </c>
    </row>
    <row r="5" customFormat="false" ht="15" hidden="false" customHeight="false" outlineLevel="0" collapsed="false">
      <c r="A5" s="16" t="s">
        <v>102</v>
      </c>
    </row>
    <row r="7" customFormat="false" ht="15" hidden="false" customHeight="false" outlineLevel="0" collapsed="false">
      <c r="A7" s="10" t="s">
        <v>103</v>
      </c>
    </row>
    <row r="8" customFormat="false" ht="15" hidden="false" customHeight="false" outlineLevel="0" collapsed="false">
      <c r="A8" s="21" t="s">
        <v>104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105</v>
      </c>
      <c r="B9" s="4" t="s">
        <v>106</v>
      </c>
      <c r="C9" s="4" t="s">
        <v>107</v>
      </c>
      <c r="D9" s="4" t="s">
        <v>108</v>
      </c>
      <c r="E9" s="4" t="s">
        <v>109</v>
      </c>
      <c r="F9" s="4" t="s">
        <v>110</v>
      </c>
      <c r="G9" s="4" t="s">
        <v>111</v>
      </c>
      <c r="H9" s="4" t="s">
        <v>112</v>
      </c>
      <c r="I9" s="4" t="s">
        <v>113</v>
      </c>
      <c r="J9" s="4" t="s">
        <v>114</v>
      </c>
      <c r="K9" s="4" t="s">
        <v>115</v>
      </c>
      <c r="L9" s="4" t="s">
        <v>116</v>
      </c>
    </row>
    <row r="10" customFormat="false" ht="15" hidden="false" customHeight="false" outlineLevel="0" collapsed="false">
      <c r="A10" s="23" t="n">
        <v>1</v>
      </c>
      <c r="B10" s="23" t="s">
        <v>45</v>
      </c>
      <c r="C10" s="23" t="s">
        <v>35</v>
      </c>
      <c r="D10" s="24" t="n">
        <v>116723.12</v>
      </c>
      <c r="E10" s="24" t="n">
        <v>0</v>
      </c>
      <c r="F10" s="24" t="n">
        <v>0</v>
      </c>
      <c r="G10" s="24" t="n">
        <v>34132.24</v>
      </c>
      <c r="H10" s="24" t="n">
        <v>4244.48</v>
      </c>
      <c r="I10" s="24" t="n">
        <f aca="false">G10+H10</f>
        <v>38376.72</v>
      </c>
      <c r="J10" s="24" t="n">
        <f aca="false">D10-I10</f>
        <v>78346.4</v>
      </c>
      <c r="K10" s="25" t="s">
        <v>117</v>
      </c>
      <c r="L10" s="25" t="s">
        <v>118</v>
      </c>
    </row>
    <row r="11" customFormat="false" ht="15" hidden="false" customHeight="false" outlineLevel="0" collapsed="false">
      <c r="A11" s="23" t="n">
        <v>2</v>
      </c>
      <c r="B11" s="23" t="s">
        <v>46</v>
      </c>
      <c r="C11" s="23" t="s">
        <v>37</v>
      </c>
      <c r="D11" s="24" t="n">
        <v>212.58</v>
      </c>
      <c r="E11" s="24" t="n">
        <v>0</v>
      </c>
      <c r="F11" s="24" t="n">
        <v>0</v>
      </c>
      <c r="G11" s="24" t="n">
        <v>61.56</v>
      </c>
      <c r="H11" s="24" t="n">
        <v>7.73</v>
      </c>
      <c r="I11" s="24" t="n">
        <f aca="false">G11+H11</f>
        <v>69.29</v>
      </c>
      <c r="J11" s="24" t="n">
        <f aca="false">D11-I11</f>
        <v>143.29</v>
      </c>
      <c r="K11" s="25" t="s">
        <v>117</v>
      </c>
      <c r="L11" s="25" t="s">
        <v>118</v>
      </c>
    </row>
    <row r="12" customFormat="false" ht="15" hidden="false" customHeight="false" outlineLevel="0" collapsed="false">
      <c r="A12" s="23" t="n">
        <v>3</v>
      </c>
      <c r="B12" s="23" t="s">
        <v>47</v>
      </c>
      <c r="C12" s="23" t="s">
        <v>35</v>
      </c>
      <c r="D12" s="24" t="n">
        <v>11011.6</v>
      </c>
      <c r="E12" s="24" t="n">
        <v>0</v>
      </c>
      <c r="F12" s="24" t="n">
        <v>0</v>
      </c>
      <c r="G12" s="24" t="n">
        <v>6449.13</v>
      </c>
      <c r="H12" s="24" t="n">
        <v>649.69</v>
      </c>
      <c r="I12" s="24" t="n">
        <f aca="false">G12+H12</f>
        <v>7098.82</v>
      </c>
      <c r="J12" s="24" t="n">
        <f aca="false">D12-I12</f>
        <v>3912.78</v>
      </c>
      <c r="K12" s="25" t="s">
        <v>119</v>
      </c>
      <c r="L12" s="25" t="s">
        <v>120</v>
      </c>
    </row>
    <row r="13" customFormat="false" ht="15" hidden="false" customHeight="false" outlineLevel="0" collapsed="false">
      <c r="A13" s="23" t="n">
        <v>4</v>
      </c>
      <c r="B13" s="23" t="s">
        <v>48</v>
      </c>
      <c r="C13" s="23" t="s">
        <v>35</v>
      </c>
      <c r="D13" s="24" t="n">
        <v>19946.17</v>
      </c>
      <c r="E13" s="24" t="n">
        <v>0</v>
      </c>
      <c r="F13" s="24" t="n">
        <v>0</v>
      </c>
      <c r="G13" s="24" t="n">
        <v>19281.3</v>
      </c>
      <c r="H13" s="24" t="n">
        <v>0</v>
      </c>
      <c r="I13" s="24" t="n">
        <f aca="false">G13+H13</f>
        <v>19281.3</v>
      </c>
      <c r="J13" s="24" t="n">
        <f aca="false">D13-I13</f>
        <v>664.869999999999</v>
      </c>
      <c r="K13" s="25" t="s">
        <v>121</v>
      </c>
      <c r="L13" s="25" t="s">
        <v>122</v>
      </c>
    </row>
    <row r="14" customFormat="false" ht="15" hidden="false" customHeight="false" outlineLevel="0" collapsed="false">
      <c r="A14" s="26"/>
      <c r="B14" s="27" t="s">
        <v>53</v>
      </c>
      <c r="C14" s="26"/>
      <c r="D14" s="28" t="n">
        <f aca="false">SUM(D10:D13)</f>
        <v>147893.47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59924.23</v>
      </c>
      <c r="H14" s="28" t="n">
        <f aca="false">SUM(H10:H13)</f>
        <v>4901.9</v>
      </c>
      <c r="I14" s="28" t="n">
        <f aca="false">SUM(I10:I13)</f>
        <v>64826.13</v>
      </c>
      <c r="J14" s="28" t="n">
        <f aca="false">SUM(J10:J13)</f>
        <v>83067.34</v>
      </c>
      <c r="K14" s="26"/>
      <c r="L14" s="26"/>
    </row>
    <row r="16" customFormat="false" ht="15" hidden="false" customHeight="false" outlineLevel="0" collapsed="false">
      <c r="A16" s="21" t="s">
        <v>123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4" t="s">
        <v>105</v>
      </c>
      <c r="B17" s="4" t="s">
        <v>106</v>
      </c>
      <c r="C17" s="4" t="s">
        <v>107</v>
      </c>
      <c r="D17" s="4" t="s">
        <v>108</v>
      </c>
      <c r="E17" s="4" t="s">
        <v>109</v>
      </c>
      <c r="F17" s="4" t="s">
        <v>110</v>
      </c>
      <c r="G17" s="4" t="s">
        <v>111</v>
      </c>
      <c r="H17" s="4" t="s">
        <v>112</v>
      </c>
      <c r="I17" s="4" t="s">
        <v>113</v>
      </c>
      <c r="J17" s="4" t="s">
        <v>114</v>
      </c>
      <c r="K17" s="4" t="s">
        <v>115</v>
      </c>
      <c r="L17" s="4" t="s">
        <v>116</v>
      </c>
    </row>
    <row r="18" customFormat="false" ht="15" hidden="false" customHeight="false" outlineLevel="0" collapsed="false">
      <c r="A18" s="23" t="n">
        <v>1</v>
      </c>
      <c r="B18" s="23" t="s">
        <v>71</v>
      </c>
      <c r="C18" s="23" t="s">
        <v>35</v>
      </c>
      <c r="D18" s="24" t="n">
        <v>24387.48</v>
      </c>
      <c r="E18" s="24" t="n">
        <v>0</v>
      </c>
      <c r="F18" s="24" t="n">
        <v>0</v>
      </c>
      <c r="G18" s="24" t="n">
        <v>24387.48</v>
      </c>
      <c r="H18" s="24" t="n">
        <v>0</v>
      </c>
      <c r="I18" s="24" t="n">
        <f aca="false">G18+H18</f>
        <v>24387.48</v>
      </c>
      <c r="J18" s="24" t="n">
        <f aca="false">D18-I18</f>
        <v>0</v>
      </c>
      <c r="K18" s="25" t="s">
        <v>121</v>
      </c>
      <c r="L18" s="25" t="s">
        <v>122</v>
      </c>
    </row>
    <row r="19" customFormat="false" ht="15" hidden="false" customHeight="false" outlineLevel="0" collapsed="false">
      <c r="A19" s="23" t="n">
        <v>2</v>
      </c>
      <c r="B19" s="23" t="s">
        <v>72</v>
      </c>
      <c r="C19" s="23" t="s">
        <v>35</v>
      </c>
      <c r="D19" s="24" t="n">
        <v>92335.64</v>
      </c>
      <c r="E19" s="24" t="n">
        <v>0</v>
      </c>
      <c r="F19" s="24" t="n">
        <v>0</v>
      </c>
      <c r="G19" s="24" t="n">
        <v>27001.18</v>
      </c>
      <c r="H19" s="24" t="n">
        <v>3357.66</v>
      </c>
      <c r="I19" s="24" t="n">
        <f aca="false">G19+H19</f>
        <v>30358.84</v>
      </c>
      <c r="J19" s="24" t="n">
        <f aca="false">D19-I19</f>
        <v>61976.8</v>
      </c>
      <c r="K19" s="25" t="s">
        <v>117</v>
      </c>
      <c r="L19" s="25" t="s">
        <v>118</v>
      </c>
    </row>
    <row r="20" customFormat="false" ht="15" hidden="false" customHeight="false" outlineLevel="0" collapsed="false">
      <c r="A20" s="23" t="n">
        <v>3</v>
      </c>
      <c r="B20" s="23" t="s">
        <v>73</v>
      </c>
      <c r="C20" s="23" t="s">
        <v>37</v>
      </c>
      <c r="D20" s="24" t="n">
        <v>44.42</v>
      </c>
      <c r="E20" s="24" t="n">
        <v>0</v>
      </c>
      <c r="F20" s="24" t="n">
        <v>0</v>
      </c>
      <c r="G20" s="24" t="n">
        <v>44.42</v>
      </c>
      <c r="H20" s="24" t="n">
        <v>0</v>
      </c>
      <c r="I20" s="24" t="n">
        <f aca="false">G20+H20</f>
        <v>44.42</v>
      </c>
      <c r="J20" s="24" t="n">
        <f aca="false">D20-I20</f>
        <v>0</v>
      </c>
      <c r="K20" s="25" t="s">
        <v>121</v>
      </c>
      <c r="L20" s="25" t="s">
        <v>122</v>
      </c>
    </row>
    <row r="21" customFormat="false" ht="15" hidden="false" customHeight="false" outlineLevel="0" collapsed="false">
      <c r="A21" s="23" t="n">
        <v>4</v>
      </c>
      <c r="B21" s="23" t="s">
        <v>74</v>
      </c>
      <c r="C21" s="23" t="s">
        <v>37</v>
      </c>
      <c r="D21" s="24" t="n">
        <v>168.16</v>
      </c>
      <c r="E21" s="24" t="n">
        <v>0</v>
      </c>
      <c r="F21" s="24" t="n">
        <v>0</v>
      </c>
      <c r="G21" s="24" t="n">
        <v>48.63</v>
      </c>
      <c r="H21" s="24" t="n">
        <v>6.11</v>
      </c>
      <c r="I21" s="24" t="n">
        <f aca="false">G21+H21</f>
        <v>54.74</v>
      </c>
      <c r="J21" s="24" t="n">
        <f aca="false">D21-I21</f>
        <v>113.42</v>
      </c>
      <c r="K21" s="25" t="s">
        <v>117</v>
      </c>
      <c r="L21" s="25" t="s">
        <v>118</v>
      </c>
    </row>
    <row r="22" customFormat="false" ht="15" hidden="false" customHeight="false" outlineLevel="0" collapsed="false">
      <c r="A22" s="23" t="n">
        <v>5</v>
      </c>
      <c r="B22" s="23" t="s">
        <v>75</v>
      </c>
      <c r="C22" s="23" t="s">
        <v>35</v>
      </c>
      <c r="D22" s="24" t="n">
        <v>2300.7</v>
      </c>
      <c r="E22" s="24" t="n">
        <v>0</v>
      </c>
      <c r="F22" s="24" t="n">
        <v>0</v>
      </c>
      <c r="G22" s="24" t="n">
        <v>2300.7</v>
      </c>
      <c r="H22" s="24" t="n">
        <v>0</v>
      </c>
      <c r="I22" s="24" t="n">
        <f aca="false">G22+H22</f>
        <v>2300.7</v>
      </c>
      <c r="J22" s="24" t="n">
        <f aca="false">D22-I22</f>
        <v>0</v>
      </c>
      <c r="K22" s="25" t="s">
        <v>121</v>
      </c>
      <c r="L22" s="25" t="s">
        <v>122</v>
      </c>
    </row>
    <row r="23" customFormat="false" ht="15" hidden="false" customHeight="false" outlineLevel="0" collapsed="false">
      <c r="A23" s="23" t="n">
        <v>6</v>
      </c>
      <c r="B23" s="23" t="s">
        <v>76</v>
      </c>
      <c r="C23" s="23" t="s">
        <v>35</v>
      </c>
      <c r="D23" s="24" t="n">
        <v>8710.9</v>
      </c>
      <c r="E23" s="24" t="n">
        <v>0</v>
      </c>
      <c r="F23" s="24" t="n">
        <v>0</v>
      </c>
      <c r="G23" s="24" t="n">
        <v>2547.28</v>
      </c>
      <c r="H23" s="24" t="n">
        <v>316.76</v>
      </c>
      <c r="I23" s="24" t="n">
        <f aca="false">G23+H23</f>
        <v>2864.04</v>
      </c>
      <c r="J23" s="24" t="n">
        <f aca="false">D23-I23</f>
        <v>5846.86</v>
      </c>
      <c r="K23" s="25" t="s">
        <v>117</v>
      </c>
      <c r="L23" s="25" t="s">
        <v>118</v>
      </c>
    </row>
    <row r="24" customFormat="false" ht="15" hidden="false" customHeight="false" outlineLevel="0" collapsed="false">
      <c r="A24" s="23" t="n">
        <v>7</v>
      </c>
      <c r="B24" s="23" t="s">
        <v>77</v>
      </c>
      <c r="C24" s="23" t="s">
        <v>35</v>
      </c>
      <c r="D24" s="24" t="n">
        <v>4167.44</v>
      </c>
      <c r="E24" s="24" t="n">
        <v>0</v>
      </c>
      <c r="F24" s="24" t="n">
        <v>0</v>
      </c>
      <c r="G24" s="24" t="n">
        <v>4167.44</v>
      </c>
      <c r="H24" s="24" t="n">
        <v>0</v>
      </c>
      <c r="I24" s="24" t="n">
        <f aca="false">G24+H24</f>
        <v>4167.44</v>
      </c>
      <c r="J24" s="24" t="n">
        <f aca="false">D24-I24</f>
        <v>0</v>
      </c>
      <c r="K24" s="25" t="s">
        <v>121</v>
      </c>
      <c r="L24" s="25" t="s">
        <v>122</v>
      </c>
    </row>
    <row r="25" customFormat="false" ht="15" hidden="false" customHeight="false" outlineLevel="0" collapsed="false">
      <c r="A25" s="23" t="n">
        <v>8</v>
      </c>
      <c r="B25" s="23" t="s">
        <v>78</v>
      </c>
      <c r="C25" s="23" t="s">
        <v>35</v>
      </c>
      <c r="D25" s="24" t="n">
        <v>15778.73</v>
      </c>
      <c r="E25" s="24" t="n">
        <v>0</v>
      </c>
      <c r="F25" s="24" t="n">
        <v>0</v>
      </c>
      <c r="G25" s="24" t="n">
        <v>4614.07</v>
      </c>
      <c r="H25" s="24" t="n">
        <v>573.77</v>
      </c>
      <c r="I25" s="24" t="n">
        <f aca="false">G25+H25</f>
        <v>5187.84</v>
      </c>
      <c r="J25" s="24" t="n">
        <f aca="false">D25-I25</f>
        <v>10590.89</v>
      </c>
      <c r="K25" s="25" t="s">
        <v>117</v>
      </c>
      <c r="L25" s="25" t="s">
        <v>118</v>
      </c>
    </row>
    <row r="26" customFormat="false" ht="15" hidden="false" customHeight="false" outlineLevel="0" collapsed="false">
      <c r="A26" s="26"/>
      <c r="B26" s="27" t="s">
        <v>53</v>
      </c>
      <c r="C26" s="26"/>
      <c r="D26" s="28" t="n">
        <f aca="false">SUM(D18:D25)</f>
        <v>147893.47</v>
      </c>
      <c r="E26" s="28" t="n">
        <f aca="false">SUM(E18:E25)</f>
        <v>0</v>
      </c>
      <c r="F26" s="28" t="n">
        <f aca="false">SUM(F18:F25)</f>
        <v>0</v>
      </c>
      <c r="G26" s="28" t="n">
        <f aca="false">SUM(G18:G25)</f>
        <v>65111.2</v>
      </c>
      <c r="H26" s="28" t="n">
        <f aca="false">SUM(H18:H25)</f>
        <v>4254.3</v>
      </c>
      <c r="I26" s="28" t="n">
        <f aca="false">SUM(I18:I25)</f>
        <v>69365.5</v>
      </c>
      <c r="J26" s="28" t="n">
        <f aca="false">SUM(J18:J25)</f>
        <v>78527.97</v>
      </c>
      <c r="K26" s="26"/>
      <c r="L26" s="26"/>
    </row>
    <row r="28" customFormat="false" ht="15" hidden="false" customHeight="false" outlineLevel="0" collapsed="false">
      <c r="B28" s="18" t="s">
        <v>124</v>
      </c>
    </row>
    <row r="29" customFormat="false" ht="15" hidden="false" customHeight="false" outlineLevel="0" collapsed="false">
      <c r="B29" s="5" t="s">
        <v>125</v>
      </c>
      <c r="D29" s="6" t="n">
        <f aca="false">I14</f>
        <v>64826.13</v>
      </c>
    </row>
    <row r="30" customFormat="false" ht="15" hidden="false" customHeight="false" outlineLevel="0" collapsed="false">
      <c r="B30" s="5" t="s">
        <v>126</v>
      </c>
      <c r="D30" s="6" t="n">
        <f aca="false">I26</f>
        <v>69365.5</v>
      </c>
    </row>
    <row r="31" customFormat="false" ht="15" hidden="false" customHeight="false" outlineLevel="0" collapsed="false">
      <c r="B31" s="11" t="s">
        <v>124</v>
      </c>
      <c r="D31" s="29" t="n">
        <f aca="false">D29-D30</f>
        <v>-4539.37</v>
      </c>
    </row>
    <row r="33" customFormat="false" ht="15" hidden="false" customHeight="false" outlineLevel="0" collapsed="false">
      <c r="A33" s="10" t="s">
        <v>127</v>
      </c>
    </row>
    <row r="34" customFormat="false" ht="15" hidden="false" customHeight="false" outlineLevel="0" collapsed="false">
      <c r="A34" s="21" t="s">
        <v>128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4" t="s">
        <v>105</v>
      </c>
      <c r="B35" s="4" t="s">
        <v>106</v>
      </c>
      <c r="C35" s="4" t="s">
        <v>107</v>
      </c>
      <c r="D35" s="4" t="s">
        <v>108</v>
      </c>
      <c r="E35" s="4" t="s">
        <v>109</v>
      </c>
      <c r="F35" s="4" t="s">
        <v>110</v>
      </c>
      <c r="G35" s="4" t="s">
        <v>129</v>
      </c>
      <c r="H35" s="4" t="s">
        <v>130</v>
      </c>
      <c r="I35" s="4" t="s">
        <v>113</v>
      </c>
      <c r="J35" s="4" t="s">
        <v>114</v>
      </c>
      <c r="K35" s="4" t="s">
        <v>115</v>
      </c>
      <c r="L35" s="4" t="s">
        <v>116</v>
      </c>
    </row>
    <row r="36" customFormat="false" ht="15" hidden="false" customHeight="false" outlineLevel="0" collapsed="false">
      <c r="A36" s="23" t="n">
        <v>1</v>
      </c>
      <c r="B36" s="23" t="s">
        <v>45</v>
      </c>
      <c r="C36" s="23" t="s">
        <v>35</v>
      </c>
      <c r="D36" s="24" t="n">
        <v>116723.12</v>
      </c>
      <c r="E36" s="24" t="n">
        <v>0</v>
      </c>
      <c r="F36" s="24" t="n">
        <v>0</v>
      </c>
      <c r="G36" s="24" t="n">
        <v>34132.24</v>
      </c>
      <c r="H36" s="24" t="n">
        <v>4244.48</v>
      </c>
      <c r="I36" s="24" t="n">
        <f aca="false">G36+H36</f>
        <v>38376.72</v>
      </c>
      <c r="J36" s="24" t="n">
        <f aca="false">D36-I36</f>
        <v>78346.4</v>
      </c>
      <c r="K36" s="25" t="s">
        <v>117</v>
      </c>
      <c r="L36" s="25" t="s">
        <v>118</v>
      </c>
    </row>
    <row r="37" customFormat="false" ht="15" hidden="false" customHeight="false" outlineLevel="0" collapsed="false">
      <c r="A37" s="23" t="n">
        <v>2</v>
      </c>
      <c r="B37" s="23" t="s">
        <v>46</v>
      </c>
      <c r="C37" s="23" t="s">
        <v>37</v>
      </c>
      <c r="D37" s="24" t="n">
        <v>212.58</v>
      </c>
      <c r="E37" s="24" t="n">
        <v>0</v>
      </c>
      <c r="F37" s="24" t="n">
        <v>0</v>
      </c>
      <c r="G37" s="24" t="n">
        <v>61.56</v>
      </c>
      <c r="H37" s="24" t="n">
        <v>7.73</v>
      </c>
      <c r="I37" s="24" t="n">
        <f aca="false">G37+H37</f>
        <v>69.29</v>
      </c>
      <c r="J37" s="24" t="n">
        <f aca="false">D37-I37</f>
        <v>143.29</v>
      </c>
      <c r="K37" s="25" t="s">
        <v>117</v>
      </c>
      <c r="L37" s="25" t="s">
        <v>118</v>
      </c>
    </row>
    <row r="38" customFormat="false" ht="15" hidden="false" customHeight="false" outlineLevel="0" collapsed="false">
      <c r="A38" s="23" t="n">
        <v>3</v>
      </c>
      <c r="B38" s="23" t="s">
        <v>47</v>
      </c>
      <c r="C38" s="23" t="s">
        <v>35</v>
      </c>
      <c r="D38" s="24" t="n">
        <v>11011.6</v>
      </c>
      <c r="E38" s="24" t="n">
        <v>0</v>
      </c>
      <c r="F38" s="24" t="n">
        <v>0</v>
      </c>
      <c r="G38" s="24" t="n">
        <v>6449.13</v>
      </c>
      <c r="H38" s="24" t="n">
        <v>649.69</v>
      </c>
      <c r="I38" s="24" t="n">
        <f aca="false">G38+H38</f>
        <v>7098.82</v>
      </c>
      <c r="J38" s="24" t="n">
        <f aca="false">D38-I38</f>
        <v>3912.78</v>
      </c>
      <c r="K38" s="25" t="s">
        <v>119</v>
      </c>
      <c r="L38" s="25" t="s">
        <v>120</v>
      </c>
    </row>
    <row r="39" customFormat="false" ht="15" hidden="false" customHeight="false" outlineLevel="0" collapsed="false">
      <c r="A39" s="23" t="n">
        <v>4</v>
      </c>
      <c r="B39" s="23" t="s">
        <v>48</v>
      </c>
      <c r="C39" s="23" t="s">
        <v>35</v>
      </c>
      <c r="D39" s="24" t="n">
        <v>19946.17</v>
      </c>
      <c r="E39" s="24" t="n">
        <v>0</v>
      </c>
      <c r="F39" s="24" t="n">
        <v>0</v>
      </c>
      <c r="G39" s="24" t="n">
        <v>19281.3</v>
      </c>
      <c r="H39" s="24" t="n">
        <v>0</v>
      </c>
      <c r="I39" s="24" t="n">
        <f aca="false">G39+H39</f>
        <v>19281.3</v>
      </c>
      <c r="J39" s="24" t="n">
        <f aca="false">D39-I39</f>
        <v>664.869999999999</v>
      </c>
      <c r="K39" s="25" t="s">
        <v>121</v>
      </c>
      <c r="L39" s="25" t="s">
        <v>122</v>
      </c>
    </row>
    <row r="40" customFormat="false" ht="15" hidden="false" customHeight="false" outlineLevel="0" collapsed="false">
      <c r="A40" s="26"/>
      <c r="B40" s="27" t="s">
        <v>53</v>
      </c>
      <c r="C40" s="26"/>
      <c r="D40" s="28" t="n">
        <f aca="false">SUM(D36:D39)</f>
        <v>147893.47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59924.23</v>
      </c>
      <c r="H40" s="28" t="n">
        <f aca="false">SUM(H36:H39)</f>
        <v>4901.9</v>
      </c>
      <c r="I40" s="28" t="n">
        <f aca="false">SUM(I36:I39)</f>
        <v>64826.13</v>
      </c>
      <c r="J40" s="28" t="n">
        <f aca="false">SUM(J36:J39)</f>
        <v>83067.34</v>
      </c>
      <c r="K40" s="26"/>
      <c r="L40" s="26"/>
    </row>
    <row r="42" customFormat="false" ht="15" hidden="false" customHeight="false" outlineLevel="0" collapsed="false">
      <c r="A42" s="21" t="s">
        <v>131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4" t="s">
        <v>105</v>
      </c>
      <c r="B43" s="4" t="s">
        <v>106</v>
      </c>
      <c r="C43" s="4" t="s">
        <v>107</v>
      </c>
      <c r="D43" s="4" t="s">
        <v>108</v>
      </c>
      <c r="E43" s="4" t="s">
        <v>109</v>
      </c>
      <c r="F43" s="4" t="s">
        <v>110</v>
      </c>
      <c r="G43" s="4" t="s">
        <v>129</v>
      </c>
      <c r="H43" s="4" t="s">
        <v>130</v>
      </c>
      <c r="I43" s="4" t="s">
        <v>113</v>
      </c>
      <c r="J43" s="4" t="s">
        <v>114</v>
      </c>
      <c r="K43" s="4" t="s">
        <v>115</v>
      </c>
      <c r="L43" s="4" t="s">
        <v>116</v>
      </c>
    </row>
    <row r="44" customFormat="false" ht="15" hidden="false" customHeight="false" outlineLevel="0" collapsed="false">
      <c r="A44" s="23" t="n">
        <v>1</v>
      </c>
      <c r="B44" s="23" t="s">
        <v>71</v>
      </c>
      <c r="C44" s="23" t="s">
        <v>35</v>
      </c>
      <c r="D44" s="24" t="n">
        <v>24387.48</v>
      </c>
      <c r="E44" s="24" t="n">
        <v>0</v>
      </c>
      <c r="F44" s="24" t="n">
        <v>0</v>
      </c>
      <c r="G44" s="24" t="n">
        <v>24387.48</v>
      </c>
      <c r="H44" s="24" t="n">
        <v>0</v>
      </c>
      <c r="I44" s="24" t="n">
        <f aca="false">G44+H44</f>
        <v>24387.48</v>
      </c>
      <c r="J44" s="24" t="n">
        <f aca="false">D44-I44</f>
        <v>0</v>
      </c>
      <c r="K44" s="25" t="s">
        <v>121</v>
      </c>
      <c r="L44" s="25" t="s">
        <v>122</v>
      </c>
    </row>
    <row r="45" customFormat="false" ht="15" hidden="false" customHeight="false" outlineLevel="0" collapsed="false">
      <c r="A45" s="23" t="n">
        <v>2</v>
      </c>
      <c r="B45" s="23" t="s">
        <v>72</v>
      </c>
      <c r="C45" s="23" t="s">
        <v>35</v>
      </c>
      <c r="D45" s="24" t="n">
        <v>92335.64</v>
      </c>
      <c r="E45" s="24" t="n">
        <v>0</v>
      </c>
      <c r="F45" s="24" t="n">
        <v>0</v>
      </c>
      <c r="G45" s="24" t="n">
        <v>27001.18</v>
      </c>
      <c r="H45" s="24" t="n">
        <v>3357.66</v>
      </c>
      <c r="I45" s="24" t="n">
        <f aca="false">G45+H45</f>
        <v>30358.84</v>
      </c>
      <c r="J45" s="24" t="n">
        <f aca="false">D45-I45</f>
        <v>61976.8</v>
      </c>
      <c r="K45" s="25" t="s">
        <v>117</v>
      </c>
      <c r="L45" s="25" t="s">
        <v>118</v>
      </c>
    </row>
    <row r="46" customFormat="false" ht="15" hidden="false" customHeight="false" outlineLevel="0" collapsed="false">
      <c r="A46" s="23" t="n">
        <v>3</v>
      </c>
      <c r="B46" s="23" t="s">
        <v>73</v>
      </c>
      <c r="C46" s="23" t="s">
        <v>37</v>
      </c>
      <c r="D46" s="24" t="n">
        <v>44.42</v>
      </c>
      <c r="E46" s="24" t="n">
        <v>0</v>
      </c>
      <c r="F46" s="24" t="n">
        <v>0</v>
      </c>
      <c r="G46" s="24" t="n">
        <v>44.42</v>
      </c>
      <c r="H46" s="24" t="n">
        <v>0</v>
      </c>
      <c r="I46" s="24" t="n">
        <f aca="false">G46+H46</f>
        <v>44.42</v>
      </c>
      <c r="J46" s="24" t="n">
        <f aca="false">D46-I46</f>
        <v>0</v>
      </c>
      <c r="K46" s="25" t="s">
        <v>121</v>
      </c>
      <c r="L46" s="25" t="s">
        <v>122</v>
      </c>
    </row>
    <row r="47" customFormat="false" ht="15" hidden="false" customHeight="false" outlineLevel="0" collapsed="false">
      <c r="A47" s="23" t="n">
        <v>4</v>
      </c>
      <c r="B47" s="23" t="s">
        <v>74</v>
      </c>
      <c r="C47" s="23" t="s">
        <v>37</v>
      </c>
      <c r="D47" s="24" t="n">
        <v>168.16</v>
      </c>
      <c r="E47" s="24" t="n">
        <v>0</v>
      </c>
      <c r="F47" s="24" t="n">
        <v>0</v>
      </c>
      <c r="G47" s="24" t="n">
        <v>48.63</v>
      </c>
      <c r="H47" s="24" t="n">
        <v>6.11</v>
      </c>
      <c r="I47" s="24" t="n">
        <f aca="false">G47+H47</f>
        <v>54.74</v>
      </c>
      <c r="J47" s="24" t="n">
        <f aca="false">D47-I47</f>
        <v>113.42</v>
      </c>
      <c r="K47" s="25" t="s">
        <v>117</v>
      </c>
      <c r="L47" s="25" t="s">
        <v>118</v>
      </c>
    </row>
    <row r="48" customFormat="false" ht="15" hidden="false" customHeight="false" outlineLevel="0" collapsed="false">
      <c r="A48" s="23" t="n">
        <v>5</v>
      </c>
      <c r="B48" s="23" t="s">
        <v>75</v>
      </c>
      <c r="C48" s="23" t="s">
        <v>35</v>
      </c>
      <c r="D48" s="24" t="n">
        <v>2300.7</v>
      </c>
      <c r="E48" s="24" t="n">
        <v>0</v>
      </c>
      <c r="F48" s="24" t="n">
        <v>0</v>
      </c>
      <c r="G48" s="24" t="n">
        <v>2300.7</v>
      </c>
      <c r="H48" s="24" t="n">
        <v>0</v>
      </c>
      <c r="I48" s="24" t="n">
        <f aca="false">G48+H48</f>
        <v>2300.7</v>
      </c>
      <c r="J48" s="24" t="n">
        <f aca="false">D48-I48</f>
        <v>0</v>
      </c>
      <c r="K48" s="25" t="s">
        <v>121</v>
      </c>
      <c r="L48" s="25" t="s">
        <v>122</v>
      </c>
    </row>
    <row r="49" customFormat="false" ht="15" hidden="false" customHeight="false" outlineLevel="0" collapsed="false">
      <c r="A49" s="23" t="n">
        <v>6</v>
      </c>
      <c r="B49" s="23" t="s">
        <v>76</v>
      </c>
      <c r="C49" s="23" t="s">
        <v>35</v>
      </c>
      <c r="D49" s="24" t="n">
        <v>8710.9</v>
      </c>
      <c r="E49" s="24" t="n">
        <v>0</v>
      </c>
      <c r="F49" s="24" t="n">
        <v>0</v>
      </c>
      <c r="G49" s="24" t="n">
        <v>2547.28</v>
      </c>
      <c r="H49" s="24" t="n">
        <v>316.76</v>
      </c>
      <c r="I49" s="24" t="n">
        <f aca="false">G49+H49</f>
        <v>2864.04</v>
      </c>
      <c r="J49" s="24" t="n">
        <f aca="false">D49-I49</f>
        <v>5846.86</v>
      </c>
      <c r="K49" s="25" t="s">
        <v>117</v>
      </c>
      <c r="L49" s="25" t="s">
        <v>118</v>
      </c>
    </row>
    <row r="50" customFormat="false" ht="15" hidden="false" customHeight="false" outlineLevel="0" collapsed="false">
      <c r="A50" s="23" t="n">
        <v>7</v>
      </c>
      <c r="B50" s="23" t="s">
        <v>77</v>
      </c>
      <c r="C50" s="23" t="s">
        <v>35</v>
      </c>
      <c r="D50" s="24" t="n">
        <v>4167.44</v>
      </c>
      <c r="E50" s="24" t="n">
        <v>0</v>
      </c>
      <c r="F50" s="24" t="n">
        <v>0</v>
      </c>
      <c r="G50" s="24" t="n">
        <v>4167.44</v>
      </c>
      <c r="H50" s="24" t="n">
        <v>0</v>
      </c>
      <c r="I50" s="24" t="n">
        <f aca="false">G50+H50</f>
        <v>4167.44</v>
      </c>
      <c r="J50" s="24" t="n">
        <f aca="false">D50-I50</f>
        <v>0</v>
      </c>
      <c r="K50" s="25" t="s">
        <v>121</v>
      </c>
      <c r="L50" s="25" t="s">
        <v>122</v>
      </c>
    </row>
    <row r="51" customFormat="false" ht="15" hidden="false" customHeight="false" outlineLevel="0" collapsed="false">
      <c r="A51" s="23" t="n">
        <v>8</v>
      </c>
      <c r="B51" s="23" t="s">
        <v>78</v>
      </c>
      <c r="C51" s="23" t="s">
        <v>35</v>
      </c>
      <c r="D51" s="24" t="n">
        <v>15778.73</v>
      </c>
      <c r="E51" s="24" t="n">
        <v>0</v>
      </c>
      <c r="F51" s="24" t="n">
        <v>0</v>
      </c>
      <c r="G51" s="24" t="n">
        <v>4614.07</v>
      </c>
      <c r="H51" s="24" t="n">
        <v>573.77</v>
      </c>
      <c r="I51" s="24" t="n">
        <f aca="false">G51+H51</f>
        <v>5187.84</v>
      </c>
      <c r="J51" s="24" t="n">
        <f aca="false">D51-I51</f>
        <v>10590.89</v>
      </c>
      <c r="K51" s="25" t="s">
        <v>117</v>
      </c>
      <c r="L51" s="25" t="s">
        <v>118</v>
      </c>
    </row>
    <row r="52" customFormat="false" ht="15" hidden="false" customHeight="false" outlineLevel="0" collapsed="false">
      <c r="A52" s="26"/>
      <c r="B52" s="27" t="s">
        <v>53</v>
      </c>
      <c r="C52" s="26"/>
      <c r="D52" s="28" t="n">
        <f aca="false">SUM(D44:D51)</f>
        <v>147893.47</v>
      </c>
      <c r="E52" s="28" t="n">
        <f aca="false">SUM(E44:E51)</f>
        <v>0</v>
      </c>
      <c r="F52" s="28" t="n">
        <f aca="false">SUM(F44:F51)</f>
        <v>0</v>
      </c>
      <c r="G52" s="28" t="n">
        <f aca="false">SUM(G44:G51)</f>
        <v>65111.2</v>
      </c>
      <c r="H52" s="28" t="n">
        <f aca="false">SUM(H44:H51)</f>
        <v>4254.3</v>
      </c>
      <c r="I52" s="28" t="n">
        <f aca="false">SUM(I44:I51)</f>
        <v>69365.5</v>
      </c>
      <c r="J52" s="28" t="n">
        <f aca="false">SUM(J44:J51)</f>
        <v>78527.97</v>
      </c>
      <c r="K52" s="26"/>
      <c r="L52" s="26"/>
    </row>
    <row r="54" customFormat="false" ht="15" hidden="false" customHeight="false" outlineLevel="0" collapsed="false">
      <c r="B54" s="18" t="s">
        <v>132</v>
      </c>
    </row>
    <row r="55" customFormat="false" ht="15" hidden="false" customHeight="false" outlineLevel="0" collapsed="false">
      <c r="B55" s="5" t="s">
        <v>125</v>
      </c>
      <c r="D55" s="6" t="n">
        <f aca="false">I40</f>
        <v>64826.13</v>
      </c>
    </row>
    <row r="56" customFormat="false" ht="15" hidden="false" customHeight="false" outlineLevel="0" collapsed="false">
      <c r="B56" s="5" t="s">
        <v>126</v>
      </c>
      <c r="D56" s="6" t="n">
        <f aca="false">I52</f>
        <v>69365.5</v>
      </c>
    </row>
    <row r="57" customFormat="false" ht="15" hidden="false" customHeight="false" outlineLevel="0" collapsed="false">
      <c r="B57" s="11" t="s">
        <v>132</v>
      </c>
      <c r="D57" s="29" t="n">
        <f aca="false">D55-D56</f>
        <v>-4539.37</v>
      </c>
    </row>
    <row r="59" customFormat="false" ht="15" hidden="false" customHeight="false" outlineLevel="0" collapsed="false">
      <c r="A59" s="10" t="s">
        <v>133</v>
      </c>
    </row>
    <row r="60" customFormat="false" ht="15" hidden="false" customHeight="false" outlineLevel="0" collapsed="false">
      <c r="B60" s="11" t="s">
        <v>162</v>
      </c>
      <c r="D60" s="12" t="n">
        <f aca="false">D98</f>
        <v>147893.47</v>
      </c>
    </row>
    <row r="61" customFormat="false" ht="15" hidden="false" customHeight="false" outlineLevel="0" collapsed="false">
      <c r="B61" s="5" t="s">
        <v>163</v>
      </c>
      <c r="D61" s="6" t="n">
        <f aca="false">F98</f>
        <v>30900.04</v>
      </c>
    </row>
    <row r="62" customFormat="false" ht="15" hidden="false" customHeight="false" outlineLevel="0" collapsed="false">
      <c r="B62" s="30" t="s">
        <v>136</v>
      </c>
      <c r="D62" s="31" t="n">
        <f aca="false">F99</f>
        <v>0.208934444502519</v>
      </c>
    </row>
    <row r="63" customFormat="false" ht="15" hidden="false" customHeight="false" outlineLevel="0" collapsed="false">
      <c r="B63" s="5" t="s">
        <v>164</v>
      </c>
      <c r="D63" s="6" t="n">
        <f aca="false">H98</f>
        <v>116993.43</v>
      </c>
    </row>
    <row r="64" customFormat="false" ht="15" hidden="false" customHeight="false" outlineLevel="0" collapsed="false">
      <c r="B64" s="30" t="s">
        <v>136</v>
      </c>
      <c r="D64" s="31" t="n">
        <f aca="false">H99</f>
        <v>0.791065555497481</v>
      </c>
    </row>
    <row r="66" customFormat="false" ht="15" hidden="false" customHeight="false" outlineLevel="0" collapsed="false">
      <c r="A66" s="10" t="s">
        <v>138</v>
      </c>
    </row>
    <row r="67" customFormat="false" ht="15" hidden="false" customHeight="false" outlineLevel="0" collapsed="false">
      <c r="B67" s="4" t="s">
        <v>139</v>
      </c>
      <c r="D67" s="4" t="s">
        <v>108</v>
      </c>
      <c r="F67" s="4" t="s">
        <v>165</v>
      </c>
      <c r="H67" s="4" t="s">
        <v>141</v>
      </c>
    </row>
    <row r="68" customFormat="false" ht="15" hidden="false" customHeight="false" outlineLevel="0" collapsed="false">
      <c r="B68" s="32" t="s">
        <v>166</v>
      </c>
    </row>
    <row r="69" customFormat="false" ht="15" hidden="false" customHeight="false" outlineLevel="0" collapsed="false">
      <c r="B69" s="5" t="s">
        <v>167</v>
      </c>
      <c r="D69" s="33" t="n">
        <f aca="false">SUM(F69:H69)</f>
        <v>4901.61</v>
      </c>
      <c r="F69" s="33" t="n">
        <v>4901.61</v>
      </c>
    </row>
    <row r="70" customFormat="false" ht="15" hidden="false" customHeight="false" outlineLevel="0" collapsed="false">
      <c r="B70" s="5" t="s">
        <v>168</v>
      </c>
      <c r="D70" s="33" t="n">
        <f aca="false">SUM(F70:H70)</f>
        <v>2185.54</v>
      </c>
      <c r="F70" s="33" t="n">
        <v>2185.54</v>
      </c>
    </row>
    <row r="71" customFormat="false" ht="15" hidden="false" customHeight="false" outlineLevel="0" collapsed="false">
      <c r="B71" s="5" t="s">
        <v>169</v>
      </c>
      <c r="D71" s="33" t="n">
        <f aca="false">SUM(F71:H71)</f>
        <v>11385.26</v>
      </c>
      <c r="F71" s="33" t="n">
        <v>11385.26</v>
      </c>
    </row>
    <row r="72" customFormat="false" ht="15" hidden="false" customHeight="false" outlineLevel="0" collapsed="false">
      <c r="B72" s="5" t="s">
        <v>171</v>
      </c>
      <c r="D72" s="33" t="n">
        <f aca="false">SUM(F72:H72)</f>
        <v>589.62</v>
      </c>
      <c r="F72" s="33" t="n">
        <v>589.62</v>
      </c>
    </row>
    <row r="73" customFormat="false" ht="15" hidden="false" customHeight="false" outlineLevel="0" collapsed="false">
      <c r="B73" s="5" t="s">
        <v>196</v>
      </c>
      <c r="D73" s="33" t="n">
        <f aca="false">SUM(F73:H73)</f>
        <v>183.29</v>
      </c>
      <c r="F73" s="33" t="n">
        <v>183.29</v>
      </c>
    </row>
    <row r="74" customFormat="false" ht="15" hidden="false" customHeight="false" outlineLevel="0" collapsed="false">
      <c r="B74" s="5" t="s">
        <v>197</v>
      </c>
      <c r="D74" s="33" t="n">
        <f aca="false">SUM(F74:H74)</f>
        <v>96.76</v>
      </c>
      <c r="F74" s="33" t="n">
        <v>96.76</v>
      </c>
    </row>
    <row r="75" customFormat="false" ht="15" hidden="false" customHeight="false" outlineLevel="0" collapsed="false">
      <c r="B75" s="5" t="s">
        <v>172</v>
      </c>
      <c r="D75" s="33" t="n">
        <f aca="false">SUM(F75:H75)</f>
        <v>2980.97</v>
      </c>
      <c r="F75" s="33" t="n">
        <v>2980.97</v>
      </c>
    </row>
    <row r="76" customFormat="false" ht="15" hidden="false" customHeight="false" outlineLevel="0" collapsed="false">
      <c r="B76" s="5" t="s">
        <v>173</v>
      </c>
      <c r="D76" s="33" t="n">
        <f aca="false">SUM(F76:H76)</f>
        <v>994.55</v>
      </c>
      <c r="F76" s="33" t="n">
        <v>994.55</v>
      </c>
    </row>
    <row r="77" customFormat="false" ht="15" hidden="false" customHeight="false" outlineLevel="0" collapsed="false">
      <c r="B77" s="5" t="s">
        <v>198</v>
      </c>
      <c r="D77" s="33" t="n">
        <f aca="false">SUM(F77:H77)</f>
        <v>3427.41</v>
      </c>
      <c r="F77" s="33" t="n">
        <v>3427.41</v>
      </c>
    </row>
    <row r="78" customFormat="false" ht="15" hidden="false" customHeight="false" outlineLevel="0" collapsed="false">
      <c r="B78" s="5" t="s">
        <v>175</v>
      </c>
      <c r="D78" s="33" t="n">
        <f aca="false">SUM(F78:H78)</f>
        <v>428.96</v>
      </c>
      <c r="F78" s="33" t="n">
        <v>428.96</v>
      </c>
    </row>
    <row r="79" customFormat="false" ht="15" hidden="false" customHeight="false" outlineLevel="0" collapsed="false">
      <c r="B79" s="5" t="s">
        <v>199</v>
      </c>
      <c r="D79" s="33" t="n">
        <f aca="false">SUM(F79:H79)</f>
        <v>43.2</v>
      </c>
      <c r="F79" s="33" t="n">
        <v>43.2</v>
      </c>
    </row>
    <row r="80" customFormat="false" ht="15" hidden="false" customHeight="false" outlineLevel="0" collapsed="false">
      <c r="B80" s="5" t="s">
        <v>200</v>
      </c>
      <c r="D80" s="33" t="n">
        <f aca="false">SUM(F80:H80)</f>
        <v>3682.87</v>
      </c>
      <c r="F80" s="33" t="n">
        <v>3682.87</v>
      </c>
    </row>
    <row r="81" customFormat="false" ht="15" hidden="false" customHeight="false" outlineLevel="0" collapsed="false">
      <c r="B81" s="32" t="s">
        <v>177</v>
      </c>
    </row>
    <row r="82" customFormat="false" ht="15" hidden="false" customHeight="false" outlineLevel="0" collapsed="false">
      <c r="B82" s="5" t="s">
        <v>178</v>
      </c>
      <c r="D82" s="33" t="n">
        <f aca="false">SUM(F82:H82)</f>
        <v>8561.68</v>
      </c>
      <c r="H82" s="33" t="n">
        <v>8561.68</v>
      </c>
    </row>
    <row r="83" customFormat="false" ht="15" hidden="false" customHeight="false" outlineLevel="0" collapsed="false">
      <c r="B83" s="5" t="s">
        <v>179</v>
      </c>
      <c r="D83" s="33" t="n">
        <f aca="false">SUM(F83:H83)</f>
        <v>16225.62</v>
      </c>
      <c r="H83" s="33" t="n">
        <v>16225.62</v>
      </c>
    </row>
    <row r="84" customFormat="false" ht="15" hidden="false" customHeight="false" outlineLevel="0" collapsed="false">
      <c r="B84" s="5" t="s">
        <v>180</v>
      </c>
      <c r="D84" s="33" t="n">
        <f aca="false">SUM(F84:H84)</f>
        <v>10992.55</v>
      </c>
      <c r="H84" s="33" t="n">
        <v>10992.55</v>
      </c>
    </row>
    <row r="85" customFormat="false" ht="15" hidden="false" customHeight="false" outlineLevel="0" collapsed="false">
      <c r="B85" s="5" t="s">
        <v>181</v>
      </c>
      <c r="D85" s="33" t="n">
        <f aca="false">SUM(F85:H85)</f>
        <v>12099.12</v>
      </c>
      <c r="H85" s="33" t="n">
        <v>12099.12</v>
      </c>
    </row>
    <row r="86" customFormat="false" ht="15" hidden="false" customHeight="false" outlineLevel="0" collapsed="false">
      <c r="B86" s="5" t="s">
        <v>182</v>
      </c>
      <c r="D86" s="33" t="n">
        <f aca="false">SUM(F86:H86)</f>
        <v>9715.1</v>
      </c>
      <c r="H86" s="33" t="n">
        <v>9715.1</v>
      </c>
    </row>
    <row r="87" customFormat="false" ht="15" hidden="false" customHeight="false" outlineLevel="0" collapsed="false">
      <c r="B87" s="5" t="s">
        <v>183</v>
      </c>
      <c r="D87" s="33" t="n">
        <f aca="false">SUM(F87:H87)</f>
        <v>548.48</v>
      </c>
      <c r="H87" s="33" t="n">
        <v>548.48</v>
      </c>
    </row>
    <row r="88" customFormat="false" ht="15" hidden="false" customHeight="false" outlineLevel="0" collapsed="false">
      <c r="B88" s="5" t="s">
        <v>184</v>
      </c>
      <c r="D88" s="33" t="n">
        <f aca="false">SUM(F88:H88)</f>
        <v>12559.71</v>
      </c>
      <c r="H88" s="33" t="n">
        <v>12559.71</v>
      </c>
    </row>
    <row r="89" customFormat="false" ht="15" hidden="false" customHeight="false" outlineLevel="0" collapsed="false">
      <c r="B89" s="5" t="s">
        <v>185</v>
      </c>
      <c r="D89" s="33" t="n">
        <f aca="false">SUM(F89:H89)</f>
        <v>5680.09</v>
      </c>
      <c r="H89" s="33" t="n">
        <v>5680.09</v>
      </c>
    </row>
    <row r="90" customFormat="false" ht="15" hidden="false" customHeight="false" outlineLevel="0" collapsed="false">
      <c r="B90" s="5" t="s">
        <v>186</v>
      </c>
      <c r="D90" s="33" t="n">
        <f aca="false">SUM(F90:H90)</f>
        <v>2911.57</v>
      </c>
      <c r="H90" s="33" t="n">
        <v>2911.57</v>
      </c>
    </row>
    <row r="91" customFormat="false" ht="15" hidden="false" customHeight="false" outlineLevel="0" collapsed="false">
      <c r="B91" s="5" t="s">
        <v>187</v>
      </c>
      <c r="D91" s="33" t="n">
        <f aca="false">SUM(F91:H91)</f>
        <v>5070.55</v>
      </c>
      <c r="H91" s="33" t="n">
        <v>5070.55</v>
      </c>
    </row>
    <row r="92" customFormat="false" ht="15" hidden="false" customHeight="false" outlineLevel="0" collapsed="false">
      <c r="B92" s="5" t="s">
        <v>188</v>
      </c>
      <c r="D92" s="33" t="n">
        <f aca="false">SUM(F92:H92)</f>
        <v>9837.36</v>
      </c>
      <c r="H92" s="33" t="n">
        <v>9837.36</v>
      </c>
    </row>
    <row r="93" customFormat="false" ht="15" hidden="false" customHeight="false" outlineLevel="0" collapsed="false">
      <c r="B93" s="5" t="s">
        <v>189</v>
      </c>
      <c r="D93" s="33" t="n">
        <f aca="false">SUM(F93:H93)</f>
        <v>4408.6</v>
      </c>
      <c r="H93" s="33" t="n">
        <v>4408.6</v>
      </c>
    </row>
    <row r="94" customFormat="false" ht="15" hidden="false" customHeight="false" outlineLevel="0" collapsed="false">
      <c r="B94" s="5" t="s">
        <v>190</v>
      </c>
      <c r="D94" s="33" t="n">
        <f aca="false">SUM(F94:H94)</f>
        <v>1012.22</v>
      </c>
      <c r="H94" s="33" t="n">
        <v>1012.22</v>
      </c>
    </row>
    <row r="95" customFormat="false" ht="15" hidden="false" customHeight="false" outlineLevel="0" collapsed="false">
      <c r="B95" s="5" t="s">
        <v>192</v>
      </c>
      <c r="D95" s="33" t="n">
        <f aca="false">SUM(F95:H95)</f>
        <v>14327.98</v>
      </c>
      <c r="H95" s="33" t="n">
        <v>14327.98</v>
      </c>
    </row>
    <row r="96" customFormat="false" ht="15" hidden="false" customHeight="false" outlineLevel="0" collapsed="false">
      <c r="B96" s="5" t="s">
        <v>193</v>
      </c>
      <c r="D96" s="33" t="n">
        <f aca="false">SUM(F96:H96)</f>
        <v>1332.99</v>
      </c>
      <c r="H96" s="33" t="n">
        <v>1332.99</v>
      </c>
    </row>
    <row r="97" customFormat="false" ht="15" hidden="false" customHeight="false" outlineLevel="0" collapsed="false">
      <c r="B97" s="5" t="s">
        <v>202</v>
      </c>
      <c r="D97" s="33" t="n">
        <f aca="false">SUM(F97:H97)</f>
        <v>1709.81</v>
      </c>
      <c r="H97" s="33" t="n">
        <v>1709.81</v>
      </c>
    </row>
    <row r="98" customFormat="false" ht="15" hidden="false" customHeight="false" outlineLevel="0" collapsed="false">
      <c r="B98" s="11" t="s">
        <v>162</v>
      </c>
      <c r="D98" s="34" t="n">
        <f aca="false">SUM(D68:D97)</f>
        <v>147893.47</v>
      </c>
      <c r="F98" s="34" t="n">
        <f aca="false">SUM(F68:F97)</f>
        <v>30900.04</v>
      </c>
      <c r="H98" s="34" t="n">
        <f aca="false">SUM(H68:H97)</f>
        <v>116993.43</v>
      </c>
    </row>
    <row r="99" customFormat="false" ht="15" hidden="false" customHeight="false" outlineLevel="0" collapsed="false">
      <c r="B99" s="30" t="s">
        <v>136</v>
      </c>
      <c r="F99" s="31" t="n">
        <f aca="false">F98/D98</f>
        <v>0.208934444502519</v>
      </c>
      <c r="H99" s="31" t="n">
        <f aca="false">H98/D98</f>
        <v>0.791065555497481</v>
      </c>
    </row>
    <row r="101" customFormat="false" ht="15" hidden="false" customHeight="false" outlineLevel="0" collapsed="false">
      <c r="A101" s="10" t="s">
        <v>157</v>
      </c>
    </row>
    <row r="102" customFormat="false" ht="15" hidden="false" customHeight="false" outlineLevel="0" collapsed="false">
      <c r="B102" s="4" t="s">
        <v>158</v>
      </c>
      <c r="D102" s="4" t="s">
        <v>108</v>
      </c>
      <c r="F102" s="4" t="s">
        <v>165</v>
      </c>
      <c r="H102" s="4" t="s">
        <v>141</v>
      </c>
    </row>
    <row r="103" customFormat="false" ht="15" hidden="false" customHeight="false" outlineLevel="0" collapsed="false">
      <c r="B103" s="5" t="str">
        <f aca="false">'Building 21'!B18</f>
        <v>1 - Buillding - Apt - 5yr</v>
      </c>
      <c r="D103" s="33" t="n">
        <f aca="false">SUM(F103:H103)</f>
        <v>24387.48</v>
      </c>
      <c r="F103" s="33" t="n">
        <f aca="false">'Building 21'!D18</f>
        <v>24387.48</v>
      </c>
    </row>
    <row r="104" customFormat="false" ht="15" hidden="false" customHeight="false" outlineLevel="0" collapsed="false">
      <c r="B104" s="5" t="str">
        <f aca="false">'Building 21'!B19</f>
        <v>1 - Buillding - Apt - 27.5yr</v>
      </c>
      <c r="D104" s="33" t="n">
        <f aca="false">SUM(F104:H104)</f>
        <v>92335.64</v>
      </c>
      <c r="H104" s="33" t="n">
        <f aca="false">'Building 21'!D19</f>
        <v>92335.64</v>
      </c>
    </row>
    <row r="105" customFormat="false" ht="15" hidden="false" customHeight="false" outlineLevel="0" collapsed="false">
      <c r="B105" s="5" t="str">
        <f aca="false">'Building 21'!B20</f>
        <v>5 - Building - Apt - 5yr</v>
      </c>
      <c r="D105" s="33" t="n">
        <f aca="false">SUM(F105:H105)</f>
        <v>44.42</v>
      </c>
      <c r="F105" s="33" t="n">
        <f aca="false">'Building 21'!D20</f>
        <v>44.42</v>
      </c>
    </row>
    <row r="106" customFormat="false" ht="15" hidden="false" customHeight="false" outlineLevel="0" collapsed="false">
      <c r="B106" s="5" t="str">
        <f aca="false">'Building 21'!B21</f>
        <v>5 - Building - Apt - 27.5yr</v>
      </c>
      <c r="D106" s="33" t="n">
        <f aca="false">SUM(F106:H106)</f>
        <v>168.16</v>
      </c>
      <c r="H106" s="33" t="n">
        <f aca="false">'Building 21'!D21</f>
        <v>168.16</v>
      </c>
    </row>
    <row r="107" customFormat="false" ht="15" hidden="false" customHeight="false" outlineLevel="0" collapsed="false">
      <c r="B107" s="5" t="str">
        <f aca="false">'Building 21'!B22</f>
        <v>3 - Land Improvements - Apt - 5yr</v>
      </c>
      <c r="D107" s="33" t="n">
        <f aca="false">SUM(F107:H107)</f>
        <v>2300.7</v>
      </c>
      <c r="F107" s="33" t="n">
        <f aca="false">'Building 21'!D22</f>
        <v>2300.7</v>
      </c>
    </row>
    <row r="108" customFormat="false" ht="15" hidden="false" customHeight="false" outlineLevel="0" collapsed="false">
      <c r="B108" s="5" t="str">
        <f aca="false">'Building 21'!B23</f>
        <v>3 - Land Improvements - Apt - 27.5yr</v>
      </c>
      <c r="D108" s="33" t="n">
        <f aca="false">SUM(F108:H108)</f>
        <v>8710.9</v>
      </c>
      <c r="H108" s="33" t="n">
        <f aca="false">'Building 21'!D23</f>
        <v>8710.9</v>
      </c>
    </row>
    <row r="109" customFormat="false" ht="15" hidden="false" customHeight="false" outlineLevel="0" collapsed="false">
      <c r="B109" s="5" t="str">
        <f aca="false">'Building 21'!B24</f>
        <v>4 - Equipment - Apt - 5yr</v>
      </c>
      <c r="D109" s="33" t="n">
        <f aca="false">SUM(F109:H109)</f>
        <v>4167.44</v>
      </c>
      <c r="F109" s="33" t="n">
        <f aca="false">'Building 21'!D24</f>
        <v>4167.44</v>
      </c>
    </row>
    <row r="110" customFormat="false" ht="15" hidden="false" customHeight="false" outlineLevel="0" collapsed="false">
      <c r="B110" s="5" t="str">
        <f aca="false">'Building 21'!B25</f>
        <v>4 - Equipment - Apt - 27.5yr</v>
      </c>
      <c r="D110" s="33" t="n">
        <f aca="false">SUM(F110:H110)</f>
        <v>15778.73</v>
      </c>
      <c r="H110" s="33" t="n">
        <f aca="false">'Building 21'!D25</f>
        <v>15778.73</v>
      </c>
    </row>
    <row r="111" customFormat="false" ht="15" hidden="false" customHeight="false" outlineLevel="0" collapsed="false">
      <c r="B111" s="11" t="s">
        <v>159</v>
      </c>
      <c r="D111" s="34" t="n">
        <f aca="false">SUM(D103:D110)</f>
        <v>147893.47</v>
      </c>
      <c r="F111" s="34" t="n">
        <f aca="false">SUM(F103:F110)</f>
        <v>30900.04</v>
      </c>
      <c r="H111" s="34" t="n">
        <f aca="false">SUM(H103:H110)</f>
        <v>116993.43</v>
      </c>
    </row>
    <row r="112" customFormat="false" ht="15" hidden="false" customHeight="false" outlineLevel="0" collapsed="false">
      <c r="B112" s="16" t="s">
        <v>160</v>
      </c>
      <c r="D112" s="17" t="n">
        <f aca="false">D111-D98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223</v>
      </c>
    </row>
    <row r="5" customFormat="false" ht="15" hidden="false" customHeight="false" outlineLevel="0" collapsed="false">
      <c r="A5" s="16" t="s">
        <v>102</v>
      </c>
    </row>
    <row r="7" customFormat="false" ht="15" hidden="false" customHeight="false" outlineLevel="0" collapsed="false">
      <c r="A7" s="10" t="s">
        <v>103</v>
      </c>
    </row>
    <row r="8" customFormat="false" ht="15" hidden="false" customHeight="false" outlineLevel="0" collapsed="false">
      <c r="A8" s="21" t="s">
        <v>104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105</v>
      </c>
      <c r="B9" s="4" t="s">
        <v>106</v>
      </c>
      <c r="C9" s="4" t="s">
        <v>107</v>
      </c>
      <c r="D9" s="4" t="s">
        <v>108</v>
      </c>
      <c r="E9" s="4" t="s">
        <v>109</v>
      </c>
      <c r="F9" s="4" t="s">
        <v>110</v>
      </c>
      <c r="G9" s="4" t="s">
        <v>111</v>
      </c>
      <c r="H9" s="4" t="s">
        <v>112</v>
      </c>
      <c r="I9" s="4" t="s">
        <v>113</v>
      </c>
      <c r="J9" s="4" t="s">
        <v>114</v>
      </c>
      <c r="K9" s="4" t="s">
        <v>115</v>
      </c>
      <c r="L9" s="4" t="s">
        <v>116</v>
      </c>
    </row>
    <row r="10" customFormat="false" ht="15" hidden="false" customHeight="false" outlineLevel="0" collapsed="false">
      <c r="A10" s="23" t="n">
        <v>1</v>
      </c>
      <c r="B10" s="23" t="s">
        <v>45</v>
      </c>
      <c r="C10" s="23" t="s">
        <v>35</v>
      </c>
      <c r="D10" s="24" t="n">
        <v>116723.12</v>
      </c>
      <c r="E10" s="24" t="n">
        <v>0</v>
      </c>
      <c r="F10" s="24" t="n">
        <v>0</v>
      </c>
      <c r="G10" s="24" t="n">
        <v>34132.24</v>
      </c>
      <c r="H10" s="24" t="n">
        <v>4244.48</v>
      </c>
      <c r="I10" s="24" t="n">
        <f aca="false">G10+H10</f>
        <v>38376.72</v>
      </c>
      <c r="J10" s="24" t="n">
        <f aca="false">D10-I10</f>
        <v>78346.4</v>
      </c>
      <c r="K10" s="25" t="s">
        <v>117</v>
      </c>
      <c r="L10" s="25" t="s">
        <v>118</v>
      </c>
    </row>
    <row r="11" customFormat="false" ht="15" hidden="false" customHeight="false" outlineLevel="0" collapsed="false">
      <c r="A11" s="23" t="n">
        <v>2</v>
      </c>
      <c r="B11" s="23" t="s">
        <v>46</v>
      </c>
      <c r="C11" s="23" t="s">
        <v>37</v>
      </c>
      <c r="D11" s="24" t="n">
        <v>212.58</v>
      </c>
      <c r="E11" s="24" t="n">
        <v>0</v>
      </c>
      <c r="F11" s="24" t="n">
        <v>0</v>
      </c>
      <c r="G11" s="24" t="n">
        <v>61.56</v>
      </c>
      <c r="H11" s="24" t="n">
        <v>7.73</v>
      </c>
      <c r="I11" s="24" t="n">
        <f aca="false">G11+H11</f>
        <v>69.29</v>
      </c>
      <c r="J11" s="24" t="n">
        <f aca="false">D11-I11</f>
        <v>143.29</v>
      </c>
      <c r="K11" s="25" t="s">
        <v>117</v>
      </c>
      <c r="L11" s="25" t="s">
        <v>118</v>
      </c>
    </row>
    <row r="12" customFormat="false" ht="15" hidden="false" customHeight="false" outlineLevel="0" collapsed="false">
      <c r="A12" s="23" t="n">
        <v>3</v>
      </c>
      <c r="B12" s="23" t="s">
        <v>47</v>
      </c>
      <c r="C12" s="23" t="s">
        <v>35</v>
      </c>
      <c r="D12" s="24" t="n">
        <v>11011.6</v>
      </c>
      <c r="E12" s="24" t="n">
        <v>0</v>
      </c>
      <c r="F12" s="24" t="n">
        <v>0</v>
      </c>
      <c r="G12" s="24" t="n">
        <v>6449.13</v>
      </c>
      <c r="H12" s="24" t="n">
        <v>649.69</v>
      </c>
      <c r="I12" s="24" t="n">
        <f aca="false">G12+H12</f>
        <v>7098.82</v>
      </c>
      <c r="J12" s="24" t="n">
        <f aca="false">D12-I12</f>
        <v>3912.78</v>
      </c>
      <c r="K12" s="25" t="s">
        <v>119</v>
      </c>
      <c r="L12" s="25" t="s">
        <v>120</v>
      </c>
    </row>
    <row r="13" customFormat="false" ht="15" hidden="false" customHeight="false" outlineLevel="0" collapsed="false">
      <c r="A13" s="23" t="n">
        <v>4</v>
      </c>
      <c r="B13" s="23" t="s">
        <v>48</v>
      </c>
      <c r="C13" s="23" t="s">
        <v>35</v>
      </c>
      <c r="D13" s="24" t="n">
        <v>19946.17</v>
      </c>
      <c r="E13" s="24" t="n">
        <v>0</v>
      </c>
      <c r="F13" s="24" t="n">
        <v>0</v>
      </c>
      <c r="G13" s="24" t="n">
        <v>19281.3</v>
      </c>
      <c r="H13" s="24" t="n">
        <v>0</v>
      </c>
      <c r="I13" s="24" t="n">
        <f aca="false">G13+H13</f>
        <v>19281.3</v>
      </c>
      <c r="J13" s="24" t="n">
        <f aca="false">D13-I13</f>
        <v>664.869999999999</v>
      </c>
      <c r="K13" s="25" t="s">
        <v>121</v>
      </c>
      <c r="L13" s="25" t="s">
        <v>122</v>
      </c>
    </row>
    <row r="14" customFormat="false" ht="15" hidden="false" customHeight="false" outlineLevel="0" collapsed="false">
      <c r="A14" s="26"/>
      <c r="B14" s="27" t="s">
        <v>53</v>
      </c>
      <c r="C14" s="26"/>
      <c r="D14" s="28" t="n">
        <f aca="false">SUM(D10:D13)</f>
        <v>147893.47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59924.23</v>
      </c>
      <c r="H14" s="28" t="n">
        <f aca="false">SUM(H10:H13)</f>
        <v>4901.9</v>
      </c>
      <c r="I14" s="28" t="n">
        <f aca="false">SUM(I10:I13)</f>
        <v>64826.13</v>
      </c>
      <c r="J14" s="28" t="n">
        <f aca="false">SUM(J10:J13)</f>
        <v>83067.34</v>
      </c>
      <c r="K14" s="26"/>
      <c r="L14" s="26"/>
    </row>
    <row r="16" customFormat="false" ht="15" hidden="false" customHeight="false" outlineLevel="0" collapsed="false">
      <c r="A16" s="21" t="s">
        <v>123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4" t="s">
        <v>105</v>
      </c>
      <c r="B17" s="4" t="s">
        <v>106</v>
      </c>
      <c r="C17" s="4" t="s">
        <v>107</v>
      </c>
      <c r="D17" s="4" t="s">
        <v>108</v>
      </c>
      <c r="E17" s="4" t="s">
        <v>109</v>
      </c>
      <c r="F17" s="4" t="s">
        <v>110</v>
      </c>
      <c r="G17" s="4" t="s">
        <v>111</v>
      </c>
      <c r="H17" s="4" t="s">
        <v>112</v>
      </c>
      <c r="I17" s="4" t="s">
        <v>113</v>
      </c>
      <c r="J17" s="4" t="s">
        <v>114</v>
      </c>
      <c r="K17" s="4" t="s">
        <v>115</v>
      </c>
      <c r="L17" s="4" t="s">
        <v>116</v>
      </c>
    </row>
    <row r="18" customFormat="false" ht="15" hidden="false" customHeight="false" outlineLevel="0" collapsed="false">
      <c r="A18" s="23" t="n">
        <v>1</v>
      </c>
      <c r="B18" s="23" t="s">
        <v>71</v>
      </c>
      <c r="C18" s="23" t="s">
        <v>35</v>
      </c>
      <c r="D18" s="24" t="n">
        <v>24387.48</v>
      </c>
      <c r="E18" s="24" t="n">
        <v>0</v>
      </c>
      <c r="F18" s="24" t="n">
        <v>0</v>
      </c>
      <c r="G18" s="24" t="n">
        <v>24387.48</v>
      </c>
      <c r="H18" s="24" t="n">
        <v>0</v>
      </c>
      <c r="I18" s="24" t="n">
        <f aca="false">G18+H18</f>
        <v>24387.48</v>
      </c>
      <c r="J18" s="24" t="n">
        <f aca="false">D18-I18</f>
        <v>0</v>
      </c>
      <c r="K18" s="25" t="s">
        <v>121</v>
      </c>
      <c r="L18" s="25" t="s">
        <v>122</v>
      </c>
    </row>
    <row r="19" customFormat="false" ht="15" hidden="false" customHeight="false" outlineLevel="0" collapsed="false">
      <c r="A19" s="23" t="n">
        <v>2</v>
      </c>
      <c r="B19" s="23" t="s">
        <v>72</v>
      </c>
      <c r="C19" s="23" t="s">
        <v>35</v>
      </c>
      <c r="D19" s="24" t="n">
        <v>92335.64</v>
      </c>
      <c r="E19" s="24" t="n">
        <v>0</v>
      </c>
      <c r="F19" s="24" t="n">
        <v>0</v>
      </c>
      <c r="G19" s="24" t="n">
        <v>27001.18</v>
      </c>
      <c r="H19" s="24" t="n">
        <v>3357.66</v>
      </c>
      <c r="I19" s="24" t="n">
        <f aca="false">G19+H19</f>
        <v>30358.84</v>
      </c>
      <c r="J19" s="24" t="n">
        <f aca="false">D19-I19</f>
        <v>61976.8</v>
      </c>
      <c r="K19" s="25" t="s">
        <v>117</v>
      </c>
      <c r="L19" s="25" t="s">
        <v>118</v>
      </c>
    </row>
    <row r="20" customFormat="false" ht="15" hidden="false" customHeight="false" outlineLevel="0" collapsed="false">
      <c r="A20" s="23" t="n">
        <v>3</v>
      </c>
      <c r="B20" s="23" t="s">
        <v>73</v>
      </c>
      <c r="C20" s="23" t="s">
        <v>37</v>
      </c>
      <c r="D20" s="24" t="n">
        <v>44.42</v>
      </c>
      <c r="E20" s="24" t="n">
        <v>0</v>
      </c>
      <c r="F20" s="24" t="n">
        <v>0</v>
      </c>
      <c r="G20" s="24" t="n">
        <v>44.42</v>
      </c>
      <c r="H20" s="24" t="n">
        <v>0</v>
      </c>
      <c r="I20" s="24" t="n">
        <f aca="false">G20+H20</f>
        <v>44.42</v>
      </c>
      <c r="J20" s="24" t="n">
        <f aca="false">D20-I20</f>
        <v>0</v>
      </c>
      <c r="K20" s="25" t="s">
        <v>121</v>
      </c>
      <c r="L20" s="25" t="s">
        <v>122</v>
      </c>
    </row>
    <row r="21" customFormat="false" ht="15" hidden="false" customHeight="false" outlineLevel="0" collapsed="false">
      <c r="A21" s="23" t="n">
        <v>4</v>
      </c>
      <c r="B21" s="23" t="s">
        <v>74</v>
      </c>
      <c r="C21" s="23" t="s">
        <v>37</v>
      </c>
      <c r="D21" s="24" t="n">
        <v>168.16</v>
      </c>
      <c r="E21" s="24" t="n">
        <v>0</v>
      </c>
      <c r="F21" s="24" t="n">
        <v>0</v>
      </c>
      <c r="G21" s="24" t="n">
        <v>48.63</v>
      </c>
      <c r="H21" s="24" t="n">
        <v>6.11</v>
      </c>
      <c r="I21" s="24" t="n">
        <f aca="false">G21+H21</f>
        <v>54.74</v>
      </c>
      <c r="J21" s="24" t="n">
        <f aca="false">D21-I21</f>
        <v>113.42</v>
      </c>
      <c r="K21" s="25" t="s">
        <v>117</v>
      </c>
      <c r="L21" s="25" t="s">
        <v>118</v>
      </c>
    </row>
    <row r="22" customFormat="false" ht="15" hidden="false" customHeight="false" outlineLevel="0" collapsed="false">
      <c r="A22" s="23" t="n">
        <v>5</v>
      </c>
      <c r="B22" s="23" t="s">
        <v>75</v>
      </c>
      <c r="C22" s="23" t="s">
        <v>35</v>
      </c>
      <c r="D22" s="24" t="n">
        <v>2300.7</v>
      </c>
      <c r="E22" s="24" t="n">
        <v>0</v>
      </c>
      <c r="F22" s="24" t="n">
        <v>0</v>
      </c>
      <c r="G22" s="24" t="n">
        <v>2300.7</v>
      </c>
      <c r="H22" s="24" t="n">
        <v>0</v>
      </c>
      <c r="I22" s="24" t="n">
        <f aca="false">G22+H22</f>
        <v>2300.7</v>
      </c>
      <c r="J22" s="24" t="n">
        <f aca="false">D22-I22</f>
        <v>0</v>
      </c>
      <c r="K22" s="25" t="s">
        <v>121</v>
      </c>
      <c r="L22" s="25" t="s">
        <v>122</v>
      </c>
    </row>
    <row r="23" customFormat="false" ht="15" hidden="false" customHeight="false" outlineLevel="0" collapsed="false">
      <c r="A23" s="23" t="n">
        <v>6</v>
      </c>
      <c r="B23" s="23" t="s">
        <v>76</v>
      </c>
      <c r="C23" s="23" t="s">
        <v>35</v>
      </c>
      <c r="D23" s="24" t="n">
        <v>8710.9</v>
      </c>
      <c r="E23" s="24" t="n">
        <v>0</v>
      </c>
      <c r="F23" s="24" t="n">
        <v>0</v>
      </c>
      <c r="G23" s="24" t="n">
        <v>2547.28</v>
      </c>
      <c r="H23" s="24" t="n">
        <v>316.76</v>
      </c>
      <c r="I23" s="24" t="n">
        <f aca="false">G23+H23</f>
        <v>2864.04</v>
      </c>
      <c r="J23" s="24" t="n">
        <f aca="false">D23-I23</f>
        <v>5846.86</v>
      </c>
      <c r="K23" s="25" t="s">
        <v>117</v>
      </c>
      <c r="L23" s="25" t="s">
        <v>118</v>
      </c>
    </row>
    <row r="24" customFormat="false" ht="15" hidden="false" customHeight="false" outlineLevel="0" collapsed="false">
      <c r="A24" s="23" t="n">
        <v>7</v>
      </c>
      <c r="B24" s="23" t="s">
        <v>77</v>
      </c>
      <c r="C24" s="23" t="s">
        <v>35</v>
      </c>
      <c r="D24" s="24" t="n">
        <v>4167.44</v>
      </c>
      <c r="E24" s="24" t="n">
        <v>0</v>
      </c>
      <c r="F24" s="24" t="n">
        <v>0</v>
      </c>
      <c r="G24" s="24" t="n">
        <v>4167.44</v>
      </c>
      <c r="H24" s="24" t="n">
        <v>0</v>
      </c>
      <c r="I24" s="24" t="n">
        <f aca="false">G24+H24</f>
        <v>4167.44</v>
      </c>
      <c r="J24" s="24" t="n">
        <f aca="false">D24-I24</f>
        <v>0</v>
      </c>
      <c r="K24" s="25" t="s">
        <v>121</v>
      </c>
      <c r="L24" s="25" t="s">
        <v>122</v>
      </c>
    </row>
    <row r="25" customFormat="false" ht="15" hidden="false" customHeight="false" outlineLevel="0" collapsed="false">
      <c r="A25" s="23" t="n">
        <v>8</v>
      </c>
      <c r="B25" s="23" t="s">
        <v>78</v>
      </c>
      <c r="C25" s="23" t="s">
        <v>35</v>
      </c>
      <c r="D25" s="24" t="n">
        <v>15778.73</v>
      </c>
      <c r="E25" s="24" t="n">
        <v>0</v>
      </c>
      <c r="F25" s="24" t="n">
        <v>0</v>
      </c>
      <c r="G25" s="24" t="n">
        <v>4614.07</v>
      </c>
      <c r="H25" s="24" t="n">
        <v>573.77</v>
      </c>
      <c r="I25" s="24" t="n">
        <f aca="false">G25+H25</f>
        <v>5187.84</v>
      </c>
      <c r="J25" s="24" t="n">
        <f aca="false">D25-I25</f>
        <v>10590.89</v>
      </c>
      <c r="K25" s="25" t="s">
        <v>117</v>
      </c>
      <c r="L25" s="25" t="s">
        <v>118</v>
      </c>
    </row>
    <row r="26" customFormat="false" ht="15" hidden="false" customHeight="false" outlineLevel="0" collapsed="false">
      <c r="A26" s="26"/>
      <c r="B26" s="27" t="s">
        <v>53</v>
      </c>
      <c r="C26" s="26"/>
      <c r="D26" s="28" t="n">
        <f aca="false">SUM(D18:D25)</f>
        <v>147893.47</v>
      </c>
      <c r="E26" s="28" t="n">
        <f aca="false">SUM(E18:E25)</f>
        <v>0</v>
      </c>
      <c r="F26" s="28" t="n">
        <f aca="false">SUM(F18:F25)</f>
        <v>0</v>
      </c>
      <c r="G26" s="28" t="n">
        <f aca="false">SUM(G18:G25)</f>
        <v>65111.2</v>
      </c>
      <c r="H26" s="28" t="n">
        <f aca="false">SUM(H18:H25)</f>
        <v>4254.3</v>
      </c>
      <c r="I26" s="28" t="n">
        <f aca="false">SUM(I18:I25)</f>
        <v>69365.5</v>
      </c>
      <c r="J26" s="28" t="n">
        <f aca="false">SUM(J18:J25)</f>
        <v>78527.97</v>
      </c>
      <c r="K26" s="26"/>
      <c r="L26" s="26"/>
    </row>
    <row r="28" customFormat="false" ht="15" hidden="false" customHeight="false" outlineLevel="0" collapsed="false">
      <c r="B28" s="18" t="s">
        <v>124</v>
      </c>
    </row>
    <row r="29" customFormat="false" ht="15" hidden="false" customHeight="false" outlineLevel="0" collapsed="false">
      <c r="B29" s="5" t="s">
        <v>125</v>
      </c>
      <c r="D29" s="6" t="n">
        <f aca="false">I14</f>
        <v>64826.13</v>
      </c>
    </row>
    <row r="30" customFormat="false" ht="15" hidden="false" customHeight="false" outlineLevel="0" collapsed="false">
      <c r="B30" s="5" t="s">
        <v>126</v>
      </c>
      <c r="D30" s="6" t="n">
        <f aca="false">I26</f>
        <v>69365.5</v>
      </c>
    </row>
    <row r="31" customFormat="false" ht="15" hidden="false" customHeight="false" outlineLevel="0" collapsed="false">
      <c r="B31" s="11" t="s">
        <v>124</v>
      </c>
      <c r="D31" s="29" t="n">
        <f aca="false">D29-D30</f>
        <v>-4539.37</v>
      </c>
    </row>
    <row r="33" customFormat="false" ht="15" hidden="false" customHeight="false" outlineLevel="0" collapsed="false">
      <c r="A33" s="10" t="s">
        <v>127</v>
      </c>
    </row>
    <row r="34" customFormat="false" ht="15" hidden="false" customHeight="false" outlineLevel="0" collapsed="false">
      <c r="A34" s="21" t="s">
        <v>128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4" t="s">
        <v>105</v>
      </c>
      <c r="B35" s="4" t="s">
        <v>106</v>
      </c>
      <c r="C35" s="4" t="s">
        <v>107</v>
      </c>
      <c r="D35" s="4" t="s">
        <v>108</v>
      </c>
      <c r="E35" s="4" t="s">
        <v>109</v>
      </c>
      <c r="F35" s="4" t="s">
        <v>110</v>
      </c>
      <c r="G35" s="4" t="s">
        <v>129</v>
      </c>
      <c r="H35" s="4" t="s">
        <v>130</v>
      </c>
      <c r="I35" s="4" t="s">
        <v>113</v>
      </c>
      <c r="J35" s="4" t="s">
        <v>114</v>
      </c>
      <c r="K35" s="4" t="s">
        <v>115</v>
      </c>
      <c r="L35" s="4" t="s">
        <v>116</v>
      </c>
    </row>
    <row r="36" customFormat="false" ht="15" hidden="false" customHeight="false" outlineLevel="0" collapsed="false">
      <c r="A36" s="23" t="n">
        <v>1</v>
      </c>
      <c r="B36" s="23" t="s">
        <v>45</v>
      </c>
      <c r="C36" s="23" t="s">
        <v>35</v>
      </c>
      <c r="D36" s="24" t="n">
        <v>116723.12</v>
      </c>
      <c r="E36" s="24" t="n">
        <v>0</v>
      </c>
      <c r="F36" s="24" t="n">
        <v>0</v>
      </c>
      <c r="G36" s="24" t="n">
        <v>34132.24</v>
      </c>
      <c r="H36" s="24" t="n">
        <v>4244.48</v>
      </c>
      <c r="I36" s="24" t="n">
        <f aca="false">G36+H36</f>
        <v>38376.72</v>
      </c>
      <c r="J36" s="24" t="n">
        <f aca="false">D36-I36</f>
        <v>78346.4</v>
      </c>
      <c r="K36" s="25" t="s">
        <v>117</v>
      </c>
      <c r="L36" s="25" t="s">
        <v>118</v>
      </c>
    </row>
    <row r="37" customFormat="false" ht="15" hidden="false" customHeight="false" outlineLevel="0" collapsed="false">
      <c r="A37" s="23" t="n">
        <v>2</v>
      </c>
      <c r="B37" s="23" t="s">
        <v>46</v>
      </c>
      <c r="C37" s="23" t="s">
        <v>37</v>
      </c>
      <c r="D37" s="24" t="n">
        <v>212.58</v>
      </c>
      <c r="E37" s="24" t="n">
        <v>0</v>
      </c>
      <c r="F37" s="24" t="n">
        <v>0</v>
      </c>
      <c r="G37" s="24" t="n">
        <v>61.56</v>
      </c>
      <c r="H37" s="24" t="n">
        <v>7.73</v>
      </c>
      <c r="I37" s="24" t="n">
        <f aca="false">G37+H37</f>
        <v>69.29</v>
      </c>
      <c r="J37" s="24" t="n">
        <f aca="false">D37-I37</f>
        <v>143.29</v>
      </c>
      <c r="K37" s="25" t="s">
        <v>117</v>
      </c>
      <c r="L37" s="25" t="s">
        <v>118</v>
      </c>
    </row>
    <row r="38" customFormat="false" ht="15" hidden="false" customHeight="false" outlineLevel="0" collapsed="false">
      <c r="A38" s="23" t="n">
        <v>3</v>
      </c>
      <c r="B38" s="23" t="s">
        <v>47</v>
      </c>
      <c r="C38" s="23" t="s">
        <v>35</v>
      </c>
      <c r="D38" s="24" t="n">
        <v>11011.6</v>
      </c>
      <c r="E38" s="24" t="n">
        <v>0</v>
      </c>
      <c r="F38" s="24" t="n">
        <v>0</v>
      </c>
      <c r="G38" s="24" t="n">
        <v>6449.13</v>
      </c>
      <c r="H38" s="24" t="n">
        <v>649.69</v>
      </c>
      <c r="I38" s="24" t="n">
        <f aca="false">G38+H38</f>
        <v>7098.82</v>
      </c>
      <c r="J38" s="24" t="n">
        <f aca="false">D38-I38</f>
        <v>3912.78</v>
      </c>
      <c r="K38" s="25" t="s">
        <v>119</v>
      </c>
      <c r="L38" s="25" t="s">
        <v>120</v>
      </c>
    </row>
    <row r="39" customFormat="false" ht="15" hidden="false" customHeight="false" outlineLevel="0" collapsed="false">
      <c r="A39" s="23" t="n">
        <v>4</v>
      </c>
      <c r="B39" s="23" t="s">
        <v>48</v>
      </c>
      <c r="C39" s="23" t="s">
        <v>35</v>
      </c>
      <c r="D39" s="24" t="n">
        <v>19946.17</v>
      </c>
      <c r="E39" s="24" t="n">
        <v>0</v>
      </c>
      <c r="F39" s="24" t="n">
        <v>0</v>
      </c>
      <c r="G39" s="24" t="n">
        <v>19281.3</v>
      </c>
      <c r="H39" s="24" t="n">
        <v>0</v>
      </c>
      <c r="I39" s="24" t="n">
        <f aca="false">G39+H39</f>
        <v>19281.3</v>
      </c>
      <c r="J39" s="24" t="n">
        <f aca="false">D39-I39</f>
        <v>664.869999999999</v>
      </c>
      <c r="K39" s="25" t="s">
        <v>121</v>
      </c>
      <c r="L39" s="25" t="s">
        <v>122</v>
      </c>
    </row>
    <row r="40" customFormat="false" ht="15" hidden="false" customHeight="false" outlineLevel="0" collapsed="false">
      <c r="A40" s="26"/>
      <c r="B40" s="27" t="s">
        <v>53</v>
      </c>
      <c r="C40" s="26"/>
      <c r="D40" s="28" t="n">
        <f aca="false">SUM(D36:D39)</f>
        <v>147893.47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59924.23</v>
      </c>
      <c r="H40" s="28" t="n">
        <f aca="false">SUM(H36:H39)</f>
        <v>4901.9</v>
      </c>
      <c r="I40" s="28" t="n">
        <f aca="false">SUM(I36:I39)</f>
        <v>64826.13</v>
      </c>
      <c r="J40" s="28" t="n">
        <f aca="false">SUM(J36:J39)</f>
        <v>83067.34</v>
      </c>
      <c r="K40" s="26"/>
      <c r="L40" s="26"/>
    </row>
    <row r="42" customFormat="false" ht="15" hidden="false" customHeight="false" outlineLevel="0" collapsed="false">
      <c r="A42" s="21" t="s">
        <v>131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4" t="s">
        <v>105</v>
      </c>
      <c r="B43" s="4" t="s">
        <v>106</v>
      </c>
      <c r="C43" s="4" t="s">
        <v>107</v>
      </c>
      <c r="D43" s="4" t="s">
        <v>108</v>
      </c>
      <c r="E43" s="4" t="s">
        <v>109</v>
      </c>
      <c r="F43" s="4" t="s">
        <v>110</v>
      </c>
      <c r="G43" s="4" t="s">
        <v>129</v>
      </c>
      <c r="H43" s="4" t="s">
        <v>130</v>
      </c>
      <c r="I43" s="4" t="s">
        <v>113</v>
      </c>
      <c r="J43" s="4" t="s">
        <v>114</v>
      </c>
      <c r="K43" s="4" t="s">
        <v>115</v>
      </c>
      <c r="L43" s="4" t="s">
        <v>116</v>
      </c>
    </row>
    <row r="44" customFormat="false" ht="15" hidden="false" customHeight="false" outlineLevel="0" collapsed="false">
      <c r="A44" s="23" t="n">
        <v>1</v>
      </c>
      <c r="B44" s="23" t="s">
        <v>71</v>
      </c>
      <c r="C44" s="23" t="s">
        <v>35</v>
      </c>
      <c r="D44" s="24" t="n">
        <v>24387.48</v>
      </c>
      <c r="E44" s="24" t="n">
        <v>0</v>
      </c>
      <c r="F44" s="24" t="n">
        <v>0</v>
      </c>
      <c r="G44" s="24" t="n">
        <v>24387.48</v>
      </c>
      <c r="H44" s="24" t="n">
        <v>0</v>
      </c>
      <c r="I44" s="24" t="n">
        <f aca="false">G44+H44</f>
        <v>24387.48</v>
      </c>
      <c r="J44" s="24" t="n">
        <f aca="false">D44-I44</f>
        <v>0</v>
      </c>
      <c r="K44" s="25" t="s">
        <v>121</v>
      </c>
      <c r="L44" s="25" t="s">
        <v>122</v>
      </c>
    </row>
    <row r="45" customFormat="false" ht="15" hidden="false" customHeight="false" outlineLevel="0" collapsed="false">
      <c r="A45" s="23" t="n">
        <v>2</v>
      </c>
      <c r="B45" s="23" t="s">
        <v>72</v>
      </c>
      <c r="C45" s="23" t="s">
        <v>35</v>
      </c>
      <c r="D45" s="24" t="n">
        <v>92335.64</v>
      </c>
      <c r="E45" s="24" t="n">
        <v>0</v>
      </c>
      <c r="F45" s="24" t="n">
        <v>0</v>
      </c>
      <c r="G45" s="24" t="n">
        <v>27001.18</v>
      </c>
      <c r="H45" s="24" t="n">
        <v>3357.66</v>
      </c>
      <c r="I45" s="24" t="n">
        <f aca="false">G45+H45</f>
        <v>30358.84</v>
      </c>
      <c r="J45" s="24" t="n">
        <f aca="false">D45-I45</f>
        <v>61976.8</v>
      </c>
      <c r="K45" s="25" t="s">
        <v>117</v>
      </c>
      <c r="L45" s="25" t="s">
        <v>118</v>
      </c>
    </row>
    <row r="46" customFormat="false" ht="15" hidden="false" customHeight="false" outlineLevel="0" collapsed="false">
      <c r="A46" s="23" t="n">
        <v>3</v>
      </c>
      <c r="B46" s="23" t="s">
        <v>73</v>
      </c>
      <c r="C46" s="23" t="s">
        <v>37</v>
      </c>
      <c r="D46" s="24" t="n">
        <v>44.42</v>
      </c>
      <c r="E46" s="24" t="n">
        <v>0</v>
      </c>
      <c r="F46" s="24" t="n">
        <v>0</v>
      </c>
      <c r="G46" s="24" t="n">
        <v>44.42</v>
      </c>
      <c r="H46" s="24" t="n">
        <v>0</v>
      </c>
      <c r="I46" s="24" t="n">
        <f aca="false">G46+H46</f>
        <v>44.42</v>
      </c>
      <c r="J46" s="24" t="n">
        <f aca="false">D46-I46</f>
        <v>0</v>
      </c>
      <c r="K46" s="25" t="s">
        <v>121</v>
      </c>
      <c r="L46" s="25" t="s">
        <v>122</v>
      </c>
    </row>
    <row r="47" customFormat="false" ht="15" hidden="false" customHeight="false" outlineLevel="0" collapsed="false">
      <c r="A47" s="23" t="n">
        <v>4</v>
      </c>
      <c r="B47" s="23" t="s">
        <v>74</v>
      </c>
      <c r="C47" s="23" t="s">
        <v>37</v>
      </c>
      <c r="D47" s="24" t="n">
        <v>168.16</v>
      </c>
      <c r="E47" s="24" t="n">
        <v>0</v>
      </c>
      <c r="F47" s="24" t="n">
        <v>0</v>
      </c>
      <c r="G47" s="24" t="n">
        <v>48.63</v>
      </c>
      <c r="H47" s="24" t="n">
        <v>6.11</v>
      </c>
      <c r="I47" s="24" t="n">
        <f aca="false">G47+H47</f>
        <v>54.74</v>
      </c>
      <c r="J47" s="24" t="n">
        <f aca="false">D47-I47</f>
        <v>113.42</v>
      </c>
      <c r="K47" s="25" t="s">
        <v>117</v>
      </c>
      <c r="L47" s="25" t="s">
        <v>118</v>
      </c>
    </row>
    <row r="48" customFormat="false" ht="15" hidden="false" customHeight="false" outlineLevel="0" collapsed="false">
      <c r="A48" s="23" t="n">
        <v>5</v>
      </c>
      <c r="B48" s="23" t="s">
        <v>75</v>
      </c>
      <c r="C48" s="23" t="s">
        <v>35</v>
      </c>
      <c r="D48" s="24" t="n">
        <v>2300.7</v>
      </c>
      <c r="E48" s="24" t="n">
        <v>0</v>
      </c>
      <c r="F48" s="24" t="n">
        <v>0</v>
      </c>
      <c r="G48" s="24" t="n">
        <v>2300.7</v>
      </c>
      <c r="H48" s="24" t="n">
        <v>0</v>
      </c>
      <c r="I48" s="24" t="n">
        <f aca="false">G48+H48</f>
        <v>2300.7</v>
      </c>
      <c r="J48" s="24" t="n">
        <f aca="false">D48-I48</f>
        <v>0</v>
      </c>
      <c r="K48" s="25" t="s">
        <v>121</v>
      </c>
      <c r="L48" s="25" t="s">
        <v>122</v>
      </c>
    </row>
    <row r="49" customFormat="false" ht="15" hidden="false" customHeight="false" outlineLevel="0" collapsed="false">
      <c r="A49" s="23" t="n">
        <v>6</v>
      </c>
      <c r="B49" s="23" t="s">
        <v>76</v>
      </c>
      <c r="C49" s="23" t="s">
        <v>35</v>
      </c>
      <c r="D49" s="24" t="n">
        <v>8710.9</v>
      </c>
      <c r="E49" s="24" t="n">
        <v>0</v>
      </c>
      <c r="F49" s="24" t="n">
        <v>0</v>
      </c>
      <c r="G49" s="24" t="n">
        <v>2547.28</v>
      </c>
      <c r="H49" s="24" t="n">
        <v>316.76</v>
      </c>
      <c r="I49" s="24" t="n">
        <f aca="false">G49+H49</f>
        <v>2864.04</v>
      </c>
      <c r="J49" s="24" t="n">
        <f aca="false">D49-I49</f>
        <v>5846.86</v>
      </c>
      <c r="K49" s="25" t="s">
        <v>117</v>
      </c>
      <c r="L49" s="25" t="s">
        <v>118</v>
      </c>
    </row>
    <row r="50" customFormat="false" ht="15" hidden="false" customHeight="false" outlineLevel="0" collapsed="false">
      <c r="A50" s="23" t="n">
        <v>7</v>
      </c>
      <c r="B50" s="23" t="s">
        <v>77</v>
      </c>
      <c r="C50" s="23" t="s">
        <v>35</v>
      </c>
      <c r="D50" s="24" t="n">
        <v>4167.44</v>
      </c>
      <c r="E50" s="24" t="n">
        <v>0</v>
      </c>
      <c r="F50" s="24" t="n">
        <v>0</v>
      </c>
      <c r="G50" s="24" t="n">
        <v>4167.44</v>
      </c>
      <c r="H50" s="24" t="n">
        <v>0</v>
      </c>
      <c r="I50" s="24" t="n">
        <f aca="false">G50+H50</f>
        <v>4167.44</v>
      </c>
      <c r="J50" s="24" t="n">
        <f aca="false">D50-I50</f>
        <v>0</v>
      </c>
      <c r="K50" s="25" t="s">
        <v>121</v>
      </c>
      <c r="L50" s="25" t="s">
        <v>122</v>
      </c>
    </row>
    <row r="51" customFormat="false" ht="15" hidden="false" customHeight="false" outlineLevel="0" collapsed="false">
      <c r="A51" s="23" t="n">
        <v>8</v>
      </c>
      <c r="B51" s="23" t="s">
        <v>78</v>
      </c>
      <c r="C51" s="23" t="s">
        <v>35</v>
      </c>
      <c r="D51" s="24" t="n">
        <v>15778.73</v>
      </c>
      <c r="E51" s="24" t="n">
        <v>0</v>
      </c>
      <c r="F51" s="24" t="n">
        <v>0</v>
      </c>
      <c r="G51" s="24" t="n">
        <v>4614.07</v>
      </c>
      <c r="H51" s="24" t="n">
        <v>573.77</v>
      </c>
      <c r="I51" s="24" t="n">
        <f aca="false">G51+H51</f>
        <v>5187.84</v>
      </c>
      <c r="J51" s="24" t="n">
        <f aca="false">D51-I51</f>
        <v>10590.89</v>
      </c>
      <c r="K51" s="25" t="s">
        <v>117</v>
      </c>
      <c r="L51" s="25" t="s">
        <v>118</v>
      </c>
    </row>
    <row r="52" customFormat="false" ht="15" hidden="false" customHeight="false" outlineLevel="0" collapsed="false">
      <c r="A52" s="26"/>
      <c r="B52" s="27" t="s">
        <v>53</v>
      </c>
      <c r="C52" s="26"/>
      <c r="D52" s="28" t="n">
        <f aca="false">SUM(D44:D51)</f>
        <v>147893.47</v>
      </c>
      <c r="E52" s="28" t="n">
        <f aca="false">SUM(E44:E51)</f>
        <v>0</v>
      </c>
      <c r="F52" s="28" t="n">
        <f aca="false">SUM(F44:F51)</f>
        <v>0</v>
      </c>
      <c r="G52" s="28" t="n">
        <f aca="false">SUM(G44:G51)</f>
        <v>65111.2</v>
      </c>
      <c r="H52" s="28" t="n">
        <f aca="false">SUM(H44:H51)</f>
        <v>4254.3</v>
      </c>
      <c r="I52" s="28" t="n">
        <f aca="false">SUM(I44:I51)</f>
        <v>69365.5</v>
      </c>
      <c r="J52" s="28" t="n">
        <f aca="false">SUM(J44:J51)</f>
        <v>78527.97</v>
      </c>
      <c r="K52" s="26"/>
      <c r="L52" s="26"/>
    </row>
    <row r="54" customFormat="false" ht="15" hidden="false" customHeight="false" outlineLevel="0" collapsed="false">
      <c r="B54" s="18" t="s">
        <v>132</v>
      </c>
    </row>
    <row r="55" customFormat="false" ht="15" hidden="false" customHeight="false" outlineLevel="0" collapsed="false">
      <c r="B55" s="5" t="s">
        <v>125</v>
      </c>
      <c r="D55" s="6" t="n">
        <f aca="false">I40</f>
        <v>64826.13</v>
      </c>
    </row>
    <row r="56" customFormat="false" ht="15" hidden="false" customHeight="false" outlineLevel="0" collapsed="false">
      <c r="B56" s="5" t="s">
        <v>126</v>
      </c>
      <c r="D56" s="6" t="n">
        <f aca="false">I52</f>
        <v>69365.5</v>
      </c>
    </row>
    <row r="57" customFormat="false" ht="15" hidden="false" customHeight="false" outlineLevel="0" collapsed="false">
      <c r="B57" s="11" t="s">
        <v>132</v>
      </c>
      <c r="D57" s="29" t="n">
        <f aca="false">D55-D56</f>
        <v>-4539.37</v>
      </c>
    </row>
    <row r="59" customFormat="false" ht="15" hidden="false" customHeight="false" outlineLevel="0" collapsed="false">
      <c r="A59" s="10" t="s">
        <v>133</v>
      </c>
    </row>
    <row r="60" customFormat="false" ht="15" hidden="false" customHeight="false" outlineLevel="0" collapsed="false">
      <c r="B60" s="11" t="s">
        <v>162</v>
      </c>
      <c r="D60" s="12" t="n">
        <f aca="false">D98</f>
        <v>147893.47</v>
      </c>
    </row>
    <row r="61" customFormat="false" ht="15" hidden="false" customHeight="false" outlineLevel="0" collapsed="false">
      <c r="B61" s="5" t="s">
        <v>163</v>
      </c>
      <c r="D61" s="6" t="n">
        <f aca="false">F98</f>
        <v>30900.04</v>
      </c>
    </row>
    <row r="62" customFormat="false" ht="15" hidden="false" customHeight="false" outlineLevel="0" collapsed="false">
      <c r="B62" s="30" t="s">
        <v>136</v>
      </c>
      <c r="D62" s="31" t="n">
        <f aca="false">F99</f>
        <v>0.208934444502519</v>
      </c>
    </row>
    <row r="63" customFormat="false" ht="15" hidden="false" customHeight="false" outlineLevel="0" collapsed="false">
      <c r="B63" s="5" t="s">
        <v>164</v>
      </c>
      <c r="D63" s="6" t="n">
        <f aca="false">H98</f>
        <v>116993.43</v>
      </c>
    </row>
    <row r="64" customFormat="false" ht="15" hidden="false" customHeight="false" outlineLevel="0" collapsed="false">
      <c r="B64" s="30" t="s">
        <v>136</v>
      </c>
      <c r="D64" s="31" t="n">
        <f aca="false">H99</f>
        <v>0.791065555497481</v>
      </c>
    </row>
    <row r="66" customFormat="false" ht="15" hidden="false" customHeight="false" outlineLevel="0" collapsed="false">
      <c r="A66" s="10" t="s">
        <v>138</v>
      </c>
    </row>
    <row r="67" customFormat="false" ht="15" hidden="false" customHeight="false" outlineLevel="0" collapsed="false">
      <c r="B67" s="4" t="s">
        <v>139</v>
      </c>
      <c r="D67" s="4" t="s">
        <v>108</v>
      </c>
      <c r="F67" s="4" t="s">
        <v>165</v>
      </c>
      <c r="H67" s="4" t="s">
        <v>141</v>
      </c>
    </row>
    <row r="68" customFormat="false" ht="15" hidden="false" customHeight="false" outlineLevel="0" collapsed="false">
      <c r="B68" s="32" t="s">
        <v>166</v>
      </c>
    </row>
    <row r="69" customFormat="false" ht="15" hidden="false" customHeight="false" outlineLevel="0" collapsed="false">
      <c r="B69" s="5" t="s">
        <v>167</v>
      </c>
      <c r="D69" s="33" t="n">
        <f aca="false">SUM(F69:H69)</f>
        <v>4901.61</v>
      </c>
      <c r="F69" s="33" t="n">
        <v>4901.61</v>
      </c>
    </row>
    <row r="70" customFormat="false" ht="15" hidden="false" customHeight="false" outlineLevel="0" collapsed="false">
      <c r="B70" s="5" t="s">
        <v>168</v>
      </c>
      <c r="D70" s="33" t="n">
        <f aca="false">SUM(F70:H70)</f>
        <v>2185.54</v>
      </c>
      <c r="F70" s="33" t="n">
        <v>2185.54</v>
      </c>
    </row>
    <row r="71" customFormat="false" ht="15" hidden="false" customHeight="false" outlineLevel="0" collapsed="false">
      <c r="B71" s="5" t="s">
        <v>169</v>
      </c>
      <c r="D71" s="33" t="n">
        <f aca="false">SUM(F71:H71)</f>
        <v>11385.26</v>
      </c>
      <c r="F71" s="33" t="n">
        <v>11385.26</v>
      </c>
    </row>
    <row r="72" customFormat="false" ht="15" hidden="false" customHeight="false" outlineLevel="0" collapsed="false">
      <c r="B72" s="5" t="s">
        <v>171</v>
      </c>
      <c r="D72" s="33" t="n">
        <f aca="false">SUM(F72:H72)</f>
        <v>589.62</v>
      </c>
      <c r="F72" s="33" t="n">
        <v>589.62</v>
      </c>
    </row>
    <row r="73" customFormat="false" ht="15" hidden="false" customHeight="false" outlineLevel="0" collapsed="false">
      <c r="B73" s="5" t="s">
        <v>196</v>
      </c>
      <c r="D73" s="33" t="n">
        <f aca="false">SUM(F73:H73)</f>
        <v>183.29</v>
      </c>
      <c r="F73" s="33" t="n">
        <v>183.29</v>
      </c>
    </row>
    <row r="74" customFormat="false" ht="15" hidden="false" customHeight="false" outlineLevel="0" collapsed="false">
      <c r="B74" s="5" t="s">
        <v>197</v>
      </c>
      <c r="D74" s="33" t="n">
        <f aca="false">SUM(F74:H74)</f>
        <v>96.76</v>
      </c>
      <c r="F74" s="33" t="n">
        <v>96.76</v>
      </c>
    </row>
    <row r="75" customFormat="false" ht="15" hidden="false" customHeight="false" outlineLevel="0" collapsed="false">
      <c r="B75" s="5" t="s">
        <v>172</v>
      </c>
      <c r="D75" s="33" t="n">
        <f aca="false">SUM(F75:H75)</f>
        <v>2980.97</v>
      </c>
      <c r="F75" s="33" t="n">
        <v>2980.97</v>
      </c>
    </row>
    <row r="76" customFormat="false" ht="15" hidden="false" customHeight="false" outlineLevel="0" collapsed="false">
      <c r="B76" s="5" t="s">
        <v>173</v>
      </c>
      <c r="D76" s="33" t="n">
        <f aca="false">SUM(F76:H76)</f>
        <v>994.55</v>
      </c>
      <c r="F76" s="33" t="n">
        <v>994.55</v>
      </c>
    </row>
    <row r="77" customFormat="false" ht="15" hidden="false" customHeight="false" outlineLevel="0" collapsed="false">
      <c r="B77" s="5" t="s">
        <v>198</v>
      </c>
      <c r="D77" s="33" t="n">
        <f aca="false">SUM(F77:H77)</f>
        <v>3427.41</v>
      </c>
      <c r="F77" s="33" t="n">
        <v>3427.41</v>
      </c>
    </row>
    <row r="78" customFormat="false" ht="15" hidden="false" customHeight="false" outlineLevel="0" collapsed="false">
      <c r="B78" s="5" t="s">
        <v>175</v>
      </c>
      <c r="D78" s="33" t="n">
        <f aca="false">SUM(F78:H78)</f>
        <v>428.96</v>
      </c>
      <c r="F78" s="33" t="n">
        <v>428.96</v>
      </c>
    </row>
    <row r="79" customFormat="false" ht="15" hidden="false" customHeight="false" outlineLevel="0" collapsed="false">
      <c r="B79" s="5" t="s">
        <v>199</v>
      </c>
      <c r="D79" s="33" t="n">
        <f aca="false">SUM(F79:H79)</f>
        <v>43.2</v>
      </c>
      <c r="F79" s="33" t="n">
        <v>43.2</v>
      </c>
    </row>
    <row r="80" customFormat="false" ht="15" hidden="false" customHeight="false" outlineLevel="0" collapsed="false">
      <c r="B80" s="5" t="s">
        <v>200</v>
      </c>
      <c r="D80" s="33" t="n">
        <f aca="false">SUM(F80:H80)</f>
        <v>3682.87</v>
      </c>
      <c r="F80" s="33" t="n">
        <v>3682.87</v>
      </c>
    </row>
    <row r="81" customFormat="false" ht="15" hidden="false" customHeight="false" outlineLevel="0" collapsed="false">
      <c r="B81" s="32" t="s">
        <v>177</v>
      </c>
    </row>
    <row r="82" customFormat="false" ht="15" hidden="false" customHeight="false" outlineLevel="0" collapsed="false">
      <c r="B82" s="5" t="s">
        <v>178</v>
      </c>
      <c r="D82" s="33" t="n">
        <f aca="false">SUM(F82:H82)</f>
        <v>8561.68</v>
      </c>
      <c r="H82" s="33" t="n">
        <v>8561.68</v>
      </c>
    </row>
    <row r="83" customFormat="false" ht="15" hidden="false" customHeight="false" outlineLevel="0" collapsed="false">
      <c r="B83" s="5" t="s">
        <v>179</v>
      </c>
      <c r="D83" s="33" t="n">
        <f aca="false">SUM(F83:H83)</f>
        <v>16225.62</v>
      </c>
      <c r="H83" s="33" t="n">
        <v>16225.62</v>
      </c>
    </row>
    <row r="84" customFormat="false" ht="15" hidden="false" customHeight="false" outlineLevel="0" collapsed="false">
      <c r="B84" s="5" t="s">
        <v>180</v>
      </c>
      <c r="D84" s="33" t="n">
        <f aca="false">SUM(F84:H84)</f>
        <v>10992.55</v>
      </c>
      <c r="H84" s="33" t="n">
        <v>10992.55</v>
      </c>
    </row>
    <row r="85" customFormat="false" ht="15" hidden="false" customHeight="false" outlineLevel="0" collapsed="false">
      <c r="B85" s="5" t="s">
        <v>181</v>
      </c>
      <c r="D85" s="33" t="n">
        <f aca="false">SUM(F85:H85)</f>
        <v>12099.12</v>
      </c>
      <c r="H85" s="33" t="n">
        <v>12099.12</v>
      </c>
    </row>
    <row r="86" customFormat="false" ht="15" hidden="false" customHeight="false" outlineLevel="0" collapsed="false">
      <c r="B86" s="5" t="s">
        <v>182</v>
      </c>
      <c r="D86" s="33" t="n">
        <f aca="false">SUM(F86:H86)</f>
        <v>9715.1</v>
      </c>
      <c r="H86" s="33" t="n">
        <v>9715.1</v>
      </c>
    </row>
    <row r="87" customFormat="false" ht="15" hidden="false" customHeight="false" outlineLevel="0" collapsed="false">
      <c r="B87" s="5" t="s">
        <v>183</v>
      </c>
      <c r="D87" s="33" t="n">
        <f aca="false">SUM(F87:H87)</f>
        <v>548.48</v>
      </c>
      <c r="H87" s="33" t="n">
        <v>548.48</v>
      </c>
    </row>
    <row r="88" customFormat="false" ht="15" hidden="false" customHeight="false" outlineLevel="0" collapsed="false">
      <c r="B88" s="5" t="s">
        <v>184</v>
      </c>
      <c r="D88" s="33" t="n">
        <f aca="false">SUM(F88:H88)</f>
        <v>12559.71</v>
      </c>
      <c r="H88" s="33" t="n">
        <v>12559.71</v>
      </c>
    </row>
    <row r="89" customFormat="false" ht="15" hidden="false" customHeight="false" outlineLevel="0" collapsed="false">
      <c r="B89" s="5" t="s">
        <v>185</v>
      </c>
      <c r="D89" s="33" t="n">
        <f aca="false">SUM(F89:H89)</f>
        <v>5680.09</v>
      </c>
      <c r="H89" s="33" t="n">
        <v>5680.09</v>
      </c>
    </row>
    <row r="90" customFormat="false" ht="15" hidden="false" customHeight="false" outlineLevel="0" collapsed="false">
      <c r="B90" s="5" t="s">
        <v>186</v>
      </c>
      <c r="D90" s="33" t="n">
        <f aca="false">SUM(F90:H90)</f>
        <v>2911.57</v>
      </c>
      <c r="H90" s="33" t="n">
        <v>2911.57</v>
      </c>
    </row>
    <row r="91" customFormat="false" ht="15" hidden="false" customHeight="false" outlineLevel="0" collapsed="false">
      <c r="B91" s="5" t="s">
        <v>187</v>
      </c>
      <c r="D91" s="33" t="n">
        <f aca="false">SUM(F91:H91)</f>
        <v>5070.55</v>
      </c>
      <c r="H91" s="33" t="n">
        <v>5070.55</v>
      </c>
    </row>
    <row r="92" customFormat="false" ht="15" hidden="false" customHeight="false" outlineLevel="0" collapsed="false">
      <c r="B92" s="5" t="s">
        <v>188</v>
      </c>
      <c r="D92" s="33" t="n">
        <f aca="false">SUM(F92:H92)</f>
        <v>9837.36</v>
      </c>
      <c r="H92" s="33" t="n">
        <v>9837.36</v>
      </c>
    </row>
    <row r="93" customFormat="false" ht="15" hidden="false" customHeight="false" outlineLevel="0" collapsed="false">
      <c r="B93" s="5" t="s">
        <v>189</v>
      </c>
      <c r="D93" s="33" t="n">
        <f aca="false">SUM(F93:H93)</f>
        <v>4408.6</v>
      </c>
      <c r="H93" s="33" t="n">
        <v>4408.6</v>
      </c>
    </row>
    <row r="94" customFormat="false" ht="15" hidden="false" customHeight="false" outlineLevel="0" collapsed="false">
      <c r="B94" s="5" t="s">
        <v>190</v>
      </c>
      <c r="D94" s="33" t="n">
        <f aca="false">SUM(F94:H94)</f>
        <v>1012.22</v>
      </c>
      <c r="H94" s="33" t="n">
        <v>1012.22</v>
      </c>
    </row>
    <row r="95" customFormat="false" ht="15" hidden="false" customHeight="false" outlineLevel="0" collapsed="false">
      <c r="B95" s="5" t="s">
        <v>192</v>
      </c>
      <c r="D95" s="33" t="n">
        <f aca="false">SUM(F95:H95)</f>
        <v>14327.98</v>
      </c>
      <c r="H95" s="33" t="n">
        <v>14327.98</v>
      </c>
    </row>
    <row r="96" customFormat="false" ht="15" hidden="false" customHeight="false" outlineLevel="0" collapsed="false">
      <c r="B96" s="5" t="s">
        <v>193</v>
      </c>
      <c r="D96" s="33" t="n">
        <f aca="false">SUM(F96:H96)</f>
        <v>1332.99</v>
      </c>
      <c r="H96" s="33" t="n">
        <v>1332.99</v>
      </c>
    </row>
    <row r="97" customFormat="false" ht="15" hidden="false" customHeight="false" outlineLevel="0" collapsed="false">
      <c r="B97" s="5" t="s">
        <v>202</v>
      </c>
      <c r="D97" s="33" t="n">
        <f aca="false">SUM(F97:H97)</f>
        <v>1709.81</v>
      </c>
      <c r="H97" s="33" t="n">
        <v>1709.81</v>
      </c>
    </row>
    <row r="98" customFormat="false" ht="15" hidden="false" customHeight="false" outlineLevel="0" collapsed="false">
      <c r="B98" s="11" t="s">
        <v>162</v>
      </c>
      <c r="D98" s="34" t="n">
        <f aca="false">SUM(D68:D97)</f>
        <v>147893.47</v>
      </c>
      <c r="F98" s="34" t="n">
        <f aca="false">SUM(F68:F97)</f>
        <v>30900.04</v>
      </c>
      <c r="H98" s="34" t="n">
        <f aca="false">SUM(H68:H97)</f>
        <v>116993.43</v>
      </c>
    </row>
    <row r="99" customFormat="false" ht="15" hidden="false" customHeight="false" outlineLevel="0" collapsed="false">
      <c r="B99" s="30" t="s">
        <v>136</v>
      </c>
      <c r="F99" s="31" t="n">
        <f aca="false">F98/D98</f>
        <v>0.208934444502519</v>
      </c>
      <c r="H99" s="31" t="n">
        <f aca="false">H98/D98</f>
        <v>0.791065555497481</v>
      </c>
    </row>
    <row r="101" customFormat="false" ht="15" hidden="false" customHeight="false" outlineLevel="0" collapsed="false">
      <c r="A101" s="10" t="s">
        <v>157</v>
      </c>
    </row>
    <row r="102" customFormat="false" ht="15" hidden="false" customHeight="false" outlineLevel="0" collapsed="false">
      <c r="B102" s="4" t="s">
        <v>158</v>
      </c>
      <c r="D102" s="4" t="s">
        <v>108</v>
      </c>
      <c r="F102" s="4" t="s">
        <v>165</v>
      </c>
      <c r="H102" s="4" t="s">
        <v>141</v>
      </c>
    </row>
    <row r="103" customFormat="false" ht="15" hidden="false" customHeight="false" outlineLevel="0" collapsed="false">
      <c r="B103" s="5" t="str">
        <f aca="false">'Building 22'!B18</f>
        <v>1 - Buillding - Apt - 5yr</v>
      </c>
      <c r="D103" s="33" t="n">
        <f aca="false">SUM(F103:H103)</f>
        <v>24387.48</v>
      </c>
      <c r="F103" s="33" t="n">
        <f aca="false">'Building 22'!D18</f>
        <v>24387.48</v>
      </c>
    </row>
    <row r="104" customFormat="false" ht="15" hidden="false" customHeight="false" outlineLevel="0" collapsed="false">
      <c r="B104" s="5" t="str">
        <f aca="false">'Building 22'!B19</f>
        <v>1 - Buillding - Apt - 27.5yr</v>
      </c>
      <c r="D104" s="33" t="n">
        <f aca="false">SUM(F104:H104)</f>
        <v>92335.64</v>
      </c>
      <c r="H104" s="33" t="n">
        <f aca="false">'Building 22'!D19</f>
        <v>92335.64</v>
      </c>
    </row>
    <row r="105" customFormat="false" ht="15" hidden="false" customHeight="false" outlineLevel="0" collapsed="false">
      <c r="B105" s="5" t="str">
        <f aca="false">'Building 22'!B20</f>
        <v>5 - Building - Apt - 5yr</v>
      </c>
      <c r="D105" s="33" t="n">
        <f aca="false">SUM(F105:H105)</f>
        <v>44.42</v>
      </c>
      <c r="F105" s="33" t="n">
        <f aca="false">'Building 22'!D20</f>
        <v>44.42</v>
      </c>
    </row>
    <row r="106" customFormat="false" ht="15" hidden="false" customHeight="false" outlineLevel="0" collapsed="false">
      <c r="B106" s="5" t="str">
        <f aca="false">'Building 22'!B21</f>
        <v>5 - Building - Apt - 27.5yr</v>
      </c>
      <c r="D106" s="33" t="n">
        <f aca="false">SUM(F106:H106)</f>
        <v>168.16</v>
      </c>
      <c r="H106" s="33" t="n">
        <f aca="false">'Building 22'!D21</f>
        <v>168.16</v>
      </c>
    </row>
    <row r="107" customFormat="false" ht="15" hidden="false" customHeight="false" outlineLevel="0" collapsed="false">
      <c r="B107" s="5" t="str">
        <f aca="false">'Building 22'!B22</f>
        <v>3 - Land Improvements - Apt - 5yr</v>
      </c>
      <c r="D107" s="33" t="n">
        <f aca="false">SUM(F107:H107)</f>
        <v>2300.7</v>
      </c>
      <c r="F107" s="33" t="n">
        <f aca="false">'Building 22'!D22</f>
        <v>2300.7</v>
      </c>
    </row>
    <row r="108" customFormat="false" ht="15" hidden="false" customHeight="false" outlineLevel="0" collapsed="false">
      <c r="B108" s="5" t="str">
        <f aca="false">'Building 22'!B23</f>
        <v>3 - Land Improvements - Apt - 27.5yr</v>
      </c>
      <c r="D108" s="33" t="n">
        <f aca="false">SUM(F108:H108)</f>
        <v>8710.9</v>
      </c>
      <c r="H108" s="33" t="n">
        <f aca="false">'Building 22'!D23</f>
        <v>8710.9</v>
      </c>
    </row>
    <row r="109" customFormat="false" ht="15" hidden="false" customHeight="false" outlineLevel="0" collapsed="false">
      <c r="B109" s="5" t="str">
        <f aca="false">'Building 22'!B24</f>
        <v>4 - Equipment - Apt - 5yr</v>
      </c>
      <c r="D109" s="33" t="n">
        <f aca="false">SUM(F109:H109)</f>
        <v>4167.44</v>
      </c>
      <c r="F109" s="33" t="n">
        <f aca="false">'Building 22'!D24</f>
        <v>4167.44</v>
      </c>
    </row>
    <row r="110" customFormat="false" ht="15" hidden="false" customHeight="false" outlineLevel="0" collapsed="false">
      <c r="B110" s="5" t="str">
        <f aca="false">'Building 22'!B25</f>
        <v>4 - Equipment - Apt - 27.5yr</v>
      </c>
      <c r="D110" s="33" t="n">
        <f aca="false">SUM(F110:H110)</f>
        <v>15778.73</v>
      </c>
      <c r="H110" s="33" t="n">
        <f aca="false">'Building 22'!D25</f>
        <v>15778.73</v>
      </c>
    </row>
    <row r="111" customFormat="false" ht="15" hidden="false" customHeight="false" outlineLevel="0" collapsed="false">
      <c r="B111" s="11" t="s">
        <v>159</v>
      </c>
      <c r="D111" s="34" t="n">
        <f aca="false">SUM(D103:D110)</f>
        <v>147893.47</v>
      </c>
      <c r="F111" s="34" t="n">
        <f aca="false">SUM(F103:F110)</f>
        <v>30900.04</v>
      </c>
      <c r="H111" s="34" t="n">
        <f aca="false">SUM(H103:H110)</f>
        <v>116993.43</v>
      </c>
    </row>
    <row r="112" customFormat="false" ht="15" hidden="false" customHeight="false" outlineLevel="0" collapsed="false">
      <c r="B112" s="16" t="s">
        <v>160</v>
      </c>
      <c r="D112" s="17" t="n">
        <f aca="false">D111-D98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224</v>
      </c>
    </row>
    <row r="5" customFormat="false" ht="15" hidden="false" customHeight="false" outlineLevel="0" collapsed="false">
      <c r="A5" s="16" t="s">
        <v>102</v>
      </c>
    </row>
    <row r="7" customFormat="false" ht="15" hidden="false" customHeight="false" outlineLevel="0" collapsed="false">
      <c r="A7" s="10" t="s">
        <v>103</v>
      </c>
    </row>
    <row r="8" customFormat="false" ht="15" hidden="false" customHeight="false" outlineLevel="0" collapsed="false">
      <c r="A8" s="21" t="s">
        <v>104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105</v>
      </c>
      <c r="B9" s="4" t="s">
        <v>106</v>
      </c>
      <c r="C9" s="4" t="s">
        <v>107</v>
      </c>
      <c r="D9" s="4" t="s">
        <v>108</v>
      </c>
      <c r="E9" s="4" t="s">
        <v>109</v>
      </c>
      <c r="F9" s="4" t="s">
        <v>110</v>
      </c>
      <c r="G9" s="4" t="s">
        <v>111</v>
      </c>
      <c r="H9" s="4" t="s">
        <v>112</v>
      </c>
      <c r="I9" s="4" t="s">
        <v>113</v>
      </c>
      <c r="J9" s="4" t="s">
        <v>114</v>
      </c>
      <c r="K9" s="4" t="s">
        <v>115</v>
      </c>
      <c r="L9" s="4" t="s">
        <v>116</v>
      </c>
    </row>
    <row r="10" customFormat="false" ht="15" hidden="false" customHeight="false" outlineLevel="0" collapsed="false">
      <c r="A10" s="23" t="n">
        <v>1</v>
      </c>
      <c r="B10" s="23" t="s">
        <v>45</v>
      </c>
      <c r="C10" s="23" t="s">
        <v>35</v>
      </c>
      <c r="D10" s="24" t="n">
        <v>116723.12</v>
      </c>
      <c r="E10" s="24" t="n">
        <v>0</v>
      </c>
      <c r="F10" s="24" t="n">
        <v>0</v>
      </c>
      <c r="G10" s="24" t="n">
        <v>34132.24</v>
      </c>
      <c r="H10" s="24" t="n">
        <v>4244.48</v>
      </c>
      <c r="I10" s="24" t="n">
        <f aca="false">G10+H10</f>
        <v>38376.72</v>
      </c>
      <c r="J10" s="24" t="n">
        <f aca="false">D10-I10</f>
        <v>78346.4</v>
      </c>
      <c r="K10" s="25" t="s">
        <v>117</v>
      </c>
      <c r="L10" s="25" t="s">
        <v>118</v>
      </c>
    </row>
    <row r="11" customFormat="false" ht="15" hidden="false" customHeight="false" outlineLevel="0" collapsed="false">
      <c r="A11" s="23" t="n">
        <v>2</v>
      </c>
      <c r="B11" s="23" t="s">
        <v>46</v>
      </c>
      <c r="C11" s="23" t="s">
        <v>37</v>
      </c>
      <c r="D11" s="24" t="n">
        <v>212.58</v>
      </c>
      <c r="E11" s="24" t="n">
        <v>0</v>
      </c>
      <c r="F11" s="24" t="n">
        <v>0</v>
      </c>
      <c r="G11" s="24" t="n">
        <v>61.56</v>
      </c>
      <c r="H11" s="24" t="n">
        <v>7.73</v>
      </c>
      <c r="I11" s="24" t="n">
        <f aca="false">G11+H11</f>
        <v>69.29</v>
      </c>
      <c r="J11" s="24" t="n">
        <f aca="false">D11-I11</f>
        <v>143.29</v>
      </c>
      <c r="K11" s="25" t="s">
        <v>117</v>
      </c>
      <c r="L11" s="25" t="s">
        <v>118</v>
      </c>
    </row>
    <row r="12" customFormat="false" ht="15" hidden="false" customHeight="false" outlineLevel="0" collapsed="false">
      <c r="A12" s="23" t="n">
        <v>3</v>
      </c>
      <c r="B12" s="23" t="s">
        <v>47</v>
      </c>
      <c r="C12" s="23" t="s">
        <v>35</v>
      </c>
      <c r="D12" s="24" t="n">
        <v>11011.6</v>
      </c>
      <c r="E12" s="24" t="n">
        <v>0</v>
      </c>
      <c r="F12" s="24" t="n">
        <v>0</v>
      </c>
      <c r="G12" s="24" t="n">
        <v>6449.13</v>
      </c>
      <c r="H12" s="24" t="n">
        <v>649.69</v>
      </c>
      <c r="I12" s="24" t="n">
        <f aca="false">G12+H12</f>
        <v>7098.82</v>
      </c>
      <c r="J12" s="24" t="n">
        <f aca="false">D12-I12</f>
        <v>3912.78</v>
      </c>
      <c r="K12" s="25" t="s">
        <v>119</v>
      </c>
      <c r="L12" s="25" t="s">
        <v>120</v>
      </c>
    </row>
    <row r="13" customFormat="false" ht="15" hidden="false" customHeight="false" outlineLevel="0" collapsed="false">
      <c r="A13" s="23" t="n">
        <v>4</v>
      </c>
      <c r="B13" s="23" t="s">
        <v>48</v>
      </c>
      <c r="C13" s="23" t="s">
        <v>35</v>
      </c>
      <c r="D13" s="24" t="n">
        <v>19946.17</v>
      </c>
      <c r="E13" s="24" t="n">
        <v>0</v>
      </c>
      <c r="F13" s="24" t="n">
        <v>0</v>
      </c>
      <c r="G13" s="24" t="n">
        <v>19281.3</v>
      </c>
      <c r="H13" s="24" t="n">
        <v>0</v>
      </c>
      <c r="I13" s="24" t="n">
        <f aca="false">G13+H13</f>
        <v>19281.3</v>
      </c>
      <c r="J13" s="24" t="n">
        <f aca="false">D13-I13</f>
        <v>664.869999999999</v>
      </c>
      <c r="K13" s="25" t="s">
        <v>121</v>
      </c>
      <c r="L13" s="25" t="s">
        <v>122</v>
      </c>
    </row>
    <row r="14" customFormat="false" ht="15" hidden="false" customHeight="false" outlineLevel="0" collapsed="false">
      <c r="A14" s="26"/>
      <c r="B14" s="27" t="s">
        <v>53</v>
      </c>
      <c r="C14" s="26"/>
      <c r="D14" s="28" t="n">
        <f aca="false">SUM(D10:D13)</f>
        <v>147893.47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59924.23</v>
      </c>
      <c r="H14" s="28" t="n">
        <f aca="false">SUM(H10:H13)</f>
        <v>4901.9</v>
      </c>
      <c r="I14" s="28" t="n">
        <f aca="false">SUM(I10:I13)</f>
        <v>64826.13</v>
      </c>
      <c r="J14" s="28" t="n">
        <f aca="false">SUM(J10:J13)</f>
        <v>83067.34</v>
      </c>
      <c r="K14" s="26"/>
      <c r="L14" s="26"/>
    </row>
    <row r="16" customFormat="false" ht="15" hidden="false" customHeight="false" outlineLevel="0" collapsed="false">
      <c r="A16" s="21" t="s">
        <v>123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4" t="s">
        <v>105</v>
      </c>
      <c r="B17" s="4" t="s">
        <v>106</v>
      </c>
      <c r="C17" s="4" t="s">
        <v>107</v>
      </c>
      <c r="D17" s="4" t="s">
        <v>108</v>
      </c>
      <c r="E17" s="4" t="s">
        <v>109</v>
      </c>
      <c r="F17" s="4" t="s">
        <v>110</v>
      </c>
      <c r="G17" s="4" t="s">
        <v>111</v>
      </c>
      <c r="H17" s="4" t="s">
        <v>112</v>
      </c>
      <c r="I17" s="4" t="s">
        <v>113</v>
      </c>
      <c r="J17" s="4" t="s">
        <v>114</v>
      </c>
      <c r="K17" s="4" t="s">
        <v>115</v>
      </c>
      <c r="L17" s="4" t="s">
        <v>116</v>
      </c>
    </row>
    <row r="18" customFormat="false" ht="15" hidden="false" customHeight="false" outlineLevel="0" collapsed="false">
      <c r="A18" s="23" t="n">
        <v>1</v>
      </c>
      <c r="B18" s="23" t="s">
        <v>71</v>
      </c>
      <c r="C18" s="23" t="s">
        <v>35</v>
      </c>
      <c r="D18" s="24" t="n">
        <v>24387.48</v>
      </c>
      <c r="E18" s="24" t="n">
        <v>0</v>
      </c>
      <c r="F18" s="24" t="n">
        <v>0</v>
      </c>
      <c r="G18" s="24" t="n">
        <v>24387.48</v>
      </c>
      <c r="H18" s="24" t="n">
        <v>0</v>
      </c>
      <c r="I18" s="24" t="n">
        <f aca="false">G18+H18</f>
        <v>24387.48</v>
      </c>
      <c r="J18" s="24" t="n">
        <f aca="false">D18-I18</f>
        <v>0</v>
      </c>
      <c r="K18" s="25" t="s">
        <v>121</v>
      </c>
      <c r="L18" s="25" t="s">
        <v>122</v>
      </c>
    </row>
    <row r="19" customFormat="false" ht="15" hidden="false" customHeight="false" outlineLevel="0" collapsed="false">
      <c r="A19" s="23" t="n">
        <v>2</v>
      </c>
      <c r="B19" s="23" t="s">
        <v>72</v>
      </c>
      <c r="C19" s="23" t="s">
        <v>35</v>
      </c>
      <c r="D19" s="24" t="n">
        <v>92335.64</v>
      </c>
      <c r="E19" s="24" t="n">
        <v>0</v>
      </c>
      <c r="F19" s="24" t="n">
        <v>0</v>
      </c>
      <c r="G19" s="24" t="n">
        <v>27001.18</v>
      </c>
      <c r="H19" s="24" t="n">
        <v>3357.66</v>
      </c>
      <c r="I19" s="24" t="n">
        <f aca="false">G19+H19</f>
        <v>30358.84</v>
      </c>
      <c r="J19" s="24" t="n">
        <f aca="false">D19-I19</f>
        <v>61976.8</v>
      </c>
      <c r="K19" s="25" t="s">
        <v>117</v>
      </c>
      <c r="L19" s="25" t="s">
        <v>118</v>
      </c>
    </row>
    <row r="20" customFormat="false" ht="15" hidden="false" customHeight="false" outlineLevel="0" collapsed="false">
      <c r="A20" s="23" t="n">
        <v>3</v>
      </c>
      <c r="B20" s="23" t="s">
        <v>73</v>
      </c>
      <c r="C20" s="23" t="s">
        <v>37</v>
      </c>
      <c r="D20" s="24" t="n">
        <v>44.42</v>
      </c>
      <c r="E20" s="24" t="n">
        <v>0</v>
      </c>
      <c r="F20" s="24" t="n">
        <v>0</v>
      </c>
      <c r="G20" s="24" t="n">
        <v>44.42</v>
      </c>
      <c r="H20" s="24" t="n">
        <v>0</v>
      </c>
      <c r="I20" s="24" t="n">
        <f aca="false">G20+H20</f>
        <v>44.42</v>
      </c>
      <c r="J20" s="24" t="n">
        <f aca="false">D20-I20</f>
        <v>0</v>
      </c>
      <c r="K20" s="25" t="s">
        <v>121</v>
      </c>
      <c r="L20" s="25" t="s">
        <v>122</v>
      </c>
    </row>
    <row r="21" customFormat="false" ht="15" hidden="false" customHeight="false" outlineLevel="0" collapsed="false">
      <c r="A21" s="23" t="n">
        <v>4</v>
      </c>
      <c r="B21" s="23" t="s">
        <v>74</v>
      </c>
      <c r="C21" s="23" t="s">
        <v>37</v>
      </c>
      <c r="D21" s="24" t="n">
        <v>168.16</v>
      </c>
      <c r="E21" s="24" t="n">
        <v>0</v>
      </c>
      <c r="F21" s="24" t="n">
        <v>0</v>
      </c>
      <c r="G21" s="24" t="n">
        <v>48.63</v>
      </c>
      <c r="H21" s="24" t="n">
        <v>6.11</v>
      </c>
      <c r="I21" s="24" t="n">
        <f aca="false">G21+H21</f>
        <v>54.74</v>
      </c>
      <c r="J21" s="24" t="n">
        <f aca="false">D21-I21</f>
        <v>113.42</v>
      </c>
      <c r="K21" s="25" t="s">
        <v>117</v>
      </c>
      <c r="L21" s="25" t="s">
        <v>118</v>
      </c>
    </row>
    <row r="22" customFormat="false" ht="15" hidden="false" customHeight="false" outlineLevel="0" collapsed="false">
      <c r="A22" s="23" t="n">
        <v>5</v>
      </c>
      <c r="B22" s="23" t="s">
        <v>75</v>
      </c>
      <c r="C22" s="23" t="s">
        <v>35</v>
      </c>
      <c r="D22" s="24" t="n">
        <v>2300.7</v>
      </c>
      <c r="E22" s="24" t="n">
        <v>0</v>
      </c>
      <c r="F22" s="24" t="n">
        <v>0</v>
      </c>
      <c r="G22" s="24" t="n">
        <v>2300.7</v>
      </c>
      <c r="H22" s="24" t="n">
        <v>0</v>
      </c>
      <c r="I22" s="24" t="n">
        <f aca="false">G22+H22</f>
        <v>2300.7</v>
      </c>
      <c r="J22" s="24" t="n">
        <f aca="false">D22-I22</f>
        <v>0</v>
      </c>
      <c r="K22" s="25" t="s">
        <v>121</v>
      </c>
      <c r="L22" s="25" t="s">
        <v>122</v>
      </c>
    </row>
    <row r="23" customFormat="false" ht="15" hidden="false" customHeight="false" outlineLevel="0" collapsed="false">
      <c r="A23" s="23" t="n">
        <v>6</v>
      </c>
      <c r="B23" s="23" t="s">
        <v>76</v>
      </c>
      <c r="C23" s="23" t="s">
        <v>35</v>
      </c>
      <c r="D23" s="24" t="n">
        <v>8710.9</v>
      </c>
      <c r="E23" s="24" t="n">
        <v>0</v>
      </c>
      <c r="F23" s="24" t="n">
        <v>0</v>
      </c>
      <c r="G23" s="24" t="n">
        <v>2547.28</v>
      </c>
      <c r="H23" s="24" t="n">
        <v>316.76</v>
      </c>
      <c r="I23" s="24" t="n">
        <f aca="false">G23+H23</f>
        <v>2864.04</v>
      </c>
      <c r="J23" s="24" t="n">
        <f aca="false">D23-I23</f>
        <v>5846.86</v>
      </c>
      <c r="K23" s="25" t="s">
        <v>117</v>
      </c>
      <c r="L23" s="25" t="s">
        <v>118</v>
      </c>
    </row>
    <row r="24" customFormat="false" ht="15" hidden="false" customHeight="false" outlineLevel="0" collapsed="false">
      <c r="A24" s="23" t="n">
        <v>7</v>
      </c>
      <c r="B24" s="23" t="s">
        <v>77</v>
      </c>
      <c r="C24" s="23" t="s">
        <v>35</v>
      </c>
      <c r="D24" s="24" t="n">
        <v>4167.44</v>
      </c>
      <c r="E24" s="24" t="n">
        <v>0</v>
      </c>
      <c r="F24" s="24" t="n">
        <v>0</v>
      </c>
      <c r="G24" s="24" t="n">
        <v>4167.44</v>
      </c>
      <c r="H24" s="24" t="n">
        <v>0</v>
      </c>
      <c r="I24" s="24" t="n">
        <f aca="false">G24+H24</f>
        <v>4167.44</v>
      </c>
      <c r="J24" s="24" t="n">
        <f aca="false">D24-I24</f>
        <v>0</v>
      </c>
      <c r="K24" s="25" t="s">
        <v>121</v>
      </c>
      <c r="L24" s="25" t="s">
        <v>122</v>
      </c>
    </row>
    <row r="25" customFormat="false" ht="15" hidden="false" customHeight="false" outlineLevel="0" collapsed="false">
      <c r="A25" s="23" t="n">
        <v>8</v>
      </c>
      <c r="B25" s="23" t="s">
        <v>78</v>
      </c>
      <c r="C25" s="23" t="s">
        <v>35</v>
      </c>
      <c r="D25" s="24" t="n">
        <v>15778.73</v>
      </c>
      <c r="E25" s="24" t="n">
        <v>0</v>
      </c>
      <c r="F25" s="24" t="n">
        <v>0</v>
      </c>
      <c r="G25" s="24" t="n">
        <v>4614.07</v>
      </c>
      <c r="H25" s="24" t="n">
        <v>573.77</v>
      </c>
      <c r="I25" s="24" t="n">
        <f aca="false">G25+H25</f>
        <v>5187.84</v>
      </c>
      <c r="J25" s="24" t="n">
        <f aca="false">D25-I25</f>
        <v>10590.89</v>
      </c>
      <c r="K25" s="25" t="s">
        <v>117</v>
      </c>
      <c r="L25" s="25" t="s">
        <v>118</v>
      </c>
    </row>
    <row r="26" customFormat="false" ht="15" hidden="false" customHeight="false" outlineLevel="0" collapsed="false">
      <c r="A26" s="26"/>
      <c r="B26" s="27" t="s">
        <v>53</v>
      </c>
      <c r="C26" s="26"/>
      <c r="D26" s="28" t="n">
        <f aca="false">SUM(D18:D25)</f>
        <v>147893.47</v>
      </c>
      <c r="E26" s="28" t="n">
        <f aca="false">SUM(E18:E25)</f>
        <v>0</v>
      </c>
      <c r="F26" s="28" t="n">
        <f aca="false">SUM(F18:F25)</f>
        <v>0</v>
      </c>
      <c r="G26" s="28" t="n">
        <f aca="false">SUM(G18:G25)</f>
        <v>65111.2</v>
      </c>
      <c r="H26" s="28" t="n">
        <f aca="false">SUM(H18:H25)</f>
        <v>4254.3</v>
      </c>
      <c r="I26" s="28" t="n">
        <f aca="false">SUM(I18:I25)</f>
        <v>69365.5</v>
      </c>
      <c r="J26" s="28" t="n">
        <f aca="false">SUM(J18:J25)</f>
        <v>78527.97</v>
      </c>
      <c r="K26" s="26"/>
      <c r="L26" s="26"/>
    </row>
    <row r="28" customFormat="false" ht="15" hidden="false" customHeight="false" outlineLevel="0" collapsed="false">
      <c r="B28" s="18" t="s">
        <v>124</v>
      </c>
    </row>
    <row r="29" customFormat="false" ht="15" hidden="false" customHeight="false" outlineLevel="0" collapsed="false">
      <c r="B29" s="5" t="s">
        <v>125</v>
      </c>
      <c r="D29" s="6" t="n">
        <f aca="false">I14</f>
        <v>64826.13</v>
      </c>
    </row>
    <row r="30" customFormat="false" ht="15" hidden="false" customHeight="false" outlineLevel="0" collapsed="false">
      <c r="B30" s="5" t="s">
        <v>126</v>
      </c>
      <c r="D30" s="6" t="n">
        <f aca="false">I26</f>
        <v>69365.5</v>
      </c>
    </row>
    <row r="31" customFormat="false" ht="15" hidden="false" customHeight="false" outlineLevel="0" collapsed="false">
      <c r="B31" s="11" t="s">
        <v>124</v>
      </c>
      <c r="D31" s="29" t="n">
        <f aca="false">D29-D30</f>
        <v>-4539.37</v>
      </c>
    </row>
    <row r="33" customFormat="false" ht="15" hidden="false" customHeight="false" outlineLevel="0" collapsed="false">
      <c r="A33" s="10" t="s">
        <v>127</v>
      </c>
    </row>
    <row r="34" customFormat="false" ht="15" hidden="false" customHeight="false" outlineLevel="0" collapsed="false">
      <c r="A34" s="21" t="s">
        <v>128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4" t="s">
        <v>105</v>
      </c>
      <c r="B35" s="4" t="s">
        <v>106</v>
      </c>
      <c r="C35" s="4" t="s">
        <v>107</v>
      </c>
      <c r="D35" s="4" t="s">
        <v>108</v>
      </c>
      <c r="E35" s="4" t="s">
        <v>109</v>
      </c>
      <c r="F35" s="4" t="s">
        <v>110</v>
      </c>
      <c r="G35" s="4" t="s">
        <v>129</v>
      </c>
      <c r="H35" s="4" t="s">
        <v>130</v>
      </c>
      <c r="I35" s="4" t="s">
        <v>113</v>
      </c>
      <c r="J35" s="4" t="s">
        <v>114</v>
      </c>
      <c r="K35" s="4" t="s">
        <v>115</v>
      </c>
      <c r="L35" s="4" t="s">
        <v>116</v>
      </c>
    </row>
    <row r="36" customFormat="false" ht="15" hidden="false" customHeight="false" outlineLevel="0" collapsed="false">
      <c r="A36" s="23" t="n">
        <v>1</v>
      </c>
      <c r="B36" s="23" t="s">
        <v>45</v>
      </c>
      <c r="C36" s="23" t="s">
        <v>35</v>
      </c>
      <c r="D36" s="24" t="n">
        <v>116723.12</v>
      </c>
      <c r="E36" s="24" t="n">
        <v>0</v>
      </c>
      <c r="F36" s="24" t="n">
        <v>0</v>
      </c>
      <c r="G36" s="24" t="n">
        <v>34132.24</v>
      </c>
      <c r="H36" s="24" t="n">
        <v>4244.48</v>
      </c>
      <c r="I36" s="24" t="n">
        <f aca="false">G36+H36</f>
        <v>38376.72</v>
      </c>
      <c r="J36" s="24" t="n">
        <f aca="false">D36-I36</f>
        <v>78346.4</v>
      </c>
      <c r="K36" s="25" t="s">
        <v>117</v>
      </c>
      <c r="L36" s="25" t="s">
        <v>118</v>
      </c>
    </row>
    <row r="37" customFormat="false" ht="15" hidden="false" customHeight="false" outlineLevel="0" collapsed="false">
      <c r="A37" s="23" t="n">
        <v>2</v>
      </c>
      <c r="B37" s="23" t="s">
        <v>46</v>
      </c>
      <c r="C37" s="23" t="s">
        <v>37</v>
      </c>
      <c r="D37" s="24" t="n">
        <v>212.58</v>
      </c>
      <c r="E37" s="24" t="n">
        <v>0</v>
      </c>
      <c r="F37" s="24" t="n">
        <v>0</v>
      </c>
      <c r="G37" s="24" t="n">
        <v>61.56</v>
      </c>
      <c r="H37" s="24" t="n">
        <v>7.73</v>
      </c>
      <c r="I37" s="24" t="n">
        <f aca="false">G37+H37</f>
        <v>69.29</v>
      </c>
      <c r="J37" s="24" t="n">
        <f aca="false">D37-I37</f>
        <v>143.29</v>
      </c>
      <c r="K37" s="25" t="s">
        <v>117</v>
      </c>
      <c r="L37" s="25" t="s">
        <v>118</v>
      </c>
    </row>
    <row r="38" customFormat="false" ht="15" hidden="false" customHeight="false" outlineLevel="0" collapsed="false">
      <c r="A38" s="23" t="n">
        <v>3</v>
      </c>
      <c r="B38" s="23" t="s">
        <v>47</v>
      </c>
      <c r="C38" s="23" t="s">
        <v>35</v>
      </c>
      <c r="D38" s="24" t="n">
        <v>11011.6</v>
      </c>
      <c r="E38" s="24" t="n">
        <v>0</v>
      </c>
      <c r="F38" s="24" t="n">
        <v>0</v>
      </c>
      <c r="G38" s="24" t="n">
        <v>6449.13</v>
      </c>
      <c r="H38" s="24" t="n">
        <v>649.69</v>
      </c>
      <c r="I38" s="24" t="n">
        <f aca="false">G38+H38</f>
        <v>7098.82</v>
      </c>
      <c r="J38" s="24" t="n">
        <f aca="false">D38-I38</f>
        <v>3912.78</v>
      </c>
      <c r="K38" s="25" t="s">
        <v>119</v>
      </c>
      <c r="L38" s="25" t="s">
        <v>120</v>
      </c>
    </row>
    <row r="39" customFormat="false" ht="15" hidden="false" customHeight="false" outlineLevel="0" collapsed="false">
      <c r="A39" s="23" t="n">
        <v>4</v>
      </c>
      <c r="B39" s="23" t="s">
        <v>48</v>
      </c>
      <c r="C39" s="23" t="s">
        <v>35</v>
      </c>
      <c r="D39" s="24" t="n">
        <v>19946.17</v>
      </c>
      <c r="E39" s="24" t="n">
        <v>0</v>
      </c>
      <c r="F39" s="24" t="n">
        <v>0</v>
      </c>
      <c r="G39" s="24" t="n">
        <v>19281.3</v>
      </c>
      <c r="H39" s="24" t="n">
        <v>0</v>
      </c>
      <c r="I39" s="24" t="n">
        <f aca="false">G39+H39</f>
        <v>19281.3</v>
      </c>
      <c r="J39" s="24" t="n">
        <f aca="false">D39-I39</f>
        <v>664.869999999999</v>
      </c>
      <c r="K39" s="25" t="s">
        <v>121</v>
      </c>
      <c r="L39" s="25" t="s">
        <v>122</v>
      </c>
    </row>
    <row r="40" customFormat="false" ht="15" hidden="false" customHeight="false" outlineLevel="0" collapsed="false">
      <c r="A40" s="26"/>
      <c r="B40" s="27" t="s">
        <v>53</v>
      </c>
      <c r="C40" s="26"/>
      <c r="D40" s="28" t="n">
        <f aca="false">SUM(D36:D39)</f>
        <v>147893.47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59924.23</v>
      </c>
      <c r="H40" s="28" t="n">
        <f aca="false">SUM(H36:H39)</f>
        <v>4901.9</v>
      </c>
      <c r="I40" s="28" t="n">
        <f aca="false">SUM(I36:I39)</f>
        <v>64826.13</v>
      </c>
      <c r="J40" s="28" t="n">
        <f aca="false">SUM(J36:J39)</f>
        <v>83067.34</v>
      </c>
      <c r="K40" s="26"/>
      <c r="L40" s="26"/>
    </row>
    <row r="42" customFormat="false" ht="15" hidden="false" customHeight="false" outlineLevel="0" collapsed="false">
      <c r="A42" s="21" t="s">
        <v>131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4" t="s">
        <v>105</v>
      </c>
      <c r="B43" s="4" t="s">
        <v>106</v>
      </c>
      <c r="C43" s="4" t="s">
        <v>107</v>
      </c>
      <c r="D43" s="4" t="s">
        <v>108</v>
      </c>
      <c r="E43" s="4" t="s">
        <v>109</v>
      </c>
      <c r="F43" s="4" t="s">
        <v>110</v>
      </c>
      <c r="G43" s="4" t="s">
        <v>129</v>
      </c>
      <c r="H43" s="4" t="s">
        <v>130</v>
      </c>
      <c r="I43" s="4" t="s">
        <v>113</v>
      </c>
      <c r="J43" s="4" t="s">
        <v>114</v>
      </c>
      <c r="K43" s="4" t="s">
        <v>115</v>
      </c>
      <c r="L43" s="4" t="s">
        <v>116</v>
      </c>
    </row>
    <row r="44" customFormat="false" ht="15" hidden="false" customHeight="false" outlineLevel="0" collapsed="false">
      <c r="A44" s="23" t="n">
        <v>1</v>
      </c>
      <c r="B44" s="23" t="s">
        <v>71</v>
      </c>
      <c r="C44" s="23" t="s">
        <v>35</v>
      </c>
      <c r="D44" s="24" t="n">
        <v>24387.48</v>
      </c>
      <c r="E44" s="24" t="n">
        <v>0</v>
      </c>
      <c r="F44" s="24" t="n">
        <v>0</v>
      </c>
      <c r="G44" s="24" t="n">
        <v>24387.48</v>
      </c>
      <c r="H44" s="24" t="n">
        <v>0</v>
      </c>
      <c r="I44" s="24" t="n">
        <f aca="false">G44+H44</f>
        <v>24387.48</v>
      </c>
      <c r="J44" s="24" t="n">
        <f aca="false">D44-I44</f>
        <v>0</v>
      </c>
      <c r="K44" s="25" t="s">
        <v>121</v>
      </c>
      <c r="L44" s="25" t="s">
        <v>122</v>
      </c>
    </row>
    <row r="45" customFormat="false" ht="15" hidden="false" customHeight="false" outlineLevel="0" collapsed="false">
      <c r="A45" s="23" t="n">
        <v>2</v>
      </c>
      <c r="B45" s="23" t="s">
        <v>72</v>
      </c>
      <c r="C45" s="23" t="s">
        <v>35</v>
      </c>
      <c r="D45" s="24" t="n">
        <v>92335.64</v>
      </c>
      <c r="E45" s="24" t="n">
        <v>0</v>
      </c>
      <c r="F45" s="24" t="n">
        <v>0</v>
      </c>
      <c r="G45" s="24" t="n">
        <v>27001.18</v>
      </c>
      <c r="H45" s="24" t="n">
        <v>3357.66</v>
      </c>
      <c r="I45" s="24" t="n">
        <f aca="false">G45+H45</f>
        <v>30358.84</v>
      </c>
      <c r="J45" s="24" t="n">
        <f aca="false">D45-I45</f>
        <v>61976.8</v>
      </c>
      <c r="K45" s="25" t="s">
        <v>117</v>
      </c>
      <c r="L45" s="25" t="s">
        <v>118</v>
      </c>
    </row>
    <row r="46" customFormat="false" ht="15" hidden="false" customHeight="false" outlineLevel="0" collapsed="false">
      <c r="A46" s="23" t="n">
        <v>3</v>
      </c>
      <c r="B46" s="23" t="s">
        <v>73</v>
      </c>
      <c r="C46" s="23" t="s">
        <v>37</v>
      </c>
      <c r="D46" s="24" t="n">
        <v>44.42</v>
      </c>
      <c r="E46" s="24" t="n">
        <v>0</v>
      </c>
      <c r="F46" s="24" t="n">
        <v>0</v>
      </c>
      <c r="G46" s="24" t="n">
        <v>44.42</v>
      </c>
      <c r="H46" s="24" t="n">
        <v>0</v>
      </c>
      <c r="I46" s="24" t="n">
        <f aca="false">G46+H46</f>
        <v>44.42</v>
      </c>
      <c r="J46" s="24" t="n">
        <f aca="false">D46-I46</f>
        <v>0</v>
      </c>
      <c r="K46" s="25" t="s">
        <v>121</v>
      </c>
      <c r="L46" s="25" t="s">
        <v>122</v>
      </c>
    </row>
    <row r="47" customFormat="false" ht="15" hidden="false" customHeight="false" outlineLevel="0" collapsed="false">
      <c r="A47" s="23" t="n">
        <v>4</v>
      </c>
      <c r="B47" s="23" t="s">
        <v>74</v>
      </c>
      <c r="C47" s="23" t="s">
        <v>37</v>
      </c>
      <c r="D47" s="24" t="n">
        <v>168.16</v>
      </c>
      <c r="E47" s="24" t="n">
        <v>0</v>
      </c>
      <c r="F47" s="24" t="n">
        <v>0</v>
      </c>
      <c r="G47" s="24" t="n">
        <v>48.63</v>
      </c>
      <c r="H47" s="24" t="n">
        <v>6.11</v>
      </c>
      <c r="I47" s="24" t="n">
        <f aca="false">G47+H47</f>
        <v>54.74</v>
      </c>
      <c r="J47" s="24" t="n">
        <f aca="false">D47-I47</f>
        <v>113.42</v>
      </c>
      <c r="K47" s="25" t="s">
        <v>117</v>
      </c>
      <c r="L47" s="25" t="s">
        <v>118</v>
      </c>
    </row>
    <row r="48" customFormat="false" ht="15" hidden="false" customHeight="false" outlineLevel="0" collapsed="false">
      <c r="A48" s="23" t="n">
        <v>5</v>
      </c>
      <c r="B48" s="23" t="s">
        <v>75</v>
      </c>
      <c r="C48" s="23" t="s">
        <v>35</v>
      </c>
      <c r="D48" s="24" t="n">
        <v>2300.7</v>
      </c>
      <c r="E48" s="24" t="n">
        <v>0</v>
      </c>
      <c r="F48" s="24" t="n">
        <v>0</v>
      </c>
      <c r="G48" s="24" t="n">
        <v>2300.7</v>
      </c>
      <c r="H48" s="24" t="n">
        <v>0</v>
      </c>
      <c r="I48" s="24" t="n">
        <f aca="false">G48+H48</f>
        <v>2300.7</v>
      </c>
      <c r="J48" s="24" t="n">
        <f aca="false">D48-I48</f>
        <v>0</v>
      </c>
      <c r="K48" s="25" t="s">
        <v>121</v>
      </c>
      <c r="L48" s="25" t="s">
        <v>122</v>
      </c>
    </row>
    <row r="49" customFormat="false" ht="15" hidden="false" customHeight="false" outlineLevel="0" collapsed="false">
      <c r="A49" s="23" t="n">
        <v>6</v>
      </c>
      <c r="B49" s="23" t="s">
        <v>76</v>
      </c>
      <c r="C49" s="23" t="s">
        <v>35</v>
      </c>
      <c r="D49" s="24" t="n">
        <v>8710.9</v>
      </c>
      <c r="E49" s="24" t="n">
        <v>0</v>
      </c>
      <c r="F49" s="24" t="n">
        <v>0</v>
      </c>
      <c r="G49" s="24" t="n">
        <v>2547.28</v>
      </c>
      <c r="H49" s="24" t="n">
        <v>316.76</v>
      </c>
      <c r="I49" s="24" t="n">
        <f aca="false">G49+H49</f>
        <v>2864.04</v>
      </c>
      <c r="J49" s="24" t="n">
        <f aca="false">D49-I49</f>
        <v>5846.86</v>
      </c>
      <c r="K49" s="25" t="s">
        <v>117</v>
      </c>
      <c r="L49" s="25" t="s">
        <v>118</v>
      </c>
    </row>
    <row r="50" customFormat="false" ht="15" hidden="false" customHeight="false" outlineLevel="0" collapsed="false">
      <c r="A50" s="23" t="n">
        <v>7</v>
      </c>
      <c r="B50" s="23" t="s">
        <v>77</v>
      </c>
      <c r="C50" s="23" t="s">
        <v>35</v>
      </c>
      <c r="D50" s="24" t="n">
        <v>4167.44</v>
      </c>
      <c r="E50" s="24" t="n">
        <v>0</v>
      </c>
      <c r="F50" s="24" t="n">
        <v>0</v>
      </c>
      <c r="G50" s="24" t="n">
        <v>4167.44</v>
      </c>
      <c r="H50" s="24" t="n">
        <v>0</v>
      </c>
      <c r="I50" s="24" t="n">
        <f aca="false">G50+H50</f>
        <v>4167.44</v>
      </c>
      <c r="J50" s="24" t="n">
        <f aca="false">D50-I50</f>
        <v>0</v>
      </c>
      <c r="K50" s="25" t="s">
        <v>121</v>
      </c>
      <c r="L50" s="25" t="s">
        <v>122</v>
      </c>
    </row>
    <row r="51" customFormat="false" ht="15" hidden="false" customHeight="false" outlineLevel="0" collapsed="false">
      <c r="A51" s="23" t="n">
        <v>8</v>
      </c>
      <c r="B51" s="23" t="s">
        <v>78</v>
      </c>
      <c r="C51" s="23" t="s">
        <v>35</v>
      </c>
      <c r="D51" s="24" t="n">
        <v>15778.73</v>
      </c>
      <c r="E51" s="24" t="n">
        <v>0</v>
      </c>
      <c r="F51" s="24" t="n">
        <v>0</v>
      </c>
      <c r="G51" s="24" t="n">
        <v>4614.07</v>
      </c>
      <c r="H51" s="24" t="n">
        <v>573.77</v>
      </c>
      <c r="I51" s="24" t="n">
        <f aca="false">G51+H51</f>
        <v>5187.84</v>
      </c>
      <c r="J51" s="24" t="n">
        <f aca="false">D51-I51</f>
        <v>10590.89</v>
      </c>
      <c r="K51" s="25" t="s">
        <v>117</v>
      </c>
      <c r="L51" s="25" t="s">
        <v>118</v>
      </c>
    </row>
    <row r="52" customFormat="false" ht="15" hidden="false" customHeight="false" outlineLevel="0" collapsed="false">
      <c r="A52" s="26"/>
      <c r="B52" s="27" t="s">
        <v>53</v>
      </c>
      <c r="C52" s="26"/>
      <c r="D52" s="28" t="n">
        <f aca="false">SUM(D44:D51)</f>
        <v>147893.47</v>
      </c>
      <c r="E52" s="28" t="n">
        <f aca="false">SUM(E44:E51)</f>
        <v>0</v>
      </c>
      <c r="F52" s="28" t="n">
        <f aca="false">SUM(F44:F51)</f>
        <v>0</v>
      </c>
      <c r="G52" s="28" t="n">
        <f aca="false">SUM(G44:G51)</f>
        <v>65111.2</v>
      </c>
      <c r="H52" s="28" t="n">
        <f aca="false">SUM(H44:H51)</f>
        <v>4254.3</v>
      </c>
      <c r="I52" s="28" t="n">
        <f aca="false">SUM(I44:I51)</f>
        <v>69365.5</v>
      </c>
      <c r="J52" s="28" t="n">
        <f aca="false">SUM(J44:J51)</f>
        <v>78527.97</v>
      </c>
      <c r="K52" s="26"/>
      <c r="L52" s="26"/>
    </row>
    <row r="54" customFormat="false" ht="15" hidden="false" customHeight="false" outlineLevel="0" collapsed="false">
      <c r="B54" s="18" t="s">
        <v>132</v>
      </c>
    </row>
    <row r="55" customFormat="false" ht="15" hidden="false" customHeight="false" outlineLevel="0" collapsed="false">
      <c r="B55" s="5" t="s">
        <v>125</v>
      </c>
      <c r="D55" s="6" t="n">
        <f aca="false">I40</f>
        <v>64826.13</v>
      </c>
    </row>
    <row r="56" customFormat="false" ht="15" hidden="false" customHeight="false" outlineLevel="0" collapsed="false">
      <c r="B56" s="5" t="s">
        <v>126</v>
      </c>
      <c r="D56" s="6" t="n">
        <f aca="false">I52</f>
        <v>69365.5</v>
      </c>
    </row>
    <row r="57" customFormat="false" ht="15" hidden="false" customHeight="false" outlineLevel="0" collapsed="false">
      <c r="B57" s="11" t="s">
        <v>132</v>
      </c>
      <c r="D57" s="29" t="n">
        <f aca="false">D55-D56</f>
        <v>-4539.37</v>
      </c>
    </row>
    <row r="59" customFormat="false" ht="15" hidden="false" customHeight="false" outlineLevel="0" collapsed="false">
      <c r="A59" s="10" t="s">
        <v>133</v>
      </c>
    </row>
    <row r="60" customFormat="false" ht="15" hidden="false" customHeight="false" outlineLevel="0" collapsed="false">
      <c r="B60" s="11" t="s">
        <v>162</v>
      </c>
      <c r="D60" s="12" t="n">
        <f aca="false">D98</f>
        <v>147893.47</v>
      </c>
    </row>
    <row r="61" customFormat="false" ht="15" hidden="false" customHeight="false" outlineLevel="0" collapsed="false">
      <c r="B61" s="5" t="s">
        <v>163</v>
      </c>
      <c r="D61" s="6" t="n">
        <f aca="false">F98</f>
        <v>30900.04</v>
      </c>
    </row>
    <row r="62" customFormat="false" ht="15" hidden="false" customHeight="false" outlineLevel="0" collapsed="false">
      <c r="B62" s="30" t="s">
        <v>136</v>
      </c>
      <c r="D62" s="31" t="n">
        <f aca="false">F99</f>
        <v>0.208934444502519</v>
      </c>
    </row>
    <row r="63" customFormat="false" ht="15" hidden="false" customHeight="false" outlineLevel="0" collapsed="false">
      <c r="B63" s="5" t="s">
        <v>164</v>
      </c>
      <c r="D63" s="6" t="n">
        <f aca="false">H98</f>
        <v>116993.43</v>
      </c>
    </row>
    <row r="64" customFormat="false" ht="15" hidden="false" customHeight="false" outlineLevel="0" collapsed="false">
      <c r="B64" s="30" t="s">
        <v>136</v>
      </c>
      <c r="D64" s="31" t="n">
        <f aca="false">H99</f>
        <v>0.791065555497481</v>
      </c>
    </row>
    <row r="66" customFormat="false" ht="15" hidden="false" customHeight="false" outlineLevel="0" collapsed="false">
      <c r="A66" s="10" t="s">
        <v>138</v>
      </c>
    </row>
    <row r="67" customFormat="false" ht="15" hidden="false" customHeight="false" outlineLevel="0" collapsed="false">
      <c r="B67" s="4" t="s">
        <v>139</v>
      </c>
      <c r="D67" s="4" t="s">
        <v>108</v>
      </c>
      <c r="F67" s="4" t="s">
        <v>165</v>
      </c>
      <c r="H67" s="4" t="s">
        <v>141</v>
      </c>
    </row>
    <row r="68" customFormat="false" ht="15" hidden="false" customHeight="false" outlineLevel="0" collapsed="false">
      <c r="B68" s="32" t="s">
        <v>166</v>
      </c>
    </row>
    <row r="69" customFormat="false" ht="15" hidden="false" customHeight="false" outlineLevel="0" collapsed="false">
      <c r="B69" s="5" t="s">
        <v>167</v>
      </c>
      <c r="D69" s="33" t="n">
        <f aca="false">SUM(F69:H69)</f>
        <v>4901.61</v>
      </c>
      <c r="F69" s="33" t="n">
        <v>4901.61</v>
      </c>
    </row>
    <row r="70" customFormat="false" ht="15" hidden="false" customHeight="false" outlineLevel="0" collapsed="false">
      <c r="B70" s="5" t="s">
        <v>168</v>
      </c>
      <c r="D70" s="33" t="n">
        <f aca="false">SUM(F70:H70)</f>
        <v>2185.54</v>
      </c>
      <c r="F70" s="33" t="n">
        <v>2185.54</v>
      </c>
    </row>
    <row r="71" customFormat="false" ht="15" hidden="false" customHeight="false" outlineLevel="0" collapsed="false">
      <c r="B71" s="5" t="s">
        <v>169</v>
      </c>
      <c r="D71" s="33" t="n">
        <f aca="false">SUM(F71:H71)</f>
        <v>11385.26</v>
      </c>
      <c r="F71" s="33" t="n">
        <v>11385.26</v>
      </c>
    </row>
    <row r="72" customFormat="false" ht="15" hidden="false" customHeight="false" outlineLevel="0" collapsed="false">
      <c r="B72" s="5" t="s">
        <v>171</v>
      </c>
      <c r="D72" s="33" t="n">
        <f aca="false">SUM(F72:H72)</f>
        <v>589.62</v>
      </c>
      <c r="F72" s="33" t="n">
        <v>589.62</v>
      </c>
    </row>
    <row r="73" customFormat="false" ht="15" hidden="false" customHeight="false" outlineLevel="0" collapsed="false">
      <c r="B73" s="5" t="s">
        <v>196</v>
      </c>
      <c r="D73" s="33" t="n">
        <f aca="false">SUM(F73:H73)</f>
        <v>183.29</v>
      </c>
      <c r="F73" s="33" t="n">
        <v>183.29</v>
      </c>
    </row>
    <row r="74" customFormat="false" ht="15" hidden="false" customHeight="false" outlineLevel="0" collapsed="false">
      <c r="B74" s="5" t="s">
        <v>197</v>
      </c>
      <c r="D74" s="33" t="n">
        <f aca="false">SUM(F74:H74)</f>
        <v>96.76</v>
      </c>
      <c r="F74" s="33" t="n">
        <v>96.76</v>
      </c>
    </row>
    <row r="75" customFormat="false" ht="15" hidden="false" customHeight="false" outlineLevel="0" collapsed="false">
      <c r="B75" s="5" t="s">
        <v>172</v>
      </c>
      <c r="D75" s="33" t="n">
        <f aca="false">SUM(F75:H75)</f>
        <v>2980.97</v>
      </c>
      <c r="F75" s="33" t="n">
        <v>2980.97</v>
      </c>
    </row>
    <row r="76" customFormat="false" ht="15" hidden="false" customHeight="false" outlineLevel="0" collapsed="false">
      <c r="B76" s="5" t="s">
        <v>173</v>
      </c>
      <c r="D76" s="33" t="n">
        <f aca="false">SUM(F76:H76)</f>
        <v>994.55</v>
      </c>
      <c r="F76" s="33" t="n">
        <v>994.55</v>
      </c>
    </row>
    <row r="77" customFormat="false" ht="15" hidden="false" customHeight="false" outlineLevel="0" collapsed="false">
      <c r="B77" s="5" t="s">
        <v>198</v>
      </c>
      <c r="D77" s="33" t="n">
        <f aca="false">SUM(F77:H77)</f>
        <v>3427.41</v>
      </c>
      <c r="F77" s="33" t="n">
        <v>3427.41</v>
      </c>
    </row>
    <row r="78" customFormat="false" ht="15" hidden="false" customHeight="false" outlineLevel="0" collapsed="false">
      <c r="B78" s="5" t="s">
        <v>175</v>
      </c>
      <c r="D78" s="33" t="n">
        <f aca="false">SUM(F78:H78)</f>
        <v>428.96</v>
      </c>
      <c r="F78" s="33" t="n">
        <v>428.96</v>
      </c>
    </row>
    <row r="79" customFormat="false" ht="15" hidden="false" customHeight="false" outlineLevel="0" collapsed="false">
      <c r="B79" s="5" t="s">
        <v>199</v>
      </c>
      <c r="D79" s="33" t="n">
        <f aca="false">SUM(F79:H79)</f>
        <v>43.2</v>
      </c>
      <c r="F79" s="33" t="n">
        <v>43.2</v>
      </c>
    </row>
    <row r="80" customFormat="false" ht="15" hidden="false" customHeight="false" outlineLevel="0" collapsed="false">
      <c r="B80" s="5" t="s">
        <v>200</v>
      </c>
      <c r="D80" s="33" t="n">
        <f aca="false">SUM(F80:H80)</f>
        <v>3682.87</v>
      </c>
      <c r="F80" s="33" t="n">
        <v>3682.87</v>
      </c>
    </row>
    <row r="81" customFormat="false" ht="15" hidden="false" customHeight="false" outlineLevel="0" collapsed="false">
      <c r="B81" s="32" t="s">
        <v>177</v>
      </c>
    </row>
    <row r="82" customFormat="false" ht="15" hidden="false" customHeight="false" outlineLevel="0" collapsed="false">
      <c r="B82" s="5" t="s">
        <v>178</v>
      </c>
      <c r="D82" s="33" t="n">
        <f aca="false">SUM(F82:H82)</f>
        <v>8561.68</v>
      </c>
      <c r="H82" s="33" t="n">
        <v>8561.68</v>
      </c>
    </row>
    <row r="83" customFormat="false" ht="15" hidden="false" customHeight="false" outlineLevel="0" collapsed="false">
      <c r="B83" s="5" t="s">
        <v>179</v>
      </c>
      <c r="D83" s="33" t="n">
        <f aca="false">SUM(F83:H83)</f>
        <v>16225.62</v>
      </c>
      <c r="H83" s="33" t="n">
        <v>16225.62</v>
      </c>
    </row>
    <row r="84" customFormat="false" ht="15" hidden="false" customHeight="false" outlineLevel="0" collapsed="false">
      <c r="B84" s="5" t="s">
        <v>180</v>
      </c>
      <c r="D84" s="33" t="n">
        <f aca="false">SUM(F84:H84)</f>
        <v>10992.55</v>
      </c>
      <c r="H84" s="33" t="n">
        <v>10992.55</v>
      </c>
    </row>
    <row r="85" customFormat="false" ht="15" hidden="false" customHeight="false" outlineLevel="0" collapsed="false">
      <c r="B85" s="5" t="s">
        <v>181</v>
      </c>
      <c r="D85" s="33" t="n">
        <f aca="false">SUM(F85:H85)</f>
        <v>12099.12</v>
      </c>
      <c r="H85" s="33" t="n">
        <v>12099.12</v>
      </c>
    </row>
    <row r="86" customFormat="false" ht="15" hidden="false" customHeight="false" outlineLevel="0" collapsed="false">
      <c r="B86" s="5" t="s">
        <v>182</v>
      </c>
      <c r="D86" s="33" t="n">
        <f aca="false">SUM(F86:H86)</f>
        <v>9715.1</v>
      </c>
      <c r="H86" s="33" t="n">
        <v>9715.1</v>
      </c>
    </row>
    <row r="87" customFormat="false" ht="15" hidden="false" customHeight="false" outlineLevel="0" collapsed="false">
      <c r="B87" s="5" t="s">
        <v>183</v>
      </c>
      <c r="D87" s="33" t="n">
        <f aca="false">SUM(F87:H87)</f>
        <v>548.48</v>
      </c>
      <c r="H87" s="33" t="n">
        <v>548.48</v>
      </c>
    </row>
    <row r="88" customFormat="false" ht="15" hidden="false" customHeight="false" outlineLevel="0" collapsed="false">
      <c r="B88" s="5" t="s">
        <v>184</v>
      </c>
      <c r="D88" s="33" t="n">
        <f aca="false">SUM(F88:H88)</f>
        <v>12559.71</v>
      </c>
      <c r="H88" s="33" t="n">
        <v>12559.71</v>
      </c>
    </row>
    <row r="89" customFormat="false" ht="15" hidden="false" customHeight="false" outlineLevel="0" collapsed="false">
      <c r="B89" s="5" t="s">
        <v>185</v>
      </c>
      <c r="D89" s="33" t="n">
        <f aca="false">SUM(F89:H89)</f>
        <v>5680.09</v>
      </c>
      <c r="H89" s="33" t="n">
        <v>5680.09</v>
      </c>
    </row>
    <row r="90" customFormat="false" ht="15" hidden="false" customHeight="false" outlineLevel="0" collapsed="false">
      <c r="B90" s="5" t="s">
        <v>186</v>
      </c>
      <c r="D90" s="33" t="n">
        <f aca="false">SUM(F90:H90)</f>
        <v>2911.57</v>
      </c>
      <c r="H90" s="33" t="n">
        <v>2911.57</v>
      </c>
    </row>
    <row r="91" customFormat="false" ht="15" hidden="false" customHeight="false" outlineLevel="0" collapsed="false">
      <c r="B91" s="5" t="s">
        <v>187</v>
      </c>
      <c r="D91" s="33" t="n">
        <f aca="false">SUM(F91:H91)</f>
        <v>5070.55</v>
      </c>
      <c r="H91" s="33" t="n">
        <v>5070.55</v>
      </c>
    </row>
    <row r="92" customFormat="false" ht="15" hidden="false" customHeight="false" outlineLevel="0" collapsed="false">
      <c r="B92" s="5" t="s">
        <v>188</v>
      </c>
      <c r="D92" s="33" t="n">
        <f aca="false">SUM(F92:H92)</f>
        <v>9837.36</v>
      </c>
      <c r="H92" s="33" t="n">
        <v>9837.36</v>
      </c>
    </row>
    <row r="93" customFormat="false" ht="15" hidden="false" customHeight="false" outlineLevel="0" collapsed="false">
      <c r="B93" s="5" t="s">
        <v>189</v>
      </c>
      <c r="D93" s="33" t="n">
        <f aca="false">SUM(F93:H93)</f>
        <v>4408.6</v>
      </c>
      <c r="H93" s="33" t="n">
        <v>4408.6</v>
      </c>
    </row>
    <row r="94" customFormat="false" ht="15" hidden="false" customHeight="false" outlineLevel="0" collapsed="false">
      <c r="B94" s="5" t="s">
        <v>190</v>
      </c>
      <c r="D94" s="33" t="n">
        <f aca="false">SUM(F94:H94)</f>
        <v>1012.22</v>
      </c>
      <c r="H94" s="33" t="n">
        <v>1012.22</v>
      </c>
    </row>
    <row r="95" customFormat="false" ht="15" hidden="false" customHeight="false" outlineLevel="0" collapsed="false">
      <c r="B95" s="5" t="s">
        <v>192</v>
      </c>
      <c r="D95" s="33" t="n">
        <f aca="false">SUM(F95:H95)</f>
        <v>14327.98</v>
      </c>
      <c r="H95" s="33" t="n">
        <v>14327.98</v>
      </c>
    </row>
    <row r="96" customFormat="false" ht="15" hidden="false" customHeight="false" outlineLevel="0" collapsed="false">
      <c r="B96" s="5" t="s">
        <v>193</v>
      </c>
      <c r="D96" s="33" t="n">
        <f aca="false">SUM(F96:H96)</f>
        <v>1332.99</v>
      </c>
      <c r="H96" s="33" t="n">
        <v>1332.99</v>
      </c>
    </row>
    <row r="97" customFormat="false" ht="15" hidden="false" customHeight="false" outlineLevel="0" collapsed="false">
      <c r="B97" s="5" t="s">
        <v>202</v>
      </c>
      <c r="D97" s="33" t="n">
        <f aca="false">SUM(F97:H97)</f>
        <v>1709.81</v>
      </c>
      <c r="H97" s="33" t="n">
        <v>1709.81</v>
      </c>
    </row>
    <row r="98" customFormat="false" ht="15" hidden="false" customHeight="false" outlineLevel="0" collapsed="false">
      <c r="B98" s="11" t="s">
        <v>162</v>
      </c>
      <c r="D98" s="34" t="n">
        <f aca="false">SUM(D68:D97)</f>
        <v>147893.47</v>
      </c>
      <c r="F98" s="34" t="n">
        <f aca="false">SUM(F68:F97)</f>
        <v>30900.04</v>
      </c>
      <c r="H98" s="34" t="n">
        <f aca="false">SUM(H68:H97)</f>
        <v>116993.43</v>
      </c>
    </row>
    <row r="99" customFormat="false" ht="15" hidden="false" customHeight="false" outlineLevel="0" collapsed="false">
      <c r="B99" s="30" t="s">
        <v>136</v>
      </c>
      <c r="F99" s="31" t="n">
        <f aca="false">F98/D98</f>
        <v>0.208934444502519</v>
      </c>
      <c r="H99" s="31" t="n">
        <f aca="false">H98/D98</f>
        <v>0.791065555497481</v>
      </c>
    </row>
    <row r="101" customFormat="false" ht="15" hidden="false" customHeight="false" outlineLevel="0" collapsed="false">
      <c r="A101" s="10" t="s">
        <v>157</v>
      </c>
    </row>
    <row r="102" customFormat="false" ht="15" hidden="false" customHeight="false" outlineLevel="0" collapsed="false">
      <c r="B102" s="4" t="s">
        <v>158</v>
      </c>
      <c r="D102" s="4" t="s">
        <v>108</v>
      </c>
      <c r="F102" s="4" t="s">
        <v>165</v>
      </c>
      <c r="H102" s="4" t="s">
        <v>141</v>
      </c>
    </row>
    <row r="103" customFormat="false" ht="15" hidden="false" customHeight="false" outlineLevel="0" collapsed="false">
      <c r="B103" s="5" t="str">
        <f aca="false">'Building 23'!B18</f>
        <v>1 - Buillding - Apt - 5yr</v>
      </c>
      <c r="D103" s="33" t="n">
        <f aca="false">SUM(F103:H103)</f>
        <v>24387.48</v>
      </c>
      <c r="F103" s="33" t="n">
        <f aca="false">'Building 23'!D18</f>
        <v>24387.48</v>
      </c>
    </row>
    <row r="104" customFormat="false" ht="15" hidden="false" customHeight="false" outlineLevel="0" collapsed="false">
      <c r="B104" s="5" t="str">
        <f aca="false">'Building 23'!B19</f>
        <v>1 - Buillding - Apt - 27.5yr</v>
      </c>
      <c r="D104" s="33" t="n">
        <f aca="false">SUM(F104:H104)</f>
        <v>92335.64</v>
      </c>
      <c r="H104" s="33" t="n">
        <f aca="false">'Building 23'!D19</f>
        <v>92335.64</v>
      </c>
    </row>
    <row r="105" customFormat="false" ht="15" hidden="false" customHeight="false" outlineLevel="0" collapsed="false">
      <c r="B105" s="5" t="str">
        <f aca="false">'Building 23'!B20</f>
        <v>5 - Building - Apt - 5yr</v>
      </c>
      <c r="D105" s="33" t="n">
        <f aca="false">SUM(F105:H105)</f>
        <v>44.42</v>
      </c>
      <c r="F105" s="33" t="n">
        <f aca="false">'Building 23'!D20</f>
        <v>44.42</v>
      </c>
    </row>
    <row r="106" customFormat="false" ht="15" hidden="false" customHeight="false" outlineLevel="0" collapsed="false">
      <c r="B106" s="5" t="str">
        <f aca="false">'Building 23'!B21</f>
        <v>5 - Building - Apt - 27.5yr</v>
      </c>
      <c r="D106" s="33" t="n">
        <f aca="false">SUM(F106:H106)</f>
        <v>168.16</v>
      </c>
      <c r="H106" s="33" t="n">
        <f aca="false">'Building 23'!D21</f>
        <v>168.16</v>
      </c>
    </row>
    <row r="107" customFormat="false" ht="15" hidden="false" customHeight="false" outlineLevel="0" collapsed="false">
      <c r="B107" s="5" t="str">
        <f aca="false">'Building 23'!B22</f>
        <v>3 - Land Improvements - Apt - 5yr</v>
      </c>
      <c r="D107" s="33" t="n">
        <f aca="false">SUM(F107:H107)</f>
        <v>2300.7</v>
      </c>
      <c r="F107" s="33" t="n">
        <f aca="false">'Building 23'!D22</f>
        <v>2300.7</v>
      </c>
    </row>
    <row r="108" customFormat="false" ht="15" hidden="false" customHeight="false" outlineLevel="0" collapsed="false">
      <c r="B108" s="5" t="str">
        <f aca="false">'Building 23'!B23</f>
        <v>3 - Land Improvements - Apt - 27.5yr</v>
      </c>
      <c r="D108" s="33" t="n">
        <f aca="false">SUM(F108:H108)</f>
        <v>8710.9</v>
      </c>
      <c r="H108" s="33" t="n">
        <f aca="false">'Building 23'!D23</f>
        <v>8710.9</v>
      </c>
    </row>
    <row r="109" customFormat="false" ht="15" hidden="false" customHeight="false" outlineLevel="0" collapsed="false">
      <c r="B109" s="5" t="str">
        <f aca="false">'Building 23'!B24</f>
        <v>4 - Equipment - Apt - 5yr</v>
      </c>
      <c r="D109" s="33" t="n">
        <f aca="false">SUM(F109:H109)</f>
        <v>4167.44</v>
      </c>
      <c r="F109" s="33" t="n">
        <f aca="false">'Building 23'!D24</f>
        <v>4167.44</v>
      </c>
    </row>
    <row r="110" customFormat="false" ht="15" hidden="false" customHeight="false" outlineLevel="0" collapsed="false">
      <c r="B110" s="5" t="str">
        <f aca="false">'Building 23'!B25</f>
        <v>4 - Equipment - Apt - 27.5yr</v>
      </c>
      <c r="D110" s="33" t="n">
        <f aca="false">SUM(F110:H110)</f>
        <v>15778.73</v>
      </c>
      <c r="H110" s="33" t="n">
        <f aca="false">'Building 23'!D25</f>
        <v>15778.73</v>
      </c>
    </row>
    <row r="111" customFormat="false" ht="15" hidden="false" customHeight="false" outlineLevel="0" collapsed="false">
      <c r="B111" s="11" t="s">
        <v>159</v>
      </c>
      <c r="D111" s="34" t="n">
        <f aca="false">SUM(D103:D110)</f>
        <v>147893.47</v>
      </c>
      <c r="F111" s="34" t="n">
        <f aca="false">SUM(F103:F110)</f>
        <v>30900.04</v>
      </c>
      <c r="H111" s="34" t="n">
        <f aca="false">SUM(H103:H110)</f>
        <v>116993.43</v>
      </c>
    </row>
    <row r="112" customFormat="false" ht="15" hidden="false" customHeight="false" outlineLevel="0" collapsed="false">
      <c r="B112" s="16" t="s">
        <v>160</v>
      </c>
      <c r="D112" s="17" t="n">
        <f aca="false">D111-D98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225</v>
      </c>
    </row>
    <row r="5" customFormat="false" ht="15" hidden="false" customHeight="false" outlineLevel="0" collapsed="false">
      <c r="A5" s="16" t="s">
        <v>102</v>
      </c>
    </row>
    <row r="7" customFormat="false" ht="15" hidden="false" customHeight="false" outlineLevel="0" collapsed="false">
      <c r="A7" s="10" t="s">
        <v>103</v>
      </c>
    </row>
    <row r="8" customFormat="false" ht="15" hidden="false" customHeight="false" outlineLevel="0" collapsed="false">
      <c r="A8" s="21" t="s">
        <v>104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105</v>
      </c>
      <c r="B9" s="4" t="s">
        <v>106</v>
      </c>
      <c r="C9" s="4" t="s">
        <v>107</v>
      </c>
      <c r="D9" s="4" t="s">
        <v>108</v>
      </c>
      <c r="E9" s="4" t="s">
        <v>109</v>
      </c>
      <c r="F9" s="4" t="s">
        <v>110</v>
      </c>
      <c r="G9" s="4" t="s">
        <v>111</v>
      </c>
      <c r="H9" s="4" t="s">
        <v>112</v>
      </c>
      <c r="I9" s="4" t="s">
        <v>113</v>
      </c>
      <c r="J9" s="4" t="s">
        <v>114</v>
      </c>
      <c r="K9" s="4" t="s">
        <v>115</v>
      </c>
      <c r="L9" s="4" t="s">
        <v>116</v>
      </c>
    </row>
    <row r="10" customFormat="false" ht="15" hidden="false" customHeight="false" outlineLevel="0" collapsed="false">
      <c r="A10" s="23" t="n">
        <v>1</v>
      </c>
      <c r="B10" s="23" t="s">
        <v>45</v>
      </c>
      <c r="C10" s="23" t="s">
        <v>35</v>
      </c>
      <c r="D10" s="24" t="n">
        <v>116723.12</v>
      </c>
      <c r="E10" s="24" t="n">
        <v>0</v>
      </c>
      <c r="F10" s="24" t="n">
        <v>0</v>
      </c>
      <c r="G10" s="24" t="n">
        <v>34132.24</v>
      </c>
      <c r="H10" s="24" t="n">
        <v>4244.48</v>
      </c>
      <c r="I10" s="24" t="n">
        <f aca="false">G10+H10</f>
        <v>38376.72</v>
      </c>
      <c r="J10" s="24" t="n">
        <f aca="false">D10-I10</f>
        <v>78346.4</v>
      </c>
      <c r="K10" s="25" t="s">
        <v>117</v>
      </c>
      <c r="L10" s="25" t="s">
        <v>118</v>
      </c>
    </row>
    <row r="11" customFormat="false" ht="15" hidden="false" customHeight="false" outlineLevel="0" collapsed="false">
      <c r="A11" s="23" t="n">
        <v>2</v>
      </c>
      <c r="B11" s="23" t="s">
        <v>46</v>
      </c>
      <c r="C11" s="23" t="s">
        <v>37</v>
      </c>
      <c r="D11" s="24" t="n">
        <v>212.58</v>
      </c>
      <c r="E11" s="24" t="n">
        <v>0</v>
      </c>
      <c r="F11" s="24" t="n">
        <v>0</v>
      </c>
      <c r="G11" s="24" t="n">
        <v>61.56</v>
      </c>
      <c r="H11" s="24" t="n">
        <v>7.73</v>
      </c>
      <c r="I11" s="24" t="n">
        <f aca="false">G11+H11</f>
        <v>69.29</v>
      </c>
      <c r="J11" s="24" t="n">
        <f aca="false">D11-I11</f>
        <v>143.29</v>
      </c>
      <c r="K11" s="25" t="s">
        <v>117</v>
      </c>
      <c r="L11" s="25" t="s">
        <v>118</v>
      </c>
    </row>
    <row r="12" customFormat="false" ht="15" hidden="false" customHeight="false" outlineLevel="0" collapsed="false">
      <c r="A12" s="23" t="n">
        <v>3</v>
      </c>
      <c r="B12" s="23" t="s">
        <v>47</v>
      </c>
      <c r="C12" s="23" t="s">
        <v>35</v>
      </c>
      <c r="D12" s="24" t="n">
        <v>11011.6</v>
      </c>
      <c r="E12" s="24" t="n">
        <v>0</v>
      </c>
      <c r="F12" s="24" t="n">
        <v>0</v>
      </c>
      <c r="G12" s="24" t="n">
        <v>6449.13</v>
      </c>
      <c r="H12" s="24" t="n">
        <v>649.69</v>
      </c>
      <c r="I12" s="24" t="n">
        <f aca="false">G12+H12</f>
        <v>7098.82</v>
      </c>
      <c r="J12" s="24" t="n">
        <f aca="false">D12-I12</f>
        <v>3912.78</v>
      </c>
      <c r="K12" s="25" t="s">
        <v>119</v>
      </c>
      <c r="L12" s="25" t="s">
        <v>120</v>
      </c>
    </row>
    <row r="13" customFormat="false" ht="15" hidden="false" customHeight="false" outlineLevel="0" collapsed="false">
      <c r="A13" s="23" t="n">
        <v>4</v>
      </c>
      <c r="B13" s="23" t="s">
        <v>48</v>
      </c>
      <c r="C13" s="23" t="s">
        <v>35</v>
      </c>
      <c r="D13" s="24" t="n">
        <v>19946.17</v>
      </c>
      <c r="E13" s="24" t="n">
        <v>0</v>
      </c>
      <c r="F13" s="24" t="n">
        <v>0</v>
      </c>
      <c r="G13" s="24" t="n">
        <v>19281.3</v>
      </c>
      <c r="H13" s="24" t="n">
        <v>0</v>
      </c>
      <c r="I13" s="24" t="n">
        <f aca="false">G13+H13</f>
        <v>19281.3</v>
      </c>
      <c r="J13" s="24" t="n">
        <f aca="false">D13-I13</f>
        <v>664.869999999999</v>
      </c>
      <c r="K13" s="25" t="s">
        <v>121</v>
      </c>
      <c r="L13" s="25" t="s">
        <v>122</v>
      </c>
    </row>
    <row r="14" customFormat="false" ht="15" hidden="false" customHeight="false" outlineLevel="0" collapsed="false">
      <c r="A14" s="26"/>
      <c r="B14" s="27" t="s">
        <v>53</v>
      </c>
      <c r="C14" s="26"/>
      <c r="D14" s="28" t="n">
        <f aca="false">SUM(D10:D13)</f>
        <v>147893.47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59924.23</v>
      </c>
      <c r="H14" s="28" t="n">
        <f aca="false">SUM(H10:H13)</f>
        <v>4901.9</v>
      </c>
      <c r="I14" s="28" t="n">
        <f aca="false">SUM(I10:I13)</f>
        <v>64826.13</v>
      </c>
      <c r="J14" s="28" t="n">
        <f aca="false">SUM(J10:J13)</f>
        <v>83067.34</v>
      </c>
      <c r="K14" s="26"/>
      <c r="L14" s="26"/>
    </row>
    <row r="16" customFormat="false" ht="15" hidden="false" customHeight="false" outlineLevel="0" collapsed="false">
      <c r="A16" s="21" t="s">
        <v>123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4" t="s">
        <v>105</v>
      </c>
      <c r="B17" s="4" t="s">
        <v>106</v>
      </c>
      <c r="C17" s="4" t="s">
        <v>107</v>
      </c>
      <c r="D17" s="4" t="s">
        <v>108</v>
      </c>
      <c r="E17" s="4" t="s">
        <v>109</v>
      </c>
      <c r="F17" s="4" t="s">
        <v>110</v>
      </c>
      <c r="G17" s="4" t="s">
        <v>111</v>
      </c>
      <c r="H17" s="4" t="s">
        <v>112</v>
      </c>
      <c r="I17" s="4" t="s">
        <v>113</v>
      </c>
      <c r="J17" s="4" t="s">
        <v>114</v>
      </c>
      <c r="K17" s="4" t="s">
        <v>115</v>
      </c>
      <c r="L17" s="4" t="s">
        <v>116</v>
      </c>
    </row>
    <row r="18" customFormat="false" ht="15" hidden="false" customHeight="false" outlineLevel="0" collapsed="false">
      <c r="A18" s="23" t="n">
        <v>1</v>
      </c>
      <c r="B18" s="23" t="s">
        <v>71</v>
      </c>
      <c r="C18" s="23" t="s">
        <v>35</v>
      </c>
      <c r="D18" s="24" t="n">
        <v>24387.48</v>
      </c>
      <c r="E18" s="24" t="n">
        <v>0</v>
      </c>
      <c r="F18" s="24" t="n">
        <v>0</v>
      </c>
      <c r="G18" s="24" t="n">
        <v>24387.48</v>
      </c>
      <c r="H18" s="24" t="n">
        <v>0</v>
      </c>
      <c r="I18" s="24" t="n">
        <f aca="false">G18+H18</f>
        <v>24387.48</v>
      </c>
      <c r="J18" s="24" t="n">
        <f aca="false">D18-I18</f>
        <v>0</v>
      </c>
      <c r="K18" s="25" t="s">
        <v>121</v>
      </c>
      <c r="L18" s="25" t="s">
        <v>122</v>
      </c>
    </row>
    <row r="19" customFormat="false" ht="15" hidden="false" customHeight="false" outlineLevel="0" collapsed="false">
      <c r="A19" s="23" t="n">
        <v>2</v>
      </c>
      <c r="B19" s="23" t="s">
        <v>72</v>
      </c>
      <c r="C19" s="23" t="s">
        <v>35</v>
      </c>
      <c r="D19" s="24" t="n">
        <v>92335.64</v>
      </c>
      <c r="E19" s="24" t="n">
        <v>0</v>
      </c>
      <c r="F19" s="24" t="n">
        <v>0</v>
      </c>
      <c r="G19" s="24" t="n">
        <v>27001.18</v>
      </c>
      <c r="H19" s="24" t="n">
        <v>3357.66</v>
      </c>
      <c r="I19" s="24" t="n">
        <f aca="false">G19+H19</f>
        <v>30358.84</v>
      </c>
      <c r="J19" s="24" t="n">
        <f aca="false">D19-I19</f>
        <v>61976.8</v>
      </c>
      <c r="K19" s="25" t="s">
        <v>117</v>
      </c>
      <c r="L19" s="25" t="s">
        <v>118</v>
      </c>
    </row>
    <row r="20" customFormat="false" ht="15" hidden="false" customHeight="false" outlineLevel="0" collapsed="false">
      <c r="A20" s="23" t="n">
        <v>3</v>
      </c>
      <c r="B20" s="23" t="s">
        <v>73</v>
      </c>
      <c r="C20" s="23" t="s">
        <v>37</v>
      </c>
      <c r="D20" s="24" t="n">
        <v>44.42</v>
      </c>
      <c r="E20" s="24" t="n">
        <v>0</v>
      </c>
      <c r="F20" s="24" t="n">
        <v>0</v>
      </c>
      <c r="G20" s="24" t="n">
        <v>44.42</v>
      </c>
      <c r="H20" s="24" t="n">
        <v>0</v>
      </c>
      <c r="I20" s="24" t="n">
        <f aca="false">G20+H20</f>
        <v>44.42</v>
      </c>
      <c r="J20" s="24" t="n">
        <f aca="false">D20-I20</f>
        <v>0</v>
      </c>
      <c r="K20" s="25" t="s">
        <v>121</v>
      </c>
      <c r="L20" s="25" t="s">
        <v>122</v>
      </c>
    </row>
    <row r="21" customFormat="false" ht="15" hidden="false" customHeight="false" outlineLevel="0" collapsed="false">
      <c r="A21" s="23" t="n">
        <v>4</v>
      </c>
      <c r="B21" s="23" t="s">
        <v>74</v>
      </c>
      <c r="C21" s="23" t="s">
        <v>37</v>
      </c>
      <c r="D21" s="24" t="n">
        <v>168.16</v>
      </c>
      <c r="E21" s="24" t="n">
        <v>0</v>
      </c>
      <c r="F21" s="24" t="n">
        <v>0</v>
      </c>
      <c r="G21" s="24" t="n">
        <v>48.63</v>
      </c>
      <c r="H21" s="24" t="n">
        <v>6.11</v>
      </c>
      <c r="I21" s="24" t="n">
        <f aca="false">G21+H21</f>
        <v>54.74</v>
      </c>
      <c r="J21" s="24" t="n">
        <f aca="false">D21-I21</f>
        <v>113.42</v>
      </c>
      <c r="K21" s="25" t="s">
        <v>117</v>
      </c>
      <c r="L21" s="25" t="s">
        <v>118</v>
      </c>
    </row>
    <row r="22" customFormat="false" ht="15" hidden="false" customHeight="false" outlineLevel="0" collapsed="false">
      <c r="A22" s="23" t="n">
        <v>5</v>
      </c>
      <c r="B22" s="23" t="s">
        <v>75</v>
      </c>
      <c r="C22" s="23" t="s">
        <v>35</v>
      </c>
      <c r="D22" s="24" t="n">
        <v>2300.7</v>
      </c>
      <c r="E22" s="24" t="n">
        <v>0</v>
      </c>
      <c r="F22" s="24" t="n">
        <v>0</v>
      </c>
      <c r="G22" s="24" t="n">
        <v>2300.7</v>
      </c>
      <c r="H22" s="24" t="n">
        <v>0</v>
      </c>
      <c r="I22" s="24" t="n">
        <f aca="false">G22+H22</f>
        <v>2300.7</v>
      </c>
      <c r="J22" s="24" t="n">
        <f aca="false">D22-I22</f>
        <v>0</v>
      </c>
      <c r="K22" s="25" t="s">
        <v>121</v>
      </c>
      <c r="L22" s="25" t="s">
        <v>122</v>
      </c>
    </row>
    <row r="23" customFormat="false" ht="15" hidden="false" customHeight="false" outlineLevel="0" collapsed="false">
      <c r="A23" s="23" t="n">
        <v>6</v>
      </c>
      <c r="B23" s="23" t="s">
        <v>76</v>
      </c>
      <c r="C23" s="23" t="s">
        <v>35</v>
      </c>
      <c r="D23" s="24" t="n">
        <v>8710.9</v>
      </c>
      <c r="E23" s="24" t="n">
        <v>0</v>
      </c>
      <c r="F23" s="24" t="n">
        <v>0</v>
      </c>
      <c r="G23" s="24" t="n">
        <v>2547.28</v>
      </c>
      <c r="H23" s="24" t="n">
        <v>316.76</v>
      </c>
      <c r="I23" s="24" t="n">
        <f aca="false">G23+H23</f>
        <v>2864.04</v>
      </c>
      <c r="J23" s="24" t="n">
        <f aca="false">D23-I23</f>
        <v>5846.86</v>
      </c>
      <c r="K23" s="25" t="s">
        <v>117</v>
      </c>
      <c r="L23" s="25" t="s">
        <v>118</v>
      </c>
    </row>
    <row r="24" customFormat="false" ht="15" hidden="false" customHeight="false" outlineLevel="0" collapsed="false">
      <c r="A24" s="23" t="n">
        <v>7</v>
      </c>
      <c r="B24" s="23" t="s">
        <v>77</v>
      </c>
      <c r="C24" s="23" t="s">
        <v>35</v>
      </c>
      <c r="D24" s="24" t="n">
        <v>4167.44</v>
      </c>
      <c r="E24" s="24" t="n">
        <v>0</v>
      </c>
      <c r="F24" s="24" t="n">
        <v>0</v>
      </c>
      <c r="G24" s="24" t="n">
        <v>4167.44</v>
      </c>
      <c r="H24" s="24" t="n">
        <v>0</v>
      </c>
      <c r="I24" s="24" t="n">
        <f aca="false">G24+H24</f>
        <v>4167.44</v>
      </c>
      <c r="J24" s="24" t="n">
        <f aca="false">D24-I24</f>
        <v>0</v>
      </c>
      <c r="K24" s="25" t="s">
        <v>121</v>
      </c>
      <c r="L24" s="25" t="s">
        <v>122</v>
      </c>
    </row>
    <row r="25" customFormat="false" ht="15" hidden="false" customHeight="false" outlineLevel="0" collapsed="false">
      <c r="A25" s="23" t="n">
        <v>8</v>
      </c>
      <c r="B25" s="23" t="s">
        <v>78</v>
      </c>
      <c r="C25" s="23" t="s">
        <v>35</v>
      </c>
      <c r="D25" s="24" t="n">
        <v>15778.73</v>
      </c>
      <c r="E25" s="24" t="n">
        <v>0</v>
      </c>
      <c r="F25" s="24" t="n">
        <v>0</v>
      </c>
      <c r="G25" s="24" t="n">
        <v>4614.07</v>
      </c>
      <c r="H25" s="24" t="n">
        <v>573.77</v>
      </c>
      <c r="I25" s="24" t="n">
        <f aca="false">G25+H25</f>
        <v>5187.84</v>
      </c>
      <c r="J25" s="24" t="n">
        <f aca="false">D25-I25</f>
        <v>10590.89</v>
      </c>
      <c r="K25" s="25" t="s">
        <v>117</v>
      </c>
      <c r="L25" s="25" t="s">
        <v>118</v>
      </c>
    </row>
    <row r="26" customFormat="false" ht="15" hidden="false" customHeight="false" outlineLevel="0" collapsed="false">
      <c r="A26" s="26"/>
      <c r="B26" s="27" t="s">
        <v>53</v>
      </c>
      <c r="C26" s="26"/>
      <c r="D26" s="28" t="n">
        <f aca="false">SUM(D18:D25)</f>
        <v>147893.47</v>
      </c>
      <c r="E26" s="28" t="n">
        <f aca="false">SUM(E18:E25)</f>
        <v>0</v>
      </c>
      <c r="F26" s="28" t="n">
        <f aca="false">SUM(F18:F25)</f>
        <v>0</v>
      </c>
      <c r="G26" s="28" t="n">
        <f aca="false">SUM(G18:G25)</f>
        <v>65111.2</v>
      </c>
      <c r="H26" s="28" t="n">
        <f aca="false">SUM(H18:H25)</f>
        <v>4254.3</v>
      </c>
      <c r="I26" s="28" t="n">
        <f aca="false">SUM(I18:I25)</f>
        <v>69365.5</v>
      </c>
      <c r="J26" s="28" t="n">
        <f aca="false">SUM(J18:J25)</f>
        <v>78527.97</v>
      </c>
      <c r="K26" s="26"/>
      <c r="L26" s="26"/>
    </row>
    <row r="28" customFormat="false" ht="15" hidden="false" customHeight="false" outlineLevel="0" collapsed="false">
      <c r="B28" s="18" t="s">
        <v>124</v>
      </c>
    </row>
    <row r="29" customFormat="false" ht="15" hidden="false" customHeight="false" outlineLevel="0" collapsed="false">
      <c r="B29" s="5" t="s">
        <v>125</v>
      </c>
      <c r="D29" s="6" t="n">
        <f aca="false">I14</f>
        <v>64826.13</v>
      </c>
    </row>
    <row r="30" customFormat="false" ht="15" hidden="false" customHeight="false" outlineLevel="0" collapsed="false">
      <c r="B30" s="5" t="s">
        <v>126</v>
      </c>
      <c r="D30" s="6" t="n">
        <f aca="false">I26</f>
        <v>69365.5</v>
      </c>
    </row>
    <row r="31" customFormat="false" ht="15" hidden="false" customHeight="false" outlineLevel="0" collapsed="false">
      <c r="B31" s="11" t="s">
        <v>124</v>
      </c>
      <c r="D31" s="29" t="n">
        <f aca="false">D29-D30</f>
        <v>-4539.37</v>
      </c>
    </row>
    <row r="33" customFormat="false" ht="15" hidden="false" customHeight="false" outlineLevel="0" collapsed="false">
      <c r="A33" s="10" t="s">
        <v>127</v>
      </c>
    </row>
    <row r="34" customFormat="false" ht="15" hidden="false" customHeight="false" outlineLevel="0" collapsed="false">
      <c r="A34" s="21" t="s">
        <v>128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4" t="s">
        <v>105</v>
      </c>
      <c r="B35" s="4" t="s">
        <v>106</v>
      </c>
      <c r="C35" s="4" t="s">
        <v>107</v>
      </c>
      <c r="D35" s="4" t="s">
        <v>108</v>
      </c>
      <c r="E35" s="4" t="s">
        <v>109</v>
      </c>
      <c r="F35" s="4" t="s">
        <v>110</v>
      </c>
      <c r="G35" s="4" t="s">
        <v>129</v>
      </c>
      <c r="H35" s="4" t="s">
        <v>130</v>
      </c>
      <c r="I35" s="4" t="s">
        <v>113</v>
      </c>
      <c r="J35" s="4" t="s">
        <v>114</v>
      </c>
      <c r="K35" s="4" t="s">
        <v>115</v>
      </c>
      <c r="L35" s="4" t="s">
        <v>116</v>
      </c>
    </row>
    <row r="36" customFormat="false" ht="15" hidden="false" customHeight="false" outlineLevel="0" collapsed="false">
      <c r="A36" s="23" t="n">
        <v>1</v>
      </c>
      <c r="B36" s="23" t="s">
        <v>45</v>
      </c>
      <c r="C36" s="23" t="s">
        <v>35</v>
      </c>
      <c r="D36" s="24" t="n">
        <v>116723.12</v>
      </c>
      <c r="E36" s="24" t="n">
        <v>0</v>
      </c>
      <c r="F36" s="24" t="n">
        <v>0</v>
      </c>
      <c r="G36" s="24" t="n">
        <v>34132.24</v>
      </c>
      <c r="H36" s="24" t="n">
        <v>4244.48</v>
      </c>
      <c r="I36" s="24" t="n">
        <f aca="false">G36+H36</f>
        <v>38376.72</v>
      </c>
      <c r="J36" s="24" t="n">
        <f aca="false">D36-I36</f>
        <v>78346.4</v>
      </c>
      <c r="K36" s="25" t="s">
        <v>117</v>
      </c>
      <c r="L36" s="25" t="s">
        <v>118</v>
      </c>
    </row>
    <row r="37" customFormat="false" ht="15" hidden="false" customHeight="false" outlineLevel="0" collapsed="false">
      <c r="A37" s="23" t="n">
        <v>2</v>
      </c>
      <c r="B37" s="23" t="s">
        <v>46</v>
      </c>
      <c r="C37" s="23" t="s">
        <v>37</v>
      </c>
      <c r="D37" s="24" t="n">
        <v>212.58</v>
      </c>
      <c r="E37" s="24" t="n">
        <v>0</v>
      </c>
      <c r="F37" s="24" t="n">
        <v>0</v>
      </c>
      <c r="G37" s="24" t="n">
        <v>61.56</v>
      </c>
      <c r="H37" s="24" t="n">
        <v>7.73</v>
      </c>
      <c r="I37" s="24" t="n">
        <f aca="false">G37+H37</f>
        <v>69.29</v>
      </c>
      <c r="J37" s="24" t="n">
        <f aca="false">D37-I37</f>
        <v>143.29</v>
      </c>
      <c r="K37" s="25" t="s">
        <v>117</v>
      </c>
      <c r="L37" s="25" t="s">
        <v>118</v>
      </c>
    </row>
    <row r="38" customFormat="false" ht="15" hidden="false" customHeight="false" outlineLevel="0" collapsed="false">
      <c r="A38" s="23" t="n">
        <v>3</v>
      </c>
      <c r="B38" s="23" t="s">
        <v>47</v>
      </c>
      <c r="C38" s="23" t="s">
        <v>35</v>
      </c>
      <c r="D38" s="24" t="n">
        <v>11011.6</v>
      </c>
      <c r="E38" s="24" t="n">
        <v>0</v>
      </c>
      <c r="F38" s="24" t="n">
        <v>0</v>
      </c>
      <c r="G38" s="24" t="n">
        <v>6449.13</v>
      </c>
      <c r="H38" s="24" t="n">
        <v>649.69</v>
      </c>
      <c r="I38" s="24" t="n">
        <f aca="false">G38+H38</f>
        <v>7098.82</v>
      </c>
      <c r="J38" s="24" t="n">
        <f aca="false">D38-I38</f>
        <v>3912.78</v>
      </c>
      <c r="K38" s="25" t="s">
        <v>119</v>
      </c>
      <c r="L38" s="25" t="s">
        <v>120</v>
      </c>
    </row>
    <row r="39" customFormat="false" ht="15" hidden="false" customHeight="false" outlineLevel="0" collapsed="false">
      <c r="A39" s="23" t="n">
        <v>4</v>
      </c>
      <c r="B39" s="23" t="s">
        <v>48</v>
      </c>
      <c r="C39" s="23" t="s">
        <v>35</v>
      </c>
      <c r="D39" s="24" t="n">
        <v>19946.17</v>
      </c>
      <c r="E39" s="24" t="n">
        <v>0</v>
      </c>
      <c r="F39" s="24" t="n">
        <v>0</v>
      </c>
      <c r="G39" s="24" t="n">
        <v>19281.3</v>
      </c>
      <c r="H39" s="24" t="n">
        <v>0</v>
      </c>
      <c r="I39" s="24" t="n">
        <f aca="false">G39+H39</f>
        <v>19281.3</v>
      </c>
      <c r="J39" s="24" t="n">
        <f aca="false">D39-I39</f>
        <v>664.869999999999</v>
      </c>
      <c r="K39" s="25" t="s">
        <v>121</v>
      </c>
      <c r="L39" s="25" t="s">
        <v>122</v>
      </c>
    </row>
    <row r="40" customFormat="false" ht="15" hidden="false" customHeight="false" outlineLevel="0" collapsed="false">
      <c r="A40" s="26"/>
      <c r="B40" s="27" t="s">
        <v>53</v>
      </c>
      <c r="C40" s="26"/>
      <c r="D40" s="28" t="n">
        <f aca="false">SUM(D36:D39)</f>
        <v>147893.47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59924.23</v>
      </c>
      <c r="H40" s="28" t="n">
        <f aca="false">SUM(H36:H39)</f>
        <v>4901.9</v>
      </c>
      <c r="I40" s="28" t="n">
        <f aca="false">SUM(I36:I39)</f>
        <v>64826.13</v>
      </c>
      <c r="J40" s="28" t="n">
        <f aca="false">SUM(J36:J39)</f>
        <v>83067.34</v>
      </c>
      <c r="K40" s="26"/>
      <c r="L40" s="26"/>
    </row>
    <row r="42" customFormat="false" ht="15" hidden="false" customHeight="false" outlineLevel="0" collapsed="false">
      <c r="A42" s="21" t="s">
        <v>131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4" t="s">
        <v>105</v>
      </c>
      <c r="B43" s="4" t="s">
        <v>106</v>
      </c>
      <c r="C43" s="4" t="s">
        <v>107</v>
      </c>
      <c r="D43" s="4" t="s">
        <v>108</v>
      </c>
      <c r="E43" s="4" t="s">
        <v>109</v>
      </c>
      <c r="F43" s="4" t="s">
        <v>110</v>
      </c>
      <c r="G43" s="4" t="s">
        <v>129</v>
      </c>
      <c r="H43" s="4" t="s">
        <v>130</v>
      </c>
      <c r="I43" s="4" t="s">
        <v>113</v>
      </c>
      <c r="J43" s="4" t="s">
        <v>114</v>
      </c>
      <c r="K43" s="4" t="s">
        <v>115</v>
      </c>
      <c r="L43" s="4" t="s">
        <v>116</v>
      </c>
    </row>
    <row r="44" customFormat="false" ht="15" hidden="false" customHeight="false" outlineLevel="0" collapsed="false">
      <c r="A44" s="23" t="n">
        <v>1</v>
      </c>
      <c r="B44" s="23" t="s">
        <v>71</v>
      </c>
      <c r="C44" s="23" t="s">
        <v>35</v>
      </c>
      <c r="D44" s="24" t="n">
        <v>24387.48</v>
      </c>
      <c r="E44" s="24" t="n">
        <v>0</v>
      </c>
      <c r="F44" s="24" t="n">
        <v>0</v>
      </c>
      <c r="G44" s="24" t="n">
        <v>24387.48</v>
      </c>
      <c r="H44" s="24" t="n">
        <v>0</v>
      </c>
      <c r="I44" s="24" t="n">
        <f aca="false">G44+H44</f>
        <v>24387.48</v>
      </c>
      <c r="J44" s="24" t="n">
        <f aca="false">D44-I44</f>
        <v>0</v>
      </c>
      <c r="K44" s="25" t="s">
        <v>121</v>
      </c>
      <c r="L44" s="25" t="s">
        <v>122</v>
      </c>
    </row>
    <row r="45" customFormat="false" ht="15" hidden="false" customHeight="false" outlineLevel="0" collapsed="false">
      <c r="A45" s="23" t="n">
        <v>2</v>
      </c>
      <c r="B45" s="23" t="s">
        <v>72</v>
      </c>
      <c r="C45" s="23" t="s">
        <v>35</v>
      </c>
      <c r="D45" s="24" t="n">
        <v>92335.64</v>
      </c>
      <c r="E45" s="24" t="n">
        <v>0</v>
      </c>
      <c r="F45" s="24" t="n">
        <v>0</v>
      </c>
      <c r="G45" s="24" t="n">
        <v>27001.18</v>
      </c>
      <c r="H45" s="24" t="n">
        <v>3357.66</v>
      </c>
      <c r="I45" s="24" t="n">
        <f aca="false">G45+H45</f>
        <v>30358.84</v>
      </c>
      <c r="J45" s="24" t="n">
        <f aca="false">D45-I45</f>
        <v>61976.8</v>
      </c>
      <c r="K45" s="25" t="s">
        <v>117</v>
      </c>
      <c r="L45" s="25" t="s">
        <v>118</v>
      </c>
    </row>
    <row r="46" customFormat="false" ht="15" hidden="false" customHeight="false" outlineLevel="0" collapsed="false">
      <c r="A46" s="23" t="n">
        <v>3</v>
      </c>
      <c r="B46" s="23" t="s">
        <v>73</v>
      </c>
      <c r="C46" s="23" t="s">
        <v>37</v>
      </c>
      <c r="D46" s="24" t="n">
        <v>44.42</v>
      </c>
      <c r="E46" s="24" t="n">
        <v>0</v>
      </c>
      <c r="F46" s="24" t="n">
        <v>0</v>
      </c>
      <c r="G46" s="24" t="n">
        <v>44.42</v>
      </c>
      <c r="H46" s="24" t="n">
        <v>0</v>
      </c>
      <c r="I46" s="24" t="n">
        <f aca="false">G46+H46</f>
        <v>44.42</v>
      </c>
      <c r="J46" s="24" t="n">
        <f aca="false">D46-I46</f>
        <v>0</v>
      </c>
      <c r="K46" s="25" t="s">
        <v>121</v>
      </c>
      <c r="L46" s="25" t="s">
        <v>122</v>
      </c>
    </row>
    <row r="47" customFormat="false" ht="15" hidden="false" customHeight="false" outlineLevel="0" collapsed="false">
      <c r="A47" s="23" t="n">
        <v>4</v>
      </c>
      <c r="B47" s="23" t="s">
        <v>74</v>
      </c>
      <c r="C47" s="23" t="s">
        <v>37</v>
      </c>
      <c r="D47" s="24" t="n">
        <v>168.16</v>
      </c>
      <c r="E47" s="24" t="n">
        <v>0</v>
      </c>
      <c r="F47" s="24" t="n">
        <v>0</v>
      </c>
      <c r="G47" s="24" t="n">
        <v>48.63</v>
      </c>
      <c r="H47" s="24" t="n">
        <v>6.11</v>
      </c>
      <c r="I47" s="24" t="n">
        <f aca="false">G47+H47</f>
        <v>54.74</v>
      </c>
      <c r="J47" s="24" t="n">
        <f aca="false">D47-I47</f>
        <v>113.42</v>
      </c>
      <c r="K47" s="25" t="s">
        <v>117</v>
      </c>
      <c r="L47" s="25" t="s">
        <v>118</v>
      </c>
    </row>
    <row r="48" customFormat="false" ht="15" hidden="false" customHeight="false" outlineLevel="0" collapsed="false">
      <c r="A48" s="23" t="n">
        <v>5</v>
      </c>
      <c r="B48" s="23" t="s">
        <v>75</v>
      </c>
      <c r="C48" s="23" t="s">
        <v>35</v>
      </c>
      <c r="D48" s="24" t="n">
        <v>2300.7</v>
      </c>
      <c r="E48" s="24" t="n">
        <v>0</v>
      </c>
      <c r="F48" s="24" t="n">
        <v>0</v>
      </c>
      <c r="G48" s="24" t="n">
        <v>2300.7</v>
      </c>
      <c r="H48" s="24" t="n">
        <v>0</v>
      </c>
      <c r="I48" s="24" t="n">
        <f aca="false">G48+H48</f>
        <v>2300.7</v>
      </c>
      <c r="J48" s="24" t="n">
        <f aca="false">D48-I48</f>
        <v>0</v>
      </c>
      <c r="K48" s="25" t="s">
        <v>121</v>
      </c>
      <c r="L48" s="25" t="s">
        <v>122</v>
      </c>
    </row>
    <row r="49" customFormat="false" ht="15" hidden="false" customHeight="false" outlineLevel="0" collapsed="false">
      <c r="A49" s="23" t="n">
        <v>6</v>
      </c>
      <c r="B49" s="23" t="s">
        <v>76</v>
      </c>
      <c r="C49" s="23" t="s">
        <v>35</v>
      </c>
      <c r="D49" s="24" t="n">
        <v>8710.9</v>
      </c>
      <c r="E49" s="24" t="n">
        <v>0</v>
      </c>
      <c r="F49" s="24" t="n">
        <v>0</v>
      </c>
      <c r="G49" s="24" t="n">
        <v>2547.28</v>
      </c>
      <c r="H49" s="24" t="n">
        <v>316.76</v>
      </c>
      <c r="I49" s="24" t="n">
        <f aca="false">G49+H49</f>
        <v>2864.04</v>
      </c>
      <c r="J49" s="24" t="n">
        <f aca="false">D49-I49</f>
        <v>5846.86</v>
      </c>
      <c r="K49" s="25" t="s">
        <v>117</v>
      </c>
      <c r="L49" s="25" t="s">
        <v>118</v>
      </c>
    </row>
    <row r="50" customFormat="false" ht="15" hidden="false" customHeight="false" outlineLevel="0" collapsed="false">
      <c r="A50" s="23" t="n">
        <v>7</v>
      </c>
      <c r="B50" s="23" t="s">
        <v>77</v>
      </c>
      <c r="C50" s="23" t="s">
        <v>35</v>
      </c>
      <c r="D50" s="24" t="n">
        <v>4167.44</v>
      </c>
      <c r="E50" s="24" t="n">
        <v>0</v>
      </c>
      <c r="F50" s="24" t="n">
        <v>0</v>
      </c>
      <c r="G50" s="24" t="n">
        <v>4167.44</v>
      </c>
      <c r="H50" s="24" t="n">
        <v>0</v>
      </c>
      <c r="I50" s="24" t="n">
        <f aca="false">G50+H50</f>
        <v>4167.44</v>
      </c>
      <c r="J50" s="24" t="n">
        <f aca="false">D50-I50</f>
        <v>0</v>
      </c>
      <c r="K50" s="25" t="s">
        <v>121</v>
      </c>
      <c r="L50" s="25" t="s">
        <v>122</v>
      </c>
    </row>
    <row r="51" customFormat="false" ht="15" hidden="false" customHeight="false" outlineLevel="0" collapsed="false">
      <c r="A51" s="23" t="n">
        <v>8</v>
      </c>
      <c r="B51" s="23" t="s">
        <v>78</v>
      </c>
      <c r="C51" s="23" t="s">
        <v>35</v>
      </c>
      <c r="D51" s="24" t="n">
        <v>15778.73</v>
      </c>
      <c r="E51" s="24" t="n">
        <v>0</v>
      </c>
      <c r="F51" s="24" t="n">
        <v>0</v>
      </c>
      <c r="G51" s="24" t="n">
        <v>4614.07</v>
      </c>
      <c r="H51" s="24" t="n">
        <v>573.77</v>
      </c>
      <c r="I51" s="24" t="n">
        <f aca="false">G51+H51</f>
        <v>5187.84</v>
      </c>
      <c r="J51" s="24" t="n">
        <f aca="false">D51-I51</f>
        <v>10590.89</v>
      </c>
      <c r="K51" s="25" t="s">
        <v>117</v>
      </c>
      <c r="L51" s="25" t="s">
        <v>118</v>
      </c>
    </row>
    <row r="52" customFormat="false" ht="15" hidden="false" customHeight="false" outlineLevel="0" collapsed="false">
      <c r="A52" s="26"/>
      <c r="B52" s="27" t="s">
        <v>53</v>
      </c>
      <c r="C52" s="26"/>
      <c r="D52" s="28" t="n">
        <f aca="false">SUM(D44:D51)</f>
        <v>147893.47</v>
      </c>
      <c r="E52" s="28" t="n">
        <f aca="false">SUM(E44:E51)</f>
        <v>0</v>
      </c>
      <c r="F52" s="28" t="n">
        <f aca="false">SUM(F44:F51)</f>
        <v>0</v>
      </c>
      <c r="G52" s="28" t="n">
        <f aca="false">SUM(G44:G51)</f>
        <v>65111.2</v>
      </c>
      <c r="H52" s="28" t="n">
        <f aca="false">SUM(H44:H51)</f>
        <v>4254.3</v>
      </c>
      <c r="I52" s="28" t="n">
        <f aca="false">SUM(I44:I51)</f>
        <v>69365.5</v>
      </c>
      <c r="J52" s="28" t="n">
        <f aca="false">SUM(J44:J51)</f>
        <v>78527.97</v>
      </c>
      <c r="K52" s="26"/>
      <c r="L52" s="26"/>
    </row>
    <row r="54" customFormat="false" ht="15" hidden="false" customHeight="false" outlineLevel="0" collapsed="false">
      <c r="B54" s="18" t="s">
        <v>132</v>
      </c>
    </row>
    <row r="55" customFormat="false" ht="15" hidden="false" customHeight="false" outlineLevel="0" collapsed="false">
      <c r="B55" s="5" t="s">
        <v>125</v>
      </c>
      <c r="D55" s="6" t="n">
        <f aca="false">I40</f>
        <v>64826.13</v>
      </c>
    </row>
    <row r="56" customFormat="false" ht="15" hidden="false" customHeight="false" outlineLevel="0" collapsed="false">
      <c r="B56" s="5" t="s">
        <v>126</v>
      </c>
      <c r="D56" s="6" t="n">
        <f aca="false">I52</f>
        <v>69365.5</v>
      </c>
    </row>
    <row r="57" customFormat="false" ht="15" hidden="false" customHeight="false" outlineLevel="0" collapsed="false">
      <c r="B57" s="11" t="s">
        <v>132</v>
      </c>
      <c r="D57" s="29" t="n">
        <f aca="false">D55-D56</f>
        <v>-4539.37</v>
      </c>
    </row>
    <row r="59" customFormat="false" ht="15" hidden="false" customHeight="false" outlineLevel="0" collapsed="false">
      <c r="A59" s="10" t="s">
        <v>133</v>
      </c>
    </row>
    <row r="60" customFormat="false" ht="15" hidden="false" customHeight="false" outlineLevel="0" collapsed="false">
      <c r="B60" s="11" t="s">
        <v>162</v>
      </c>
      <c r="D60" s="12" t="n">
        <f aca="false">D98</f>
        <v>147893.47</v>
      </c>
    </row>
    <row r="61" customFormat="false" ht="15" hidden="false" customHeight="false" outlineLevel="0" collapsed="false">
      <c r="B61" s="5" t="s">
        <v>163</v>
      </c>
      <c r="D61" s="6" t="n">
        <f aca="false">F98</f>
        <v>30900.04</v>
      </c>
    </row>
    <row r="62" customFormat="false" ht="15" hidden="false" customHeight="false" outlineLevel="0" collapsed="false">
      <c r="B62" s="30" t="s">
        <v>136</v>
      </c>
      <c r="D62" s="31" t="n">
        <f aca="false">F99</f>
        <v>0.208934444502519</v>
      </c>
    </row>
    <row r="63" customFormat="false" ht="15" hidden="false" customHeight="false" outlineLevel="0" collapsed="false">
      <c r="B63" s="5" t="s">
        <v>164</v>
      </c>
      <c r="D63" s="6" t="n">
        <f aca="false">H98</f>
        <v>116993.43</v>
      </c>
    </row>
    <row r="64" customFormat="false" ht="15" hidden="false" customHeight="false" outlineLevel="0" collapsed="false">
      <c r="B64" s="30" t="s">
        <v>136</v>
      </c>
      <c r="D64" s="31" t="n">
        <f aca="false">H99</f>
        <v>0.791065555497481</v>
      </c>
    </row>
    <row r="66" customFormat="false" ht="15" hidden="false" customHeight="false" outlineLevel="0" collapsed="false">
      <c r="A66" s="10" t="s">
        <v>138</v>
      </c>
    </row>
    <row r="67" customFormat="false" ht="15" hidden="false" customHeight="false" outlineLevel="0" collapsed="false">
      <c r="B67" s="4" t="s">
        <v>139</v>
      </c>
      <c r="D67" s="4" t="s">
        <v>108</v>
      </c>
      <c r="F67" s="4" t="s">
        <v>165</v>
      </c>
      <c r="H67" s="4" t="s">
        <v>141</v>
      </c>
    </row>
    <row r="68" customFormat="false" ht="15" hidden="false" customHeight="false" outlineLevel="0" collapsed="false">
      <c r="B68" s="32" t="s">
        <v>166</v>
      </c>
    </row>
    <row r="69" customFormat="false" ht="15" hidden="false" customHeight="false" outlineLevel="0" collapsed="false">
      <c r="B69" s="5" t="s">
        <v>167</v>
      </c>
      <c r="D69" s="33" t="n">
        <f aca="false">SUM(F69:H69)</f>
        <v>4901.61</v>
      </c>
      <c r="F69" s="33" t="n">
        <v>4901.61</v>
      </c>
    </row>
    <row r="70" customFormat="false" ht="15" hidden="false" customHeight="false" outlineLevel="0" collapsed="false">
      <c r="B70" s="5" t="s">
        <v>168</v>
      </c>
      <c r="D70" s="33" t="n">
        <f aca="false">SUM(F70:H70)</f>
        <v>2185.54</v>
      </c>
      <c r="F70" s="33" t="n">
        <v>2185.54</v>
      </c>
    </row>
    <row r="71" customFormat="false" ht="15" hidden="false" customHeight="false" outlineLevel="0" collapsed="false">
      <c r="B71" s="5" t="s">
        <v>169</v>
      </c>
      <c r="D71" s="33" t="n">
        <f aca="false">SUM(F71:H71)</f>
        <v>11385.26</v>
      </c>
      <c r="F71" s="33" t="n">
        <v>11385.26</v>
      </c>
    </row>
    <row r="72" customFormat="false" ht="15" hidden="false" customHeight="false" outlineLevel="0" collapsed="false">
      <c r="B72" s="5" t="s">
        <v>171</v>
      </c>
      <c r="D72" s="33" t="n">
        <f aca="false">SUM(F72:H72)</f>
        <v>589.62</v>
      </c>
      <c r="F72" s="33" t="n">
        <v>589.62</v>
      </c>
    </row>
    <row r="73" customFormat="false" ht="15" hidden="false" customHeight="false" outlineLevel="0" collapsed="false">
      <c r="B73" s="5" t="s">
        <v>196</v>
      </c>
      <c r="D73" s="33" t="n">
        <f aca="false">SUM(F73:H73)</f>
        <v>183.29</v>
      </c>
      <c r="F73" s="33" t="n">
        <v>183.29</v>
      </c>
    </row>
    <row r="74" customFormat="false" ht="15" hidden="false" customHeight="false" outlineLevel="0" collapsed="false">
      <c r="B74" s="5" t="s">
        <v>197</v>
      </c>
      <c r="D74" s="33" t="n">
        <f aca="false">SUM(F74:H74)</f>
        <v>96.76</v>
      </c>
      <c r="F74" s="33" t="n">
        <v>96.76</v>
      </c>
    </row>
    <row r="75" customFormat="false" ht="15" hidden="false" customHeight="false" outlineLevel="0" collapsed="false">
      <c r="B75" s="5" t="s">
        <v>172</v>
      </c>
      <c r="D75" s="33" t="n">
        <f aca="false">SUM(F75:H75)</f>
        <v>2980.97</v>
      </c>
      <c r="F75" s="33" t="n">
        <v>2980.97</v>
      </c>
    </row>
    <row r="76" customFormat="false" ht="15" hidden="false" customHeight="false" outlineLevel="0" collapsed="false">
      <c r="B76" s="5" t="s">
        <v>173</v>
      </c>
      <c r="D76" s="33" t="n">
        <f aca="false">SUM(F76:H76)</f>
        <v>994.55</v>
      </c>
      <c r="F76" s="33" t="n">
        <v>994.55</v>
      </c>
    </row>
    <row r="77" customFormat="false" ht="15" hidden="false" customHeight="false" outlineLevel="0" collapsed="false">
      <c r="B77" s="5" t="s">
        <v>198</v>
      </c>
      <c r="D77" s="33" t="n">
        <f aca="false">SUM(F77:H77)</f>
        <v>3427.41</v>
      </c>
      <c r="F77" s="33" t="n">
        <v>3427.41</v>
      </c>
    </row>
    <row r="78" customFormat="false" ht="15" hidden="false" customHeight="false" outlineLevel="0" collapsed="false">
      <c r="B78" s="5" t="s">
        <v>175</v>
      </c>
      <c r="D78" s="33" t="n">
        <f aca="false">SUM(F78:H78)</f>
        <v>428.96</v>
      </c>
      <c r="F78" s="33" t="n">
        <v>428.96</v>
      </c>
    </row>
    <row r="79" customFormat="false" ht="15" hidden="false" customHeight="false" outlineLevel="0" collapsed="false">
      <c r="B79" s="5" t="s">
        <v>199</v>
      </c>
      <c r="D79" s="33" t="n">
        <f aca="false">SUM(F79:H79)</f>
        <v>43.2</v>
      </c>
      <c r="F79" s="33" t="n">
        <v>43.2</v>
      </c>
    </row>
    <row r="80" customFormat="false" ht="15" hidden="false" customHeight="false" outlineLevel="0" collapsed="false">
      <c r="B80" s="5" t="s">
        <v>200</v>
      </c>
      <c r="D80" s="33" t="n">
        <f aca="false">SUM(F80:H80)</f>
        <v>3682.87</v>
      </c>
      <c r="F80" s="33" t="n">
        <v>3682.87</v>
      </c>
    </row>
    <row r="81" customFormat="false" ht="15" hidden="false" customHeight="false" outlineLevel="0" collapsed="false">
      <c r="B81" s="32" t="s">
        <v>177</v>
      </c>
    </row>
    <row r="82" customFormat="false" ht="15" hidden="false" customHeight="false" outlineLevel="0" collapsed="false">
      <c r="B82" s="5" t="s">
        <v>178</v>
      </c>
      <c r="D82" s="33" t="n">
        <f aca="false">SUM(F82:H82)</f>
        <v>8561.68</v>
      </c>
      <c r="H82" s="33" t="n">
        <v>8561.68</v>
      </c>
    </row>
    <row r="83" customFormat="false" ht="15" hidden="false" customHeight="false" outlineLevel="0" collapsed="false">
      <c r="B83" s="5" t="s">
        <v>179</v>
      </c>
      <c r="D83" s="33" t="n">
        <f aca="false">SUM(F83:H83)</f>
        <v>16225.62</v>
      </c>
      <c r="H83" s="33" t="n">
        <v>16225.62</v>
      </c>
    </row>
    <row r="84" customFormat="false" ht="15" hidden="false" customHeight="false" outlineLevel="0" collapsed="false">
      <c r="B84" s="5" t="s">
        <v>180</v>
      </c>
      <c r="D84" s="33" t="n">
        <f aca="false">SUM(F84:H84)</f>
        <v>10992.55</v>
      </c>
      <c r="H84" s="33" t="n">
        <v>10992.55</v>
      </c>
    </row>
    <row r="85" customFormat="false" ht="15" hidden="false" customHeight="false" outlineLevel="0" collapsed="false">
      <c r="B85" s="5" t="s">
        <v>181</v>
      </c>
      <c r="D85" s="33" t="n">
        <f aca="false">SUM(F85:H85)</f>
        <v>12099.12</v>
      </c>
      <c r="H85" s="33" t="n">
        <v>12099.12</v>
      </c>
    </row>
    <row r="86" customFormat="false" ht="15" hidden="false" customHeight="false" outlineLevel="0" collapsed="false">
      <c r="B86" s="5" t="s">
        <v>182</v>
      </c>
      <c r="D86" s="33" t="n">
        <f aca="false">SUM(F86:H86)</f>
        <v>9715.1</v>
      </c>
      <c r="H86" s="33" t="n">
        <v>9715.1</v>
      </c>
    </row>
    <row r="87" customFormat="false" ht="15" hidden="false" customHeight="false" outlineLevel="0" collapsed="false">
      <c r="B87" s="5" t="s">
        <v>183</v>
      </c>
      <c r="D87" s="33" t="n">
        <f aca="false">SUM(F87:H87)</f>
        <v>548.48</v>
      </c>
      <c r="H87" s="33" t="n">
        <v>548.48</v>
      </c>
    </row>
    <row r="88" customFormat="false" ht="15" hidden="false" customHeight="false" outlineLevel="0" collapsed="false">
      <c r="B88" s="5" t="s">
        <v>184</v>
      </c>
      <c r="D88" s="33" t="n">
        <f aca="false">SUM(F88:H88)</f>
        <v>12559.71</v>
      </c>
      <c r="H88" s="33" t="n">
        <v>12559.71</v>
      </c>
    </row>
    <row r="89" customFormat="false" ht="15" hidden="false" customHeight="false" outlineLevel="0" collapsed="false">
      <c r="B89" s="5" t="s">
        <v>185</v>
      </c>
      <c r="D89" s="33" t="n">
        <f aca="false">SUM(F89:H89)</f>
        <v>5680.09</v>
      </c>
      <c r="H89" s="33" t="n">
        <v>5680.09</v>
      </c>
    </row>
    <row r="90" customFormat="false" ht="15" hidden="false" customHeight="false" outlineLevel="0" collapsed="false">
      <c r="B90" s="5" t="s">
        <v>186</v>
      </c>
      <c r="D90" s="33" t="n">
        <f aca="false">SUM(F90:H90)</f>
        <v>2911.57</v>
      </c>
      <c r="H90" s="33" t="n">
        <v>2911.57</v>
      </c>
    </row>
    <row r="91" customFormat="false" ht="15" hidden="false" customHeight="false" outlineLevel="0" collapsed="false">
      <c r="B91" s="5" t="s">
        <v>187</v>
      </c>
      <c r="D91" s="33" t="n">
        <f aca="false">SUM(F91:H91)</f>
        <v>5070.55</v>
      </c>
      <c r="H91" s="33" t="n">
        <v>5070.55</v>
      </c>
    </row>
    <row r="92" customFormat="false" ht="15" hidden="false" customHeight="false" outlineLevel="0" collapsed="false">
      <c r="B92" s="5" t="s">
        <v>188</v>
      </c>
      <c r="D92" s="33" t="n">
        <f aca="false">SUM(F92:H92)</f>
        <v>9837.36</v>
      </c>
      <c r="H92" s="33" t="n">
        <v>9837.36</v>
      </c>
    </row>
    <row r="93" customFormat="false" ht="15" hidden="false" customHeight="false" outlineLevel="0" collapsed="false">
      <c r="B93" s="5" t="s">
        <v>189</v>
      </c>
      <c r="D93" s="33" t="n">
        <f aca="false">SUM(F93:H93)</f>
        <v>4408.6</v>
      </c>
      <c r="H93" s="33" t="n">
        <v>4408.6</v>
      </c>
    </row>
    <row r="94" customFormat="false" ht="15" hidden="false" customHeight="false" outlineLevel="0" collapsed="false">
      <c r="B94" s="5" t="s">
        <v>190</v>
      </c>
      <c r="D94" s="33" t="n">
        <f aca="false">SUM(F94:H94)</f>
        <v>1012.22</v>
      </c>
      <c r="H94" s="33" t="n">
        <v>1012.22</v>
      </c>
    </row>
    <row r="95" customFormat="false" ht="15" hidden="false" customHeight="false" outlineLevel="0" collapsed="false">
      <c r="B95" s="5" t="s">
        <v>192</v>
      </c>
      <c r="D95" s="33" t="n">
        <f aca="false">SUM(F95:H95)</f>
        <v>14327.98</v>
      </c>
      <c r="H95" s="33" t="n">
        <v>14327.98</v>
      </c>
    </row>
    <row r="96" customFormat="false" ht="15" hidden="false" customHeight="false" outlineLevel="0" collapsed="false">
      <c r="B96" s="5" t="s">
        <v>193</v>
      </c>
      <c r="D96" s="33" t="n">
        <f aca="false">SUM(F96:H96)</f>
        <v>1332.99</v>
      </c>
      <c r="H96" s="33" t="n">
        <v>1332.99</v>
      </c>
    </row>
    <row r="97" customFormat="false" ht="15" hidden="false" customHeight="false" outlineLevel="0" collapsed="false">
      <c r="B97" s="5" t="s">
        <v>202</v>
      </c>
      <c r="D97" s="33" t="n">
        <f aca="false">SUM(F97:H97)</f>
        <v>1709.81</v>
      </c>
      <c r="H97" s="33" t="n">
        <v>1709.81</v>
      </c>
    </row>
    <row r="98" customFormat="false" ht="15" hidden="false" customHeight="false" outlineLevel="0" collapsed="false">
      <c r="B98" s="11" t="s">
        <v>162</v>
      </c>
      <c r="D98" s="34" t="n">
        <f aca="false">SUM(D68:D97)</f>
        <v>147893.47</v>
      </c>
      <c r="F98" s="34" t="n">
        <f aca="false">SUM(F68:F97)</f>
        <v>30900.04</v>
      </c>
      <c r="H98" s="34" t="n">
        <f aca="false">SUM(H68:H97)</f>
        <v>116993.43</v>
      </c>
    </row>
    <row r="99" customFormat="false" ht="15" hidden="false" customHeight="false" outlineLevel="0" collapsed="false">
      <c r="B99" s="30" t="s">
        <v>136</v>
      </c>
      <c r="F99" s="31" t="n">
        <f aca="false">F98/D98</f>
        <v>0.208934444502519</v>
      </c>
      <c r="H99" s="31" t="n">
        <f aca="false">H98/D98</f>
        <v>0.791065555497481</v>
      </c>
    </row>
    <row r="101" customFormat="false" ht="15" hidden="false" customHeight="false" outlineLevel="0" collapsed="false">
      <c r="A101" s="10" t="s">
        <v>157</v>
      </c>
    </row>
    <row r="102" customFormat="false" ht="15" hidden="false" customHeight="false" outlineLevel="0" collapsed="false">
      <c r="B102" s="4" t="s">
        <v>158</v>
      </c>
      <c r="D102" s="4" t="s">
        <v>108</v>
      </c>
      <c r="F102" s="4" t="s">
        <v>165</v>
      </c>
      <c r="H102" s="4" t="s">
        <v>141</v>
      </c>
    </row>
    <row r="103" customFormat="false" ht="15" hidden="false" customHeight="false" outlineLevel="0" collapsed="false">
      <c r="B103" s="5" t="str">
        <f aca="false">'Building 24'!B18</f>
        <v>1 - Buillding - Apt - 5yr</v>
      </c>
      <c r="D103" s="33" t="n">
        <f aca="false">SUM(F103:H103)</f>
        <v>24387.48</v>
      </c>
      <c r="F103" s="33" t="n">
        <f aca="false">'Building 24'!D18</f>
        <v>24387.48</v>
      </c>
    </row>
    <row r="104" customFormat="false" ht="15" hidden="false" customHeight="false" outlineLevel="0" collapsed="false">
      <c r="B104" s="5" t="str">
        <f aca="false">'Building 24'!B19</f>
        <v>1 - Buillding - Apt - 27.5yr</v>
      </c>
      <c r="D104" s="33" t="n">
        <f aca="false">SUM(F104:H104)</f>
        <v>92335.64</v>
      </c>
      <c r="H104" s="33" t="n">
        <f aca="false">'Building 24'!D19</f>
        <v>92335.64</v>
      </c>
    </row>
    <row r="105" customFormat="false" ht="15" hidden="false" customHeight="false" outlineLevel="0" collapsed="false">
      <c r="B105" s="5" t="str">
        <f aca="false">'Building 24'!B20</f>
        <v>5 - Building - Apt - 5yr</v>
      </c>
      <c r="D105" s="33" t="n">
        <f aca="false">SUM(F105:H105)</f>
        <v>44.42</v>
      </c>
      <c r="F105" s="33" t="n">
        <f aca="false">'Building 24'!D20</f>
        <v>44.42</v>
      </c>
    </row>
    <row r="106" customFormat="false" ht="15" hidden="false" customHeight="false" outlineLevel="0" collapsed="false">
      <c r="B106" s="5" t="str">
        <f aca="false">'Building 24'!B21</f>
        <v>5 - Building - Apt - 27.5yr</v>
      </c>
      <c r="D106" s="33" t="n">
        <f aca="false">SUM(F106:H106)</f>
        <v>168.16</v>
      </c>
      <c r="H106" s="33" t="n">
        <f aca="false">'Building 24'!D21</f>
        <v>168.16</v>
      </c>
    </row>
    <row r="107" customFormat="false" ht="15" hidden="false" customHeight="false" outlineLevel="0" collapsed="false">
      <c r="B107" s="5" t="str">
        <f aca="false">'Building 24'!B22</f>
        <v>3 - Land Improvements - Apt - 5yr</v>
      </c>
      <c r="D107" s="33" t="n">
        <f aca="false">SUM(F107:H107)</f>
        <v>2300.7</v>
      </c>
      <c r="F107" s="33" t="n">
        <f aca="false">'Building 24'!D22</f>
        <v>2300.7</v>
      </c>
    </row>
    <row r="108" customFormat="false" ht="15" hidden="false" customHeight="false" outlineLevel="0" collapsed="false">
      <c r="B108" s="5" t="str">
        <f aca="false">'Building 24'!B23</f>
        <v>3 - Land Improvements - Apt - 27.5yr</v>
      </c>
      <c r="D108" s="33" t="n">
        <f aca="false">SUM(F108:H108)</f>
        <v>8710.9</v>
      </c>
      <c r="H108" s="33" t="n">
        <f aca="false">'Building 24'!D23</f>
        <v>8710.9</v>
      </c>
    </row>
    <row r="109" customFormat="false" ht="15" hidden="false" customHeight="false" outlineLevel="0" collapsed="false">
      <c r="B109" s="5" t="str">
        <f aca="false">'Building 24'!B24</f>
        <v>4 - Equipment - Apt - 5yr</v>
      </c>
      <c r="D109" s="33" t="n">
        <f aca="false">SUM(F109:H109)</f>
        <v>4167.44</v>
      </c>
      <c r="F109" s="33" t="n">
        <f aca="false">'Building 24'!D24</f>
        <v>4167.44</v>
      </c>
    </row>
    <row r="110" customFormat="false" ht="15" hidden="false" customHeight="false" outlineLevel="0" collapsed="false">
      <c r="B110" s="5" t="str">
        <f aca="false">'Building 24'!B25</f>
        <v>4 - Equipment - Apt - 27.5yr</v>
      </c>
      <c r="D110" s="33" t="n">
        <f aca="false">SUM(F110:H110)</f>
        <v>15778.73</v>
      </c>
      <c r="H110" s="33" t="n">
        <f aca="false">'Building 24'!D25</f>
        <v>15778.73</v>
      </c>
    </row>
    <row r="111" customFormat="false" ht="15" hidden="false" customHeight="false" outlineLevel="0" collapsed="false">
      <c r="B111" s="11" t="s">
        <v>159</v>
      </c>
      <c r="D111" s="34" t="n">
        <f aca="false">SUM(D103:D110)</f>
        <v>147893.47</v>
      </c>
      <c r="F111" s="34" t="n">
        <f aca="false">SUM(F103:F110)</f>
        <v>30900.04</v>
      </c>
      <c r="H111" s="34" t="n">
        <f aca="false">SUM(H103:H110)</f>
        <v>116993.43</v>
      </c>
    </row>
    <row r="112" customFormat="false" ht="15" hidden="false" customHeight="false" outlineLevel="0" collapsed="false">
      <c r="B112" s="16" t="s">
        <v>160</v>
      </c>
      <c r="D112" s="17" t="n">
        <f aca="false">D111-D98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226</v>
      </c>
    </row>
    <row r="5" customFormat="false" ht="15" hidden="false" customHeight="false" outlineLevel="0" collapsed="false">
      <c r="A5" s="16" t="s">
        <v>102</v>
      </c>
    </row>
    <row r="7" customFormat="false" ht="15" hidden="false" customHeight="false" outlineLevel="0" collapsed="false">
      <c r="A7" s="10" t="s">
        <v>103</v>
      </c>
    </row>
    <row r="8" customFormat="false" ht="15" hidden="false" customHeight="false" outlineLevel="0" collapsed="false">
      <c r="A8" s="21" t="s">
        <v>104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105</v>
      </c>
      <c r="B9" s="4" t="s">
        <v>106</v>
      </c>
      <c r="C9" s="4" t="s">
        <v>107</v>
      </c>
      <c r="D9" s="4" t="s">
        <v>108</v>
      </c>
      <c r="E9" s="4" t="s">
        <v>109</v>
      </c>
      <c r="F9" s="4" t="s">
        <v>110</v>
      </c>
      <c r="G9" s="4" t="s">
        <v>111</v>
      </c>
      <c r="H9" s="4" t="s">
        <v>112</v>
      </c>
      <c r="I9" s="4" t="s">
        <v>113</v>
      </c>
      <c r="J9" s="4" t="s">
        <v>114</v>
      </c>
      <c r="K9" s="4" t="s">
        <v>115</v>
      </c>
      <c r="L9" s="4" t="s">
        <v>116</v>
      </c>
    </row>
    <row r="10" customFormat="false" ht="15" hidden="false" customHeight="false" outlineLevel="0" collapsed="false">
      <c r="A10" s="23" t="n">
        <v>1</v>
      </c>
      <c r="B10" s="23" t="s">
        <v>45</v>
      </c>
      <c r="C10" s="23" t="s">
        <v>35</v>
      </c>
      <c r="D10" s="24" t="n">
        <v>116723.12</v>
      </c>
      <c r="E10" s="24" t="n">
        <v>0</v>
      </c>
      <c r="F10" s="24" t="n">
        <v>0</v>
      </c>
      <c r="G10" s="24" t="n">
        <v>34132.24</v>
      </c>
      <c r="H10" s="24" t="n">
        <v>4244.48</v>
      </c>
      <c r="I10" s="24" t="n">
        <f aca="false">G10+H10</f>
        <v>38376.72</v>
      </c>
      <c r="J10" s="24" t="n">
        <f aca="false">D10-I10</f>
        <v>78346.4</v>
      </c>
      <c r="K10" s="25" t="s">
        <v>117</v>
      </c>
      <c r="L10" s="25" t="s">
        <v>118</v>
      </c>
    </row>
    <row r="11" customFormat="false" ht="15" hidden="false" customHeight="false" outlineLevel="0" collapsed="false">
      <c r="A11" s="23" t="n">
        <v>2</v>
      </c>
      <c r="B11" s="23" t="s">
        <v>46</v>
      </c>
      <c r="C11" s="23" t="s">
        <v>37</v>
      </c>
      <c r="D11" s="24" t="n">
        <v>212.58</v>
      </c>
      <c r="E11" s="24" t="n">
        <v>0</v>
      </c>
      <c r="F11" s="24" t="n">
        <v>0</v>
      </c>
      <c r="G11" s="24" t="n">
        <v>61.56</v>
      </c>
      <c r="H11" s="24" t="n">
        <v>7.73</v>
      </c>
      <c r="I11" s="24" t="n">
        <f aca="false">G11+H11</f>
        <v>69.29</v>
      </c>
      <c r="J11" s="24" t="n">
        <f aca="false">D11-I11</f>
        <v>143.29</v>
      </c>
      <c r="K11" s="25" t="s">
        <v>117</v>
      </c>
      <c r="L11" s="25" t="s">
        <v>118</v>
      </c>
    </row>
    <row r="12" customFormat="false" ht="15" hidden="false" customHeight="false" outlineLevel="0" collapsed="false">
      <c r="A12" s="23" t="n">
        <v>3</v>
      </c>
      <c r="B12" s="23" t="s">
        <v>47</v>
      </c>
      <c r="C12" s="23" t="s">
        <v>35</v>
      </c>
      <c r="D12" s="24" t="n">
        <v>11011.6</v>
      </c>
      <c r="E12" s="24" t="n">
        <v>0</v>
      </c>
      <c r="F12" s="24" t="n">
        <v>0</v>
      </c>
      <c r="G12" s="24" t="n">
        <v>6449.13</v>
      </c>
      <c r="H12" s="24" t="n">
        <v>649.69</v>
      </c>
      <c r="I12" s="24" t="n">
        <f aca="false">G12+H12</f>
        <v>7098.82</v>
      </c>
      <c r="J12" s="24" t="n">
        <f aca="false">D12-I12</f>
        <v>3912.78</v>
      </c>
      <c r="K12" s="25" t="s">
        <v>119</v>
      </c>
      <c r="L12" s="25" t="s">
        <v>120</v>
      </c>
    </row>
    <row r="13" customFormat="false" ht="15" hidden="false" customHeight="false" outlineLevel="0" collapsed="false">
      <c r="A13" s="23" t="n">
        <v>4</v>
      </c>
      <c r="B13" s="23" t="s">
        <v>48</v>
      </c>
      <c r="C13" s="23" t="s">
        <v>35</v>
      </c>
      <c r="D13" s="24" t="n">
        <v>19946.17</v>
      </c>
      <c r="E13" s="24" t="n">
        <v>0</v>
      </c>
      <c r="F13" s="24" t="n">
        <v>0</v>
      </c>
      <c r="G13" s="24" t="n">
        <v>19281.3</v>
      </c>
      <c r="H13" s="24" t="n">
        <v>0</v>
      </c>
      <c r="I13" s="24" t="n">
        <f aca="false">G13+H13</f>
        <v>19281.3</v>
      </c>
      <c r="J13" s="24" t="n">
        <f aca="false">D13-I13</f>
        <v>664.869999999999</v>
      </c>
      <c r="K13" s="25" t="s">
        <v>121</v>
      </c>
      <c r="L13" s="25" t="s">
        <v>122</v>
      </c>
    </row>
    <row r="14" customFormat="false" ht="15" hidden="false" customHeight="false" outlineLevel="0" collapsed="false">
      <c r="A14" s="26"/>
      <c r="B14" s="27" t="s">
        <v>53</v>
      </c>
      <c r="C14" s="26"/>
      <c r="D14" s="28" t="n">
        <f aca="false">SUM(D10:D13)</f>
        <v>147893.47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59924.23</v>
      </c>
      <c r="H14" s="28" t="n">
        <f aca="false">SUM(H10:H13)</f>
        <v>4901.9</v>
      </c>
      <c r="I14" s="28" t="n">
        <f aca="false">SUM(I10:I13)</f>
        <v>64826.13</v>
      </c>
      <c r="J14" s="28" t="n">
        <f aca="false">SUM(J10:J13)</f>
        <v>83067.34</v>
      </c>
      <c r="K14" s="26"/>
      <c r="L14" s="26"/>
    </row>
    <row r="16" customFormat="false" ht="15" hidden="false" customHeight="false" outlineLevel="0" collapsed="false">
      <c r="A16" s="21" t="s">
        <v>123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4" t="s">
        <v>105</v>
      </c>
      <c r="B17" s="4" t="s">
        <v>106</v>
      </c>
      <c r="C17" s="4" t="s">
        <v>107</v>
      </c>
      <c r="D17" s="4" t="s">
        <v>108</v>
      </c>
      <c r="E17" s="4" t="s">
        <v>109</v>
      </c>
      <c r="F17" s="4" t="s">
        <v>110</v>
      </c>
      <c r="G17" s="4" t="s">
        <v>111</v>
      </c>
      <c r="H17" s="4" t="s">
        <v>112</v>
      </c>
      <c r="I17" s="4" t="s">
        <v>113</v>
      </c>
      <c r="J17" s="4" t="s">
        <v>114</v>
      </c>
      <c r="K17" s="4" t="s">
        <v>115</v>
      </c>
      <c r="L17" s="4" t="s">
        <v>116</v>
      </c>
    </row>
    <row r="18" customFormat="false" ht="15" hidden="false" customHeight="false" outlineLevel="0" collapsed="false">
      <c r="A18" s="23" t="n">
        <v>1</v>
      </c>
      <c r="B18" s="23" t="s">
        <v>71</v>
      </c>
      <c r="C18" s="23" t="s">
        <v>35</v>
      </c>
      <c r="D18" s="24" t="n">
        <v>24387.48</v>
      </c>
      <c r="E18" s="24" t="n">
        <v>0</v>
      </c>
      <c r="F18" s="24" t="n">
        <v>0</v>
      </c>
      <c r="G18" s="24" t="n">
        <v>24387.48</v>
      </c>
      <c r="H18" s="24" t="n">
        <v>0</v>
      </c>
      <c r="I18" s="24" t="n">
        <f aca="false">G18+H18</f>
        <v>24387.48</v>
      </c>
      <c r="J18" s="24" t="n">
        <f aca="false">D18-I18</f>
        <v>0</v>
      </c>
      <c r="K18" s="25" t="s">
        <v>121</v>
      </c>
      <c r="L18" s="25" t="s">
        <v>122</v>
      </c>
    </row>
    <row r="19" customFormat="false" ht="15" hidden="false" customHeight="false" outlineLevel="0" collapsed="false">
      <c r="A19" s="23" t="n">
        <v>2</v>
      </c>
      <c r="B19" s="23" t="s">
        <v>72</v>
      </c>
      <c r="C19" s="23" t="s">
        <v>35</v>
      </c>
      <c r="D19" s="24" t="n">
        <v>92335.64</v>
      </c>
      <c r="E19" s="24" t="n">
        <v>0</v>
      </c>
      <c r="F19" s="24" t="n">
        <v>0</v>
      </c>
      <c r="G19" s="24" t="n">
        <v>27001.18</v>
      </c>
      <c r="H19" s="24" t="n">
        <v>3357.66</v>
      </c>
      <c r="I19" s="24" t="n">
        <f aca="false">G19+H19</f>
        <v>30358.84</v>
      </c>
      <c r="J19" s="24" t="n">
        <f aca="false">D19-I19</f>
        <v>61976.8</v>
      </c>
      <c r="K19" s="25" t="s">
        <v>117</v>
      </c>
      <c r="L19" s="25" t="s">
        <v>118</v>
      </c>
    </row>
    <row r="20" customFormat="false" ht="15" hidden="false" customHeight="false" outlineLevel="0" collapsed="false">
      <c r="A20" s="23" t="n">
        <v>3</v>
      </c>
      <c r="B20" s="23" t="s">
        <v>73</v>
      </c>
      <c r="C20" s="23" t="s">
        <v>37</v>
      </c>
      <c r="D20" s="24" t="n">
        <v>44.42</v>
      </c>
      <c r="E20" s="24" t="n">
        <v>0</v>
      </c>
      <c r="F20" s="24" t="n">
        <v>0</v>
      </c>
      <c r="G20" s="24" t="n">
        <v>44.42</v>
      </c>
      <c r="H20" s="24" t="n">
        <v>0</v>
      </c>
      <c r="I20" s="24" t="n">
        <f aca="false">G20+H20</f>
        <v>44.42</v>
      </c>
      <c r="J20" s="24" t="n">
        <f aca="false">D20-I20</f>
        <v>0</v>
      </c>
      <c r="K20" s="25" t="s">
        <v>121</v>
      </c>
      <c r="L20" s="25" t="s">
        <v>122</v>
      </c>
    </row>
    <row r="21" customFormat="false" ht="15" hidden="false" customHeight="false" outlineLevel="0" collapsed="false">
      <c r="A21" s="23" t="n">
        <v>4</v>
      </c>
      <c r="B21" s="23" t="s">
        <v>74</v>
      </c>
      <c r="C21" s="23" t="s">
        <v>37</v>
      </c>
      <c r="D21" s="24" t="n">
        <v>168.16</v>
      </c>
      <c r="E21" s="24" t="n">
        <v>0</v>
      </c>
      <c r="F21" s="24" t="n">
        <v>0</v>
      </c>
      <c r="G21" s="24" t="n">
        <v>48.63</v>
      </c>
      <c r="H21" s="24" t="n">
        <v>6.11</v>
      </c>
      <c r="I21" s="24" t="n">
        <f aca="false">G21+H21</f>
        <v>54.74</v>
      </c>
      <c r="J21" s="24" t="n">
        <f aca="false">D21-I21</f>
        <v>113.42</v>
      </c>
      <c r="K21" s="25" t="s">
        <v>117</v>
      </c>
      <c r="L21" s="25" t="s">
        <v>118</v>
      </c>
    </row>
    <row r="22" customFormat="false" ht="15" hidden="false" customHeight="false" outlineLevel="0" collapsed="false">
      <c r="A22" s="23" t="n">
        <v>5</v>
      </c>
      <c r="B22" s="23" t="s">
        <v>75</v>
      </c>
      <c r="C22" s="23" t="s">
        <v>35</v>
      </c>
      <c r="D22" s="24" t="n">
        <v>2300.7</v>
      </c>
      <c r="E22" s="24" t="n">
        <v>0</v>
      </c>
      <c r="F22" s="24" t="n">
        <v>0</v>
      </c>
      <c r="G22" s="24" t="n">
        <v>2300.7</v>
      </c>
      <c r="H22" s="24" t="n">
        <v>0</v>
      </c>
      <c r="I22" s="24" t="n">
        <f aca="false">G22+H22</f>
        <v>2300.7</v>
      </c>
      <c r="J22" s="24" t="n">
        <f aca="false">D22-I22</f>
        <v>0</v>
      </c>
      <c r="K22" s="25" t="s">
        <v>121</v>
      </c>
      <c r="L22" s="25" t="s">
        <v>122</v>
      </c>
    </row>
    <row r="23" customFormat="false" ht="15" hidden="false" customHeight="false" outlineLevel="0" collapsed="false">
      <c r="A23" s="23" t="n">
        <v>6</v>
      </c>
      <c r="B23" s="23" t="s">
        <v>76</v>
      </c>
      <c r="C23" s="23" t="s">
        <v>35</v>
      </c>
      <c r="D23" s="24" t="n">
        <v>8710.9</v>
      </c>
      <c r="E23" s="24" t="n">
        <v>0</v>
      </c>
      <c r="F23" s="24" t="n">
        <v>0</v>
      </c>
      <c r="G23" s="24" t="n">
        <v>2547.28</v>
      </c>
      <c r="H23" s="24" t="n">
        <v>316.76</v>
      </c>
      <c r="I23" s="24" t="n">
        <f aca="false">G23+H23</f>
        <v>2864.04</v>
      </c>
      <c r="J23" s="24" t="n">
        <f aca="false">D23-I23</f>
        <v>5846.86</v>
      </c>
      <c r="K23" s="25" t="s">
        <v>117</v>
      </c>
      <c r="L23" s="25" t="s">
        <v>118</v>
      </c>
    </row>
    <row r="24" customFormat="false" ht="15" hidden="false" customHeight="false" outlineLevel="0" collapsed="false">
      <c r="A24" s="23" t="n">
        <v>7</v>
      </c>
      <c r="B24" s="23" t="s">
        <v>77</v>
      </c>
      <c r="C24" s="23" t="s">
        <v>35</v>
      </c>
      <c r="D24" s="24" t="n">
        <v>4167.44</v>
      </c>
      <c r="E24" s="24" t="n">
        <v>0</v>
      </c>
      <c r="F24" s="24" t="n">
        <v>0</v>
      </c>
      <c r="G24" s="24" t="n">
        <v>4167.44</v>
      </c>
      <c r="H24" s="24" t="n">
        <v>0</v>
      </c>
      <c r="I24" s="24" t="n">
        <f aca="false">G24+H24</f>
        <v>4167.44</v>
      </c>
      <c r="J24" s="24" t="n">
        <f aca="false">D24-I24</f>
        <v>0</v>
      </c>
      <c r="K24" s="25" t="s">
        <v>121</v>
      </c>
      <c r="L24" s="25" t="s">
        <v>122</v>
      </c>
    </row>
    <row r="25" customFormat="false" ht="15" hidden="false" customHeight="false" outlineLevel="0" collapsed="false">
      <c r="A25" s="23" t="n">
        <v>8</v>
      </c>
      <c r="B25" s="23" t="s">
        <v>78</v>
      </c>
      <c r="C25" s="23" t="s">
        <v>35</v>
      </c>
      <c r="D25" s="24" t="n">
        <v>15778.73</v>
      </c>
      <c r="E25" s="24" t="n">
        <v>0</v>
      </c>
      <c r="F25" s="24" t="n">
        <v>0</v>
      </c>
      <c r="G25" s="24" t="n">
        <v>4614.07</v>
      </c>
      <c r="H25" s="24" t="n">
        <v>573.77</v>
      </c>
      <c r="I25" s="24" t="n">
        <f aca="false">G25+H25</f>
        <v>5187.84</v>
      </c>
      <c r="J25" s="24" t="n">
        <f aca="false">D25-I25</f>
        <v>10590.89</v>
      </c>
      <c r="K25" s="25" t="s">
        <v>117</v>
      </c>
      <c r="L25" s="25" t="s">
        <v>118</v>
      </c>
    </row>
    <row r="26" customFormat="false" ht="15" hidden="false" customHeight="false" outlineLevel="0" collapsed="false">
      <c r="A26" s="26"/>
      <c r="B26" s="27" t="s">
        <v>53</v>
      </c>
      <c r="C26" s="26"/>
      <c r="D26" s="28" t="n">
        <f aca="false">SUM(D18:D25)</f>
        <v>147893.47</v>
      </c>
      <c r="E26" s="28" t="n">
        <f aca="false">SUM(E18:E25)</f>
        <v>0</v>
      </c>
      <c r="F26" s="28" t="n">
        <f aca="false">SUM(F18:F25)</f>
        <v>0</v>
      </c>
      <c r="G26" s="28" t="n">
        <f aca="false">SUM(G18:G25)</f>
        <v>65111.2</v>
      </c>
      <c r="H26" s="28" t="n">
        <f aca="false">SUM(H18:H25)</f>
        <v>4254.3</v>
      </c>
      <c r="I26" s="28" t="n">
        <f aca="false">SUM(I18:I25)</f>
        <v>69365.5</v>
      </c>
      <c r="J26" s="28" t="n">
        <f aca="false">SUM(J18:J25)</f>
        <v>78527.97</v>
      </c>
      <c r="K26" s="26"/>
      <c r="L26" s="26"/>
    </row>
    <row r="28" customFormat="false" ht="15" hidden="false" customHeight="false" outlineLevel="0" collapsed="false">
      <c r="B28" s="18" t="s">
        <v>124</v>
      </c>
    </row>
    <row r="29" customFormat="false" ht="15" hidden="false" customHeight="false" outlineLevel="0" collapsed="false">
      <c r="B29" s="5" t="s">
        <v>125</v>
      </c>
      <c r="D29" s="6" t="n">
        <f aca="false">I14</f>
        <v>64826.13</v>
      </c>
    </row>
    <row r="30" customFormat="false" ht="15" hidden="false" customHeight="false" outlineLevel="0" collapsed="false">
      <c r="B30" s="5" t="s">
        <v>126</v>
      </c>
      <c r="D30" s="6" t="n">
        <f aca="false">I26</f>
        <v>69365.5</v>
      </c>
    </row>
    <row r="31" customFormat="false" ht="15" hidden="false" customHeight="false" outlineLevel="0" collapsed="false">
      <c r="B31" s="11" t="s">
        <v>124</v>
      </c>
      <c r="D31" s="29" t="n">
        <f aca="false">D29-D30</f>
        <v>-4539.37</v>
      </c>
    </row>
    <row r="33" customFormat="false" ht="15" hidden="false" customHeight="false" outlineLevel="0" collapsed="false">
      <c r="A33" s="10" t="s">
        <v>127</v>
      </c>
    </row>
    <row r="34" customFormat="false" ht="15" hidden="false" customHeight="false" outlineLevel="0" collapsed="false">
      <c r="A34" s="21" t="s">
        <v>128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4" t="s">
        <v>105</v>
      </c>
      <c r="B35" s="4" t="s">
        <v>106</v>
      </c>
      <c r="C35" s="4" t="s">
        <v>107</v>
      </c>
      <c r="D35" s="4" t="s">
        <v>108</v>
      </c>
      <c r="E35" s="4" t="s">
        <v>109</v>
      </c>
      <c r="F35" s="4" t="s">
        <v>110</v>
      </c>
      <c r="G35" s="4" t="s">
        <v>129</v>
      </c>
      <c r="H35" s="4" t="s">
        <v>130</v>
      </c>
      <c r="I35" s="4" t="s">
        <v>113</v>
      </c>
      <c r="J35" s="4" t="s">
        <v>114</v>
      </c>
      <c r="K35" s="4" t="s">
        <v>115</v>
      </c>
      <c r="L35" s="4" t="s">
        <v>116</v>
      </c>
    </row>
    <row r="36" customFormat="false" ht="15" hidden="false" customHeight="false" outlineLevel="0" collapsed="false">
      <c r="A36" s="23" t="n">
        <v>1</v>
      </c>
      <c r="B36" s="23" t="s">
        <v>45</v>
      </c>
      <c r="C36" s="23" t="s">
        <v>35</v>
      </c>
      <c r="D36" s="24" t="n">
        <v>116723.12</v>
      </c>
      <c r="E36" s="24" t="n">
        <v>0</v>
      </c>
      <c r="F36" s="24" t="n">
        <v>0</v>
      </c>
      <c r="G36" s="24" t="n">
        <v>34132.24</v>
      </c>
      <c r="H36" s="24" t="n">
        <v>4244.48</v>
      </c>
      <c r="I36" s="24" t="n">
        <f aca="false">G36+H36</f>
        <v>38376.72</v>
      </c>
      <c r="J36" s="24" t="n">
        <f aca="false">D36-I36</f>
        <v>78346.4</v>
      </c>
      <c r="K36" s="25" t="s">
        <v>117</v>
      </c>
      <c r="L36" s="25" t="s">
        <v>118</v>
      </c>
    </row>
    <row r="37" customFormat="false" ht="15" hidden="false" customHeight="false" outlineLevel="0" collapsed="false">
      <c r="A37" s="23" t="n">
        <v>2</v>
      </c>
      <c r="B37" s="23" t="s">
        <v>46</v>
      </c>
      <c r="C37" s="23" t="s">
        <v>37</v>
      </c>
      <c r="D37" s="24" t="n">
        <v>212.58</v>
      </c>
      <c r="E37" s="24" t="n">
        <v>0</v>
      </c>
      <c r="F37" s="24" t="n">
        <v>0</v>
      </c>
      <c r="G37" s="24" t="n">
        <v>61.56</v>
      </c>
      <c r="H37" s="24" t="n">
        <v>7.73</v>
      </c>
      <c r="I37" s="24" t="n">
        <f aca="false">G37+H37</f>
        <v>69.29</v>
      </c>
      <c r="J37" s="24" t="n">
        <f aca="false">D37-I37</f>
        <v>143.29</v>
      </c>
      <c r="K37" s="25" t="s">
        <v>117</v>
      </c>
      <c r="L37" s="25" t="s">
        <v>118</v>
      </c>
    </row>
    <row r="38" customFormat="false" ht="15" hidden="false" customHeight="false" outlineLevel="0" collapsed="false">
      <c r="A38" s="23" t="n">
        <v>3</v>
      </c>
      <c r="B38" s="23" t="s">
        <v>47</v>
      </c>
      <c r="C38" s="23" t="s">
        <v>35</v>
      </c>
      <c r="D38" s="24" t="n">
        <v>11011.6</v>
      </c>
      <c r="E38" s="24" t="n">
        <v>0</v>
      </c>
      <c r="F38" s="24" t="n">
        <v>0</v>
      </c>
      <c r="G38" s="24" t="n">
        <v>6449.13</v>
      </c>
      <c r="H38" s="24" t="n">
        <v>649.69</v>
      </c>
      <c r="I38" s="24" t="n">
        <f aca="false">G38+H38</f>
        <v>7098.82</v>
      </c>
      <c r="J38" s="24" t="n">
        <f aca="false">D38-I38</f>
        <v>3912.78</v>
      </c>
      <c r="K38" s="25" t="s">
        <v>119</v>
      </c>
      <c r="L38" s="25" t="s">
        <v>120</v>
      </c>
    </row>
    <row r="39" customFormat="false" ht="15" hidden="false" customHeight="false" outlineLevel="0" collapsed="false">
      <c r="A39" s="23" t="n">
        <v>4</v>
      </c>
      <c r="B39" s="23" t="s">
        <v>48</v>
      </c>
      <c r="C39" s="23" t="s">
        <v>35</v>
      </c>
      <c r="D39" s="24" t="n">
        <v>19946.17</v>
      </c>
      <c r="E39" s="24" t="n">
        <v>0</v>
      </c>
      <c r="F39" s="24" t="n">
        <v>0</v>
      </c>
      <c r="G39" s="24" t="n">
        <v>19281.3</v>
      </c>
      <c r="H39" s="24" t="n">
        <v>0</v>
      </c>
      <c r="I39" s="24" t="n">
        <f aca="false">G39+H39</f>
        <v>19281.3</v>
      </c>
      <c r="J39" s="24" t="n">
        <f aca="false">D39-I39</f>
        <v>664.869999999999</v>
      </c>
      <c r="K39" s="25" t="s">
        <v>121</v>
      </c>
      <c r="L39" s="25" t="s">
        <v>122</v>
      </c>
    </row>
    <row r="40" customFormat="false" ht="15" hidden="false" customHeight="false" outlineLevel="0" collapsed="false">
      <c r="A40" s="26"/>
      <c r="B40" s="27" t="s">
        <v>53</v>
      </c>
      <c r="C40" s="26"/>
      <c r="D40" s="28" t="n">
        <f aca="false">SUM(D36:D39)</f>
        <v>147893.47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59924.23</v>
      </c>
      <c r="H40" s="28" t="n">
        <f aca="false">SUM(H36:H39)</f>
        <v>4901.9</v>
      </c>
      <c r="I40" s="28" t="n">
        <f aca="false">SUM(I36:I39)</f>
        <v>64826.13</v>
      </c>
      <c r="J40" s="28" t="n">
        <f aca="false">SUM(J36:J39)</f>
        <v>83067.34</v>
      </c>
      <c r="K40" s="26"/>
      <c r="L40" s="26"/>
    </row>
    <row r="42" customFormat="false" ht="15" hidden="false" customHeight="false" outlineLevel="0" collapsed="false">
      <c r="A42" s="21" t="s">
        <v>131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4" t="s">
        <v>105</v>
      </c>
      <c r="B43" s="4" t="s">
        <v>106</v>
      </c>
      <c r="C43" s="4" t="s">
        <v>107</v>
      </c>
      <c r="D43" s="4" t="s">
        <v>108</v>
      </c>
      <c r="E43" s="4" t="s">
        <v>109</v>
      </c>
      <c r="F43" s="4" t="s">
        <v>110</v>
      </c>
      <c r="G43" s="4" t="s">
        <v>129</v>
      </c>
      <c r="H43" s="4" t="s">
        <v>130</v>
      </c>
      <c r="I43" s="4" t="s">
        <v>113</v>
      </c>
      <c r="J43" s="4" t="s">
        <v>114</v>
      </c>
      <c r="K43" s="4" t="s">
        <v>115</v>
      </c>
      <c r="L43" s="4" t="s">
        <v>116</v>
      </c>
    </row>
    <row r="44" customFormat="false" ht="15" hidden="false" customHeight="false" outlineLevel="0" collapsed="false">
      <c r="A44" s="23" t="n">
        <v>1</v>
      </c>
      <c r="B44" s="23" t="s">
        <v>71</v>
      </c>
      <c r="C44" s="23" t="s">
        <v>35</v>
      </c>
      <c r="D44" s="24" t="n">
        <v>24387.48</v>
      </c>
      <c r="E44" s="24" t="n">
        <v>0</v>
      </c>
      <c r="F44" s="24" t="n">
        <v>0</v>
      </c>
      <c r="G44" s="24" t="n">
        <v>24387.48</v>
      </c>
      <c r="H44" s="24" t="n">
        <v>0</v>
      </c>
      <c r="I44" s="24" t="n">
        <f aca="false">G44+H44</f>
        <v>24387.48</v>
      </c>
      <c r="J44" s="24" t="n">
        <f aca="false">D44-I44</f>
        <v>0</v>
      </c>
      <c r="K44" s="25" t="s">
        <v>121</v>
      </c>
      <c r="L44" s="25" t="s">
        <v>122</v>
      </c>
    </row>
    <row r="45" customFormat="false" ht="15" hidden="false" customHeight="false" outlineLevel="0" collapsed="false">
      <c r="A45" s="23" t="n">
        <v>2</v>
      </c>
      <c r="B45" s="23" t="s">
        <v>72</v>
      </c>
      <c r="C45" s="23" t="s">
        <v>35</v>
      </c>
      <c r="D45" s="24" t="n">
        <v>92335.64</v>
      </c>
      <c r="E45" s="24" t="n">
        <v>0</v>
      </c>
      <c r="F45" s="24" t="n">
        <v>0</v>
      </c>
      <c r="G45" s="24" t="n">
        <v>27001.18</v>
      </c>
      <c r="H45" s="24" t="n">
        <v>3357.66</v>
      </c>
      <c r="I45" s="24" t="n">
        <f aca="false">G45+H45</f>
        <v>30358.84</v>
      </c>
      <c r="J45" s="24" t="n">
        <f aca="false">D45-I45</f>
        <v>61976.8</v>
      </c>
      <c r="K45" s="25" t="s">
        <v>117</v>
      </c>
      <c r="L45" s="25" t="s">
        <v>118</v>
      </c>
    </row>
    <row r="46" customFormat="false" ht="15" hidden="false" customHeight="false" outlineLevel="0" collapsed="false">
      <c r="A46" s="23" t="n">
        <v>3</v>
      </c>
      <c r="B46" s="23" t="s">
        <v>73</v>
      </c>
      <c r="C46" s="23" t="s">
        <v>37</v>
      </c>
      <c r="D46" s="24" t="n">
        <v>44.42</v>
      </c>
      <c r="E46" s="24" t="n">
        <v>0</v>
      </c>
      <c r="F46" s="24" t="n">
        <v>0</v>
      </c>
      <c r="G46" s="24" t="n">
        <v>44.42</v>
      </c>
      <c r="H46" s="24" t="n">
        <v>0</v>
      </c>
      <c r="I46" s="24" t="n">
        <f aca="false">G46+H46</f>
        <v>44.42</v>
      </c>
      <c r="J46" s="24" t="n">
        <f aca="false">D46-I46</f>
        <v>0</v>
      </c>
      <c r="K46" s="25" t="s">
        <v>121</v>
      </c>
      <c r="L46" s="25" t="s">
        <v>122</v>
      </c>
    </row>
    <row r="47" customFormat="false" ht="15" hidden="false" customHeight="false" outlineLevel="0" collapsed="false">
      <c r="A47" s="23" t="n">
        <v>4</v>
      </c>
      <c r="B47" s="23" t="s">
        <v>74</v>
      </c>
      <c r="C47" s="23" t="s">
        <v>37</v>
      </c>
      <c r="D47" s="24" t="n">
        <v>168.16</v>
      </c>
      <c r="E47" s="24" t="n">
        <v>0</v>
      </c>
      <c r="F47" s="24" t="n">
        <v>0</v>
      </c>
      <c r="G47" s="24" t="n">
        <v>48.63</v>
      </c>
      <c r="H47" s="24" t="n">
        <v>6.11</v>
      </c>
      <c r="I47" s="24" t="n">
        <f aca="false">G47+H47</f>
        <v>54.74</v>
      </c>
      <c r="J47" s="24" t="n">
        <f aca="false">D47-I47</f>
        <v>113.42</v>
      </c>
      <c r="K47" s="25" t="s">
        <v>117</v>
      </c>
      <c r="L47" s="25" t="s">
        <v>118</v>
      </c>
    </row>
    <row r="48" customFormat="false" ht="15" hidden="false" customHeight="false" outlineLevel="0" collapsed="false">
      <c r="A48" s="23" t="n">
        <v>5</v>
      </c>
      <c r="B48" s="23" t="s">
        <v>75</v>
      </c>
      <c r="C48" s="23" t="s">
        <v>35</v>
      </c>
      <c r="D48" s="24" t="n">
        <v>2300.7</v>
      </c>
      <c r="E48" s="24" t="n">
        <v>0</v>
      </c>
      <c r="F48" s="24" t="n">
        <v>0</v>
      </c>
      <c r="G48" s="24" t="n">
        <v>2300.7</v>
      </c>
      <c r="H48" s="24" t="n">
        <v>0</v>
      </c>
      <c r="I48" s="24" t="n">
        <f aca="false">G48+H48</f>
        <v>2300.7</v>
      </c>
      <c r="J48" s="24" t="n">
        <f aca="false">D48-I48</f>
        <v>0</v>
      </c>
      <c r="K48" s="25" t="s">
        <v>121</v>
      </c>
      <c r="L48" s="25" t="s">
        <v>122</v>
      </c>
    </row>
    <row r="49" customFormat="false" ht="15" hidden="false" customHeight="false" outlineLevel="0" collapsed="false">
      <c r="A49" s="23" t="n">
        <v>6</v>
      </c>
      <c r="B49" s="23" t="s">
        <v>76</v>
      </c>
      <c r="C49" s="23" t="s">
        <v>35</v>
      </c>
      <c r="D49" s="24" t="n">
        <v>8710.9</v>
      </c>
      <c r="E49" s="24" t="n">
        <v>0</v>
      </c>
      <c r="F49" s="24" t="n">
        <v>0</v>
      </c>
      <c r="G49" s="24" t="n">
        <v>2547.28</v>
      </c>
      <c r="H49" s="24" t="n">
        <v>316.76</v>
      </c>
      <c r="I49" s="24" t="n">
        <f aca="false">G49+H49</f>
        <v>2864.04</v>
      </c>
      <c r="J49" s="24" t="n">
        <f aca="false">D49-I49</f>
        <v>5846.86</v>
      </c>
      <c r="K49" s="25" t="s">
        <v>117</v>
      </c>
      <c r="L49" s="25" t="s">
        <v>118</v>
      </c>
    </row>
    <row r="50" customFormat="false" ht="15" hidden="false" customHeight="false" outlineLevel="0" collapsed="false">
      <c r="A50" s="23" t="n">
        <v>7</v>
      </c>
      <c r="B50" s="23" t="s">
        <v>77</v>
      </c>
      <c r="C50" s="23" t="s">
        <v>35</v>
      </c>
      <c r="D50" s="24" t="n">
        <v>4167.44</v>
      </c>
      <c r="E50" s="24" t="n">
        <v>0</v>
      </c>
      <c r="F50" s="24" t="n">
        <v>0</v>
      </c>
      <c r="G50" s="24" t="n">
        <v>4167.44</v>
      </c>
      <c r="H50" s="24" t="n">
        <v>0</v>
      </c>
      <c r="I50" s="24" t="n">
        <f aca="false">G50+H50</f>
        <v>4167.44</v>
      </c>
      <c r="J50" s="24" t="n">
        <f aca="false">D50-I50</f>
        <v>0</v>
      </c>
      <c r="K50" s="25" t="s">
        <v>121</v>
      </c>
      <c r="L50" s="25" t="s">
        <v>122</v>
      </c>
    </row>
    <row r="51" customFormat="false" ht="15" hidden="false" customHeight="false" outlineLevel="0" collapsed="false">
      <c r="A51" s="23" t="n">
        <v>8</v>
      </c>
      <c r="B51" s="23" t="s">
        <v>78</v>
      </c>
      <c r="C51" s="23" t="s">
        <v>35</v>
      </c>
      <c r="D51" s="24" t="n">
        <v>15778.73</v>
      </c>
      <c r="E51" s="24" t="n">
        <v>0</v>
      </c>
      <c r="F51" s="24" t="n">
        <v>0</v>
      </c>
      <c r="G51" s="24" t="n">
        <v>4614.07</v>
      </c>
      <c r="H51" s="24" t="n">
        <v>573.77</v>
      </c>
      <c r="I51" s="24" t="n">
        <f aca="false">G51+H51</f>
        <v>5187.84</v>
      </c>
      <c r="J51" s="24" t="n">
        <f aca="false">D51-I51</f>
        <v>10590.89</v>
      </c>
      <c r="K51" s="25" t="s">
        <v>117</v>
      </c>
      <c r="L51" s="25" t="s">
        <v>118</v>
      </c>
    </row>
    <row r="52" customFormat="false" ht="15" hidden="false" customHeight="false" outlineLevel="0" collapsed="false">
      <c r="A52" s="26"/>
      <c r="B52" s="27" t="s">
        <v>53</v>
      </c>
      <c r="C52" s="26"/>
      <c r="D52" s="28" t="n">
        <f aca="false">SUM(D44:D51)</f>
        <v>147893.47</v>
      </c>
      <c r="E52" s="28" t="n">
        <f aca="false">SUM(E44:E51)</f>
        <v>0</v>
      </c>
      <c r="F52" s="28" t="n">
        <f aca="false">SUM(F44:F51)</f>
        <v>0</v>
      </c>
      <c r="G52" s="28" t="n">
        <f aca="false">SUM(G44:G51)</f>
        <v>65111.2</v>
      </c>
      <c r="H52" s="28" t="n">
        <f aca="false">SUM(H44:H51)</f>
        <v>4254.3</v>
      </c>
      <c r="I52" s="28" t="n">
        <f aca="false">SUM(I44:I51)</f>
        <v>69365.5</v>
      </c>
      <c r="J52" s="28" t="n">
        <f aca="false">SUM(J44:J51)</f>
        <v>78527.97</v>
      </c>
      <c r="K52" s="26"/>
      <c r="L52" s="26"/>
    </row>
    <row r="54" customFormat="false" ht="15" hidden="false" customHeight="false" outlineLevel="0" collapsed="false">
      <c r="B54" s="18" t="s">
        <v>132</v>
      </c>
    </row>
    <row r="55" customFormat="false" ht="15" hidden="false" customHeight="false" outlineLevel="0" collapsed="false">
      <c r="B55" s="5" t="s">
        <v>125</v>
      </c>
      <c r="D55" s="6" t="n">
        <f aca="false">I40</f>
        <v>64826.13</v>
      </c>
    </row>
    <row r="56" customFormat="false" ht="15" hidden="false" customHeight="false" outlineLevel="0" collapsed="false">
      <c r="B56" s="5" t="s">
        <v>126</v>
      </c>
      <c r="D56" s="6" t="n">
        <f aca="false">I52</f>
        <v>69365.5</v>
      </c>
    </row>
    <row r="57" customFormat="false" ht="15" hidden="false" customHeight="false" outlineLevel="0" collapsed="false">
      <c r="B57" s="11" t="s">
        <v>132</v>
      </c>
      <c r="D57" s="29" t="n">
        <f aca="false">D55-D56</f>
        <v>-4539.37</v>
      </c>
    </row>
    <row r="59" customFormat="false" ht="15" hidden="false" customHeight="false" outlineLevel="0" collapsed="false">
      <c r="A59" s="10" t="s">
        <v>133</v>
      </c>
    </row>
    <row r="60" customFormat="false" ht="15" hidden="false" customHeight="false" outlineLevel="0" collapsed="false">
      <c r="B60" s="11" t="s">
        <v>162</v>
      </c>
      <c r="D60" s="12" t="n">
        <f aca="false">D98</f>
        <v>147893.47</v>
      </c>
    </row>
    <row r="61" customFormat="false" ht="15" hidden="false" customHeight="false" outlineLevel="0" collapsed="false">
      <c r="B61" s="5" t="s">
        <v>163</v>
      </c>
      <c r="D61" s="6" t="n">
        <f aca="false">F98</f>
        <v>30900.04</v>
      </c>
    </row>
    <row r="62" customFormat="false" ht="15" hidden="false" customHeight="false" outlineLevel="0" collapsed="false">
      <c r="B62" s="30" t="s">
        <v>136</v>
      </c>
      <c r="D62" s="31" t="n">
        <f aca="false">F99</f>
        <v>0.208934444502519</v>
      </c>
    </row>
    <row r="63" customFormat="false" ht="15" hidden="false" customHeight="false" outlineLevel="0" collapsed="false">
      <c r="B63" s="5" t="s">
        <v>164</v>
      </c>
      <c r="D63" s="6" t="n">
        <f aca="false">H98</f>
        <v>116993.43</v>
      </c>
    </row>
    <row r="64" customFormat="false" ht="15" hidden="false" customHeight="false" outlineLevel="0" collapsed="false">
      <c r="B64" s="30" t="s">
        <v>136</v>
      </c>
      <c r="D64" s="31" t="n">
        <f aca="false">H99</f>
        <v>0.791065555497481</v>
      </c>
    </row>
    <row r="66" customFormat="false" ht="15" hidden="false" customHeight="false" outlineLevel="0" collapsed="false">
      <c r="A66" s="10" t="s">
        <v>138</v>
      </c>
    </row>
    <row r="67" customFormat="false" ht="15" hidden="false" customHeight="false" outlineLevel="0" collapsed="false">
      <c r="B67" s="4" t="s">
        <v>139</v>
      </c>
      <c r="D67" s="4" t="s">
        <v>108</v>
      </c>
      <c r="F67" s="4" t="s">
        <v>165</v>
      </c>
      <c r="H67" s="4" t="s">
        <v>141</v>
      </c>
    </row>
    <row r="68" customFormat="false" ht="15" hidden="false" customHeight="false" outlineLevel="0" collapsed="false">
      <c r="B68" s="32" t="s">
        <v>166</v>
      </c>
    </row>
    <row r="69" customFormat="false" ht="15" hidden="false" customHeight="false" outlineLevel="0" collapsed="false">
      <c r="B69" s="5" t="s">
        <v>167</v>
      </c>
      <c r="D69" s="33" t="n">
        <f aca="false">SUM(F69:H69)</f>
        <v>4901.61</v>
      </c>
      <c r="F69" s="33" t="n">
        <v>4901.61</v>
      </c>
    </row>
    <row r="70" customFormat="false" ht="15" hidden="false" customHeight="false" outlineLevel="0" collapsed="false">
      <c r="B70" s="5" t="s">
        <v>168</v>
      </c>
      <c r="D70" s="33" t="n">
        <f aca="false">SUM(F70:H70)</f>
        <v>2185.54</v>
      </c>
      <c r="F70" s="33" t="n">
        <v>2185.54</v>
      </c>
    </row>
    <row r="71" customFormat="false" ht="15" hidden="false" customHeight="false" outlineLevel="0" collapsed="false">
      <c r="B71" s="5" t="s">
        <v>169</v>
      </c>
      <c r="D71" s="33" t="n">
        <f aca="false">SUM(F71:H71)</f>
        <v>11385.26</v>
      </c>
      <c r="F71" s="33" t="n">
        <v>11385.26</v>
      </c>
    </row>
    <row r="72" customFormat="false" ht="15" hidden="false" customHeight="false" outlineLevel="0" collapsed="false">
      <c r="B72" s="5" t="s">
        <v>171</v>
      </c>
      <c r="D72" s="33" t="n">
        <f aca="false">SUM(F72:H72)</f>
        <v>589.62</v>
      </c>
      <c r="F72" s="33" t="n">
        <v>589.62</v>
      </c>
    </row>
    <row r="73" customFormat="false" ht="15" hidden="false" customHeight="false" outlineLevel="0" collapsed="false">
      <c r="B73" s="5" t="s">
        <v>196</v>
      </c>
      <c r="D73" s="33" t="n">
        <f aca="false">SUM(F73:H73)</f>
        <v>183.29</v>
      </c>
      <c r="F73" s="33" t="n">
        <v>183.29</v>
      </c>
    </row>
    <row r="74" customFormat="false" ht="15" hidden="false" customHeight="false" outlineLevel="0" collapsed="false">
      <c r="B74" s="5" t="s">
        <v>197</v>
      </c>
      <c r="D74" s="33" t="n">
        <f aca="false">SUM(F74:H74)</f>
        <v>96.76</v>
      </c>
      <c r="F74" s="33" t="n">
        <v>96.76</v>
      </c>
    </row>
    <row r="75" customFormat="false" ht="15" hidden="false" customHeight="false" outlineLevel="0" collapsed="false">
      <c r="B75" s="5" t="s">
        <v>172</v>
      </c>
      <c r="D75" s="33" t="n">
        <f aca="false">SUM(F75:H75)</f>
        <v>2980.97</v>
      </c>
      <c r="F75" s="33" t="n">
        <v>2980.97</v>
      </c>
    </row>
    <row r="76" customFormat="false" ht="15" hidden="false" customHeight="false" outlineLevel="0" collapsed="false">
      <c r="B76" s="5" t="s">
        <v>173</v>
      </c>
      <c r="D76" s="33" t="n">
        <f aca="false">SUM(F76:H76)</f>
        <v>994.55</v>
      </c>
      <c r="F76" s="33" t="n">
        <v>994.55</v>
      </c>
    </row>
    <row r="77" customFormat="false" ht="15" hidden="false" customHeight="false" outlineLevel="0" collapsed="false">
      <c r="B77" s="5" t="s">
        <v>198</v>
      </c>
      <c r="D77" s="33" t="n">
        <f aca="false">SUM(F77:H77)</f>
        <v>3427.41</v>
      </c>
      <c r="F77" s="33" t="n">
        <v>3427.41</v>
      </c>
    </row>
    <row r="78" customFormat="false" ht="15" hidden="false" customHeight="false" outlineLevel="0" collapsed="false">
      <c r="B78" s="5" t="s">
        <v>175</v>
      </c>
      <c r="D78" s="33" t="n">
        <f aca="false">SUM(F78:H78)</f>
        <v>428.96</v>
      </c>
      <c r="F78" s="33" t="n">
        <v>428.96</v>
      </c>
    </row>
    <row r="79" customFormat="false" ht="15" hidden="false" customHeight="false" outlineLevel="0" collapsed="false">
      <c r="B79" s="5" t="s">
        <v>199</v>
      </c>
      <c r="D79" s="33" t="n">
        <f aca="false">SUM(F79:H79)</f>
        <v>43.2</v>
      </c>
      <c r="F79" s="33" t="n">
        <v>43.2</v>
      </c>
    </row>
    <row r="80" customFormat="false" ht="15" hidden="false" customHeight="false" outlineLevel="0" collapsed="false">
      <c r="B80" s="5" t="s">
        <v>200</v>
      </c>
      <c r="D80" s="33" t="n">
        <f aca="false">SUM(F80:H80)</f>
        <v>3682.87</v>
      </c>
      <c r="F80" s="33" t="n">
        <v>3682.87</v>
      </c>
    </row>
    <row r="81" customFormat="false" ht="15" hidden="false" customHeight="false" outlineLevel="0" collapsed="false">
      <c r="B81" s="32" t="s">
        <v>177</v>
      </c>
    </row>
    <row r="82" customFormat="false" ht="15" hidden="false" customHeight="false" outlineLevel="0" collapsed="false">
      <c r="B82" s="5" t="s">
        <v>178</v>
      </c>
      <c r="D82" s="33" t="n">
        <f aca="false">SUM(F82:H82)</f>
        <v>8561.68</v>
      </c>
      <c r="H82" s="33" t="n">
        <v>8561.68</v>
      </c>
    </row>
    <row r="83" customFormat="false" ht="15" hidden="false" customHeight="false" outlineLevel="0" collapsed="false">
      <c r="B83" s="5" t="s">
        <v>179</v>
      </c>
      <c r="D83" s="33" t="n">
        <f aca="false">SUM(F83:H83)</f>
        <v>16225.62</v>
      </c>
      <c r="H83" s="33" t="n">
        <v>16225.62</v>
      </c>
    </row>
    <row r="84" customFormat="false" ht="15" hidden="false" customHeight="false" outlineLevel="0" collapsed="false">
      <c r="B84" s="5" t="s">
        <v>180</v>
      </c>
      <c r="D84" s="33" t="n">
        <f aca="false">SUM(F84:H84)</f>
        <v>10992.55</v>
      </c>
      <c r="H84" s="33" t="n">
        <v>10992.55</v>
      </c>
    </row>
    <row r="85" customFormat="false" ht="15" hidden="false" customHeight="false" outlineLevel="0" collapsed="false">
      <c r="B85" s="5" t="s">
        <v>181</v>
      </c>
      <c r="D85" s="33" t="n">
        <f aca="false">SUM(F85:H85)</f>
        <v>12099.12</v>
      </c>
      <c r="H85" s="33" t="n">
        <v>12099.12</v>
      </c>
    </row>
    <row r="86" customFormat="false" ht="15" hidden="false" customHeight="false" outlineLevel="0" collapsed="false">
      <c r="B86" s="5" t="s">
        <v>182</v>
      </c>
      <c r="D86" s="33" t="n">
        <f aca="false">SUM(F86:H86)</f>
        <v>9715.1</v>
      </c>
      <c r="H86" s="33" t="n">
        <v>9715.1</v>
      </c>
    </row>
    <row r="87" customFormat="false" ht="15" hidden="false" customHeight="false" outlineLevel="0" collapsed="false">
      <c r="B87" s="5" t="s">
        <v>183</v>
      </c>
      <c r="D87" s="33" t="n">
        <f aca="false">SUM(F87:H87)</f>
        <v>548.48</v>
      </c>
      <c r="H87" s="33" t="n">
        <v>548.48</v>
      </c>
    </row>
    <row r="88" customFormat="false" ht="15" hidden="false" customHeight="false" outlineLevel="0" collapsed="false">
      <c r="B88" s="5" t="s">
        <v>184</v>
      </c>
      <c r="D88" s="33" t="n">
        <f aca="false">SUM(F88:H88)</f>
        <v>12559.71</v>
      </c>
      <c r="H88" s="33" t="n">
        <v>12559.71</v>
      </c>
    </row>
    <row r="89" customFormat="false" ht="15" hidden="false" customHeight="false" outlineLevel="0" collapsed="false">
      <c r="B89" s="5" t="s">
        <v>185</v>
      </c>
      <c r="D89" s="33" t="n">
        <f aca="false">SUM(F89:H89)</f>
        <v>5680.09</v>
      </c>
      <c r="H89" s="33" t="n">
        <v>5680.09</v>
      </c>
    </row>
    <row r="90" customFormat="false" ht="15" hidden="false" customHeight="false" outlineLevel="0" collapsed="false">
      <c r="B90" s="5" t="s">
        <v>186</v>
      </c>
      <c r="D90" s="33" t="n">
        <f aca="false">SUM(F90:H90)</f>
        <v>2911.57</v>
      </c>
      <c r="H90" s="33" t="n">
        <v>2911.57</v>
      </c>
    </row>
    <row r="91" customFormat="false" ht="15" hidden="false" customHeight="false" outlineLevel="0" collapsed="false">
      <c r="B91" s="5" t="s">
        <v>187</v>
      </c>
      <c r="D91" s="33" t="n">
        <f aca="false">SUM(F91:H91)</f>
        <v>5070.55</v>
      </c>
      <c r="H91" s="33" t="n">
        <v>5070.55</v>
      </c>
    </row>
    <row r="92" customFormat="false" ht="15" hidden="false" customHeight="false" outlineLevel="0" collapsed="false">
      <c r="B92" s="5" t="s">
        <v>188</v>
      </c>
      <c r="D92" s="33" t="n">
        <f aca="false">SUM(F92:H92)</f>
        <v>9837.36</v>
      </c>
      <c r="H92" s="33" t="n">
        <v>9837.36</v>
      </c>
    </row>
    <row r="93" customFormat="false" ht="15" hidden="false" customHeight="false" outlineLevel="0" collapsed="false">
      <c r="B93" s="5" t="s">
        <v>189</v>
      </c>
      <c r="D93" s="33" t="n">
        <f aca="false">SUM(F93:H93)</f>
        <v>4408.6</v>
      </c>
      <c r="H93" s="33" t="n">
        <v>4408.6</v>
      </c>
    </row>
    <row r="94" customFormat="false" ht="15" hidden="false" customHeight="false" outlineLevel="0" collapsed="false">
      <c r="B94" s="5" t="s">
        <v>190</v>
      </c>
      <c r="D94" s="33" t="n">
        <f aca="false">SUM(F94:H94)</f>
        <v>1012.22</v>
      </c>
      <c r="H94" s="33" t="n">
        <v>1012.22</v>
      </c>
    </row>
    <row r="95" customFormat="false" ht="15" hidden="false" customHeight="false" outlineLevel="0" collapsed="false">
      <c r="B95" s="5" t="s">
        <v>192</v>
      </c>
      <c r="D95" s="33" t="n">
        <f aca="false">SUM(F95:H95)</f>
        <v>14327.98</v>
      </c>
      <c r="H95" s="33" t="n">
        <v>14327.98</v>
      </c>
    </row>
    <row r="96" customFormat="false" ht="15" hidden="false" customHeight="false" outlineLevel="0" collapsed="false">
      <c r="B96" s="5" t="s">
        <v>193</v>
      </c>
      <c r="D96" s="33" t="n">
        <f aca="false">SUM(F96:H96)</f>
        <v>1332.99</v>
      </c>
      <c r="H96" s="33" t="n">
        <v>1332.99</v>
      </c>
    </row>
    <row r="97" customFormat="false" ht="15" hidden="false" customHeight="false" outlineLevel="0" collapsed="false">
      <c r="B97" s="5" t="s">
        <v>202</v>
      </c>
      <c r="D97" s="33" t="n">
        <f aca="false">SUM(F97:H97)</f>
        <v>1709.81</v>
      </c>
      <c r="H97" s="33" t="n">
        <v>1709.81</v>
      </c>
    </row>
    <row r="98" customFormat="false" ht="15" hidden="false" customHeight="false" outlineLevel="0" collapsed="false">
      <c r="B98" s="11" t="s">
        <v>162</v>
      </c>
      <c r="D98" s="34" t="n">
        <f aca="false">SUM(D68:D97)</f>
        <v>147893.47</v>
      </c>
      <c r="F98" s="34" t="n">
        <f aca="false">SUM(F68:F97)</f>
        <v>30900.04</v>
      </c>
      <c r="H98" s="34" t="n">
        <f aca="false">SUM(H68:H97)</f>
        <v>116993.43</v>
      </c>
    </row>
    <row r="99" customFormat="false" ht="15" hidden="false" customHeight="false" outlineLevel="0" collapsed="false">
      <c r="B99" s="30" t="s">
        <v>136</v>
      </c>
      <c r="F99" s="31" t="n">
        <f aca="false">F98/D98</f>
        <v>0.208934444502519</v>
      </c>
      <c r="H99" s="31" t="n">
        <f aca="false">H98/D98</f>
        <v>0.791065555497481</v>
      </c>
    </row>
    <row r="101" customFormat="false" ht="15" hidden="false" customHeight="false" outlineLevel="0" collapsed="false">
      <c r="A101" s="10" t="s">
        <v>157</v>
      </c>
    </row>
    <row r="102" customFormat="false" ht="15" hidden="false" customHeight="false" outlineLevel="0" collapsed="false">
      <c r="B102" s="4" t="s">
        <v>158</v>
      </c>
      <c r="D102" s="4" t="s">
        <v>108</v>
      </c>
      <c r="F102" s="4" t="s">
        <v>165</v>
      </c>
      <c r="H102" s="4" t="s">
        <v>141</v>
      </c>
    </row>
    <row r="103" customFormat="false" ht="15" hidden="false" customHeight="false" outlineLevel="0" collapsed="false">
      <c r="B103" s="5" t="str">
        <f aca="false">'Building 25'!B18</f>
        <v>1 - Buillding - Apt - 5yr</v>
      </c>
      <c r="D103" s="33" t="n">
        <f aca="false">SUM(F103:H103)</f>
        <v>24387.48</v>
      </c>
      <c r="F103" s="33" t="n">
        <f aca="false">'Building 25'!D18</f>
        <v>24387.48</v>
      </c>
    </row>
    <row r="104" customFormat="false" ht="15" hidden="false" customHeight="false" outlineLevel="0" collapsed="false">
      <c r="B104" s="5" t="str">
        <f aca="false">'Building 25'!B19</f>
        <v>1 - Buillding - Apt - 27.5yr</v>
      </c>
      <c r="D104" s="33" t="n">
        <f aca="false">SUM(F104:H104)</f>
        <v>92335.64</v>
      </c>
      <c r="H104" s="33" t="n">
        <f aca="false">'Building 25'!D19</f>
        <v>92335.64</v>
      </c>
    </row>
    <row r="105" customFormat="false" ht="15" hidden="false" customHeight="false" outlineLevel="0" collapsed="false">
      <c r="B105" s="5" t="str">
        <f aca="false">'Building 25'!B20</f>
        <v>5 - Building - Apt - 5yr</v>
      </c>
      <c r="D105" s="33" t="n">
        <f aca="false">SUM(F105:H105)</f>
        <v>44.42</v>
      </c>
      <c r="F105" s="33" t="n">
        <f aca="false">'Building 25'!D20</f>
        <v>44.42</v>
      </c>
    </row>
    <row r="106" customFormat="false" ht="15" hidden="false" customHeight="false" outlineLevel="0" collapsed="false">
      <c r="B106" s="5" t="str">
        <f aca="false">'Building 25'!B21</f>
        <v>5 - Building - Apt - 27.5yr</v>
      </c>
      <c r="D106" s="33" t="n">
        <f aca="false">SUM(F106:H106)</f>
        <v>168.16</v>
      </c>
      <c r="H106" s="33" t="n">
        <f aca="false">'Building 25'!D21</f>
        <v>168.16</v>
      </c>
    </row>
    <row r="107" customFormat="false" ht="15" hidden="false" customHeight="false" outlineLevel="0" collapsed="false">
      <c r="B107" s="5" t="str">
        <f aca="false">'Building 25'!B22</f>
        <v>3 - Land Improvements - Apt - 5yr</v>
      </c>
      <c r="D107" s="33" t="n">
        <f aca="false">SUM(F107:H107)</f>
        <v>2300.7</v>
      </c>
      <c r="F107" s="33" t="n">
        <f aca="false">'Building 25'!D22</f>
        <v>2300.7</v>
      </c>
    </row>
    <row r="108" customFormat="false" ht="15" hidden="false" customHeight="false" outlineLevel="0" collapsed="false">
      <c r="B108" s="5" t="str">
        <f aca="false">'Building 25'!B23</f>
        <v>3 - Land Improvements - Apt - 27.5yr</v>
      </c>
      <c r="D108" s="33" t="n">
        <f aca="false">SUM(F108:H108)</f>
        <v>8710.9</v>
      </c>
      <c r="H108" s="33" t="n">
        <f aca="false">'Building 25'!D23</f>
        <v>8710.9</v>
      </c>
    </row>
    <row r="109" customFormat="false" ht="15" hidden="false" customHeight="false" outlineLevel="0" collapsed="false">
      <c r="B109" s="5" t="str">
        <f aca="false">'Building 25'!B24</f>
        <v>4 - Equipment - Apt - 5yr</v>
      </c>
      <c r="D109" s="33" t="n">
        <f aca="false">SUM(F109:H109)</f>
        <v>4167.44</v>
      </c>
      <c r="F109" s="33" t="n">
        <f aca="false">'Building 25'!D24</f>
        <v>4167.44</v>
      </c>
    </row>
    <row r="110" customFormat="false" ht="15" hidden="false" customHeight="false" outlineLevel="0" collapsed="false">
      <c r="B110" s="5" t="str">
        <f aca="false">'Building 25'!B25</f>
        <v>4 - Equipment - Apt - 27.5yr</v>
      </c>
      <c r="D110" s="33" t="n">
        <f aca="false">SUM(F110:H110)</f>
        <v>15778.73</v>
      </c>
      <c r="H110" s="33" t="n">
        <f aca="false">'Building 25'!D25</f>
        <v>15778.73</v>
      </c>
    </row>
    <row r="111" customFormat="false" ht="15" hidden="false" customHeight="false" outlineLevel="0" collapsed="false">
      <c r="B111" s="11" t="s">
        <v>159</v>
      </c>
      <c r="D111" s="34" t="n">
        <f aca="false">SUM(D103:D110)</f>
        <v>147893.47</v>
      </c>
      <c r="F111" s="34" t="n">
        <f aca="false">SUM(F103:F110)</f>
        <v>30900.04</v>
      </c>
      <c r="H111" s="34" t="n">
        <f aca="false">SUM(H103:H110)</f>
        <v>116993.43</v>
      </c>
    </row>
    <row r="112" customFormat="false" ht="15" hidden="false" customHeight="false" outlineLevel="0" collapsed="false">
      <c r="B112" s="16" t="s">
        <v>160</v>
      </c>
      <c r="D112" s="17" t="n">
        <f aca="false">D111-D98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227</v>
      </c>
    </row>
    <row r="5" customFormat="false" ht="15" hidden="false" customHeight="false" outlineLevel="0" collapsed="false">
      <c r="A5" s="16" t="s">
        <v>102</v>
      </c>
    </row>
    <row r="7" customFormat="false" ht="15" hidden="false" customHeight="false" outlineLevel="0" collapsed="false">
      <c r="A7" s="10" t="s">
        <v>103</v>
      </c>
    </row>
    <row r="8" customFormat="false" ht="15" hidden="false" customHeight="false" outlineLevel="0" collapsed="false">
      <c r="A8" s="21" t="s">
        <v>104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105</v>
      </c>
      <c r="B9" s="4" t="s">
        <v>106</v>
      </c>
      <c r="C9" s="4" t="s">
        <v>107</v>
      </c>
      <c r="D9" s="4" t="s">
        <v>108</v>
      </c>
      <c r="E9" s="4" t="s">
        <v>109</v>
      </c>
      <c r="F9" s="4" t="s">
        <v>110</v>
      </c>
      <c r="G9" s="4" t="s">
        <v>111</v>
      </c>
      <c r="H9" s="4" t="s">
        <v>112</v>
      </c>
      <c r="I9" s="4" t="s">
        <v>113</v>
      </c>
      <c r="J9" s="4" t="s">
        <v>114</v>
      </c>
      <c r="K9" s="4" t="s">
        <v>115</v>
      </c>
      <c r="L9" s="4" t="s">
        <v>116</v>
      </c>
    </row>
    <row r="10" customFormat="false" ht="15" hidden="false" customHeight="false" outlineLevel="0" collapsed="false">
      <c r="A10" s="23" t="n">
        <v>1</v>
      </c>
      <c r="B10" s="23" t="s">
        <v>49</v>
      </c>
      <c r="C10" s="23" t="s">
        <v>35</v>
      </c>
      <c r="D10" s="24" t="n">
        <v>12928.85</v>
      </c>
      <c r="E10" s="24" t="n">
        <v>0</v>
      </c>
      <c r="F10" s="24" t="n">
        <v>0</v>
      </c>
      <c r="G10" s="24" t="n">
        <v>3780.66</v>
      </c>
      <c r="H10" s="24" t="n">
        <v>470.14</v>
      </c>
      <c r="I10" s="24" t="n">
        <f aca="false">G10+H10</f>
        <v>4250.8</v>
      </c>
      <c r="J10" s="24" t="n">
        <f aca="false">D10-I10</f>
        <v>8678.05</v>
      </c>
      <c r="K10" s="25" t="s">
        <v>117</v>
      </c>
      <c r="L10" s="25" t="s">
        <v>118</v>
      </c>
    </row>
    <row r="11" customFormat="false" ht="15" hidden="false" customHeight="false" outlineLevel="0" collapsed="false">
      <c r="A11" s="23" t="n">
        <v>2</v>
      </c>
      <c r="B11" s="23" t="s">
        <v>50</v>
      </c>
      <c r="C11" s="23" t="s">
        <v>37</v>
      </c>
      <c r="D11" s="24" t="n">
        <v>23.55</v>
      </c>
      <c r="E11" s="24" t="n">
        <v>0</v>
      </c>
      <c r="F11" s="24" t="n">
        <v>0</v>
      </c>
      <c r="G11" s="24" t="n">
        <v>6.82</v>
      </c>
      <c r="H11" s="24" t="n">
        <v>0.86</v>
      </c>
      <c r="I11" s="24" t="n">
        <f aca="false">G11+H11</f>
        <v>7.68</v>
      </c>
      <c r="J11" s="24" t="n">
        <f aca="false">D11-I11</f>
        <v>15.87</v>
      </c>
      <c r="K11" s="25" t="s">
        <v>117</v>
      </c>
      <c r="L11" s="25" t="s">
        <v>118</v>
      </c>
    </row>
    <row r="12" customFormat="false" ht="15" hidden="false" customHeight="false" outlineLevel="0" collapsed="false">
      <c r="A12" s="23" t="n">
        <v>3</v>
      </c>
      <c r="B12" s="23" t="s">
        <v>51</v>
      </c>
      <c r="C12" s="23" t="s">
        <v>35</v>
      </c>
      <c r="D12" s="24" t="n">
        <v>1219.7</v>
      </c>
      <c r="E12" s="24" t="n">
        <v>0</v>
      </c>
      <c r="F12" s="24" t="n">
        <v>0</v>
      </c>
      <c r="G12" s="24" t="n">
        <v>714.34</v>
      </c>
      <c r="H12" s="24" t="n">
        <v>71.96</v>
      </c>
      <c r="I12" s="24" t="n">
        <f aca="false">G12+H12</f>
        <v>786.3</v>
      </c>
      <c r="J12" s="24" t="n">
        <f aca="false">D12-I12</f>
        <v>433.4</v>
      </c>
      <c r="K12" s="25" t="s">
        <v>119</v>
      </c>
      <c r="L12" s="25" t="s">
        <v>120</v>
      </c>
    </row>
    <row r="13" customFormat="false" ht="15" hidden="false" customHeight="false" outlineLevel="0" collapsed="false">
      <c r="A13" s="23" t="n">
        <v>4</v>
      </c>
      <c r="B13" s="23" t="s">
        <v>52</v>
      </c>
      <c r="C13" s="23" t="s">
        <v>35</v>
      </c>
      <c r="D13" s="24" t="n">
        <v>2209.34</v>
      </c>
      <c r="E13" s="24" t="n">
        <v>0</v>
      </c>
      <c r="F13" s="24" t="n">
        <v>0</v>
      </c>
      <c r="G13" s="24" t="n">
        <v>2135.7</v>
      </c>
      <c r="H13" s="24" t="n">
        <v>0</v>
      </c>
      <c r="I13" s="24" t="n">
        <f aca="false">G13+H13</f>
        <v>2135.7</v>
      </c>
      <c r="J13" s="24" t="n">
        <f aca="false">D13-I13</f>
        <v>73.6400000000003</v>
      </c>
      <c r="K13" s="25" t="s">
        <v>121</v>
      </c>
      <c r="L13" s="25" t="s">
        <v>122</v>
      </c>
    </row>
    <row r="14" customFormat="false" ht="15" hidden="false" customHeight="false" outlineLevel="0" collapsed="false">
      <c r="A14" s="26"/>
      <c r="B14" s="27" t="s">
        <v>53</v>
      </c>
      <c r="C14" s="26"/>
      <c r="D14" s="28" t="n">
        <f aca="false">SUM(D10:D13)</f>
        <v>16381.44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6637.52</v>
      </c>
      <c r="H14" s="28" t="n">
        <f aca="false">SUM(H10:H13)</f>
        <v>542.96</v>
      </c>
      <c r="I14" s="28" t="n">
        <f aca="false">SUM(I10:I13)</f>
        <v>7180.48</v>
      </c>
      <c r="J14" s="28" t="n">
        <f aca="false">SUM(J10:J13)</f>
        <v>9200.96</v>
      </c>
      <c r="K14" s="26"/>
      <c r="L14" s="26"/>
    </row>
    <row r="16" customFormat="false" ht="15" hidden="false" customHeight="false" outlineLevel="0" collapsed="false">
      <c r="A16" s="21" t="s">
        <v>123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4" t="s">
        <v>105</v>
      </c>
      <c r="B17" s="4" t="s">
        <v>106</v>
      </c>
      <c r="C17" s="4" t="s">
        <v>107</v>
      </c>
      <c r="D17" s="4" t="s">
        <v>108</v>
      </c>
      <c r="E17" s="4" t="s">
        <v>109</v>
      </c>
      <c r="F17" s="4" t="s">
        <v>110</v>
      </c>
      <c r="G17" s="4" t="s">
        <v>111</v>
      </c>
      <c r="H17" s="4" t="s">
        <v>112</v>
      </c>
      <c r="I17" s="4" t="s">
        <v>113</v>
      </c>
      <c r="J17" s="4" t="s">
        <v>114</v>
      </c>
      <c r="K17" s="4" t="s">
        <v>115</v>
      </c>
      <c r="L17" s="4" t="s">
        <v>116</v>
      </c>
    </row>
    <row r="18" customFormat="false" ht="15" hidden="false" customHeight="false" outlineLevel="0" collapsed="false">
      <c r="A18" s="23" t="n">
        <v>1</v>
      </c>
      <c r="B18" s="23" t="s">
        <v>81</v>
      </c>
      <c r="C18" s="23" t="s">
        <v>35</v>
      </c>
      <c r="D18" s="24" t="n">
        <v>368.29</v>
      </c>
      <c r="E18" s="24" t="n">
        <v>0</v>
      </c>
      <c r="F18" s="24" t="n">
        <v>0</v>
      </c>
      <c r="G18" s="24" t="n">
        <v>368.29</v>
      </c>
      <c r="H18" s="24" t="n">
        <v>0</v>
      </c>
      <c r="I18" s="24" t="n">
        <f aca="false">G18+H18</f>
        <v>368.29</v>
      </c>
      <c r="J18" s="24" t="n">
        <f aca="false">D18-I18</f>
        <v>0</v>
      </c>
      <c r="K18" s="25" t="s">
        <v>121</v>
      </c>
      <c r="L18" s="25" t="s">
        <v>122</v>
      </c>
    </row>
    <row r="19" customFormat="false" ht="15" hidden="false" customHeight="false" outlineLevel="0" collapsed="false">
      <c r="A19" s="23" t="n">
        <v>2</v>
      </c>
      <c r="B19" s="23" t="s">
        <v>82</v>
      </c>
      <c r="C19" s="23" t="s">
        <v>35</v>
      </c>
      <c r="D19" s="24" t="n">
        <v>12560.56</v>
      </c>
      <c r="E19" s="24" t="n">
        <v>0</v>
      </c>
      <c r="F19" s="24" t="n">
        <v>0</v>
      </c>
      <c r="G19" s="24" t="n">
        <v>3673.03</v>
      </c>
      <c r="H19" s="24" t="n">
        <v>456.75</v>
      </c>
      <c r="I19" s="24" t="n">
        <f aca="false">G19+H19</f>
        <v>4129.78</v>
      </c>
      <c r="J19" s="24" t="n">
        <f aca="false">D19-I19</f>
        <v>8430.78</v>
      </c>
      <c r="K19" s="25" t="s">
        <v>117</v>
      </c>
      <c r="L19" s="25" t="s">
        <v>118</v>
      </c>
    </row>
    <row r="20" customFormat="false" ht="15" hidden="false" customHeight="false" outlineLevel="0" collapsed="false">
      <c r="A20" s="23" t="n">
        <v>3</v>
      </c>
      <c r="B20" s="23" t="s">
        <v>83</v>
      </c>
      <c r="C20" s="23" t="s">
        <v>37</v>
      </c>
      <c r="D20" s="24" t="n">
        <v>0.67</v>
      </c>
      <c r="E20" s="24" t="n">
        <v>0</v>
      </c>
      <c r="F20" s="24" t="n">
        <v>0</v>
      </c>
      <c r="G20" s="24" t="n">
        <v>0.67</v>
      </c>
      <c r="H20" s="24" t="n">
        <v>0</v>
      </c>
      <c r="I20" s="24" t="n">
        <f aca="false">G20+H20</f>
        <v>0.67</v>
      </c>
      <c r="J20" s="24" t="n">
        <f aca="false">D20-I20</f>
        <v>0</v>
      </c>
      <c r="K20" s="25" t="s">
        <v>121</v>
      </c>
      <c r="L20" s="25" t="s">
        <v>122</v>
      </c>
    </row>
    <row r="21" customFormat="false" ht="15" hidden="false" customHeight="false" outlineLevel="0" collapsed="false">
      <c r="A21" s="23" t="n">
        <v>4</v>
      </c>
      <c r="B21" s="23" t="s">
        <v>84</v>
      </c>
      <c r="C21" s="23" t="s">
        <v>37</v>
      </c>
      <c r="D21" s="24" t="n">
        <v>22.88</v>
      </c>
      <c r="E21" s="24" t="n">
        <v>0</v>
      </c>
      <c r="F21" s="24" t="n">
        <v>0</v>
      </c>
      <c r="G21" s="24" t="n">
        <v>6.61</v>
      </c>
      <c r="H21" s="24" t="n">
        <v>0.83</v>
      </c>
      <c r="I21" s="24" t="n">
        <f aca="false">G21+H21</f>
        <v>7.44</v>
      </c>
      <c r="J21" s="24" t="n">
        <f aca="false">D21-I21</f>
        <v>15.44</v>
      </c>
      <c r="K21" s="25" t="s">
        <v>117</v>
      </c>
      <c r="L21" s="25" t="s">
        <v>118</v>
      </c>
    </row>
    <row r="22" customFormat="false" ht="15" hidden="false" customHeight="false" outlineLevel="0" collapsed="false">
      <c r="A22" s="23" t="n">
        <v>5</v>
      </c>
      <c r="B22" s="23" t="s">
        <v>85</v>
      </c>
      <c r="C22" s="23" t="s">
        <v>35</v>
      </c>
      <c r="D22" s="24" t="n">
        <v>34.74</v>
      </c>
      <c r="E22" s="24" t="n">
        <v>0</v>
      </c>
      <c r="F22" s="24" t="n">
        <v>0</v>
      </c>
      <c r="G22" s="24" t="n">
        <v>34.74</v>
      </c>
      <c r="H22" s="24" t="n">
        <v>0</v>
      </c>
      <c r="I22" s="24" t="n">
        <f aca="false">G22+H22</f>
        <v>34.74</v>
      </c>
      <c r="J22" s="24" t="n">
        <f aca="false">D22-I22</f>
        <v>0</v>
      </c>
      <c r="K22" s="25" t="s">
        <v>121</v>
      </c>
      <c r="L22" s="25" t="s">
        <v>122</v>
      </c>
    </row>
    <row r="23" customFormat="false" ht="15" hidden="false" customHeight="false" outlineLevel="0" collapsed="false">
      <c r="A23" s="23" t="n">
        <v>6</v>
      </c>
      <c r="B23" s="23" t="s">
        <v>86</v>
      </c>
      <c r="C23" s="23" t="s">
        <v>35</v>
      </c>
      <c r="D23" s="24" t="n">
        <v>1184.96</v>
      </c>
      <c r="E23" s="24" t="n">
        <v>0</v>
      </c>
      <c r="F23" s="24" t="n">
        <v>0</v>
      </c>
      <c r="G23" s="24" t="n">
        <v>346.52</v>
      </c>
      <c r="H23" s="24" t="n">
        <v>43.09</v>
      </c>
      <c r="I23" s="24" t="n">
        <f aca="false">G23+H23</f>
        <v>389.61</v>
      </c>
      <c r="J23" s="24" t="n">
        <f aca="false">D23-I23</f>
        <v>795.35</v>
      </c>
      <c r="K23" s="25" t="s">
        <v>117</v>
      </c>
      <c r="L23" s="25" t="s">
        <v>118</v>
      </c>
    </row>
    <row r="24" customFormat="false" ht="15" hidden="false" customHeight="false" outlineLevel="0" collapsed="false">
      <c r="A24" s="23" t="n">
        <v>7</v>
      </c>
      <c r="B24" s="23" t="s">
        <v>87</v>
      </c>
      <c r="C24" s="23" t="s">
        <v>35</v>
      </c>
      <c r="D24" s="24" t="n">
        <v>62.94</v>
      </c>
      <c r="E24" s="24" t="n">
        <v>0</v>
      </c>
      <c r="F24" s="24" t="n">
        <v>0</v>
      </c>
      <c r="G24" s="24" t="n">
        <v>62.94</v>
      </c>
      <c r="H24" s="24" t="n">
        <v>0</v>
      </c>
      <c r="I24" s="24" t="n">
        <f aca="false">G24+H24</f>
        <v>62.94</v>
      </c>
      <c r="J24" s="24" t="n">
        <f aca="false">D24-I24</f>
        <v>0</v>
      </c>
      <c r="K24" s="25" t="s">
        <v>121</v>
      </c>
      <c r="L24" s="25" t="s">
        <v>122</v>
      </c>
    </row>
    <row r="25" customFormat="false" ht="15" hidden="false" customHeight="false" outlineLevel="0" collapsed="false">
      <c r="A25" s="23" t="n">
        <v>8</v>
      </c>
      <c r="B25" s="23" t="s">
        <v>88</v>
      </c>
      <c r="C25" s="23" t="s">
        <v>35</v>
      </c>
      <c r="D25" s="24" t="n">
        <v>2146.4</v>
      </c>
      <c r="E25" s="24" t="n">
        <v>0</v>
      </c>
      <c r="F25" s="24" t="n">
        <v>0</v>
      </c>
      <c r="G25" s="24" t="n">
        <v>627.65</v>
      </c>
      <c r="H25" s="24" t="n">
        <v>78.05</v>
      </c>
      <c r="I25" s="24" t="n">
        <f aca="false">G25+H25</f>
        <v>705.7</v>
      </c>
      <c r="J25" s="24" t="n">
        <f aca="false">D25-I25</f>
        <v>1440.7</v>
      </c>
      <c r="K25" s="25" t="s">
        <v>117</v>
      </c>
      <c r="L25" s="25" t="s">
        <v>118</v>
      </c>
    </row>
    <row r="26" customFormat="false" ht="15" hidden="false" customHeight="false" outlineLevel="0" collapsed="false">
      <c r="A26" s="26"/>
      <c r="B26" s="27" t="s">
        <v>53</v>
      </c>
      <c r="C26" s="26"/>
      <c r="D26" s="28" t="n">
        <f aca="false">SUM(D18:D25)</f>
        <v>16381.44</v>
      </c>
      <c r="E26" s="28" t="n">
        <f aca="false">SUM(E18:E25)</f>
        <v>0</v>
      </c>
      <c r="F26" s="28" t="n">
        <f aca="false">SUM(F18:F25)</f>
        <v>0</v>
      </c>
      <c r="G26" s="28" t="n">
        <f aca="false">SUM(G18:G25)</f>
        <v>5120.45</v>
      </c>
      <c r="H26" s="28" t="n">
        <f aca="false">SUM(H18:H25)</f>
        <v>578.72</v>
      </c>
      <c r="I26" s="28" t="n">
        <f aca="false">SUM(I18:I25)</f>
        <v>5699.17</v>
      </c>
      <c r="J26" s="28" t="n">
        <f aca="false">SUM(J18:J25)</f>
        <v>10682.27</v>
      </c>
      <c r="K26" s="26"/>
      <c r="L26" s="26"/>
    </row>
    <row r="28" customFormat="false" ht="15" hidden="false" customHeight="false" outlineLevel="0" collapsed="false">
      <c r="B28" s="18" t="s">
        <v>124</v>
      </c>
    </row>
    <row r="29" customFormat="false" ht="15" hidden="false" customHeight="false" outlineLevel="0" collapsed="false">
      <c r="B29" s="5" t="s">
        <v>125</v>
      </c>
      <c r="D29" s="6" t="n">
        <f aca="false">I14</f>
        <v>7180.48</v>
      </c>
    </row>
    <row r="30" customFormat="false" ht="15" hidden="false" customHeight="false" outlineLevel="0" collapsed="false">
      <c r="B30" s="5" t="s">
        <v>126</v>
      </c>
      <c r="D30" s="6" t="n">
        <f aca="false">I26</f>
        <v>5699.17</v>
      </c>
    </row>
    <row r="31" customFormat="false" ht="15" hidden="false" customHeight="false" outlineLevel="0" collapsed="false">
      <c r="B31" s="11" t="s">
        <v>124</v>
      </c>
      <c r="D31" s="29" t="n">
        <f aca="false">D29-D30</f>
        <v>1481.31</v>
      </c>
    </row>
    <row r="33" customFormat="false" ht="15" hidden="false" customHeight="false" outlineLevel="0" collapsed="false">
      <c r="A33" s="10" t="s">
        <v>127</v>
      </c>
    </row>
    <row r="34" customFormat="false" ht="15" hidden="false" customHeight="false" outlineLevel="0" collapsed="false">
      <c r="A34" s="21" t="s">
        <v>128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4" t="s">
        <v>105</v>
      </c>
      <c r="B35" s="4" t="s">
        <v>106</v>
      </c>
      <c r="C35" s="4" t="s">
        <v>107</v>
      </c>
      <c r="D35" s="4" t="s">
        <v>108</v>
      </c>
      <c r="E35" s="4" t="s">
        <v>109</v>
      </c>
      <c r="F35" s="4" t="s">
        <v>110</v>
      </c>
      <c r="G35" s="4" t="s">
        <v>129</v>
      </c>
      <c r="H35" s="4" t="s">
        <v>130</v>
      </c>
      <c r="I35" s="4" t="s">
        <v>113</v>
      </c>
      <c r="J35" s="4" t="s">
        <v>114</v>
      </c>
      <c r="K35" s="4" t="s">
        <v>115</v>
      </c>
      <c r="L35" s="4" t="s">
        <v>116</v>
      </c>
    </row>
    <row r="36" customFormat="false" ht="15" hidden="false" customHeight="false" outlineLevel="0" collapsed="false">
      <c r="A36" s="23" t="n">
        <v>1</v>
      </c>
      <c r="B36" s="23" t="s">
        <v>49</v>
      </c>
      <c r="C36" s="23" t="s">
        <v>35</v>
      </c>
      <c r="D36" s="24" t="n">
        <v>12928.85</v>
      </c>
      <c r="E36" s="24" t="n">
        <v>0</v>
      </c>
      <c r="F36" s="24" t="n">
        <v>0</v>
      </c>
      <c r="G36" s="24" t="n">
        <v>3780.66</v>
      </c>
      <c r="H36" s="24" t="n">
        <v>470.14</v>
      </c>
      <c r="I36" s="24" t="n">
        <f aca="false">G36+H36</f>
        <v>4250.8</v>
      </c>
      <c r="J36" s="24" t="n">
        <f aca="false">D36-I36</f>
        <v>8678.05</v>
      </c>
      <c r="K36" s="25" t="s">
        <v>117</v>
      </c>
      <c r="L36" s="25" t="s">
        <v>118</v>
      </c>
    </row>
    <row r="37" customFormat="false" ht="15" hidden="false" customHeight="false" outlineLevel="0" collapsed="false">
      <c r="A37" s="23" t="n">
        <v>2</v>
      </c>
      <c r="B37" s="23" t="s">
        <v>50</v>
      </c>
      <c r="C37" s="23" t="s">
        <v>37</v>
      </c>
      <c r="D37" s="24" t="n">
        <v>23.55</v>
      </c>
      <c r="E37" s="24" t="n">
        <v>0</v>
      </c>
      <c r="F37" s="24" t="n">
        <v>0</v>
      </c>
      <c r="G37" s="24" t="n">
        <v>6.82</v>
      </c>
      <c r="H37" s="24" t="n">
        <v>0.86</v>
      </c>
      <c r="I37" s="24" t="n">
        <f aca="false">G37+H37</f>
        <v>7.68</v>
      </c>
      <c r="J37" s="24" t="n">
        <f aca="false">D37-I37</f>
        <v>15.87</v>
      </c>
      <c r="K37" s="25" t="s">
        <v>117</v>
      </c>
      <c r="L37" s="25" t="s">
        <v>118</v>
      </c>
    </row>
    <row r="38" customFormat="false" ht="15" hidden="false" customHeight="false" outlineLevel="0" collapsed="false">
      <c r="A38" s="23" t="n">
        <v>3</v>
      </c>
      <c r="B38" s="23" t="s">
        <v>51</v>
      </c>
      <c r="C38" s="23" t="s">
        <v>35</v>
      </c>
      <c r="D38" s="24" t="n">
        <v>1219.7</v>
      </c>
      <c r="E38" s="24" t="n">
        <v>0</v>
      </c>
      <c r="F38" s="24" t="n">
        <v>0</v>
      </c>
      <c r="G38" s="24" t="n">
        <v>714.34</v>
      </c>
      <c r="H38" s="24" t="n">
        <v>71.96</v>
      </c>
      <c r="I38" s="24" t="n">
        <f aca="false">G38+H38</f>
        <v>786.3</v>
      </c>
      <c r="J38" s="24" t="n">
        <f aca="false">D38-I38</f>
        <v>433.4</v>
      </c>
      <c r="K38" s="25" t="s">
        <v>119</v>
      </c>
      <c r="L38" s="25" t="s">
        <v>120</v>
      </c>
    </row>
    <row r="39" customFormat="false" ht="15" hidden="false" customHeight="false" outlineLevel="0" collapsed="false">
      <c r="A39" s="23" t="n">
        <v>4</v>
      </c>
      <c r="B39" s="23" t="s">
        <v>52</v>
      </c>
      <c r="C39" s="23" t="s">
        <v>35</v>
      </c>
      <c r="D39" s="24" t="n">
        <v>2209.34</v>
      </c>
      <c r="E39" s="24" t="n">
        <v>0</v>
      </c>
      <c r="F39" s="24" t="n">
        <v>0</v>
      </c>
      <c r="G39" s="24" t="n">
        <v>2135.7</v>
      </c>
      <c r="H39" s="24" t="n">
        <v>0</v>
      </c>
      <c r="I39" s="24" t="n">
        <f aca="false">G39+H39</f>
        <v>2135.7</v>
      </c>
      <c r="J39" s="24" t="n">
        <f aca="false">D39-I39</f>
        <v>73.6400000000003</v>
      </c>
      <c r="K39" s="25" t="s">
        <v>121</v>
      </c>
      <c r="L39" s="25" t="s">
        <v>122</v>
      </c>
    </row>
    <row r="40" customFormat="false" ht="15" hidden="false" customHeight="false" outlineLevel="0" collapsed="false">
      <c r="A40" s="26"/>
      <c r="B40" s="27" t="s">
        <v>53</v>
      </c>
      <c r="C40" s="26"/>
      <c r="D40" s="28" t="n">
        <f aca="false">SUM(D36:D39)</f>
        <v>16381.44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6637.52</v>
      </c>
      <c r="H40" s="28" t="n">
        <f aca="false">SUM(H36:H39)</f>
        <v>542.96</v>
      </c>
      <c r="I40" s="28" t="n">
        <f aca="false">SUM(I36:I39)</f>
        <v>7180.48</v>
      </c>
      <c r="J40" s="28" t="n">
        <f aca="false">SUM(J36:J39)</f>
        <v>9200.96</v>
      </c>
      <c r="K40" s="26"/>
      <c r="L40" s="26"/>
    </row>
    <row r="42" customFormat="false" ht="15" hidden="false" customHeight="false" outlineLevel="0" collapsed="false">
      <c r="A42" s="21" t="s">
        <v>131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4" t="s">
        <v>105</v>
      </c>
      <c r="B43" s="4" t="s">
        <v>106</v>
      </c>
      <c r="C43" s="4" t="s">
        <v>107</v>
      </c>
      <c r="D43" s="4" t="s">
        <v>108</v>
      </c>
      <c r="E43" s="4" t="s">
        <v>109</v>
      </c>
      <c r="F43" s="4" t="s">
        <v>110</v>
      </c>
      <c r="G43" s="4" t="s">
        <v>129</v>
      </c>
      <c r="H43" s="4" t="s">
        <v>130</v>
      </c>
      <c r="I43" s="4" t="s">
        <v>113</v>
      </c>
      <c r="J43" s="4" t="s">
        <v>114</v>
      </c>
      <c r="K43" s="4" t="s">
        <v>115</v>
      </c>
      <c r="L43" s="4" t="s">
        <v>116</v>
      </c>
    </row>
    <row r="44" customFormat="false" ht="15" hidden="false" customHeight="false" outlineLevel="0" collapsed="false">
      <c r="A44" s="23" t="n">
        <v>1</v>
      </c>
      <c r="B44" s="23" t="s">
        <v>81</v>
      </c>
      <c r="C44" s="23" t="s">
        <v>35</v>
      </c>
      <c r="D44" s="24" t="n">
        <v>368.29</v>
      </c>
      <c r="E44" s="24" t="n">
        <v>0</v>
      </c>
      <c r="F44" s="24" t="n">
        <v>0</v>
      </c>
      <c r="G44" s="24" t="n">
        <v>368.29</v>
      </c>
      <c r="H44" s="24" t="n">
        <v>0</v>
      </c>
      <c r="I44" s="24" t="n">
        <f aca="false">G44+H44</f>
        <v>368.29</v>
      </c>
      <c r="J44" s="24" t="n">
        <f aca="false">D44-I44</f>
        <v>0</v>
      </c>
      <c r="K44" s="25" t="s">
        <v>121</v>
      </c>
      <c r="L44" s="25" t="s">
        <v>122</v>
      </c>
    </row>
    <row r="45" customFormat="false" ht="15" hidden="false" customHeight="false" outlineLevel="0" collapsed="false">
      <c r="A45" s="23" t="n">
        <v>2</v>
      </c>
      <c r="B45" s="23" t="s">
        <v>82</v>
      </c>
      <c r="C45" s="23" t="s">
        <v>35</v>
      </c>
      <c r="D45" s="24" t="n">
        <v>12560.56</v>
      </c>
      <c r="E45" s="24" t="n">
        <v>0</v>
      </c>
      <c r="F45" s="24" t="n">
        <v>0</v>
      </c>
      <c r="G45" s="24" t="n">
        <v>3673.03</v>
      </c>
      <c r="H45" s="24" t="n">
        <v>456.75</v>
      </c>
      <c r="I45" s="24" t="n">
        <f aca="false">G45+H45</f>
        <v>4129.78</v>
      </c>
      <c r="J45" s="24" t="n">
        <f aca="false">D45-I45</f>
        <v>8430.78</v>
      </c>
      <c r="K45" s="25" t="s">
        <v>117</v>
      </c>
      <c r="L45" s="25" t="s">
        <v>118</v>
      </c>
    </row>
    <row r="46" customFormat="false" ht="15" hidden="false" customHeight="false" outlineLevel="0" collapsed="false">
      <c r="A46" s="23" t="n">
        <v>3</v>
      </c>
      <c r="B46" s="23" t="s">
        <v>83</v>
      </c>
      <c r="C46" s="23" t="s">
        <v>37</v>
      </c>
      <c r="D46" s="24" t="n">
        <v>0.67</v>
      </c>
      <c r="E46" s="24" t="n">
        <v>0</v>
      </c>
      <c r="F46" s="24" t="n">
        <v>0</v>
      </c>
      <c r="G46" s="24" t="n">
        <v>0.67</v>
      </c>
      <c r="H46" s="24" t="n">
        <v>0</v>
      </c>
      <c r="I46" s="24" t="n">
        <f aca="false">G46+H46</f>
        <v>0.67</v>
      </c>
      <c r="J46" s="24" t="n">
        <f aca="false">D46-I46</f>
        <v>0</v>
      </c>
      <c r="K46" s="25" t="s">
        <v>121</v>
      </c>
      <c r="L46" s="25" t="s">
        <v>122</v>
      </c>
    </row>
    <row r="47" customFormat="false" ht="15" hidden="false" customHeight="false" outlineLevel="0" collapsed="false">
      <c r="A47" s="23" t="n">
        <v>4</v>
      </c>
      <c r="B47" s="23" t="s">
        <v>84</v>
      </c>
      <c r="C47" s="23" t="s">
        <v>37</v>
      </c>
      <c r="D47" s="24" t="n">
        <v>22.88</v>
      </c>
      <c r="E47" s="24" t="n">
        <v>0</v>
      </c>
      <c r="F47" s="24" t="n">
        <v>0</v>
      </c>
      <c r="G47" s="24" t="n">
        <v>6.61</v>
      </c>
      <c r="H47" s="24" t="n">
        <v>0.83</v>
      </c>
      <c r="I47" s="24" t="n">
        <f aca="false">G47+H47</f>
        <v>7.44</v>
      </c>
      <c r="J47" s="24" t="n">
        <f aca="false">D47-I47</f>
        <v>15.44</v>
      </c>
      <c r="K47" s="25" t="s">
        <v>117</v>
      </c>
      <c r="L47" s="25" t="s">
        <v>118</v>
      </c>
    </row>
    <row r="48" customFormat="false" ht="15" hidden="false" customHeight="false" outlineLevel="0" collapsed="false">
      <c r="A48" s="23" t="n">
        <v>5</v>
      </c>
      <c r="B48" s="23" t="s">
        <v>85</v>
      </c>
      <c r="C48" s="23" t="s">
        <v>35</v>
      </c>
      <c r="D48" s="24" t="n">
        <v>34.74</v>
      </c>
      <c r="E48" s="24" t="n">
        <v>0</v>
      </c>
      <c r="F48" s="24" t="n">
        <v>0</v>
      </c>
      <c r="G48" s="24" t="n">
        <v>34.74</v>
      </c>
      <c r="H48" s="24" t="n">
        <v>0</v>
      </c>
      <c r="I48" s="24" t="n">
        <f aca="false">G48+H48</f>
        <v>34.74</v>
      </c>
      <c r="J48" s="24" t="n">
        <f aca="false">D48-I48</f>
        <v>0</v>
      </c>
      <c r="K48" s="25" t="s">
        <v>121</v>
      </c>
      <c r="L48" s="25" t="s">
        <v>122</v>
      </c>
    </row>
    <row r="49" customFormat="false" ht="15" hidden="false" customHeight="false" outlineLevel="0" collapsed="false">
      <c r="A49" s="23" t="n">
        <v>6</v>
      </c>
      <c r="B49" s="23" t="s">
        <v>86</v>
      </c>
      <c r="C49" s="23" t="s">
        <v>35</v>
      </c>
      <c r="D49" s="24" t="n">
        <v>1184.96</v>
      </c>
      <c r="E49" s="24" t="n">
        <v>0</v>
      </c>
      <c r="F49" s="24" t="n">
        <v>0</v>
      </c>
      <c r="G49" s="24" t="n">
        <v>346.52</v>
      </c>
      <c r="H49" s="24" t="n">
        <v>43.09</v>
      </c>
      <c r="I49" s="24" t="n">
        <f aca="false">G49+H49</f>
        <v>389.61</v>
      </c>
      <c r="J49" s="24" t="n">
        <f aca="false">D49-I49</f>
        <v>795.35</v>
      </c>
      <c r="K49" s="25" t="s">
        <v>117</v>
      </c>
      <c r="L49" s="25" t="s">
        <v>118</v>
      </c>
    </row>
    <row r="50" customFormat="false" ht="15" hidden="false" customHeight="false" outlineLevel="0" collapsed="false">
      <c r="A50" s="23" t="n">
        <v>7</v>
      </c>
      <c r="B50" s="23" t="s">
        <v>87</v>
      </c>
      <c r="C50" s="23" t="s">
        <v>35</v>
      </c>
      <c r="D50" s="24" t="n">
        <v>62.94</v>
      </c>
      <c r="E50" s="24" t="n">
        <v>0</v>
      </c>
      <c r="F50" s="24" t="n">
        <v>0</v>
      </c>
      <c r="G50" s="24" t="n">
        <v>62.94</v>
      </c>
      <c r="H50" s="24" t="n">
        <v>0</v>
      </c>
      <c r="I50" s="24" t="n">
        <f aca="false">G50+H50</f>
        <v>62.94</v>
      </c>
      <c r="J50" s="24" t="n">
        <f aca="false">D50-I50</f>
        <v>0</v>
      </c>
      <c r="K50" s="25" t="s">
        <v>121</v>
      </c>
      <c r="L50" s="25" t="s">
        <v>122</v>
      </c>
    </row>
    <row r="51" customFormat="false" ht="15" hidden="false" customHeight="false" outlineLevel="0" collapsed="false">
      <c r="A51" s="23" t="n">
        <v>8</v>
      </c>
      <c r="B51" s="23" t="s">
        <v>88</v>
      </c>
      <c r="C51" s="23" t="s">
        <v>35</v>
      </c>
      <c r="D51" s="24" t="n">
        <v>2146.4</v>
      </c>
      <c r="E51" s="24" t="n">
        <v>0</v>
      </c>
      <c r="F51" s="24" t="n">
        <v>0</v>
      </c>
      <c r="G51" s="24" t="n">
        <v>627.65</v>
      </c>
      <c r="H51" s="24" t="n">
        <v>78.05</v>
      </c>
      <c r="I51" s="24" t="n">
        <f aca="false">G51+H51</f>
        <v>705.7</v>
      </c>
      <c r="J51" s="24" t="n">
        <f aca="false">D51-I51</f>
        <v>1440.7</v>
      </c>
      <c r="K51" s="25" t="s">
        <v>117</v>
      </c>
      <c r="L51" s="25" t="s">
        <v>118</v>
      </c>
    </row>
    <row r="52" customFormat="false" ht="15" hidden="false" customHeight="false" outlineLevel="0" collapsed="false">
      <c r="A52" s="26"/>
      <c r="B52" s="27" t="s">
        <v>53</v>
      </c>
      <c r="C52" s="26"/>
      <c r="D52" s="28" t="n">
        <f aca="false">SUM(D44:D51)</f>
        <v>16381.44</v>
      </c>
      <c r="E52" s="28" t="n">
        <f aca="false">SUM(E44:E51)</f>
        <v>0</v>
      </c>
      <c r="F52" s="28" t="n">
        <f aca="false">SUM(F44:F51)</f>
        <v>0</v>
      </c>
      <c r="G52" s="28" t="n">
        <f aca="false">SUM(G44:G51)</f>
        <v>5120.45</v>
      </c>
      <c r="H52" s="28" t="n">
        <f aca="false">SUM(H44:H51)</f>
        <v>578.72</v>
      </c>
      <c r="I52" s="28" t="n">
        <f aca="false">SUM(I44:I51)</f>
        <v>5699.17</v>
      </c>
      <c r="J52" s="28" t="n">
        <f aca="false">SUM(J44:J51)</f>
        <v>10682.27</v>
      </c>
      <c r="K52" s="26"/>
      <c r="L52" s="26"/>
    </row>
    <row r="54" customFormat="false" ht="15" hidden="false" customHeight="false" outlineLevel="0" collapsed="false">
      <c r="B54" s="18" t="s">
        <v>132</v>
      </c>
    </row>
    <row r="55" customFormat="false" ht="15" hidden="false" customHeight="false" outlineLevel="0" collapsed="false">
      <c r="B55" s="5" t="s">
        <v>125</v>
      </c>
      <c r="D55" s="6" t="n">
        <f aca="false">I40</f>
        <v>7180.48</v>
      </c>
    </row>
    <row r="56" customFormat="false" ht="15" hidden="false" customHeight="false" outlineLevel="0" collapsed="false">
      <c r="B56" s="5" t="s">
        <v>126</v>
      </c>
      <c r="D56" s="6" t="n">
        <f aca="false">I52</f>
        <v>5699.17</v>
      </c>
    </row>
    <row r="57" customFormat="false" ht="15" hidden="false" customHeight="false" outlineLevel="0" collapsed="false">
      <c r="B57" s="11" t="s">
        <v>132</v>
      </c>
      <c r="D57" s="29" t="n">
        <f aca="false">D55-D56</f>
        <v>1481.31</v>
      </c>
    </row>
    <row r="59" customFormat="false" ht="15" hidden="false" customHeight="false" outlineLevel="0" collapsed="false">
      <c r="A59" s="10" t="s">
        <v>133</v>
      </c>
    </row>
    <row r="60" customFormat="false" ht="15" hidden="false" customHeight="false" outlineLevel="0" collapsed="false">
      <c r="B60" s="11" t="s">
        <v>162</v>
      </c>
      <c r="D60" s="12" t="n">
        <f aca="false">D84</f>
        <v>16381.44</v>
      </c>
    </row>
    <row r="61" customFormat="false" ht="15" hidden="false" customHeight="false" outlineLevel="0" collapsed="false">
      <c r="B61" s="5" t="s">
        <v>163</v>
      </c>
      <c r="D61" s="6" t="n">
        <f aca="false">F84</f>
        <v>466.64</v>
      </c>
    </row>
    <row r="62" customFormat="false" ht="15" hidden="false" customHeight="false" outlineLevel="0" collapsed="false">
      <c r="B62" s="30" t="s">
        <v>136</v>
      </c>
      <c r="D62" s="31" t="n">
        <f aca="false">F85</f>
        <v>0.0284858962337865</v>
      </c>
    </row>
    <row r="63" customFormat="false" ht="15" hidden="false" customHeight="false" outlineLevel="0" collapsed="false">
      <c r="B63" s="5" t="s">
        <v>164</v>
      </c>
      <c r="D63" s="6" t="n">
        <f aca="false">H84</f>
        <v>15914.8</v>
      </c>
    </row>
    <row r="64" customFormat="false" ht="15" hidden="false" customHeight="false" outlineLevel="0" collapsed="false">
      <c r="B64" s="30" t="s">
        <v>136</v>
      </c>
      <c r="D64" s="31" t="n">
        <f aca="false">H85</f>
        <v>0.971514103766213</v>
      </c>
    </row>
    <row r="66" customFormat="false" ht="15" hidden="false" customHeight="false" outlineLevel="0" collapsed="false">
      <c r="A66" s="10" t="s">
        <v>138</v>
      </c>
    </row>
    <row r="67" customFormat="false" ht="15" hidden="false" customHeight="false" outlineLevel="0" collapsed="false">
      <c r="B67" s="4" t="s">
        <v>139</v>
      </c>
      <c r="D67" s="4" t="s">
        <v>108</v>
      </c>
      <c r="F67" s="4" t="s">
        <v>165</v>
      </c>
      <c r="H67" s="4" t="s">
        <v>141</v>
      </c>
    </row>
    <row r="68" customFormat="false" ht="15" hidden="false" customHeight="false" outlineLevel="0" collapsed="false">
      <c r="B68" s="32" t="s">
        <v>166</v>
      </c>
    </row>
    <row r="69" customFormat="false" ht="15" hidden="false" customHeight="false" outlineLevel="0" collapsed="false">
      <c r="B69" s="5" t="s">
        <v>175</v>
      </c>
      <c r="D69" s="33" t="n">
        <f aca="false">SUM(F69:H69)</f>
        <v>466.64</v>
      </c>
      <c r="F69" s="33" t="n">
        <v>466.64</v>
      </c>
    </row>
    <row r="70" customFormat="false" ht="15" hidden="false" customHeight="false" outlineLevel="0" collapsed="false">
      <c r="B70" s="32" t="s">
        <v>177</v>
      </c>
    </row>
    <row r="71" customFormat="false" ht="15" hidden="false" customHeight="false" outlineLevel="0" collapsed="false">
      <c r="B71" s="5" t="s">
        <v>178</v>
      </c>
      <c r="D71" s="33" t="n">
        <f aca="false">SUM(F71:H71)</f>
        <v>1166.22</v>
      </c>
      <c r="H71" s="33" t="n">
        <v>1166.22</v>
      </c>
    </row>
    <row r="72" customFormat="false" ht="15" hidden="false" customHeight="false" outlineLevel="0" collapsed="false">
      <c r="B72" s="5" t="s">
        <v>179</v>
      </c>
      <c r="D72" s="33" t="n">
        <f aca="false">SUM(F72:H72)</f>
        <v>2317.11</v>
      </c>
      <c r="H72" s="33" t="n">
        <v>2317.11</v>
      </c>
    </row>
    <row r="73" customFormat="false" ht="15" hidden="false" customHeight="false" outlineLevel="0" collapsed="false">
      <c r="B73" s="5" t="s">
        <v>181</v>
      </c>
      <c r="D73" s="33" t="n">
        <f aca="false">SUM(F73:H73)</f>
        <v>1596.01</v>
      </c>
      <c r="H73" s="33" t="n">
        <v>1596.01</v>
      </c>
    </row>
    <row r="74" customFormat="false" ht="15" hidden="false" customHeight="false" outlineLevel="0" collapsed="false">
      <c r="B74" s="5" t="s">
        <v>182</v>
      </c>
      <c r="D74" s="33" t="n">
        <f aca="false">SUM(F74:H74)</f>
        <v>1281.52</v>
      </c>
      <c r="H74" s="33" t="n">
        <v>1281.52</v>
      </c>
    </row>
    <row r="75" customFormat="false" ht="15" hidden="false" customHeight="false" outlineLevel="0" collapsed="false">
      <c r="B75" s="5" t="s">
        <v>184</v>
      </c>
      <c r="D75" s="33" t="n">
        <f aca="false">SUM(F75:H75)</f>
        <v>1142.2</v>
      </c>
      <c r="H75" s="33" t="n">
        <v>1142.2</v>
      </c>
    </row>
    <row r="76" customFormat="false" ht="15" hidden="false" customHeight="false" outlineLevel="0" collapsed="false">
      <c r="B76" s="5" t="s">
        <v>185</v>
      </c>
      <c r="D76" s="33" t="n">
        <f aca="false">SUM(F76:H76)</f>
        <v>1553.84</v>
      </c>
      <c r="H76" s="33" t="n">
        <v>1553.84</v>
      </c>
    </row>
    <row r="77" customFormat="false" ht="15" hidden="false" customHeight="false" outlineLevel="0" collapsed="false">
      <c r="B77" s="5" t="s">
        <v>187</v>
      </c>
      <c r="D77" s="33" t="n">
        <f aca="false">SUM(F77:H77)</f>
        <v>668.87</v>
      </c>
      <c r="H77" s="33" t="n">
        <v>668.87</v>
      </c>
    </row>
    <row r="78" customFormat="false" ht="15" hidden="false" customHeight="false" outlineLevel="0" collapsed="false">
      <c r="B78" s="5" t="s">
        <v>188</v>
      </c>
      <c r="D78" s="33" t="n">
        <f aca="false">SUM(F78:H78)</f>
        <v>1942.61</v>
      </c>
      <c r="H78" s="33" t="n">
        <v>1942.61</v>
      </c>
    </row>
    <row r="79" customFormat="false" ht="15" hidden="false" customHeight="false" outlineLevel="0" collapsed="false">
      <c r="B79" s="5" t="s">
        <v>189</v>
      </c>
      <c r="D79" s="33" t="n">
        <f aca="false">SUM(F79:H79)</f>
        <v>1009.44</v>
      </c>
      <c r="H79" s="33" t="n">
        <v>1009.44</v>
      </c>
    </row>
    <row r="80" customFormat="false" ht="15" hidden="false" customHeight="false" outlineLevel="0" collapsed="false">
      <c r="B80" s="5" t="s">
        <v>190</v>
      </c>
      <c r="D80" s="33" t="n">
        <f aca="false">SUM(F80:H80)</f>
        <v>374.41</v>
      </c>
      <c r="H80" s="33" t="n">
        <v>374.41</v>
      </c>
    </row>
    <row r="81" customFormat="false" ht="15" hidden="false" customHeight="false" outlineLevel="0" collapsed="false">
      <c r="B81" s="5" t="s">
        <v>192</v>
      </c>
      <c r="D81" s="33" t="n">
        <f aca="false">SUM(F81:H81)</f>
        <v>2295.74</v>
      </c>
      <c r="H81" s="33" t="n">
        <v>2295.74</v>
      </c>
    </row>
    <row r="82" customFormat="false" ht="15" hidden="false" customHeight="false" outlineLevel="0" collapsed="false">
      <c r="B82" s="5" t="s">
        <v>228</v>
      </c>
      <c r="D82" s="33" t="n">
        <f aca="false">SUM(F82:H82)</f>
        <v>167.22</v>
      </c>
      <c r="H82" s="33" t="n">
        <v>167.22</v>
      </c>
    </row>
    <row r="83" customFormat="false" ht="15" hidden="false" customHeight="false" outlineLevel="0" collapsed="false">
      <c r="B83" s="5" t="s">
        <v>193</v>
      </c>
      <c r="D83" s="33" t="n">
        <f aca="false">SUM(F83:H83)</f>
        <v>399.61</v>
      </c>
      <c r="H83" s="33" t="n">
        <v>399.61</v>
      </c>
    </row>
    <row r="84" customFormat="false" ht="15" hidden="false" customHeight="false" outlineLevel="0" collapsed="false">
      <c r="B84" s="11" t="s">
        <v>162</v>
      </c>
      <c r="D84" s="34" t="n">
        <f aca="false">SUM(D68:D83)</f>
        <v>16381.44</v>
      </c>
      <c r="F84" s="34" t="n">
        <f aca="false">SUM(F68:F83)</f>
        <v>466.64</v>
      </c>
      <c r="H84" s="34" t="n">
        <f aca="false">SUM(H68:H83)</f>
        <v>15914.8</v>
      </c>
    </row>
    <row r="85" customFormat="false" ht="15" hidden="false" customHeight="false" outlineLevel="0" collapsed="false">
      <c r="B85" s="30" t="s">
        <v>136</v>
      </c>
      <c r="F85" s="31" t="n">
        <f aca="false">F84/D84</f>
        <v>0.0284858962337865</v>
      </c>
      <c r="H85" s="31" t="n">
        <f aca="false">H84/D84</f>
        <v>0.971514103766213</v>
      </c>
    </row>
    <row r="87" customFormat="false" ht="15" hidden="false" customHeight="false" outlineLevel="0" collapsed="false">
      <c r="A87" s="10" t="s">
        <v>157</v>
      </c>
    </row>
    <row r="88" customFormat="false" ht="15" hidden="false" customHeight="false" outlineLevel="0" collapsed="false">
      <c r="B88" s="4" t="s">
        <v>158</v>
      </c>
      <c r="D88" s="4" t="s">
        <v>108</v>
      </c>
      <c r="F88" s="4" t="s">
        <v>165</v>
      </c>
      <c r="H88" s="4" t="s">
        <v>141</v>
      </c>
    </row>
    <row r="89" customFormat="false" ht="15" hidden="false" customHeight="false" outlineLevel="0" collapsed="false">
      <c r="B89" s="5" t="str">
        <f aca="false">Storage!B18</f>
        <v>1 - Buillding - Storage - 5yr</v>
      </c>
      <c r="D89" s="33" t="n">
        <f aca="false">SUM(F89:H89)</f>
        <v>368.29</v>
      </c>
      <c r="F89" s="33" t="n">
        <f aca="false">Storage!D18</f>
        <v>368.29</v>
      </c>
    </row>
    <row r="90" customFormat="false" ht="15" hidden="false" customHeight="false" outlineLevel="0" collapsed="false">
      <c r="B90" s="5" t="str">
        <f aca="false">Storage!B19</f>
        <v>1 - Buillding - Storage - 27.5yr</v>
      </c>
      <c r="D90" s="33" t="n">
        <f aca="false">SUM(F90:H90)</f>
        <v>12560.56</v>
      </c>
      <c r="H90" s="33" t="n">
        <f aca="false">Storage!D19</f>
        <v>12560.56</v>
      </c>
    </row>
    <row r="91" customFormat="false" ht="15" hidden="false" customHeight="false" outlineLevel="0" collapsed="false">
      <c r="B91" s="5" t="str">
        <f aca="false">Storage!B20</f>
        <v>5 - Building - Storage - 5yr</v>
      </c>
      <c r="D91" s="33" t="n">
        <f aca="false">SUM(F91:H91)</f>
        <v>0.67</v>
      </c>
      <c r="F91" s="33" t="n">
        <f aca="false">Storage!D20</f>
        <v>0.67</v>
      </c>
    </row>
    <row r="92" customFormat="false" ht="15" hidden="false" customHeight="false" outlineLevel="0" collapsed="false">
      <c r="B92" s="5" t="str">
        <f aca="false">Storage!B21</f>
        <v>5 - Building - Storage - 27.5yr</v>
      </c>
      <c r="D92" s="33" t="n">
        <f aca="false">SUM(F92:H92)</f>
        <v>22.88</v>
      </c>
      <c r="H92" s="33" t="n">
        <f aca="false">Storage!D21</f>
        <v>22.88</v>
      </c>
    </row>
    <row r="93" customFormat="false" ht="15" hidden="false" customHeight="false" outlineLevel="0" collapsed="false">
      <c r="B93" s="5" t="str">
        <f aca="false">Storage!B22</f>
        <v>3 - Land Improvements - Storage - 5yr</v>
      </c>
      <c r="D93" s="33" t="n">
        <f aca="false">SUM(F93:H93)</f>
        <v>34.74</v>
      </c>
      <c r="F93" s="33" t="n">
        <f aca="false">Storage!D22</f>
        <v>34.74</v>
      </c>
    </row>
    <row r="94" customFormat="false" ht="15" hidden="false" customHeight="false" outlineLevel="0" collapsed="false">
      <c r="B94" s="5" t="str">
        <f aca="false">Storage!B23</f>
        <v>3 - Land Improvements - Storage - 27.5yr</v>
      </c>
      <c r="D94" s="33" t="n">
        <f aca="false">SUM(F94:H94)</f>
        <v>1184.96</v>
      </c>
      <c r="H94" s="33" t="n">
        <f aca="false">Storage!D23</f>
        <v>1184.96</v>
      </c>
    </row>
    <row r="95" customFormat="false" ht="15" hidden="false" customHeight="false" outlineLevel="0" collapsed="false">
      <c r="B95" s="5" t="str">
        <f aca="false">Storage!B24</f>
        <v>4 - Equipment - Storage - 5yr</v>
      </c>
      <c r="D95" s="33" t="n">
        <f aca="false">SUM(F95:H95)</f>
        <v>62.94</v>
      </c>
      <c r="F95" s="33" t="n">
        <f aca="false">Storage!D24</f>
        <v>62.94</v>
      </c>
    </row>
    <row r="96" customFormat="false" ht="15" hidden="false" customHeight="false" outlineLevel="0" collapsed="false">
      <c r="B96" s="5" t="str">
        <f aca="false">Storage!B25</f>
        <v>4 - Equipment - Storage - 27.5yr</v>
      </c>
      <c r="D96" s="33" t="n">
        <f aca="false">SUM(F96:H96)</f>
        <v>2146.4</v>
      </c>
      <c r="H96" s="33" t="n">
        <f aca="false">Storage!D25</f>
        <v>2146.4</v>
      </c>
    </row>
    <row r="97" customFormat="false" ht="15" hidden="false" customHeight="false" outlineLevel="0" collapsed="false">
      <c r="B97" s="11" t="s">
        <v>159</v>
      </c>
      <c r="D97" s="34" t="n">
        <f aca="false">SUM(D89:D96)</f>
        <v>16381.44</v>
      </c>
      <c r="F97" s="34" t="n">
        <f aca="false">SUM(F89:F96)</f>
        <v>466.64</v>
      </c>
      <c r="H97" s="34" t="n">
        <f aca="false">SUM(H89:H96)</f>
        <v>15914.8</v>
      </c>
    </row>
    <row r="98" customFormat="false" ht="15" hidden="false" customHeight="false" outlineLevel="0" collapsed="false">
      <c r="B98" s="16" t="s">
        <v>160</v>
      </c>
      <c r="D98" s="17" t="n">
        <f aca="false">D97-D84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2026-07-17T19:11:06Z</dcterms:created>
  <dc:creator>openpyxl</dc:creator>
  <dc:description/>
  <dc:language>en-US</dc:language>
  <cp:lastModifiedBy/>
  <dcterms:modified xsi:type="dcterms:W3CDTF">2026-07-17T19:11:08Z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