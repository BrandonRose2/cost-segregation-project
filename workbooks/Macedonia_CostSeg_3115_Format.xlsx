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Office" sheetId="3" state="visible" r:id="rId5"/>
    <sheet name="A" sheetId="4" state="visible" r:id="rId6"/>
    <sheet name="B" sheetId="5" state="visible" r:id="rId7"/>
    <sheet name="C" sheetId="6" state="visible" r:id="rId8"/>
    <sheet name="D" sheetId="7" state="visible" r:id="rId9"/>
    <sheet name="E" sheetId="8" state="visible" r:id="rId10"/>
    <sheet name="F" sheetId="9" state="visible" r:id="rId11"/>
    <sheet name="G" sheetId="10" state="visible" r:id="rId12"/>
    <sheet name="H" sheetId="11" state="visible" r:id="rId13"/>
    <sheet name="I" sheetId="12" state="visible" r:id="rId14"/>
    <sheet name="J" sheetId="13" state="visible" r:id="rId15"/>
    <sheet name="K" sheetId="14" state="visible" r:id="rId16"/>
    <sheet name="L" sheetId="15" state="visible" r:id="rId17"/>
    <sheet name="M" sheetId="16" state="visible" r:id="rId18"/>
    <sheet name="Imp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<sst xmlns="http://schemas.openxmlformats.org/spreadsheetml/2006/main" count="4303" uniqueCount="197">
  <si>
    <t xml:space="preserve">Macedonia Apartments LLC</t>
  </si>
  <si>
    <t xml:space="preserve">Macedonia Apartments — 1722 W 17th St, Panama City, FL 32405</t>
  </si>
  <si>
    <t xml:space="preserve">EIN: 27-3618924    ·    FYE: December 31, 2024    ·    Year of Change: 1/1/2024</t>
  </si>
  <si>
    <t xml:space="preserve">Summary of Cost Segregation Adjustments — CSSI Report #107752-05 (CAM — DCN #7)</t>
  </si>
  <si>
    <t xml:space="preserve">Acq Date</t>
  </si>
  <si>
    <t xml:space="preserve">Asset Description</t>
  </si>
  <si>
    <t xml:space="preserve">Total</t>
  </si>
  <si>
    <t xml:space="preserve">Site</t>
  </si>
  <si>
    <t xml:space="preserve">Office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</si>
  <si>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</si>
  <si>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</si>
  <si>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</si>
  <si>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</si>
  <si>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</si>
  <si>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</si>
  <si>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</si>
  <si>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</si>
  <si>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</si>
  <si>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</si>
  <si>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</si>
  <si>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</si>
  <si>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</si>
  <si>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Imp</t>
  </si>
  <si>
    <t xml:space="preserve">5/12/11</t>
  </si>
  <si>
    <t xml:space="preserve">Building - Site</t>
  </si>
  <si>
    <t xml:space="preserve">5/31/22</t>
  </si>
  <si>
    <t xml:space="preserve">Building Improvements - Site</t>
  </si>
  <si>
    <t xml:space="preserve">7/01/23</t>
  </si>
  <si>
    <t xml:space="preserve">Land Improvements - Site</t>
  </si>
  <si>
    <t xml:space="preserve">Equipment - Site</t>
  </si>
  <si>
    <t xml:space="preserve">Building - Office</t>
  </si>
  <si>
    <t xml:space="preserve">Building Improvements - Office</t>
  </si>
  <si>
    <t xml:space="preserve">Land Improvements - Office</t>
  </si>
  <si>
    <t xml:space="preserve">Equipment - Office</t>
  </si>
  <si>
    <t xml:space="preserve">Building - Apt</t>
  </si>
  <si>
    <t xml:space="preserve">Building Improvements - Apt</t>
  </si>
  <si>
    <t xml:space="preserve">Land Improvements - Apt</t>
  </si>
  <si>
    <t xml:space="preserve">Equipment - Apt</t>
  </si>
  <si>
    <t xml:space="preserve">6/30/13</t>
  </si>
  <si>
    <t xml:space="preserve">Buidling Improvement</t>
  </si>
  <si>
    <t xml:space="preserve">6/30/14</t>
  </si>
  <si>
    <t xml:space="preserve">10/18/17</t>
  </si>
  <si>
    <t xml:space="preserve">Grand Total</t>
  </si>
  <si>
    <t xml:space="preserve">MACRS Reclassification</t>
  </si>
  <si>
    <t xml:space="preserve">Building - Site - 15yr</t>
  </si>
  <si>
    <t xml:space="preserve">Building - Site - 27.5yr</t>
  </si>
  <si>
    <t xml:space="preserve">Building Improvements - Site - 15yr</t>
  </si>
  <si>
    <t xml:space="preserve">Building Improvements - Site - 27.5yr</t>
  </si>
  <si>
    <t xml:space="preserve">Land Improvements - Site - 15yr</t>
  </si>
  <si>
    <t xml:space="preserve">Land Improvements - Site - 27.5yr</t>
  </si>
  <si>
    <t xml:space="preserve">Equipment - Site - 15yr</t>
  </si>
  <si>
    <t xml:space="preserve">Equipment - Site - 27.5yr</t>
  </si>
  <si>
    <t xml:space="preserve">Building - Office - 5yr</t>
  </si>
  <si>
    <t xml:space="preserve">Building - Office - 27.5yr</t>
  </si>
  <si>
    <t xml:space="preserve">Building Improvements - Office - 5yr</t>
  </si>
  <si>
    <t xml:space="preserve">Building Improvements - Office - 27.5yr</t>
  </si>
  <si>
    <t xml:space="preserve">Land Improvements - Office - 5yr</t>
  </si>
  <si>
    <t xml:space="preserve">Land Improvements - Office - 27.5yr</t>
  </si>
  <si>
    <t xml:space="preserve">Equipment - Office - 5yr</t>
  </si>
  <si>
    <t xml:space="preserve">Equipment - Office - 27.5yr</t>
  </si>
  <si>
    <t xml:space="preserve">Building - Apt - 5yr</t>
  </si>
  <si>
    <t xml:space="preserve">Building - Apt - 27.5yr</t>
  </si>
  <si>
    <t xml:space="preserve">Building Improvements - Apt - 5yr</t>
  </si>
  <si>
    <t xml:space="preserve">Building Improvements - Apt - 27.5yr</t>
  </si>
  <si>
    <t xml:space="preserve">Land Improvements - Apt - 5yr</t>
  </si>
  <si>
    <t xml:space="preserve">Land Improvements - Apt - 27.5yr</t>
  </si>
  <si>
    <t xml:space="preserve">Equipment - Apt - 5yr</t>
  </si>
  <si>
    <t xml:space="preserve">Equipment - Apt - 27.5yr</t>
  </si>
  <si>
    <t xml:space="preserve">Buidling Improvement - 5yr</t>
  </si>
  <si>
    <t xml:space="preserve">Buidling Improvement - 15yr</t>
  </si>
  <si>
    <t xml:space="preserve">Buidling Improvement - 27.5yr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</si>
  <si>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</si>
  <si>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</si>
  <si>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</si>
  <si>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</si>
  <si>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</si>
  <si>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</si>
  <si>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</si>
  <si>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</si>
  <si>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-220,443.79 (Regular Tax; AMT equals Regular Tax on every unit in this report).</t>
  </si>
  <si>
    <t xml:space="preserve">2. The CSSI schedules' printed Grand Total lines contain penny-level rounding versus their own asset rows; this workbook foots from the asset rows (-220,443.79) versus -220,443.87 per the report's stated per-unit adjustments (difference +0.08).</t>
  </si>
  <si>
    <t xml:space="preserve">2. DISCREPANCY: the CSSI Summary Sheet prints a total of -148,277.87, but its own line items sum to -220,443.79. Unit schedules are internally consistent; the printed total does not foot. Refer to CSSI for correction.</t>
  </si>
  <si>
    <t xml:space="preserve">4.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</si>
  <si>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5. All End Depreciation, Net Book Value, totals, and 481(a) cells are live formulas; asset-level inputs are transcribed from the CSSI PDF. The Difference and Check rows must remain zero after any edit.</t>
  </si>
  <si>
    <t xml:space="preserve">Site — Attachment to Form 3115 (DCN #7, Rev. Proc. 2024-23 §6.01)</t>
  </si>
  <si>
    <t xml:space="preserve">Source: CSSI Report #107752-05, "#107752-05_Macedonia Apartments, LLC - 3115 - combined R1.pdf"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</si>
  <si>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</si>
  <si>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</si>
  <si>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</si>
  <si>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</si>
  <si>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</si>
  <si>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</si>
  <si>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</si>
  <si>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</si>
  <si>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</si>
  <si>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</si>
  <si>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</si>
  <si>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</si>
  <si>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</si>
  <si>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</si>
  <si>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S/L</t>
  </si>
  <si>
    <t xml:space="preserve">27.5</t>
  </si>
  <si>
    <t xml:space="preserve">150DB</t>
  </si>
  <si>
    <t xml:space="preserve">15.0</t>
  </si>
  <si>
    <t xml:space="preserve">200DB</t>
  </si>
  <si>
    <t xml:space="preserve">5.0</t>
  </si>
  <si>
    <t xml:space="preserve">After Cost Segregation Correction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</si>
  <si>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</si>
  <si>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</si>
  <si>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</si>
  <si>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</si>
  <si>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</si>
  <si>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</si>
  <si>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</si>
  <si>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</si>
  <si>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</si>
  <si>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</si>
  <si>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Site Cost</t>
  </si>
  <si>
    <t xml:space="preserve">Site Improvements: 15 Year</t>
  </si>
  <si>
    <t xml:space="preserve">% of Cost</t>
  </si>
  <si>
    <t xml:space="preserve">Site Utilities: 27.5 Year</t>
  </si>
  <si>
    <t xml:space="preserve">COST SEGREGATION STUDY — COST DETAIL</t>
  </si>
  <si>
    <t xml:space="preserve">Property Category</t>
  </si>
  <si>
    <t xml:space="preserve">15 Year</t>
  </si>
  <si>
    <t xml:space="preserve">27.5 Year</t>
  </si>
  <si>
    <t xml:space="preserve">Site Work / Improvements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</si>
  <si>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</si>
  <si>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</si>
  <si>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</si>
  <si>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</si>
  <si>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 &amp; Flagpole</t>
  </si>
  <si>
    <t xml:space="preserve">Security Lighting Poles</t>
  </si>
  <si>
    <t xml:space="preserve">Exterior Fencing</t>
  </si>
  <si>
    <t xml:space="preserve">Dumpster Epads</t>
  </si>
  <si>
    <t xml:space="preserve">Retaining Walls</t>
  </si>
  <si>
    <t xml:space="preserve">Exterior Equipment Concrete Pads</t>
  </si>
  <si>
    <t xml:space="preserve">Mailboxes</t>
  </si>
  <si>
    <t xml:space="preserve">Site Utilities</t>
  </si>
  <si>
    <t xml:space="preserve">ASSET ALLOCATION (per After Cost Segregation schedule)</t>
  </si>
  <si>
    <t xml:space="preserve">Asset (as reclassified)</t>
  </si>
  <si>
    <t xml:space="preserve">Total Allocation</t>
  </si>
  <si>
    <t xml:space="preserve">Check: Allocation vs. Cost Detail (should be zero)</t>
  </si>
  <si>
    <t xml:space="preserve">Office — Attachment to Form 3115 (DCN #7, Rev. Proc. 2024-23 §6.01)</t>
  </si>
  <si>
    <t xml:space="preserve">Total Building Cost</t>
  </si>
  <si>
    <t xml:space="preserve">Building Components: 5 Year</t>
  </si>
  <si>
    <t xml:space="preserve">Building Structure: 27.5 Year</t>
  </si>
  <si>
    <t xml:space="preserve">5 Year</t>
  </si>
  <si>
    <t xml:space="preserve">Building Components</t>
  </si>
  <si>
    <t xml:space="preserve">Moldings</t>
  </si>
  <si>
    <t xml:space="preserve">Flooring - Vinyl Plank</t>
  </si>
  <si>
    <t xml:space="preserve">Specialty HVAC - Dryer Vents</t>
  </si>
  <si>
    <t xml:space="preserve">Specialty Electrical - Appliances</t>
  </si>
  <si>
    <t xml:space="preserve">Communication / Data</t>
  </si>
  <si>
    <t xml:space="preserve">Specialty Plumbing - Laundry</t>
  </si>
  <si>
    <t xml:space="preserve">Security / Exterior Lighting</t>
  </si>
  <si>
    <t xml:space="preserve">Canopies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</si>
  <si>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</si>
  <si>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</si>
  <si>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</si>
  <si>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</si>
  <si>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</si>
  <si>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</si>
  <si>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</si>
  <si>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</si>
  <si>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</si>
  <si>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</si>
  <si>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</si>
  <si>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</si>
  <si>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</si>
  <si>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</si>
  <si>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</si>
  <si>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Emergency Lighting</t>
  </si>
  <si>
    <t xml:space="preserve">Structural Framing</t>
  </si>
  <si>
    <t xml:space="preserve">Garage Doors</t>
  </si>
  <si>
    <t xml:space="preserve">Flooring - Sealed Concrete</t>
  </si>
  <si>
    <t xml:space="preserve">Bathroom Accessories</t>
  </si>
  <si>
    <t xml:space="preserve">A — Attachment to Form 3115 (DCN #7, Rev. Proc. 2024-23 §6.01)</t>
  </si>
  <si>
    <t xml:space="preserve">Cabinets / Millwork</t>
  </si>
  <si>
    <t xml:space="preserve">Window Treatments</t>
  </si>
  <si>
    <t xml:space="preserve">Building Signage</t>
  </si>
  <si>
    <t xml:space="preserve">Specialty Plumbing - Kitchen Sinks</t>
  </si>
  <si>
    <t xml:space="preserve">Stairs / Balconies</t>
  </si>
  <si>
    <t xml:space="preserve">Cabinets / Millwork - Restrooms</t>
  </si>
  <si>
    <t xml:space="preserve">B — Attachment to Form 3115 (DCN #7, Rev. Proc. 2024-23 §6.01)</t>
  </si>
  <si>
    <t xml:space="preserve">C — Attachment to Form 3115 (DCN #7, Rev. Proc. 2024-23 §6.01)</t>
  </si>
  <si>
    <t xml:space="preserve">D — Attachment to Form 3115 (DCN #7, Rev. Proc. 2024-23 §6.01)</t>
  </si>
  <si>
    <t xml:space="preserve">E — Attachment to Form 3115 (DCN #7, Rev. Proc. 2024-23 §6.01)</t>
  </si>
  <si>
    <t xml:space="preserve">F — Attachment to Form 3115 (DCN #7, Rev. Proc. 2024-23 §6.01)</t>
  </si>
  <si>
    <t xml:space="preserve">G — Attachment to Form 3115 (DCN #7, Rev. Proc. 2024-23 §6.01)</t>
  </si>
  <si>
    <t xml:space="preserve">H — Attachment to Form 3115 (DCN #7, Rev. Proc. 2024-23 §6.01)</t>
  </si>
  <si>
    <t xml:space="preserve">I — Attachment to Form 3115 (DCN #7, Rev. Proc. 2024-23 §6.01)</t>
  </si>
  <si>
    <t xml:space="preserve">J — Attachment to Form 3115 (DCN #7, Rev. Proc. 2024-23 §6.01)</t>
  </si>
  <si>
    <t xml:space="preserve">K — Attachment to Form 3115 (DCN #7, Rev. Proc. 2024-23 §6.01)</t>
  </si>
  <si>
    <t xml:space="preserve">L — Attachment to Form 3115 (DCN #7, Rev. Proc. 2024-23 §6.01)</t>
  </si>
  <si>
    <t xml:space="preserve">M — Attachment to Form 3115 (DCN #7, Rev. Proc. 2024-23 §6.01)</t>
  </si>
  <si>
    <t xml:space="preserve">Imp — Attachment to Form 3115 (DCN #7, Rev. Proc. 2024-23 §6.01)</t>
  </si>
  <si>
    <t xml:space="preserve">Security System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</si>
</sst>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19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</row>
    <row r="8" customFormat="false" ht="15" hidden="false" customHeight="false" outlineLevel="0" collapsed="false">
      <c r="A8" s="5" t="s">
        <v>23</v>
      </c>
      <c r="B8" s="5" t="s">
        <v>24</v>
      </c>
      <c r="C8" s="6" t="n">
        <f aca="false">SUM(D8:S8)</f>
        <v>142802.44</v>
      </c>
      <c r="D8" s="6" t="n">
        <f aca="false">Site!$D$10</f>
        <v>142802.44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customFormat="false" ht="15" hidden="false" customHeight="false" outlineLevel="0" collapsed="false">
      <c r="A9" s="5" t="s">
        <v>25</v>
      </c>
      <c r="B9" s="5" t="s">
        <v>26</v>
      </c>
      <c r="C9" s="6" t="n">
        <f aca="false">SUM(D9:S9)</f>
        <v>440052.61</v>
      </c>
      <c r="D9" s="6" t="n">
        <f aca="false">Site!$D$11</f>
        <v>440052.61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customFormat="false" ht="15" hidden="false" customHeight="false" outlineLevel="0" collapsed="false">
      <c r="A10" s="5" t="s">
        <v>27</v>
      </c>
      <c r="B10" s="5" t="s">
        <v>26</v>
      </c>
      <c r="C10" s="6" t="n">
        <f aca="false">SUM(D10:S10)</f>
        <v>2396.64</v>
      </c>
      <c r="D10" s="6" t="n">
        <f aca="false">Site!$D$12</f>
        <v>2396.64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customFormat="false" ht="15" hidden="false" customHeight="false" outlineLevel="0" collapsed="false">
      <c r="A11" s="5" t="s">
        <v>23</v>
      </c>
      <c r="B11" s="5" t="s">
        <v>28</v>
      </c>
      <c r="C11" s="6" t="n">
        <f aca="false">SUM(D11:S11)</f>
        <v>34976.58</v>
      </c>
      <c r="D11" s="6" t="n">
        <f aca="false">Site!$D$13</f>
        <v>34976.58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5" hidden="false" customHeight="false" outlineLevel="0" collapsed="false">
      <c r="A12" s="5" t="s">
        <v>25</v>
      </c>
      <c r="B12" s="5" t="s">
        <v>28</v>
      </c>
      <c r="C12" s="6" t="n">
        <f aca="false">SUM(D12:S12)</f>
        <v>70357.38</v>
      </c>
      <c r="D12" s="6" t="n">
        <f aca="false">Site!$D$14</f>
        <v>70357.38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customFormat="false" ht="15" hidden="false" customHeight="false" outlineLevel="0" collapsed="false">
      <c r="A13" s="5" t="s">
        <v>25</v>
      </c>
      <c r="B13" s="5" t="s">
        <v>29</v>
      </c>
      <c r="C13" s="6" t="n">
        <f aca="false">SUM(D13:S13)</f>
        <v>108447.32</v>
      </c>
      <c r="D13" s="6" t="n">
        <f aca="false">Site!$D$15</f>
        <v>108447.32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customFormat="false" ht="15" hidden="false" customHeight="false" outlineLevel="0" collapsed="false">
      <c r="A14" s="5" t="s">
        <v>23</v>
      </c>
      <c r="B14" s="5" t="s">
        <v>30</v>
      </c>
      <c r="C14" s="6" t="n">
        <f aca="false">SUM(D14:S14)</f>
        <v>29464.18</v>
      </c>
      <c r="D14" s="6"/>
      <c r="E14" s="6" t="n">
        <f aca="false">Office!$D$10</f>
        <v>29464.18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customFormat="false" ht="15" hidden="false" customHeight="false" outlineLevel="0" collapsed="false">
      <c r="A15" s="5" t="s">
        <v>25</v>
      </c>
      <c r="B15" s="5" t="s">
        <v>31</v>
      </c>
      <c r="C15" s="6" t="n">
        <f aca="false">SUM(D15:S15)</f>
        <v>90795.27</v>
      </c>
      <c r="D15" s="6"/>
      <c r="E15" s="6" t="n">
        <f aca="false">Office!$D$11</f>
        <v>90795.27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customFormat="false" ht="15" hidden="false" customHeight="false" outlineLevel="0" collapsed="false">
      <c r="A16" s="5" t="s">
        <v>27</v>
      </c>
      <c r="B16" s="5" t="s">
        <v>31</v>
      </c>
      <c r="C16" s="6" t="n">
        <f aca="false">SUM(D16:S16)</f>
        <v>494.5</v>
      </c>
      <c r="D16" s="6"/>
      <c r="E16" s="6" t="n">
        <f aca="false">Office!$D$12</f>
        <v>494.5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customFormat="false" ht="15" hidden="false" customHeight="false" outlineLevel="0" collapsed="false">
      <c r="A17" s="5" t="s">
        <v>23</v>
      </c>
      <c r="B17" s="5" t="s">
        <v>32</v>
      </c>
      <c r="C17" s="6" t="n">
        <f aca="false">SUM(D17:S17)</f>
        <v>7216.65</v>
      </c>
      <c r="D17" s="6"/>
      <c r="E17" s="6" t="n">
        <f aca="false">Office!$D$13</f>
        <v>7216.65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customFormat="false" ht="15" hidden="false" customHeight="false" outlineLevel="0" collapsed="false">
      <c r="A18" s="5" t="s">
        <v>25</v>
      </c>
      <c r="B18" s="5" t="s">
        <v>32</v>
      </c>
      <c r="C18" s="6" t="n">
        <f aca="false">SUM(D18:S18)</f>
        <v>14516.71</v>
      </c>
      <c r="D18" s="6"/>
      <c r="E18" s="6" t="n">
        <f aca="false">Office!$D$14</f>
        <v>14516.71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customFormat="false" ht="15" hidden="false" customHeight="false" outlineLevel="0" collapsed="false">
      <c r="A19" s="5" t="s">
        <v>25</v>
      </c>
      <c r="B19" s="5" t="s">
        <v>33</v>
      </c>
      <c r="C19" s="6" t="n">
        <f aca="false">SUM(D19:S19)</f>
        <v>22375.75</v>
      </c>
      <c r="D19" s="6"/>
      <c r="E19" s="6" t="n">
        <f aca="false">Office!$D$15</f>
        <v>22375.75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customFormat="false" ht="15" hidden="false" customHeight="false" outlineLevel="0" collapsed="false">
      <c r="A20" s="5" t="s">
        <v>23</v>
      </c>
      <c r="B20" s="5" t="s">
        <v>34</v>
      </c>
      <c r="C20" s="6" t="n">
        <f aca="false">SUM(D20:S20)</f>
        <v>1144524.38</v>
      </c>
      <c r="D20" s="6"/>
      <c r="E20" s="6"/>
      <c r="F20" s="6" t="n">
        <f aca="false">A!$D$10</f>
        <v>92190.66</v>
      </c>
      <c r="G20" s="6" t="n">
        <f aca="false">B!$D$10</f>
        <v>92190.66</v>
      </c>
      <c r="H20" s="6" t="n">
        <f aca="false">C!$D$10</f>
        <v>92190.66</v>
      </c>
      <c r="I20" s="6" t="n">
        <f aca="false">D!$D$10</f>
        <v>92190.66</v>
      </c>
      <c r="J20" s="6" t="n">
        <f aca="false">E!$D$10</f>
        <v>92190.66</v>
      </c>
      <c r="K20" s="6" t="n">
        <f aca="false">F!$D$10</f>
        <v>92190.66</v>
      </c>
      <c r="L20" s="6" t="n">
        <f aca="false">G!$D$10</f>
        <v>92190.66</v>
      </c>
      <c r="M20" s="6" t="n">
        <f aca="false">H!$D$10</f>
        <v>92190.66</v>
      </c>
      <c r="N20" s="6" t="n">
        <f aca="false">I!$D$10</f>
        <v>92190.66</v>
      </c>
      <c r="O20" s="6" t="n">
        <f aca="false">J!$D$10</f>
        <v>78702.11</v>
      </c>
      <c r="P20" s="6" t="n">
        <f aca="false">K!$D$10</f>
        <v>78702.11</v>
      </c>
      <c r="Q20" s="6" t="n">
        <f aca="false">L!$D$10</f>
        <v>78702.11</v>
      </c>
      <c r="R20" s="6" t="n">
        <f aca="false">M!$D$10</f>
        <v>78702.11</v>
      </c>
      <c r="S20" s="6"/>
    </row>
    <row r="21" customFormat="false" ht="15" hidden="false" customHeight="false" outlineLevel="0" collapsed="false">
      <c r="A21" s="5" t="s">
        <v>25</v>
      </c>
      <c r="B21" s="5" t="s">
        <v>35</v>
      </c>
      <c r="C21" s="6" t="n">
        <f aca="false">SUM(D21:S21)</f>
        <v>3526906.12</v>
      </c>
      <c r="D21" s="6"/>
      <c r="E21" s="6"/>
      <c r="F21" s="6" t="n">
        <f aca="false">A!$D$11</f>
        <v>284089.88</v>
      </c>
      <c r="G21" s="6" t="n">
        <f aca="false">B!$D$11</f>
        <v>284089.88</v>
      </c>
      <c r="H21" s="6" t="n">
        <f aca="false">C!$D$11</f>
        <v>284089.88</v>
      </c>
      <c r="I21" s="6" t="n">
        <f aca="false">D!$D$11</f>
        <v>284089.88</v>
      </c>
      <c r="J21" s="6" t="n">
        <f aca="false">E!$D$11</f>
        <v>284089.88</v>
      </c>
      <c r="K21" s="6" t="n">
        <f aca="false">F!$D$11</f>
        <v>284089.88</v>
      </c>
      <c r="L21" s="6" t="n">
        <f aca="false">G!$D$11</f>
        <v>284089.88</v>
      </c>
      <c r="M21" s="6" t="n">
        <f aca="false">H!$D$11</f>
        <v>284089.88</v>
      </c>
      <c r="N21" s="6" t="n">
        <f aca="false">I!$D$11</f>
        <v>284089.88</v>
      </c>
      <c r="O21" s="6" t="n">
        <f aca="false">J!$D$11</f>
        <v>242524.3</v>
      </c>
      <c r="P21" s="6" t="n">
        <f aca="false">K!$D$11</f>
        <v>242524.3</v>
      </c>
      <c r="Q21" s="6" t="n">
        <f aca="false">L!$D$11</f>
        <v>242524.3</v>
      </c>
      <c r="R21" s="6" t="n">
        <f aca="false">M!$D$11</f>
        <v>242524.3</v>
      </c>
      <c r="S21" s="6"/>
    </row>
    <row r="22" customFormat="false" ht="15" hidden="false" customHeight="false" outlineLevel="0" collapsed="false">
      <c r="A22" s="5" t="s">
        <v>27</v>
      </c>
      <c r="B22" s="5" t="s">
        <v>35</v>
      </c>
      <c r="C22" s="6" t="n">
        <f aca="false">SUM(D22:S22)</f>
        <v>19208.86</v>
      </c>
      <c r="D22" s="6"/>
      <c r="E22" s="6"/>
      <c r="F22" s="6" t="n">
        <f aca="false">A!$D$12</f>
        <v>1547.26</v>
      </c>
      <c r="G22" s="6" t="n">
        <f aca="false">B!$D$12</f>
        <v>1547.26</v>
      </c>
      <c r="H22" s="6" t="n">
        <f aca="false">C!$D$12</f>
        <v>1547.26</v>
      </c>
      <c r="I22" s="6" t="n">
        <f aca="false">D!$D$12</f>
        <v>1547.26</v>
      </c>
      <c r="J22" s="6" t="n">
        <f aca="false">E!$D$12</f>
        <v>1547.26</v>
      </c>
      <c r="K22" s="6" t="n">
        <f aca="false">F!$D$12</f>
        <v>1547.26</v>
      </c>
      <c r="L22" s="6" t="n">
        <f aca="false">G!$D$12</f>
        <v>1547.26</v>
      </c>
      <c r="M22" s="6" t="n">
        <f aca="false">H!$D$12</f>
        <v>1547.26</v>
      </c>
      <c r="N22" s="6" t="n">
        <f aca="false">I!$D$12</f>
        <v>1547.26</v>
      </c>
      <c r="O22" s="6" t="n">
        <f aca="false">J!$D$12</f>
        <v>1320.88</v>
      </c>
      <c r="P22" s="6" t="n">
        <f aca="false">K!$D$12</f>
        <v>1320.88</v>
      </c>
      <c r="Q22" s="6" t="n">
        <f aca="false">L!$D$12</f>
        <v>1320.88</v>
      </c>
      <c r="R22" s="6" t="n">
        <f aca="false">M!$D$12</f>
        <v>1320.88</v>
      </c>
      <c r="S22" s="6"/>
    </row>
    <row r="23" customFormat="false" ht="15" hidden="false" customHeight="false" outlineLevel="0" collapsed="false">
      <c r="A23" s="5" t="s">
        <v>23</v>
      </c>
      <c r="B23" s="5" t="s">
        <v>36</v>
      </c>
      <c r="C23" s="6" t="n">
        <f aca="false">SUM(D23:S23)</f>
        <v>280327.77</v>
      </c>
      <c r="D23" s="6"/>
      <c r="E23" s="6"/>
      <c r="F23" s="6" t="n">
        <f aca="false">A!$D$13</f>
        <v>22580.21</v>
      </c>
      <c r="G23" s="6" t="n">
        <f aca="false">B!$D$13</f>
        <v>22580.21</v>
      </c>
      <c r="H23" s="6" t="n">
        <f aca="false">C!$D$13</f>
        <v>22580.21</v>
      </c>
      <c r="I23" s="6" t="n">
        <f aca="false">D!$D$13</f>
        <v>22580.21</v>
      </c>
      <c r="J23" s="6" t="n">
        <f aca="false">E!$D$13</f>
        <v>22580.21</v>
      </c>
      <c r="K23" s="6" t="n">
        <f aca="false">F!$D$13</f>
        <v>22580.21</v>
      </c>
      <c r="L23" s="6" t="n">
        <f aca="false">G!$D$13</f>
        <v>22580.21</v>
      </c>
      <c r="M23" s="6" t="n">
        <f aca="false">H!$D$13</f>
        <v>22580.21</v>
      </c>
      <c r="N23" s="6" t="n">
        <f aca="false">I!$D$13</f>
        <v>22580.21</v>
      </c>
      <c r="O23" s="6" t="n">
        <f aca="false">J!$D$13</f>
        <v>19276.47</v>
      </c>
      <c r="P23" s="6" t="n">
        <f aca="false">K!$D$13</f>
        <v>19276.47</v>
      </c>
      <c r="Q23" s="6" t="n">
        <f aca="false">L!$D$13</f>
        <v>19276.47</v>
      </c>
      <c r="R23" s="6" t="n">
        <f aca="false">M!$D$13</f>
        <v>19276.47</v>
      </c>
      <c r="S23" s="6"/>
    </row>
    <row r="24" customFormat="false" ht="15" hidden="false" customHeight="false" outlineLevel="0" collapsed="false">
      <c r="A24" s="5" t="s">
        <v>25</v>
      </c>
      <c r="B24" s="5" t="s">
        <v>36</v>
      </c>
      <c r="C24" s="6" t="n">
        <f aca="false">SUM(D24:S24)</f>
        <v>563895.91</v>
      </c>
      <c r="D24" s="6"/>
      <c r="E24" s="6"/>
      <c r="F24" s="6" t="n">
        <f aca="false">A!$D$14</f>
        <v>45421.43</v>
      </c>
      <c r="G24" s="6" t="n">
        <f aca="false">B!$D$14</f>
        <v>45421.43</v>
      </c>
      <c r="H24" s="6" t="n">
        <f aca="false">C!$D$14</f>
        <v>45421.43</v>
      </c>
      <c r="I24" s="6" t="n">
        <f aca="false">D!$D$14</f>
        <v>45421.43</v>
      </c>
      <c r="J24" s="6" t="n">
        <f aca="false">E!$D$14</f>
        <v>45421.43</v>
      </c>
      <c r="K24" s="6" t="n">
        <f aca="false">F!$D$14</f>
        <v>45421.43</v>
      </c>
      <c r="L24" s="6" t="n">
        <f aca="false">G!$D$14</f>
        <v>45421.43</v>
      </c>
      <c r="M24" s="6" t="n">
        <f aca="false">H!$D$14</f>
        <v>45421.43</v>
      </c>
      <c r="N24" s="6" t="n">
        <f aca="false">I!$D$14</f>
        <v>45421.43</v>
      </c>
      <c r="O24" s="6" t="n">
        <f aca="false">J!$D$14</f>
        <v>38775.76</v>
      </c>
      <c r="P24" s="6" t="n">
        <f aca="false">K!$D$14</f>
        <v>38775.76</v>
      </c>
      <c r="Q24" s="6" t="n">
        <f aca="false">L!$D$14</f>
        <v>38775.76</v>
      </c>
      <c r="R24" s="6" t="n">
        <f aca="false">M!$D$14</f>
        <v>38775.76</v>
      </c>
      <c r="S24" s="6"/>
    </row>
    <row r="25" customFormat="false" ht="15" hidden="false" customHeight="false" outlineLevel="0" collapsed="false">
      <c r="A25" s="5" t="s">
        <v>25</v>
      </c>
      <c r="B25" s="5" t="s">
        <v>37</v>
      </c>
      <c r="C25" s="6" t="n">
        <f aca="false">SUM(D25:S25)</f>
        <v>869176.93</v>
      </c>
      <c r="D25" s="6"/>
      <c r="E25" s="6"/>
      <c r="F25" s="6" t="n">
        <f aca="false">A!$D$15</f>
        <v>70011.61</v>
      </c>
      <c r="G25" s="6" t="n">
        <f aca="false">B!$D$15</f>
        <v>70011.61</v>
      </c>
      <c r="H25" s="6" t="n">
        <f aca="false">C!$D$15</f>
        <v>70011.61</v>
      </c>
      <c r="I25" s="6" t="n">
        <f aca="false">D!$D$15</f>
        <v>70011.61</v>
      </c>
      <c r="J25" s="6" t="n">
        <f aca="false">E!$D$15</f>
        <v>70011.61</v>
      </c>
      <c r="K25" s="6" t="n">
        <f aca="false">F!$D$15</f>
        <v>70011.61</v>
      </c>
      <c r="L25" s="6" t="n">
        <f aca="false">G!$D$15</f>
        <v>70011.61</v>
      </c>
      <c r="M25" s="6" t="n">
        <f aca="false">H!$D$15</f>
        <v>70011.61</v>
      </c>
      <c r="N25" s="6" t="n">
        <f aca="false">I!$D$15</f>
        <v>70011.61</v>
      </c>
      <c r="O25" s="6" t="n">
        <f aca="false">J!$D$15</f>
        <v>59768.11</v>
      </c>
      <c r="P25" s="6" t="n">
        <f aca="false">K!$D$15</f>
        <v>59768.11</v>
      </c>
      <c r="Q25" s="6" t="n">
        <f aca="false">L!$D$15</f>
        <v>59768.11</v>
      </c>
      <c r="R25" s="6" t="n">
        <f aca="false">M!$D$15</f>
        <v>59768.11</v>
      </c>
      <c r="S25" s="6"/>
    </row>
    <row r="26" customFormat="false" ht="15" hidden="false" customHeight="false" outlineLevel="0" collapsed="false">
      <c r="A26" s="5" t="s">
        <v>38</v>
      </c>
      <c r="B26" s="5" t="s">
        <v>39</v>
      </c>
      <c r="C26" s="6" t="n">
        <f aca="false">SUM(D26:S26)</f>
        <v>68710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 t="n">
        <f aca="false">Imp!$D$10</f>
        <v>68710</v>
      </c>
    </row>
    <row r="27" customFormat="false" ht="15" hidden="false" customHeight="false" outlineLevel="0" collapsed="false">
      <c r="A27" s="5" t="s">
        <v>40</v>
      </c>
      <c r="B27" s="5" t="s">
        <v>39</v>
      </c>
      <c r="C27" s="6" t="n">
        <f aca="false">SUM(D27:S27)</f>
        <v>5854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 t="n">
        <f aca="false">Imp!$D$11</f>
        <v>5854</v>
      </c>
    </row>
    <row r="28" customFormat="false" ht="15" hidden="false" customHeight="false" outlineLevel="0" collapsed="false">
      <c r="A28" s="5" t="s">
        <v>41</v>
      </c>
      <c r="B28" s="5" t="s">
        <v>39</v>
      </c>
      <c r="C28" s="6" t="n">
        <f aca="false">SUM(D28:S28)</f>
        <v>118173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 t="n">
        <f aca="false">Imp!$D$12</f>
        <v>118173</v>
      </c>
    </row>
    <row r="29" customFormat="false" ht="15" hidden="false" customHeight="false" outlineLevel="0" collapsed="false">
      <c r="A29" s="7"/>
      <c r="B29" s="8" t="s">
        <v>42</v>
      </c>
      <c r="C29" s="9" t="n">
        <f aca="false">SUM(C8:C28)</f>
        <v>7560673</v>
      </c>
      <c r="D29" s="9" t="n">
        <f aca="false">SUM(D8:D28)</f>
        <v>799032.97</v>
      </c>
      <c r="E29" s="9" t="n">
        <f aca="false">SUM(E8:E28)</f>
        <v>164863.06</v>
      </c>
      <c r="F29" s="9" t="n">
        <f aca="false">SUM(F8:F28)</f>
        <v>515841.05</v>
      </c>
      <c r="G29" s="9" t="n">
        <f aca="false">SUM(G8:G28)</f>
        <v>515841.05</v>
      </c>
      <c r="H29" s="9" t="n">
        <f aca="false">SUM(H8:H28)</f>
        <v>515841.05</v>
      </c>
      <c r="I29" s="9" t="n">
        <f aca="false">SUM(I8:I28)</f>
        <v>515841.05</v>
      </c>
      <c r="J29" s="9" t="n">
        <f aca="false">SUM(J8:J28)</f>
        <v>515841.05</v>
      </c>
      <c r="K29" s="9" t="n">
        <f aca="false">SUM(K8:K28)</f>
        <v>515841.05</v>
      </c>
      <c r="L29" s="9" t="n">
        <f aca="false">SUM(L8:L28)</f>
        <v>515841.05</v>
      </c>
      <c r="M29" s="9" t="n">
        <f aca="false">SUM(M8:M28)</f>
        <v>515841.05</v>
      </c>
      <c r="N29" s="9" t="n">
        <f aca="false">SUM(N8:N28)</f>
        <v>515841.05</v>
      </c>
      <c r="O29" s="9" t="n">
        <f aca="false">SUM(O8:O28)</f>
        <v>440367.63</v>
      </c>
      <c r="P29" s="9" t="n">
        <f aca="false">SUM(P8:P28)</f>
        <v>440367.63</v>
      </c>
      <c r="Q29" s="9" t="n">
        <f aca="false">SUM(Q8:Q28)</f>
        <v>440367.63</v>
      </c>
      <c r="R29" s="9" t="n">
        <f aca="false">SUM(R8:R28)</f>
        <v>440367.63</v>
      </c>
      <c r="S29" s="9" t="n">
        <f aca="false">SUM(S8:S28)</f>
        <v>192737</v>
      </c>
    </row>
    <row r="31" customFormat="false" ht="15" hidden="false" customHeight="false" outlineLevel="0" collapsed="false">
      <c r="B31" s="10" t="s">
        <v>43</v>
      </c>
    </row>
    <row r="32" customFormat="false" ht="15" hidden="false" customHeight="false" outlineLevel="0" collapsed="false">
      <c r="A32" s="5" t="s">
        <v>23</v>
      </c>
      <c r="B32" s="5" t="s">
        <v>44</v>
      </c>
      <c r="C32" s="6" t="n">
        <f aca="false">SUM(D32:S32)</f>
        <v>91941.42</v>
      </c>
      <c r="D32" s="6" t="n">
        <f aca="false">Site!$D$20</f>
        <v>91941.42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customFormat="false" ht="15" hidden="false" customHeight="false" outlineLevel="0" collapsed="false">
      <c r="A33" s="5" t="s">
        <v>23</v>
      </c>
      <c r="B33" s="5" t="s">
        <v>45</v>
      </c>
      <c r="C33" s="6" t="n">
        <f aca="false">SUM(D33:S33)</f>
        <v>50861.02</v>
      </c>
      <c r="D33" s="6" t="n">
        <f aca="false">Site!$D$21</f>
        <v>50861.02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customFormat="false" ht="15" hidden="false" customHeight="false" outlineLevel="0" collapsed="false">
      <c r="A34" s="5" t="s">
        <v>25</v>
      </c>
      <c r="B34" s="5" t="s">
        <v>46</v>
      </c>
      <c r="C34" s="6" t="n">
        <f aca="false">SUM(D34:S34)</f>
        <v>283321.93</v>
      </c>
      <c r="D34" s="6" t="n">
        <f aca="false">Site!$D$22</f>
        <v>283321.93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customFormat="false" ht="15" hidden="false" customHeight="false" outlineLevel="0" collapsed="false">
      <c r="A35" s="5" t="s">
        <v>25</v>
      </c>
      <c r="B35" s="5" t="s">
        <v>47</v>
      </c>
      <c r="C35" s="6" t="n">
        <f aca="false">SUM(D35:S35)</f>
        <v>156730.68</v>
      </c>
      <c r="D35" s="6" t="n">
        <f aca="false">Site!$D$23</f>
        <v>156730.68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customFormat="false" ht="15" hidden="false" customHeight="false" outlineLevel="0" collapsed="false">
      <c r="A36" s="5" t="s">
        <v>27</v>
      </c>
      <c r="B36" s="5" t="s">
        <v>46</v>
      </c>
      <c r="C36" s="6" t="n">
        <f aca="false">SUM(D36:S36)</f>
        <v>1543.04</v>
      </c>
      <c r="D36" s="6" t="n">
        <f aca="false">Site!$D$24</f>
        <v>1543.04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customFormat="false" ht="15" hidden="false" customHeight="false" outlineLevel="0" collapsed="false">
      <c r="A37" s="5" t="s">
        <v>27</v>
      </c>
      <c r="B37" s="5" t="s">
        <v>47</v>
      </c>
      <c r="C37" s="6" t="n">
        <f aca="false">SUM(D37:S37)</f>
        <v>853.6</v>
      </c>
      <c r="D37" s="6" t="n">
        <f aca="false">Site!$D$25</f>
        <v>853.6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customFormat="false" ht="15" hidden="false" customHeight="false" outlineLevel="0" collapsed="false">
      <c r="A38" s="5" t="s">
        <v>23</v>
      </c>
      <c r="B38" s="5" t="s">
        <v>48</v>
      </c>
      <c r="C38" s="6" t="n">
        <f aca="false">SUM(D38:S38)</f>
        <v>22519.2</v>
      </c>
      <c r="D38" s="6" t="n">
        <f aca="false">Site!$D$26</f>
        <v>22519.2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customFormat="false" ht="15" hidden="false" customHeight="false" outlineLevel="0" collapsed="false">
      <c r="A39" s="5" t="s">
        <v>23</v>
      </c>
      <c r="B39" s="5" t="s">
        <v>49</v>
      </c>
      <c r="C39" s="6" t="n">
        <f aca="false">SUM(D39:S39)</f>
        <v>12457.38</v>
      </c>
      <c r="D39" s="6" t="n">
        <f aca="false">Site!$D$27</f>
        <v>12457.38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customFormat="false" ht="15" hidden="false" customHeight="false" outlineLevel="0" collapsed="false">
      <c r="A40" s="5" t="s">
        <v>25</v>
      </c>
      <c r="B40" s="5" t="s">
        <v>48</v>
      </c>
      <c r="C40" s="6" t="n">
        <f aca="false">SUM(D40:S40)</f>
        <v>45298.65</v>
      </c>
      <c r="D40" s="6" t="n">
        <f aca="false">Site!$D$28</f>
        <v>45298.65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customFormat="false" ht="15" hidden="false" customHeight="false" outlineLevel="0" collapsed="false">
      <c r="A41" s="5" t="s">
        <v>25</v>
      </c>
      <c r="B41" s="5" t="s">
        <v>49</v>
      </c>
      <c r="C41" s="6" t="n">
        <f aca="false">SUM(D41:S41)</f>
        <v>25058.73</v>
      </c>
      <c r="D41" s="6" t="n">
        <f aca="false">Site!$D$29</f>
        <v>25058.73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customFormat="false" ht="15" hidden="false" customHeight="false" outlineLevel="0" collapsed="false">
      <c r="A42" s="5" t="s">
        <v>25</v>
      </c>
      <c r="B42" s="5" t="s">
        <v>50</v>
      </c>
      <c r="C42" s="6" t="n">
        <f aca="false">SUM(D42:S42)</f>
        <v>69822.35</v>
      </c>
      <c r="D42" s="6" t="n">
        <f aca="false">Site!$D$30</f>
        <v>69822.35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customFormat="false" ht="15" hidden="false" customHeight="false" outlineLevel="0" collapsed="false">
      <c r="A43" s="5" t="s">
        <v>25</v>
      </c>
      <c r="B43" s="5" t="s">
        <v>51</v>
      </c>
      <c r="C43" s="6" t="n">
        <f aca="false">SUM(D43:S43)</f>
        <v>38624.97</v>
      </c>
      <c r="D43" s="6" t="n">
        <f aca="false">Site!$D$31</f>
        <v>38624.97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customFormat="false" ht="15" hidden="false" customHeight="false" outlineLevel="0" collapsed="false">
      <c r="A44" s="5" t="s">
        <v>23</v>
      </c>
      <c r="B44" s="5" t="s">
        <v>52</v>
      </c>
      <c r="C44" s="6" t="n">
        <f aca="false">SUM(D44:S44)</f>
        <v>4304.14</v>
      </c>
      <c r="D44" s="6"/>
      <c r="E44" s="6" t="n">
        <f aca="false">Office!$D$20</f>
        <v>4304.14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customFormat="false" ht="15" hidden="false" customHeight="false" outlineLevel="0" collapsed="false">
      <c r="A45" s="5" t="s">
        <v>23</v>
      </c>
      <c r="B45" s="5" t="s">
        <v>53</v>
      </c>
      <c r="C45" s="6" t="n">
        <f aca="false">SUM(D45:S45)</f>
        <v>25160.04</v>
      </c>
      <c r="D45" s="6"/>
      <c r="E45" s="6" t="n">
        <f aca="false">Office!$D$21</f>
        <v>25160.04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customFormat="false" ht="15" hidden="false" customHeight="false" outlineLevel="0" collapsed="false">
      <c r="A46" s="5" t="s">
        <v>25</v>
      </c>
      <c r="B46" s="5" t="s">
        <v>54</v>
      </c>
      <c r="C46" s="6" t="n">
        <f aca="false">SUM(D46:S46)</f>
        <v>13263.4</v>
      </c>
      <c r="D46" s="6"/>
      <c r="E46" s="6" t="n">
        <f aca="false">Office!$D$22</f>
        <v>13263.4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customFormat="false" ht="15" hidden="false" customHeight="false" outlineLevel="0" collapsed="false">
      <c r="A47" s="5" t="s">
        <v>25</v>
      </c>
      <c r="B47" s="5" t="s">
        <v>55</v>
      </c>
      <c r="C47" s="6" t="n">
        <f aca="false">SUM(D47:S47)</f>
        <v>77531.87</v>
      </c>
      <c r="D47" s="6"/>
      <c r="E47" s="6" t="n">
        <f aca="false">Office!$D$23</f>
        <v>77531.87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customFormat="false" ht="15" hidden="false" customHeight="false" outlineLevel="0" collapsed="false">
      <c r="A48" s="5" t="s">
        <v>27</v>
      </c>
      <c r="B48" s="5" t="s">
        <v>54</v>
      </c>
      <c r="C48" s="6" t="n">
        <f aca="false">SUM(D48:S48)</f>
        <v>72.24</v>
      </c>
      <c r="D48" s="6"/>
      <c r="E48" s="6" t="n">
        <f aca="false">Office!$D$24</f>
        <v>72.24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customFormat="false" ht="15" hidden="false" customHeight="false" outlineLevel="0" collapsed="false">
      <c r="A49" s="5" t="s">
        <v>27</v>
      </c>
      <c r="B49" s="5" t="s">
        <v>55</v>
      </c>
      <c r="C49" s="6" t="n">
        <f aca="false">SUM(D49:S49)</f>
        <v>422.26</v>
      </c>
      <c r="D49" s="6"/>
      <c r="E49" s="6" t="n">
        <f aca="false">Office!$D$25</f>
        <v>422.26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customFormat="false" ht="15" hidden="false" customHeight="false" outlineLevel="0" collapsed="false">
      <c r="A50" s="5" t="s">
        <v>23</v>
      </c>
      <c r="B50" s="5" t="s">
        <v>56</v>
      </c>
      <c r="C50" s="6" t="n">
        <f aca="false">SUM(D50:S50)</f>
        <v>1054.21</v>
      </c>
      <c r="D50" s="6"/>
      <c r="E50" s="6" t="n">
        <f aca="false">Office!$D$26</f>
        <v>1054.21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customFormat="false" ht="15" hidden="false" customHeight="false" outlineLevel="0" collapsed="false">
      <c r="A51" s="5" t="s">
        <v>23</v>
      </c>
      <c r="B51" s="5" t="s">
        <v>57</v>
      </c>
      <c r="C51" s="6" t="n">
        <f aca="false">SUM(D51:S51)</f>
        <v>6162.44</v>
      </c>
      <c r="D51" s="6"/>
      <c r="E51" s="6" t="n">
        <f aca="false">Office!$D$27</f>
        <v>6162.44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customFormat="false" ht="15" hidden="false" customHeight="false" outlineLevel="0" collapsed="false">
      <c r="A52" s="5" t="s">
        <v>25</v>
      </c>
      <c r="B52" s="5" t="s">
        <v>56</v>
      </c>
      <c r="C52" s="6" t="n">
        <f aca="false">SUM(D52:S52)</f>
        <v>2120.61</v>
      </c>
      <c r="D52" s="6"/>
      <c r="E52" s="6" t="n">
        <f aca="false">Office!$D$28</f>
        <v>2120.61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customFormat="false" ht="15" hidden="false" customHeight="false" outlineLevel="0" collapsed="false">
      <c r="A53" s="5" t="s">
        <v>25</v>
      </c>
      <c r="B53" s="5" t="s">
        <v>57</v>
      </c>
      <c r="C53" s="6" t="n">
        <f aca="false">SUM(D53:S53)</f>
        <v>12396.1</v>
      </c>
      <c r="D53" s="6"/>
      <c r="E53" s="6" t="n">
        <f aca="false">Office!$D$29</f>
        <v>12396.1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customFormat="false" ht="15" hidden="false" customHeight="false" outlineLevel="0" collapsed="false">
      <c r="A54" s="5" t="s">
        <v>25</v>
      </c>
      <c r="B54" s="5" t="s">
        <v>58</v>
      </c>
      <c r="C54" s="6" t="n">
        <f aca="false">SUM(D54:S54)</f>
        <v>3268.65</v>
      </c>
      <c r="D54" s="6"/>
      <c r="E54" s="6" t="n">
        <f aca="false">Office!$D$30</f>
        <v>3268.65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customFormat="false" ht="15" hidden="false" customHeight="false" outlineLevel="0" collapsed="false">
      <c r="A55" s="5" t="s">
        <v>25</v>
      </c>
      <c r="B55" s="5" t="s">
        <v>59</v>
      </c>
      <c r="C55" s="6" t="n">
        <f aca="false">SUM(D55:S55)</f>
        <v>19107.1</v>
      </c>
      <c r="D55" s="6"/>
      <c r="E55" s="6" t="n">
        <f aca="false">Office!$D$31</f>
        <v>19107.1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customFormat="false" ht="15" hidden="false" customHeight="false" outlineLevel="0" collapsed="false">
      <c r="A56" s="5" t="s">
        <v>23</v>
      </c>
      <c r="B56" s="5" t="s">
        <v>60</v>
      </c>
      <c r="C56" s="6" t="n">
        <f aca="false">SUM(D56:S56)</f>
        <v>233911.9</v>
      </c>
      <c r="D56" s="6"/>
      <c r="E56" s="6"/>
      <c r="F56" s="6" t="n">
        <f aca="false">A!$D$20</f>
        <v>18720.42</v>
      </c>
      <c r="G56" s="6" t="n">
        <f aca="false">B!$D$20</f>
        <v>18720.42</v>
      </c>
      <c r="H56" s="6" t="n">
        <f aca="false">C!$D$20</f>
        <v>18720.42</v>
      </c>
      <c r="I56" s="6" t="n">
        <f aca="false">D!$D$20</f>
        <v>18720.42</v>
      </c>
      <c r="J56" s="6" t="n">
        <f aca="false">E!$D$20</f>
        <v>18720.42</v>
      </c>
      <c r="K56" s="6" t="n">
        <f aca="false">F!$D$20</f>
        <v>18720.42</v>
      </c>
      <c r="L56" s="6" t="n">
        <f aca="false">G!$D$20</f>
        <v>18720.42</v>
      </c>
      <c r="M56" s="6" t="n">
        <f aca="false">H!$D$20</f>
        <v>18720.42</v>
      </c>
      <c r="N56" s="6" t="n">
        <f aca="false">I!$D$20</f>
        <v>18720.42</v>
      </c>
      <c r="O56" s="6" t="n">
        <f aca="false">J!$D$20</f>
        <v>16357.03</v>
      </c>
      <c r="P56" s="6" t="n">
        <f aca="false">K!$D$20</f>
        <v>16357.03</v>
      </c>
      <c r="Q56" s="6" t="n">
        <f aca="false">L!$D$20</f>
        <v>16357.03</v>
      </c>
      <c r="R56" s="6" t="n">
        <f aca="false">M!$D$20</f>
        <v>16357.03</v>
      </c>
      <c r="S56" s="6"/>
    </row>
    <row r="57" customFormat="false" ht="15" hidden="false" customHeight="false" outlineLevel="0" collapsed="false">
      <c r="A57" s="5" t="s">
        <v>23</v>
      </c>
      <c r="B57" s="5" t="s">
        <v>61</v>
      </c>
      <c r="C57" s="6" t="n">
        <f aca="false">SUM(D57:S57)</f>
        <v>910612.48</v>
      </c>
      <c r="D57" s="6"/>
      <c r="E57" s="6"/>
      <c r="F57" s="6" t="n">
        <f aca="false">A!$D$21</f>
        <v>73470.24</v>
      </c>
      <c r="G57" s="6" t="n">
        <f aca="false">B!$D$21</f>
        <v>73470.24</v>
      </c>
      <c r="H57" s="6" t="n">
        <f aca="false">C!$D$21</f>
        <v>73470.24</v>
      </c>
      <c r="I57" s="6" t="n">
        <f aca="false">D!$D$21</f>
        <v>73470.24</v>
      </c>
      <c r="J57" s="6" t="n">
        <f aca="false">E!$D$21</f>
        <v>73470.24</v>
      </c>
      <c r="K57" s="6" t="n">
        <f aca="false">F!$D$21</f>
        <v>73470.24</v>
      </c>
      <c r="L57" s="6" t="n">
        <f aca="false">G!$D$21</f>
        <v>73470.24</v>
      </c>
      <c r="M57" s="6" t="n">
        <f aca="false">H!$D$21</f>
        <v>73470.24</v>
      </c>
      <c r="N57" s="6" t="n">
        <f aca="false">I!$D$21</f>
        <v>73470.24</v>
      </c>
      <c r="O57" s="6" t="n">
        <f aca="false">J!$D$21</f>
        <v>62345.08</v>
      </c>
      <c r="P57" s="6" t="n">
        <f aca="false">K!$D$21</f>
        <v>62345.08</v>
      </c>
      <c r="Q57" s="6" t="n">
        <f aca="false">L!$D$21</f>
        <v>62345.08</v>
      </c>
      <c r="R57" s="6" t="n">
        <f aca="false">M!$D$21</f>
        <v>62345.08</v>
      </c>
      <c r="S57" s="6"/>
    </row>
    <row r="58" customFormat="false" ht="15" hidden="false" customHeight="false" outlineLevel="0" collapsed="false">
      <c r="A58" s="5" t="s">
        <v>25</v>
      </c>
      <c r="B58" s="5" t="s">
        <v>62</v>
      </c>
      <c r="C58" s="6" t="n">
        <f aca="false">SUM(D58:S58)</f>
        <v>720810.45</v>
      </c>
      <c r="D58" s="6"/>
      <c r="E58" s="6"/>
      <c r="F58" s="6" t="n">
        <f aca="false">A!$D$22</f>
        <v>57687.85</v>
      </c>
      <c r="G58" s="6" t="n">
        <f aca="false">B!$D$22</f>
        <v>57687.85</v>
      </c>
      <c r="H58" s="6" t="n">
        <f aca="false">C!$D$22</f>
        <v>57687.85</v>
      </c>
      <c r="I58" s="6" t="n">
        <f aca="false">D!$D$22</f>
        <v>57687.85</v>
      </c>
      <c r="J58" s="6" t="n">
        <f aca="false">E!$D$22</f>
        <v>57687.85</v>
      </c>
      <c r="K58" s="6" t="n">
        <f aca="false">F!$D$22</f>
        <v>57687.85</v>
      </c>
      <c r="L58" s="6" t="n">
        <f aca="false">G!$D$22</f>
        <v>57687.85</v>
      </c>
      <c r="M58" s="6" t="n">
        <f aca="false">H!$D$22</f>
        <v>57687.85</v>
      </c>
      <c r="N58" s="6" t="n">
        <f aca="false">I!$D$22</f>
        <v>57687.85</v>
      </c>
      <c r="O58" s="6" t="n">
        <f aca="false">J!$D$22</f>
        <v>50404.95</v>
      </c>
      <c r="P58" s="6" t="n">
        <f aca="false">K!$D$22</f>
        <v>50404.95</v>
      </c>
      <c r="Q58" s="6" t="n">
        <f aca="false">L!$D$22</f>
        <v>50404.95</v>
      </c>
      <c r="R58" s="6" t="n">
        <f aca="false">M!$D$22</f>
        <v>50404.95</v>
      </c>
      <c r="S58" s="6"/>
    </row>
    <row r="59" customFormat="false" ht="15" hidden="false" customHeight="false" outlineLevel="0" collapsed="false">
      <c r="A59" s="5" t="s">
        <v>25</v>
      </c>
      <c r="B59" s="5" t="s">
        <v>63</v>
      </c>
      <c r="C59" s="6" t="n">
        <f aca="false">SUM(D59:S59)</f>
        <v>2806095.67</v>
      </c>
      <c r="D59" s="6"/>
      <c r="E59" s="6"/>
      <c r="F59" s="6" t="n">
        <f aca="false">A!$D$23</f>
        <v>226402.03</v>
      </c>
      <c r="G59" s="6" t="n">
        <f aca="false">B!$D$23</f>
        <v>226402.03</v>
      </c>
      <c r="H59" s="6" t="n">
        <f aca="false">C!$D$23</f>
        <v>226402.03</v>
      </c>
      <c r="I59" s="6" t="n">
        <f aca="false">D!$D$23</f>
        <v>226402.03</v>
      </c>
      <c r="J59" s="6" t="n">
        <f aca="false">E!$D$23</f>
        <v>226402.03</v>
      </c>
      <c r="K59" s="6" t="n">
        <f aca="false">F!$D$23</f>
        <v>226402.03</v>
      </c>
      <c r="L59" s="6" t="n">
        <f aca="false">G!$D$23</f>
        <v>226402.03</v>
      </c>
      <c r="M59" s="6" t="n">
        <f aca="false">H!$D$23</f>
        <v>226402.03</v>
      </c>
      <c r="N59" s="6" t="n">
        <f aca="false">I!$D$23</f>
        <v>226402.03</v>
      </c>
      <c r="O59" s="6" t="n">
        <f aca="false">J!$D$23</f>
        <v>192119.35</v>
      </c>
      <c r="P59" s="6" t="n">
        <f aca="false">K!$D$23</f>
        <v>192119.35</v>
      </c>
      <c r="Q59" s="6" t="n">
        <f aca="false">L!$D$23</f>
        <v>192119.35</v>
      </c>
      <c r="R59" s="6" t="n">
        <f aca="false">M!$D$23</f>
        <v>192119.35</v>
      </c>
      <c r="S59" s="6"/>
    </row>
    <row r="60" customFormat="false" ht="15" hidden="false" customHeight="false" outlineLevel="0" collapsed="false">
      <c r="A60" s="5" t="s">
        <v>27</v>
      </c>
      <c r="B60" s="5" t="s">
        <v>62</v>
      </c>
      <c r="C60" s="6" t="n">
        <f aca="false">SUM(D60:S60)</f>
        <v>3925.79</v>
      </c>
      <c r="D60" s="6"/>
      <c r="E60" s="6"/>
      <c r="F60" s="6" t="n">
        <f aca="false">A!$D$24</f>
        <v>314.19</v>
      </c>
      <c r="G60" s="6" t="n">
        <f aca="false">B!$D$24</f>
        <v>314.19</v>
      </c>
      <c r="H60" s="6" t="n">
        <f aca="false">C!$D$24</f>
        <v>314.19</v>
      </c>
      <c r="I60" s="6" t="n">
        <f aca="false">D!$D$24</f>
        <v>314.19</v>
      </c>
      <c r="J60" s="6" t="n">
        <f aca="false">E!$D$24</f>
        <v>314.19</v>
      </c>
      <c r="K60" s="6" t="n">
        <f aca="false">F!$D$24</f>
        <v>314.19</v>
      </c>
      <c r="L60" s="6" t="n">
        <f aca="false">G!$D$24</f>
        <v>314.19</v>
      </c>
      <c r="M60" s="6" t="n">
        <f aca="false">H!$D$24</f>
        <v>314.19</v>
      </c>
      <c r="N60" s="6" t="n">
        <f aca="false">I!$D$24</f>
        <v>314.19</v>
      </c>
      <c r="O60" s="6" t="n">
        <f aca="false">J!$D$24</f>
        <v>274.52</v>
      </c>
      <c r="P60" s="6" t="n">
        <f aca="false">K!$D$24</f>
        <v>274.52</v>
      </c>
      <c r="Q60" s="6" t="n">
        <f aca="false">L!$D$24</f>
        <v>274.52</v>
      </c>
      <c r="R60" s="6" t="n">
        <f aca="false">M!$D$24</f>
        <v>274.52</v>
      </c>
      <c r="S60" s="6"/>
    </row>
    <row r="61" customFormat="false" ht="15" hidden="false" customHeight="false" outlineLevel="0" collapsed="false">
      <c r="A61" s="5" t="s">
        <v>27</v>
      </c>
      <c r="B61" s="5" t="s">
        <v>63</v>
      </c>
      <c r="C61" s="6" t="n">
        <f aca="false">SUM(D61:S61)</f>
        <v>15283.07</v>
      </c>
      <c r="D61" s="6"/>
      <c r="E61" s="6"/>
      <c r="F61" s="6" t="n">
        <f aca="false">A!$D$25</f>
        <v>1233.07</v>
      </c>
      <c r="G61" s="6" t="n">
        <f aca="false">B!$D$25</f>
        <v>1233.07</v>
      </c>
      <c r="H61" s="6" t="n">
        <f aca="false">C!$D$25</f>
        <v>1233.07</v>
      </c>
      <c r="I61" s="6" t="n">
        <f aca="false">D!$D$25</f>
        <v>1233.07</v>
      </c>
      <c r="J61" s="6" t="n">
        <f aca="false">E!$D$25</f>
        <v>1233.07</v>
      </c>
      <c r="K61" s="6" t="n">
        <f aca="false">F!$D$25</f>
        <v>1233.07</v>
      </c>
      <c r="L61" s="6" t="n">
        <f aca="false">G!$D$25</f>
        <v>1233.07</v>
      </c>
      <c r="M61" s="6" t="n">
        <f aca="false">H!$D$25</f>
        <v>1233.07</v>
      </c>
      <c r="N61" s="6" t="n">
        <f aca="false">I!$D$25</f>
        <v>1233.07</v>
      </c>
      <c r="O61" s="6" t="n">
        <f aca="false">J!$D$25</f>
        <v>1046.36</v>
      </c>
      <c r="P61" s="6" t="n">
        <f aca="false">K!$D$25</f>
        <v>1046.36</v>
      </c>
      <c r="Q61" s="6" t="n">
        <f aca="false">L!$D$25</f>
        <v>1046.36</v>
      </c>
      <c r="R61" s="6" t="n">
        <f aca="false">M!$D$25</f>
        <v>1046.36</v>
      </c>
      <c r="S61" s="6"/>
    </row>
    <row r="62" customFormat="false" ht="15" hidden="false" customHeight="false" outlineLevel="0" collapsed="false">
      <c r="A62" s="5" t="s">
        <v>23</v>
      </c>
      <c r="B62" s="5" t="s">
        <v>64</v>
      </c>
      <c r="C62" s="6" t="n">
        <f aca="false">SUM(D62:S62)</f>
        <v>57291.9</v>
      </c>
      <c r="D62" s="6"/>
      <c r="E62" s="6"/>
      <c r="F62" s="6" t="n">
        <f aca="false">A!$D$26</f>
        <v>4585.18</v>
      </c>
      <c r="G62" s="6" t="n">
        <f aca="false">B!$D$26</f>
        <v>4585.18</v>
      </c>
      <c r="H62" s="6" t="n">
        <f aca="false">C!$D$26</f>
        <v>4585.18</v>
      </c>
      <c r="I62" s="6" t="n">
        <f aca="false">D!$D$26</f>
        <v>4585.18</v>
      </c>
      <c r="J62" s="6" t="n">
        <f aca="false">E!$D$26</f>
        <v>4585.18</v>
      </c>
      <c r="K62" s="6" t="n">
        <f aca="false">F!$D$26</f>
        <v>4585.18</v>
      </c>
      <c r="L62" s="6" t="n">
        <f aca="false">G!$D$26</f>
        <v>4585.18</v>
      </c>
      <c r="M62" s="6" t="n">
        <f aca="false">H!$D$26</f>
        <v>4585.18</v>
      </c>
      <c r="N62" s="6" t="n">
        <f aca="false">I!$D$26</f>
        <v>4585.18</v>
      </c>
      <c r="O62" s="6" t="n">
        <f aca="false">J!$D$26</f>
        <v>4006.32</v>
      </c>
      <c r="P62" s="6" t="n">
        <f aca="false">K!$D$26</f>
        <v>4006.32</v>
      </c>
      <c r="Q62" s="6" t="n">
        <f aca="false">L!$D$26</f>
        <v>4006.32</v>
      </c>
      <c r="R62" s="6" t="n">
        <f aca="false">M!$D$26</f>
        <v>4006.32</v>
      </c>
      <c r="S62" s="6"/>
    </row>
    <row r="63" customFormat="false" ht="15" hidden="false" customHeight="false" outlineLevel="0" collapsed="false">
      <c r="A63" s="5" t="s">
        <v>23</v>
      </c>
      <c r="B63" s="5" t="s">
        <v>65</v>
      </c>
      <c r="C63" s="6" t="n">
        <f aca="false">SUM(D63:S63)</f>
        <v>223035.87</v>
      </c>
      <c r="D63" s="6"/>
      <c r="E63" s="6"/>
      <c r="F63" s="6" t="n">
        <f aca="false">A!$D$27</f>
        <v>17995.03</v>
      </c>
      <c r="G63" s="6" t="n">
        <f aca="false">B!$D$27</f>
        <v>17995.03</v>
      </c>
      <c r="H63" s="6" t="n">
        <f aca="false">C!$D$27</f>
        <v>17995.03</v>
      </c>
      <c r="I63" s="6" t="n">
        <f aca="false">D!$D$27</f>
        <v>17995.03</v>
      </c>
      <c r="J63" s="6" t="n">
        <f aca="false">E!$D$27</f>
        <v>17995.03</v>
      </c>
      <c r="K63" s="6" t="n">
        <f aca="false">F!$D$27</f>
        <v>17995.03</v>
      </c>
      <c r="L63" s="6" t="n">
        <f aca="false">G!$D$27</f>
        <v>17995.03</v>
      </c>
      <c r="M63" s="6" t="n">
        <f aca="false">H!$D$27</f>
        <v>17995.03</v>
      </c>
      <c r="N63" s="6" t="n">
        <f aca="false">I!$D$27</f>
        <v>17995.03</v>
      </c>
      <c r="O63" s="6" t="n">
        <f aca="false">J!$D$27</f>
        <v>15270.15</v>
      </c>
      <c r="P63" s="6" t="n">
        <f aca="false">K!$D$27</f>
        <v>15270.15</v>
      </c>
      <c r="Q63" s="6" t="n">
        <f aca="false">L!$D$27</f>
        <v>15270.15</v>
      </c>
      <c r="R63" s="6" t="n">
        <f aca="false">M!$D$27</f>
        <v>15270.15</v>
      </c>
      <c r="S63" s="6"/>
    </row>
    <row r="64" customFormat="false" ht="15" hidden="false" customHeight="false" outlineLevel="0" collapsed="false">
      <c r="A64" s="5" t="s">
        <v>25</v>
      </c>
      <c r="B64" s="5" t="s">
        <v>64</v>
      </c>
      <c r="C64" s="6" t="n">
        <f aca="false">SUM(D64:S64)</f>
        <v>115246.04</v>
      </c>
      <c r="D64" s="6"/>
      <c r="E64" s="6"/>
      <c r="F64" s="6" t="n">
        <f aca="false">A!$D$28</f>
        <v>9223.36</v>
      </c>
      <c r="G64" s="6" t="n">
        <f aca="false">B!$D$28</f>
        <v>9223.36</v>
      </c>
      <c r="H64" s="6" t="n">
        <f aca="false">C!$D$28</f>
        <v>9223.36</v>
      </c>
      <c r="I64" s="6" t="n">
        <f aca="false">D!$D$28</f>
        <v>9223.36</v>
      </c>
      <c r="J64" s="6" t="n">
        <f aca="false">E!$D$28</f>
        <v>9223.36</v>
      </c>
      <c r="K64" s="6" t="n">
        <f aca="false">F!$D$28</f>
        <v>9223.36</v>
      </c>
      <c r="L64" s="6" t="n">
        <f aca="false">G!$D$28</f>
        <v>9223.36</v>
      </c>
      <c r="M64" s="6" t="n">
        <f aca="false">H!$D$28</f>
        <v>9223.36</v>
      </c>
      <c r="N64" s="6" t="n">
        <f aca="false">I!$D$28</f>
        <v>9223.36</v>
      </c>
      <c r="O64" s="6" t="n">
        <f aca="false">J!$D$28</f>
        <v>8058.95</v>
      </c>
      <c r="P64" s="6" t="n">
        <f aca="false">K!$D$28</f>
        <v>8058.95</v>
      </c>
      <c r="Q64" s="6" t="n">
        <f aca="false">L!$D$28</f>
        <v>8058.95</v>
      </c>
      <c r="R64" s="6" t="n">
        <f aca="false">M!$D$28</f>
        <v>8058.95</v>
      </c>
      <c r="S64" s="6"/>
    </row>
    <row r="65" customFormat="false" ht="15" hidden="false" customHeight="false" outlineLevel="0" collapsed="false">
      <c r="A65" s="5" t="s">
        <v>25</v>
      </c>
      <c r="B65" s="5" t="s">
        <v>65</v>
      </c>
      <c r="C65" s="6" t="n">
        <f aca="false">SUM(D65:S65)</f>
        <v>448649.87</v>
      </c>
      <c r="D65" s="6"/>
      <c r="E65" s="6"/>
      <c r="F65" s="6" t="n">
        <f aca="false">A!$D$29</f>
        <v>36198.07</v>
      </c>
      <c r="G65" s="6" t="n">
        <f aca="false">B!$D$29</f>
        <v>36198.07</v>
      </c>
      <c r="H65" s="6" t="n">
        <f aca="false">C!$D$29</f>
        <v>36198.07</v>
      </c>
      <c r="I65" s="6" t="n">
        <f aca="false">D!$D$29</f>
        <v>36198.07</v>
      </c>
      <c r="J65" s="6" t="n">
        <f aca="false">E!$D$29</f>
        <v>36198.07</v>
      </c>
      <c r="K65" s="6" t="n">
        <f aca="false">F!$D$29</f>
        <v>36198.07</v>
      </c>
      <c r="L65" s="6" t="n">
        <f aca="false">G!$D$29</f>
        <v>36198.07</v>
      </c>
      <c r="M65" s="6" t="n">
        <f aca="false">H!$D$29</f>
        <v>36198.07</v>
      </c>
      <c r="N65" s="6" t="n">
        <f aca="false">I!$D$29</f>
        <v>36198.07</v>
      </c>
      <c r="O65" s="6" t="n">
        <f aca="false">J!$D$29</f>
        <v>30716.81</v>
      </c>
      <c r="P65" s="6" t="n">
        <f aca="false">K!$D$29</f>
        <v>30716.81</v>
      </c>
      <c r="Q65" s="6" t="n">
        <f aca="false">L!$D$29</f>
        <v>30716.81</v>
      </c>
      <c r="R65" s="6" t="n">
        <f aca="false">M!$D$29</f>
        <v>30716.81</v>
      </c>
      <c r="S65" s="6"/>
    </row>
    <row r="66" customFormat="false" ht="15" hidden="false" customHeight="false" outlineLevel="0" collapsed="false">
      <c r="A66" s="5" t="s">
        <v>25</v>
      </c>
      <c r="B66" s="5" t="s">
        <v>66</v>
      </c>
      <c r="C66" s="6" t="n">
        <f aca="false">SUM(D66:S66)</f>
        <v>177637.73</v>
      </c>
      <c r="D66" s="6"/>
      <c r="E66" s="6"/>
      <c r="F66" s="6" t="n">
        <f aca="false">A!$D$30</f>
        <v>14216.69</v>
      </c>
      <c r="G66" s="6" t="n">
        <f aca="false">B!$D$30</f>
        <v>14216.69</v>
      </c>
      <c r="H66" s="6" t="n">
        <f aca="false">C!$D$30</f>
        <v>14216.69</v>
      </c>
      <c r="I66" s="6" t="n">
        <f aca="false">D!$D$30</f>
        <v>14216.69</v>
      </c>
      <c r="J66" s="6" t="n">
        <f aca="false">E!$D$30</f>
        <v>14216.69</v>
      </c>
      <c r="K66" s="6" t="n">
        <f aca="false">F!$D$30</f>
        <v>14216.69</v>
      </c>
      <c r="L66" s="6" t="n">
        <f aca="false">G!$D$30</f>
        <v>14216.69</v>
      </c>
      <c r="M66" s="6" t="n">
        <f aca="false">H!$D$30</f>
        <v>14216.69</v>
      </c>
      <c r="N66" s="6" t="n">
        <f aca="false">I!$D$30</f>
        <v>14216.69</v>
      </c>
      <c r="O66" s="6" t="n">
        <f aca="false">J!$D$30</f>
        <v>12421.88</v>
      </c>
      <c r="P66" s="6" t="n">
        <f aca="false">K!$D$30</f>
        <v>12421.88</v>
      </c>
      <c r="Q66" s="6" t="n">
        <f aca="false">L!$D$30</f>
        <v>12421.88</v>
      </c>
      <c r="R66" s="6" t="n">
        <f aca="false">M!$D$30</f>
        <v>12421.88</v>
      </c>
      <c r="S66" s="6"/>
    </row>
    <row r="67" customFormat="false" ht="15" hidden="false" customHeight="false" outlineLevel="0" collapsed="false">
      <c r="A67" s="5" t="s">
        <v>25</v>
      </c>
      <c r="B67" s="5" t="s">
        <v>67</v>
      </c>
      <c r="C67" s="6" t="n">
        <f aca="false">SUM(D67:S67)</f>
        <v>691539.2</v>
      </c>
      <c r="D67" s="6"/>
      <c r="E67" s="6"/>
      <c r="F67" s="6" t="n">
        <f aca="false">A!$D$31</f>
        <v>55794.92</v>
      </c>
      <c r="G67" s="6" t="n">
        <f aca="false">B!$D$31</f>
        <v>55794.92</v>
      </c>
      <c r="H67" s="6" t="n">
        <f aca="false">C!$D$31</f>
        <v>55794.92</v>
      </c>
      <c r="I67" s="6" t="n">
        <f aca="false">D!$D$31</f>
        <v>55794.92</v>
      </c>
      <c r="J67" s="6" t="n">
        <f aca="false">E!$D$31</f>
        <v>55794.92</v>
      </c>
      <c r="K67" s="6" t="n">
        <f aca="false">F!$D$31</f>
        <v>55794.92</v>
      </c>
      <c r="L67" s="6" t="n">
        <f aca="false">G!$D$31</f>
        <v>55794.92</v>
      </c>
      <c r="M67" s="6" t="n">
        <f aca="false">H!$D$31</f>
        <v>55794.92</v>
      </c>
      <c r="N67" s="6" t="n">
        <f aca="false">I!$D$31</f>
        <v>55794.92</v>
      </c>
      <c r="O67" s="6" t="n">
        <f aca="false">J!$D$31</f>
        <v>47346.23</v>
      </c>
      <c r="P67" s="6" t="n">
        <f aca="false">K!$D$31</f>
        <v>47346.23</v>
      </c>
      <c r="Q67" s="6" t="n">
        <f aca="false">L!$D$31</f>
        <v>47346.23</v>
      </c>
      <c r="R67" s="6" t="n">
        <f aca="false">M!$D$31</f>
        <v>47346.23</v>
      </c>
      <c r="S67" s="6"/>
    </row>
    <row r="68" customFormat="false" ht="15" hidden="false" customHeight="false" outlineLevel="0" collapsed="false">
      <c r="A68" s="5" t="s">
        <v>38</v>
      </c>
      <c r="B68" s="5" t="s">
        <v>68</v>
      </c>
      <c r="C68" s="6" t="n">
        <f aca="false">SUM(D68:S68)</f>
        <v>68710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 t="n">
        <f aca="false">Imp!$D$17</f>
        <v>68710</v>
      </c>
    </row>
    <row r="69" customFormat="false" ht="15" hidden="false" customHeight="false" outlineLevel="0" collapsed="false">
      <c r="A69" s="5" t="s">
        <v>40</v>
      </c>
      <c r="B69" s="5" t="s">
        <v>68</v>
      </c>
      <c r="C69" s="6" t="n">
        <f aca="false">SUM(D69:S69)</f>
        <v>5854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 t="n">
        <f aca="false">Imp!$D$18</f>
        <v>5854</v>
      </c>
    </row>
    <row r="70" customFormat="false" ht="15" hidden="false" customHeight="false" outlineLevel="0" collapsed="false">
      <c r="A70" s="5" t="s">
        <v>41</v>
      </c>
      <c r="B70" s="5" t="s">
        <v>69</v>
      </c>
      <c r="C70" s="6" t="n">
        <f aca="false">SUM(D70:S70)</f>
        <v>77000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 t="n">
        <f aca="false">Imp!$D$19</f>
        <v>77000</v>
      </c>
    </row>
    <row r="71" customFormat="false" ht="15" hidden="false" customHeight="false" outlineLevel="0" collapsed="false">
      <c r="A71" s="5" t="s">
        <v>41</v>
      </c>
      <c r="B71" s="5" t="s">
        <v>70</v>
      </c>
      <c r="C71" s="6" t="n">
        <f aca="false">SUM(D71:S71)</f>
        <v>41173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 t="n">
        <f aca="false">Imp!$D$20</f>
        <v>41173</v>
      </c>
    </row>
    <row r="72" customFormat="false" ht="15" hidden="false" customHeight="false" outlineLevel="0" collapsed="false">
      <c r="A72" s="7"/>
      <c r="B72" s="8" t="s">
        <v>71</v>
      </c>
      <c r="C72" s="9" t="n">
        <f aca="false">SUM(C32:C71)</f>
        <v>7560673</v>
      </c>
      <c r="D72" s="9" t="n">
        <f aca="false">SUM(D32:D71)</f>
        <v>799032.97</v>
      </c>
      <c r="E72" s="9" t="n">
        <f aca="false">SUM(E32:E71)</f>
        <v>164863.06</v>
      </c>
      <c r="F72" s="9" t="n">
        <f aca="false">SUM(F32:F71)</f>
        <v>515841.05</v>
      </c>
      <c r="G72" s="9" t="n">
        <f aca="false">SUM(G32:G71)</f>
        <v>515841.05</v>
      </c>
      <c r="H72" s="9" t="n">
        <f aca="false">SUM(H32:H71)</f>
        <v>515841.05</v>
      </c>
      <c r="I72" s="9" t="n">
        <f aca="false">SUM(I32:I71)</f>
        <v>515841.05</v>
      </c>
      <c r="J72" s="9" t="n">
        <f aca="false">SUM(J32:J71)</f>
        <v>515841.05</v>
      </c>
      <c r="K72" s="9" t="n">
        <f aca="false">SUM(K32:K71)</f>
        <v>515841.05</v>
      </c>
      <c r="L72" s="9" t="n">
        <f aca="false">SUM(L32:L71)</f>
        <v>515841.05</v>
      </c>
      <c r="M72" s="9" t="n">
        <f aca="false">SUM(M32:M71)</f>
        <v>515841.05</v>
      </c>
      <c r="N72" s="9" t="n">
        <f aca="false">SUM(N32:N71)</f>
        <v>515841.05</v>
      </c>
      <c r="O72" s="9" t="n">
        <f aca="false">SUM(O32:O71)</f>
        <v>440367.63</v>
      </c>
      <c r="P72" s="9" t="n">
        <f aca="false">SUM(P32:P71)</f>
        <v>440367.63</v>
      </c>
      <c r="Q72" s="9" t="n">
        <f aca="false">SUM(Q32:Q71)</f>
        <v>440367.63</v>
      </c>
      <c r="R72" s="9" t="n">
        <f aca="false">SUM(R32:R71)</f>
        <v>440367.63</v>
      </c>
      <c r="S72" s="9" t="n">
        <f aca="false">SUM(S32:S71)</f>
        <v>192737</v>
      </c>
    </row>
    <row r="73" customFormat="false" ht="15" hidden="false" customHeight="false" outlineLevel="0" collapsed="false">
      <c r="B73" s="11" t="s">
        <v>72</v>
      </c>
      <c r="C73" s="12" t="n">
        <f aca="false">C29-C72</f>
        <v>0</v>
      </c>
      <c r="D73" s="12" t="n">
        <f aca="false">D29-D72</f>
        <v>0</v>
      </c>
      <c r="E73" s="12" t="n">
        <f aca="false">E29-E72</f>
        <v>0</v>
      </c>
      <c r="F73" s="12" t="n">
        <f aca="false">F29-F72</f>
        <v>0</v>
      </c>
      <c r="G73" s="12" t="n">
        <f aca="false">G29-G72</f>
        <v>0</v>
      </c>
      <c r="H73" s="12" t="n">
        <f aca="false">H29-H72</f>
        <v>0</v>
      </c>
      <c r="I73" s="12" t="n">
        <f aca="false">I29-I72</f>
        <v>0</v>
      </c>
      <c r="J73" s="12" t="n">
        <f aca="false">J29-J72</f>
        <v>0</v>
      </c>
      <c r="K73" s="12" t="n">
        <f aca="false">K29-K72</f>
        <v>0</v>
      </c>
      <c r="L73" s="12" t="n">
        <f aca="false">L29-L72</f>
        <v>0</v>
      </c>
      <c r="M73" s="12" t="n">
        <f aca="false">M29-M72</f>
        <v>0</v>
      </c>
      <c r="N73" s="12" t="n">
        <f aca="false">N29-N72</f>
        <v>0</v>
      </c>
      <c r="O73" s="12" t="n">
        <f aca="false">O29-O72</f>
        <v>0</v>
      </c>
      <c r="P73" s="12" t="n">
        <f aca="false">P29-P72</f>
        <v>0</v>
      </c>
      <c r="Q73" s="12" t="n">
        <f aca="false">Q29-Q72</f>
        <v>0</v>
      </c>
      <c r="R73" s="12" t="n">
        <f aca="false">R29-R72</f>
        <v>0</v>
      </c>
      <c r="S73" s="12" t="n">
        <f aca="false">S29-S72</f>
        <v>0</v>
      </c>
    </row>
    <row r="75" customFormat="false" ht="15" hidden="false" customHeight="false" outlineLevel="0" collapsed="false">
      <c r="B75" s="10" t="s">
        <v>73</v>
      </c>
    </row>
    <row r="76" customFormat="false" ht="15" hidden="false" customHeight="false" outlineLevel="0" collapsed="false">
      <c r="B76" s="11" t="s">
        <v>74</v>
      </c>
      <c r="C76" s="12" t="n">
        <f aca="false">SUM(D76:S76)</f>
        <v>2803837.95</v>
      </c>
      <c r="D76" s="12" t="n">
        <f aca="false">Site!$I$16</f>
        <v>299829.27</v>
      </c>
      <c r="E76" s="12" t="n">
        <f aca="false">Office!$I$16</f>
        <v>61853.94</v>
      </c>
      <c r="F76" s="12" t="n">
        <f aca="false">A!$I$16</f>
        <v>193535.18</v>
      </c>
      <c r="G76" s="12" t="n">
        <f aca="false">B!$I$16</f>
        <v>193535.18</v>
      </c>
      <c r="H76" s="12" t="n">
        <f aca="false">C!$I$16</f>
        <v>193535.18</v>
      </c>
      <c r="I76" s="12" t="n">
        <f aca="false">D!$I$16</f>
        <v>193535.18</v>
      </c>
      <c r="J76" s="12" t="n">
        <f aca="false">E!$I$16</f>
        <v>193535.18</v>
      </c>
      <c r="K76" s="12" t="n">
        <f aca="false">F!$I$16</f>
        <v>193535.18</v>
      </c>
      <c r="L76" s="12" t="n">
        <f aca="false">G!$I$16</f>
        <v>193535.18</v>
      </c>
      <c r="M76" s="12" t="n">
        <f aca="false">H!$I$16</f>
        <v>193535.18</v>
      </c>
      <c r="N76" s="12" t="n">
        <f aca="false">I!$I$16</f>
        <v>193535.18</v>
      </c>
      <c r="O76" s="12" t="n">
        <f aca="false">J!$I$16</f>
        <v>165218.78</v>
      </c>
      <c r="P76" s="12" t="n">
        <f aca="false">K!$I$16</f>
        <v>165218.78</v>
      </c>
      <c r="Q76" s="12" t="n">
        <f aca="false">L!$I$16</f>
        <v>165218.78</v>
      </c>
      <c r="R76" s="12" t="n">
        <f aca="false">M!$I$16</f>
        <v>165218.78</v>
      </c>
      <c r="S76" s="12" t="n">
        <f aca="false">Imp!$I$13</f>
        <v>39463</v>
      </c>
    </row>
    <row r="77" customFormat="false" ht="15" hidden="false" customHeight="false" outlineLevel="0" collapsed="false">
      <c r="B77" s="5" t="s">
        <v>44</v>
      </c>
      <c r="C77" s="6" t="n">
        <f aca="false">SUM(D77:S77)</f>
        <v>83797.85</v>
      </c>
      <c r="D77" s="6" t="n">
        <f aca="false">Site!$I$20</f>
        <v>83797.85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customFormat="false" ht="15" hidden="false" customHeight="false" outlineLevel="0" collapsed="false">
      <c r="B78" s="5" t="s">
        <v>45</v>
      </c>
      <c r="C78" s="6" t="n">
        <f aca="false">SUM(D78:S78)</f>
        <v>25199.3</v>
      </c>
      <c r="D78" s="6" t="n">
        <f aca="false">Site!$I$21</f>
        <v>25199.3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customFormat="false" ht="15" hidden="false" customHeight="false" outlineLevel="0" collapsed="false">
      <c r="B79" s="5" t="s">
        <v>46</v>
      </c>
      <c r="C79" s="6" t="n">
        <f aca="false">SUM(D79:S79)</f>
        <v>283321.93</v>
      </c>
      <c r="D79" s="6" t="n">
        <f aca="false">Site!$I$22</f>
        <v>283321.93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customFormat="false" ht="15" hidden="false" customHeight="false" outlineLevel="0" collapsed="false">
      <c r="B80" s="5" t="s">
        <v>47</v>
      </c>
      <c r="C80" s="6" t="n">
        <f aca="false">SUM(D80:S80)</f>
        <v>14960.66</v>
      </c>
      <c r="D80" s="6" t="n">
        <f aca="false">Site!$I$23</f>
        <v>14960.66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customFormat="false" ht="15" hidden="false" customHeight="false" outlineLevel="0" collapsed="false">
      <c r="B81" s="5" t="s">
        <v>46</v>
      </c>
      <c r="C81" s="6" t="n">
        <f aca="false">SUM(D81:S81)</f>
        <v>1279.18</v>
      </c>
      <c r="D81" s="6" t="n">
        <f aca="false">Site!$I$24</f>
        <v>1279.18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customFormat="false" ht="15" hidden="false" customHeight="false" outlineLevel="0" collapsed="false">
      <c r="B82" s="5" t="s">
        <v>47</v>
      </c>
      <c r="C82" s="6" t="n">
        <f aca="false">SUM(D82:S82)</f>
        <v>45.27</v>
      </c>
      <c r="D82" s="6" t="n">
        <f aca="false">Site!$I$25</f>
        <v>45.27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customFormat="false" ht="15" hidden="false" customHeight="false" outlineLevel="0" collapsed="false">
      <c r="B83" s="5" t="s">
        <v>48</v>
      </c>
      <c r="C83" s="6" t="n">
        <f aca="false">SUM(D83:S83)</f>
        <v>22519.2</v>
      </c>
      <c r="D83" s="6" t="n">
        <f aca="false">Site!$I$26</f>
        <v>22519.2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customFormat="false" ht="15" hidden="false" customHeight="false" outlineLevel="0" collapsed="false">
      <c r="B84" s="5" t="s">
        <v>49</v>
      </c>
      <c r="C84" s="6" t="n">
        <f aca="false">SUM(D84:S84)</f>
        <v>11957.28</v>
      </c>
      <c r="D84" s="6" t="n">
        <f aca="false">Site!$I$27</f>
        <v>11957.28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customFormat="false" ht="15" hidden="false" customHeight="false" outlineLevel="0" collapsed="false">
      <c r="B85" s="5" t="s">
        <v>48</v>
      </c>
      <c r="C85" s="6" t="n">
        <f aca="false">SUM(D85:S85)</f>
        <v>45298.65</v>
      </c>
      <c r="D85" s="6" t="n">
        <f aca="false">Site!$I$28</f>
        <v>45298.65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customFormat="false" ht="15" hidden="false" customHeight="false" outlineLevel="0" collapsed="false">
      <c r="B86" s="5" t="s">
        <v>49</v>
      </c>
      <c r="C86" s="6" t="n">
        <f aca="false">SUM(D86:S86)</f>
        <v>2391.98</v>
      </c>
      <c r="D86" s="6" t="n">
        <f aca="false">Site!$I$29</f>
        <v>2391.98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customFormat="false" ht="15" hidden="false" customHeight="false" outlineLevel="0" collapsed="false">
      <c r="B87" s="5" t="s">
        <v>50</v>
      </c>
      <c r="C87" s="6" t="n">
        <f aca="false">SUM(D87:S87)</f>
        <v>69822.35</v>
      </c>
      <c r="D87" s="6" t="n">
        <f aca="false">Site!$I$30</f>
        <v>69822.35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customFormat="false" ht="15" hidden="false" customHeight="false" outlineLevel="0" collapsed="false">
      <c r="B88" s="5" t="s">
        <v>51</v>
      </c>
      <c r="C88" s="6" t="n">
        <f aca="false">SUM(D88:S88)</f>
        <v>3686.92</v>
      </c>
      <c r="D88" s="6" t="n">
        <f aca="false">Site!$I$31</f>
        <v>3686.92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customFormat="false" ht="15" hidden="false" customHeight="false" outlineLevel="0" collapsed="false">
      <c r="B89" s="5" t="s">
        <v>52</v>
      </c>
      <c r="C89" s="6" t="n">
        <f aca="false">SUM(D89:S89)</f>
        <v>4304.14</v>
      </c>
      <c r="D89" s="6"/>
      <c r="E89" s="6" t="n">
        <f aca="false">Office!$I$20</f>
        <v>4304.14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customFormat="false" ht="15" hidden="false" customHeight="false" outlineLevel="0" collapsed="false">
      <c r="B90" s="5" t="s">
        <v>53</v>
      </c>
      <c r="C90" s="6" t="n">
        <f aca="false">SUM(D90:S90)</f>
        <v>12465.65</v>
      </c>
      <c r="D90" s="6"/>
      <c r="E90" s="6" t="n">
        <f aca="false">Office!$I$21</f>
        <v>12465.65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customFormat="false" ht="15" hidden="false" customHeight="false" outlineLevel="0" collapsed="false">
      <c r="B91" s="5" t="s">
        <v>54</v>
      </c>
      <c r="C91" s="6" t="n">
        <f aca="false">SUM(D91:S91)</f>
        <v>13263.4</v>
      </c>
      <c r="D91" s="6"/>
      <c r="E91" s="6" t="n">
        <f aca="false">Office!$I$22</f>
        <v>13263.4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customFormat="false" ht="15" hidden="false" customHeight="false" outlineLevel="0" collapsed="false">
      <c r="B92" s="5" t="s">
        <v>55</v>
      </c>
      <c r="C92" s="6" t="n">
        <f aca="false">SUM(D92:S92)</f>
        <v>7400.77</v>
      </c>
      <c r="D92" s="6"/>
      <c r="E92" s="6" t="n">
        <f aca="false">Office!$I$23</f>
        <v>7400.77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customFormat="false" ht="15" hidden="false" customHeight="false" outlineLevel="0" collapsed="false">
      <c r="B93" s="5" t="s">
        <v>54</v>
      </c>
      <c r="C93" s="6" t="n">
        <f aca="false">SUM(D93:S93)</f>
        <v>65.3</v>
      </c>
      <c r="D93" s="6"/>
      <c r="E93" s="6" t="n">
        <f aca="false">Office!$I$24</f>
        <v>65.3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customFormat="false" ht="15" hidden="false" customHeight="false" outlineLevel="0" collapsed="false">
      <c r="B94" s="5" t="s">
        <v>55</v>
      </c>
      <c r="C94" s="6" t="n">
        <f aca="false">SUM(D94:S94)</f>
        <v>22.39</v>
      </c>
      <c r="D94" s="6"/>
      <c r="E94" s="6" t="n">
        <f aca="false">Office!$I$25</f>
        <v>22.39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customFormat="false" ht="15" hidden="false" customHeight="false" outlineLevel="0" collapsed="false">
      <c r="B95" s="5" t="s">
        <v>56</v>
      </c>
      <c r="C95" s="6" t="n">
        <f aca="false">SUM(D95:S95)</f>
        <v>1054.21</v>
      </c>
      <c r="D95" s="6"/>
      <c r="E95" s="6" t="n">
        <f aca="false">Office!$I$26</f>
        <v>1054.21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customFormat="false" ht="15" hidden="false" customHeight="false" outlineLevel="0" collapsed="false">
      <c r="B96" s="5" t="s">
        <v>57</v>
      </c>
      <c r="C96" s="6" t="n">
        <f aca="false">SUM(D96:S96)</f>
        <v>3053.23</v>
      </c>
      <c r="D96" s="6"/>
      <c r="E96" s="6" t="n">
        <f aca="false">Office!$I$27</f>
        <v>3053.23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customFormat="false" ht="15" hidden="false" customHeight="false" outlineLevel="0" collapsed="false">
      <c r="B97" s="5" t="s">
        <v>56</v>
      </c>
      <c r="C97" s="6" t="n">
        <f aca="false">SUM(D97:S97)</f>
        <v>2120.61</v>
      </c>
      <c r="D97" s="6"/>
      <c r="E97" s="6" t="n">
        <f aca="false">Office!$I$28</f>
        <v>2120.61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customFormat="false" ht="15" hidden="false" customHeight="false" outlineLevel="0" collapsed="false">
      <c r="B98" s="5" t="s">
        <v>57</v>
      </c>
      <c r="C98" s="6" t="n">
        <f aca="false">SUM(D98:S98)</f>
        <v>1183.27</v>
      </c>
      <c r="D98" s="6"/>
      <c r="E98" s="6" t="n">
        <f aca="false">Office!$I$29</f>
        <v>1183.27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customFormat="false" ht="15" hidden="false" customHeight="false" outlineLevel="0" collapsed="false">
      <c r="B99" s="5" t="s">
        <v>58</v>
      </c>
      <c r="C99" s="6" t="n">
        <f aca="false">SUM(D99:S99)</f>
        <v>3268.65</v>
      </c>
      <c r="D99" s="6"/>
      <c r="E99" s="6" t="n">
        <f aca="false">Office!$I$30</f>
        <v>3268.65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customFormat="false" ht="15" hidden="false" customHeight="false" outlineLevel="0" collapsed="false">
      <c r="B100" s="5" t="s">
        <v>59</v>
      </c>
      <c r="C100" s="6" t="n">
        <f aca="false">SUM(D100:S100)</f>
        <v>1823.85</v>
      </c>
      <c r="D100" s="6"/>
      <c r="E100" s="6" t="n">
        <f aca="false">Office!$I$31</f>
        <v>1823.85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customFormat="false" ht="15" hidden="false" customHeight="false" outlineLevel="0" collapsed="false">
      <c r="B101" s="5" t="s">
        <v>60</v>
      </c>
      <c r="C101" s="6" t="n">
        <f aca="false">SUM(D101:S101)</f>
        <v>233911.9</v>
      </c>
      <c r="D101" s="6"/>
      <c r="E101" s="6"/>
      <c r="F101" s="6" t="n">
        <f aca="false">A!$I$20</f>
        <v>18720.42</v>
      </c>
      <c r="G101" s="6" t="n">
        <f aca="false">B!$I$20</f>
        <v>18720.42</v>
      </c>
      <c r="H101" s="6" t="n">
        <f aca="false">C!$I$20</f>
        <v>18720.42</v>
      </c>
      <c r="I101" s="6" t="n">
        <f aca="false">D!$I$20</f>
        <v>18720.42</v>
      </c>
      <c r="J101" s="6" t="n">
        <f aca="false">E!$I$20</f>
        <v>18720.42</v>
      </c>
      <c r="K101" s="6" t="n">
        <f aca="false">F!$I$20</f>
        <v>18720.42</v>
      </c>
      <c r="L101" s="6" t="n">
        <f aca="false">G!$I$20</f>
        <v>18720.42</v>
      </c>
      <c r="M101" s="6" t="n">
        <f aca="false">H!$I$20</f>
        <v>18720.42</v>
      </c>
      <c r="N101" s="6" t="n">
        <f aca="false">I!$I$20</f>
        <v>18720.42</v>
      </c>
      <c r="O101" s="6" t="n">
        <f aca="false">J!$I$20</f>
        <v>16357.03</v>
      </c>
      <c r="P101" s="6" t="n">
        <f aca="false">K!$I$20</f>
        <v>16357.03</v>
      </c>
      <c r="Q101" s="6" t="n">
        <f aca="false">L!$I$20</f>
        <v>16357.03</v>
      </c>
      <c r="R101" s="6" t="n">
        <f aca="false">M!$I$20</f>
        <v>16357.03</v>
      </c>
      <c r="S101" s="6"/>
    </row>
    <row r="102" customFormat="false" ht="15" hidden="false" customHeight="false" outlineLevel="0" collapsed="false">
      <c r="B102" s="5" t="s">
        <v>61</v>
      </c>
      <c r="C102" s="6" t="n">
        <f aca="false">SUM(D102:S102)</f>
        <v>451167.47</v>
      </c>
      <c r="D102" s="6"/>
      <c r="E102" s="6"/>
      <c r="F102" s="6" t="n">
        <f aca="false">A!$I$21</f>
        <v>36401.23</v>
      </c>
      <c r="G102" s="6" t="n">
        <f aca="false">B!$I$21</f>
        <v>36401.23</v>
      </c>
      <c r="H102" s="6" t="n">
        <f aca="false">C!$I$21</f>
        <v>36401.23</v>
      </c>
      <c r="I102" s="6" t="n">
        <f aca="false">D!$I$21</f>
        <v>36401.23</v>
      </c>
      <c r="J102" s="6" t="n">
        <f aca="false">E!$I$21</f>
        <v>36401.23</v>
      </c>
      <c r="K102" s="6" t="n">
        <f aca="false">F!$I$21</f>
        <v>36401.23</v>
      </c>
      <c r="L102" s="6" t="n">
        <f aca="false">G!$I$21</f>
        <v>36401.23</v>
      </c>
      <c r="M102" s="6" t="n">
        <f aca="false">H!$I$21</f>
        <v>36401.23</v>
      </c>
      <c r="N102" s="6" t="n">
        <f aca="false">I!$I$21</f>
        <v>36401.23</v>
      </c>
      <c r="O102" s="6" t="n">
        <f aca="false">J!$I$21</f>
        <v>30889.1</v>
      </c>
      <c r="P102" s="6" t="n">
        <f aca="false">K!$I$21</f>
        <v>30889.1</v>
      </c>
      <c r="Q102" s="6" t="n">
        <f aca="false">L!$I$21</f>
        <v>30889.1</v>
      </c>
      <c r="R102" s="6" t="n">
        <f aca="false">M!$I$21</f>
        <v>30889.1</v>
      </c>
      <c r="S102" s="6"/>
    </row>
    <row r="103" customFormat="false" ht="15" hidden="false" customHeight="false" outlineLevel="0" collapsed="false">
      <c r="B103" s="5" t="s">
        <v>62</v>
      </c>
      <c r="C103" s="6" t="n">
        <f aca="false">SUM(D103:S103)</f>
        <v>720810.45</v>
      </c>
      <c r="D103" s="6"/>
      <c r="E103" s="6"/>
      <c r="F103" s="6" t="n">
        <f aca="false">A!$I$22</f>
        <v>57687.85</v>
      </c>
      <c r="G103" s="6" t="n">
        <f aca="false">B!$I$22</f>
        <v>57687.85</v>
      </c>
      <c r="H103" s="6" t="n">
        <f aca="false">C!$I$22</f>
        <v>57687.85</v>
      </c>
      <c r="I103" s="6" t="n">
        <f aca="false">D!$I$22</f>
        <v>57687.85</v>
      </c>
      <c r="J103" s="6" t="n">
        <f aca="false">E!$I$22</f>
        <v>57687.85</v>
      </c>
      <c r="K103" s="6" t="n">
        <f aca="false">F!$I$22</f>
        <v>57687.85</v>
      </c>
      <c r="L103" s="6" t="n">
        <f aca="false">G!$I$22</f>
        <v>57687.85</v>
      </c>
      <c r="M103" s="6" t="n">
        <f aca="false">H!$I$22</f>
        <v>57687.85</v>
      </c>
      <c r="N103" s="6" t="n">
        <f aca="false">I!$I$22</f>
        <v>57687.85</v>
      </c>
      <c r="O103" s="6" t="n">
        <f aca="false">J!$I$22</f>
        <v>50404.95</v>
      </c>
      <c r="P103" s="6" t="n">
        <f aca="false">K!$I$22</f>
        <v>50404.95</v>
      </c>
      <c r="Q103" s="6" t="n">
        <f aca="false">L!$I$22</f>
        <v>50404.95</v>
      </c>
      <c r="R103" s="6" t="n">
        <f aca="false">M!$I$22</f>
        <v>50404.95</v>
      </c>
      <c r="S103" s="6"/>
    </row>
    <row r="104" customFormat="false" ht="15" hidden="false" customHeight="false" outlineLevel="0" collapsed="false">
      <c r="B104" s="5" t="s">
        <v>63</v>
      </c>
      <c r="C104" s="6" t="n">
        <f aca="false">SUM(D104:S104)</f>
        <v>267854.58</v>
      </c>
      <c r="D104" s="6"/>
      <c r="E104" s="6"/>
      <c r="F104" s="6" t="n">
        <f aca="false">A!$I$23</f>
        <v>21611.1</v>
      </c>
      <c r="G104" s="6" t="n">
        <f aca="false">B!$I$23</f>
        <v>21611.1</v>
      </c>
      <c r="H104" s="6" t="n">
        <f aca="false">C!$I$23</f>
        <v>21611.1</v>
      </c>
      <c r="I104" s="6" t="n">
        <f aca="false">D!$I$23</f>
        <v>21611.1</v>
      </c>
      <c r="J104" s="6" t="n">
        <f aca="false">E!$I$23</f>
        <v>21611.1</v>
      </c>
      <c r="K104" s="6" t="n">
        <f aca="false">F!$I$23</f>
        <v>21611.1</v>
      </c>
      <c r="L104" s="6" t="n">
        <f aca="false">G!$I$23</f>
        <v>21611.1</v>
      </c>
      <c r="M104" s="6" t="n">
        <f aca="false">H!$I$23</f>
        <v>21611.1</v>
      </c>
      <c r="N104" s="6" t="n">
        <f aca="false">I!$I$23</f>
        <v>21611.1</v>
      </c>
      <c r="O104" s="6" t="n">
        <f aca="false">J!$I$23</f>
        <v>18338.67</v>
      </c>
      <c r="P104" s="6" t="n">
        <f aca="false">K!$I$23</f>
        <v>18338.67</v>
      </c>
      <c r="Q104" s="6" t="n">
        <f aca="false">L!$I$23</f>
        <v>18338.67</v>
      </c>
      <c r="R104" s="6" t="n">
        <f aca="false">M!$I$23</f>
        <v>18338.67</v>
      </c>
      <c r="S104" s="6"/>
    </row>
    <row r="105" customFormat="false" ht="15" hidden="false" customHeight="false" outlineLevel="0" collapsed="false">
      <c r="B105" s="5" t="s">
        <v>62</v>
      </c>
      <c r="C105" s="6" t="n">
        <f aca="false">SUM(D105:S105)</f>
        <v>3548.95</v>
      </c>
      <c r="D105" s="6"/>
      <c r="E105" s="6"/>
      <c r="F105" s="6" t="n">
        <f aca="false">A!$I$24</f>
        <v>284.03</v>
      </c>
      <c r="G105" s="6" t="n">
        <f aca="false">B!$I$24</f>
        <v>284.03</v>
      </c>
      <c r="H105" s="6" t="n">
        <f aca="false">C!$I$24</f>
        <v>284.03</v>
      </c>
      <c r="I105" s="6" t="n">
        <f aca="false">D!$I$24</f>
        <v>284.03</v>
      </c>
      <c r="J105" s="6" t="n">
        <f aca="false">E!$I$24</f>
        <v>284.03</v>
      </c>
      <c r="K105" s="6" t="n">
        <f aca="false">F!$I$24</f>
        <v>284.03</v>
      </c>
      <c r="L105" s="6" t="n">
        <f aca="false">G!$I$24</f>
        <v>284.03</v>
      </c>
      <c r="M105" s="6" t="n">
        <f aca="false">H!$I$24</f>
        <v>284.03</v>
      </c>
      <c r="N105" s="6" t="n">
        <f aca="false">I!$I$24</f>
        <v>284.03</v>
      </c>
      <c r="O105" s="6" t="n">
        <f aca="false">J!$I$24</f>
        <v>248.17</v>
      </c>
      <c r="P105" s="6" t="n">
        <f aca="false">K!$I$24</f>
        <v>248.17</v>
      </c>
      <c r="Q105" s="6" t="n">
        <f aca="false">L!$I$24</f>
        <v>248.17</v>
      </c>
      <c r="R105" s="6" t="n">
        <f aca="false">M!$I$24</f>
        <v>248.17</v>
      </c>
      <c r="S105" s="6"/>
    </row>
    <row r="106" customFormat="false" ht="15" hidden="false" customHeight="false" outlineLevel="0" collapsed="false">
      <c r="B106" s="5" t="s">
        <v>63</v>
      </c>
      <c r="C106" s="6" t="n">
        <f aca="false">SUM(D106:S106)</f>
        <v>810.47</v>
      </c>
      <c r="D106" s="6"/>
      <c r="E106" s="6"/>
      <c r="F106" s="6" t="n">
        <f aca="false">A!$I$25</f>
        <v>65.39</v>
      </c>
      <c r="G106" s="6" t="n">
        <f aca="false">B!$I$25</f>
        <v>65.39</v>
      </c>
      <c r="H106" s="6" t="n">
        <f aca="false">C!$I$25</f>
        <v>65.39</v>
      </c>
      <c r="I106" s="6" t="n">
        <f aca="false">D!$I$25</f>
        <v>65.39</v>
      </c>
      <c r="J106" s="6" t="n">
        <f aca="false">E!$I$25</f>
        <v>65.39</v>
      </c>
      <c r="K106" s="6" t="n">
        <f aca="false">F!$I$25</f>
        <v>65.39</v>
      </c>
      <c r="L106" s="6" t="n">
        <f aca="false">G!$I$25</f>
        <v>65.39</v>
      </c>
      <c r="M106" s="6" t="n">
        <f aca="false">H!$I$25</f>
        <v>65.39</v>
      </c>
      <c r="N106" s="6" t="n">
        <f aca="false">I!$I$25</f>
        <v>65.39</v>
      </c>
      <c r="O106" s="6" t="n">
        <f aca="false">J!$I$25</f>
        <v>55.49</v>
      </c>
      <c r="P106" s="6" t="n">
        <f aca="false">K!$I$25</f>
        <v>55.49</v>
      </c>
      <c r="Q106" s="6" t="n">
        <f aca="false">L!$I$25</f>
        <v>55.49</v>
      </c>
      <c r="R106" s="6" t="n">
        <f aca="false">M!$I$25</f>
        <v>55.49</v>
      </c>
      <c r="S106" s="6"/>
    </row>
    <row r="107" customFormat="false" ht="15" hidden="false" customHeight="false" outlineLevel="0" collapsed="false">
      <c r="B107" s="5" t="s">
        <v>64</v>
      </c>
      <c r="C107" s="6" t="n">
        <f aca="false">SUM(D107:S107)</f>
        <v>57291.9</v>
      </c>
      <c r="D107" s="6"/>
      <c r="E107" s="6"/>
      <c r="F107" s="6" t="n">
        <f aca="false">A!$I$26</f>
        <v>4585.18</v>
      </c>
      <c r="G107" s="6" t="n">
        <f aca="false">B!$I$26</f>
        <v>4585.18</v>
      </c>
      <c r="H107" s="6" t="n">
        <f aca="false">C!$I$26</f>
        <v>4585.18</v>
      </c>
      <c r="I107" s="6" t="n">
        <f aca="false">D!$I$26</f>
        <v>4585.18</v>
      </c>
      <c r="J107" s="6" t="n">
        <f aca="false">E!$I$26</f>
        <v>4585.18</v>
      </c>
      <c r="K107" s="6" t="n">
        <f aca="false">F!$I$26</f>
        <v>4585.18</v>
      </c>
      <c r="L107" s="6" t="n">
        <f aca="false">G!$I$26</f>
        <v>4585.18</v>
      </c>
      <c r="M107" s="6" t="n">
        <f aca="false">H!$I$26</f>
        <v>4585.18</v>
      </c>
      <c r="N107" s="6" t="n">
        <f aca="false">I!$I$26</f>
        <v>4585.18</v>
      </c>
      <c r="O107" s="6" t="n">
        <f aca="false">J!$I$26</f>
        <v>4006.32</v>
      </c>
      <c r="P107" s="6" t="n">
        <f aca="false">K!$I$26</f>
        <v>4006.32</v>
      </c>
      <c r="Q107" s="6" t="n">
        <f aca="false">L!$I$26</f>
        <v>4006.32</v>
      </c>
      <c r="R107" s="6" t="n">
        <f aca="false">M!$I$26</f>
        <v>4006.32</v>
      </c>
      <c r="S107" s="6"/>
    </row>
    <row r="108" customFormat="false" ht="15" hidden="false" customHeight="false" outlineLevel="0" collapsed="false">
      <c r="B108" s="5" t="s">
        <v>65</v>
      </c>
      <c r="C108" s="6" t="n">
        <f aca="false">SUM(D108:S108)</f>
        <v>110503.7</v>
      </c>
      <c r="D108" s="6"/>
      <c r="E108" s="6"/>
      <c r="F108" s="6" t="n">
        <f aca="false">A!$I$27</f>
        <v>8915.66</v>
      </c>
      <c r="G108" s="6" t="n">
        <f aca="false">B!$I$27</f>
        <v>8915.66</v>
      </c>
      <c r="H108" s="6" t="n">
        <f aca="false">C!$I$27</f>
        <v>8915.66</v>
      </c>
      <c r="I108" s="6" t="n">
        <f aca="false">D!$I$27</f>
        <v>8915.66</v>
      </c>
      <c r="J108" s="6" t="n">
        <f aca="false">E!$I$27</f>
        <v>8915.66</v>
      </c>
      <c r="K108" s="6" t="n">
        <f aca="false">F!$I$27</f>
        <v>8915.66</v>
      </c>
      <c r="L108" s="6" t="n">
        <f aca="false">G!$I$27</f>
        <v>8915.66</v>
      </c>
      <c r="M108" s="6" t="n">
        <f aca="false">H!$I$27</f>
        <v>8915.66</v>
      </c>
      <c r="N108" s="6" t="n">
        <f aca="false">I!$I$27</f>
        <v>8915.66</v>
      </c>
      <c r="O108" s="6" t="n">
        <f aca="false">J!$I$27</f>
        <v>7565.69</v>
      </c>
      <c r="P108" s="6" t="n">
        <f aca="false">K!$I$27</f>
        <v>7565.69</v>
      </c>
      <c r="Q108" s="6" t="n">
        <f aca="false">L!$I$27</f>
        <v>7565.69</v>
      </c>
      <c r="R108" s="6" t="n">
        <f aca="false">M!$I$27</f>
        <v>7565.69</v>
      </c>
      <c r="S108" s="6"/>
    </row>
    <row r="109" customFormat="false" ht="15" hidden="false" customHeight="false" outlineLevel="0" collapsed="false">
      <c r="B109" s="5" t="s">
        <v>64</v>
      </c>
      <c r="C109" s="6" t="n">
        <f aca="false">SUM(D109:S109)</f>
        <v>115246.04</v>
      </c>
      <c r="D109" s="6"/>
      <c r="E109" s="6"/>
      <c r="F109" s="6" t="n">
        <f aca="false">A!$I$28</f>
        <v>9223.36</v>
      </c>
      <c r="G109" s="6" t="n">
        <f aca="false">B!$I$28</f>
        <v>9223.36</v>
      </c>
      <c r="H109" s="6" t="n">
        <f aca="false">C!$I$28</f>
        <v>9223.36</v>
      </c>
      <c r="I109" s="6" t="n">
        <f aca="false">D!$I$28</f>
        <v>9223.36</v>
      </c>
      <c r="J109" s="6" t="n">
        <f aca="false">E!$I$28</f>
        <v>9223.36</v>
      </c>
      <c r="K109" s="6" t="n">
        <f aca="false">F!$I$28</f>
        <v>9223.36</v>
      </c>
      <c r="L109" s="6" t="n">
        <f aca="false">G!$I$28</f>
        <v>9223.36</v>
      </c>
      <c r="M109" s="6" t="n">
        <f aca="false">H!$I$28</f>
        <v>9223.36</v>
      </c>
      <c r="N109" s="6" t="n">
        <f aca="false">I!$I$28</f>
        <v>9223.36</v>
      </c>
      <c r="O109" s="6" t="n">
        <f aca="false">J!$I$28</f>
        <v>8058.95</v>
      </c>
      <c r="P109" s="6" t="n">
        <f aca="false">K!$I$28</f>
        <v>8058.95</v>
      </c>
      <c r="Q109" s="6" t="n">
        <f aca="false">L!$I$28</f>
        <v>8058.95</v>
      </c>
      <c r="R109" s="6" t="n">
        <f aca="false">M!$I$28</f>
        <v>8058.95</v>
      </c>
      <c r="S109" s="6"/>
    </row>
    <row r="110" customFormat="false" ht="15" hidden="false" customHeight="false" outlineLevel="0" collapsed="false">
      <c r="B110" s="5" t="s">
        <v>65</v>
      </c>
      <c r="C110" s="6" t="n">
        <f aca="false">SUM(D110:S110)</f>
        <v>42825.54</v>
      </c>
      <c r="D110" s="6"/>
      <c r="E110" s="6"/>
      <c r="F110" s="6" t="n">
        <f aca="false">A!$I$29</f>
        <v>3455.26</v>
      </c>
      <c r="G110" s="6" t="n">
        <f aca="false">B!$I$29</f>
        <v>3455.26</v>
      </c>
      <c r="H110" s="6" t="n">
        <f aca="false">C!$I$29</f>
        <v>3455.26</v>
      </c>
      <c r="I110" s="6" t="n">
        <f aca="false">D!$I$29</f>
        <v>3455.26</v>
      </c>
      <c r="J110" s="6" t="n">
        <f aca="false">E!$I$29</f>
        <v>3455.26</v>
      </c>
      <c r="K110" s="6" t="n">
        <f aca="false">F!$I$29</f>
        <v>3455.26</v>
      </c>
      <c r="L110" s="6" t="n">
        <f aca="false">G!$I$29</f>
        <v>3455.26</v>
      </c>
      <c r="M110" s="6" t="n">
        <f aca="false">H!$I$29</f>
        <v>3455.26</v>
      </c>
      <c r="N110" s="6" t="n">
        <f aca="false">I!$I$29</f>
        <v>3455.26</v>
      </c>
      <c r="O110" s="6" t="n">
        <f aca="false">J!$I$29</f>
        <v>2932.05</v>
      </c>
      <c r="P110" s="6" t="n">
        <f aca="false">K!$I$29</f>
        <v>2932.05</v>
      </c>
      <c r="Q110" s="6" t="n">
        <f aca="false">L!$I$29</f>
        <v>2932.05</v>
      </c>
      <c r="R110" s="6" t="n">
        <f aca="false">M!$I$29</f>
        <v>2932.05</v>
      </c>
      <c r="S110" s="6"/>
    </row>
    <row r="111" customFormat="false" ht="15" hidden="false" customHeight="false" outlineLevel="0" collapsed="false">
      <c r="B111" s="5" t="s">
        <v>66</v>
      </c>
      <c r="C111" s="6" t="n">
        <f aca="false">SUM(D111:S111)</f>
        <v>177637.73</v>
      </c>
      <c r="D111" s="6"/>
      <c r="E111" s="6"/>
      <c r="F111" s="6" t="n">
        <f aca="false">A!$I$30</f>
        <v>14216.69</v>
      </c>
      <c r="G111" s="6" t="n">
        <f aca="false">B!$I$30</f>
        <v>14216.69</v>
      </c>
      <c r="H111" s="6" t="n">
        <f aca="false">C!$I$30</f>
        <v>14216.69</v>
      </c>
      <c r="I111" s="6" t="n">
        <f aca="false">D!$I$30</f>
        <v>14216.69</v>
      </c>
      <c r="J111" s="6" t="n">
        <f aca="false">E!$I$30</f>
        <v>14216.69</v>
      </c>
      <c r="K111" s="6" t="n">
        <f aca="false">F!$I$30</f>
        <v>14216.69</v>
      </c>
      <c r="L111" s="6" t="n">
        <f aca="false">G!$I$30</f>
        <v>14216.69</v>
      </c>
      <c r="M111" s="6" t="n">
        <f aca="false">H!$I$30</f>
        <v>14216.69</v>
      </c>
      <c r="N111" s="6" t="n">
        <f aca="false">I!$I$30</f>
        <v>14216.69</v>
      </c>
      <c r="O111" s="6" t="n">
        <f aca="false">J!$I$30</f>
        <v>12421.88</v>
      </c>
      <c r="P111" s="6" t="n">
        <f aca="false">K!$I$30</f>
        <v>12421.88</v>
      </c>
      <c r="Q111" s="6" t="n">
        <f aca="false">L!$I$30</f>
        <v>12421.88</v>
      </c>
      <c r="R111" s="6" t="n">
        <f aca="false">M!$I$30</f>
        <v>12421.88</v>
      </c>
      <c r="S111" s="6"/>
    </row>
    <row r="112" customFormat="false" ht="15" hidden="false" customHeight="false" outlineLevel="0" collapsed="false">
      <c r="B112" s="5" t="s">
        <v>67</v>
      </c>
      <c r="C112" s="6" t="n">
        <f aca="false">SUM(D112:S112)</f>
        <v>66010.65</v>
      </c>
      <c r="D112" s="6"/>
      <c r="E112" s="6"/>
      <c r="F112" s="6" t="n">
        <f aca="false">A!$I$31</f>
        <v>5325.89</v>
      </c>
      <c r="G112" s="6" t="n">
        <f aca="false">B!$I$31</f>
        <v>5325.89</v>
      </c>
      <c r="H112" s="6" t="n">
        <f aca="false">C!$I$31</f>
        <v>5325.89</v>
      </c>
      <c r="I112" s="6" t="n">
        <f aca="false">D!$I$31</f>
        <v>5325.89</v>
      </c>
      <c r="J112" s="6" t="n">
        <f aca="false">E!$I$31</f>
        <v>5325.89</v>
      </c>
      <c r="K112" s="6" t="n">
        <f aca="false">F!$I$31</f>
        <v>5325.89</v>
      </c>
      <c r="L112" s="6" t="n">
        <f aca="false">G!$I$31</f>
        <v>5325.89</v>
      </c>
      <c r="M112" s="6" t="n">
        <f aca="false">H!$I$31</f>
        <v>5325.89</v>
      </c>
      <c r="N112" s="6" t="n">
        <f aca="false">I!$I$31</f>
        <v>5325.89</v>
      </c>
      <c r="O112" s="6" t="n">
        <f aca="false">J!$I$31</f>
        <v>4519.41</v>
      </c>
      <c r="P112" s="6" t="n">
        <f aca="false">K!$I$31</f>
        <v>4519.41</v>
      </c>
      <c r="Q112" s="6" t="n">
        <f aca="false">L!$I$31</f>
        <v>4519.41</v>
      </c>
      <c r="R112" s="6" t="n">
        <f aca="false">M!$I$31</f>
        <v>4519.41</v>
      </c>
      <c r="S112" s="6"/>
    </row>
    <row r="113" customFormat="false" ht="15" hidden="false" customHeight="false" outlineLevel="0" collapsed="false">
      <c r="B113" s="5" t="s">
        <v>68</v>
      </c>
      <c r="C113" s="6" t="n">
        <f aca="false">SUM(D113:S113)</f>
        <v>68710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 t="n">
        <f aca="false">Imp!$I$17</f>
        <v>68710</v>
      </c>
    </row>
    <row r="114" customFormat="false" ht="15" hidden="false" customHeight="false" outlineLevel="0" collapsed="false">
      <c r="B114" s="5" t="s">
        <v>68</v>
      </c>
      <c r="C114" s="6" t="n">
        <f aca="false">SUM(D114:S114)</f>
        <v>5854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 t="n">
        <f aca="false">Imp!$I$18</f>
        <v>5854</v>
      </c>
    </row>
    <row r="115" customFormat="false" ht="15" hidden="false" customHeight="false" outlineLevel="0" collapsed="false">
      <c r="B115" s="5" t="s">
        <v>69</v>
      </c>
      <c r="C115" s="6" t="n">
        <f aca="false">SUM(D115:S115)</f>
        <v>77000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 t="n">
        <f aca="false">Imp!$I$19</f>
        <v>77000</v>
      </c>
    </row>
    <row r="116" customFormat="false" ht="15" hidden="false" customHeight="false" outlineLevel="0" collapsed="false">
      <c r="B116" s="5" t="s">
        <v>70</v>
      </c>
      <c r="C116" s="6" t="n">
        <f aca="false">SUM(D116:S116)</f>
        <v>10792.32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 t="n">
        <f aca="false">Imp!$I$20</f>
        <v>10792.32</v>
      </c>
    </row>
    <row r="117" customFormat="false" ht="15" hidden="false" customHeight="false" outlineLevel="0" collapsed="false">
      <c r="A117" s="7"/>
      <c r="B117" s="8" t="s">
        <v>75</v>
      </c>
      <c r="C117" s="9" t="n">
        <f aca="false">SUM(C77:C116)</f>
        <v>3024281.74</v>
      </c>
      <c r="D117" s="9" t="n">
        <f aca="false">SUM(D77:D116)</f>
        <v>564280.57</v>
      </c>
      <c r="E117" s="9" t="n">
        <f aca="false">SUM(E77:E116)</f>
        <v>50025.47</v>
      </c>
      <c r="F117" s="9" t="n">
        <f aca="false">SUM(F77:F116)</f>
        <v>180492.06</v>
      </c>
      <c r="G117" s="9" t="n">
        <f aca="false">SUM(G77:G116)</f>
        <v>180492.06</v>
      </c>
      <c r="H117" s="9" t="n">
        <f aca="false">SUM(H77:H116)</f>
        <v>180492.06</v>
      </c>
      <c r="I117" s="9" t="n">
        <f aca="false">SUM(I77:I116)</f>
        <v>180492.06</v>
      </c>
      <c r="J117" s="9" t="n">
        <f aca="false">SUM(J77:J116)</f>
        <v>180492.06</v>
      </c>
      <c r="K117" s="9" t="n">
        <f aca="false">SUM(K77:K116)</f>
        <v>180492.06</v>
      </c>
      <c r="L117" s="9" t="n">
        <f aca="false">SUM(L77:L116)</f>
        <v>180492.06</v>
      </c>
      <c r="M117" s="9" t="n">
        <f aca="false">SUM(M77:M116)</f>
        <v>180492.06</v>
      </c>
      <c r="N117" s="9" t="n">
        <f aca="false">SUM(N77:N116)</f>
        <v>180492.06</v>
      </c>
      <c r="O117" s="9" t="n">
        <f aca="false">SUM(O77:O116)</f>
        <v>155797.71</v>
      </c>
      <c r="P117" s="9" t="n">
        <f aca="false">SUM(P77:P116)</f>
        <v>155797.71</v>
      </c>
      <c r="Q117" s="9" t="n">
        <f aca="false">SUM(Q77:Q116)</f>
        <v>155797.71</v>
      </c>
      <c r="R117" s="9" t="n">
        <f aca="false">SUM(R77:R116)</f>
        <v>155797.71</v>
      </c>
      <c r="S117" s="9" t="n">
        <f aca="false">SUM(S77:S116)</f>
        <v>162356.32</v>
      </c>
    </row>
    <row r="118" customFormat="false" ht="15" hidden="false" customHeight="false" outlineLevel="0" collapsed="false">
      <c r="A118" s="13"/>
      <c r="B118" s="14" t="s">
        <v>76</v>
      </c>
      <c r="C118" s="15" t="n">
        <f aca="false">C76-C117</f>
        <v>-220443.79</v>
      </c>
      <c r="D118" s="15" t="n">
        <f aca="false">D76-D117</f>
        <v>-264451.3</v>
      </c>
      <c r="E118" s="15" t="n">
        <f aca="false">E76-E117</f>
        <v>11828.47</v>
      </c>
      <c r="F118" s="15" t="n">
        <f aca="false">F76-F117</f>
        <v>13043.12</v>
      </c>
      <c r="G118" s="15" t="n">
        <f aca="false">G76-G117</f>
        <v>13043.12</v>
      </c>
      <c r="H118" s="15" t="n">
        <f aca="false">H76-H117</f>
        <v>13043.12</v>
      </c>
      <c r="I118" s="15" t="n">
        <f aca="false">I76-I117</f>
        <v>13043.12</v>
      </c>
      <c r="J118" s="15" t="n">
        <f aca="false">J76-J117</f>
        <v>13043.12</v>
      </c>
      <c r="K118" s="15" t="n">
        <f aca="false">K76-K117</f>
        <v>13043.12</v>
      </c>
      <c r="L118" s="15" t="n">
        <f aca="false">L76-L117</f>
        <v>13043.12</v>
      </c>
      <c r="M118" s="15" t="n">
        <f aca="false">M76-M117</f>
        <v>13043.12</v>
      </c>
      <c r="N118" s="15" t="n">
        <f aca="false">N76-N117</f>
        <v>13043.12</v>
      </c>
      <c r="O118" s="15" t="n">
        <f aca="false">O76-O117</f>
        <v>9421.07000000001</v>
      </c>
      <c r="P118" s="15" t="n">
        <f aca="false">P76-P117</f>
        <v>9421.07000000001</v>
      </c>
      <c r="Q118" s="15" t="n">
        <f aca="false">Q76-Q117</f>
        <v>9421.07000000001</v>
      </c>
      <c r="R118" s="15" t="n">
        <f aca="false">R76-R117</f>
        <v>9421.07000000001</v>
      </c>
      <c r="S118" s="15" t="n">
        <f aca="false">S76-S117</f>
        <v>-122893.32</v>
      </c>
    </row>
    <row r="119" customFormat="false" ht="15" hidden="false" customHeight="false" outlineLevel="0" collapsed="false">
      <c r="B119" s="16" t="s">
        <v>77</v>
      </c>
      <c r="C119" s="17" t="n">
        <f aca="false">C118-(-220443.79)</f>
        <v>0</v>
      </c>
      <c r="D119" s="17" t="n">
        <f aca="false">D118-Site!$D$37</f>
        <v>0</v>
      </c>
      <c r="E119" s="17" t="n">
        <f aca="false">E118-Office!$D$37</f>
        <v>0</v>
      </c>
      <c r="F119" s="17" t="n">
        <f aca="false">F118-A!$D$37</f>
        <v>0</v>
      </c>
      <c r="G119" s="17" t="n">
        <f aca="false">G118-B!$D$37</f>
        <v>0</v>
      </c>
      <c r="H119" s="17" t="n">
        <f aca="false">H118-C!$D$37</f>
        <v>0</v>
      </c>
      <c r="I119" s="17" t="n">
        <f aca="false">I118-D!$D$37</f>
        <v>0</v>
      </c>
      <c r="J119" s="17" t="n">
        <f aca="false">J118-E!$D$37</f>
        <v>0</v>
      </c>
      <c r="K119" s="17" t="n">
        <f aca="false">K118-F!$D$37</f>
        <v>0</v>
      </c>
      <c r="L119" s="17" t="n">
        <f aca="false">L118-G!$D$37</f>
        <v>0</v>
      </c>
      <c r="M119" s="17" t="n">
        <f aca="false">M118-H!$D$37</f>
        <v>0</v>
      </c>
      <c r="N119" s="17" t="n">
        <f aca="false">N118-I!$D$37</f>
        <v>0</v>
      </c>
      <c r="O119" s="17" t="n">
        <f aca="false">O118-J!$D$37</f>
        <v>0</v>
      </c>
      <c r="P119" s="17" t="n">
        <f aca="false">P118-K!$D$37</f>
        <v>0</v>
      </c>
      <c r="Q119" s="17" t="n">
        <f aca="false">Q118-L!$D$37</f>
        <v>0</v>
      </c>
      <c r="R119" s="17" t="n">
        <f aca="false">R118-M!$D$37</f>
        <v>0</v>
      </c>
      <c r="S119" s="17" t="n">
        <f aca="false">S118-Imp!$D$26</f>
        <v>0</v>
      </c>
    </row>
    <row r="121" customFormat="false" ht="15" hidden="false" customHeight="false" outlineLevel="0" collapsed="false">
      <c r="B121" s="18" t="s">
        <v>78</v>
      </c>
    </row>
    <row r="122" customFormat="false" ht="15" hidden="false" customHeight="false" outlineLevel="0" collapsed="false">
      <c r="B122" s="19" t="s">
        <v>79</v>
      </c>
    </row>
    <row r="123" customFormat="false" ht="15" hidden="false" customHeight="false" outlineLevel="0" collapsed="false">
      <c r="B123" s="19" t="s">
        <v>80</v>
      </c>
    </row>
    <row r="124" customFormat="false" ht="15" hidden="false" customHeight="false" outlineLevel="0" collapsed="false">
      <c r="B124" s="19" t="s">
        <v>81</v>
      </c>
    </row>
    <row r="125" customFormat="false" ht="15" hidden="false" customHeight="false" outlineLevel="0" collapsed="false">
      <c r="B125" s="19" t="s">
        <v>82</v>
      </c>
    </row>
    <row r="126" customFormat="false" ht="15" hidden="false" customHeight="false" outlineLevel="0" collapsed="false">
      <c r="B126" s="1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84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24</v>
      </c>
      <c r="C10" s="23" t="s">
        <v>23</v>
      </c>
      <c r="D10" s="24" t="n">
        <v>142802.44</v>
      </c>
      <c r="E10" s="24" t="n">
        <v>0</v>
      </c>
      <c r="F10" s="24" t="n">
        <v>0</v>
      </c>
      <c r="G10" s="24" t="n">
        <v>48820.24</v>
      </c>
      <c r="H10" s="24" t="n">
        <v>5205.3</v>
      </c>
      <c r="I10" s="24" t="n">
        <f aca="false">G10+H10</f>
        <v>54025.54</v>
      </c>
      <c r="J10" s="24" t="n">
        <f aca="false">D10-I10</f>
        <v>88776.9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26</v>
      </c>
      <c r="C11" s="23" t="s">
        <v>25</v>
      </c>
      <c r="D11" s="24" t="n">
        <v>440052.61</v>
      </c>
      <c r="E11" s="24" t="n">
        <v>0</v>
      </c>
      <c r="F11" s="24" t="n">
        <v>0</v>
      </c>
      <c r="G11" s="24" t="n">
        <v>26002.77</v>
      </c>
      <c r="H11" s="24" t="n">
        <v>16000.33</v>
      </c>
      <c r="I11" s="24" t="n">
        <f aca="false">G11+H11</f>
        <v>42003.1</v>
      </c>
      <c r="J11" s="24" t="n">
        <f aca="false">D11-I11</f>
        <v>398049.51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26</v>
      </c>
      <c r="C12" s="23" t="s">
        <v>27</v>
      </c>
      <c r="D12" s="24" t="n">
        <v>2396.64</v>
      </c>
      <c r="E12" s="24" t="n">
        <v>0</v>
      </c>
      <c r="F12" s="24" t="n">
        <v>0</v>
      </c>
      <c r="G12" s="24" t="n">
        <v>39.97</v>
      </c>
      <c r="H12" s="24" t="n">
        <v>87.2</v>
      </c>
      <c r="I12" s="24" t="n">
        <v>127.12</v>
      </c>
      <c r="J12" s="24" t="n">
        <v>2269.52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28</v>
      </c>
      <c r="C13" s="23" t="s">
        <v>23</v>
      </c>
      <c r="D13" s="24" t="n">
        <v>34976.58</v>
      </c>
      <c r="E13" s="24" t="n">
        <v>0</v>
      </c>
      <c r="F13" s="24" t="n">
        <v>22769.68</v>
      </c>
      <c r="G13" s="24" t="n">
        <v>22769.68</v>
      </c>
      <c r="H13" s="24" t="n">
        <v>2099.13</v>
      </c>
      <c r="I13" s="24" t="n">
        <f aca="false">G13+H13</f>
        <v>24868.81</v>
      </c>
      <c r="J13" s="24" t="n">
        <f aca="false">D13-I13</f>
        <v>10107.77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28</v>
      </c>
      <c r="C14" s="23" t="s">
        <v>25</v>
      </c>
      <c r="D14" s="24" t="n">
        <v>70357.38</v>
      </c>
      <c r="E14" s="24" t="n">
        <v>0</v>
      </c>
      <c r="F14" s="24" t="n">
        <v>70357.38</v>
      </c>
      <c r="G14" s="24" t="n">
        <v>70357.38</v>
      </c>
      <c r="H14" s="24" t="n">
        <v>0</v>
      </c>
      <c r="I14" s="24" t="n">
        <f aca="false">G14+H14</f>
        <v>70357.38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29</v>
      </c>
      <c r="C15" s="23" t="s">
        <v>25</v>
      </c>
      <c r="D15" s="24" t="n">
        <v>108447.32</v>
      </c>
      <c r="E15" s="24" t="n">
        <v>0</v>
      </c>
      <c r="F15" s="24" t="n">
        <v>108447.32</v>
      </c>
      <c r="G15" s="24" t="n">
        <v>108447.32</v>
      </c>
      <c r="H15" s="24" t="n">
        <v>0</v>
      </c>
      <c r="I15" s="24" t="n">
        <f aca="false">G15+H15</f>
        <v>108447.32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799032.97</v>
      </c>
      <c r="E16" s="28" t="n">
        <f aca="false">SUM(E10:E15)</f>
        <v>0</v>
      </c>
      <c r="F16" s="28" t="n">
        <f aca="false">SUM(F10:F15)</f>
        <v>201574.38</v>
      </c>
      <c r="G16" s="28" t="n">
        <f aca="false">SUM(G10:G15)</f>
        <v>276437.36</v>
      </c>
      <c r="H16" s="28" t="n">
        <f aca="false">SUM(H10:H15)</f>
        <v>23391.96</v>
      </c>
      <c r="I16" s="28" t="n">
        <f aca="false">SUM(I10:I15)</f>
        <v>299829.27</v>
      </c>
      <c r="J16" s="28" t="n">
        <f aca="false">SUM(J10:J15)</f>
        <v>499203.7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44</v>
      </c>
      <c r="C20" s="23" t="s">
        <v>23</v>
      </c>
      <c r="D20" s="24" t="n">
        <v>91941.42</v>
      </c>
      <c r="E20" s="24" t="n">
        <v>0</v>
      </c>
      <c r="F20" s="24" t="n">
        <v>0</v>
      </c>
      <c r="G20" s="24" t="n">
        <v>78368.8</v>
      </c>
      <c r="H20" s="24" t="n">
        <v>5429.05</v>
      </c>
      <c r="I20" s="24" t="n">
        <f aca="false">G20+H20</f>
        <v>83797.85</v>
      </c>
      <c r="J20" s="24" t="n">
        <f aca="false">D20-I20</f>
        <v>8143.56999999999</v>
      </c>
      <c r="K20" s="25" t="s">
        <v>102</v>
      </c>
      <c r="L20" s="25" t="s">
        <v>103</v>
      </c>
    </row>
    <row r="21" customFormat="false" ht="15" hidden="false" customHeight="false" outlineLevel="0" collapsed="false">
      <c r="A21" s="23" t="n">
        <v>2</v>
      </c>
      <c r="B21" s="23" t="s">
        <v>45</v>
      </c>
      <c r="C21" s="23" t="s">
        <v>23</v>
      </c>
      <c r="D21" s="24" t="n">
        <v>50861.02</v>
      </c>
      <c r="E21" s="24" t="n">
        <v>0</v>
      </c>
      <c r="F21" s="24" t="n">
        <v>0</v>
      </c>
      <c r="G21" s="24" t="n">
        <v>23349.81</v>
      </c>
      <c r="H21" s="24" t="n">
        <v>1849.49</v>
      </c>
      <c r="I21" s="24" t="n">
        <f aca="false">G21+H21</f>
        <v>25199.3</v>
      </c>
      <c r="J21" s="24" t="n">
        <f aca="false">D21-I21</f>
        <v>25661.72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46</v>
      </c>
      <c r="C22" s="23" t="s">
        <v>25</v>
      </c>
      <c r="D22" s="24" t="n">
        <v>283321.93</v>
      </c>
      <c r="E22" s="24" t="n">
        <v>0</v>
      </c>
      <c r="F22" s="24" t="n">
        <v>283321.93</v>
      </c>
      <c r="G22" s="24" t="n">
        <v>283321.93</v>
      </c>
      <c r="H22" s="24" t="n">
        <v>0</v>
      </c>
      <c r="I22" s="24" t="n">
        <f aca="false">G22+H22</f>
        <v>283321.93</v>
      </c>
      <c r="J22" s="24" t="n">
        <f aca="false">D22-I22</f>
        <v>0</v>
      </c>
      <c r="K22" s="25" t="s">
        <v>102</v>
      </c>
      <c r="L22" s="25" t="s">
        <v>103</v>
      </c>
    </row>
    <row r="23" customFormat="false" ht="15" hidden="false" customHeight="false" outlineLevel="0" collapsed="false">
      <c r="A23" s="23" t="n">
        <v>4</v>
      </c>
      <c r="B23" s="23" t="s">
        <v>47</v>
      </c>
      <c r="C23" s="23" t="s">
        <v>25</v>
      </c>
      <c r="D23" s="24" t="n">
        <v>156730.68</v>
      </c>
      <c r="E23" s="24" t="n">
        <v>0</v>
      </c>
      <c r="F23" s="24" t="n">
        <v>0</v>
      </c>
      <c r="G23" s="24" t="n">
        <v>9261.36</v>
      </c>
      <c r="H23" s="24" t="n">
        <v>5699.3</v>
      </c>
      <c r="I23" s="24" t="n">
        <f aca="false">G23+H23</f>
        <v>14960.66</v>
      </c>
      <c r="J23" s="24" t="n">
        <f aca="false">D23-I23</f>
        <v>141770.02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46</v>
      </c>
      <c r="C24" s="23" t="s">
        <v>27</v>
      </c>
      <c r="D24" s="24" t="n">
        <v>1543.04</v>
      </c>
      <c r="E24" s="24" t="n">
        <v>0</v>
      </c>
      <c r="F24" s="24" t="n">
        <v>1234.43</v>
      </c>
      <c r="G24" s="24" t="n">
        <v>1249.86</v>
      </c>
      <c r="H24" s="24" t="n">
        <v>29.32</v>
      </c>
      <c r="I24" s="24" t="n">
        <f aca="false">G24+H24</f>
        <v>1279.18</v>
      </c>
      <c r="J24" s="24" t="n">
        <f aca="false">D24-I24</f>
        <v>263.86</v>
      </c>
      <c r="K24" s="25" t="s">
        <v>102</v>
      </c>
      <c r="L24" s="25" t="s">
        <v>103</v>
      </c>
    </row>
    <row r="25" customFormat="false" ht="15" hidden="false" customHeight="false" outlineLevel="0" collapsed="false">
      <c r="A25" s="23" t="n">
        <v>6</v>
      </c>
      <c r="B25" s="23" t="s">
        <v>47</v>
      </c>
      <c r="C25" s="23" t="s">
        <v>27</v>
      </c>
      <c r="D25" s="24" t="n">
        <v>853.6</v>
      </c>
      <c r="E25" s="24" t="n">
        <v>0</v>
      </c>
      <c r="F25" s="24" t="n">
        <v>0</v>
      </c>
      <c r="G25" s="24" t="n">
        <v>14.23</v>
      </c>
      <c r="H25" s="24" t="n">
        <v>31.04</v>
      </c>
      <c r="I25" s="24" t="n">
        <f aca="false">G25+H25</f>
        <v>45.27</v>
      </c>
      <c r="J25" s="24" t="n">
        <f aca="false">D25-I25</f>
        <v>808.33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48</v>
      </c>
      <c r="C26" s="23" t="s">
        <v>23</v>
      </c>
      <c r="D26" s="24" t="n">
        <v>22519.2</v>
      </c>
      <c r="E26" s="24" t="n">
        <v>0</v>
      </c>
      <c r="F26" s="24" t="n">
        <v>22519.2</v>
      </c>
      <c r="G26" s="24" t="n">
        <v>22519.2</v>
      </c>
      <c r="H26" s="24" t="n">
        <v>0</v>
      </c>
      <c r="I26" s="24" t="n">
        <f aca="false">G26+H26</f>
        <v>22519.2</v>
      </c>
      <c r="J26" s="24" t="n">
        <f aca="false">D26-I26</f>
        <v>0</v>
      </c>
      <c r="K26" s="25" t="s">
        <v>102</v>
      </c>
      <c r="L26" s="25" t="s">
        <v>103</v>
      </c>
    </row>
    <row r="27" customFormat="false" ht="15" hidden="false" customHeight="false" outlineLevel="0" collapsed="false">
      <c r="A27" s="23" t="n">
        <v>8</v>
      </c>
      <c r="B27" s="23" t="s">
        <v>49</v>
      </c>
      <c r="C27" s="23" t="s">
        <v>23</v>
      </c>
      <c r="D27" s="24" t="n">
        <v>12457.38</v>
      </c>
      <c r="E27" s="24" t="n">
        <v>0</v>
      </c>
      <c r="F27" s="24" t="n">
        <v>0</v>
      </c>
      <c r="G27" s="24" t="n">
        <v>11504.28</v>
      </c>
      <c r="H27" s="24" t="n">
        <v>453</v>
      </c>
      <c r="I27" s="24" t="n">
        <f aca="false">G27+H27</f>
        <v>11957.28</v>
      </c>
      <c r="J27" s="24" t="n">
        <f aca="false">D27-I27</f>
        <v>500.099999999999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48</v>
      </c>
      <c r="C28" s="23" t="s">
        <v>25</v>
      </c>
      <c r="D28" s="24" t="n">
        <v>45298.65</v>
      </c>
      <c r="E28" s="24" t="n">
        <v>0</v>
      </c>
      <c r="F28" s="24" t="n">
        <v>45298.65</v>
      </c>
      <c r="G28" s="24" t="n">
        <v>45298.65</v>
      </c>
      <c r="H28" s="24" t="n">
        <v>0</v>
      </c>
      <c r="I28" s="24" t="n">
        <f aca="false">G28+H28</f>
        <v>45298.65</v>
      </c>
      <c r="J28" s="24" t="n">
        <f aca="false">D28-I28</f>
        <v>0</v>
      </c>
      <c r="K28" s="25" t="s">
        <v>102</v>
      </c>
      <c r="L28" s="25" t="s">
        <v>103</v>
      </c>
    </row>
    <row r="29" customFormat="false" ht="15" hidden="false" customHeight="false" outlineLevel="0" collapsed="false">
      <c r="A29" s="23" t="n">
        <v>10</v>
      </c>
      <c r="B29" s="23" t="s">
        <v>49</v>
      </c>
      <c r="C29" s="23" t="s">
        <v>25</v>
      </c>
      <c r="D29" s="24" t="n">
        <v>25058.73</v>
      </c>
      <c r="E29" s="24" t="n">
        <v>0</v>
      </c>
      <c r="F29" s="24" t="n">
        <v>0</v>
      </c>
      <c r="G29" s="24" t="n">
        <v>1480.75</v>
      </c>
      <c r="H29" s="24" t="n">
        <v>911.23</v>
      </c>
      <c r="I29" s="24" t="n">
        <f aca="false">G29+H29</f>
        <v>2391.98</v>
      </c>
      <c r="J29" s="24" t="n">
        <f aca="false">D29-I29</f>
        <v>22666.75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50</v>
      </c>
      <c r="C30" s="23" t="s">
        <v>25</v>
      </c>
      <c r="D30" s="24" t="n">
        <v>69822.35</v>
      </c>
      <c r="E30" s="24" t="n">
        <v>0</v>
      </c>
      <c r="F30" s="24" t="n">
        <v>69822.35</v>
      </c>
      <c r="G30" s="24" t="n">
        <v>69822.35</v>
      </c>
      <c r="H30" s="24" t="n">
        <v>0</v>
      </c>
      <c r="I30" s="24" t="n">
        <f aca="false">G30+H30</f>
        <v>69822.35</v>
      </c>
      <c r="J30" s="24" t="n">
        <f aca="false">D30-I30</f>
        <v>0</v>
      </c>
      <c r="K30" s="25" t="s">
        <v>102</v>
      </c>
      <c r="L30" s="25" t="s">
        <v>103</v>
      </c>
    </row>
    <row r="31" customFormat="false" ht="15" hidden="false" customHeight="false" outlineLevel="0" collapsed="false">
      <c r="A31" s="23" t="n">
        <v>12</v>
      </c>
      <c r="B31" s="23" t="s">
        <v>51</v>
      </c>
      <c r="C31" s="23" t="s">
        <v>25</v>
      </c>
      <c r="D31" s="24" t="n">
        <v>38624.97</v>
      </c>
      <c r="E31" s="24" t="n">
        <v>0</v>
      </c>
      <c r="F31" s="24" t="n">
        <v>0</v>
      </c>
      <c r="G31" s="24" t="n">
        <v>2282.38</v>
      </c>
      <c r="H31" s="24" t="n">
        <v>1404.54</v>
      </c>
      <c r="I31" s="24" t="n">
        <f aca="false">G31+H31</f>
        <v>3686.92</v>
      </c>
      <c r="J31" s="24" t="n">
        <f aca="false">D31-I31</f>
        <v>34938.05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799032.97</v>
      </c>
      <c r="E32" s="28" t="n">
        <f aca="false">SUM(E20:E31)</f>
        <v>0</v>
      </c>
      <c r="F32" s="28" t="n">
        <f aca="false">SUM(F20:F31)</f>
        <v>422196.56</v>
      </c>
      <c r="G32" s="28" t="n">
        <f aca="false">SUM(G20:G31)</f>
        <v>548473.6</v>
      </c>
      <c r="H32" s="28" t="n">
        <f aca="false">SUM(H20:H31)</f>
        <v>15806.97</v>
      </c>
      <c r="I32" s="28" t="n">
        <f aca="false">SUM(I20:I31)</f>
        <v>564280.57</v>
      </c>
      <c r="J32" s="28" t="n">
        <f aca="false">SUM(J20:J31)</f>
        <v>234752.4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299829.27</v>
      </c>
    </row>
    <row r="36" customFormat="false" ht="15" hidden="false" customHeight="false" outlineLevel="0" collapsed="false">
      <c r="B36" s="5" t="s">
        <v>109</v>
      </c>
      <c r="D36" s="6" t="n">
        <f aca="false">I32</f>
        <v>564280.57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-264451.3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24</v>
      </c>
      <c r="C42" s="23" t="s">
        <v>23</v>
      </c>
      <c r="D42" s="24" t="n">
        <v>142802.44</v>
      </c>
      <c r="E42" s="24" t="n">
        <v>0</v>
      </c>
      <c r="F42" s="24" t="n">
        <v>0</v>
      </c>
      <c r="G42" s="24" t="n">
        <v>48820.24</v>
      </c>
      <c r="H42" s="24" t="n">
        <v>5205.3</v>
      </c>
      <c r="I42" s="24" t="n">
        <f aca="false">G42+H42</f>
        <v>54025.54</v>
      </c>
      <c r="J42" s="24" t="n">
        <f aca="false">D42-I42</f>
        <v>88776.9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26</v>
      </c>
      <c r="C43" s="23" t="s">
        <v>25</v>
      </c>
      <c r="D43" s="24" t="n">
        <v>440052.61</v>
      </c>
      <c r="E43" s="24" t="n">
        <v>0</v>
      </c>
      <c r="F43" s="24" t="n">
        <v>0</v>
      </c>
      <c r="G43" s="24" t="n">
        <v>26002.77</v>
      </c>
      <c r="H43" s="24" t="n">
        <v>16000.33</v>
      </c>
      <c r="I43" s="24" t="n">
        <f aca="false">G43+H43</f>
        <v>42003.1</v>
      </c>
      <c r="J43" s="24" t="n">
        <f aca="false">D43-I43</f>
        <v>398049.51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26</v>
      </c>
      <c r="C44" s="23" t="s">
        <v>27</v>
      </c>
      <c r="D44" s="24" t="n">
        <v>2396.64</v>
      </c>
      <c r="E44" s="24" t="n">
        <v>0</v>
      </c>
      <c r="F44" s="24" t="n">
        <v>0</v>
      </c>
      <c r="G44" s="24" t="n">
        <v>39.97</v>
      </c>
      <c r="H44" s="24" t="n">
        <v>87.2</v>
      </c>
      <c r="I44" s="24" t="n">
        <v>127.12</v>
      </c>
      <c r="J44" s="24" t="n">
        <v>2269.52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28</v>
      </c>
      <c r="C45" s="23" t="s">
        <v>23</v>
      </c>
      <c r="D45" s="24" t="n">
        <v>34976.58</v>
      </c>
      <c r="E45" s="24" t="n">
        <v>0</v>
      </c>
      <c r="F45" s="24" t="n">
        <v>22769.68</v>
      </c>
      <c r="G45" s="24" t="n">
        <v>22769.68</v>
      </c>
      <c r="H45" s="24" t="n">
        <v>2099.13</v>
      </c>
      <c r="I45" s="24" t="n">
        <f aca="false">G45+H45</f>
        <v>24868.81</v>
      </c>
      <c r="J45" s="24" t="n">
        <f aca="false">D45-I45</f>
        <v>10107.77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28</v>
      </c>
      <c r="C46" s="23" t="s">
        <v>25</v>
      </c>
      <c r="D46" s="24" t="n">
        <v>70357.38</v>
      </c>
      <c r="E46" s="24" t="n">
        <v>0</v>
      </c>
      <c r="F46" s="24" t="n">
        <v>70357.38</v>
      </c>
      <c r="G46" s="24" t="n">
        <v>70357.38</v>
      </c>
      <c r="H46" s="24" t="n">
        <v>0</v>
      </c>
      <c r="I46" s="24" t="n">
        <f aca="false">G46+H46</f>
        <v>70357.38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29</v>
      </c>
      <c r="C47" s="23" t="s">
        <v>25</v>
      </c>
      <c r="D47" s="24" t="n">
        <v>108447.32</v>
      </c>
      <c r="E47" s="24" t="n">
        <v>0</v>
      </c>
      <c r="F47" s="24" t="n">
        <v>108447.32</v>
      </c>
      <c r="G47" s="24" t="n">
        <v>108447.32</v>
      </c>
      <c r="H47" s="24" t="n">
        <v>0</v>
      </c>
      <c r="I47" s="24" t="n">
        <f aca="false">G47+H47</f>
        <v>108447.32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799032.97</v>
      </c>
      <c r="E48" s="28" t="n">
        <f aca="false">SUM(E42:E47)</f>
        <v>0</v>
      </c>
      <c r="F48" s="28" t="n">
        <f aca="false">SUM(F42:F47)</f>
        <v>201574.38</v>
      </c>
      <c r="G48" s="28" t="n">
        <f aca="false">SUM(G42:G47)</f>
        <v>276437.36</v>
      </c>
      <c r="H48" s="28" t="n">
        <f aca="false">SUM(H42:H47)</f>
        <v>23391.96</v>
      </c>
      <c r="I48" s="28" t="n">
        <f aca="false">SUM(I42:I47)</f>
        <v>299829.27</v>
      </c>
      <c r="J48" s="28" t="n">
        <f aca="false">SUM(J42:J47)</f>
        <v>499203.7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44</v>
      </c>
      <c r="C52" s="23" t="s">
        <v>23</v>
      </c>
      <c r="D52" s="24" t="n">
        <v>91941.42</v>
      </c>
      <c r="E52" s="24" t="n">
        <v>0</v>
      </c>
      <c r="F52" s="24" t="n">
        <v>0</v>
      </c>
      <c r="G52" s="24" t="n">
        <v>78368.8</v>
      </c>
      <c r="H52" s="24" t="n">
        <v>5429.05</v>
      </c>
      <c r="I52" s="24" t="n">
        <f aca="false">G52+H52</f>
        <v>83797.85</v>
      </c>
      <c r="J52" s="24" t="n">
        <f aca="false">D52-I52</f>
        <v>8143.56999999999</v>
      </c>
      <c r="K52" s="25" t="s">
        <v>102</v>
      </c>
      <c r="L52" s="25" t="s">
        <v>103</v>
      </c>
    </row>
    <row r="53" customFormat="false" ht="15" hidden="false" customHeight="false" outlineLevel="0" collapsed="false">
      <c r="A53" s="23" t="n">
        <v>2</v>
      </c>
      <c r="B53" s="23" t="s">
        <v>45</v>
      </c>
      <c r="C53" s="23" t="s">
        <v>23</v>
      </c>
      <c r="D53" s="24" t="n">
        <v>50861.02</v>
      </c>
      <c r="E53" s="24" t="n">
        <v>0</v>
      </c>
      <c r="F53" s="24" t="n">
        <v>0</v>
      </c>
      <c r="G53" s="24" t="n">
        <v>23349.81</v>
      </c>
      <c r="H53" s="24" t="n">
        <v>1849.49</v>
      </c>
      <c r="I53" s="24" t="n">
        <f aca="false">G53+H53</f>
        <v>25199.3</v>
      </c>
      <c r="J53" s="24" t="n">
        <f aca="false">D53-I53</f>
        <v>25661.72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46</v>
      </c>
      <c r="C54" s="23" t="s">
        <v>25</v>
      </c>
      <c r="D54" s="24" t="n">
        <v>283321.93</v>
      </c>
      <c r="E54" s="24" t="n">
        <v>0</v>
      </c>
      <c r="F54" s="24" t="n">
        <v>283321.93</v>
      </c>
      <c r="G54" s="24" t="n">
        <v>283321.93</v>
      </c>
      <c r="H54" s="24" t="n">
        <v>0</v>
      </c>
      <c r="I54" s="24" t="n">
        <f aca="false">G54+H54</f>
        <v>283321.93</v>
      </c>
      <c r="J54" s="24" t="n">
        <f aca="false">D54-I54</f>
        <v>0</v>
      </c>
      <c r="K54" s="25" t="s">
        <v>102</v>
      </c>
      <c r="L54" s="25" t="s">
        <v>103</v>
      </c>
    </row>
    <row r="55" customFormat="false" ht="15" hidden="false" customHeight="false" outlineLevel="0" collapsed="false">
      <c r="A55" s="23" t="n">
        <v>4</v>
      </c>
      <c r="B55" s="23" t="s">
        <v>47</v>
      </c>
      <c r="C55" s="23" t="s">
        <v>25</v>
      </c>
      <c r="D55" s="24" t="n">
        <v>156730.68</v>
      </c>
      <c r="E55" s="24" t="n">
        <v>0</v>
      </c>
      <c r="F55" s="24" t="n">
        <v>0</v>
      </c>
      <c r="G55" s="24" t="n">
        <v>9261.36</v>
      </c>
      <c r="H55" s="24" t="n">
        <v>5699.3</v>
      </c>
      <c r="I55" s="24" t="n">
        <f aca="false">G55+H55</f>
        <v>14960.66</v>
      </c>
      <c r="J55" s="24" t="n">
        <f aca="false">D55-I55</f>
        <v>141770.02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46</v>
      </c>
      <c r="C56" s="23" t="s">
        <v>27</v>
      </c>
      <c r="D56" s="24" t="n">
        <v>1543.04</v>
      </c>
      <c r="E56" s="24" t="n">
        <v>0</v>
      </c>
      <c r="F56" s="24" t="n">
        <v>1234.43</v>
      </c>
      <c r="G56" s="24" t="n">
        <v>1249.86</v>
      </c>
      <c r="H56" s="24" t="n">
        <v>29.32</v>
      </c>
      <c r="I56" s="24" t="n">
        <f aca="false">G56+H56</f>
        <v>1279.18</v>
      </c>
      <c r="J56" s="24" t="n">
        <f aca="false">D56-I56</f>
        <v>263.86</v>
      </c>
      <c r="K56" s="25" t="s">
        <v>102</v>
      </c>
      <c r="L56" s="25" t="s">
        <v>103</v>
      </c>
    </row>
    <row r="57" customFormat="false" ht="15" hidden="false" customHeight="false" outlineLevel="0" collapsed="false">
      <c r="A57" s="23" t="n">
        <v>6</v>
      </c>
      <c r="B57" s="23" t="s">
        <v>47</v>
      </c>
      <c r="C57" s="23" t="s">
        <v>27</v>
      </c>
      <c r="D57" s="24" t="n">
        <v>853.6</v>
      </c>
      <c r="E57" s="24" t="n">
        <v>0</v>
      </c>
      <c r="F57" s="24" t="n">
        <v>0</v>
      </c>
      <c r="G57" s="24" t="n">
        <v>14.23</v>
      </c>
      <c r="H57" s="24" t="n">
        <v>31.04</v>
      </c>
      <c r="I57" s="24" t="n">
        <f aca="false">G57+H57</f>
        <v>45.27</v>
      </c>
      <c r="J57" s="24" t="n">
        <f aca="false">D57-I57</f>
        <v>808.33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48</v>
      </c>
      <c r="C58" s="23" t="s">
        <v>23</v>
      </c>
      <c r="D58" s="24" t="n">
        <v>22519.2</v>
      </c>
      <c r="E58" s="24" t="n">
        <v>0</v>
      </c>
      <c r="F58" s="24" t="n">
        <v>22519.2</v>
      </c>
      <c r="G58" s="24" t="n">
        <v>22519.2</v>
      </c>
      <c r="H58" s="24" t="n">
        <v>0</v>
      </c>
      <c r="I58" s="24" t="n">
        <f aca="false">G58+H58</f>
        <v>22519.2</v>
      </c>
      <c r="J58" s="24" t="n">
        <f aca="false">D58-I58</f>
        <v>0</v>
      </c>
      <c r="K58" s="25" t="s">
        <v>102</v>
      </c>
      <c r="L58" s="25" t="s">
        <v>103</v>
      </c>
    </row>
    <row r="59" customFormat="false" ht="15" hidden="false" customHeight="false" outlineLevel="0" collapsed="false">
      <c r="A59" s="23" t="n">
        <v>8</v>
      </c>
      <c r="B59" s="23" t="s">
        <v>49</v>
      </c>
      <c r="C59" s="23" t="s">
        <v>23</v>
      </c>
      <c r="D59" s="24" t="n">
        <v>12457.38</v>
      </c>
      <c r="E59" s="24" t="n">
        <v>0</v>
      </c>
      <c r="F59" s="24" t="n">
        <v>0</v>
      </c>
      <c r="G59" s="24" t="n">
        <v>11504.28</v>
      </c>
      <c r="H59" s="24" t="n">
        <v>453</v>
      </c>
      <c r="I59" s="24" t="n">
        <f aca="false">G59+H59</f>
        <v>11957.28</v>
      </c>
      <c r="J59" s="24" t="n">
        <f aca="false">D59-I59</f>
        <v>500.099999999999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48</v>
      </c>
      <c r="C60" s="23" t="s">
        <v>25</v>
      </c>
      <c r="D60" s="24" t="n">
        <v>45298.65</v>
      </c>
      <c r="E60" s="24" t="n">
        <v>0</v>
      </c>
      <c r="F60" s="24" t="n">
        <v>45298.65</v>
      </c>
      <c r="G60" s="24" t="n">
        <v>45298.65</v>
      </c>
      <c r="H60" s="24" t="n">
        <v>0</v>
      </c>
      <c r="I60" s="24" t="n">
        <f aca="false">G60+H60</f>
        <v>45298.65</v>
      </c>
      <c r="J60" s="24" t="n">
        <f aca="false">D60-I60</f>
        <v>0</v>
      </c>
      <c r="K60" s="25" t="s">
        <v>102</v>
      </c>
      <c r="L60" s="25" t="s">
        <v>103</v>
      </c>
    </row>
    <row r="61" customFormat="false" ht="15" hidden="false" customHeight="false" outlineLevel="0" collapsed="false">
      <c r="A61" s="23" t="n">
        <v>10</v>
      </c>
      <c r="B61" s="23" t="s">
        <v>49</v>
      </c>
      <c r="C61" s="23" t="s">
        <v>25</v>
      </c>
      <c r="D61" s="24" t="n">
        <v>25058.73</v>
      </c>
      <c r="E61" s="24" t="n">
        <v>0</v>
      </c>
      <c r="F61" s="24" t="n">
        <v>0</v>
      </c>
      <c r="G61" s="24" t="n">
        <v>1480.75</v>
      </c>
      <c r="H61" s="24" t="n">
        <v>911.23</v>
      </c>
      <c r="I61" s="24" t="n">
        <f aca="false">G61+H61</f>
        <v>2391.98</v>
      </c>
      <c r="J61" s="24" t="n">
        <f aca="false">D61-I61</f>
        <v>22666.75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50</v>
      </c>
      <c r="C62" s="23" t="s">
        <v>25</v>
      </c>
      <c r="D62" s="24" t="n">
        <v>69822.35</v>
      </c>
      <c r="E62" s="24" t="n">
        <v>0</v>
      </c>
      <c r="F62" s="24" t="n">
        <v>69822.35</v>
      </c>
      <c r="G62" s="24" t="n">
        <v>69822.35</v>
      </c>
      <c r="H62" s="24" t="n">
        <v>0</v>
      </c>
      <c r="I62" s="24" t="n">
        <f aca="false">G62+H62</f>
        <v>69822.35</v>
      </c>
      <c r="J62" s="24" t="n">
        <f aca="false">D62-I62</f>
        <v>0</v>
      </c>
      <c r="K62" s="25" t="s">
        <v>102</v>
      </c>
      <c r="L62" s="25" t="s">
        <v>103</v>
      </c>
    </row>
    <row r="63" customFormat="false" ht="15" hidden="false" customHeight="false" outlineLevel="0" collapsed="false">
      <c r="A63" s="23" t="n">
        <v>12</v>
      </c>
      <c r="B63" s="23" t="s">
        <v>51</v>
      </c>
      <c r="C63" s="23" t="s">
        <v>25</v>
      </c>
      <c r="D63" s="24" t="n">
        <v>38624.97</v>
      </c>
      <c r="E63" s="24" t="n">
        <v>0</v>
      </c>
      <c r="F63" s="24" t="n">
        <v>0</v>
      </c>
      <c r="G63" s="24" t="n">
        <v>2282.38</v>
      </c>
      <c r="H63" s="24" t="n">
        <v>1404.54</v>
      </c>
      <c r="I63" s="24" t="n">
        <f aca="false">G63+H63</f>
        <v>3686.92</v>
      </c>
      <c r="J63" s="24" t="n">
        <f aca="false">D63-I63</f>
        <v>34938.05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799032.97</v>
      </c>
      <c r="E64" s="28" t="n">
        <f aca="false">SUM(E52:E63)</f>
        <v>0</v>
      </c>
      <c r="F64" s="28" t="n">
        <f aca="false">SUM(F52:F63)</f>
        <v>422196.56</v>
      </c>
      <c r="G64" s="28" t="n">
        <f aca="false">SUM(G52:G63)</f>
        <v>548473.6</v>
      </c>
      <c r="H64" s="28" t="n">
        <f aca="false">SUM(H52:H63)</f>
        <v>15806.97</v>
      </c>
      <c r="I64" s="28" t="n">
        <f aca="false">SUM(I52:I63)</f>
        <v>564280.57</v>
      </c>
      <c r="J64" s="28" t="n">
        <f aca="false">SUM(J52:J63)</f>
        <v>234752.4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299829.27</v>
      </c>
    </row>
    <row r="68" customFormat="false" ht="15" hidden="false" customHeight="false" outlineLevel="0" collapsed="false">
      <c r="B68" s="5" t="s">
        <v>109</v>
      </c>
      <c r="D68" s="6" t="n">
        <f aca="false">I64</f>
        <v>564280.57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-264451.3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117</v>
      </c>
      <c r="D72" s="12" t="n">
        <f aca="false">D94</f>
        <v>799032.97</v>
      </c>
    </row>
    <row r="73" customFormat="false" ht="15" hidden="false" customHeight="false" outlineLevel="0" collapsed="false">
      <c r="B73" s="5" t="s">
        <v>118</v>
      </c>
      <c r="D73" s="6" t="n">
        <f aca="false">F94</f>
        <v>514446.59</v>
      </c>
    </row>
    <row r="74" customFormat="false" ht="15" hidden="false" customHeight="false" outlineLevel="0" collapsed="false">
      <c r="B74" s="30" t="s">
        <v>119</v>
      </c>
      <c r="D74" s="31" t="n">
        <f aca="false">F95</f>
        <v>0.64383649901205</v>
      </c>
    </row>
    <row r="75" customFormat="false" ht="15" hidden="false" customHeight="false" outlineLevel="0" collapsed="false">
      <c r="B75" s="5" t="s">
        <v>120</v>
      </c>
      <c r="D75" s="6" t="n">
        <f aca="false">H94</f>
        <v>284586.38</v>
      </c>
    </row>
    <row r="76" customFormat="false" ht="15" hidden="false" customHeight="false" outlineLevel="0" collapsed="false">
      <c r="B76" s="30" t="s">
        <v>119</v>
      </c>
      <c r="D76" s="31" t="n">
        <f aca="false">H95</f>
        <v>0.35616350098795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123</v>
      </c>
      <c r="H79" s="4" t="s">
        <v>124</v>
      </c>
    </row>
    <row r="80" customFormat="false" ht="15" hidden="false" customHeight="false" outlineLevel="0" collapsed="false">
      <c r="B80" s="32" t="s">
        <v>125</v>
      </c>
    </row>
    <row r="81" customFormat="false" ht="15" hidden="false" customHeight="false" outlineLevel="0" collapsed="false">
      <c r="B81" s="5" t="s">
        <v>126</v>
      </c>
      <c r="D81" s="33" t="n">
        <f aca="false">SUM(F81:H81)</f>
        <v>164940.99</v>
      </c>
      <c r="F81" s="33" t="n">
        <v>164940.99</v>
      </c>
    </row>
    <row r="82" customFormat="false" ht="15" hidden="false" customHeight="false" outlineLevel="0" collapsed="false">
      <c r="B82" s="5" t="s">
        <v>127</v>
      </c>
      <c r="D82" s="33" t="n">
        <f aca="false">SUM(F82:H82)</f>
        <v>4143.78</v>
      </c>
      <c r="F82" s="33" t="n">
        <v>4143.78</v>
      </c>
    </row>
    <row r="83" customFormat="false" ht="15" hidden="false" customHeight="false" outlineLevel="0" collapsed="false">
      <c r="B83" s="5" t="s">
        <v>128</v>
      </c>
      <c r="D83" s="33" t="n">
        <f aca="false">SUM(F83:H83)</f>
        <v>5521.24</v>
      </c>
      <c r="F83" s="33" t="n">
        <v>5521.24</v>
      </c>
    </row>
    <row r="84" customFormat="false" ht="15" hidden="false" customHeight="false" outlineLevel="0" collapsed="false">
      <c r="B84" s="5" t="s">
        <v>129</v>
      </c>
      <c r="D84" s="33" t="n">
        <f aca="false">SUM(F84:H84)</f>
        <v>186309.99</v>
      </c>
      <c r="F84" s="33" t="n">
        <v>186309.99</v>
      </c>
    </row>
    <row r="85" customFormat="false" ht="15" hidden="false" customHeight="false" outlineLevel="0" collapsed="false">
      <c r="B85" s="5" t="s">
        <v>130</v>
      </c>
      <c r="D85" s="33" t="n">
        <f aca="false">SUM(F85:H85)</f>
        <v>1745.22</v>
      </c>
      <c r="F85" s="33" t="n">
        <v>1745.22</v>
      </c>
    </row>
    <row r="86" customFormat="false" ht="15" hidden="false" customHeight="false" outlineLevel="0" collapsed="false">
      <c r="B86" s="5" t="s">
        <v>131</v>
      </c>
      <c r="D86" s="33" t="n">
        <f aca="false">SUM(F86:H86)</f>
        <v>4914.87</v>
      </c>
      <c r="F86" s="33" t="n">
        <v>4914.87</v>
      </c>
    </row>
    <row r="87" customFormat="false" ht="15" hidden="false" customHeight="false" outlineLevel="0" collapsed="false">
      <c r="B87" s="5" t="s">
        <v>132</v>
      </c>
      <c r="D87" s="33" t="n">
        <f aca="false">SUM(F87:H87)</f>
        <v>103840.57</v>
      </c>
      <c r="F87" s="33" t="n">
        <v>103840.57</v>
      </c>
    </row>
    <row r="88" customFormat="false" ht="15" hidden="false" customHeight="false" outlineLevel="0" collapsed="false">
      <c r="B88" s="5" t="s">
        <v>133</v>
      </c>
      <c r="D88" s="33" t="n">
        <f aca="false">SUM(F88:H88)</f>
        <v>2527.13</v>
      </c>
      <c r="F88" s="33" t="n">
        <v>2527.13</v>
      </c>
    </row>
    <row r="89" customFormat="false" ht="15" hidden="false" customHeight="false" outlineLevel="0" collapsed="false">
      <c r="B89" s="5" t="s">
        <v>134</v>
      </c>
      <c r="D89" s="33" t="n">
        <f aca="false">SUM(F89:H89)</f>
        <v>16871.66</v>
      </c>
      <c r="F89" s="33" t="n">
        <v>16871.66</v>
      </c>
    </row>
    <row r="90" customFormat="false" ht="15" hidden="false" customHeight="false" outlineLevel="0" collapsed="false">
      <c r="B90" s="5" t="s">
        <v>135</v>
      </c>
      <c r="D90" s="33" t="n">
        <f aca="false">SUM(F90:H90)</f>
        <v>11284.92</v>
      </c>
      <c r="F90" s="33" t="n">
        <v>11284.92</v>
      </c>
    </row>
    <row r="91" customFormat="false" ht="15" hidden="false" customHeight="false" outlineLevel="0" collapsed="false">
      <c r="B91" s="5" t="s">
        <v>136</v>
      </c>
      <c r="D91" s="33" t="n">
        <f aca="false">SUM(F91:H91)</f>
        <v>12346.22</v>
      </c>
      <c r="F91" s="33" t="n">
        <v>12346.22</v>
      </c>
    </row>
    <row r="92" customFormat="false" ht="15" hidden="false" customHeight="false" outlineLevel="0" collapsed="false">
      <c r="B92" s="32" t="s">
        <v>137</v>
      </c>
    </row>
    <row r="93" customFormat="false" ht="15" hidden="false" customHeight="false" outlineLevel="0" collapsed="false">
      <c r="B93" s="5" t="s">
        <v>137</v>
      </c>
      <c r="D93" s="33" t="n">
        <f aca="false">SUM(F93:H93)</f>
        <v>284586.38</v>
      </c>
      <c r="H93" s="33" t="n">
        <v>284586.38</v>
      </c>
    </row>
    <row r="94" customFormat="false" ht="15" hidden="false" customHeight="false" outlineLevel="0" collapsed="false">
      <c r="B94" s="11" t="s">
        <v>117</v>
      </c>
      <c r="D94" s="34" t="n">
        <f aca="false">SUM(D80:D93)</f>
        <v>799032.97</v>
      </c>
      <c r="F94" s="34" t="n">
        <f aca="false">SUM(F80:F93)</f>
        <v>514446.59</v>
      </c>
      <c r="H94" s="34" t="n">
        <f aca="false">SUM(H80:H93)</f>
        <v>284586.38</v>
      </c>
    </row>
    <row r="95" customFormat="false" ht="15" hidden="false" customHeight="false" outlineLevel="0" collapsed="false">
      <c r="B95" s="30" t="s">
        <v>119</v>
      </c>
      <c r="F95" s="31" t="n">
        <f aca="false">F94/D94</f>
        <v>0.64383649901205</v>
      </c>
      <c r="H95" s="31" t="n">
        <f aca="false">H94/D94</f>
        <v>0.35616350098795</v>
      </c>
    </row>
    <row r="97" customFormat="false" ht="15" hidden="false" customHeight="false" outlineLevel="0" collapsed="false">
      <c r="A97" s="10" t="s">
        <v>138</v>
      </c>
    </row>
    <row r="98" customFormat="false" ht="15" hidden="false" customHeight="false" outlineLevel="0" collapsed="false">
      <c r="B98" s="4" t="s">
        <v>139</v>
      </c>
      <c r="D98" s="4" t="s">
        <v>91</v>
      </c>
      <c r="F98" s="4" t="s">
        <v>123</v>
      </c>
      <c r="H98" s="4" t="s">
        <v>124</v>
      </c>
    </row>
    <row r="99" customFormat="false" ht="15" hidden="false" customHeight="false" outlineLevel="0" collapsed="false">
      <c r="B99" s="5" t="str">
        <f aca="false">Site!B20</f>
        <v>Building - Site - 15yr</v>
      </c>
      <c r="D99" s="33" t="n">
        <f aca="false">SUM(F99:H99)</f>
        <v>91941.42</v>
      </c>
      <c r="F99" s="33" t="n">
        <f aca="false">Site!D20</f>
        <v>91941.42</v>
      </c>
    </row>
    <row r="100" customFormat="false" ht="15" hidden="false" customHeight="false" outlineLevel="0" collapsed="false">
      <c r="B100" s="5" t="str">
        <f aca="false">Site!B21</f>
        <v>Building - Site - 27.5yr</v>
      </c>
      <c r="D100" s="33" t="n">
        <f aca="false">SUM(F100:H100)</f>
        <v>50861.02</v>
      </c>
      <c r="H100" s="33" t="n">
        <f aca="false">Site!D21</f>
        <v>50861.02</v>
      </c>
    </row>
    <row r="101" customFormat="false" ht="15" hidden="false" customHeight="false" outlineLevel="0" collapsed="false">
      <c r="B101" s="5" t="str">
        <f aca="false">Site!B22</f>
        <v>Building Improvements - Site - 15yr</v>
      </c>
      <c r="D101" s="33" t="n">
        <f aca="false">SUM(F101:H101)</f>
        <v>283321.93</v>
      </c>
      <c r="F101" s="33" t="n">
        <f aca="false">Site!D22</f>
        <v>283321.93</v>
      </c>
    </row>
    <row r="102" customFormat="false" ht="15" hidden="false" customHeight="false" outlineLevel="0" collapsed="false">
      <c r="B102" s="5" t="str">
        <f aca="false">Site!B23</f>
        <v>Building Improvements - Site - 27.5yr</v>
      </c>
      <c r="D102" s="33" t="n">
        <f aca="false">SUM(F102:H102)</f>
        <v>156730.68</v>
      </c>
      <c r="H102" s="33" t="n">
        <f aca="false">Site!D23</f>
        <v>156730.68</v>
      </c>
    </row>
    <row r="103" customFormat="false" ht="15" hidden="false" customHeight="false" outlineLevel="0" collapsed="false">
      <c r="B103" s="5" t="str">
        <f aca="false">Site!B24</f>
        <v>Building Improvements - Site - 15yr</v>
      </c>
      <c r="D103" s="33" t="n">
        <f aca="false">SUM(F103:H103)</f>
        <v>1543.04</v>
      </c>
      <c r="F103" s="33" t="n">
        <f aca="false">Site!D24</f>
        <v>1543.04</v>
      </c>
    </row>
    <row r="104" customFormat="false" ht="15" hidden="false" customHeight="false" outlineLevel="0" collapsed="false">
      <c r="B104" s="5" t="str">
        <f aca="false">Site!B25</f>
        <v>Building Improvements - Site - 27.5yr</v>
      </c>
      <c r="D104" s="33" t="n">
        <f aca="false">SUM(F104:H104)</f>
        <v>853.6</v>
      </c>
      <c r="H104" s="33" t="n">
        <f aca="false">Site!D25</f>
        <v>853.6</v>
      </c>
    </row>
    <row r="105" customFormat="false" ht="15" hidden="false" customHeight="false" outlineLevel="0" collapsed="false">
      <c r="B105" s="5" t="str">
        <f aca="false">Site!B26</f>
        <v>Land Improvements - Site - 15yr</v>
      </c>
      <c r="D105" s="33" t="n">
        <f aca="false">SUM(F105:H105)</f>
        <v>22519.2</v>
      </c>
      <c r="F105" s="33" t="n">
        <f aca="false">Site!D26</f>
        <v>22519.2</v>
      </c>
    </row>
    <row r="106" customFormat="false" ht="15" hidden="false" customHeight="false" outlineLevel="0" collapsed="false">
      <c r="B106" s="5" t="str">
        <f aca="false">Site!B27</f>
        <v>Land Improvements - Site - 27.5yr</v>
      </c>
      <c r="D106" s="33" t="n">
        <f aca="false">SUM(F106:H106)</f>
        <v>12457.38</v>
      </c>
      <c r="H106" s="33" t="n">
        <f aca="false">Site!D27</f>
        <v>12457.38</v>
      </c>
    </row>
    <row r="107" customFormat="false" ht="15" hidden="false" customHeight="false" outlineLevel="0" collapsed="false">
      <c r="B107" s="5" t="str">
        <f aca="false">Site!B28</f>
        <v>Land Improvements - Site - 15yr</v>
      </c>
      <c r="D107" s="33" t="n">
        <f aca="false">SUM(F107:H107)</f>
        <v>45298.65</v>
      </c>
      <c r="F107" s="33" t="n">
        <f aca="false">Site!D28</f>
        <v>45298.65</v>
      </c>
    </row>
    <row r="108" customFormat="false" ht="15" hidden="false" customHeight="false" outlineLevel="0" collapsed="false">
      <c r="B108" s="5" t="str">
        <f aca="false">Site!B29</f>
        <v>Land Improvements - Site - 27.5yr</v>
      </c>
      <c r="D108" s="33" t="n">
        <f aca="false">SUM(F108:H108)</f>
        <v>25058.73</v>
      </c>
      <c r="H108" s="33" t="n">
        <f aca="false">Site!D29</f>
        <v>25058.73</v>
      </c>
    </row>
    <row r="109" customFormat="false" ht="15" hidden="false" customHeight="false" outlineLevel="0" collapsed="false">
      <c r="B109" s="5" t="str">
        <f aca="false">Site!B30</f>
        <v>Equipment - Site - 15yr</v>
      </c>
      <c r="D109" s="33" t="n">
        <f aca="false">SUM(F109:H109)</f>
        <v>69822.35</v>
      </c>
      <c r="F109" s="33" t="n">
        <f aca="false">Site!D30</f>
        <v>69822.35</v>
      </c>
    </row>
    <row r="110" customFormat="false" ht="15" hidden="false" customHeight="false" outlineLevel="0" collapsed="false">
      <c r="B110" s="5" t="str">
        <f aca="false">Site!B31</f>
        <v>Equipment - Site - 27.5yr</v>
      </c>
      <c r="D110" s="33" t="n">
        <f aca="false">SUM(F110:H110)</f>
        <v>38624.97</v>
      </c>
      <c r="H110" s="33" t="n">
        <f aca="false">Site!D31</f>
        <v>38624.97</v>
      </c>
    </row>
    <row r="111" customFormat="false" ht="15" hidden="false" customHeight="false" outlineLevel="0" collapsed="false">
      <c r="B111" s="11" t="s">
        <v>140</v>
      </c>
      <c r="D111" s="34" t="n">
        <f aca="false">SUM(D99:D110)</f>
        <v>799032.97</v>
      </c>
      <c r="F111" s="34" t="n">
        <f aca="false">SUM(F99:F110)</f>
        <v>514446.59</v>
      </c>
      <c r="H111" s="34" t="n">
        <f aca="false">SUM(H99:H110)</f>
        <v>284586.38</v>
      </c>
    </row>
    <row r="112" customFormat="false" ht="15" hidden="false" customHeight="false" outlineLevel="0" collapsed="false">
      <c r="B112" s="16" t="s">
        <v>141</v>
      </c>
      <c r="D112" s="17" t="n">
        <f aca="false">D111-D94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142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30</v>
      </c>
      <c r="C10" s="23" t="s">
        <v>23</v>
      </c>
      <c r="D10" s="24" t="n">
        <v>29464.18</v>
      </c>
      <c r="E10" s="24" t="n">
        <v>0</v>
      </c>
      <c r="F10" s="24" t="n">
        <v>0</v>
      </c>
      <c r="G10" s="24" t="n">
        <v>10073</v>
      </c>
      <c r="H10" s="24" t="n">
        <v>1071.33</v>
      </c>
      <c r="I10" s="24" t="n">
        <f aca="false">G10+H10</f>
        <v>11144.33</v>
      </c>
      <c r="J10" s="24" t="n">
        <f aca="false">D10-I10</f>
        <v>18319.85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31</v>
      </c>
      <c r="C11" s="23" t="s">
        <v>25</v>
      </c>
      <c r="D11" s="24" t="n">
        <v>90795.27</v>
      </c>
      <c r="E11" s="24" t="n">
        <v>0</v>
      </c>
      <c r="F11" s="24" t="n">
        <v>0</v>
      </c>
      <c r="G11" s="24" t="n">
        <v>5365.1</v>
      </c>
      <c r="H11" s="24" t="n">
        <v>3301.32</v>
      </c>
      <c r="I11" s="24" t="n">
        <f aca="false">G11+H11</f>
        <v>8666.42</v>
      </c>
      <c r="J11" s="24" t="n">
        <f aca="false">D11-I11</f>
        <v>82128.85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31</v>
      </c>
      <c r="C12" s="23" t="s">
        <v>27</v>
      </c>
      <c r="D12" s="24" t="n">
        <v>494.5</v>
      </c>
      <c r="E12" s="24" t="n">
        <v>0</v>
      </c>
      <c r="F12" s="24" t="n">
        <v>0</v>
      </c>
      <c r="G12" s="24" t="n">
        <v>8.23</v>
      </c>
      <c r="H12" s="24" t="n">
        <v>17.99</v>
      </c>
      <c r="I12" s="24" t="n">
        <f aca="false">G12+H12</f>
        <v>26.22</v>
      </c>
      <c r="J12" s="24" t="n">
        <f aca="false">D12-I12</f>
        <v>468.28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32</v>
      </c>
      <c r="C13" s="23" t="s">
        <v>23</v>
      </c>
      <c r="D13" s="24" t="n">
        <v>7216.65</v>
      </c>
      <c r="E13" s="24" t="n">
        <v>0</v>
      </c>
      <c r="F13" s="24" t="n">
        <v>4698.01</v>
      </c>
      <c r="G13" s="24" t="n">
        <v>4698.01</v>
      </c>
      <c r="H13" s="24" t="n">
        <v>426.5</v>
      </c>
      <c r="I13" s="24" t="n">
        <f aca="false">G13+H13</f>
        <v>5124.51</v>
      </c>
      <c r="J13" s="24" t="n">
        <f aca="false">D13-I13</f>
        <v>2092.14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32</v>
      </c>
      <c r="C14" s="23" t="s">
        <v>25</v>
      </c>
      <c r="D14" s="24" t="n">
        <v>14516.71</v>
      </c>
      <c r="E14" s="24" t="n">
        <v>0</v>
      </c>
      <c r="F14" s="24" t="n">
        <v>14516.71</v>
      </c>
      <c r="G14" s="24" t="n">
        <v>14516.71</v>
      </c>
      <c r="H14" s="24" t="n">
        <v>0</v>
      </c>
      <c r="I14" s="24" t="n">
        <f aca="false">G14+H14</f>
        <v>14516.71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33</v>
      </c>
      <c r="C15" s="23" t="s">
        <v>25</v>
      </c>
      <c r="D15" s="24" t="n">
        <v>22375.75</v>
      </c>
      <c r="E15" s="24" t="n">
        <v>0</v>
      </c>
      <c r="F15" s="24" t="n">
        <v>22375.75</v>
      </c>
      <c r="G15" s="24" t="n">
        <v>22375.75</v>
      </c>
      <c r="H15" s="24" t="n">
        <v>0</v>
      </c>
      <c r="I15" s="24" t="n">
        <f aca="false">G15+H15</f>
        <v>22375.75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164863.06</v>
      </c>
      <c r="E16" s="28" t="n">
        <f aca="false">SUM(E10:E15)</f>
        <v>0</v>
      </c>
      <c r="F16" s="28" t="n">
        <f aca="false">SUM(F10:F15)</f>
        <v>41590.47</v>
      </c>
      <c r="G16" s="28" t="n">
        <f aca="false">SUM(G10:G15)</f>
        <v>57036.8</v>
      </c>
      <c r="H16" s="28" t="n">
        <f aca="false">SUM(H10:H15)</f>
        <v>4817.14</v>
      </c>
      <c r="I16" s="28" t="n">
        <f aca="false">SUM(I10:I15)</f>
        <v>61853.94</v>
      </c>
      <c r="J16" s="28" t="n">
        <f aca="false">SUM(J10:J15)</f>
        <v>103009.12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52</v>
      </c>
      <c r="C20" s="23" t="s">
        <v>23</v>
      </c>
      <c r="D20" s="24" t="n">
        <v>4304.14</v>
      </c>
      <c r="E20" s="24" t="n">
        <v>0</v>
      </c>
      <c r="F20" s="24" t="n">
        <v>0</v>
      </c>
      <c r="G20" s="24" t="n">
        <v>4304.14</v>
      </c>
      <c r="H20" s="24" t="n">
        <v>0</v>
      </c>
      <c r="I20" s="24" t="n">
        <f aca="false">G20+H20</f>
        <v>4304.14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53</v>
      </c>
      <c r="C21" s="23" t="s">
        <v>23</v>
      </c>
      <c r="D21" s="24" t="n">
        <v>25160.04</v>
      </c>
      <c r="E21" s="24" t="n">
        <v>0</v>
      </c>
      <c r="F21" s="24" t="n">
        <v>0</v>
      </c>
      <c r="G21" s="24" t="n">
        <v>11550.74</v>
      </c>
      <c r="H21" s="24" t="n">
        <v>914.91</v>
      </c>
      <c r="I21" s="24" t="n">
        <f aca="false">G21+H21</f>
        <v>12465.65</v>
      </c>
      <c r="J21" s="24" t="n">
        <f aca="false">D21-I21</f>
        <v>12694.39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54</v>
      </c>
      <c r="C22" s="23" t="s">
        <v>25</v>
      </c>
      <c r="D22" s="24" t="n">
        <v>13263.4</v>
      </c>
      <c r="E22" s="24" t="n">
        <v>0</v>
      </c>
      <c r="F22" s="24" t="n">
        <v>13263.4</v>
      </c>
      <c r="G22" s="24" t="n">
        <v>13263.4</v>
      </c>
      <c r="H22" s="24" t="n">
        <v>0</v>
      </c>
      <c r="I22" s="24" t="n">
        <f aca="false">G22+H22</f>
        <v>13263.4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55</v>
      </c>
      <c r="C23" s="23" t="s">
        <v>25</v>
      </c>
      <c r="D23" s="24" t="n">
        <v>77531.87</v>
      </c>
      <c r="E23" s="24" t="n">
        <v>0</v>
      </c>
      <c r="F23" s="24" t="n">
        <v>0</v>
      </c>
      <c r="G23" s="24" t="n">
        <v>4581.43</v>
      </c>
      <c r="H23" s="24" t="n">
        <v>2819.34</v>
      </c>
      <c r="I23" s="24" t="n">
        <f aca="false">G23+H23</f>
        <v>7400.77</v>
      </c>
      <c r="J23" s="24" t="n">
        <f aca="false">D23-I23</f>
        <v>70131.1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54</v>
      </c>
      <c r="C24" s="23" t="s">
        <v>27</v>
      </c>
      <c r="D24" s="24" t="n">
        <v>72.24</v>
      </c>
      <c r="E24" s="24" t="n">
        <v>0</v>
      </c>
      <c r="F24" s="24" t="n">
        <v>57.79</v>
      </c>
      <c r="G24" s="24" t="n">
        <v>60.68</v>
      </c>
      <c r="H24" s="24" t="n">
        <v>4.62</v>
      </c>
      <c r="I24" s="24" t="n">
        <f aca="false">G24+H24</f>
        <v>65.3</v>
      </c>
      <c r="J24" s="24" t="n">
        <f aca="false">D24-I24</f>
        <v>6.94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55</v>
      </c>
      <c r="C25" s="23" t="s">
        <v>27</v>
      </c>
      <c r="D25" s="24" t="n">
        <v>422.26</v>
      </c>
      <c r="E25" s="24" t="n">
        <v>0</v>
      </c>
      <c r="F25" s="24" t="n">
        <v>0</v>
      </c>
      <c r="G25" s="24" t="n">
        <v>7.04</v>
      </c>
      <c r="H25" s="24" t="n">
        <v>15.35</v>
      </c>
      <c r="I25" s="24" t="n">
        <f aca="false">G25+H25</f>
        <v>22.39</v>
      </c>
      <c r="J25" s="24" t="n">
        <f aca="false">D25-I25</f>
        <v>399.87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56</v>
      </c>
      <c r="C26" s="23" t="s">
        <v>23</v>
      </c>
      <c r="D26" s="24" t="n">
        <v>1054.21</v>
      </c>
      <c r="E26" s="24" t="n">
        <v>0</v>
      </c>
      <c r="F26" s="24" t="n">
        <v>1054.21</v>
      </c>
      <c r="G26" s="24" t="n">
        <v>1054.21</v>
      </c>
      <c r="H26" s="24" t="n">
        <v>0</v>
      </c>
      <c r="I26" s="24" t="n">
        <f aca="false">G26+H26</f>
        <v>1054.21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57</v>
      </c>
      <c r="C27" s="23" t="s">
        <v>23</v>
      </c>
      <c r="D27" s="24" t="n">
        <v>6162.44</v>
      </c>
      <c r="E27" s="24" t="n">
        <v>0</v>
      </c>
      <c r="F27" s="24" t="n">
        <v>0</v>
      </c>
      <c r="G27" s="24" t="n">
        <v>2829.14</v>
      </c>
      <c r="H27" s="24" t="n">
        <v>224.09</v>
      </c>
      <c r="I27" s="24" t="n">
        <f aca="false">G27+H27</f>
        <v>3053.23</v>
      </c>
      <c r="J27" s="24" t="n">
        <f aca="false">D27-I27</f>
        <v>3109.21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56</v>
      </c>
      <c r="C28" s="23" t="s">
        <v>25</v>
      </c>
      <c r="D28" s="24" t="n">
        <v>2120.61</v>
      </c>
      <c r="E28" s="24" t="n">
        <v>0</v>
      </c>
      <c r="F28" s="24" t="n">
        <v>2120.61</v>
      </c>
      <c r="G28" s="24" t="n">
        <v>2120.61</v>
      </c>
      <c r="H28" s="24" t="n">
        <v>0</v>
      </c>
      <c r="I28" s="24" t="n">
        <f aca="false">G28+H28</f>
        <v>2120.61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57</v>
      </c>
      <c r="C29" s="23" t="s">
        <v>25</v>
      </c>
      <c r="D29" s="24" t="n">
        <v>12396.1</v>
      </c>
      <c r="E29" s="24" t="n">
        <v>0</v>
      </c>
      <c r="F29" s="24" t="n">
        <v>0</v>
      </c>
      <c r="G29" s="24" t="n">
        <v>732.5</v>
      </c>
      <c r="H29" s="24" t="n">
        <v>450.77</v>
      </c>
      <c r="I29" s="24" t="n">
        <f aca="false">G29+H29</f>
        <v>1183.27</v>
      </c>
      <c r="J29" s="24" t="n">
        <f aca="false">D29-I29</f>
        <v>11212.83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58</v>
      </c>
      <c r="C30" s="23" t="s">
        <v>25</v>
      </c>
      <c r="D30" s="24" t="n">
        <v>3268.65</v>
      </c>
      <c r="E30" s="24" t="n">
        <v>0</v>
      </c>
      <c r="F30" s="24" t="n">
        <v>3268.65</v>
      </c>
      <c r="G30" s="24" t="n">
        <v>3268.65</v>
      </c>
      <c r="H30" s="24" t="n">
        <v>0</v>
      </c>
      <c r="I30" s="24" t="n">
        <f aca="false">G30+H30</f>
        <v>3268.65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59</v>
      </c>
      <c r="C31" s="23" t="s">
        <v>25</v>
      </c>
      <c r="D31" s="24" t="n">
        <v>19107.1</v>
      </c>
      <c r="E31" s="24" t="n">
        <v>0</v>
      </c>
      <c r="F31" s="24" t="n">
        <v>0</v>
      </c>
      <c r="G31" s="24" t="n">
        <v>1129.05</v>
      </c>
      <c r="H31" s="24" t="n">
        <v>694.8</v>
      </c>
      <c r="I31" s="24" t="n">
        <f aca="false">G31+H31</f>
        <v>1823.85</v>
      </c>
      <c r="J31" s="24" t="n">
        <f aca="false">D31-I31</f>
        <v>17283.25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164863.06</v>
      </c>
      <c r="E32" s="28" t="n">
        <f aca="false">SUM(E20:E31)</f>
        <v>0</v>
      </c>
      <c r="F32" s="28" t="n">
        <f aca="false">SUM(F20:F31)</f>
        <v>19764.66</v>
      </c>
      <c r="G32" s="28" t="n">
        <f aca="false">SUM(G20:G31)</f>
        <v>44901.59</v>
      </c>
      <c r="H32" s="28" t="n">
        <f aca="false">SUM(H20:H31)</f>
        <v>5123.88</v>
      </c>
      <c r="I32" s="28" t="n">
        <f aca="false">SUM(I20:I31)</f>
        <v>50025.47</v>
      </c>
      <c r="J32" s="28" t="n">
        <f aca="false">SUM(J20:J31)</f>
        <v>114837.59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61853.94</v>
      </c>
    </row>
    <row r="36" customFormat="false" ht="15" hidden="false" customHeight="false" outlineLevel="0" collapsed="false">
      <c r="B36" s="5" t="s">
        <v>109</v>
      </c>
      <c r="D36" s="6" t="n">
        <f aca="false">I32</f>
        <v>50025.47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11828.47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30</v>
      </c>
      <c r="C42" s="23" t="s">
        <v>23</v>
      </c>
      <c r="D42" s="24" t="n">
        <v>29464.18</v>
      </c>
      <c r="E42" s="24" t="n">
        <v>0</v>
      </c>
      <c r="F42" s="24" t="n">
        <v>0</v>
      </c>
      <c r="G42" s="24" t="n">
        <v>10073</v>
      </c>
      <c r="H42" s="24" t="n">
        <v>1071.33</v>
      </c>
      <c r="I42" s="24" t="n">
        <f aca="false">G42+H42</f>
        <v>11144.33</v>
      </c>
      <c r="J42" s="24" t="n">
        <f aca="false">D42-I42</f>
        <v>18319.85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31</v>
      </c>
      <c r="C43" s="23" t="s">
        <v>25</v>
      </c>
      <c r="D43" s="24" t="n">
        <v>90795.27</v>
      </c>
      <c r="E43" s="24" t="n">
        <v>0</v>
      </c>
      <c r="F43" s="24" t="n">
        <v>0</v>
      </c>
      <c r="G43" s="24" t="n">
        <v>5365.1</v>
      </c>
      <c r="H43" s="24" t="n">
        <v>3301.32</v>
      </c>
      <c r="I43" s="24" t="n">
        <f aca="false">G43+H43</f>
        <v>8666.42</v>
      </c>
      <c r="J43" s="24" t="n">
        <f aca="false">D43-I43</f>
        <v>82128.85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31</v>
      </c>
      <c r="C44" s="23" t="s">
        <v>27</v>
      </c>
      <c r="D44" s="24" t="n">
        <v>494.5</v>
      </c>
      <c r="E44" s="24" t="n">
        <v>0</v>
      </c>
      <c r="F44" s="24" t="n">
        <v>0</v>
      </c>
      <c r="G44" s="24" t="n">
        <v>8.23</v>
      </c>
      <c r="H44" s="24" t="n">
        <v>17.99</v>
      </c>
      <c r="I44" s="24" t="n">
        <f aca="false">G44+H44</f>
        <v>26.22</v>
      </c>
      <c r="J44" s="24" t="n">
        <f aca="false">D44-I44</f>
        <v>468.28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32</v>
      </c>
      <c r="C45" s="23" t="s">
        <v>23</v>
      </c>
      <c r="D45" s="24" t="n">
        <v>7216.65</v>
      </c>
      <c r="E45" s="24" t="n">
        <v>0</v>
      </c>
      <c r="F45" s="24" t="n">
        <v>4698.01</v>
      </c>
      <c r="G45" s="24" t="n">
        <v>4698.01</v>
      </c>
      <c r="H45" s="24" t="n">
        <v>426.5</v>
      </c>
      <c r="I45" s="24" t="n">
        <f aca="false">G45+H45</f>
        <v>5124.51</v>
      </c>
      <c r="J45" s="24" t="n">
        <f aca="false">D45-I45</f>
        <v>2092.14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32</v>
      </c>
      <c r="C46" s="23" t="s">
        <v>25</v>
      </c>
      <c r="D46" s="24" t="n">
        <v>14516.71</v>
      </c>
      <c r="E46" s="24" t="n">
        <v>0</v>
      </c>
      <c r="F46" s="24" t="n">
        <v>14516.71</v>
      </c>
      <c r="G46" s="24" t="n">
        <v>14516.71</v>
      </c>
      <c r="H46" s="24" t="n">
        <v>0</v>
      </c>
      <c r="I46" s="24" t="n">
        <f aca="false">G46+H46</f>
        <v>14516.71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33</v>
      </c>
      <c r="C47" s="23" t="s">
        <v>25</v>
      </c>
      <c r="D47" s="24" t="n">
        <v>22375.75</v>
      </c>
      <c r="E47" s="24" t="n">
        <v>0</v>
      </c>
      <c r="F47" s="24" t="n">
        <v>22375.75</v>
      </c>
      <c r="G47" s="24" t="n">
        <v>22375.75</v>
      </c>
      <c r="H47" s="24" t="n">
        <v>0</v>
      </c>
      <c r="I47" s="24" t="n">
        <f aca="false">G47+H47</f>
        <v>22375.75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164863.06</v>
      </c>
      <c r="E48" s="28" t="n">
        <f aca="false">SUM(E42:E47)</f>
        <v>0</v>
      </c>
      <c r="F48" s="28" t="n">
        <f aca="false">SUM(F42:F47)</f>
        <v>41590.47</v>
      </c>
      <c r="G48" s="28" t="n">
        <f aca="false">SUM(G42:G47)</f>
        <v>57036.8</v>
      </c>
      <c r="H48" s="28" t="n">
        <f aca="false">SUM(H42:H47)</f>
        <v>4817.14</v>
      </c>
      <c r="I48" s="28" t="n">
        <f aca="false">SUM(I42:I47)</f>
        <v>61853.94</v>
      </c>
      <c r="J48" s="28" t="n">
        <f aca="false">SUM(J42:J47)</f>
        <v>103009.12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52</v>
      </c>
      <c r="C52" s="23" t="s">
        <v>23</v>
      </c>
      <c r="D52" s="24" t="n">
        <v>4304.14</v>
      </c>
      <c r="E52" s="24" t="n">
        <v>0</v>
      </c>
      <c r="F52" s="24" t="n">
        <v>0</v>
      </c>
      <c r="G52" s="24" t="n">
        <v>4304.14</v>
      </c>
      <c r="H52" s="24" t="n">
        <v>0</v>
      </c>
      <c r="I52" s="24" t="n">
        <f aca="false">G52+H52</f>
        <v>4304.14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53</v>
      </c>
      <c r="C53" s="23" t="s">
        <v>23</v>
      </c>
      <c r="D53" s="24" t="n">
        <v>25160.04</v>
      </c>
      <c r="E53" s="24" t="n">
        <v>0</v>
      </c>
      <c r="F53" s="24" t="n">
        <v>0</v>
      </c>
      <c r="G53" s="24" t="n">
        <v>11550.74</v>
      </c>
      <c r="H53" s="24" t="n">
        <v>914.91</v>
      </c>
      <c r="I53" s="24" t="n">
        <f aca="false">G53+H53</f>
        <v>12465.65</v>
      </c>
      <c r="J53" s="24" t="n">
        <f aca="false">D53-I53</f>
        <v>12694.39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54</v>
      </c>
      <c r="C54" s="23" t="s">
        <v>25</v>
      </c>
      <c r="D54" s="24" t="n">
        <v>13263.4</v>
      </c>
      <c r="E54" s="24" t="n">
        <v>0</v>
      </c>
      <c r="F54" s="24" t="n">
        <v>13263.4</v>
      </c>
      <c r="G54" s="24" t="n">
        <v>13263.4</v>
      </c>
      <c r="H54" s="24" t="n">
        <v>0</v>
      </c>
      <c r="I54" s="24" t="n">
        <f aca="false">G54+H54</f>
        <v>13263.4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55</v>
      </c>
      <c r="C55" s="23" t="s">
        <v>25</v>
      </c>
      <c r="D55" s="24" t="n">
        <v>77531.87</v>
      </c>
      <c r="E55" s="24" t="n">
        <v>0</v>
      </c>
      <c r="F55" s="24" t="n">
        <v>0</v>
      </c>
      <c r="G55" s="24" t="n">
        <v>4581.43</v>
      </c>
      <c r="H55" s="24" t="n">
        <v>2819.34</v>
      </c>
      <c r="I55" s="24" t="n">
        <f aca="false">G55+H55</f>
        <v>7400.77</v>
      </c>
      <c r="J55" s="24" t="n">
        <f aca="false">D55-I55</f>
        <v>70131.1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54</v>
      </c>
      <c r="C56" s="23" t="s">
        <v>27</v>
      </c>
      <c r="D56" s="24" t="n">
        <v>72.24</v>
      </c>
      <c r="E56" s="24" t="n">
        <v>0</v>
      </c>
      <c r="F56" s="24" t="n">
        <v>57.79</v>
      </c>
      <c r="G56" s="24" t="n">
        <v>60.68</v>
      </c>
      <c r="H56" s="24" t="n">
        <v>4.62</v>
      </c>
      <c r="I56" s="24" t="n">
        <f aca="false">G56+H56</f>
        <v>65.3</v>
      </c>
      <c r="J56" s="24" t="n">
        <f aca="false">D56-I56</f>
        <v>6.94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55</v>
      </c>
      <c r="C57" s="23" t="s">
        <v>27</v>
      </c>
      <c r="D57" s="24" t="n">
        <v>422.26</v>
      </c>
      <c r="E57" s="24" t="n">
        <v>0</v>
      </c>
      <c r="F57" s="24" t="n">
        <v>0</v>
      </c>
      <c r="G57" s="24" t="n">
        <v>7.04</v>
      </c>
      <c r="H57" s="24" t="n">
        <v>15.35</v>
      </c>
      <c r="I57" s="24" t="n">
        <f aca="false">G57+H57</f>
        <v>22.39</v>
      </c>
      <c r="J57" s="24" t="n">
        <f aca="false">D57-I57</f>
        <v>399.87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56</v>
      </c>
      <c r="C58" s="23" t="s">
        <v>23</v>
      </c>
      <c r="D58" s="24" t="n">
        <v>1054.21</v>
      </c>
      <c r="E58" s="24" t="n">
        <v>0</v>
      </c>
      <c r="F58" s="24" t="n">
        <v>1054.21</v>
      </c>
      <c r="G58" s="24" t="n">
        <v>1054.21</v>
      </c>
      <c r="H58" s="24" t="n">
        <v>0</v>
      </c>
      <c r="I58" s="24" t="n">
        <f aca="false">G58+H58</f>
        <v>1054.21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57</v>
      </c>
      <c r="C59" s="23" t="s">
        <v>23</v>
      </c>
      <c r="D59" s="24" t="n">
        <v>6162.44</v>
      </c>
      <c r="E59" s="24" t="n">
        <v>0</v>
      </c>
      <c r="F59" s="24" t="n">
        <v>0</v>
      </c>
      <c r="G59" s="24" t="n">
        <v>2829.14</v>
      </c>
      <c r="H59" s="24" t="n">
        <v>224.09</v>
      </c>
      <c r="I59" s="24" t="n">
        <f aca="false">G59+H59</f>
        <v>3053.23</v>
      </c>
      <c r="J59" s="24" t="n">
        <f aca="false">D59-I59</f>
        <v>3109.21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56</v>
      </c>
      <c r="C60" s="23" t="s">
        <v>25</v>
      </c>
      <c r="D60" s="24" t="n">
        <v>2120.61</v>
      </c>
      <c r="E60" s="24" t="n">
        <v>0</v>
      </c>
      <c r="F60" s="24" t="n">
        <v>2120.61</v>
      </c>
      <c r="G60" s="24" t="n">
        <v>2120.61</v>
      </c>
      <c r="H60" s="24" t="n">
        <v>0</v>
      </c>
      <c r="I60" s="24" t="n">
        <f aca="false">G60+H60</f>
        <v>2120.61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57</v>
      </c>
      <c r="C61" s="23" t="s">
        <v>25</v>
      </c>
      <c r="D61" s="24" t="n">
        <v>12396.1</v>
      </c>
      <c r="E61" s="24" t="n">
        <v>0</v>
      </c>
      <c r="F61" s="24" t="n">
        <v>0</v>
      </c>
      <c r="G61" s="24" t="n">
        <v>732.5</v>
      </c>
      <c r="H61" s="24" t="n">
        <v>450.77</v>
      </c>
      <c r="I61" s="24" t="n">
        <f aca="false">G61+H61</f>
        <v>1183.27</v>
      </c>
      <c r="J61" s="24" t="n">
        <f aca="false">D61-I61</f>
        <v>11212.83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58</v>
      </c>
      <c r="C62" s="23" t="s">
        <v>25</v>
      </c>
      <c r="D62" s="24" t="n">
        <v>3268.65</v>
      </c>
      <c r="E62" s="24" t="n">
        <v>0</v>
      </c>
      <c r="F62" s="24" t="n">
        <v>3268.65</v>
      </c>
      <c r="G62" s="24" t="n">
        <v>3268.65</v>
      </c>
      <c r="H62" s="24" t="n">
        <v>0</v>
      </c>
      <c r="I62" s="24" t="n">
        <f aca="false">G62+H62</f>
        <v>3268.65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59</v>
      </c>
      <c r="C63" s="23" t="s">
        <v>25</v>
      </c>
      <c r="D63" s="24" t="n">
        <v>19107.1</v>
      </c>
      <c r="E63" s="24" t="n">
        <v>0</v>
      </c>
      <c r="F63" s="24" t="n">
        <v>0</v>
      </c>
      <c r="G63" s="24" t="n">
        <v>1129.05</v>
      </c>
      <c r="H63" s="24" t="n">
        <v>694.8</v>
      </c>
      <c r="I63" s="24" t="n">
        <f aca="false">G63+H63</f>
        <v>1823.85</v>
      </c>
      <c r="J63" s="24" t="n">
        <f aca="false">D63-I63</f>
        <v>17283.25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164863.06</v>
      </c>
      <c r="E64" s="28" t="n">
        <f aca="false">SUM(E52:E63)</f>
        <v>0</v>
      </c>
      <c r="F64" s="28" t="n">
        <f aca="false">SUM(F52:F63)</f>
        <v>19764.66</v>
      </c>
      <c r="G64" s="28" t="n">
        <f aca="false">SUM(G52:G63)</f>
        <v>44901.59</v>
      </c>
      <c r="H64" s="28" t="n">
        <f aca="false">SUM(H52:H63)</f>
        <v>5123.88</v>
      </c>
      <c r="I64" s="28" t="n">
        <f aca="false">SUM(I52:I63)</f>
        <v>50025.47</v>
      </c>
      <c r="J64" s="28" t="n">
        <f aca="false">SUM(J52:J63)</f>
        <v>114837.59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61853.94</v>
      </c>
    </row>
    <row r="68" customFormat="false" ht="15" hidden="false" customHeight="false" outlineLevel="0" collapsed="false">
      <c r="B68" s="5" t="s">
        <v>109</v>
      </c>
      <c r="D68" s="6" t="n">
        <f aca="false">I64</f>
        <v>50025.47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11828.47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164863.06</v>
      </c>
    </row>
    <row r="73" customFormat="false" ht="15" hidden="false" customHeight="false" outlineLevel="0" collapsed="false">
      <c r="B73" s="5" t="s">
        <v>144</v>
      </c>
      <c r="D73" s="6" t="n">
        <f aca="false">F109</f>
        <v>24083.25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0.146080328728582</v>
      </c>
    </row>
    <row r="75" customFormat="false" ht="15" hidden="false" customHeight="false" outlineLevel="0" collapsed="false">
      <c r="B75" s="5" t="s">
        <v>145</v>
      </c>
      <c r="D75" s="6" t="n">
        <f aca="false">H109</f>
        <v>140779.81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0.853919671271418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148</v>
      </c>
      <c r="D81" s="33" t="n">
        <f aca="false">SUM(F81:H81)</f>
        <v>2971.24</v>
      </c>
      <c r="F81" s="33" t="n">
        <v>2971.24</v>
      </c>
    </row>
    <row r="82" customFormat="false" ht="15" hidden="false" customHeight="false" outlineLevel="0" collapsed="false">
      <c r="B82" s="5" t="s">
        <v>149</v>
      </c>
      <c r="D82" s="33" t="n">
        <f aca="false">SUM(F82:H82)</f>
        <v>11681.93</v>
      </c>
      <c r="F82" s="33" t="n">
        <v>11681.93</v>
      </c>
    </row>
    <row r="83" customFormat="false" ht="15" hidden="false" customHeight="false" outlineLevel="0" collapsed="false">
      <c r="B83" s="5" t="s">
        <v>150</v>
      </c>
      <c r="D83" s="33" t="n">
        <f aca="false">SUM(F83:H83)</f>
        <v>197.41</v>
      </c>
      <c r="F83" s="33" t="n">
        <v>197.41</v>
      </c>
    </row>
    <row r="84" customFormat="false" ht="15" hidden="false" customHeight="false" outlineLevel="0" collapsed="false">
      <c r="B84" s="5" t="s">
        <v>151</v>
      </c>
      <c r="D84" s="33" t="n">
        <f aca="false">SUM(F84:H84)</f>
        <v>944.53</v>
      </c>
      <c r="F84" s="33" t="n">
        <v>944.53</v>
      </c>
    </row>
    <row r="85" customFormat="false" ht="15" hidden="false" customHeight="false" outlineLevel="0" collapsed="false">
      <c r="B85" s="5" t="s">
        <v>152</v>
      </c>
      <c r="D85" s="33" t="n">
        <f aca="false">SUM(F85:H85)</f>
        <v>3452.88</v>
      </c>
      <c r="F85" s="33" t="n">
        <v>3452.88</v>
      </c>
    </row>
    <row r="86" customFormat="false" ht="15" hidden="false" customHeight="false" outlineLevel="0" collapsed="false">
      <c r="B86" s="5" t="s">
        <v>153</v>
      </c>
      <c r="D86" s="33" t="n">
        <f aca="false">SUM(F86:H86)</f>
        <v>824.22</v>
      </c>
      <c r="F86" s="33" t="n">
        <v>824.22</v>
      </c>
    </row>
    <row r="87" customFormat="false" ht="15" hidden="false" customHeight="false" outlineLevel="0" collapsed="false">
      <c r="B87" s="5" t="s">
        <v>154</v>
      </c>
      <c r="D87" s="33" t="n">
        <f aca="false">SUM(F87:H87)</f>
        <v>796.45</v>
      </c>
      <c r="F87" s="33" t="n">
        <v>796.45</v>
      </c>
    </row>
    <row r="88" customFormat="false" ht="15" hidden="false" customHeight="false" outlineLevel="0" collapsed="false">
      <c r="B88" s="5" t="s">
        <v>155</v>
      </c>
      <c r="D88" s="33" t="n">
        <f aca="false">SUM(F88:H88)</f>
        <v>456.05</v>
      </c>
      <c r="F88" s="33" t="n">
        <v>456.05</v>
      </c>
    </row>
    <row r="89" customFormat="false" ht="15" hidden="false" customHeight="false" outlineLevel="0" collapsed="false">
      <c r="B89" s="5" t="s">
        <v>156</v>
      </c>
      <c r="D89" s="33" t="n">
        <f aca="false">SUM(F89:H89)</f>
        <v>2758.54</v>
      </c>
      <c r="F89" s="33" t="n">
        <v>2758.54</v>
      </c>
    </row>
    <row r="90" customFormat="false" ht="15" hidden="false" customHeight="false" outlineLevel="0" collapsed="false">
      <c r="B90" s="32" t="s">
        <v>157</v>
      </c>
    </row>
    <row r="91" customFormat="false" ht="15" hidden="false" customHeight="false" outlineLevel="0" collapsed="false">
      <c r="B91" s="5" t="s">
        <v>158</v>
      </c>
      <c r="D91" s="33" t="n">
        <f aca="false">SUM(F91:H91)</f>
        <v>16214.15</v>
      </c>
      <c r="H91" s="33" t="n">
        <v>16214.15</v>
      </c>
    </row>
    <row r="92" customFormat="false" ht="15" hidden="false" customHeight="false" outlineLevel="0" collapsed="false">
      <c r="B92" s="5" t="s">
        <v>159</v>
      </c>
      <c r="D92" s="33" t="n">
        <f aca="false">SUM(F92:H92)</f>
        <v>22421.29</v>
      </c>
      <c r="H92" s="33" t="n">
        <v>22421.29</v>
      </c>
    </row>
    <row r="93" customFormat="false" ht="15" hidden="false" customHeight="false" outlineLevel="0" collapsed="false">
      <c r="B93" s="5" t="s">
        <v>160</v>
      </c>
      <c r="D93" s="33" t="n">
        <f aca="false">SUM(F93:H93)</f>
        <v>11576.74</v>
      </c>
      <c r="H93" s="33" t="n">
        <v>11576.74</v>
      </c>
    </row>
    <row r="94" customFormat="false" ht="15" hidden="false" customHeight="false" outlineLevel="0" collapsed="false">
      <c r="B94" s="5" t="s">
        <v>161</v>
      </c>
      <c r="D94" s="33" t="n">
        <f aca="false">SUM(F94:H94)</f>
        <v>12631.83</v>
      </c>
      <c r="H94" s="33" t="n">
        <v>12631.83</v>
      </c>
    </row>
    <row r="95" customFormat="false" ht="15" hidden="false" customHeight="false" outlineLevel="0" collapsed="false">
      <c r="B95" s="5" t="s">
        <v>162</v>
      </c>
      <c r="D95" s="33" t="n">
        <f aca="false">SUM(F95:H95)</f>
        <v>9410.98</v>
      </c>
      <c r="H95" s="33" t="n">
        <v>9410.98</v>
      </c>
    </row>
    <row r="96" customFormat="false" ht="15" hidden="false" customHeight="false" outlineLevel="0" collapsed="false">
      <c r="B96" s="5" t="s">
        <v>163</v>
      </c>
      <c r="D96" s="33" t="n">
        <f aca="false">SUM(F96:H96)</f>
        <v>74.04</v>
      </c>
      <c r="H96" s="33" t="n">
        <v>74.04</v>
      </c>
    </row>
    <row r="97" customFormat="false" ht="15" hidden="false" customHeight="false" outlineLevel="0" collapsed="false">
      <c r="B97" s="5" t="s">
        <v>164</v>
      </c>
      <c r="D97" s="33" t="n">
        <f aca="false">SUM(F97:H97)</f>
        <v>10563.11</v>
      </c>
      <c r="H97" s="33" t="n">
        <v>10563.11</v>
      </c>
    </row>
    <row r="98" customFormat="false" ht="15" hidden="false" customHeight="false" outlineLevel="0" collapsed="false">
      <c r="B98" s="5" t="s">
        <v>165</v>
      </c>
      <c r="D98" s="33" t="n">
        <f aca="false">SUM(F98:H98)</f>
        <v>4305.7</v>
      </c>
      <c r="H98" s="33" t="n">
        <v>4305.7</v>
      </c>
    </row>
    <row r="99" customFormat="false" ht="15" hidden="false" customHeight="false" outlineLevel="0" collapsed="false">
      <c r="B99" s="5" t="s">
        <v>166</v>
      </c>
      <c r="D99" s="33" t="n">
        <f aca="false">SUM(F99:H99)</f>
        <v>3720.44</v>
      </c>
      <c r="H99" s="33" t="n">
        <v>3720.44</v>
      </c>
    </row>
    <row r="100" customFormat="false" ht="15" hidden="false" customHeight="false" outlineLevel="0" collapsed="false">
      <c r="B100" s="5" t="s">
        <v>167</v>
      </c>
      <c r="D100" s="33" t="n">
        <f aca="false">SUM(F100:H100)</f>
        <v>5202.67</v>
      </c>
      <c r="H100" s="33" t="n">
        <v>5202.67</v>
      </c>
    </row>
    <row r="101" customFormat="false" ht="15" hidden="false" customHeight="false" outlineLevel="0" collapsed="false">
      <c r="B101" s="5" t="s">
        <v>168</v>
      </c>
      <c r="D101" s="33" t="n">
        <f aca="false">SUM(F101:H101)</f>
        <v>18937.43</v>
      </c>
      <c r="H101" s="33" t="n">
        <v>18937.43</v>
      </c>
    </row>
    <row r="102" customFormat="false" ht="15" hidden="false" customHeight="false" outlineLevel="0" collapsed="false">
      <c r="B102" s="5" t="s">
        <v>169</v>
      </c>
      <c r="D102" s="33" t="n">
        <f aca="false">SUM(F102:H102)</f>
        <v>6328.16</v>
      </c>
      <c r="H102" s="33" t="n">
        <v>6328.16</v>
      </c>
    </row>
    <row r="103" customFormat="false" ht="15" hidden="false" customHeight="false" outlineLevel="0" collapsed="false">
      <c r="B103" s="5" t="s">
        <v>170</v>
      </c>
      <c r="D103" s="33" t="n">
        <f aca="false">SUM(F103:H103)</f>
        <v>557.98</v>
      </c>
      <c r="H103" s="33" t="n">
        <v>557.98</v>
      </c>
    </row>
    <row r="104" customFormat="false" ht="15" hidden="false" customHeight="false" outlineLevel="0" collapsed="false">
      <c r="B104" s="5" t="s">
        <v>171</v>
      </c>
      <c r="D104" s="33" t="n">
        <f aca="false">SUM(F104:H104)</f>
        <v>696.18</v>
      </c>
      <c r="H104" s="33" t="n">
        <v>696.18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15915.15</v>
      </c>
      <c r="H105" s="33" t="n">
        <v>15915.15</v>
      </c>
    </row>
    <row r="106" customFormat="false" ht="15" hidden="false" customHeight="false" outlineLevel="0" collapsed="false">
      <c r="B106" s="5" t="s">
        <v>173</v>
      </c>
      <c r="D106" s="33" t="n">
        <f aca="false">SUM(F106:H106)</f>
        <v>1227.02</v>
      </c>
      <c r="H106" s="33" t="n">
        <v>1227.02</v>
      </c>
    </row>
    <row r="107" customFormat="false" ht="15" hidden="false" customHeight="false" outlineLevel="0" collapsed="false">
      <c r="B107" s="5" t="s">
        <v>174</v>
      </c>
      <c r="D107" s="33" t="n">
        <f aca="false">SUM(F107:H107)</f>
        <v>577.78</v>
      </c>
      <c r="H107" s="33" t="n">
        <v>577.78</v>
      </c>
    </row>
    <row r="108" customFormat="false" ht="15" hidden="false" customHeight="false" outlineLevel="0" collapsed="false">
      <c r="B108" s="5" t="s">
        <v>175</v>
      </c>
      <c r="D108" s="33" t="n">
        <f aca="false">SUM(F108:H108)</f>
        <v>419.16</v>
      </c>
      <c r="H108" s="33" t="n">
        <v>419.16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164863.06</v>
      </c>
      <c r="F109" s="34" t="n">
        <f aca="false">SUM(F80:F108)</f>
        <v>24083.25</v>
      </c>
      <c r="H109" s="34" t="n">
        <f aca="false">SUM(H80:H108)</f>
        <v>140779.81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0.146080328728582</v>
      </c>
      <c r="H110" s="31" t="n">
        <f aca="false">H109/D109</f>
        <v>0.853919671271418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Office!B20</f>
        <v>Building - Office - 5yr</v>
      </c>
      <c r="D114" s="33" t="n">
        <f aca="false">SUM(F114:H114)</f>
        <v>4304.14</v>
      </c>
      <c r="F114" s="33" t="n">
        <f aca="false">Office!D20</f>
        <v>4304.14</v>
      </c>
    </row>
    <row r="115" customFormat="false" ht="15" hidden="false" customHeight="false" outlineLevel="0" collapsed="false">
      <c r="B115" s="5" t="str">
        <f aca="false">Office!B21</f>
        <v>Building - Office - 27.5yr</v>
      </c>
      <c r="D115" s="33" t="n">
        <f aca="false">SUM(F115:H115)</f>
        <v>25160.04</v>
      </c>
      <c r="H115" s="33" t="n">
        <f aca="false">Office!D21</f>
        <v>25160.04</v>
      </c>
    </row>
    <row r="116" customFormat="false" ht="15" hidden="false" customHeight="false" outlineLevel="0" collapsed="false">
      <c r="B116" s="5" t="str">
        <f aca="false">Office!B22</f>
        <v>Building Improvements - Office - 5yr</v>
      </c>
      <c r="D116" s="33" t="n">
        <f aca="false">SUM(F116:H116)</f>
        <v>13263.4</v>
      </c>
      <c r="F116" s="33" t="n">
        <f aca="false">Office!D22</f>
        <v>13263.4</v>
      </c>
    </row>
    <row r="117" customFormat="false" ht="15" hidden="false" customHeight="false" outlineLevel="0" collapsed="false">
      <c r="B117" s="5" t="str">
        <f aca="false">Office!B23</f>
        <v>Building Improvements - Office - 27.5yr</v>
      </c>
      <c r="D117" s="33" t="n">
        <f aca="false">SUM(F117:H117)</f>
        <v>77531.87</v>
      </c>
      <c r="H117" s="33" t="n">
        <f aca="false">Office!D23</f>
        <v>77531.87</v>
      </c>
    </row>
    <row r="118" customFormat="false" ht="15" hidden="false" customHeight="false" outlineLevel="0" collapsed="false">
      <c r="B118" s="5" t="str">
        <f aca="false">Office!B24</f>
        <v>Building Improvements - Office - 5yr</v>
      </c>
      <c r="D118" s="33" t="n">
        <f aca="false">SUM(F118:H118)</f>
        <v>72.24</v>
      </c>
      <c r="F118" s="33" t="n">
        <f aca="false">Office!D24</f>
        <v>72.24</v>
      </c>
    </row>
    <row r="119" customFormat="false" ht="15" hidden="false" customHeight="false" outlineLevel="0" collapsed="false">
      <c r="B119" s="5" t="str">
        <f aca="false">Office!B25</f>
        <v>Building Improvements - Office - 27.5yr</v>
      </c>
      <c r="D119" s="33" t="n">
        <f aca="false">SUM(F119:H119)</f>
        <v>422.26</v>
      </c>
      <c r="H119" s="33" t="n">
        <f aca="false">Office!D25</f>
        <v>422.26</v>
      </c>
    </row>
    <row r="120" customFormat="false" ht="15" hidden="false" customHeight="false" outlineLevel="0" collapsed="false">
      <c r="B120" s="5" t="str">
        <f aca="false">Office!B26</f>
        <v>Land Improvements - Office - 5yr</v>
      </c>
      <c r="D120" s="33" t="n">
        <f aca="false">SUM(F120:H120)</f>
        <v>1054.21</v>
      </c>
      <c r="F120" s="33" t="n">
        <f aca="false">Office!D26</f>
        <v>1054.21</v>
      </c>
    </row>
    <row r="121" customFormat="false" ht="15" hidden="false" customHeight="false" outlineLevel="0" collapsed="false">
      <c r="B121" s="5" t="str">
        <f aca="false">Office!B27</f>
        <v>Land Improvements - Office - 27.5yr</v>
      </c>
      <c r="D121" s="33" t="n">
        <f aca="false">SUM(F121:H121)</f>
        <v>6162.44</v>
      </c>
      <c r="H121" s="33" t="n">
        <f aca="false">Office!D27</f>
        <v>6162.44</v>
      </c>
    </row>
    <row r="122" customFormat="false" ht="15" hidden="false" customHeight="false" outlineLevel="0" collapsed="false">
      <c r="B122" s="5" t="str">
        <f aca="false">Office!B28</f>
        <v>Land Improvements - Office - 5yr</v>
      </c>
      <c r="D122" s="33" t="n">
        <f aca="false">SUM(F122:H122)</f>
        <v>2120.61</v>
      </c>
      <c r="F122" s="33" t="n">
        <f aca="false">Office!D28</f>
        <v>2120.61</v>
      </c>
    </row>
    <row r="123" customFormat="false" ht="15" hidden="false" customHeight="false" outlineLevel="0" collapsed="false">
      <c r="B123" s="5" t="str">
        <f aca="false">Office!B29</f>
        <v>Land Improvements - Office - 27.5yr</v>
      </c>
      <c r="D123" s="33" t="n">
        <f aca="false">SUM(F123:H123)</f>
        <v>12396.1</v>
      </c>
      <c r="H123" s="33" t="n">
        <f aca="false">Office!D29</f>
        <v>12396.1</v>
      </c>
    </row>
    <row r="124" customFormat="false" ht="15" hidden="false" customHeight="false" outlineLevel="0" collapsed="false">
      <c r="B124" s="5" t="str">
        <f aca="false">Office!B30</f>
        <v>Equipment - Office - 5yr</v>
      </c>
      <c r="D124" s="33" t="n">
        <f aca="false">SUM(F124:H124)</f>
        <v>3268.65</v>
      </c>
      <c r="F124" s="33" t="n">
        <f aca="false">Office!D30</f>
        <v>3268.65</v>
      </c>
    </row>
    <row r="125" customFormat="false" ht="15" hidden="false" customHeight="false" outlineLevel="0" collapsed="false">
      <c r="B125" s="5" t="str">
        <f aca="false">Office!B31</f>
        <v>Equipment - Office - 27.5yr</v>
      </c>
      <c r="D125" s="33" t="n">
        <f aca="false">SUM(F125:H125)</f>
        <v>19107.1</v>
      </c>
      <c r="H125" s="33" t="n">
        <f aca="false">Office!D31</f>
        <v>19107.1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164863.06</v>
      </c>
      <c r="F126" s="34" t="n">
        <f aca="false">SUM(F114:F125)</f>
        <v>24083.25</v>
      </c>
      <c r="H126" s="34" t="n">
        <f aca="false">SUM(H114:H125)</f>
        <v>140779.81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176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A!B20</f>
        <v>Building - Apt - 5yr</v>
      </c>
      <c r="D114" s="33" t="n">
        <f aca="false">SUM(F114:H114)</f>
        <v>18720.42</v>
      </c>
      <c r="F114" s="33" t="n">
        <f aca="false">A!D20</f>
        <v>18720.42</v>
      </c>
    </row>
    <row r="115" customFormat="false" ht="15" hidden="false" customHeight="false" outlineLevel="0" collapsed="false">
      <c r="B115" s="5" t="str">
        <f aca="false">A!B21</f>
        <v>Building - Apt - 27.5yr</v>
      </c>
      <c r="D115" s="33" t="n">
        <f aca="false">SUM(F115:H115)</f>
        <v>73470.24</v>
      </c>
      <c r="H115" s="33" t="n">
        <f aca="false">A!D21</f>
        <v>73470.24</v>
      </c>
    </row>
    <row r="116" customFormat="false" ht="15" hidden="false" customHeight="false" outlineLevel="0" collapsed="false">
      <c r="B116" s="5" t="str">
        <f aca="false">A!B22</f>
        <v>Building Improvements - Apt - 5yr</v>
      </c>
      <c r="D116" s="33" t="n">
        <f aca="false">SUM(F116:H116)</f>
        <v>57687.85</v>
      </c>
      <c r="F116" s="33" t="n">
        <f aca="false">A!D22</f>
        <v>57687.85</v>
      </c>
    </row>
    <row r="117" customFormat="false" ht="15" hidden="false" customHeight="false" outlineLevel="0" collapsed="false">
      <c r="B117" s="5" t="str">
        <f aca="false">A!B23</f>
        <v>Building Improvements - Apt - 27.5yr</v>
      </c>
      <c r="D117" s="33" t="n">
        <f aca="false">SUM(F117:H117)</f>
        <v>226402.03</v>
      </c>
      <c r="H117" s="33" t="n">
        <f aca="false">A!D23</f>
        <v>226402.03</v>
      </c>
    </row>
    <row r="118" customFormat="false" ht="15" hidden="false" customHeight="false" outlineLevel="0" collapsed="false">
      <c r="B118" s="5" t="str">
        <f aca="false">A!B24</f>
        <v>Building Improvements - Apt - 5yr</v>
      </c>
      <c r="D118" s="33" t="n">
        <f aca="false">SUM(F118:H118)</f>
        <v>314.19</v>
      </c>
      <c r="F118" s="33" t="n">
        <f aca="false">A!D24</f>
        <v>314.19</v>
      </c>
    </row>
    <row r="119" customFormat="false" ht="15" hidden="false" customHeight="false" outlineLevel="0" collapsed="false">
      <c r="B119" s="5" t="str">
        <f aca="false">A!B25</f>
        <v>Building Improvements - Apt - 27.5yr</v>
      </c>
      <c r="D119" s="33" t="n">
        <f aca="false">SUM(F119:H119)</f>
        <v>1233.07</v>
      </c>
      <c r="H119" s="33" t="n">
        <f aca="false">A!D25</f>
        <v>1233.07</v>
      </c>
    </row>
    <row r="120" customFormat="false" ht="15" hidden="false" customHeight="false" outlineLevel="0" collapsed="false">
      <c r="B120" s="5" t="str">
        <f aca="false">A!B26</f>
        <v>Land Improvements - Apt - 5yr</v>
      </c>
      <c r="D120" s="33" t="n">
        <f aca="false">SUM(F120:H120)</f>
        <v>4585.18</v>
      </c>
      <c r="F120" s="33" t="n">
        <f aca="false">A!D26</f>
        <v>4585.18</v>
      </c>
    </row>
    <row r="121" customFormat="false" ht="15" hidden="false" customHeight="false" outlineLevel="0" collapsed="false">
      <c r="B121" s="5" t="str">
        <f aca="false">A!B27</f>
        <v>Land Improvements - Apt - 27.5yr</v>
      </c>
      <c r="D121" s="33" t="n">
        <f aca="false">SUM(F121:H121)</f>
        <v>17995.03</v>
      </c>
      <c r="H121" s="33" t="n">
        <f aca="false">A!D27</f>
        <v>17995.03</v>
      </c>
    </row>
    <row r="122" customFormat="false" ht="15" hidden="false" customHeight="false" outlineLevel="0" collapsed="false">
      <c r="B122" s="5" t="str">
        <f aca="false">A!B28</f>
        <v>Land Improvements - Apt - 5yr</v>
      </c>
      <c r="D122" s="33" t="n">
        <f aca="false">SUM(F122:H122)</f>
        <v>9223.36</v>
      </c>
      <c r="F122" s="33" t="n">
        <f aca="false">A!D28</f>
        <v>9223.36</v>
      </c>
    </row>
    <row r="123" customFormat="false" ht="15" hidden="false" customHeight="false" outlineLevel="0" collapsed="false">
      <c r="B123" s="5" t="str">
        <f aca="false">A!B29</f>
        <v>Land Improvements - Apt - 27.5yr</v>
      </c>
      <c r="D123" s="33" t="n">
        <f aca="false">SUM(F123:H123)</f>
        <v>36198.07</v>
      </c>
      <c r="H123" s="33" t="n">
        <f aca="false">A!D29</f>
        <v>36198.07</v>
      </c>
    </row>
    <row r="124" customFormat="false" ht="15" hidden="false" customHeight="false" outlineLevel="0" collapsed="false">
      <c r="B124" s="5" t="str">
        <f aca="false">A!B30</f>
        <v>Equipment - Apt - 5yr</v>
      </c>
      <c r="D124" s="33" t="n">
        <f aca="false">SUM(F124:H124)</f>
        <v>14216.69</v>
      </c>
      <c r="F124" s="33" t="n">
        <f aca="false">A!D30</f>
        <v>14216.69</v>
      </c>
    </row>
    <row r="125" customFormat="false" ht="15" hidden="false" customHeight="false" outlineLevel="0" collapsed="false">
      <c r="B125" s="5" t="str">
        <f aca="false">A!B31</f>
        <v>Equipment - Apt - 27.5yr</v>
      </c>
      <c r="D125" s="33" t="n">
        <f aca="false">SUM(F125:H125)</f>
        <v>55794.92</v>
      </c>
      <c r="H125" s="33" t="n">
        <f aca="false">A!D31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183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B!B20</f>
        <v>Building - Apt - 5yr</v>
      </c>
      <c r="D114" s="33" t="n">
        <f aca="false">SUM(F114:H114)</f>
        <v>18720.42</v>
      </c>
      <c r="F114" s="33" t="n">
        <f aca="false">B!D20</f>
        <v>18720.42</v>
      </c>
    </row>
    <row r="115" customFormat="false" ht="15" hidden="false" customHeight="false" outlineLevel="0" collapsed="false">
      <c r="B115" s="5" t="str">
        <f aca="false">B!B21</f>
        <v>Building - Apt - 27.5yr</v>
      </c>
      <c r="D115" s="33" t="n">
        <f aca="false">SUM(F115:H115)</f>
        <v>73470.24</v>
      </c>
      <c r="H115" s="33" t="n">
        <f aca="false">B!D21</f>
        <v>73470.24</v>
      </c>
    </row>
    <row r="116" customFormat="false" ht="15" hidden="false" customHeight="false" outlineLevel="0" collapsed="false">
      <c r="B116" s="5" t="str">
        <f aca="false">B!B22</f>
        <v>Building Improvements - Apt - 5yr</v>
      </c>
      <c r="D116" s="33" t="n">
        <f aca="false">SUM(F116:H116)</f>
        <v>57687.85</v>
      </c>
      <c r="F116" s="33" t="n">
        <f aca="false">B!D22</f>
        <v>57687.85</v>
      </c>
    </row>
    <row r="117" customFormat="false" ht="15" hidden="false" customHeight="false" outlineLevel="0" collapsed="false">
      <c r="B117" s="5" t="str">
        <f aca="false">B!B23</f>
        <v>Building Improvements - Apt - 27.5yr</v>
      </c>
      <c r="D117" s="33" t="n">
        <f aca="false">SUM(F117:H117)</f>
        <v>226402.03</v>
      </c>
      <c r="H117" s="33" t="n">
        <f aca="false">B!D23</f>
        <v>226402.03</v>
      </c>
    </row>
    <row r="118" customFormat="false" ht="15" hidden="false" customHeight="false" outlineLevel="0" collapsed="false">
      <c r="B118" s="5" t="str">
        <f aca="false">B!B24</f>
        <v>Building Improvements - Apt - 5yr</v>
      </c>
      <c r="D118" s="33" t="n">
        <f aca="false">SUM(F118:H118)</f>
        <v>314.19</v>
      </c>
      <c r="F118" s="33" t="n">
        <f aca="false">B!D24</f>
        <v>314.19</v>
      </c>
    </row>
    <row r="119" customFormat="false" ht="15" hidden="false" customHeight="false" outlineLevel="0" collapsed="false">
      <c r="B119" s="5" t="str">
        <f aca="false">B!B25</f>
        <v>Building Improvements - Apt - 27.5yr</v>
      </c>
      <c r="D119" s="33" t="n">
        <f aca="false">SUM(F119:H119)</f>
        <v>1233.07</v>
      </c>
      <c r="H119" s="33" t="n">
        <f aca="false">B!D25</f>
        <v>1233.07</v>
      </c>
    </row>
    <row r="120" customFormat="false" ht="15" hidden="false" customHeight="false" outlineLevel="0" collapsed="false">
      <c r="B120" s="5" t="str">
        <f aca="false">B!B26</f>
        <v>Land Improvements - Apt - 5yr</v>
      </c>
      <c r="D120" s="33" t="n">
        <f aca="false">SUM(F120:H120)</f>
        <v>4585.18</v>
      </c>
      <c r="F120" s="33" t="n">
        <f aca="false">B!D26</f>
        <v>4585.18</v>
      </c>
    </row>
    <row r="121" customFormat="false" ht="15" hidden="false" customHeight="false" outlineLevel="0" collapsed="false">
      <c r="B121" s="5" t="str">
        <f aca="false">B!B27</f>
        <v>Land Improvements - Apt - 27.5yr</v>
      </c>
      <c r="D121" s="33" t="n">
        <f aca="false">SUM(F121:H121)</f>
        <v>17995.03</v>
      </c>
      <c r="H121" s="33" t="n">
        <f aca="false">B!D27</f>
        <v>17995.03</v>
      </c>
    </row>
    <row r="122" customFormat="false" ht="15" hidden="false" customHeight="false" outlineLevel="0" collapsed="false">
      <c r="B122" s="5" t="str">
        <f aca="false">B!B28</f>
        <v>Land Improvements - Apt - 5yr</v>
      </c>
      <c r="D122" s="33" t="n">
        <f aca="false">SUM(F122:H122)</f>
        <v>9223.36</v>
      </c>
      <c r="F122" s="33" t="n">
        <f aca="false">B!D28</f>
        <v>9223.36</v>
      </c>
    </row>
    <row r="123" customFormat="false" ht="15" hidden="false" customHeight="false" outlineLevel="0" collapsed="false">
      <c r="B123" s="5" t="str">
        <f aca="false">B!B29</f>
        <v>Land Improvements - Apt - 27.5yr</v>
      </c>
      <c r="D123" s="33" t="n">
        <f aca="false">SUM(F123:H123)</f>
        <v>36198.07</v>
      </c>
      <c r="H123" s="33" t="n">
        <f aca="false">B!D29</f>
        <v>36198.07</v>
      </c>
    </row>
    <row r="124" customFormat="false" ht="15" hidden="false" customHeight="false" outlineLevel="0" collapsed="false">
      <c r="B124" s="5" t="str">
        <f aca="false">B!B30</f>
        <v>Equipment - Apt - 5yr</v>
      </c>
      <c r="D124" s="33" t="n">
        <f aca="false">SUM(F124:H124)</f>
        <v>14216.69</v>
      </c>
      <c r="F124" s="33" t="n">
        <f aca="false">B!D30</f>
        <v>14216.69</v>
      </c>
    </row>
    <row r="125" customFormat="false" ht="15" hidden="false" customHeight="false" outlineLevel="0" collapsed="false">
      <c r="B125" s="5" t="str">
        <f aca="false">B!B31</f>
        <v>Equipment - Apt - 27.5yr</v>
      </c>
      <c r="D125" s="33" t="n">
        <f aca="false">SUM(F125:H125)</f>
        <v>55794.92</v>
      </c>
      <c r="H125" s="33" t="n">
        <f aca="false">B!D31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184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C!B20</f>
        <v>Building - Apt - 5yr</v>
      </c>
      <c r="D114" s="33" t="n">
        <f aca="false">SUM(F114:H114)</f>
        <v>18720.42</v>
      </c>
      <c r="F114" s="33" t="n">
        <f aca="false">C!D20</f>
        <v>18720.42</v>
      </c>
    </row>
    <row r="115" customFormat="false" ht="15" hidden="false" customHeight="false" outlineLevel="0" collapsed="false">
      <c r="B115" s="5" t="str">
        <f aca="false">C!B21</f>
        <v>Building - Apt - 27.5yr</v>
      </c>
      <c r="D115" s="33" t="n">
        <f aca="false">SUM(F115:H115)</f>
        <v>73470.24</v>
      </c>
      <c r="H115" s="33" t="n">
        <f aca="false">C!D21</f>
        <v>73470.24</v>
      </c>
    </row>
    <row r="116" customFormat="false" ht="15" hidden="false" customHeight="false" outlineLevel="0" collapsed="false">
      <c r="B116" s="5" t="str">
        <f aca="false">C!B22</f>
        <v>Building Improvements - Apt - 5yr</v>
      </c>
      <c r="D116" s="33" t="n">
        <f aca="false">SUM(F116:H116)</f>
        <v>57687.85</v>
      </c>
      <c r="F116" s="33" t="n">
        <f aca="false">C!D22</f>
        <v>57687.85</v>
      </c>
    </row>
    <row r="117" customFormat="false" ht="15" hidden="false" customHeight="false" outlineLevel="0" collapsed="false">
      <c r="B117" s="5" t="str">
        <f aca="false">C!B23</f>
        <v>Building Improvements - Apt - 27.5yr</v>
      </c>
      <c r="D117" s="33" t="n">
        <f aca="false">SUM(F117:H117)</f>
        <v>226402.03</v>
      </c>
      <c r="H117" s="33" t="n">
        <f aca="false">C!D23</f>
        <v>226402.03</v>
      </c>
    </row>
    <row r="118" customFormat="false" ht="15" hidden="false" customHeight="false" outlineLevel="0" collapsed="false">
      <c r="B118" s="5" t="str">
        <f aca="false">C!B24</f>
        <v>Building Improvements - Apt - 5yr</v>
      </c>
      <c r="D118" s="33" t="n">
        <f aca="false">SUM(F118:H118)</f>
        <v>314.19</v>
      </c>
      <c r="F118" s="33" t="n">
        <f aca="false">C!D24</f>
        <v>314.19</v>
      </c>
    </row>
    <row r="119" customFormat="false" ht="15" hidden="false" customHeight="false" outlineLevel="0" collapsed="false">
      <c r="B119" s="5" t="str">
        <f aca="false">C!B25</f>
        <v>Building Improvements - Apt - 27.5yr</v>
      </c>
      <c r="D119" s="33" t="n">
        <f aca="false">SUM(F119:H119)</f>
        <v>1233.07</v>
      </c>
      <c r="H119" s="33" t="n">
        <f aca="false">C!D25</f>
        <v>1233.07</v>
      </c>
    </row>
    <row r="120" customFormat="false" ht="15" hidden="false" customHeight="false" outlineLevel="0" collapsed="false">
      <c r="B120" s="5" t="str">
        <f aca="false">C!B26</f>
        <v>Land Improvements - Apt - 5yr</v>
      </c>
      <c r="D120" s="33" t="n">
        <f aca="false">SUM(F120:H120)</f>
        <v>4585.18</v>
      </c>
      <c r="F120" s="33" t="n">
        <f aca="false">C!D26</f>
        <v>4585.18</v>
      </c>
    </row>
    <row r="121" customFormat="false" ht="15" hidden="false" customHeight="false" outlineLevel="0" collapsed="false">
      <c r="B121" s="5" t="str">
        <f aca="false">C!B27</f>
        <v>Land Improvements - Apt - 27.5yr</v>
      </c>
      <c r="D121" s="33" t="n">
        <f aca="false">SUM(F121:H121)</f>
        <v>17995.03</v>
      </c>
      <c r="H121" s="33" t="n">
        <f aca="false">C!D27</f>
        <v>17995.03</v>
      </c>
    </row>
    <row r="122" customFormat="false" ht="15" hidden="false" customHeight="false" outlineLevel="0" collapsed="false">
      <c r="B122" s="5" t="str">
        <f aca="false">C!B28</f>
        <v>Land Improvements - Apt - 5yr</v>
      </c>
      <c r="D122" s="33" t="n">
        <f aca="false">SUM(F122:H122)</f>
        <v>9223.36</v>
      </c>
      <c r="F122" s="33" t="n">
        <f aca="false">C!D28</f>
        <v>9223.36</v>
      </c>
    </row>
    <row r="123" customFormat="false" ht="15" hidden="false" customHeight="false" outlineLevel="0" collapsed="false">
      <c r="B123" s="5" t="str">
        <f aca="false">C!B29</f>
        <v>Land Improvements - Apt - 27.5yr</v>
      </c>
      <c r="D123" s="33" t="n">
        <f aca="false">SUM(F123:H123)</f>
        <v>36198.07</v>
      </c>
      <c r="H123" s="33" t="n">
        <f aca="false">C!D29</f>
        <v>36198.07</v>
      </c>
    </row>
    <row r="124" customFormat="false" ht="15" hidden="false" customHeight="false" outlineLevel="0" collapsed="false">
      <c r="B124" s="5" t="str">
        <f aca="false">C!B30</f>
        <v>Equipment - Apt - 5yr</v>
      </c>
      <c r="D124" s="33" t="n">
        <f aca="false">SUM(F124:H124)</f>
        <v>14216.69</v>
      </c>
      <c r="F124" s="33" t="n">
        <f aca="false">C!D30</f>
        <v>14216.69</v>
      </c>
    </row>
    <row r="125" customFormat="false" ht="15" hidden="false" customHeight="false" outlineLevel="0" collapsed="false">
      <c r="B125" s="5" t="str">
        <f aca="false">C!B31</f>
        <v>Equipment - Apt - 27.5yr</v>
      </c>
      <c r="D125" s="33" t="n">
        <f aca="false">SUM(F125:H125)</f>
        <v>55794.92</v>
      </c>
      <c r="H125" s="33" t="n">
        <f aca="false">C!D31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185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D!B20</f>
        <v>Building - Apt - 5yr</v>
      </c>
      <c r="D114" s="33" t="n">
        <f aca="false">SUM(F114:H114)</f>
        <v>18720.42</v>
      </c>
      <c r="F114" s="33" t="n">
        <f aca="false">D!D20</f>
        <v>18720.42</v>
      </c>
    </row>
    <row r="115" customFormat="false" ht="15" hidden="false" customHeight="false" outlineLevel="0" collapsed="false">
      <c r="B115" s="5" t="str">
        <f aca="false">D!B21</f>
        <v>Building - Apt - 27.5yr</v>
      </c>
      <c r="D115" s="33" t="n">
        <f aca="false">SUM(F115:H115)</f>
        <v>73470.24</v>
      </c>
      <c r="H115" s="33" t="n">
        <f aca="false">D!D21</f>
        <v>73470.24</v>
      </c>
    </row>
    <row r="116" customFormat="false" ht="15" hidden="false" customHeight="false" outlineLevel="0" collapsed="false">
      <c r="B116" s="5" t="str">
        <f aca="false">D!B22</f>
        <v>Building Improvements - Apt - 5yr</v>
      </c>
      <c r="D116" s="33" t="n">
        <f aca="false">SUM(F116:H116)</f>
        <v>57687.85</v>
      </c>
      <c r="F116" s="33" t="n">
        <f aca="false">D!D22</f>
        <v>57687.85</v>
      </c>
    </row>
    <row r="117" customFormat="false" ht="15" hidden="false" customHeight="false" outlineLevel="0" collapsed="false">
      <c r="B117" s="5" t="str">
        <f aca="false">D!B23</f>
        <v>Building Improvements - Apt - 27.5yr</v>
      </c>
      <c r="D117" s="33" t="n">
        <f aca="false">SUM(F117:H117)</f>
        <v>226402.03</v>
      </c>
      <c r="H117" s="33" t="n">
        <f aca="false">D!D23</f>
        <v>226402.03</v>
      </c>
    </row>
    <row r="118" customFormat="false" ht="15" hidden="false" customHeight="false" outlineLevel="0" collapsed="false">
      <c r="B118" s="5" t="str">
        <f aca="false">D!B24</f>
        <v>Building Improvements - Apt - 5yr</v>
      </c>
      <c r="D118" s="33" t="n">
        <f aca="false">SUM(F118:H118)</f>
        <v>314.19</v>
      </c>
      <c r="F118" s="33" t="n">
        <f aca="false">D!D24</f>
        <v>314.19</v>
      </c>
    </row>
    <row r="119" customFormat="false" ht="15" hidden="false" customHeight="false" outlineLevel="0" collapsed="false">
      <c r="B119" s="5" t="str">
        <f aca="false">D!B25</f>
        <v>Building Improvements - Apt - 27.5yr</v>
      </c>
      <c r="D119" s="33" t="n">
        <f aca="false">SUM(F119:H119)</f>
        <v>1233.07</v>
      </c>
      <c r="H119" s="33" t="n">
        <f aca="false">D!D25</f>
        <v>1233.07</v>
      </c>
    </row>
    <row r="120" customFormat="false" ht="15" hidden="false" customHeight="false" outlineLevel="0" collapsed="false">
      <c r="B120" s="5" t="str">
        <f aca="false">D!B26</f>
        <v>Land Improvements - Apt - 5yr</v>
      </c>
      <c r="D120" s="33" t="n">
        <f aca="false">SUM(F120:H120)</f>
        <v>4585.18</v>
      </c>
      <c r="F120" s="33" t="n">
        <f aca="false">D!D26</f>
        <v>4585.18</v>
      </c>
    </row>
    <row r="121" customFormat="false" ht="15" hidden="false" customHeight="false" outlineLevel="0" collapsed="false">
      <c r="B121" s="5" t="str">
        <f aca="false">D!B27</f>
        <v>Land Improvements - Apt - 27.5yr</v>
      </c>
      <c r="D121" s="33" t="n">
        <f aca="false">SUM(F121:H121)</f>
        <v>17995.03</v>
      </c>
      <c r="H121" s="33" t="n">
        <f aca="false">D!D27</f>
        <v>17995.03</v>
      </c>
    </row>
    <row r="122" customFormat="false" ht="15" hidden="false" customHeight="false" outlineLevel="0" collapsed="false">
      <c r="B122" s="5" t="str">
        <f aca="false">D!B28</f>
        <v>Land Improvements - Apt - 5yr</v>
      </c>
      <c r="D122" s="33" t="n">
        <f aca="false">SUM(F122:H122)</f>
        <v>9223.36</v>
      </c>
      <c r="F122" s="33" t="n">
        <f aca="false">D!D28</f>
        <v>9223.36</v>
      </c>
    </row>
    <row r="123" customFormat="false" ht="15" hidden="false" customHeight="false" outlineLevel="0" collapsed="false">
      <c r="B123" s="5" t="str">
        <f aca="false">D!B29</f>
        <v>Land Improvements - Apt - 27.5yr</v>
      </c>
      <c r="D123" s="33" t="n">
        <f aca="false">SUM(F123:H123)</f>
        <v>36198.07</v>
      </c>
      <c r="H123" s="33" t="n">
        <f aca="false">D!D29</f>
        <v>36198.07</v>
      </c>
    </row>
    <row r="124" customFormat="false" ht="15" hidden="false" customHeight="false" outlineLevel="0" collapsed="false">
      <c r="B124" s="5" t="str">
        <f aca="false">D!B30</f>
        <v>Equipment - Apt - 5yr</v>
      </c>
      <c r="D124" s="33" t="n">
        <f aca="false">SUM(F124:H124)</f>
        <v>14216.69</v>
      </c>
      <c r="F124" s="33" t="n">
        <f aca="false">D!D30</f>
        <v>14216.69</v>
      </c>
    </row>
    <row r="125" customFormat="false" ht="15" hidden="false" customHeight="false" outlineLevel="0" collapsed="false">
      <c r="B125" s="5" t="str">
        <f aca="false">D!B31</f>
        <v>Equipment - Apt - 27.5yr</v>
      </c>
      <c r="D125" s="33" t="n">
        <f aca="false">SUM(F125:H125)</f>
        <v>55794.92</v>
      </c>
      <c r="H125" s="33" t="n">
        <f aca="false">D!D31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186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E!B20</f>
        <v>Building - Apt - 5yr</v>
      </c>
      <c r="D114" s="33" t="n">
        <f aca="false">SUM(F114:H114)</f>
        <v>18720.42</v>
      </c>
      <c r="F114" s="33" t="n">
        <f aca="false">E!D20</f>
        <v>18720.42</v>
      </c>
    </row>
    <row r="115" customFormat="false" ht="15" hidden="false" customHeight="false" outlineLevel="0" collapsed="false">
      <c r="B115" s="5" t="str">
        <f aca="false">E!B21</f>
        <v>Building - Apt - 27.5yr</v>
      </c>
      <c r="D115" s="33" t="n">
        <f aca="false">SUM(F115:H115)</f>
        <v>73470.24</v>
      </c>
      <c r="H115" s="33" t="n">
        <f aca="false">E!D21</f>
        <v>73470.24</v>
      </c>
    </row>
    <row r="116" customFormat="false" ht="15" hidden="false" customHeight="false" outlineLevel="0" collapsed="false">
      <c r="B116" s="5" t="str">
        <f aca="false">E!B22</f>
        <v>Building Improvements - Apt - 5yr</v>
      </c>
      <c r="D116" s="33" t="n">
        <f aca="false">SUM(F116:H116)</f>
        <v>57687.85</v>
      </c>
      <c r="F116" s="33" t="n">
        <f aca="false">E!D22</f>
        <v>57687.85</v>
      </c>
    </row>
    <row r="117" customFormat="false" ht="15" hidden="false" customHeight="false" outlineLevel="0" collapsed="false">
      <c r="B117" s="5" t="str">
        <f aca="false">E!B23</f>
        <v>Building Improvements - Apt - 27.5yr</v>
      </c>
      <c r="D117" s="33" t="n">
        <f aca="false">SUM(F117:H117)</f>
        <v>226402.03</v>
      </c>
      <c r="H117" s="33" t="n">
        <f aca="false">E!D23</f>
        <v>226402.03</v>
      </c>
    </row>
    <row r="118" customFormat="false" ht="15" hidden="false" customHeight="false" outlineLevel="0" collapsed="false">
      <c r="B118" s="5" t="str">
        <f aca="false">E!B24</f>
        <v>Building Improvements - Apt - 5yr</v>
      </c>
      <c r="D118" s="33" t="n">
        <f aca="false">SUM(F118:H118)</f>
        <v>314.19</v>
      </c>
      <c r="F118" s="33" t="n">
        <f aca="false">E!D24</f>
        <v>314.19</v>
      </c>
    </row>
    <row r="119" customFormat="false" ht="15" hidden="false" customHeight="false" outlineLevel="0" collapsed="false">
      <c r="B119" s="5" t="str">
        <f aca="false">E!B25</f>
        <v>Building Improvements - Apt - 27.5yr</v>
      </c>
      <c r="D119" s="33" t="n">
        <f aca="false">SUM(F119:H119)</f>
        <v>1233.07</v>
      </c>
      <c r="H119" s="33" t="n">
        <f aca="false">E!D25</f>
        <v>1233.07</v>
      </c>
    </row>
    <row r="120" customFormat="false" ht="15" hidden="false" customHeight="false" outlineLevel="0" collapsed="false">
      <c r="B120" s="5" t="str">
        <f aca="false">E!B26</f>
        <v>Land Improvements - Apt - 5yr</v>
      </c>
      <c r="D120" s="33" t="n">
        <f aca="false">SUM(F120:H120)</f>
        <v>4585.18</v>
      </c>
      <c r="F120" s="33" t="n">
        <f aca="false">E!D26</f>
        <v>4585.18</v>
      </c>
    </row>
    <row r="121" customFormat="false" ht="15" hidden="false" customHeight="false" outlineLevel="0" collapsed="false">
      <c r="B121" s="5" t="str">
        <f aca="false">E!B27</f>
        <v>Land Improvements - Apt - 27.5yr</v>
      </c>
      <c r="D121" s="33" t="n">
        <f aca="false">SUM(F121:H121)</f>
        <v>17995.03</v>
      </c>
      <c r="H121" s="33" t="n">
        <f aca="false">E!D27</f>
        <v>17995.03</v>
      </c>
    </row>
    <row r="122" customFormat="false" ht="15" hidden="false" customHeight="false" outlineLevel="0" collapsed="false">
      <c r="B122" s="5" t="str">
        <f aca="false">E!B28</f>
        <v>Land Improvements - Apt - 5yr</v>
      </c>
      <c r="D122" s="33" t="n">
        <f aca="false">SUM(F122:H122)</f>
        <v>9223.36</v>
      </c>
      <c r="F122" s="33" t="n">
        <f aca="false">E!D28</f>
        <v>9223.36</v>
      </c>
    </row>
    <row r="123" customFormat="false" ht="15" hidden="false" customHeight="false" outlineLevel="0" collapsed="false">
      <c r="B123" s="5" t="str">
        <f aca="false">E!B29</f>
        <v>Land Improvements - Apt - 27.5yr</v>
      </c>
      <c r="D123" s="33" t="n">
        <f aca="false">SUM(F123:H123)</f>
        <v>36198.07</v>
      </c>
      <c r="H123" s="33" t="n">
        <f aca="false">E!D29</f>
        <v>36198.07</v>
      </c>
    </row>
    <row r="124" customFormat="false" ht="15" hidden="false" customHeight="false" outlineLevel="0" collapsed="false">
      <c r="B124" s="5" t="str">
        <f aca="false">E!B30</f>
        <v>Equipment - Apt - 5yr</v>
      </c>
      <c r="D124" s="33" t="n">
        <f aca="false">SUM(F124:H124)</f>
        <v>14216.69</v>
      </c>
      <c r="F124" s="33" t="n">
        <f aca="false">E!D30</f>
        <v>14216.69</v>
      </c>
    </row>
    <row r="125" customFormat="false" ht="15" hidden="false" customHeight="false" outlineLevel="0" collapsed="false">
      <c r="B125" s="5" t="str">
        <f aca="false">E!B31</f>
        <v>Equipment - Apt - 27.5yr</v>
      </c>
      <c r="D125" s="33" t="n">
        <f aca="false">SUM(F125:H125)</f>
        <v>55794.92</v>
      </c>
      <c r="H125" s="33" t="n">
        <f aca="false">E!D31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187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F!B20</f>
        <v>Building - Apt - 5yr</v>
      </c>
      <c r="D114" s="33" t="n">
        <f aca="false">SUM(F114:H114)</f>
        <v>18720.42</v>
      </c>
      <c r="F114" s="33" t="n">
        <f aca="false">F!D20</f>
        <v>18720.42</v>
      </c>
    </row>
    <row r="115" customFormat="false" ht="15" hidden="false" customHeight="false" outlineLevel="0" collapsed="false">
      <c r="B115" s="5" t="str">
        <f aca="false">F!B21</f>
        <v>Building - Apt - 27.5yr</v>
      </c>
      <c r="D115" s="33" t="n">
        <f aca="false">SUM(F115:H115)</f>
        <v>73470.24</v>
      </c>
      <c r="H115" s="33" t="n">
        <f aca="false">F!D21</f>
        <v>73470.24</v>
      </c>
    </row>
    <row r="116" customFormat="false" ht="15" hidden="false" customHeight="false" outlineLevel="0" collapsed="false">
      <c r="B116" s="5" t="str">
        <f aca="false">F!B22</f>
        <v>Building Improvements - Apt - 5yr</v>
      </c>
      <c r="D116" s="33" t="n">
        <f aca="false">SUM(F116:H116)</f>
        <v>57687.85</v>
      </c>
      <c r="F116" s="33" t="n">
        <f aca="false">F!D22</f>
        <v>57687.85</v>
      </c>
    </row>
    <row r="117" customFormat="false" ht="15" hidden="false" customHeight="false" outlineLevel="0" collapsed="false">
      <c r="B117" s="5" t="str">
        <f aca="false">F!B23</f>
        <v>Building Improvements - Apt - 27.5yr</v>
      </c>
      <c r="D117" s="33" t="n">
        <f aca="false">SUM(F117:H117)</f>
        <v>226402.03</v>
      </c>
      <c r="H117" s="33" t="n">
        <f aca="false">F!D23</f>
        <v>226402.03</v>
      </c>
    </row>
    <row r="118" customFormat="false" ht="15" hidden="false" customHeight="false" outlineLevel="0" collapsed="false">
      <c r="B118" s="5" t="str">
        <f aca="false">F!B24</f>
        <v>Building Improvements - Apt - 5yr</v>
      </c>
      <c r="D118" s="33" t="n">
        <f aca="false">SUM(F118:H118)</f>
        <v>314.19</v>
      </c>
      <c r="F118" s="33" t="n">
        <f aca="false">F!D24</f>
        <v>314.19</v>
      </c>
    </row>
    <row r="119" customFormat="false" ht="15" hidden="false" customHeight="false" outlineLevel="0" collapsed="false">
      <c r="B119" s="5" t="str">
        <f aca="false">F!B25</f>
        <v>Building Improvements - Apt - 27.5yr</v>
      </c>
      <c r="D119" s="33" t="n">
        <f aca="false">SUM(F119:H119)</f>
        <v>1233.07</v>
      </c>
      <c r="H119" s="33" t="n">
        <f aca="false">F!D25</f>
        <v>1233.07</v>
      </c>
    </row>
    <row r="120" customFormat="false" ht="15" hidden="false" customHeight="false" outlineLevel="0" collapsed="false">
      <c r="B120" s="5" t="str">
        <f aca="false">F!B26</f>
        <v>Land Improvements - Apt - 5yr</v>
      </c>
      <c r="D120" s="33" t="n">
        <f aca="false">SUM(F120:H120)</f>
        <v>4585.18</v>
      </c>
      <c r="F120" s="33" t="n">
        <f aca="false">F!D26</f>
        <v>4585.18</v>
      </c>
    </row>
    <row r="121" customFormat="false" ht="15" hidden="false" customHeight="false" outlineLevel="0" collapsed="false">
      <c r="B121" s="5" t="str">
        <f aca="false">F!B27</f>
        <v>Land Improvements - Apt - 27.5yr</v>
      </c>
      <c r="D121" s="33" t="n">
        <f aca="false">SUM(F121:H121)</f>
        <v>17995.03</v>
      </c>
      <c r="H121" s="33" t="n">
        <f aca="false">F!D27</f>
        <v>17995.03</v>
      </c>
    </row>
    <row r="122" customFormat="false" ht="15" hidden="false" customHeight="false" outlineLevel="0" collapsed="false">
      <c r="B122" s="5" t="str">
        <f aca="false">F!B28</f>
        <v>Land Improvements - Apt - 5yr</v>
      </c>
      <c r="D122" s="33" t="n">
        <f aca="false">SUM(F122:H122)</f>
        <v>9223.36</v>
      </c>
      <c r="F122" s="33" t="n">
        <f aca="false">F!D28</f>
        <v>9223.36</v>
      </c>
    </row>
    <row r="123" customFormat="false" ht="15" hidden="false" customHeight="false" outlineLevel="0" collapsed="false">
      <c r="B123" s="5" t="str">
        <f aca="false">F!B29</f>
        <v>Land Improvements - Apt - 27.5yr</v>
      </c>
      <c r="D123" s="33" t="n">
        <f aca="false">SUM(F123:H123)</f>
        <v>36198.07</v>
      </c>
      <c r="H123" s="33" t="n">
        <f aca="false">F!D29</f>
        <v>36198.07</v>
      </c>
    </row>
    <row r="124" customFormat="false" ht="15" hidden="false" customHeight="false" outlineLevel="0" collapsed="false">
      <c r="B124" s="5" t="str">
        <f aca="false">F!B30</f>
        <v>Equipment - Apt - 5yr</v>
      </c>
      <c r="D124" s="33" t="n">
        <f aca="false">SUM(F124:H124)</f>
        <v>14216.69</v>
      </c>
      <c r="F124" s="33" t="n">
        <f aca="false">F!D30</f>
        <v>14216.69</v>
      </c>
    </row>
    <row r="125" customFormat="false" ht="15" hidden="false" customHeight="false" outlineLevel="0" collapsed="false">
      <c r="B125" s="5" t="str">
        <f aca="false">F!B31</f>
        <v>Equipment - Apt - 27.5yr</v>
      </c>
      <c r="D125" s="33" t="n">
        <f aca="false">SUM(F125:H125)</f>
        <v>55794.92</v>
      </c>
      <c r="H125" s="33" t="n">
        <f aca="false">F!D31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188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G!B20</f>
        <v>Building - Apt - 5yr</v>
      </c>
      <c r="D114" s="33" t="n">
        <f aca="false">SUM(F114:H114)</f>
        <v>18720.42</v>
      </c>
      <c r="F114" s="33" t="n">
        <f aca="false">G!D20</f>
        <v>18720.42</v>
      </c>
    </row>
    <row r="115" customFormat="false" ht="15" hidden="false" customHeight="false" outlineLevel="0" collapsed="false">
      <c r="B115" s="5" t="str">
        <f aca="false">G!B21</f>
        <v>Building - Apt - 27.5yr</v>
      </c>
      <c r="D115" s="33" t="n">
        <f aca="false">SUM(F115:H115)</f>
        <v>73470.24</v>
      </c>
      <c r="H115" s="33" t="n">
        <f aca="false">G!D21</f>
        <v>73470.24</v>
      </c>
    </row>
    <row r="116" customFormat="false" ht="15" hidden="false" customHeight="false" outlineLevel="0" collapsed="false">
      <c r="B116" s="5" t="str">
        <f aca="false">G!B22</f>
        <v>Building Improvements - Apt - 5yr</v>
      </c>
      <c r="D116" s="33" t="n">
        <f aca="false">SUM(F116:H116)</f>
        <v>57687.85</v>
      </c>
      <c r="F116" s="33" t="n">
        <f aca="false">G!D22</f>
        <v>57687.85</v>
      </c>
    </row>
    <row r="117" customFormat="false" ht="15" hidden="false" customHeight="false" outlineLevel="0" collapsed="false">
      <c r="B117" s="5" t="str">
        <f aca="false">G!B23</f>
        <v>Building Improvements - Apt - 27.5yr</v>
      </c>
      <c r="D117" s="33" t="n">
        <f aca="false">SUM(F117:H117)</f>
        <v>226402.03</v>
      </c>
      <c r="H117" s="33" t="n">
        <f aca="false">G!D23</f>
        <v>226402.03</v>
      </c>
    </row>
    <row r="118" customFormat="false" ht="15" hidden="false" customHeight="false" outlineLevel="0" collapsed="false">
      <c r="B118" s="5" t="str">
        <f aca="false">G!B24</f>
        <v>Building Improvements - Apt - 5yr</v>
      </c>
      <c r="D118" s="33" t="n">
        <f aca="false">SUM(F118:H118)</f>
        <v>314.19</v>
      </c>
      <c r="F118" s="33" t="n">
        <f aca="false">G!D24</f>
        <v>314.19</v>
      </c>
    </row>
    <row r="119" customFormat="false" ht="15" hidden="false" customHeight="false" outlineLevel="0" collapsed="false">
      <c r="B119" s="5" t="str">
        <f aca="false">G!B25</f>
        <v>Building Improvements - Apt - 27.5yr</v>
      </c>
      <c r="D119" s="33" t="n">
        <f aca="false">SUM(F119:H119)</f>
        <v>1233.07</v>
      </c>
      <c r="H119" s="33" t="n">
        <f aca="false">G!D25</f>
        <v>1233.07</v>
      </c>
    </row>
    <row r="120" customFormat="false" ht="15" hidden="false" customHeight="false" outlineLevel="0" collapsed="false">
      <c r="B120" s="5" t="str">
        <f aca="false">G!B26</f>
        <v>Land Improvements - Apt - 5yr</v>
      </c>
      <c r="D120" s="33" t="n">
        <f aca="false">SUM(F120:H120)</f>
        <v>4585.18</v>
      </c>
      <c r="F120" s="33" t="n">
        <f aca="false">G!D26</f>
        <v>4585.18</v>
      </c>
    </row>
    <row r="121" customFormat="false" ht="15" hidden="false" customHeight="false" outlineLevel="0" collapsed="false">
      <c r="B121" s="5" t="str">
        <f aca="false">G!B27</f>
        <v>Land Improvements - Apt - 27.5yr</v>
      </c>
      <c r="D121" s="33" t="n">
        <f aca="false">SUM(F121:H121)</f>
        <v>17995.03</v>
      </c>
      <c r="H121" s="33" t="n">
        <f aca="false">G!D27</f>
        <v>17995.03</v>
      </c>
    </row>
    <row r="122" customFormat="false" ht="15" hidden="false" customHeight="false" outlineLevel="0" collapsed="false">
      <c r="B122" s="5" t="str">
        <f aca="false">G!B28</f>
        <v>Land Improvements - Apt - 5yr</v>
      </c>
      <c r="D122" s="33" t="n">
        <f aca="false">SUM(F122:H122)</f>
        <v>9223.36</v>
      </c>
      <c r="F122" s="33" t="n">
        <f aca="false">G!D28</f>
        <v>9223.36</v>
      </c>
    </row>
    <row r="123" customFormat="false" ht="15" hidden="false" customHeight="false" outlineLevel="0" collapsed="false">
      <c r="B123" s="5" t="str">
        <f aca="false">G!B29</f>
        <v>Land Improvements - Apt - 27.5yr</v>
      </c>
      <c r="D123" s="33" t="n">
        <f aca="false">SUM(F123:H123)</f>
        <v>36198.07</v>
      </c>
      <c r="H123" s="33" t="n">
        <f aca="false">G!D29</f>
        <v>36198.07</v>
      </c>
    </row>
    <row r="124" customFormat="false" ht="15" hidden="false" customHeight="false" outlineLevel="0" collapsed="false">
      <c r="B124" s="5" t="str">
        <f aca="false">G!B30</f>
        <v>Equipment - Apt - 5yr</v>
      </c>
      <c r="D124" s="33" t="n">
        <f aca="false">SUM(F124:H124)</f>
        <v>14216.69</v>
      </c>
      <c r="F124" s="33" t="n">
        <f aca="false">G!D30</f>
        <v>14216.69</v>
      </c>
    </row>
    <row r="125" customFormat="false" ht="15" hidden="false" customHeight="false" outlineLevel="0" collapsed="false">
      <c r="B125" s="5" t="str">
        <f aca="false">G!B31</f>
        <v>Equipment - Apt - 27.5yr</v>
      </c>
      <c r="D125" s="33" t="n">
        <f aca="false">SUM(F125:H125)</f>
        <v>55794.92</v>
      </c>
      <c r="H125" s="33" t="n">
        <f aca="false">G!D31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189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H!B20</f>
        <v>Building - Apt - 5yr</v>
      </c>
      <c r="D114" s="33" t="n">
        <f aca="false">SUM(F114:H114)</f>
        <v>18720.42</v>
      </c>
      <c r="F114" s="33" t="n">
        <f aca="false">H!D20</f>
        <v>18720.42</v>
      </c>
    </row>
    <row r="115" customFormat="false" ht="15" hidden="false" customHeight="false" outlineLevel="0" collapsed="false">
      <c r="B115" s="5" t="str">
        <f aca="false">H!B21</f>
        <v>Building - Apt - 27.5yr</v>
      </c>
      <c r="D115" s="33" t="n">
        <f aca="false">SUM(F115:H115)</f>
        <v>73470.24</v>
      </c>
      <c r="H115" s="33" t="n">
        <f aca="false">H!D21</f>
        <v>73470.24</v>
      </c>
    </row>
    <row r="116" customFormat="false" ht="15" hidden="false" customHeight="false" outlineLevel="0" collapsed="false">
      <c r="B116" s="5" t="str">
        <f aca="false">H!B22</f>
        <v>Building Improvements - Apt - 5yr</v>
      </c>
      <c r="D116" s="33" t="n">
        <f aca="false">SUM(F116:H116)</f>
        <v>57687.85</v>
      </c>
      <c r="F116" s="33" t="n">
        <f aca="false">H!D22</f>
        <v>57687.85</v>
      </c>
    </row>
    <row r="117" customFormat="false" ht="15" hidden="false" customHeight="false" outlineLevel="0" collapsed="false">
      <c r="B117" s="5" t="str">
        <f aca="false">H!B23</f>
        <v>Building Improvements - Apt - 27.5yr</v>
      </c>
      <c r="D117" s="33" t="n">
        <f aca="false">SUM(F117:H117)</f>
        <v>226402.03</v>
      </c>
      <c r="H117" s="33" t="n">
        <f aca="false">H!D23</f>
        <v>226402.03</v>
      </c>
    </row>
    <row r="118" customFormat="false" ht="15" hidden="false" customHeight="false" outlineLevel="0" collapsed="false">
      <c r="B118" s="5" t="str">
        <f aca="false">H!B24</f>
        <v>Building Improvements - Apt - 5yr</v>
      </c>
      <c r="D118" s="33" t="n">
        <f aca="false">SUM(F118:H118)</f>
        <v>314.19</v>
      </c>
      <c r="F118" s="33" t="n">
        <f aca="false">H!D24</f>
        <v>314.19</v>
      </c>
    </row>
    <row r="119" customFormat="false" ht="15" hidden="false" customHeight="false" outlineLevel="0" collapsed="false">
      <c r="B119" s="5" t="str">
        <f aca="false">H!B25</f>
        <v>Building Improvements - Apt - 27.5yr</v>
      </c>
      <c r="D119" s="33" t="n">
        <f aca="false">SUM(F119:H119)</f>
        <v>1233.07</v>
      </c>
      <c r="H119" s="33" t="n">
        <f aca="false">H!D25</f>
        <v>1233.07</v>
      </c>
    </row>
    <row r="120" customFormat="false" ht="15" hidden="false" customHeight="false" outlineLevel="0" collapsed="false">
      <c r="B120" s="5" t="str">
        <f aca="false">H!B26</f>
        <v>Land Improvements - Apt - 5yr</v>
      </c>
      <c r="D120" s="33" t="n">
        <f aca="false">SUM(F120:H120)</f>
        <v>4585.18</v>
      </c>
      <c r="F120" s="33" t="n">
        <f aca="false">H!D26</f>
        <v>4585.18</v>
      </c>
    </row>
    <row r="121" customFormat="false" ht="15" hidden="false" customHeight="false" outlineLevel="0" collapsed="false">
      <c r="B121" s="5" t="str">
        <f aca="false">H!B27</f>
        <v>Land Improvements - Apt - 27.5yr</v>
      </c>
      <c r="D121" s="33" t="n">
        <f aca="false">SUM(F121:H121)</f>
        <v>17995.03</v>
      </c>
      <c r="H121" s="33" t="n">
        <f aca="false">H!D27</f>
        <v>17995.03</v>
      </c>
    </row>
    <row r="122" customFormat="false" ht="15" hidden="false" customHeight="false" outlineLevel="0" collapsed="false">
      <c r="B122" s="5" t="str">
        <f aca="false">H!B28</f>
        <v>Land Improvements - Apt - 5yr</v>
      </c>
      <c r="D122" s="33" t="n">
        <f aca="false">SUM(F122:H122)</f>
        <v>9223.36</v>
      </c>
      <c r="F122" s="33" t="n">
        <f aca="false">H!D28</f>
        <v>9223.36</v>
      </c>
    </row>
    <row r="123" customFormat="false" ht="15" hidden="false" customHeight="false" outlineLevel="0" collapsed="false">
      <c r="B123" s="5" t="str">
        <f aca="false">H!B29</f>
        <v>Land Improvements - Apt - 27.5yr</v>
      </c>
      <c r="D123" s="33" t="n">
        <f aca="false">SUM(F123:H123)</f>
        <v>36198.07</v>
      </c>
      <c r="H123" s="33" t="n">
        <f aca="false">H!D29</f>
        <v>36198.07</v>
      </c>
    </row>
    <row r="124" customFormat="false" ht="15" hidden="false" customHeight="false" outlineLevel="0" collapsed="false">
      <c r="B124" s="5" t="str">
        <f aca="false">H!B30</f>
        <v>Equipment - Apt - 5yr</v>
      </c>
      <c r="D124" s="33" t="n">
        <f aca="false">SUM(F124:H124)</f>
        <v>14216.69</v>
      </c>
      <c r="F124" s="33" t="n">
        <f aca="false">H!D30</f>
        <v>14216.69</v>
      </c>
    </row>
    <row r="125" customFormat="false" ht="15" hidden="false" customHeight="false" outlineLevel="0" collapsed="false">
      <c r="B125" s="5" t="str">
        <f aca="false">H!B31</f>
        <v>Equipment - Apt - 27.5yr</v>
      </c>
      <c r="D125" s="33" t="n">
        <f aca="false">SUM(F125:H125)</f>
        <v>55794.92</v>
      </c>
      <c r="H125" s="33" t="n">
        <f aca="false">H!D31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190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92190.66</v>
      </c>
      <c r="E10" s="24" t="n">
        <v>0</v>
      </c>
      <c r="F10" s="24" t="n">
        <v>0</v>
      </c>
      <c r="G10" s="24" t="n">
        <v>31517.48</v>
      </c>
      <c r="H10" s="24" t="n">
        <v>3352.09</v>
      </c>
      <c r="I10" s="24" t="n">
        <f aca="false">G10+H10</f>
        <v>34869.57</v>
      </c>
      <c r="J10" s="24" t="n">
        <f aca="false">D10-I10</f>
        <v>57321.09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284089.88</v>
      </c>
      <c r="E11" s="24" t="n">
        <v>0</v>
      </c>
      <c r="F11" s="24" t="n">
        <v>0</v>
      </c>
      <c r="G11" s="24" t="n">
        <v>16786.89</v>
      </c>
      <c r="H11" s="24" t="n">
        <v>10329.51</v>
      </c>
      <c r="I11" s="24" t="n">
        <f aca="false">G11+H11</f>
        <v>27116.4</v>
      </c>
      <c r="J11" s="24" t="n">
        <f aca="false">D11-I11</f>
        <v>256973.48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1547.26</v>
      </c>
      <c r="E12" s="24" t="n">
        <v>0</v>
      </c>
      <c r="F12" s="24" t="n">
        <v>0</v>
      </c>
      <c r="G12" s="24" t="n">
        <v>25.76</v>
      </c>
      <c r="H12" s="24" t="n">
        <v>56.29</v>
      </c>
      <c r="I12" s="24" t="n">
        <f aca="false">G12+H12</f>
        <v>82.05</v>
      </c>
      <c r="J12" s="24" t="n">
        <f aca="false">D12-I12</f>
        <v>1465.21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22580.21</v>
      </c>
      <c r="E13" s="24" t="n">
        <v>0</v>
      </c>
      <c r="F13" s="24" t="n">
        <v>14699.63</v>
      </c>
      <c r="G13" s="24" t="n">
        <v>14699.63</v>
      </c>
      <c r="H13" s="24" t="n">
        <v>1334.49</v>
      </c>
      <c r="I13" s="24" t="n">
        <f aca="false">G13+H13</f>
        <v>16034.12</v>
      </c>
      <c r="J13" s="24" t="n">
        <f aca="false">D13-I13</f>
        <v>6546.09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45421.43</v>
      </c>
      <c r="E14" s="24" t="n">
        <v>0</v>
      </c>
      <c r="F14" s="24" t="n">
        <v>45421.43</v>
      </c>
      <c r="G14" s="24" t="n">
        <v>45421.43</v>
      </c>
      <c r="H14" s="24" t="n">
        <v>0</v>
      </c>
      <c r="I14" s="24" t="n">
        <f aca="false">G14+H14</f>
        <v>45421.43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70011.61</v>
      </c>
      <c r="E15" s="24" t="n">
        <v>0</v>
      </c>
      <c r="F15" s="24" t="n">
        <v>70011.61</v>
      </c>
      <c r="G15" s="24" t="n">
        <v>70011.61</v>
      </c>
      <c r="H15" s="24" t="n">
        <v>0</v>
      </c>
      <c r="I15" s="24" t="n">
        <f aca="false">G15+H15</f>
        <v>70011.61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515841.05</v>
      </c>
      <c r="E16" s="28" t="n">
        <f aca="false">SUM(E10:E15)</f>
        <v>0</v>
      </c>
      <c r="F16" s="28" t="n">
        <f aca="false">SUM(F10:F15)</f>
        <v>130132.67</v>
      </c>
      <c r="G16" s="28" t="n">
        <f aca="false">SUM(G10:G15)</f>
        <v>178462.8</v>
      </c>
      <c r="H16" s="28" t="n">
        <f aca="false">SUM(H10:H15)</f>
        <v>15072.38</v>
      </c>
      <c r="I16" s="28" t="n">
        <f aca="false">SUM(I10:I15)</f>
        <v>193535.18</v>
      </c>
      <c r="J16" s="28" t="n">
        <f aca="false">SUM(J10:J15)</f>
        <v>322305.87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18720.42</v>
      </c>
      <c r="E20" s="24" t="n">
        <v>0</v>
      </c>
      <c r="F20" s="24" t="n">
        <v>0</v>
      </c>
      <c r="G20" s="24" t="n">
        <v>18720.42</v>
      </c>
      <c r="H20" s="24" t="n">
        <v>0</v>
      </c>
      <c r="I20" s="24" t="n">
        <f aca="false">G20+H20</f>
        <v>18720.42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73470.24</v>
      </c>
      <c r="E21" s="24" t="n">
        <v>0</v>
      </c>
      <c r="F21" s="24" t="n">
        <v>0</v>
      </c>
      <c r="G21" s="24" t="n">
        <v>33729.58</v>
      </c>
      <c r="H21" s="24" t="n">
        <v>2671.65</v>
      </c>
      <c r="I21" s="24" t="n">
        <f aca="false">G21+H21</f>
        <v>36401.23</v>
      </c>
      <c r="J21" s="24" t="n">
        <f aca="false">D21-I21</f>
        <v>37069.01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57687.85</v>
      </c>
      <c r="E22" s="24" t="n">
        <v>0</v>
      </c>
      <c r="F22" s="24" t="n">
        <v>57687.85</v>
      </c>
      <c r="G22" s="24" t="n">
        <v>57687.85</v>
      </c>
      <c r="H22" s="24" t="n">
        <v>0</v>
      </c>
      <c r="I22" s="24" t="n">
        <f aca="false">G22+H22</f>
        <v>57687.85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226402.03</v>
      </c>
      <c r="E23" s="24" t="n">
        <v>0</v>
      </c>
      <c r="F23" s="24" t="n">
        <v>0</v>
      </c>
      <c r="G23" s="24" t="n">
        <v>13378.3</v>
      </c>
      <c r="H23" s="24" t="n">
        <v>8232.8</v>
      </c>
      <c r="I23" s="24" t="n">
        <f aca="false">G23+H23</f>
        <v>21611.1</v>
      </c>
      <c r="J23" s="24" t="n">
        <f aca="false">D23-I23</f>
        <v>204790.93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314.19</v>
      </c>
      <c r="E24" s="24" t="n">
        <v>0</v>
      </c>
      <c r="F24" s="24" t="n">
        <v>251.35</v>
      </c>
      <c r="G24" s="24" t="n">
        <v>263.92</v>
      </c>
      <c r="H24" s="24" t="n">
        <v>20.11</v>
      </c>
      <c r="I24" s="24" t="n">
        <f aca="false">G24+H24</f>
        <v>284.03</v>
      </c>
      <c r="J24" s="24" t="n">
        <f aca="false">D24-I24</f>
        <v>30.16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1233.07</v>
      </c>
      <c r="E25" s="24" t="n">
        <v>0</v>
      </c>
      <c r="F25" s="24" t="n">
        <v>0</v>
      </c>
      <c r="G25" s="24" t="n">
        <v>20.55</v>
      </c>
      <c r="H25" s="24" t="n">
        <v>44.84</v>
      </c>
      <c r="I25" s="24" t="n">
        <f aca="false">G25+H25</f>
        <v>65.39</v>
      </c>
      <c r="J25" s="24" t="n">
        <f aca="false">D25-I25</f>
        <v>1167.68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4585.18</v>
      </c>
      <c r="E26" s="24" t="n">
        <v>0</v>
      </c>
      <c r="F26" s="24" t="n">
        <v>4585.18</v>
      </c>
      <c r="G26" s="24" t="n">
        <v>4585.18</v>
      </c>
      <c r="H26" s="24" t="n">
        <v>0</v>
      </c>
      <c r="I26" s="24" t="n">
        <f aca="false">G26+H26</f>
        <v>4585.18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17995.03</v>
      </c>
      <c r="E27" s="24" t="n">
        <v>0</v>
      </c>
      <c r="F27" s="24" t="n">
        <v>0</v>
      </c>
      <c r="G27" s="24" t="n">
        <v>8261.3</v>
      </c>
      <c r="H27" s="24" t="n">
        <v>654.36</v>
      </c>
      <c r="I27" s="24" t="n">
        <f aca="false">G27+H27</f>
        <v>8915.66</v>
      </c>
      <c r="J27" s="24" t="n">
        <f aca="false">D27-I27</f>
        <v>9079.37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9223.36</v>
      </c>
      <c r="E28" s="24" t="n">
        <v>0</v>
      </c>
      <c r="F28" s="24" t="n">
        <v>9223.36</v>
      </c>
      <c r="G28" s="24" t="n">
        <v>9223.36</v>
      </c>
      <c r="H28" s="24" t="n">
        <v>0</v>
      </c>
      <c r="I28" s="24" t="n">
        <f aca="false">G28+H28</f>
        <v>9223.36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36198.07</v>
      </c>
      <c r="E29" s="24" t="n">
        <v>0</v>
      </c>
      <c r="F29" s="24" t="n">
        <v>0</v>
      </c>
      <c r="G29" s="24" t="n">
        <v>2138.97</v>
      </c>
      <c r="H29" s="24" t="n">
        <v>1316.29</v>
      </c>
      <c r="I29" s="24" t="n">
        <f aca="false">G29+H29</f>
        <v>3455.26</v>
      </c>
      <c r="J29" s="24" t="n">
        <f aca="false">D29-I29</f>
        <v>32742.81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14216.69</v>
      </c>
      <c r="E30" s="24" t="n">
        <v>0</v>
      </c>
      <c r="F30" s="24" t="n">
        <v>14216.69</v>
      </c>
      <c r="G30" s="24" t="n">
        <v>14216.69</v>
      </c>
      <c r="H30" s="24" t="n">
        <v>0</v>
      </c>
      <c r="I30" s="24" t="n">
        <f aca="false">G30+H30</f>
        <v>14216.69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55794.92</v>
      </c>
      <c r="E31" s="24" t="n">
        <v>0</v>
      </c>
      <c r="F31" s="24" t="n">
        <v>0</v>
      </c>
      <c r="G31" s="24" t="n">
        <v>3296.98</v>
      </c>
      <c r="H31" s="24" t="n">
        <v>2028.91</v>
      </c>
      <c r="I31" s="24" t="n">
        <f aca="false">G31+H31</f>
        <v>5325.89</v>
      </c>
      <c r="J31" s="24" t="n">
        <f aca="false">D31-I31</f>
        <v>50469.03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515841.05</v>
      </c>
      <c r="E32" s="28" t="n">
        <f aca="false">SUM(E20:E31)</f>
        <v>0</v>
      </c>
      <c r="F32" s="28" t="n">
        <f aca="false">SUM(F20:F31)</f>
        <v>85964.43</v>
      </c>
      <c r="G32" s="28" t="n">
        <f aca="false">SUM(G20:G31)</f>
        <v>165523.1</v>
      </c>
      <c r="H32" s="28" t="n">
        <f aca="false">SUM(H20:H31)</f>
        <v>14968.96</v>
      </c>
      <c r="I32" s="28" t="n">
        <f aca="false">SUM(I20:I31)</f>
        <v>180492.06</v>
      </c>
      <c r="J32" s="28" t="n">
        <f aca="false">SUM(J20:J31)</f>
        <v>335348.99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193535.18</v>
      </c>
    </row>
    <row r="36" customFormat="false" ht="15" hidden="false" customHeight="false" outlineLevel="0" collapsed="false">
      <c r="B36" s="5" t="s">
        <v>109</v>
      </c>
      <c r="D36" s="6" t="n">
        <f aca="false">I32</f>
        <v>180492.06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13043.12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92190.66</v>
      </c>
      <c r="E42" s="24" t="n">
        <v>0</v>
      </c>
      <c r="F42" s="24" t="n">
        <v>0</v>
      </c>
      <c r="G42" s="24" t="n">
        <v>31517.48</v>
      </c>
      <c r="H42" s="24" t="n">
        <v>3352.09</v>
      </c>
      <c r="I42" s="24" t="n">
        <f aca="false">G42+H42</f>
        <v>34869.57</v>
      </c>
      <c r="J42" s="24" t="n">
        <f aca="false">D42-I42</f>
        <v>57321.09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284089.88</v>
      </c>
      <c r="E43" s="24" t="n">
        <v>0</v>
      </c>
      <c r="F43" s="24" t="n">
        <v>0</v>
      </c>
      <c r="G43" s="24" t="n">
        <v>16786.89</v>
      </c>
      <c r="H43" s="24" t="n">
        <v>10329.51</v>
      </c>
      <c r="I43" s="24" t="n">
        <f aca="false">G43+H43</f>
        <v>27116.4</v>
      </c>
      <c r="J43" s="24" t="n">
        <f aca="false">D43-I43</f>
        <v>256973.48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1547.26</v>
      </c>
      <c r="E44" s="24" t="n">
        <v>0</v>
      </c>
      <c r="F44" s="24" t="n">
        <v>0</v>
      </c>
      <c r="G44" s="24" t="n">
        <v>25.76</v>
      </c>
      <c r="H44" s="24" t="n">
        <v>56.29</v>
      </c>
      <c r="I44" s="24" t="n">
        <f aca="false">G44+H44</f>
        <v>82.05</v>
      </c>
      <c r="J44" s="24" t="n">
        <f aca="false">D44-I44</f>
        <v>1465.21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22580.21</v>
      </c>
      <c r="E45" s="24" t="n">
        <v>0</v>
      </c>
      <c r="F45" s="24" t="n">
        <v>14699.63</v>
      </c>
      <c r="G45" s="24" t="n">
        <v>14699.63</v>
      </c>
      <c r="H45" s="24" t="n">
        <v>1334.49</v>
      </c>
      <c r="I45" s="24" t="n">
        <f aca="false">G45+H45</f>
        <v>16034.12</v>
      </c>
      <c r="J45" s="24" t="n">
        <f aca="false">D45-I45</f>
        <v>6546.09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45421.43</v>
      </c>
      <c r="E46" s="24" t="n">
        <v>0</v>
      </c>
      <c r="F46" s="24" t="n">
        <v>45421.43</v>
      </c>
      <c r="G46" s="24" t="n">
        <v>45421.43</v>
      </c>
      <c r="H46" s="24" t="n">
        <v>0</v>
      </c>
      <c r="I46" s="24" t="n">
        <f aca="false">G46+H46</f>
        <v>45421.43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70011.61</v>
      </c>
      <c r="E47" s="24" t="n">
        <v>0</v>
      </c>
      <c r="F47" s="24" t="n">
        <v>70011.61</v>
      </c>
      <c r="G47" s="24" t="n">
        <v>70011.61</v>
      </c>
      <c r="H47" s="24" t="n">
        <v>0</v>
      </c>
      <c r="I47" s="24" t="n">
        <f aca="false">G47+H47</f>
        <v>70011.61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515841.05</v>
      </c>
      <c r="E48" s="28" t="n">
        <f aca="false">SUM(E42:E47)</f>
        <v>0</v>
      </c>
      <c r="F48" s="28" t="n">
        <f aca="false">SUM(F42:F47)</f>
        <v>130132.67</v>
      </c>
      <c r="G48" s="28" t="n">
        <f aca="false">SUM(G42:G47)</f>
        <v>178462.8</v>
      </c>
      <c r="H48" s="28" t="n">
        <f aca="false">SUM(H42:H47)</f>
        <v>15072.38</v>
      </c>
      <c r="I48" s="28" t="n">
        <f aca="false">SUM(I42:I47)</f>
        <v>193535.18</v>
      </c>
      <c r="J48" s="28" t="n">
        <f aca="false">SUM(J42:J47)</f>
        <v>322305.87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18720.42</v>
      </c>
      <c r="E52" s="24" t="n">
        <v>0</v>
      </c>
      <c r="F52" s="24" t="n">
        <v>0</v>
      </c>
      <c r="G52" s="24" t="n">
        <v>18720.42</v>
      </c>
      <c r="H52" s="24" t="n">
        <v>0</v>
      </c>
      <c r="I52" s="24" t="n">
        <f aca="false">G52+H52</f>
        <v>18720.42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73470.24</v>
      </c>
      <c r="E53" s="24" t="n">
        <v>0</v>
      </c>
      <c r="F53" s="24" t="n">
        <v>0</v>
      </c>
      <c r="G53" s="24" t="n">
        <v>33729.58</v>
      </c>
      <c r="H53" s="24" t="n">
        <v>2671.65</v>
      </c>
      <c r="I53" s="24" t="n">
        <f aca="false">G53+H53</f>
        <v>36401.23</v>
      </c>
      <c r="J53" s="24" t="n">
        <f aca="false">D53-I53</f>
        <v>37069.01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57687.85</v>
      </c>
      <c r="E54" s="24" t="n">
        <v>0</v>
      </c>
      <c r="F54" s="24" t="n">
        <v>57687.85</v>
      </c>
      <c r="G54" s="24" t="n">
        <v>57687.85</v>
      </c>
      <c r="H54" s="24" t="n">
        <v>0</v>
      </c>
      <c r="I54" s="24" t="n">
        <f aca="false">G54+H54</f>
        <v>57687.85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226402.03</v>
      </c>
      <c r="E55" s="24" t="n">
        <v>0</v>
      </c>
      <c r="F55" s="24" t="n">
        <v>0</v>
      </c>
      <c r="G55" s="24" t="n">
        <v>13378.3</v>
      </c>
      <c r="H55" s="24" t="n">
        <v>8232.8</v>
      </c>
      <c r="I55" s="24" t="n">
        <f aca="false">G55+H55</f>
        <v>21611.1</v>
      </c>
      <c r="J55" s="24" t="n">
        <f aca="false">D55-I55</f>
        <v>204790.93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314.19</v>
      </c>
      <c r="E56" s="24" t="n">
        <v>0</v>
      </c>
      <c r="F56" s="24" t="n">
        <v>251.35</v>
      </c>
      <c r="G56" s="24" t="n">
        <v>263.92</v>
      </c>
      <c r="H56" s="24" t="n">
        <v>20.11</v>
      </c>
      <c r="I56" s="24" t="n">
        <f aca="false">G56+H56</f>
        <v>284.03</v>
      </c>
      <c r="J56" s="24" t="n">
        <f aca="false">D56-I56</f>
        <v>30.16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1233.07</v>
      </c>
      <c r="E57" s="24" t="n">
        <v>0</v>
      </c>
      <c r="F57" s="24" t="n">
        <v>0</v>
      </c>
      <c r="G57" s="24" t="n">
        <v>20.55</v>
      </c>
      <c r="H57" s="24" t="n">
        <v>44.84</v>
      </c>
      <c r="I57" s="24" t="n">
        <f aca="false">G57+H57</f>
        <v>65.39</v>
      </c>
      <c r="J57" s="24" t="n">
        <f aca="false">D57-I57</f>
        <v>1167.68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4585.18</v>
      </c>
      <c r="E58" s="24" t="n">
        <v>0</v>
      </c>
      <c r="F58" s="24" t="n">
        <v>4585.18</v>
      </c>
      <c r="G58" s="24" t="n">
        <v>4585.18</v>
      </c>
      <c r="H58" s="24" t="n">
        <v>0</v>
      </c>
      <c r="I58" s="24" t="n">
        <f aca="false">G58+H58</f>
        <v>4585.18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17995.03</v>
      </c>
      <c r="E59" s="24" t="n">
        <v>0</v>
      </c>
      <c r="F59" s="24" t="n">
        <v>0</v>
      </c>
      <c r="G59" s="24" t="n">
        <v>8261.3</v>
      </c>
      <c r="H59" s="24" t="n">
        <v>654.36</v>
      </c>
      <c r="I59" s="24" t="n">
        <f aca="false">G59+H59</f>
        <v>8915.66</v>
      </c>
      <c r="J59" s="24" t="n">
        <f aca="false">D59-I59</f>
        <v>9079.37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9223.36</v>
      </c>
      <c r="E60" s="24" t="n">
        <v>0</v>
      </c>
      <c r="F60" s="24" t="n">
        <v>9223.36</v>
      </c>
      <c r="G60" s="24" t="n">
        <v>9223.36</v>
      </c>
      <c r="H60" s="24" t="n">
        <v>0</v>
      </c>
      <c r="I60" s="24" t="n">
        <f aca="false">G60+H60</f>
        <v>9223.36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36198.07</v>
      </c>
      <c r="E61" s="24" t="n">
        <v>0</v>
      </c>
      <c r="F61" s="24" t="n">
        <v>0</v>
      </c>
      <c r="G61" s="24" t="n">
        <v>2138.97</v>
      </c>
      <c r="H61" s="24" t="n">
        <v>1316.29</v>
      </c>
      <c r="I61" s="24" t="n">
        <f aca="false">G61+H61</f>
        <v>3455.26</v>
      </c>
      <c r="J61" s="24" t="n">
        <f aca="false">D61-I61</f>
        <v>32742.81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14216.69</v>
      </c>
      <c r="E62" s="24" t="n">
        <v>0</v>
      </c>
      <c r="F62" s="24" t="n">
        <v>14216.69</v>
      </c>
      <c r="G62" s="24" t="n">
        <v>14216.69</v>
      </c>
      <c r="H62" s="24" t="n">
        <v>0</v>
      </c>
      <c r="I62" s="24" t="n">
        <f aca="false">G62+H62</f>
        <v>14216.69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55794.92</v>
      </c>
      <c r="E63" s="24" t="n">
        <v>0</v>
      </c>
      <c r="F63" s="24" t="n">
        <v>0</v>
      </c>
      <c r="G63" s="24" t="n">
        <v>3296.98</v>
      </c>
      <c r="H63" s="24" t="n">
        <v>2028.91</v>
      </c>
      <c r="I63" s="24" t="n">
        <f aca="false">G63+H63</f>
        <v>5325.89</v>
      </c>
      <c r="J63" s="24" t="n">
        <f aca="false">D63-I63</f>
        <v>50469.03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515841.05</v>
      </c>
      <c r="E64" s="28" t="n">
        <f aca="false">SUM(E52:E63)</f>
        <v>0</v>
      </c>
      <c r="F64" s="28" t="n">
        <f aca="false">SUM(F52:F63)</f>
        <v>85964.43</v>
      </c>
      <c r="G64" s="28" t="n">
        <f aca="false">SUM(G52:G63)</f>
        <v>165523.1</v>
      </c>
      <c r="H64" s="28" t="n">
        <f aca="false">SUM(H52:H63)</f>
        <v>14968.96</v>
      </c>
      <c r="I64" s="28" t="n">
        <f aca="false">SUM(I52:I63)</f>
        <v>180492.06</v>
      </c>
      <c r="J64" s="28" t="n">
        <f aca="false">SUM(J52:J63)</f>
        <v>335348.99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193535.18</v>
      </c>
    </row>
    <row r="68" customFormat="false" ht="15" hidden="false" customHeight="false" outlineLevel="0" collapsed="false">
      <c r="B68" s="5" t="s">
        <v>109</v>
      </c>
      <c r="D68" s="6" t="n">
        <f aca="false">I64</f>
        <v>180492.06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13043.12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515841.05</v>
      </c>
    </row>
    <row r="73" customFormat="false" ht="15" hidden="false" customHeight="false" outlineLevel="0" collapsed="false">
      <c r="B73" s="5" t="s">
        <v>144</v>
      </c>
      <c r="D73" s="6" t="n">
        <f aca="false">F109</f>
        <v>104747.69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0.203061950963383</v>
      </c>
    </row>
    <row r="75" customFormat="false" ht="15" hidden="false" customHeight="false" outlineLevel="0" collapsed="false">
      <c r="B75" s="5" t="s">
        <v>145</v>
      </c>
      <c r="D75" s="6" t="n">
        <f aca="false">H109</f>
        <v>411093.36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0.796938049036617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14924.28</v>
      </c>
      <c r="F81" s="33" t="n">
        <v>14924.28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10497.34</v>
      </c>
      <c r="F82" s="33" t="n">
        <v>10497.34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42163.82</v>
      </c>
      <c r="F83" s="33" t="n">
        <v>42163.82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5291.37</v>
      </c>
      <c r="F84" s="33" t="n">
        <v>5291.37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3335.96</v>
      </c>
      <c r="F87" s="33" t="n">
        <v>3335.96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1722.5</v>
      </c>
      <c r="F89" s="33" t="n">
        <v>1722.5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23533.09</v>
      </c>
      <c r="H92" s="33" t="n">
        <v>23533.09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28643.92</v>
      </c>
      <c r="H93" s="33" t="n">
        <v>28643.92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42496.69</v>
      </c>
      <c r="H94" s="33" t="n">
        <v>42496.69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35043.34</v>
      </c>
      <c r="H95" s="33" t="n">
        <v>35043.34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36942.14</v>
      </c>
      <c r="H96" s="33" t="n">
        <v>36942.14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1288.46</v>
      </c>
      <c r="H97" s="33" t="n">
        <v>1288.46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22726.22</v>
      </c>
      <c r="H98" s="33" t="n">
        <v>22726.22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21445.66</v>
      </c>
      <c r="H99" s="33" t="n">
        <v>21445.66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23322.18</v>
      </c>
      <c r="H100" s="33" t="n">
        <v>23322.18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18778.11</v>
      </c>
      <c r="H101" s="33" t="n">
        <v>18778.11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45770.64</v>
      </c>
      <c r="H102" s="33" t="n">
        <v>45770.64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19814.11</v>
      </c>
      <c r="H103" s="33" t="n">
        <v>19814.11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69680.5</v>
      </c>
      <c r="H105" s="33" t="n">
        <v>69680.5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4754</v>
      </c>
      <c r="H108" s="33" t="n">
        <v>4754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515841.05</v>
      </c>
      <c r="F109" s="34" t="n">
        <f aca="false">SUM(F80:F108)</f>
        <v>104747.69</v>
      </c>
      <c r="H109" s="34" t="n">
        <f aca="false">SUM(H80:H108)</f>
        <v>411093.36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0.203061950963383</v>
      </c>
      <c r="H110" s="31" t="n">
        <f aca="false">H109/D109</f>
        <v>0.796938049036617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I!B20</f>
        <v>Building - Apt - 5yr</v>
      </c>
      <c r="D114" s="33" t="n">
        <f aca="false">SUM(F114:H114)</f>
        <v>18720.42</v>
      </c>
      <c r="F114" s="33" t="n">
        <f aca="false">I!D20</f>
        <v>18720.42</v>
      </c>
    </row>
    <row r="115" customFormat="false" ht="15" hidden="false" customHeight="false" outlineLevel="0" collapsed="false">
      <c r="B115" s="5" t="str">
        <f aca="false">I!B21</f>
        <v>Building - Apt - 27.5yr</v>
      </c>
      <c r="D115" s="33" t="n">
        <f aca="false">SUM(F115:H115)</f>
        <v>73470.24</v>
      </c>
      <c r="H115" s="33" t="n">
        <f aca="false">I!D21</f>
        <v>73470.24</v>
      </c>
    </row>
    <row r="116" customFormat="false" ht="15" hidden="false" customHeight="false" outlineLevel="0" collapsed="false">
      <c r="B116" s="5" t="str">
        <f aca="false">I!B22</f>
        <v>Building Improvements - Apt - 5yr</v>
      </c>
      <c r="D116" s="33" t="n">
        <f aca="false">SUM(F116:H116)</f>
        <v>57687.85</v>
      </c>
      <c r="F116" s="33" t="n">
        <f aca="false">I!D22</f>
        <v>57687.85</v>
      </c>
    </row>
    <row r="117" customFormat="false" ht="15" hidden="false" customHeight="false" outlineLevel="0" collapsed="false">
      <c r="B117" s="5" t="str">
        <f aca="false">I!B23</f>
        <v>Building Improvements - Apt - 27.5yr</v>
      </c>
      <c r="D117" s="33" t="n">
        <f aca="false">SUM(F117:H117)</f>
        <v>226402.03</v>
      </c>
      <c r="H117" s="33" t="n">
        <f aca="false">I!D23</f>
        <v>226402.03</v>
      </c>
    </row>
    <row r="118" customFormat="false" ht="15" hidden="false" customHeight="false" outlineLevel="0" collapsed="false">
      <c r="B118" s="5" t="str">
        <f aca="false">I!B24</f>
        <v>Building Improvements - Apt - 5yr</v>
      </c>
      <c r="D118" s="33" t="n">
        <f aca="false">SUM(F118:H118)</f>
        <v>314.19</v>
      </c>
      <c r="F118" s="33" t="n">
        <f aca="false">I!D24</f>
        <v>314.19</v>
      </c>
    </row>
    <row r="119" customFormat="false" ht="15" hidden="false" customHeight="false" outlineLevel="0" collapsed="false">
      <c r="B119" s="5" t="str">
        <f aca="false">I!B25</f>
        <v>Building Improvements - Apt - 27.5yr</v>
      </c>
      <c r="D119" s="33" t="n">
        <f aca="false">SUM(F119:H119)</f>
        <v>1233.07</v>
      </c>
      <c r="H119" s="33" t="n">
        <f aca="false">I!D25</f>
        <v>1233.07</v>
      </c>
    </row>
    <row r="120" customFormat="false" ht="15" hidden="false" customHeight="false" outlineLevel="0" collapsed="false">
      <c r="B120" s="5" t="str">
        <f aca="false">I!B26</f>
        <v>Land Improvements - Apt - 5yr</v>
      </c>
      <c r="D120" s="33" t="n">
        <f aca="false">SUM(F120:H120)</f>
        <v>4585.18</v>
      </c>
      <c r="F120" s="33" t="n">
        <f aca="false">I!D26</f>
        <v>4585.18</v>
      </c>
    </row>
    <row r="121" customFormat="false" ht="15" hidden="false" customHeight="false" outlineLevel="0" collapsed="false">
      <c r="B121" s="5" t="str">
        <f aca="false">I!B27</f>
        <v>Land Improvements - Apt - 27.5yr</v>
      </c>
      <c r="D121" s="33" t="n">
        <f aca="false">SUM(F121:H121)</f>
        <v>17995.03</v>
      </c>
      <c r="H121" s="33" t="n">
        <f aca="false">I!D27</f>
        <v>17995.03</v>
      </c>
    </row>
    <row r="122" customFormat="false" ht="15" hidden="false" customHeight="false" outlineLevel="0" collapsed="false">
      <c r="B122" s="5" t="str">
        <f aca="false">I!B28</f>
        <v>Land Improvements - Apt - 5yr</v>
      </c>
      <c r="D122" s="33" t="n">
        <f aca="false">SUM(F122:H122)</f>
        <v>9223.36</v>
      </c>
      <c r="F122" s="33" t="n">
        <f aca="false">I!D28</f>
        <v>9223.36</v>
      </c>
    </row>
    <row r="123" customFormat="false" ht="15" hidden="false" customHeight="false" outlineLevel="0" collapsed="false">
      <c r="B123" s="5" t="str">
        <f aca="false">I!B29</f>
        <v>Land Improvements - Apt - 27.5yr</v>
      </c>
      <c r="D123" s="33" t="n">
        <f aca="false">SUM(F123:H123)</f>
        <v>36198.07</v>
      </c>
      <c r="H123" s="33" t="n">
        <f aca="false">I!D29</f>
        <v>36198.07</v>
      </c>
    </row>
    <row r="124" customFormat="false" ht="15" hidden="false" customHeight="false" outlineLevel="0" collapsed="false">
      <c r="B124" s="5" t="str">
        <f aca="false">I!B30</f>
        <v>Equipment - Apt - 5yr</v>
      </c>
      <c r="D124" s="33" t="n">
        <f aca="false">SUM(F124:H124)</f>
        <v>14216.69</v>
      </c>
      <c r="F124" s="33" t="n">
        <f aca="false">I!D30</f>
        <v>14216.69</v>
      </c>
    </row>
    <row r="125" customFormat="false" ht="15" hidden="false" customHeight="false" outlineLevel="0" collapsed="false">
      <c r="B125" s="5" t="str">
        <f aca="false">I!B31</f>
        <v>Equipment - Apt - 27.5yr</v>
      </c>
      <c r="D125" s="33" t="n">
        <f aca="false">SUM(F125:H125)</f>
        <v>55794.92</v>
      </c>
      <c r="H125" s="33" t="n">
        <f aca="false">I!D31</f>
        <v>55794.92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515841.05</v>
      </c>
      <c r="F126" s="34" t="n">
        <f aca="false">SUM(F114:F125)</f>
        <v>104747.69</v>
      </c>
      <c r="H126" s="34" t="n">
        <f aca="false">SUM(H114:H125)</f>
        <v>411093.36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191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78702.11</v>
      </c>
      <c r="E10" s="24" t="n">
        <v>0</v>
      </c>
      <c r="F10" s="24" t="n">
        <v>0</v>
      </c>
      <c r="G10" s="24" t="n">
        <v>26906.11</v>
      </c>
      <c r="H10" s="24" t="n">
        <v>2861.64</v>
      </c>
      <c r="I10" s="24" t="n">
        <f aca="false">G10+H10</f>
        <v>29767.75</v>
      </c>
      <c r="J10" s="24" t="n">
        <f aca="false">D10-I10</f>
        <v>48934.36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242524.3</v>
      </c>
      <c r="E11" s="24" t="n">
        <v>0</v>
      </c>
      <c r="F11" s="24" t="n">
        <v>0</v>
      </c>
      <c r="G11" s="24" t="n">
        <v>14330.78</v>
      </c>
      <c r="H11" s="24" t="n">
        <v>8818.19</v>
      </c>
      <c r="I11" s="24" t="n">
        <f aca="false">G11+H11</f>
        <v>23148.97</v>
      </c>
      <c r="J11" s="24" t="n">
        <f aca="false">D11-I11</f>
        <v>219375.33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1320.88</v>
      </c>
      <c r="E12" s="24" t="n">
        <v>0</v>
      </c>
      <c r="F12" s="24" t="n">
        <v>0</v>
      </c>
      <c r="G12" s="24" t="n">
        <v>21.99</v>
      </c>
      <c r="H12" s="24" t="n">
        <v>48.05</v>
      </c>
      <c r="I12" s="24" t="n">
        <f aca="false">G12+H12</f>
        <v>70.04</v>
      </c>
      <c r="J12" s="24" t="n">
        <f aca="false">D12-I12</f>
        <v>1250.84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19276.47</v>
      </c>
      <c r="E13" s="24" t="n">
        <v>0</v>
      </c>
      <c r="F13" s="24" t="n">
        <v>12548.91</v>
      </c>
      <c r="G13" s="24" t="n">
        <v>12548.91</v>
      </c>
      <c r="H13" s="24" t="n">
        <v>1139.24</v>
      </c>
      <c r="I13" s="24" t="n">
        <f aca="false">G13+H13</f>
        <v>13688.15</v>
      </c>
      <c r="J13" s="24" t="n">
        <f aca="false">D13-I13</f>
        <v>5588.32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38775.76</v>
      </c>
      <c r="E14" s="24" t="n">
        <v>0</v>
      </c>
      <c r="F14" s="24" t="n">
        <v>38775.76</v>
      </c>
      <c r="G14" s="24" t="n">
        <v>38775.76</v>
      </c>
      <c r="H14" s="24" t="n">
        <v>0</v>
      </c>
      <c r="I14" s="24" t="n">
        <f aca="false">G14+H14</f>
        <v>38775.76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59768.11</v>
      </c>
      <c r="E15" s="24" t="n">
        <v>0</v>
      </c>
      <c r="F15" s="24" t="n">
        <v>59768.11</v>
      </c>
      <c r="G15" s="24" t="n">
        <v>59768.11</v>
      </c>
      <c r="H15" s="24" t="n">
        <v>0</v>
      </c>
      <c r="I15" s="24" t="n">
        <f aca="false">G15+H15</f>
        <v>59768.11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440367.63</v>
      </c>
      <c r="E16" s="28" t="n">
        <f aca="false">SUM(E10:E15)</f>
        <v>0</v>
      </c>
      <c r="F16" s="28" t="n">
        <f aca="false">SUM(F10:F15)</f>
        <v>111092.78</v>
      </c>
      <c r="G16" s="28" t="n">
        <f aca="false">SUM(G10:G15)</f>
        <v>152351.66</v>
      </c>
      <c r="H16" s="28" t="n">
        <f aca="false">SUM(H10:H15)</f>
        <v>12867.12</v>
      </c>
      <c r="I16" s="28" t="n">
        <f aca="false">SUM(I10:I15)</f>
        <v>165218.78</v>
      </c>
      <c r="J16" s="28" t="n">
        <f aca="false">SUM(J10:J15)</f>
        <v>275148.85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16357.03</v>
      </c>
      <c r="E20" s="24" t="n">
        <v>0</v>
      </c>
      <c r="F20" s="24" t="n">
        <v>0</v>
      </c>
      <c r="G20" s="24" t="n">
        <v>16357.03</v>
      </c>
      <c r="H20" s="24" t="n">
        <v>0</v>
      </c>
      <c r="I20" s="24" t="n">
        <f aca="false">G20+H20</f>
        <v>16357.03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62345.08</v>
      </c>
      <c r="E21" s="24" t="n">
        <v>0</v>
      </c>
      <c r="F21" s="24" t="n">
        <v>0</v>
      </c>
      <c r="G21" s="24" t="n">
        <v>28622.01</v>
      </c>
      <c r="H21" s="24" t="n">
        <v>2267.09</v>
      </c>
      <c r="I21" s="24" t="n">
        <f aca="false">G21+H21</f>
        <v>30889.1</v>
      </c>
      <c r="J21" s="24" t="n">
        <f aca="false">D21-I21</f>
        <v>31455.98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50404.95</v>
      </c>
      <c r="E22" s="24" t="n">
        <v>0</v>
      </c>
      <c r="F22" s="24" t="n">
        <v>50404.95</v>
      </c>
      <c r="G22" s="24" t="n">
        <v>50404.95</v>
      </c>
      <c r="H22" s="24" t="n">
        <v>0</v>
      </c>
      <c r="I22" s="24" t="n">
        <f aca="false">G22+H22</f>
        <v>50404.95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192119.35</v>
      </c>
      <c r="E23" s="24" t="n">
        <v>0</v>
      </c>
      <c r="F23" s="24" t="n">
        <v>0</v>
      </c>
      <c r="G23" s="24" t="n">
        <v>11352.51</v>
      </c>
      <c r="H23" s="24" t="n">
        <v>6986.16</v>
      </c>
      <c r="I23" s="24" t="n">
        <f aca="false">G23+H23</f>
        <v>18338.67</v>
      </c>
      <c r="J23" s="24" t="n">
        <f aca="false">D23-I23</f>
        <v>173780.68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274.52</v>
      </c>
      <c r="E24" s="24" t="n">
        <v>0</v>
      </c>
      <c r="F24" s="24" t="n">
        <v>219.62</v>
      </c>
      <c r="G24" s="24" t="n">
        <v>230.6</v>
      </c>
      <c r="H24" s="24" t="n">
        <v>17.57</v>
      </c>
      <c r="I24" s="24" t="n">
        <f aca="false">G24+H24</f>
        <v>248.17</v>
      </c>
      <c r="J24" s="24" t="n">
        <f aca="false">D24-I24</f>
        <v>26.35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1046.36</v>
      </c>
      <c r="E25" s="24" t="n">
        <v>0</v>
      </c>
      <c r="F25" s="24" t="n">
        <v>0</v>
      </c>
      <c r="G25" s="24" t="n">
        <v>17.44</v>
      </c>
      <c r="H25" s="24" t="n">
        <v>38.05</v>
      </c>
      <c r="I25" s="24" t="n">
        <f aca="false">G25+H25</f>
        <v>55.49</v>
      </c>
      <c r="J25" s="24" t="n">
        <f aca="false">D25-I25</f>
        <v>990.87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4006.32</v>
      </c>
      <c r="E26" s="24" t="n">
        <v>0</v>
      </c>
      <c r="F26" s="24" t="n">
        <v>4006.32</v>
      </c>
      <c r="G26" s="24" t="n">
        <v>4006.32</v>
      </c>
      <c r="H26" s="24" t="n">
        <v>0</v>
      </c>
      <c r="I26" s="24" t="n">
        <f aca="false">G26+H26</f>
        <v>4006.32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15270.15</v>
      </c>
      <c r="E27" s="24" t="n">
        <v>0</v>
      </c>
      <c r="F27" s="24" t="n">
        <v>0</v>
      </c>
      <c r="G27" s="24" t="n">
        <v>7010.41</v>
      </c>
      <c r="H27" s="24" t="n">
        <v>555.28</v>
      </c>
      <c r="I27" s="24" t="n">
        <f aca="false">G27+H27</f>
        <v>7565.69</v>
      </c>
      <c r="J27" s="24" t="n">
        <f aca="false">D27-I27</f>
        <v>7704.46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8058.95</v>
      </c>
      <c r="E28" s="24" t="n">
        <v>0</v>
      </c>
      <c r="F28" s="24" t="n">
        <v>8058.95</v>
      </c>
      <c r="G28" s="24" t="n">
        <v>8058.95</v>
      </c>
      <c r="H28" s="24" t="n">
        <v>0</v>
      </c>
      <c r="I28" s="24" t="n">
        <f aca="false">G28+H28</f>
        <v>8058.95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30716.81</v>
      </c>
      <c r="E29" s="24" t="n">
        <v>0</v>
      </c>
      <c r="F29" s="24" t="n">
        <v>0</v>
      </c>
      <c r="G29" s="24" t="n">
        <v>1815.08</v>
      </c>
      <c r="H29" s="24" t="n">
        <v>1116.97</v>
      </c>
      <c r="I29" s="24" t="n">
        <f aca="false">G29+H29</f>
        <v>2932.05</v>
      </c>
      <c r="J29" s="24" t="n">
        <f aca="false">D29-I29</f>
        <v>27784.76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12421.88</v>
      </c>
      <c r="E30" s="24" t="n">
        <v>0</v>
      </c>
      <c r="F30" s="24" t="n">
        <v>12421.88</v>
      </c>
      <c r="G30" s="24" t="n">
        <v>12421.88</v>
      </c>
      <c r="H30" s="24" t="n">
        <v>0</v>
      </c>
      <c r="I30" s="24" t="n">
        <f aca="false">G30+H30</f>
        <v>12421.88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47346.23</v>
      </c>
      <c r="E31" s="24" t="n">
        <v>0</v>
      </c>
      <c r="F31" s="24" t="n">
        <v>0</v>
      </c>
      <c r="G31" s="24" t="n">
        <v>2797.73</v>
      </c>
      <c r="H31" s="24" t="n">
        <v>1721.68</v>
      </c>
      <c r="I31" s="24" t="n">
        <f aca="false">G31+H31</f>
        <v>4519.41</v>
      </c>
      <c r="J31" s="24" t="n">
        <f aca="false">D31-I31</f>
        <v>42826.82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440367.63</v>
      </c>
      <c r="E32" s="28" t="n">
        <f aca="false">SUM(E20:E31)</f>
        <v>0</v>
      </c>
      <c r="F32" s="28" t="n">
        <f aca="false">SUM(F20:F31)</f>
        <v>75111.72</v>
      </c>
      <c r="G32" s="28" t="n">
        <f aca="false">SUM(G20:G31)</f>
        <v>143094.91</v>
      </c>
      <c r="H32" s="28" t="n">
        <f aca="false">SUM(H20:H31)</f>
        <v>12702.8</v>
      </c>
      <c r="I32" s="28" t="n">
        <f aca="false">SUM(I20:I31)</f>
        <v>155797.71</v>
      </c>
      <c r="J32" s="28" t="n">
        <f aca="false">SUM(J20:J31)</f>
        <v>284569.92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165218.78</v>
      </c>
    </row>
    <row r="36" customFormat="false" ht="15" hidden="false" customHeight="false" outlineLevel="0" collapsed="false">
      <c r="B36" s="5" t="s">
        <v>109</v>
      </c>
      <c r="D36" s="6" t="n">
        <f aca="false">I32</f>
        <v>155797.71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9421.07000000001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78702.11</v>
      </c>
      <c r="E42" s="24" t="n">
        <v>0</v>
      </c>
      <c r="F42" s="24" t="n">
        <v>0</v>
      </c>
      <c r="G42" s="24" t="n">
        <v>26906.11</v>
      </c>
      <c r="H42" s="24" t="n">
        <v>2861.64</v>
      </c>
      <c r="I42" s="24" t="n">
        <f aca="false">G42+H42</f>
        <v>29767.75</v>
      </c>
      <c r="J42" s="24" t="n">
        <f aca="false">D42-I42</f>
        <v>48934.36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242524.3</v>
      </c>
      <c r="E43" s="24" t="n">
        <v>0</v>
      </c>
      <c r="F43" s="24" t="n">
        <v>0</v>
      </c>
      <c r="G43" s="24" t="n">
        <v>14330.78</v>
      </c>
      <c r="H43" s="24" t="n">
        <v>8818.19</v>
      </c>
      <c r="I43" s="24" t="n">
        <f aca="false">G43+H43</f>
        <v>23148.97</v>
      </c>
      <c r="J43" s="24" t="n">
        <f aca="false">D43-I43</f>
        <v>219375.33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1320.88</v>
      </c>
      <c r="E44" s="24" t="n">
        <v>0</v>
      </c>
      <c r="F44" s="24" t="n">
        <v>0</v>
      </c>
      <c r="G44" s="24" t="n">
        <v>21.99</v>
      </c>
      <c r="H44" s="24" t="n">
        <v>48.05</v>
      </c>
      <c r="I44" s="24" t="n">
        <f aca="false">G44+H44</f>
        <v>70.04</v>
      </c>
      <c r="J44" s="24" t="n">
        <f aca="false">D44-I44</f>
        <v>1250.84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19276.47</v>
      </c>
      <c r="E45" s="24" t="n">
        <v>0</v>
      </c>
      <c r="F45" s="24" t="n">
        <v>12548.91</v>
      </c>
      <c r="G45" s="24" t="n">
        <v>12548.91</v>
      </c>
      <c r="H45" s="24" t="n">
        <v>1139.24</v>
      </c>
      <c r="I45" s="24" t="n">
        <f aca="false">G45+H45</f>
        <v>13688.15</v>
      </c>
      <c r="J45" s="24" t="n">
        <f aca="false">D45-I45</f>
        <v>5588.32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38775.76</v>
      </c>
      <c r="E46" s="24" t="n">
        <v>0</v>
      </c>
      <c r="F46" s="24" t="n">
        <v>38775.76</v>
      </c>
      <c r="G46" s="24" t="n">
        <v>38775.76</v>
      </c>
      <c r="H46" s="24" t="n">
        <v>0</v>
      </c>
      <c r="I46" s="24" t="n">
        <f aca="false">G46+H46</f>
        <v>38775.76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59768.11</v>
      </c>
      <c r="E47" s="24" t="n">
        <v>0</v>
      </c>
      <c r="F47" s="24" t="n">
        <v>59768.11</v>
      </c>
      <c r="G47" s="24" t="n">
        <v>59768.11</v>
      </c>
      <c r="H47" s="24" t="n">
        <v>0</v>
      </c>
      <c r="I47" s="24" t="n">
        <f aca="false">G47+H47</f>
        <v>59768.11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440367.63</v>
      </c>
      <c r="E48" s="28" t="n">
        <f aca="false">SUM(E42:E47)</f>
        <v>0</v>
      </c>
      <c r="F48" s="28" t="n">
        <f aca="false">SUM(F42:F47)</f>
        <v>111092.78</v>
      </c>
      <c r="G48" s="28" t="n">
        <f aca="false">SUM(G42:G47)</f>
        <v>152351.66</v>
      </c>
      <c r="H48" s="28" t="n">
        <f aca="false">SUM(H42:H47)</f>
        <v>12867.12</v>
      </c>
      <c r="I48" s="28" t="n">
        <f aca="false">SUM(I42:I47)</f>
        <v>165218.78</v>
      </c>
      <c r="J48" s="28" t="n">
        <f aca="false">SUM(J42:J47)</f>
        <v>275148.85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16357.03</v>
      </c>
      <c r="E52" s="24" t="n">
        <v>0</v>
      </c>
      <c r="F52" s="24" t="n">
        <v>0</v>
      </c>
      <c r="G52" s="24" t="n">
        <v>16357.03</v>
      </c>
      <c r="H52" s="24" t="n">
        <v>0</v>
      </c>
      <c r="I52" s="24" t="n">
        <f aca="false">G52+H52</f>
        <v>16357.03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62345.08</v>
      </c>
      <c r="E53" s="24" t="n">
        <v>0</v>
      </c>
      <c r="F53" s="24" t="n">
        <v>0</v>
      </c>
      <c r="G53" s="24" t="n">
        <v>28622.01</v>
      </c>
      <c r="H53" s="24" t="n">
        <v>2267.09</v>
      </c>
      <c r="I53" s="24" t="n">
        <f aca="false">G53+H53</f>
        <v>30889.1</v>
      </c>
      <c r="J53" s="24" t="n">
        <f aca="false">D53-I53</f>
        <v>31455.98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50404.95</v>
      </c>
      <c r="E54" s="24" t="n">
        <v>0</v>
      </c>
      <c r="F54" s="24" t="n">
        <v>50404.95</v>
      </c>
      <c r="G54" s="24" t="n">
        <v>50404.95</v>
      </c>
      <c r="H54" s="24" t="n">
        <v>0</v>
      </c>
      <c r="I54" s="24" t="n">
        <f aca="false">G54+H54</f>
        <v>50404.95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192119.35</v>
      </c>
      <c r="E55" s="24" t="n">
        <v>0</v>
      </c>
      <c r="F55" s="24" t="n">
        <v>0</v>
      </c>
      <c r="G55" s="24" t="n">
        <v>11352.51</v>
      </c>
      <c r="H55" s="24" t="n">
        <v>6986.16</v>
      </c>
      <c r="I55" s="24" t="n">
        <f aca="false">G55+H55</f>
        <v>18338.67</v>
      </c>
      <c r="J55" s="24" t="n">
        <f aca="false">D55-I55</f>
        <v>173780.68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274.52</v>
      </c>
      <c r="E56" s="24" t="n">
        <v>0</v>
      </c>
      <c r="F56" s="24" t="n">
        <v>219.62</v>
      </c>
      <c r="G56" s="24" t="n">
        <v>230.6</v>
      </c>
      <c r="H56" s="24" t="n">
        <v>17.57</v>
      </c>
      <c r="I56" s="24" t="n">
        <f aca="false">G56+H56</f>
        <v>248.17</v>
      </c>
      <c r="J56" s="24" t="n">
        <f aca="false">D56-I56</f>
        <v>26.35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1046.36</v>
      </c>
      <c r="E57" s="24" t="n">
        <v>0</v>
      </c>
      <c r="F57" s="24" t="n">
        <v>0</v>
      </c>
      <c r="G57" s="24" t="n">
        <v>17.44</v>
      </c>
      <c r="H57" s="24" t="n">
        <v>38.05</v>
      </c>
      <c r="I57" s="24" t="n">
        <f aca="false">G57+H57</f>
        <v>55.49</v>
      </c>
      <c r="J57" s="24" t="n">
        <f aca="false">D57-I57</f>
        <v>990.87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4006.32</v>
      </c>
      <c r="E58" s="24" t="n">
        <v>0</v>
      </c>
      <c r="F58" s="24" t="n">
        <v>4006.32</v>
      </c>
      <c r="G58" s="24" t="n">
        <v>4006.32</v>
      </c>
      <c r="H58" s="24" t="n">
        <v>0</v>
      </c>
      <c r="I58" s="24" t="n">
        <f aca="false">G58+H58</f>
        <v>4006.32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15270.15</v>
      </c>
      <c r="E59" s="24" t="n">
        <v>0</v>
      </c>
      <c r="F59" s="24" t="n">
        <v>0</v>
      </c>
      <c r="G59" s="24" t="n">
        <v>7010.41</v>
      </c>
      <c r="H59" s="24" t="n">
        <v>555.28</v>
      </c>
      <c r="I59" s="24" t="n">
        <f aca="false">G59+H59</f>
        <v>7565.69</v>
      </c>
      <c r="J59" s="24" t="n">
        <f aca="false">D59-I59</f>
        <v>7704.46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8058.95</v>
      </c>
      <c r="E60" s="24" t="n">
        <v>0</v>
      </c>
      <c r="F60" s="24" t="n">
        <v>8058.95</v>
      </c>
      <c r="G60" s="24" t="n">
        <v>8058.95</v>
      </c>
      <c r="H60" s="24" t="n">
        <v>0</v>
      </c>
      <c r="I60" s="24" t="n">
        <f aca="false">G60+H60</f>
        <v>8058.95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30716.81</v>
      </c>
      <c r="E61" s="24" t="n">
        <v>0</v>
      </c>
      <c r="F61" s="24" t="n">
        <v>0</v>
      </c>
      <c r="G61" s="24" t="n">
        <v>1815.08</v>
      </c>
      <c r="H61" s="24" t="n">
        <v>1116.97</v>
      </c>
      <c r="I61" s="24" t="n">
        <f aca="false">G61+H61</f>
        <v>2932.05</v>
      </c>
      <c r="J61" s="24" t="n">
        <f aca="false">D61-I61</f>
        <v>27784.76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12421.88</v>
      </c>
      <c r="E62" s="24" t="n">
        <v>0</v>
      </c>
      <c r="F62" s="24" t="n">
        <v>12421.88</v>
      </c>
      <c r="G62" s="24" t="n">
        <v>12421.88</v>
      </c>
      <c r="H62" s="24" t="n">
        <v>0</v>
      </c>
      <c r="I62" s="24" t="n">
        <f aca="false">G62+H62</f>
        <v>12421.88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47346.23</v>
      </c>
      <c r="E63" s="24" t="n">
        <v>0</v>
      </c>
      <c r="F63" s="24" t="n">
        <v>0</v>
      </c>
      <c r="G63" s="24" t="n">
        <v>2797.73</v>
      </c>
      <c r="H63" s="24" t="n">
        <v>1721.68</v>
      </c>
      <c r="I63" s="24" t="n">
        <f aca="false">G63+H63</f>
        <v>4519.41</v>
      </c>
      <c r="J63" s="24" t="n">
        <f aca="false">D63-I63</f>
        <v>42826.82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440367.63</v>
      </c>
      <c r="E64" s="28" t="n">
        <f aca="false">SUM(E52:E63)</f>
        <v>0</v>
      </c>
      <c r="F64" s="28" t="n">
        <f aca="false">SUM(F52:F63)</f>
        <v>75111.72</v>
      </c>
      <c r="G64" s="28" t="n">
        <f aca="false">SUM(G52:G63)</f>
        <v>143094.91</v>
      </c>
      <c r="H64" s="28" t="n">
        <f aca="false">SUM(H52:H63)</f>
        <v>12702.8</v>
      </c>
      <c r="I64" s="28" t="n">
        <f aca="false">SUM(I52:I63)</f>
        <v>155797.71</v>
      </c>
      <c r="J64" s="28" t="n">
        <f aca="false">SUM(J52:J63)</f>
        <v>284569.92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165218.78</v>
      </c>
    </row>
    <row r="68" customFormat="false" ht="15" hidden="false" customHeight="false" outlineLevel="0" collapsed="false">
      <c r="B68" s="5" t="s">
        <v>109</v>
      </c>
      <c r="D68" s="6" t="n">
        <f aca="false">I64</f>
        <v>155797.71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9421.07000000001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440367.63</v>
      </c>
    </row>
    <row r="73" customFormat="false" ht="15" hidden="false" customHeight="false" outlineLevel="0" collapsed="false">
      <c r="B73" s="5" t="s">
        <v>144</v>
      </c>
      <c r="D73" s="6" t="n">
        <f aca="false">F109</f>
        <v>91523.65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0.207834644885229</v>
      </c>
    </row>
    <row r="75" customFormat="false" ht="15" hidden="false" customHeight="false" outlineLevel="0" collapsed="false">
      <c r="B75" s="5" t="s">
        <v>145</v>
      </c>
      <c r="D75" s="6" t="n">
        <f aca="false">H109</f>
        <v>348843.98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0.792165355114771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14219.24</v>
      </c>
      <c r="F81" s="33" t="n">
        <v>14219.24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9652.73</v>
      </c>
      <c r="F82" s="33" t="n">
        <v>9652.73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33731.06</v>
      </c>
      <c r="F83" s="33" t="n">
        <v>33731.06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3552.78</v>
      </c>
      <c r="F84" s="33" t="n">
        <v>3552.78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2668.77</v>
      </c>
      <c r="F87" s="33" t="n">
        <v>2668.77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886.65</v>
      </c>
      <c r="F89" s="33" t="n">
        <v>886.65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19629.66</v>
      </c>
      <c r="H92" s="33" t="n">
        <v>19629.66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23418.11</v>
      </c>
      <c r="H93" s="33" t="n">
        <v>23418.11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33997.34</v>
      </c>
      <c r="H94" s="33" t="n">
        <v>33997.34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26926.59</v>
      </c>
      <c r="H95" s="33" t="n">
        <v>26926.59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29553.7</v>
      </c>
      <c r="H96" s="33" t="n">
        <v>29553.7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1932.7</v>
      </c>
      <c r="H97" s="33" t="n">
        <v>1932.7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21649.45</v>
      </c>
      <c r="H98" s="33" t="n">
        <v>21649.45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18392.87</v>
      </c>
      <c r="H99" s="33" t="n">
        <v>18392.87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15659.18</v>
      </c>
      <c r="H100" s="33" t="n">
        <v>15659.18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15022.49</v>
      </c>
      <c r="H101" s="33" t="n">
        <v>15022.49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42580.32</v>
      </c>
      <c r="H102" s="33" t="n">
        <v>42580.32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17847.95</v>
      </c>
      <c r="H103" s="33" t="n">
        <v>17847.95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61316.75</v>
      </c>
      <c r="H105" s="33" t="n">
        <v>61316.75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4062.57</v>
      </c>
      <c r="H108" s="33" t="n">
        <v>4062.57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440367.63</v>
      </c>
      <c r="F109" s="34" t="n">
        <f aca="false">SUM(F80:F108)</f>
        <v>91523.65</v>
      </c>
      <c r="H109" s="34" t="n">
        <f aca="false">SUM(H80:H108)</f>
        <v>348843.98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0.207834644885229</v>
      </c>
      <c r="H110" s="31" t="n">
        <f aca="false">H109/D109</f>
        <v>0.792165355114771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J!B20</f>
        <v>Building - Apt - 5yr</v>
      </c>
      <c r="D114" s="33" t="n">
        <f aca="false">SUM(F114:H114)</f>
        <v>16357.03</v>
      </c>
      <c r="F114" s="33" t="n">
        <f aca="false">J!D20</f>
        <v>16357.03</v>
      </c>
    </row>
    <row r="115" customFormat="false" ht="15" hidden="false" customHeight="false" outlineLevel="0" collapsed="false">
      <c r="B115" s="5" t="str">
        <f aca="false">J!B21</f>
        <v>Building - Apt - 27.5yr</v>
      </c>
      <c r="D115" s="33" t="n">
        <f aca="false">SUM(F115:H115)</f>
        <v>62345.08</v>
      </c>
      <c r="H115" s="33" t="n">
        <f aca="false">J!D21</f>
        <v>62345.08</v>
      </c>
    </row>
    <row r="116" customFormat="false" ht="15" hidden="false" customHeight="false" outlineLevel="0" collapsed="false">
      <c r="B116" s="5" t="str">
        <f aca="false">J!B22</f>
        <v>Building Improvements - Apt - 5yr</v>
      </c>
      <c r="D116" s="33" t="n">
        <f aca="false">SUM(F116:H116)</f>
        <v>50404.95</v>
      </c>
      <c r="F116" s="33" t="n">
        <f aca="false">J!D22</f>
        <v>50404.95</v>
      </c>
    </row>
    <row r="117" customFormat="false" ht="15" hidden="false" customHeight="false" outlineLevel="0" collapsed="false">
      <c r="B117" s="5" t="str">
        <f aca="false">J!B23</f>
        <v>Building Improvements - Apt - 27.5yr</v>
      </c>
      <c r="D117" s="33" t="n">
        <f aca="false">SUM(F117:H117)</f>
        <v>192119.35</v>
      </c>
      <c r="H117" s="33" t="n">
        <f aca="false">J!D23</f>
        <v>192119.35</v>
      </c>
    </row>
    <row r="118" customFormat="false" ht="15" hidden="false" customHeight="false" outlineLevel="0" collapsed="false">
      <c r="B118" s="5" t="str">
        <f aca="false">J!B24</f>
        <v>Building Improvements - Apt - 5yr</v>
      </c>
      <c r="D118" s="33" t="n">
        <f aca="false">SUM(F118:H118)</f>
        <v>274.52</v>
      </c>
      <c r="F118" s="33" t="n">
        <f aca="false">J!D24</f>
        <v>274.52</v>
      </c>
    </row>
    <row r="119" customFormat="false" ht="15" hidden="false" customHeight="false" outlineLevel="0" collapsed="false">
      <c r="B119" s="5" t="str">
        <f aca="false">J!B25</f>
        <v>Building Improvements - Apt - 27.5yr</v>
      </c>
      <c r="D119" s="33" t="n">
        <f aca="false">SUM(F119:H119)</f>
        <v>1046.36</v>
      </c>
      <c r="H119" s="33" t="n">
        <f aca="false">J!D25</f>
        <v>1046.36</v>
      </c>
    </row>
    <row r="120" customFormat="false" ht="15" hidden="false" customHeight="false" outlineLevel="0" collapsed="false">
      <c r="B120" s="5" t="str">
        <f aca="false">J!B26</f>
        <v>Land Improvements - Apt - 5yr</v>
      </c>
      <c r="D120" s="33" t="n">
        <f aca="false">SUM(F120:H120)</f>
        <v>4006.32</v>
      </c>
      <c r="F120" s="33" t="n">
        <f aca="false">J!D26</f>
        <v>4006.32</v>
      </c>
    </row>
    <row r="121" customFormat="false" ht="15" hidden="false" customHeight="false" outlineLevel="0" collapsed="false">
      <c r="B121" s="5" t="str">
        <f aca="false">J!B27</f>
        <v>Land Improvements - Apt - 27.5yr</v>
      </c>
      <c r="D121" s="33" t="n">
        <f aca="false">SUM(F121:H121)</f>
        <v>15270.15</v>
      </c>
      <c r="H121" s="33" t="n">
        <f aca="false">J!D27</f>
        <v>15270.15</v>
      </c>
    </row>
    <row r="122" customFormat="false" ht="15" hidden="false" customHeight="false" outlineLevel="0" collapsed="false">
      <c r="B122" s="5" t="str">
        <f aca="false">J!B28</f>
        <v>Land Improvements - Apt - 5yr</v>
      </c>
      <c r="D122" s="33" t="n">
        <f aca="false">SUM(F122:H122)</f>
        <v>8058.95</v>
      </c>
      <c r="F122" s="33" t="n">
        <f aca="false">J!D28</f>
        <v>8058.95</v>
      </c>
    </row>
    <row r="123" customFormat="false" ht="15" hidden="false" customHeight="false" outlineLevel="0" collapsed="false">
      <c r="B123" s="5" t="str">
        <f aca="false">J!B29</f>
        <v>Land Improvements - Apt - 27.5yr</v>
      </c>
      <c r="D123" s="33" t="n">
        <f aca="false">SUM(F123:H123)</f>
        <v>30716.81</v>
      </c>
      <c r="H123" s="33" t="n">
        <f aca="false">J!D29</f>
        <v>30716.81</v>
      </c>
    </row>
    <row r="124" customFormat="false" ht="15" hidden="false" customHeight="false" outlineLevel="0" collapsed="false">
      <c r="B124" s="5" t="str">
        <f aca="false">J!B30</f>
        <v>Equipment - Apt - 5yr</v>
      </c>
      <c r="D124" s="33" t="n">
        <f aca="false">SUM(F124:H124)</f>
        <v>12421.88</v>
      </c>
      <c r="F124" s="33" t="n">
        <f aca="false">J!D30</f>
        <v>12421.88</v>
      </c>
    </row>
    <row r="125" customFormat="false" ht="15" hidden="false" customHeight="false" outlineLevel="0" collapsed="false">
      <c r="B125" s="5" t="str">
        <f aca="false">J!B31</f>
        <v>Equipment - Apt - 27.5yr</v>
      </c>
      <c r="D125" s="33" t="n">
        <f aca="false">SUM(F125:H125)</f>
        <v>47346.23</v>
      </c>
      <c r="H125" s="33" t="n">
        <f aca="false">J!D31</f>
        <v>47346.23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440367.63</v>
      </c>
      <c r="F126" s="34" t="n">
        <f aca="false">SUM(F114:F125)</f>
        <v>91523.65</v>
      </c>
      <c r="H126" s="34" t="n">
        <f aca="false">SUM(H114:H125)</f>
        <v>348843.98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192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78702.11</v>
      </c>
      <c r="E10" s="24" t="n">
        <v>0</v>
      </c>
      <c r="F10" s="24" t="n">
        <v>0</v>
      </c>
      <c r="G10" s="24" t="n">
        <v>26906.11</v>
      </c>
      <c r="H10" s="24" t="n">
        <v>2861.64</v>
      </c>
      <c r="I10" s="24" t="n">
        <f aca="false">G10+H10</f>
        <v>29767.75</v>
      </c>
      <c r="J10" s="24" t="n">
        <f aca="false">D10-I10</f>
        <v>48934.36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242524.3</v>
      </c>
      <c r="E11" s="24" t="n">
        <v>0</v>
      </c>
      <c r="F11" s="24" t="n">
        <v>0</v>
      </c>
      <c r="G11" s="24" t="n">
        <v>14330.78</v>
      </c>
      <c r="H11" s="24" t="n">
        <v>8818.19</v>
      </c>
      <c r="I11" s="24" t="n">
        <f aca="false">G11+H11</f>
        <v>23148.97</v>
      </c>
      <c r="J11" s="24" t="n">
        <f aca="false">D11-I11</f>
        <v>219375.33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1320.88</v>
      </c>
      <c r="E12" s="24" t="n">
        <v>0</v>
      </c>
      <c r="F12" s="24" t="n">
        <v>0</v>
      </c>
      <c r="G12" s="24" t="n">
        <v>21.99</v>
      </c>
      <c r="H12" s="24" t="n">
        <v>48.05</v>
      </c>
      <c r="I12" s="24" t="n">
        <f aca="false">G12+H12</f>
        <v>70.04</v>
      </c>
      <c r="J12" s="24" t="n">
        <f aca="false">D12-I12</f>
        <v>1250.84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19276.47</v>
      </c>
      <c r="E13" s="24" t="n">
        <v>0</v>
      </c>
      <c r="F13" s="24" t="n">
        <v>12548.91</v>
      </c>
      <c r="G13" s="24" t="n">
        <v>12548.91</v>
      </c>
      <c r="H13" s="24" t="n">
        <v>1139.24</v>
      </c>
      <c r="I13" s="24" t="n">
        <f aca="false">G13+H13</f>
        <v>13688.15</v>
      </c>
      <c r="J13" s="24" t="n">
        <f aca="false">D13-I13</f>
        <v>5588.32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38775.76</v>
      </c>
      <c r="E14" s="24" t="n">
        <v>0</v>
      </c>
      <c r="F14" s="24" t="n">
        <v>38775.76</v>
      </c>
      <c r="G14" s="24" t="n">
        <v>38775.76</v>
      </c>
      <c r="H14" s="24" t="n">
        <v>0</v>
      </c>
      <c r="I14" s="24" t="n">
        <f aca="false">G14+H14</f>
        <v>38775.76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59768.11</v>
      </c>
      <c r="E15" s="24" t="n">
        <v>0</v>
      </c>
      <c r="F15" s="24" t="n">
        <v>59768.11</v>
      </c>
      <c r="G15" s="24" t="n">
        <v>59768.11</v>
      </c>
      <c r="H15" s="24" t="n">
        <v>0</v>
      </c>
      <c r="I15" s="24" t="n">
        <f aca="false">G15+H15</f>
        <v>59768.11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440367.63</v>
      </c>
      <c r="E16" s="28" t="n">
        <f aca="false">SUM(E10:E15)</f>
        <v>0</v>
      </c>
      <c r="F16" s="28" t="n">
        <f aca="false">SUM(F10:F15)</f>
        <v>111092.78</v>
      </c>
      <c r="G16" s="28" t="n">
        <f aca="false">SUM(G10:G15)</f>
        <v>152351.66</v>
      </c>
      <c r="H16" s="28" t="n">
        <f aca="false">SUM(H10:H15)</f>
        <v>12867.12</v>
      </c>
      <c r="I16" s="28" t="n">
        <f aca="false">SUM(I10:I15)</f>
        <v>165218.78</v>
      </c>
      <c r="J16" s="28" t="n">
        <f aca="false">SUM(J10:J15)</f>
        <v>275148.85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16357.03</v>
      </c>
      <c r="E20" s="24" t="n">
        <v>0</v>
      </c>
      <c r="F20" s="24" t="n">
        <v>0</v>
      </c>
      <c r="G20" s="24" t="n">
        <v>16357.03</v>
      </c>
      <c r="H20" s="24" t="n">
        <v>0</v>
      </c>
      <c r="I20" s="24" t="n">
        <f aca="false">G20+H20</f>
        <v>16357.03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62345.08</v>
      </c>
      <c r="E21" s="24" t="n">
        <v>0</v>
      </c>
      <c r="F21" s="24" t="n">
        <v>0</v>
      </c>
      <c r="G21" s="24" t="n">
        <v>28622.01</v>
      </c>
      <c r="H21" s="24" t="n">
        <v>2267.09</v>
      </c>
      <c r="I21" s="24" t="n">
        <f aca="false">G21+H21</f>
        <v>30889.1</v>
      </c>
      <c r="J21" s="24" t="n">
        <f aca="false">D21-I21</f>
        <v>31455.98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50404.95</v>
      </c>
      <c r="E22" s="24" t="n">
        <v>0</v>
      </c>
      <c r="F22" s="24" t="n">
        <v>50404.95</v>
      </c>
      <c r="G22" s="24" t="n">
        <v>50404.95</v>
      </c>
      <c r="H22" s="24" t="n">
        <v>0</v>
      </c>
      <c r="I22" s="24" t="n">
        <f aca="false">G22+H22</f>
        <v>50404.95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192119.35</v>
      </c>
      <c r="E23" s="24" t="n">
        <v>0</v>
      </c>
      <c r="F23" s="24" t="n">
        <v>0</v>
      </c>
      <c r="G23" s="24" t="n">
        <v>11352.51</v>
      </c>
      <c r="H23" s="24" t="n">
        <v>6986.16</v>
      </c>
      <c r="I23" s="24" t="n">
        <f aca="false">G23+H23</f>
        <v>18338.67</v>
      </c>
      <c r="J23" s="24" t="n">
        <f aca="false">D23-I23</f>
        <v>173780.68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274.52</v>
      </c>
      <c r="E24" s="24" t="n">
        <v>0</v>
      </c>
      <c r="F24" s="24" t="n">
        <v>219.62</v>
      </c>
      <c r="G24" s="24" t="n">
        <v>230.6</v>
      </c>
      <c r="H24" s="24" t="n">
        <v>17.57</v>
      </c>
      <c r="I24" s="24" t="n">
        <f aca="false">G24+H24</f>
        <v>248.17</v>
      </c>
      <c r="J24" s="24" t="n">
        <f aca="false">D24-I24</f>
        <v>26.35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1046.36</v>
      </c>
      <c r="E25" s="24" t="n">
        <v>0</v>
      </c>
      <c r="F25" s="24" t="n">
        <v>0</v>
      </c>
      <c r="G25" s="24" t="n">
        <v>17.44</v>
      </c>
      <c r="H25" s="24" t="n">
        <v>38.05</v>
      </c>
      <c r="I25" s="24" t="n">
        <f aca="false">G25+H25</f>
        <v>55.49</v>
      </c>
      <c r="J25" s="24" t="n">
        <f aca="false">D25-I25</f>
        <v>990.87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4006.32</v>
      </c>
      <c r="E26" s="24" t="n">
        <v>0</v>
      </c>
      <c r="F26" s="24" t="n">
        <v>4006.32</v>
      </c>
      <c r="G26" s="24" t="n">
        <v>4006.32</v>
      </c>
      <c r="H26" s="24" t="n">
        <v>0</v>
      </c>
      <c r="I26" s="24" t="n">
        <f aca="false">G26+H26</f>
        <v>4006.32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15270.15</v>
      </c>
      <c r="E27" s="24" t="n">
        <v>0</v>
      </c>
      <c r="F27" s="24" t="n">
        <v>0</v>
      </c>
      <c r="G27" s="24" t="n">
        <v>7010.41</v>
      </c>
      <c r="H27" s="24" t="n">
        <v>555.28</v>
      </c>
      <c r="I27" s="24" t="n">
        <f aca="false">G27+H27</f>
        <v>7565.69</v>
      </c>
      <c r="J27" s="24" t="n">
        <f aca="false">D27-I27</f>
        <v>7704.46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8058.95</v>
      </c>
      <c r="E28" s="24" t="n">
        <v>0</v>
      </c>
      <c r="F28" s="24" t="n">
        <v>8058.95</v>
      </c>
      <c r="G28" s="24" t="n">
        <v>8058.95</v>
      </c>
      <c r="H28" s="24" t="n">
        <v>0</v>
      </c>
      <c r="I28" s="24" t="n">
        <f aca="false">G28+H28</f>
        <v>8058.95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30716.81</v>
      </c>
      <c r="E29" s="24" t="n">
        <v>0</v>
      </c>
      <c r="F29" s="24" t="n">
        <v>0</v>
      </c>
      <c r="G29" s="24" t="n">
        <v>1815.08</v>
      </c>
      <c r="H29" s="24" t="n">
        <v>1116.97</v>
      </c>
      <c r="I29" s="24" t="n">
        <f aca="false">G29+H29</f>
        <v>2932.05</v>
      </c>
      <c r="J29" s="24" t="n">
        <f aca="false">D29-I29</f>
        <v>27784.76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12421.88</v>
      </c>
      <c r="E30" s="24" t="n">
        <v>0</v>
      </c>
      <c r="F30" s="24" t="n">
        <v>12421.88</v>
      </c>
      <c r="G30" s="24" t="n">
        <v>12421.88</v>
      </c>
      <c r="H30" s="24" t="n">
        <v>0</v>
      </c>
      <c r="I30" s="24" t="n">
        <f aca="false">G30+H30</f>
        <v>12421.88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47346.23</v>
      </c>
      <c r="E31" s="24" t="n">
        <v>0</v>
      </c>
      <c r="F31" s="24" t="n">
        <v>0</v>
      </c>
      <c r="G31" s="24" t="n">
        <v>2797.73</v>
      </c>
      <c r="H31" s="24" t="n">
        <v>1721.68</v>
      </c>
      <c r="I31" s="24" t="n">
        <f aca="false">G31+H31</f>
        <v>4519.41</v>
      </c>
      <c r="J31" s="24" t="n">
        <f aca="false">D31-I31</f>
        <v>42826.82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440367.63</v>
      </c>
      <c r="E32" s="28" t="n">
        <f aca="false">SUM(E20:E31)</f>
        <v>0</v>
      </c>
      <c r="F32" s="28" t="n">
        <f aca="false">SUM(F20:F31)</f>
        <v>75111.72</v>
      </c>
      <c r="G32" s="28" t="n">
        <f aca="false">SUM(G20:G31)</f>
        <v>143094.91</v>
      </c>
      <c r="H32" s="28" t="n">
        <f aca="false">SUM(H20:H31)</f>
        <v>12702.8</v>
      </c>
      <c r="I32" s="28" t="n">
        <f aca="false">SUM(I20:I31)</f>
        <v>155797.71</v>
      </c>
      <c r="J32" s="28" t="n">
        <f aca="false">SUM(J20:J31)</f>
        <v>284569.92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165218.78</v>
      </c>
    </row>
    <row r="36" customFormat="false" ht="15" hidden="false" customHeight="false" outlineLevel="0" collapsed="false">
      <c r="B36" s="5" t="s">
        <v>109</v>
      </c>
      <c r="D36" s="6" t="n">
        <f aca="false">I32</f>
        <v>155797.71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9421.07000000001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78702.11</v>
      </c>
      <c r="E42" s="24" t="n">
        <v>0</v>
      </c>
      <c r="F42" s="24" t="n">
        <v>0</v>
      </c>
      <c r="G42" s="24" t="n">
        <v>26906.11</v>
      </c>
      <c r="H42" s="24" t="n">
        <v>2861.64</v>
      </c>
      <c r="I42" s="24" t="n">
        <f aca="false">G42+H42</f>
        <v>29767.75</v>
      </c>
      <c r="J42" s="24" t="n">
        <f aca="false">D42-I42</f>
        <v>48934.36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242524.3</v>
      </c>
      <c r="E43" s="24" t="n">
        <v>0</v>
      </c>
      <c r="F43" s="24" t="n">
        <v>0</v>
      </c>
      <c r="G43" s="24" t="n">
        <v>14330.78</v>
      </c>
      <c r="H43" s="24" t="n">
        <v>8818.19</v>
      </c>
      <c r="I43" s="24" t="n">
        <f aca="false">G43+H43</f>
        <v>23148.97</v>
      </c>
      <c r="J43" s="24" t="n">
        <f aca="false">D43-I43</f>
        <v>219375.33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1320.88</v>
      </c>
      <c r="E44" s="24" t="n">
        <v>0</v>
      </c>
      <c r="F44" s="24" t="n">
        <v>0</v>
      </c>
      <c r="G44" s="24" t="n">
        <v>21.99</v>
      </c>
      <c r="H44" s="24" t="n">
        <v>48.05</v>
      </c>
      <c r="I44" s="24" t="n">
        <f aca="false">G44+H44</f>
        <v>70.04</v>
      </c>
      <c r="J44" s="24" t="n">
        <f aca="false">D44-I44</f>
        <v>1250.84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19276.47</v>
      </c>
      <c r="E45" s="24" t="n">
        <v>0</v>
      </c>
      <c r="F45" s="24" t="n">
        <v>12548.91</v>
      </c>
      <c r="G45" s="24" t="n">
        <v>12548.91</v>
      </c>
      <c r="H45" s="24" t="n">
        <v>1139.24</v>
      </c>
      <c r="I45" s="24" t="n">
        <f aca="false">G45+H45</f>
        <v>13688.15</v>
      </c>
      <c r="J45" s="24" t="n">
        <f aca="false">D45-I45</f>
        <v>5588.32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38775.76</v>
      </c>
      <c r="E46" s="24" t="n">
        <v>0</v>
      </c>
      <c r="F46" s="24" t="n">
        <v>38775.76</v>
      </c>
      <c r="G46" s="24" t="n">
        <v>38775.76</v>
      </c>
      <c r="H46" s="24" t="n">
        <v>0</v>
      </c>
      <c r="I46" s="24" t="n">
        <f aca="false">G46+H46</f>
        <v>38775.76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59768.11</v>
      </c>
      <c r="E47" s="24" t="n">
        <v>0</v>
      </c>
      <c r="F47" s="24" t="n">
        <v>59768.11</v>
      </c>
      <c r="G47" s="24" t="n">
        <v>59768.11</v>
      </c>
      <c r="H47" s="24" t="n">
        <v>0</v>
      </c>
      <c r="I47" s="24" t="n">
        <f aca="false">G47+H47</f>
        <v>59768.11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440367.63</v>
      </c>
      <c r="E48" s="28" t="n">
        <f aca="false">SUM(E42:E47)</f>
        <v>0</v>
      </c>
      <c r="F48" s="28" t="n">
        <f aca="false">SUM(F42:F47)</f>
        <v>111092.78</v>
      </c>
      <c r="G48" s="28" t="n">
        <f aca="false">SUM(G42:G47)</f>
        <v>152351.66</v>
      </c>
      <c r="H48" s="28" t="n">
        <f aca="false">SUM(H42:H47)</f>
        <v>12867.12</v>
      </c>
      <c r="I48" s="28" t="n">
        <f aca="false">SUM(I42:I47)</f>
        <v>165218.78</v>
      </c>
      <c r="J48" s="28" t="n">
        <f aca="false">SUM(J42:J47)</f>
        <v>275148.85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16357.03</v>
      </c>
      <c r="E52" s="24" t="n">
        <v>0</v>
      </c>
      <c r="F52" s="24" t="n">
        <v>0</v>
      </c>
      <c r="G52" s="24" t="n">
        <v>16357.03</v>
      </c>
      <c r="H52" s="24" t="n">
        <v>0</v>
      </c>
      <c r="I52" s="24" t="n">
        <f aca="false">G52+H52</f>
        <v>16357.03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62345.08</v>
      </c>
      <c r="E53" s="24" t="n">
        <v>0</v>
      </c>
      <c r="F53" s="24" t="n">
        <v>0</v>
      </c>
      <c r="G53" s="24" t="n">
        <v>28622.01</v>
      </c>
      <c r="H53" s="24" t="n">
        <v>2267.09</v>
      </c>
      <c r="I53" s="24" t="n">
        <f aca="false">G53+H53</f>
        <v>30889.1</v>
      </c>
      <c r="J53" s="24" t="n">
        <f aca="false">D53-I53</f>
        <v>31455.98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50404.95</v>
      </c>
      <c r="E54" s="24" t="n">
        <v>0</v>
      </c>
      <c r="F54" s="24" t="n">
        <v>50404.95</v>
      </c>
      <c r="G54" s="24" t="n">
        <v>50404.95</v>
      </c>
      <c r="H54" s="24" t="n">
        <v>0</v>
      </c>
      <c r="I54" s="24" t="n">
        <f aca="false">G54+H54</f>
        <v>50404.95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192119.35</v>
      </c>
      <c r="E55" s="24" t="n">
        <v>0</v>
      </c>
      <c r="F55" s="24" t="n">
        <v>0</v>
      </c>
      <c r="G55" s="24" t="n">
        <v>11352.51</v>
      </c>
      <c r="H55" s="24" t="n">
        <v>6986.16</v>
      </c>
      <c r="I55" s="24" t="n">
        <f aca="false">G55+H55</f>
        <v>18338.67</v>
      </c>
      <c r="J55" s="24" t="n">
        <f aca="false">D55-I55</f>
        <v>173780.68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274.52</v>
      </c>
      <c r="E56" s="24" t="n">
        <v>0</v>
      </c>
      <c r="F56" s="24" t="n">
        <v>219.62</v>
      </c>
      <c r="G56" s="24" t="n">
        <v>230.6</v>
      </c>
      <c r="H56" s="24" t="n">
        <v>17.57</v>
      </c>
      <c r="I56" s="24" t="n">
        <f aca="false">G56+H56</f>
        <v>248.17</v>
      </c>
      <c r="J56" s="24" t="n">
        <f aca="false">D56-I56</f>
        <v>26.35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1046.36</v>
      </c>
      <c r="E57" s="24" t="n">
        <v>0</v>
      </c>
      <c r="F57" s="24" t="n">
        <v>0</v>
      </c>
      <c r="G57" s="24" t="n">
        <v>17.44</v>
      </c>
      <c r="H57" s="24" t="n">
        <v>38.05</v>
      </c>
      <c r="I57" s="24" t="n">
        <f aca="false">G57+H57</f>
        <v>55.49</v>
      </c>
      <c r="J57" s="24" t="n">
        <f aca="false">D57-I57</f>
        <v>990.87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4006.32</v>
      </c>
      <c r="E58" s="24" t="n">
        <v>0</v>
      </c>
      <c r="F58" s="24" t="n">
        <v>4006.32</v>
      </c>
      <c r="G58" s="24" t="n">
        <v>4006.32</v>
      </c>
      <c r="H58" s="24" t="n">
        <v>0</v>
      </c>
      <c r="I58" s="24" t="n">
        <f aca="false">G58+H58</f>
        <v>4006.32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15270.15</v>
      </c>
      <c r="E59" s="24" t="n">
        <v>0</v>
      </c>
      <c r="F59" s="24" t="n">
        <v>0</v>
      </c>
      <c r="G59" s="24" t="n">
        <v>7010.41</v>
      </c>
      <c r="H59" s="24" t="n">
        <v>555.28</v>
      </c>
      <c r="I59" s="24" t="n">
        <f aca="false">G59+H59</f>
        <v>7565.69</v>
      </c>
      <c r="J59" s="24" t="n">
        <f aca="false">D59-I59</f>
        <v>7704.46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8058.95</v>
      </c>
      <c r="E60" s="24" t="n">
        <v>0</v>
      </c>
      <c r="F60" s="24" t="n">
        <v>8058.95</v>
      </c>
      <c r="G60" s="24" t="n">
        <v>8058.95</v>
      </c>
      <c r="H60" s="24" t="n">
        <v>0</v>
      </c>
      <c r="I60" s="24" t="n">
        <f aca="false">G60+H60</f>
        <v>8058.95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30716.81</v>
      </c>
      <c r="E61" s="24" t="n">
        <v>0</v>
      </c>
      <c r="F61" s="24" t="n">
        <v>0</v>
      </c>
      <c r="G61" s="24" t="n">
        <v>1815.08</v>
      </c>
      <c r="H61" s="24" t="n">
        <v>1116.97</v>
      </c>
      <c r="I61" s="24" t="n">
        <f aca="false">G61+H61</f>
        <v>2932.05</v>
      </c>
      <c r="J61" s="24" t="n">
        <f aca="false">D61-I61</f>
        <v>27784.76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12421.88</v>
      </c>
      <c r="E62" s="24" t="n">
        <v>0</v>
      </c>
      <c r="F62" s="24" t="n">
        <v>12421.88</v>
      </c>
      <c r="G62" s="24" t="n">
        <v>12421.88</v>
      </c>
      <c r="H62" s="24" t="n">
        <v>0</v>
      </c>
      <c r="I62" s="24" t="n">
        <f aca="false">G62+H62</f>
        <v>12421.88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47346.23</v>
      </c>
      <c r="E63" s="24" t="n">
        <v>0</v>
      </c>
      <c r="F63" s="24" t="n">
        <v>0</v>
      </c>
      <c r="G63" s="24" t="n">
        <v>2797.73</v>
      </c>
      <c r="H63" s="24" t="n">
        <v>1721.68</v>
      </c>
      <c r="I63" s="24" t="n">
        <f aca="false">G63+H63</f>
        <v>4519.41</v>
      </c>
      <c r="J63" s="24" t="n">
        <f aca="false">D63-I63</f>
        <v>42826.82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440367.63</v>
      </c>
      <c r="E64" s="28" t="n">
        <f aca="false">SUM(E52:E63)</f>
        <v>0</v>
      </c>
      <c r="F64" s="28" t="n">
        <f aca="false">SUM(F52:F63)</f>
        <v>75111.72</v>
      </c>
      <c r="G64" s="28" t="n">
        <f aca="false">SUM(G52:G63)</f>
        <v>143094.91</v>
      </c>
      <c r="H64" s="28" t="n">
        <f aca="false">SUM(H52:H63)</f>
        <v>12702.8</v>
      </c>
      <c r="I64" s="28" t="n">
        <f aca="false">SUM(I52:I63)</f>
        <v>155797.71</v>
      </c>
      <c r="J64" s="28" t="n">
        <f aca="false">SUM(J52:J63)</f>
        <v>284569.92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165218.78</v>
      </c>
    </row>
    <row r="68" customFormat="false" ht="15" hidden="false" customHeight="false" outlineLevel="0" collapsed="false">
      <c r="B68" s="5" t="s">
        <v>109</v>
      </c>
      <c r="D68" s="6" t="n">
        <f aca="false">I64</f>
        <v>155797.71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9421.07000000001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440367.63</v>
      </c>
    </row>
    <row r="73" customFormat="false" ht="15" hidden="false" customHeight="false" outlineLevel="0" collapsed="false">
      <c r="B73" s="5" t="s">
        <v>144</v>
      </c>
      <c r="D73" s="6" t="n">
        <f aca="false">F109</f>
        <v>91523.65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0.207834644885229</v>
      </c>
    </row>
    <row r="75" customFormat="false" ht="15" hidden="false" customHeight="false" outlineLevel="0" collapsed="false">
      <c r="B75" s="5" t="s">
        <v>145</v>
      </c>
      <c r="D75" s="6" t="n">
        <f aca="false">H109</f>
        <v>348843.98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0.792165355114771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14219.24</v>
      </c>
      <c r="F81" s="33" t="n">
        <v>14219.24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9652.73</v>
      </c>
      <c r="F82" s="33" t="n">
        <v>9652.73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33731.06</v>
      </c>
      <c r="F83" s="33" t="n">
        <v>33731.06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3552.78</v>
      </c>
      <c r="F84" s="33" t="n">
        <v>3552.78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2668.77</v>
      </c>
      <c r="F87" s="33" t="n">
        <v>2668.77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886.65</v>
      </c>
      <c r="F89" s="33" t="n">
        <v>886.65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19629.66</v>
      </c>
      <c r="H92" s="33" t="n">
        <v>19629.66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23418.11</v>
      </c>
      <c r="H93" s="33" t="n">
        <v>23418.11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33997.34</v>
      </c>
      <c r="H94" s="33" t="n">
        <v>33997.34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26926.59</v>
      </c>
      <c r="H95" s="33" t="n">
        <v>26926.59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29553.7</v>
      </c>
      <c r="H96" s="33" t="n">
        <v>29553.7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1932.7</v>
      </c>
      <c r="H97" s="33" t="n">
        <v>1932.7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21649.45</v>
      </c>
      <c r="H98" s="33" t="n">
        <v>21649.45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18392.87</v>
      </c>
      <c r="H99" s="33" t="n">
        <v>18392.87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15659.18</v>
      </c>
      <c r="H100" s="33" t="n">
        <v>15659.18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15022.49</v>
      </c>
      <c r="H101" s="33" t="n">
        <v>15022.49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42580.32</v>
      </c>
      <c r="H102" s="33" t="n">
        <v>42580.32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17847.95</v>
      </c>
      <c r="H103" s="33" t="n">
        <v>17847.95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61316.75</v>
      </c>
      <c r="H105" s="33" t="n">
        <v>61316.75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4062.57</v>
      </c>
      <c r="H108" s="33" t="n">
        <v>4062.57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440367.63</v>
      </c>
      <c r="F109" s="34" t="n">
        <f aca="false">SUM(F80:F108)</f>
        <v>91523.65</v>
      </c>
      <c r="H109" s="34" t="n">
        <f aca="false">SUM(H80:H108)</f>
        <v>348843.98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0.207834644885229</v>
      </c>
      <c r="H110" s="31" t="n">
        <f aca="false">H109/D109</f>
        <v>0.792165355114771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K!B20</f>
        <v>Building - Apt - 5yr</v>
      </c>
      <c r="D114" s="33" t="n">
        <f aca="false">SUM(F114:H114)</f>
        <v>16357.03</v>
      </c>
      <c r="F114" s="33" t="n">
        <f aca="false">K!D20</f>
        <v>16357.03</v>
      </c>
    </row>
    <row r="115" customFormat="false" ht="15" hidden="false" customHeight="false" outlineLevel="0" collapsed="false">
      <c r="B115" s="5" t="str">
        <f aca="false">K!B21</f>
        <v>Building - Apt - 27.5yr</v>
      </c>
      <c r="D115" s="33" t="n">
        <f aca="false">SUM(F115:H115)</f>
        <v>62345.08</v>
      </c>
      <c r="H115" s="33" t="n">
        <f aca="false">K!D21</f>
        <v>62345.08</v>
      </c>
    </row>
    <row r="116" customFormat="false" ht="15" hidden="false" customHeight="false" outlineLevel="0" collapsed="false">
      <c r="B116" s="5" t="str">
        <f aca="false">K!B22</f>
        <v>Building Improvements - Apt - 5yr</v>
      </c>
      <c r="D116" s="33" t="n">
        <f aca="false">SUM(F116:H116)</f>
        <v>50404.95</v>
      </c>
      <c r="F116" s="33" t="n">
        <f aca="false">K!D22</f>
        <v>50404.95</v>
      </c>
    </row>
    <row r="117" customFormat="false" ht="15" hidden="false" customHeight="false" outlineLevel="0" collapsed="false">
      <c r="B117" s="5" t="str">
        <f aca="false">K!B23</f>
        <v>Building Improvements - Apt - 27.5yr</v>
      </c>
      <c r="D117" s="33" t="n">
        <f aca="false">SUM(F117:H117)</f>
        <v>192119.35</v>
      </c>
      <c r="H117" s="33" t="n">
        <f aca="false">K!D23</f>
        <v>192119.35</v>
      </c>
    </row>
    <row r="118" customFormat="false" ht="15" hidden="false" customHeight="false" outlineLevel="0" collapsed="false">
      <c r="B118" s="5" t="str">
        <f aca="false">K!B24</f>
        <v>Building Improvements - Apt - 5yr</v>
      </c>
      <c r="D118" s="33" t="n">
        <f aca="false">SUM(F118:H118)</f>
        <v>274.52</v>
      </c>
      <c r="F118" s="33" t="n">
        <f aca="false">K!D24</f>
        <v>274.52</v>
      </c>
    </row>
    <row r="119" customFormat="false" ht="15" hidden="false" customHeight="false" outlineLevel="0" collapsed="false">
      <c r="B119" s="5" t="str">
        <f aca="false">K!B25</f>
        <v>Building Improvements - Apt - 27.5yr</v>
      </c>
      <c r="D119" s="33" t="n">
        <f aca="false">SUM(F119:H119)</f>
        <v>1046.36</v>
      </c>
      <c r="H119" s="33" t="n">
        <f aca="false">K!D25</f>
        <v>1046.36</v>
      </c>
    </row>
    <row r="120" customFormat="false" ht="15" hidden="false" customHeight="false" outlineLevel="0" collapsed="false">
      <c r="B120" s="5" t="str">
        <f aca="false">K!B26</f>
        <v>Land Improvements - Apt - 5yr</v>
      </c>
      <c r="D120" s="33" t="n">
        <f aca="false">SUM(F120:H120)</f>
        <v>4006.32</v>
      </c>
      <c r="F120" s="33" t="n">
        <f aca="false">K!D26</f>
        <v>4006.32</v>
      </c>
    </row>
    <row r="121" customFormat="false" ht="15" hidden="false" customHeight="false" outlineLevel="0" collapsed="false">
      <c r="B121" s="5" t="str">
        <f aca="false">K!B27</f>
        <v>Land Improvements - Apt - 27.5yr</v>
      </c>
      <c r="D121" s="33" t="n">
        <f aca="false">SUM(F121:H121)</f>
        <v>15270.15</v>
      </c>
      <c r="H121" s="33" t="n">
        <f aca="false">K!D27</f>
        <v>15270.15</v>
      </c>
    </row>
    <row r="122" customFormat="false" ht="15" hidden="false" customHeight="false" outlineLevel="0" collapsed="false">
      <c r="B122" s="5" t="str">
        <f aca="false">K!B28</f>
        <v>Land Improvements - Apt - 5yr</v>
      </c>
      <c r="D122" s="33" t="n">
        <f aca="false">SUM(F122:H122)</f>
        <v>8058.95</v>
      </c>
      <c r="F122" s="33" t="n">
        <f aca="false">K!D28</f>
        <v>8058.95</v>
      </c>
    </row>
    <row r="123" customFormat="false" ht="15" hidden="false" customHeight="false" outlineLevel="0" collapsed="false">
      <c r="B123" s="5" t="str">
        <f aca="false">K!B29</f>
        <v>Land Improvements - Apt - 27.5yr</v>
      </c>
      <c r="D123" s="33" t="n">
        <f aca="false">SUM(F123:H123)</f>
        <v>30716.81</v>
      </c>
      <c r="H123" s="33" t="n">
        <f aca="false">K!D29</f>
        <v>30716.81</v>
      </c>
    </row>
    <row r="124" customFormat="false" ht="15" hidden="false" customHeight="false" outlineLevel="0" collapsed="false">
      <c r="B124" s="5" t="str">
        <f aca="false">K!B30</f>
        <v>Equipment - Apt - 5yr</v>
      </c>
      <c r="D124" s="33" t="n">
        <f aca="false">SUM(F124:H124)</f>
        <v>12421.88</v>
      </c>
      <c r="F124" s="33" t="n">
        <f aca="false">K!D30</f>
        <v>12421.88</v>
      </c>
    </row>
    <row r="125" customFormat="false" ht="15" hidden="false" customHeight="false" outlineLevel="0" collapsed="false">
      <c r="B125" s="5" t="str">
        <f aca="false">K!B31</f>
        <v>Equipment - Apt - 27.5yr</v>
      </c>
      <c r="D125" s="33" t="n">
        <f aca="false">SUM(F125:H125)</f>
        <v>47346.23</v>
      </c>
      <c r="H125" s="33" t="n">
        <f aca="false">K!D31</f>
        <v>47346.23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440367.63</v>
      </c>
      <c r="F126" s="34" t="n">
        <f aca="false">SUM(F114:F125)</f>
        <v>91523.65</v>
      </c>
      <c r="H126" s="34" t="n">
        <f aca="false">SUM(H114:H125)</f>
        <v>348843.98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193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78702.11</v>
      </c>
      <c r="E10" s="24" t="n">
        <v>0</v>
      </c>
      <c r="F10" s="24" t="n">
        <v>0</v>
      </c>
      <c r="G10" s="24" t="n">
        <v>26906.11</v>
      </c>
      <c r="H10" s="24" t="n">
        <v>2861.64</v>
      </c>
      <c r="I10" s="24" t="n">
        <f aca="false">G10+H10</f>
        <v>29767.75</v>
      </c>
      <c r="J10" s="24" t="n">
        <f aca="false">D10-I10</f>
        <v>48934.36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242524.3</v>
      </c>
      <c r="E11" s="24" t="n">
        <v>0</v>
      </c>
      <c r="F11" s="24" t="n">
        <v>0</v>
      </c>
      <c r="G11" s="24" t="n">
        <v>14330.78</v>
      </c>
      <c r="H11" s="24" t="n">
        <v>8818.19</v>
      </c>
      <c r="I11" s="24" t="n">
        <f aca="false">G11+H11</f>
        <v>23148.97</v>
      </c>
      <c r="J11" s="24" t="n">
        <f aca="false">D11-I11</f>
        <v>219375.33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1320.88</v>
      </c>
      <c r="E12" s="24" t="n">
        <v>0</v>
      </c>
      <c r="F12" s="24" t="n">
        <v>0</v>
      </c>
      <c r="G12" s="24" t="n">
        <v>21.99</v>
      </c>
      <c r="H12" s="24" t="n">
        <v>48.05</v>
      </c>
      <c r="I12" s="24" t="n">
        <f aca="false">G12+H12</f>
        <v>70.04</v>
      </c>
      <c r="J12" s="24" t="n">
        <f aca="false">D12-I12</f>
        <v>1250.84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19276.47</v>
      </c>
      <c r="E13" s="24" t="n">
        <v>0</v>
      </c>
      <c r="F13" s="24" t="n">
        <v>12548.91</v>
      </c>
      <c r="G13" s="24" t="n">
        <v>12548.91</v>
      </c>
      <c r="H13" s="24" t="n">
        <v>1139.24</v>
      </c>
      <c r="I13" s="24" t="n">
        <f aca="false">G13+H13</f>
        <v>13688.15</v>
      </c>
      <c r="J13" s="24" t="n">
        <f aca="false">D13-I13</f>
        <v>5588.32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38775.76</v>
      </c>
      <c r="E14" s="24" t="n">
        <v>0</v>
      </c>
      <c r="F14" s="24" t="n">
        <v>38775.76</v>
      </c>
      <c r="G14" s="24" t="n">
        <v>38775.76</v>
      </c>
      <c r="H14" s="24" t="n">
        <v>0</v>
      </c>
      <c r="I14" s="24" t="n">
        <f aca="false">G14+H14</f>
        <v>38775.76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59768.11</v>
      </c>
      <c r="E15" s="24" t="n">
        <v>0</v>
      </c>
      <c r="F15" s="24" t="n">
        <v>59768.11</v>
      </c>
      <c r="G15" s="24" t="n">
        <v>59768.11</v>
      </c>
      <c r="H15" s="24" t="n">
        <v>0</v>
      </c>
      <c r="I15" s="24" t="n">
        <f aca="false">G15+H15</f>
        <v>59768.11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440367.63</v>
      </c>
      <c r="E16" s="28" t="n">
        <f aca="false">SUM(E10:E15)</f>
        <v>0</v>
      </c>
      <c r="F16" s="28" t="n">
        <f aca="false">SUM(F10:F15)</f>
        <v>111092.78</v>
      </c>
      <c r="G16" s="28" t="n">
        <f aca="false">SUM(G10:G15)</f>
        <v>152351.66</v>
      </c>
      <c r="H16" s="28" t="n">
        <f aca="false">SUM(H10:H15)</f>
        <v>12867.12</v>
      </c>
      <c r="I16" s="28" t="n">
        <f aca="false">SUM(I10:I15)</f>
        <v>165218.78</v>
      </c>
      <c r="J16" s="28" t="n">
        <f aca="false">SUM(J10:J15)</f>
        <v>275148.85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16357.03</v>
      </c>
      <c r="E20" s="24" t="n">
        <v>0</v>
      </c>
      <c r="F20" s="24" t="n">
        <v>0</v>
      </c>
      <c r="G20" s="24" t="n">
        <v>16357.03</v>
      </c>
      <c r="H20" s="24" t="n">
        <v>0</v>
      </c>
      <c r="I20" s="24" t="n">
        <f aca="false">G20+H20</f>
        <v>16357.03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62345.08</v>
      </c>
      <c r="E21" s="24" t="n">
        <v>0</v>
      </c>
      <c r="F21" s="24" t="n">
        <v>0</v>
      </c>
      <c r="G21" s="24" t="n">
        <v>28622.01</v>
      </c>
      <c r="H21" s="24" t="n">
        <v>2267.09</v>
      </c>
      <c r="I21" s="24" t="n">
        <f aca="false">G21+H21</f>
        <v>30889.1</v>
      </c>
      <c r="J21" s="24" t="n">
        <f aca="false">D21-I21</f>
        <v>31455.98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50404.95</v>
      </c>
      <c r="E22" s="24" t="n">
        <v>0</v>
      </c>
      <c r="F22" s="24" t="n">
        <v>50404.95</v>
      </c>
      <c r="G22" s="24" t="n">
        <v>50404.95</v>
      </c>
      <c r="H22" s="24" t="n">
        <v>0</v>
      </c>
      <c r="I22" s="24" t="n">
        <f aca="false">G22+H22</f>
        <v>50404.95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192119.35</v>
      </c>
      <c r="E23" s="24" t="n">
        <v>0</v>
      </c>
      <c r="F23" s="24" t="n">
        <v>0</v>
      </c>
      <c r="G23" s="24" t="n">
        <v>11352.51</v>
      </c>
      <c r="H23" s="24" t="n">
        <v>6986.16</v>
      </c>
      <c r="I23" s="24" t="n">
        <f aca="false">G23+H23</f>
        <v>18338.67</v>
      </c>
      <c r="J23" s="24" t="n">
        <f aca="false">D23-I23</f>
        <v>173780.68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274.52</v>
      </c>
      <c r="E24" s="24" t="n">
        <v>0</v>
      </c>
      <c r="F24" s="24" t="n">
        <v>219.62</v>
      </c>
      <c r="G24" s="24" t="n">
        <v>230.6</v>
      </c>
      <c r="H24" s="24" t="n">
        <v>17.57</v>
      </c>
      <c r="I24" s="24" t="n">
        <f aca="false">G24+H24</f>
        <v>248.17</v>
      </c>
      <c r="J24" s="24" t="n">
        <f aca="false">D24-I24</f>
        <v>26.35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1046.36</v>
      </c>
      <c r="E25" s="24" t="n">
        <v>0</v>
      </c>
      <c r="F25" s="24" t="n">
        <v>0</v>
      </c>
      <c r="G25" s="24" t="n">
        <v>17.44</v>
      </c>
      <c r="H25" s="24" t="n">
        <v>38.05</v>
      </c>
      <c r="I25" s="24" t="n">
        <f aca="false">G25+H25</f>
        <v>55.49</v>
      </c>
      <c r="J25" s="24" t="n">
        <f aca="false">D25-I25</f>
        <v>990.87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4006.32</v>
      </c>
      <c r="E26" s="24" t="n">
        <v>0</v>
      </c>
      <c r="F26" s="24" t="n">
        <v>4006.32</v>
      </c>
      <c r="G26" s="24" t="n">
        <v>4006.32</v>
      </c>
      <c r="H26" s="24" t="n">
        <v>0</v>
      </c>
      <c r="I26" s="24" t="n">
        <f aca="false">G26+H26</f>
        <v>4006.32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15270.15</v>
      </c>
      <c r="E27" s="24" t="n">
        <v>0</v>
      </c>
      <c r="F27" s="24" t="n">
        <v>0</v>
      </c>
      <c r="G27" s="24" t="n">
        <v>7010.41</v>
      </c>
      <c r="H27" s="24" t="n">
        <v>555.28</v>
      </c>
      <c r="I27" s="24" t="n">
        <f aca="false">G27+H27</f>
        <v>7565.69</v>
      </c>
      <c r="J27" s="24" t="n">
        <f aca="false">D27-I27</f>
        <v>7704.46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8058.95</v>
      </c>
      <c r="E28" s="24" t="n">
        <v>0</v>
      </c>
      <c r="F28" s="24" t="n">
        <v>8058.95</v>
      </c>
      <c r="G28" s="24" t="n">
        <v>8058.95</v>
      </c>
      <c r="H28" s="24" t="n">
        <v>0</v>
      </c>
      <c r="I28" s="24" t="n">
        <f aca="false">G28+H28</f>
        <v>8058.95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30716.81</v>
      </c>
      <c r="E29" s="24" t="n">
        <v>0</v>
      </c>
      <c r="F29" s="24" t="n">
        <v>0</v>
      </c>
      <c r="G29" s="24" t="n">
        <v>1815.08</v>
      </c>
      <c r="H29" s="24" t="n">
        <v>1116.97</v>
      </c>
      <c r="I29" s="24" t="n">
        <f aca="false">G29+H29</f>
        <v>2932.05</v>
      </c>
      <c r="J29" s="24" t="n">
        <f aca="false">D29-I29</f>
        <v>27784.76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12421.88</v>
      </c>
      <c r="E30" s="24" t="n">
        <v>0</v>
      </c>
      <c r="F30" s="24" t="n">
        <v>12421.88</v>
      </c>
      <c r="G30" s="24" t="n">
        <v>12421.88</v>
      </c>
      <c r="H30" s="24" t="n">
        <v>0</v>
      </c>
      <c r="I30" s="24" t="n">
        <f aca="false">G30+H30</f>
        <v>12421.88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47346.23</v>
      </c>
      <c r="E31" s="24" t="n">
        <v>0</v>
      </c>
      <c r="F31" s="24" t="n">
        <v>0</v>
      </c>
      <c r="G31" s="24" t="n">
        <v>2797.73</v>
      </c>
      <c r="H31" s="24" t="n">
        <v>1721.68</v>
      </c>
      <c r="I31" s="24" t="n">
        <f aca="false">G31+H31</f>
        <v>4519.41</v>
      </c>
      <c r="J31" s="24" t="n">
        <f aca="false">D31-I31</f>
        <v>42826.82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440367.63</v>
      </c>
      <c r="E32" s="28" t="n">
        <f aca="false">SUM(E20:E31)</f>
        <v>0</v>
      </c>
      <c r="F32" s="28" t="n">
        <f aca="false">SUM(F20:F31)</f>
        <v>75111.72</v>
      </c>
      <c r="G32" s="28" t="n">
        <f aca="false">SUM(G20:G31)</f>
        <v>143094.91</v>
      </c>
      <c r="H32" s="28" t="n">
        <f aca="false">SUM(H20:H31)</f>
        <v>12702.8</v>
      </c>
      <c r="I32" s="28" t="n">
        <f aca="false">SUM(I20:I31)</f>
        <v>155797.71</v>
      </c>
      <c r="J32" s="28" t="n">
        <f aca="false">SUM(J20:J31)</f>
        <v>284569.92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165218.78</v>
      </c>
    </row>
    <row r="36" customFormat="false" ht="15" hidden="false" customHeight="false" outlineLevel="0" collapsed="false">
      <c r="B36" s="5" t="s">
        <v>109</v>
      </c>
      <c r="D36" s="6" t="n">
        <f aca="false">I32</f>
        <v>155797.71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9421.07000000001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78702.11</v>
      </c>
      <c r="E42" s="24" t="n">
        <v>0</v>
      </c>
      <c r="F42" s="24" t="n">
        <v>0</v>
      </c>
      <c r="G42" s="24" t="n">
        <v>26906.11</v>
      </c>
      <c r="H42" s="24" t="n">
        <v>2861.64</v>
      </c>
      <c r="I42" s="24" t="n">
        <f aca="false">G42+H42</f>
        <v>29767.75</v>
      </c>
      <c r="J42" s="24" t="n">
        <f aca="false">D42-I42</f>
        <v>48934.36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242524.3</v>
      </c>
      <c r="E43" s="24" t="n">
        <v>0</v>
      </c>
      <c r="F43" s="24" t="n">
        <v>0</v>
      </c>
      <c r="G43" s="24" t="n">
        <v>14330.78</v>
      </c>
      <c r="H43" s="24" t="n">
        <v>8818.19</v>
      </c>
      <c r="I43" s="24" t="n">
        <f aca="false">G43+H43</f>
        <v>23148.97</v>
      </c>
      <c r="J43" s="24" t="n">
        <f aca="false">D43-I43</f>
        <v>219375.33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1320.88</v>
      </c>
      <c r="E44" s="24" t="n">
        <v>0</v>
      </c>
      <c r="F44" s="24" t="n">
        <v>0</v>
      </c>
      <c r="G44" s="24" t="n">
        <v>21.99</v>
      </c>
      <c r="H44" s="24" t="n">
        <v>48.05</v>
      </c>
      <c r="I44" s="24" t="n">
        <f aca="false">G44+H44</f>
        <v>70.04</v>
      </c>
      <c r="J44" s="24" t="n">
        <f aca="false">D44-I44</f>
        <v>1250.84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19276.47</v>
      </c>
      <c r="E45" s="24" t="n">
        <v>0</v>
      </c>
      <c r="F45" s="24" t="n">
        <v>12548.91</v>
      </c>
      <c r="G45" s="24" t="n">
        <v>12548.91</v>
      </c>
      <c r="H45" s="24" t="n">
        <v>1139.24</v>
      </c>
      <c r="I45" s="24" t="n">
        <f aca="false">G45+H45</f>
        <v>13688.15</v>
      </c>
      <c r="J45" s="24" t="n">
        <f aca="false">D45-I45</f>
        <v>5588.32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38775.76</v>
      </c>
      <c r="E46" s="24" t="n">
        <v>0</v>
      </c>
      <c r="F46" s="24" t="n">
        <v>38775.76</v>
      </c>
      <c r="G46" s="24" t="n">
        <v>38775.76</v>
      </c>
      <c r="H46" s="24" t="n">
        <v>0</v>
      </c>
      <c r="I46" s="24" t="n">
        <f aca="false">G46+H46</f>
        <v>38775.76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59768.11</v>
      </c>
      <c r="E47" s="24" t="n">
        <v>0</v>
      </c>
      <c r="F47" s="24" t="n">
        <v>59768.11</v>
      </c>
      <c r="G47" s="24" t="n">
        <v>59768.11</v>
      </c>
      <c r="H47" s="24" t="n">
        <v>0</v>
      </c>
      <c r="I47" s="24" t="n">
        <f aca="false">G47+H47</f>
        <v>59768.11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440367.63</v>
      </c>
      <c r="E48" s="28" t="n">
        <f aca="false">SUM(E42:E47)</f>
        <v>0</v>
      </c>
      <c r="F48" s="28" t="n">
        <f aca="false">SUM(F42:F47)</f>
        <v>111092.78</v>
      </c>
      <c r="G48" s="28" t="n">
        <f aca="false">SUM(G42:G47)</f>
        <v>152351.66</v>
      </c>
      <c r="H48" s="28" t="n">
        <f aca="false">SUM(H42:H47)</f>
        <v>12867.12</v>
      </c>
      <c r="I48" s="28" t="n">
        <f aca="false">SUM(I42:I47)</f>
        <v>165218.78</v>
      </c>
      <c r="J48" s="28" t="n">
        <f aca="false">SUM(J42:J47)</f>
        <v>275148.85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16357.03</v>
      </c>
      <c r="E52" s="24" t="n">
        <v>0</v>
      </c>
      <c r="F52" s="24" t="n">
        <v>0</v>
      </c>
      <c r="G52" s="24" t="n">
        <v>16357.03</v>
      </c>
      <c r="H52" s="24" t="n">
        <v>0</v>
      </c>
      <c r="I52" s="24" t="n">
        <f aca="false">G52+H52</f>
        <v>16357.03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62345.08</v>
      </c>
      <c r="E53" s="24" t="n">
        <v>0</v>
      </c>
      <c r="F53" s="24" t="n">
        <v>0</v>
      </c>
      <c r="G53" s="24" t="n">
        <v>28622.01</v>
      </c>
      <c r="H53" s="24" t="n">
        <v>2267.09</v>
      </c>
      <c r="I53" s="24" t="n">
        <f aca="false">G53+H53</f>
        <v>30889.1</v>
      </c>
      <c r="J53" s="24" t="n">
        <f aca="false">D53-I53</f>
        <v>31455.98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50404.95</v>
      </c>
      <c r="E54" s="24" t="n">
        <v>0</v>
      </c>
      <c r="F54" s="24" t="n">
        <v>50404.95</v>
      </c>
      <c r="G54" s="24" t="n">
        <v>50404.95</v>
      </c>
      <c r="H54" s="24" t="n">
        <v>0</v>
      </c>
      <c r="I54" s="24" t="n">
        <f aca="false">G54+H54</f>
        <v>50404.95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192119.35</v>
      </c>
      <c r="E55" s="24" t="n">
        <v>0</v>
      </c>
      <c r="F55" s="24" t="n">
        <v>0</v>
      </c>
      <c r="G55" s="24" t="n">
        <v>11352.51</v>
      </c>
      <c r="H55" s="24" t="n">
        <v>6986.16</v>
      </c>
      <c r="I55" s="24" t="n">
        <f aca="false">G55+H55</f>
        <v>18338.67</v>
      </c>
      <c r="J55" s="24" t="n">
        <f aca="false">D55-I55</f>
        <v>173780.68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274.52</v>
      </c>
      <c r="E56" s="24" t="n">
        <v>0</v>
      </c>
      <c r="F56" s="24" t="n">
        <v>219.62</v>
      </c>
      <c r="G56" s="24" t="n">
        <v>230.6</v>
      </c>
      <c r="H56" s="24" t="n">
        <v>17.57</v>
      </c>
      <c r="I56" s="24" t="n">
        <f aca="false">G56+H56</f>
        <v>248.17</v>
      </c>
      <c r="J56" s="24" t="n">
        <f aca="false">D56-I56</f>
        <v>26.35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1046.36</v>
      </c>
      <c r="E57" s="24" t="n">
        <v>0</v>
      </c>
      <c r="F57" s="24" t="n">
        <v>0</v>
      </c>
      <c r="G57" s="24" t="n">
        <v>17.44</v>
      </c>
      <c r="H57" s="24" t="n">
        <v>38.05</v>
      </c>
      <c r="I57" s="24" t="n">
        <f aca="false">G57+H57</f>
        <v>55.49</v>
      </c>
      <c r="J57" s="24" t="n">
        <f aca="false">D57-I57</f>
        <v>990.87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4006.32</v>
      </c>
      <c r="E58" s="24" t="n">
        <v>0</v>
      </c>
      <c r="F58" s="24" t="n">
        <v>4006.32</v>
      </c>
      <c r="G58" s="24" t="n">
        <v>4006.32</v>
      </c>
      <c r="H58" s="24" t="n">
        <v>0</v>
      </c>
      <c r="I58" s="24" t="n">
        <f aca="false">G58+H58</f>
        <v>4006.32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15270.15</v>
      </c>
      <c r="E59" s="24" t="n">
        <v>0</v>
      </c>
      <c r="F59" s="24" t="n">
        <v>0</v>
      </c>
      <c r="G59" s="24" t="n">
        <v>7010.41</v>
      </c>
      <c r="H59" s="24" t="n">
        <v>555.28</v>
      </c>
      <c r="I59" s="24" t="n">
        <f aca="false">G59+H59</f>
        <v>7565.69</v>
      </c>
      <c r="J59" s="24" t="n">
        <f aca="false">D59-I59</f>
        <v>7704.46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8058.95</v>
      </c>
      <c r="E60" s="24" t="n">
        <v>0</v>
      </c>
      <c r="F60" s="24" t="n">
        <v>8058.95</v>
      </c>
      <c r="G60" s="24" t="n">
        <v>8058.95</v>
      </c>
      <c r="H60" s="24" t="n">
        <v>0</v>
      </c>
      <c r="I60" s="24" t="n">
        <f aca="false">G60+H60</f>
        <v>8058.95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30716.81</v>
      </c>
      <c r="E61" s="24" t="n">
        <v>0</v>
      </c>
      <c r="F61" s="24" t="n">
        <v>0</v>
      </c>
      <c r="G61" s="24" t="n">
        <v>1815.08</v>
      </c>
      <c r="H61" s="24" t="n">
        <v>1116.97</v>
      </c>
      <c r="I61" s="24" t="n">
        <f aca="false">G61+H61</f>
        <v>2932.05</v>
      </c>
      <c r="J61" s="24" t="n">
        <f aca="false">D61-I61</f>
        <v>27784.76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12421.88</v>
      </c>
      <c r="E62" s="24" t="n">
        <v>0</v>
      </c>
      <c r="F62" s="24" t="n">
        <v>12421.88</v>
      </c>
      <c r="G62" s="24" t="n">
        <v>12421.88</v>
      </c>
      <c r="H62" s="24" t="n">
        <v>0</v>
      </c>
      <c r="I62" s="24" t="n">
        <f aca="false">G62+H62</f>
        <v>12421.88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47346.23</v>
      </c>
      <c r="E63" s="24" t="n">
        <v>0</v>
      </c>
      <c r="F63" s="24" t="n">
        <v>0</v>
      </c>
      <c r="G63" s="24" t="n">
        <v>2797.73</v>
      </c>
      <c r="H63" s="24" t="n">
        <v>1721.68</v>
      </c>
      <c r="I63" s="24" t="n">
        <f aca="false">G63+H63</f>
        <v>4519.41</v>
      </c>
      <c r="J63" s="24" t="n">
        <f aca="false">D63-I63</f>
        <v>42826.82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440367.63</v>
      </c>
      <c r="E64" s="28" t="n">
        <f aca="false">SUM(E52:E63)</f>
        <v>0</v>
      </c>
      <c r="F64" s="28" t="n">
        <f aca="false">SUM(F52:F63)</f>
        <v>75111.72</v>
      </c>
      <c r="G64" s="28" t="n">
        <f aca="false">SUM(G52:G63)</f>
        <v>143094.91</v>
      </c>
      <c r="H64" s="28" t="n">
        <f aca="false">SUM(H52:H63)</f>
        <v>12702.8</v>
      </c>
      <c r="I64" s="28" t="n">
        <f aca="false">SUM(I52:I63)</f>
        <v>155797.71</v>
      </c>
      <c r="J64" s="28" t="n">
        <f aca="false">SUM(J52:J63)</f>
        <v>284569.92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165218.78</v>
      </c>
    </row>
    <row r="68" customFormat="false" ht="15" hidden="false" customHeight="false" outlineLevel="0" collapsed="false">
      <c r="B68" s="5" t="s">
        <v>109</v>
      </c>
      <c r="D68" s="6" t="n">
        <f aca="false">I64</f>
        <v>155797.71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9421.07000000001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440367.63</v>
      </c>
    </row>
    <row r="73" customFormat="false" ht="15" hidden="false" customHeight="false" outlineLevel="0" collapsed="false">
      <c r="B73" s="5" t="s">
        <v>144</v>
      </c>
      <c r="D73" s="6" t="n">
        <f aca="false">F109</f>
        <v>91523.65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0.207834644885229</v>
      </c>
    </row>
    <row r="75" customFormat="false" ht="15" hidden="false" customHeight="false" outlineLevel="0" collapsed="false">
      <c r="B75" s="5" t="s">
        <v>145</v>
      </c>
      <c r="D75" s="6" t="n">
        <f aca="false">H109</f>
        <v>348843.98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0.792165355114771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14219.24</v>
      </c>
      <c r="F81" s="33" t="n">
        <v>14219.24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9652.73</v>
      </c>
      <c r="F82" s="33" t="n">
        <v>9652.73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33731.06</v>
      </c>
      <c r="F83" s="33" t="n">
        <v>33731.06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3552.78</v>
      </c>
      <c r="F84" s="33" t="n">
        <v>3552.78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2668.77</v>
      </c>
      <c r="F87" s="33" t="n">
        <v>2668.77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886.65</v>
      </c>
      <c r="F89" s="33" t="n">
        <v>886.65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19629.66</v>
      </c>
      <c r="H92" s="33" t="n">
        <v>19629.66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23418.11</v>
      </c>
      <c r="H93" s="33" t="n">
        <v>23418.11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33997.34</v>
      </c>
      <c r="H94" s="33" t="n">
        <v>33997.34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26926.59</v>
      </c>
      <c r="H95" s="33" t="n">
        <v>26926.59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29553.7</v>
      </c>
      <c r="H96" s="33" t="n">
        <v>29553.7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1932.7</v>
      </c>
      <c r="H97" s="33" t="n">
        <v>1932.7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21649.45</v>
      </c>
      <c r="H98" s="33" t="n">
        <v>21649.45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18392.87</v>
      </c>
      <c r="H99" s="33" t="n">
        <v>18392.87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15659.18</v>
      </c>
      <c r="H100" s="33" t="n">
        <v>15659.18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15022.49</v>
      </c>
      <c r="H101" s="33" t="n">
        <v>15022.49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42580.32</v>
      </c>
      <c r="H102" s="33" t="n">
        <v>42580.32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17847.95</v>
      </c>
      <c r="H103" s="33" t="n">
        <v>17847.95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61316.75</v>
      </c>
      <c r="H105" s="33" t="n">
        <v>61316.75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4062.57</v>
      </c>
      <c r="H108" s="33" t="n">
        <v>4062.57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440367.63</v>
      </c>
      <c r="F109" s="34" t="n">
        <f aca="false">SUM(F80:F108)</f>
        <v>91523.65</v>
      </c>
      <c r="H109" s="34" t="n">
        <f aca="false">SUM(H80:H108)</f>
        <v>348843.98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0.207834644885229</v>
      </c>
      <c r="H110" s="31" t="n">
        <f aca="false">H109/D109</f>
        <v>0.792165355114771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L!B20</f>
        <v>Building - Apt - 5yr</v>
      </c>
      <c r="D114" s="33" t="n">
        <f aca="false">SUM(F114:H114)</f>
        <v>16357.03</v>
      </c>
      <c r="F114" s="33" t="n">
        <f aca="false">L!D20</f>
        <v>16357.03</v>
      </c>
    </row>
    <row r="115" customFormat="false" ht="15" hidden="false" customHeight="false" outlineLevel="0" collapsed="false">
      <c r="B115" s="5" t="str">
        <f aca="false">L!B21</f>
        <v>Building - Apt - 27.5yr</v>
      </c>
      <c r="D115" s="33" t="n">
        <f aca="false">SUM(F115:H115)</f>
        <v>62345.08</v>
      </c>
      <c r="H115" s="33" t="n">
        <f aca="false">L!D21</f>
        <v>62345.08</v>
      </c>
    </row>
    <row r="116" customFormat="false" ht="15" hidden="false" customHeight="false" outlineLevel="0" collapsed="false">
      <c r="B116" s="5" t="str">
        <f aca="false">L!B22</f>
        <v>Building Improvements - Apt - 5yr</v>
      </c>
      <c r="D116" s="33" t="n">
        <f aca="false">SUM(F116:H116)</f>
        <v>50404.95</v>
      </c>
      <c r="F116" s="33" t="n">
        <f aca="false">L!D22</f>
        <v>50404.95</v>
      </c>
    </row>
    <row r="117" customFormat="false" ht="15" hidden="false" customHeight="false" outlineLevel="0" collapsed="false">
      <c r="B117" s="5" t="str">
        <f aca="false">L!B23</f>
        <v>Building Improvements - Apt - 27.5yr</v>
      </c>
      <c r="D117" s="33" t="n">
        <f aca="false">SUM(F117:H117)</f>
        <v>192119.35</v>
      </c>
      <c r="H117" s="33" t="n">
        <f aca="false">L!D23</f>
        <v>192119.35</v>
      </c>
    </row>
    <row r="118" customFormat="false" ht="15" hidden="false" customHeight="false" outlineLevel="0" collapsed="false">
      <c r="B118" s="5" t="str">
        <f aca="false">L!B24</f>
        <v>Building Improvements - Apt - 5yr</v>
      </c>
      <c r="D118" s="33" t="n">
        <f aca="false">SUM(F118:H118)</f>
        <v>274.52</v>
      </c>
      <c r="F118" s="33" t="n">
        <f aca="false">L!D24</f>
        <v>274.52</v>
      </c>
    </row>
    <row r="119" customFormat="false" ht="15" hidden="false" customHeight="false" outlineLevel="0" collapsed="false">
      <c r="B119" s="5" t="str">
        <f aca="false">L!B25</f>
        <v>Building Improvements - Apt - 27.5yr</v>
      </c>
      <c r="D119" s="33" t="n">
        <f aca="false">SUM(F119:H119)</f>
        <v>1046.36</v>
      </c>
      <c r="H119" s="33" t="n">
        <f aca="false">L!D25</f>
        <v>1046.36</v>
      </c>
    </row>
    <row r="120" customFormat="false" ht="15" hidden="false" customHeight="false" outlineLevel="0" collapsed="false">
      <c r="B120" s="5" t="str">
        <f aca="false">L!B26</f>
        <v>Land Improvements - Apt - 5yr</v>
      </c>
      <c r="D120" s="33" t="n">
        <f aca="false">SUM(F120:H120)</f>
        <v>4006.32</v>
      </c>
      <c r="F120" s="33" t="n">
        <f aca="false">L!D26</f>
        <v>4006.32</v>
      </c>
    </row>
    <row r="121" customFormat="false" ht="15" hidden="false" customHeight="false" outlineLevel="0" collapsed="false">
      <c r="B121" s="5" t="str">
        <f aca="false">L!B27</f>
        <v>Land Improvements - Apt - 27.5yr</v>
      </c>
      <c r="D121" s="33" t="n">
        <f aca="false">SUM(F121:H121)</f>
        <v>15270.15</v>
      </c>
      <c r="H121" s="33" t="n">
        <f aca="false">L!D27</f>
        <v>15270.15</v>
      </c>
    </row>
    <row r="122" customFormat="false" ht="15" hidden="false" customHeight="false" outlineLevel="0" collapsed="false">
      <c r="B122" s="5" t="str">
        <f aca="false">L!B28</f>
        <v>Land Improvements - Apt - 5yr</v>
      </c>
      <c r="D122" s="33" t="n">
        <f aca="false">SUM(F122:H122)</f>
        <v>8058.95</v>
      </c>
      <c r="F122" s="33" t="n">
        <f aca="false">L!D28</f>
        <v>8058.95</v>
      </c>
    </row>
    <row r="123" customFormat="false" ht="15" hidden="false" customHeight="false" outlineLevel="0" collapsed="false">
      <c r="B123" s="5" t="str">
        <f aca="false">L!B29</f>
        <v>Land Improvements - Apt - 27.5yr</v>
      </c>
      <c r="D123" s="33" t="n">
        <f aca="false">SUM(F123:H123)</f>
        <v>30716.81</v>
      </c>
      <c r="H123" s="33" t="n">
        <f aca="false">L!D29</f>
        <v>30716.81</v>
      </c>
    </row>
    <row r="124" customFormat="false" ht="15" hidden="false" customHeight="false" outlineLevel="0" collapsed="false">
      <c r="B124" s="5" t="str">
        <f aca="false">L!B30</f>
        <v>Equipment - Apt - 5yr</v>
      </c>
      <c r="D124" s="33" t="n">
        <f aca="false">SUM(F124:H124)</f>
        <v>12421.88</v>
      </c>
      <c r="F124" s="33" t="n">
        <f aca="false">L!D30</f>
        <v>12421.88</v>
      </c>
    </row>
    <row r="125" customFormat="false" ht="15" hidden="false" customHeight="false" outlineLevel="0" collapsed="false">
      <c r="B125" s="5" t="str">
        <f aca="false">L!B31</f>
        <v>Equipment - Apt - 27.5yr</v>
      </c>
      <c r="D125" s="33" t="n">
        <f aca="false">SUM(F125:H125)</f>
        <v>47346.23</v>
      </c>
      <c r="H125" s="33" t="n">
        <f aca="false">L!D31</f>
        <v>47346.23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440367.63</v>
      </c>
      <c r="F126" s="34" t="n">
        <f aca="false">SUM(F114:F125)</f>
        <v>91523.65</v>
      </c>
      <c r="H126" s="34" t="n">
        <f aca="false">SUM(H114:H125)</f>
        <v>348843.98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194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34</v>
      </c>
      <c r="C10" s="23" t="s">
        <v>23</v>
      </c>
      <c r="D10" s="24" t="n">
        <v>78702.11</v>
      </c>
      <c r="E10" s="24" t="n">
        <v>0</v>
      </c>
      <c r="F10" s="24" t="n">
        <v>0</v>
      </c>
      <c r="G10" s="24" t="n">
        <v>26906.11</v>
      </c>
      <c r="H10" s="24" t="n">
        <v>2861.64</v>
      </c>
      <c r="I10" s="24" t="n">
        <f aca="false">G10+H10</f>
        <v>29767.75</v>
      </c>
      <c r="J10" s="24" t="n">
        <f aca="false">D10-I10</f>
        <v>48934.36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35</v>
      </c>
      <c r="C11" s="23" t="s">
        <v>25</v>
      </c>
      <c r="D11" s="24" t="n">
        <v>242524.3</v>
      </c>
      <c r="E11" s="24" t="n">
        <v>0</v>
      </c>
      <c r="F11" s="24" t="n">
        <v>0</v>
      </c>
      <c r="G11" s="24" t="n">
        <v>14330.78</v>
      </c>
      <c r="H11" s="24" t="n">
        <v>8818.19</v>
      </c>
      <c r="I11" s="24" t="n">
        <f aca="false">G11+H11</f>
        <v>23148.97</v>
      </c>
      <c r="J11" s="24" t="n">
        <f aca="false">D11-I11</f>
        <v>219375.33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35</v>
      </c>
      <c r="C12" s="23" t="s">
        <v>27</v>
      </c>
      <c r="D12" s="24" t="n">
        <v>1320.88</v>
      </c>
      <c r="E12" s="24" t="n">
        <v>0</v>
      </c>
      <c r="F12" s="24" t="n">
        <v>0</v>
      </c>
      <c r="G12" s="24" t="n">
        <v>21.99</v>
      </c>
      <c r="H12" s="24" t="n">
        <v>48.05</v>
      </c>
      <c r="I12" s="24" t="n">
        <f aca="false">G12+H12</f>
        <v>70.04</v>
      </c>
      <c r="J12" s="24" t="n">
        <f aca="false">D12-I12</f>
        <v>1250.84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3" t="n">
        <v>4</v>
      </c>
      <c r="B13" s="23" t="s">
        <v>36</v>
      </c>
      <c r="C13" s="23" t="s">
        <v>23</v>
      </c>
      <c r="D13" s="24" t="n">
        <v>19276.47</v>
      </c>
      <c r="E13" s="24" t="n">
        <v>0</v>
      </c>
      <c r="F13" s="24" t="n">
        <v>12548.91</v>
      </c>
      <c r="G13" s="24" t="n">
        <v>12548.91</v>
      </c>
      <c r="H13" s="24" t="n">
        <v>1139.24</v>
      </c>
      <c r="I13" s="24" t="n">
        <f aca="false">G13+H13</f>
        <v>13688.15</v>
      </c>
      <c r="J13" s="24" t="n">
        <f aca="false">D13-I13</f>
        <v>5588.32</v>
      </c>
      <c r="K13" s="25" t="s">
        <v>102</v>
      </c>
      <c r="L13" s="25" t="s">
        <v>103</v>
      </c>
    </row>
    <row r="14" customFormat="false" ht="15" hidden="false" customHeight="false" outlineLevel="0" collapsed="false">
      <c r="A14" s="23" t="n">
        <v>5</v>
      </c>
      <c r="B14" s="23" t="s">
        <v>36</v>
      </c>
      <c r="C14" s="23" t="s">
        <v>25</v>
      </c>
      <c r="D14" s="24" t="n">
        <v>38775.76</v>
      </c>
      <c r="E14" s="24" t="n">
        <v>0</v>
      </c>
      <c r="F14" s="24" t="n">
        <v>38775.76</v>
      </c>
      <c r="G14" s="24" t="n">
        <v>38775.76</v>
      </c>
      <c r="H14" s="24" t="n">
        <v>0</v>
      </c>
      <c r="I14" s="24" t="n">
        <f aca="false">G14+H14</f>
        <v>38775.76</v>
      </c>
      <c r="J14" s="24" t="n">
        <f aca="false">D14-I14</f>
        <v>0</v>
      </c>
      <c r="K14" s="25" t="s">
        <v>102</v>
      </c>
      <c r="L14" s="25" t="s">
        <v>103</v>
      </c>
    </row>
    <row r="15" customFormat="false" ht="15" hidden="false" customHeight="false" outlineLevel="0" collapsed="false">
      <c r="A15" s="23" t="n">
        <v>6</v>
      </c>
      <c r="B15" s="23" t="s">
        <v>37</v>
      </c>
      <c r="C15" s="23" t="s">
        <v>25</v>
      </c>
      <c r="D15" s="24" t="n">
        <v>59768.11</v>
      </c>
      <c r="E15" s="24" t="n">
        <v>0</v>
      </c>
      <c r="F15" s="24" t="n">
        <v>59768.11</v>
      </c>
      <c r="G15" s="24" t="n">
        <v>59768.11</v>
      </c>
      <c r="H15" s="24" t="n">
        <v>0</v>
      </c>
      <c r="I15" s="24" t="n">
        <f aca="false">G15+H15</f>
        <v>59768.11</v>
      </c>
      <c r="J15" s="24" t="n">
        <f aca="false">D15-I15</f>
        <v>0</v>
      </c>
      <c r="K15" s="25" t="s">
        <v>104</v>
      </c>
      <c r="L15" s="25" t="s">
        <v>105</v>
      </c>
    </row>
    <row r="16" customFormat="false" ht="15" hidden="false" customHeight="false" outlineLevel="0" collapsed="false">
      <c r="A16" s="26"/>
      <c r="B16" s="27" t="s">
        <v>42</v>
      </c>
      <c r="C16" s="26"/>
      <c r="D16" s="28" t="n">
        <f aca="false">SUM(D10:D15)</f>
        <v>440367.63</v>
      </c>
      <c r="E16" s="28" t="n">
        <f aca="false">SUM(E10:E15)</f>
        <v>0</v>
      </c>
      <c r="F16" s="28" t="n">
        <f aca="false">SUM(F10:F15)</f>
        <v>111092.78</v>
      </c>
      <c r="G16" s="28" t="n">
        <f aca="false">SUM(G10:G15)</f>
        <v>152351.66</v>
      </c>
      <c r="H16" s="28" t="n">
        <f aca="false">SUM(H10:H15)</f>
        <v>12867.12</v>
      </c>
      <c r="I16" s="28" t="n">
        <f aca="false">SUM(I10:I15)</f>
        <v>165218.78</v>
      </c>
      <c r="J16" s="28" t="n">
        <f aca="false">SUM(J10:J15)</f>
        <v>275148.85</v>
      </c>
      <c r="K16" s="26"/>
      <c r="L16" s="26"/>
    </row>
    <row r="18" customFormat="false" ht="15" hidden="false" customHeight="false" outlineLevel="0" collapsed="false">
      <c r="A18" s="21" t="s">
        <v>106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customFormat="false" ht="22.3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 s="4" t="s">
        <v>94</v>
      </c>
      <c r="H19" s="4" t="s">
        <v>95</v>
      </c>
      <c r="I19" s="4" t="s">
        <v>96</v>
      </c>
      <c r="J19" s="4" t="s">
        <v>97</v>
      </c>
      <c r="K19" s="4" t="s">
        <v>98</v>
      </c>
      <c r="L19" s="4" t="s">
        <v>99</v>
      </c>
    </row>
    <row r="20" customFormat="false" ht="15" hidden="false" customHeight="false" outlineLevel="0" collapsed="false">
      <c r="A20" s="23" t="n">
        <v>1</v>
      </c>
      <c r="B20" s="23" t="s">
        <v>60</v>
      </c>
      <c r="C20" s="23" t="s">
        <v>23</v>
      </c>
      <c r="D20" s="24" t="n">
        <v>16357.03</v>
      </c>
      <c r="E20" s="24" t="n">
        <v>0</v>
      </c>
      <c r="F20" s="24" t="n">
        <v>0</v>
      </c>
      <c r="G20" s="24" t="n">
        <v>16357.03</v>
      </c>
      <c r="H20" s="24" t="n">
        <v>0</v>
      </c>
      <c r="I20" s="24" t="n">
        <f aca="false">G20+H20</f>
        <v>16357.03</v>
      </c>
      <c r="J20" s="24" t="n">
        <f aca="false">D20-I20</f>
        <v>0</v>
      </c>
      <c r="K20" s="25" t="s">
        <v>104</v>
      </c>
      <c r="L20" s="25" t="s">
        <v>105</v>
      </c>
    </row>
    <row r="21" customFormat="false" ht="15" hidden="false" customHeight="false" outlineLevel="0" collapsed="false">
      <c r="A21" s="23" t="n">
        <v>2</v>
      </c>
      <c r="B21" s="23" t="s">
        <v>61</v>
      </c>
      <c r="C21" s="23" t="s">
        <v>23</v>
      </c>
      <c r="D21" s="24" t="n">
        <v>62345.08</v>
      </c>
      <c r="E21" s="24" t="n">
        <v>0</v>
      </c>
      <c r="F21" s="24" t="n">
        <v>0</v>
      </c>
      <c r="G21" s="24" t="n">
        <v>28622.01</v>
      </c>
      <c r="H21" s="24" t="n">
        <v>2267.09</v>
      </c>
      <c r="I21" s="24" t="n">
        <f aca="false">G21+H21</f>
        <v>30889.1</v>
      </c>
      <c r="J21" s="24" t="n">
        <f aca="false">D21-I21</f>
        <v>31455.98</v>
      </c>
      <c r="K21" s="25" t="s">
        <v>100</v>
      </c>
      <c r="L21" s="25" t="s">
        <v>101</v>
      </c>
    </row>
    <row r="22" customFormat="false" ht="15" hidden="false" customHeight="false" outlineLevel="0" collapsed="false">
      <c r="A22" s="23" t="n">
        <v>3</v>
      </c>
      <c r="B22" s="23" t="s">
        <v>62</v>
      </c>
      <c r="C22" s="23" t="s">
        <v>25</v>
      </c>
      <c r="D22" s="24" t="n">
        <v>50404.95</v>
      </c>
      <c r="E22" s="24" t="n">
        <v>0</v>
      </c>
      <c r="F22" s="24" t="n">
        <v>50404.95</v>
      </c>
      <c r="G22" s="24" t="n">
        <v>50404.95</v>
      </c>
      <c r="H22" s="24" t="n">
        <v>0</v>
      </c>
      <c r="I22" s="24" t="n">
        <f aca="false">G22+H22</f>
        <v>50404.95</v>
      </c>
      <c r="J22" s="24" t="n">
        <f aca="false">D22-I22</f>
        <v>0</v>
      </c>
      <c r="K22" s="25" t="s">
        <v>104</v>
      </c>
      <c r="L22" s="25" t="s">
        <v>105</v>
      </c>
    </row>
    <row r="23" customFormat="false" ht="15" hidden="false" customHeight="false" outlineLevel="0" collapsed="false">
      <c r="A23" s="23" t="n">
        <v>4</v>
      </c>
      <c r="B23" s="23" t="s">
        <v>63</v>
      </c>
      <c r="C23" s="23" t="s">
        <v>25</v>
      </c>
      <c r="D23" s="24" t="n">
        <v>192119.35</v>
      </c>
      <c r="E23" s="24" t="n">
        <v>0</v>
      </c>
      <c r="F23" s="24" t="n">
        <v>0</v>
      </c>
      <c r="G23" s="24" t="n">
        <v>11352.51</v>
      </c>
      <c r="H23" s="24" t="n">
        <v>6986.16</v>
      </c>
      <c r="I23" s="24" t="n">
        <f aca="false">G23+H23</f>
        <v>18338.67</v>
      </c>
      <c r="J23" s="24" t="n">
        <f aca="false">D23-I23</f>
        <v>173780.68</v>
      </c>
      <c r="K23" s="25" t="s">
        <v>100</v>
      </c>
      <c r="L23" s="25" t="s">
        <v>101</v>
      </c>
    </row>
    <row r="24" customFormat="false" ht="15" hidden="false" customHeight="false" outlineLevel="0" collapsed="false">
      <c r="A24" s="23" t="n">
        <v>5</v>
      </c>
      <c r="B24" s="23" t="s">
        <v>62</v>
      </c>
      <c r="C24" s="23" t="s">
        <v>27</v>
      </c>
      <c r="D24" s="24" t="n">
        <v>274.52</v>
      </c>
      <c r="E24" s="24" t="n">
        <v>0</v>
      </c>
      <c r="F24" s="24" t="n">
        <v>219.62</v>
      </c>
      <c r="G24" s="24" t="n">
        <v>230.6</v>
      </c>
      <c r="H24" s="24" t="n">
        <v>17.57</v>
      </c>
      <c r="I24" s="24" t="n">
        <f aca="false">G24+H24</f>
        <v>248.17</v>
      </c>
      <c r="J24" s="24" t="n">
        <f aca="false">D24-I24</f>
        <v>26.35</v>
      </c>
      <c r="K24" s="25" t="s">
        <v>104</v>
      </c>
      <c r="L24" s="25" t="s">
        <v>105</v>
      </c>
    </row>
    <row r="25" customFormat="false" ht="15" hidden="false" customHeight="false" outlineLevel="0" collapsed="false">
      <c r="A25" s="23" t="n">
        <v>6</v>
      </c>
      <c r="B25" s="23" t="s">
        <v>63</v>
      </c>
      <c r="C25" s="23" t="s">
        <v>27</v>
      </c>
      <c r="D25" s="24" t="n">
        <v>1046.36</v>
      </c>
      <c r="E25" s="24" t="n">
        <v>0</v>
      </c>
      <c r="F25" s="24" t="n">
        <v>0</v>
      </c>
      <c r="G25" s="24" t="n">
        <v>17.44</v>
      </c>
      <c r="H25" s="24" t="n">
        <v>38.05</v>
      </c>
      <c r="I25" s="24" t="n">
        <f aca="false">G25+H25</f>
        <v>55.49</v>
      </c>
      <c r="J25" s="24" t="n">
        <f aca="false">D25-I25</f>
        <v>990.87</v>
      </c>
      <c r="K25" s="25" t="s">
        <v>100</v>
      </c>
      <c r="L25" s="25" t="s">
        <v>101</v>
      </c>
    </row>
    <row r="26" customFormat="false" ht="15" hidden="false" customHeight="false" outlineLevel="0" collapsed="false">
      <c r="A26" s="23" t="n">
        <v>7</v>
      </c>
      <c r="B26" s="23" t="s">
        <v>64</v>
      </c>
      <c r="C26" s="23" t="s">
        <v>23</v>
      </c>
      <c r="D26" s="24" t="n">
        <v>4006.32</v>
      </c>
      <c r="E26" s="24" t="n">
        <v>0</v>
      </c>
      <c r="F26" s="24" t="n">
        <v>4006.32</v>
      </c>
      <c r="G26" s="24" t="n">
        <v>4006.32</v>
      </c>
      <c r="H26" s="24" t="n">
        <v>0</v>
      </c>
      <c r="I26" s="24" t="n">
        <f aca="false">G26+H26</f>
        <v>4006.32</v>
      </c>
      <c r="J26" s="24" t="n">
        <f aca="false">D26-I26</f>
        <v>0</v>
      </c>
      <c r="K26" s="25" t="s">
        <v>104</v>
      </c>
      <c r="L26" s="25" t="s">
        <v>105</v>
      </c>
    </row>
    <row r="27" customFormat="false" ht="15" hidden="false" customHeight="false" outlineLevel="0" collapsed="false">
      <c r="A27" s="23" t="n">
        <v>8</v>
      </c>
      <c r="B27" s="23" t="s">
        <v>65</v>
      </c>
      <c r="C27" s="23" t="s">
        <v>23</v>
      </c>
      <c r="D27" s="24" t="n">
        <v>15270.15</v>
      </c>
      <c r="E27" s="24" t="n">
        <v>0</v>
      </c>
      <c r="F27" s="24" t="n">
        <v>0</v>
      </c>
      <c r="G27" s="24" t="n">
        <v>7010.41</v>
      </c>
      <c r="H27" s="24" t="n">
        <v>555.28</v>
      </c>
      <c r="I27" s="24" t="n">
        <f aca="false">G27+H27</f>
        <v>7565.69</v>
      </c>
      <c r="J27" s="24" t="n">
        <f aca="false">D27-I27</f>
        <v>7704.46</v>
      </c>
      <c r="K27" s="25" t="s">
        <v>100</v>
      </c>
      <c r="L27" s="25" t="s">
        <v>101</v>
      </c>
    </row>
    <row r="28" customFormat="false" ht="15" hidden="false" customHeight="false" outlineLevel="0" collapsed="false">
      <c r="A28" s="23" t="n">
        <v>9</v>
      </c>
      <c r="B28" s="23" t="s">
        <v>64</v>
      </c>
      <c r="C28" s="23" t="s">
        <v>25</v>
      </c>
      <c r="D28" s="24" t="n">
        <v>8058.95</v>
      </c>
      <c r="E28" s="24" t="n">
        <v>0</v>
      </c>
      <c r="F28" s="24" t="n">
        <v>8058.95</v>
      </c>
      <c r="G28" s="24" t="n">
        <v>8058.95</v>
      </c>
      <c r="H28" s="24" t="n">
        <v>0</v>
      </c>
      <c r="I28" s="24" t="n">
        <f aca="false">G28+H28</f>
        <v>8058.95</v>
      </c>
      <c r="J28" s="24" t="n">
        <f aca="false">D28-I28</f>
        <v>0</v>
      </c>
      <c r="K28" s="25" t="s">
        <v>104</v>
      </c>
      <c r="L28" s="25" t="s">
        <v>105</v>
      </c>
    </row>
    <row r="29" customFormat="false" ht="15" hidden="false" customHeight="false" outlineLevel="0" collapsed="false">
      <c r="A29" s="23" t="n">
        <v>10</v>
      </c>
      <c r="B29" s="23" t="s">
        <v>65</v>
      </c>
      <c r="C29" s="23" t="s">
        <v>25</v>
      </c>
      <c r="D29" s="24" t="n">
        <v>30716.81</v>
      </c>
      <c r="E29" s="24" t="n">
        <v>0</v>
      </c>
      <c r="F29" s="24" t="n">
        <v>0</v>
      </c>
      <c r="G29" s="24" t="n">
        <v>1815.08</v>
      </c>
      <c r="H29" s="24" t="n">
        <v>1116.97</v>
      </c>
      <c r="I29" s="24" t="n">
        <f aca="false">G29+H29</f>
        <v>2932.05</v>
      </c>
      <c r="J29" s="24" t="n">
        <f aca="false">D29-I29</f>
        <v>27784.76</v>
      </c>
      <c r="K29" s="25" t="s">
        <v>100</v>
      </c>
      <c r="L29" s="25" t="s">
        <v>101</v>
      </c>
    </row>
    <row r="30" customFormat="false" ht="15" hidden="false" customHeight="false" outlineLevel="0" collapsed="false">
      <c r="A30" s="23" t="n">
        <v>11</v>
      </c>
      <c r="B30" s="23" t="s">
        <v>66</v>
      </c>
      <c r="C30" s="23" t="s">
        <v>25</v>
      </c>
      <c r="D30" s="24" t="n">
        <v>12421.88</v>
      </c>
      <c r="E30" s="24" t="n">
        <v>0</v>
      </c>
      <c r="F30" s="24" t="n">
        <v>12421.88</v>
      </c>
      <c r="G30" s="24" t="n">
        <v>12421.88</v>
      </c>
      <c r="H30" s="24" t="n">
        <v>0</v>
      </c>
      <c r="I30" s="24" t="n">
        <f aca="false">G30+H30</f>
        <v>12421.88</v>
      </c>
      <c r="J30" s="24" t="n">
        <f aca="false">D30-I30</f>
        <v>0</v>
      </c>
      <c r="K30" s="25" t="s">
        <v>104</v>
      </c>
      <c r="L30" s="25" t="s">
        <v>105</v>
      </c>
    </row>
    <row r="31" customFormat="false" ht="15" hidden="false" customHeight="false" outlineLevel="0" collapsed="false">
      <c r="A31" s="23" t="n">
        <v>12</v>
      </c>
      <c r="B31" s="23" t="s">
        <v>67</v>
      </c>
      <c r="C31" s="23" t="s">
        <v>25</v>
      </c>
      <c r="D31" s="24" t="n">
        <v>47346.23</v>
      </c>
      <c r="E31" s="24" t="n">
        <v>0</v>
      </c>
      <c r="F31" s="24" t="n">
        <v>0</v>
      </c>
      <c r="G31" s="24" t="n">
        <v>2797.73</v>
      </c>
      <c r="H31" s="24" t="n">
        <v>1721.68</v>
      </c>
      <c r="I31" s="24" t="n">
        <f aca="false">G31+H31</f>
        <v>4519.41</v>
      </c>
      <c r="J31" s="24" t="n">
        <f aca="false">D31-I31</f>
        <v>42826.82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6"/>
      <c r="B32" s="27" t="s">
        <v>42</v>
      </c>
      <c r="C32" s="26"/>
      <c r="D32" s="28" t="n">
        <f aca="false">SUM(D20:D31)</f>
        <v>440367.63</v>
      </c>
      <c r="E32" s="28" t="n">
        <f aca="false">SUM(E20:E31)</f>
        <v>0</v>
      </c>
      <c r="F32" s="28" t="n">
        <f aca="false">SUM(F20:F31)</f>
        <v>75111.72</v>
      </c>
      <c r="G32" s="28" t="n">
        <f aca="false">SUM(G20:G31)</f>
        <v>143094.91</v>
      </c>
      <c r="H32" s="28" t="n">
        <f aca="false">SUM(H20:H31)</f>
        <v>12702.8</v>
      </c>
      <c r="I32" s="28" t="n">
        <f aca="false">SUM(I20:I31)</f>
        <v>155797.71</v>
      </c>
      <c r="J32" s="28" t="n">
        <f aca="false">SUM(J20:J31)</f>
        <v>284569.92</v>
      </c>
      <c r="K32" s="26"/>
      <c r="L32" s="26"/>
    </row>
    <row r="34" customFormat="false" ht="15" hidden="false" customHeight="false" outlineLevel="0" collapsed="false">
      <c r="B34" s="18" t="s">
        <v>107</v>
      </c>
    </row>
    <row r="35" customFormat="false" ht="15" hidden="false" customHeight="false" outlineLevel="0" collapsed="false">
      <c r="B35" s="5" t="s">
        <v>108</v>
      </c>
      <c r="D35" s="6" t="n">
        <f aca="false">I16</f>
        <v>165218.78</v>
      </c>
    </row>
    <row r="36" customFormat="false" ht="15" hidden="false" customHeight="false" outlineLevel="0" collapsed="false">
      <c r="B36" s="5" t="s">
        <v>109</v>
      </c>
      <c r="D36" s="6" t="n">
        <f aca="false">I32</f>
        <v>155797.71</v>
      </c>
    </row>
    <row r="37" customFormat="false" ht="15" hidden="false" customHeight="false" outlineLevel="0" collapsed="false">
      <c r="B37" s="11" t="s">
        <v>107</v>
      </c>
      <c r="D37" s="29" t="n">
        <f aca="false">D35-D36</f>
        <v>9421.07000000001</v>
      </c>
    </row>
    <row r="39" customFormat="false" ht="15" hidden="false" customHeight="false" outlineLevel="0" collapsed="false">
      <c r="A39" s="10" t="s">
        <v>110</v>
      </c>
    </row>
    <row r="40" customFormat="false" ht="15" hidden="false" customHeight="false" outlineLevel="0" collapsed="false">
      <c r="A40" s="21" t="s">
        <v>111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2.35" hidden="false" customHeight="false" outlineLevel="0" collapsed="false">
      <c r="A41" s="4" t="s">
        <v>88</v>
      </c>
      <c r="B41" s="4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112</v>
      </c>
      <c r="H41" s="4" t="s">
        <v>113</v>
      </c>
      <c r="I41" s="4" t="s">
        <v>96</v>
      </c>
      <c r="J41" s="4" t="s">
        <v>97</v>
      </c>
      <c r="K41" s="4" t="s">
        <v>98</v>
      </c>
      <c r="L41" s="4" t="s">
        <v>99</v>
      </c>
    </row>
    <row r="42" customFormat="false" ht="15" hidden="false" customHeight="false" outlineLevel="0" collapsed="false">
      <c r="A42" s="23" t="n">
        <v>1</v>
      </c>
      <c r="B42" s="23" t="s">
        <v>34</v>
      </c>
      <c r="C42" s="23" t="s">
        <v>23</v>
      </c>
      <c r="D42" s="24" t="n">
        <v>78702.11</v>
      </c>
      <c r="E42" s="24" t="n">
        <v>0</v>
      </c>
      <c r="F42" s="24" t="n">
        <v>0</v>
      </c>
      <c r="G42" s="24" t="n">
        <v>26906.11</v>
      </c>
      <c r="H42" s="24" t="n">
        <v>2861.64</v>
      </c>
      <c r="I42" s="24" t="n">
        <f aca="false">G42+H42</f>
        <v>29767.75</v>
      </c>
      <c r="J42" s="24" t="n">
        <f aca="false">D42-I42</f>
        <v>48934.36</v>
      </c>
      <c r="K42" s="25" t="s">
        <v>100</v>
      </c>
      <c r="L42" s="25" t="s">
        <v>101</v>
      </c>
    </row>
    <row r="43" customFormat="false" ht="15" hidden="false" customHeight="false" outlineLevel="0" collapsed="false">
      <c r="A43" s="23" t="n">
        <v>2</v>
      </c>
      <c r="B43" s="23" t="s">
        <v>35</v>
      </c>
      <c r="C43" s="23" t="s">
        <v>25</v>
      </c>
      <c r="D43" s="24" t="n">
        <v>242524.3</v>
      </c>
      <c r="E43" s="24" t="n">
        <v>0</v>
      </c>
      <c r="F43" s="24" t="n">
        <v>0</v>
      </c>
      <c r="G43" s="24" t="n">
        <v>14330.78</v>
      </c>
      <c r="H43" s="24" t="n">
        <v>8818.19</v>
      </c>
      <c r="I43" s="24" t="n">
        <f aca="false">G43+H43</f>
        <v>23148.97</v>
      </c>
      <c r="J43" s="24" t="n">
        <f aca="false">D43-I43</f>
        <v>219375.33</v>
      </c>
      <c r="K43" s="25" t="s">
        <v>100</v>
      </c>
      <c r="L43" s="25" t="s">
        <v>101</v>
      </c>
    </row>
    <row r="44" customFormat="false" ht="15" hidden="false" customHeight="false" outlineLevel="0" collapsed="false">
      <c r="A44" s="23" t="n">
        <v>3</v>
      </c>
      <c r="B44" s="23" t="s">
        <v>35</v>
      </c>
      <c r="C44" s="23" t="s">
        <v>27</v>
      </c>
      <c r="D44" s="24" t="n">
        <v>1320.88</v>
      </c>
      <c r="E44" s="24" t="n">
        <v>0</v>
      </c>
      <c r="F44" s="24" t="n">
        <v>0</v>
      </c>
      <c r="G44" s="24" t="n">
        <v>21.99</v>
      </c>
      <c r="H44" s="24" t="n">
        <v>48.05</v>
      </c>
      <c r="I44" s="24" t="n">
        <f aca="false">G44+H44</f>
        <v>70.04</v>
      </c>
      <c r="J44" s="24" t="n">
        <f aca="false">D44-I44</f>
        <v>1250.84</v>
      </c>
      <c r="K44" s="25" t="s">
        <v>100</v>
      </c>
      <c r="L44" s="25" t="s">
        <v>101</v>
      </c>
    </row>
    <row r="45" customFormat="false" ht="15" hidden="false" customHeight="false" outlineLevel="0" collapsed="false">
      <c r="A45" s="23" t="n">
        <v>4</v>
      </c>
      <c r="B45" s="23" t="s">
        <v>36</v>
      </c>
      <c r="C45" s="23" t="s">
        <v>23</v>
      </c>
      <c r="D45" s="24" t="n">
        <v>19276.47</v>
      </c>
      <c r="E45" s="24" t="n">
        <v>0</v>
      </c>
      <c r="F45" s="24" t="n">
        <v>12548.91</v>
      </c>
      <c r="G45" s="24" t="n">
        <v>12548.91</v>
      </c>
      <c r="H45" s="24" t="n">
        <v>1139.24</v>
      </c>
      <c r="I45" s="24" t="n">
        <f aca="false">G45+H45</f>
        <v>13688.15</v>
      </c>
      <c r="J45" s="24" t="n">
        <f aca="false">D45-I45</f>
        <v>5588.32</v>
      </c>
      <c r="K45" s="25" t="s">
        <v>102</v>
      </c>
      <c r="L45" s="25" t="s">
        <v>103</v>
      </c>
    </row>
    <row r="46" customFormat="false" ht="15" hidden="false" customHeight="false" outlineLevel="0" collapsed="false">
      <c r="A46" s="23" t="n">
        <v>5</v>
      </c>
      <c r="B46" s="23" t="s">
        <v>36</v>
      </c>
      <c r="C46" s="23" t="s">
        <v>25</v>
      </c>
      <c r="D46" s="24" t="n">
        <v>38775.76</v>
      </c>
      <c r="E46" s="24" t="n">
        <v>0</v>
      </c>
      <c r="F46" s="24" t="n">
        <v>38775.76</v>
      </c>
      <c r="G46" s="24" t="n">
        <v>38775.76</v>
      </c>
      <c r="H46" s="24" t="n">
        <v>0</v>
      </c>
      <c r="I46" s="24" t="n">
        <f aca="false">G46+H46</f>
        <v>38775.76</v>
      </c>
      <c r="J46" s="24" t="n">
        <f aca="false">D46-I46</f>
        <v>0</v>
      </c>
      <c r="K46" s="25" t="s">
        <v>102</v>
      </c>
      <c r="L46" s="25" t="s">
        <v>103</v>
      </c>
    </row>
    <row r="47" customFormat="false" ht="15" hidden="false" customHeight="false" outlineLevel="0" collapsed="false">
      <c r="A47" s="23" t="n">
        <v>6</v>
      </c>
      <c r="B47" s="23" t="s">
        <v>37</v>
      </c>
      <c r="C47" s="23" t="s">
        <v>25</v>
      </c>
      <c r="D47" s="24" t="n">
        <v>59768.11</v>
      </c>
      <c r="E47" s="24" t="n">
        <v>0</v>
      </c>
      <c r="F47" s="24" t="n">
        <v>59768.11</v>
      </c>
      <c r="G47" s="24" t="n">
        <v>59768.11</v>
      </c>
      <c r="H47" s="24" t="n">
        <v>0</v>
      </c>
      <c r="I47" s="24" t="n">
        <f aca="false">G47+H47</f>
        <v>59768.11</v>
      </c>
      <c r="J47" s="24" t="n">
        <f aca="false">D47-I47</f>
        <v>0</v>
      </c>
      <c r="K47" s="25" t="s">
        <v>104</v>
      </c>
      <c r="L47" s="25" t="s">
        <v>105</v>
      </c>
    </row>
    <row r="48" customFormat="false" ht="15" hidden="false" customHeight="false" outlineLevel="0" collapsed="false">
      <c r="A48" s="26"/>
      <c r="B48" s="27" t="s">
        <v>42</v>
      </c>
      <c r="C48" s="26"/>
      <c r="D48" s="28" t="n">
        <f aca="false">SUM(D42:D47)</f>
        <v>440367.63</v>
      </c>
      <c r="E48" s="28" t="n">
        <f aca="false">SUM(E42:E47)</f>
        <v>0</v>
      </c>
      <c r="F48" s="28" t="n">
        <f aca="false">SUM(F42:F47)</f>
        <v>111092.78</v>
      </c>
      <c r="G48" s="28" t="n">
        <f aca="false">SUM(G42:G47)</f>
        <v>152351.66</v>
      </c>
      <c r="H48" s="28" t="n">
        <f aca="false">SUM(H42:H47)</f>
        <v>12867.12</v>
      </c>
      <c r="I48" s="28" t="n">
        <f aca="false">SUM(I42:I47)</f>
        <v>165218.78</v>
      </c>
      <c r="J48" s="28" t="n">
        <f aca="false">SUM(J42:J47)</f>
        <v>275148.85</v>
      </c>
      <c r="K48" s="26"/>
      <c r="L48" s="26"/>
    </row>
    <row r="50" customFormat="false" ht="15" hidden="false" customHeight="false" outlineLevel="0" collapsed="false">
      <c r="A50" s="21" t="s">
        <v>114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</row>
    <row r="51" customFormat="false" ht="22.35" hidden="false" customHeight="false" outlineLevel="0" collapsed="false">
      <c r="A51" s="4" t="s">
        <v>88</v>
      </c>
      <c r="B51" s="4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112</v>
      </c>
      <c r="H51" s="4" t="s">
        <v>113</v>
      </c>
      <c r="I51" s="4" t="s">
        <v>96</v>
      </c>
      <c r="J51" s="4" t="s">
        <v>97</v>
      </c>
      <c r="K51" s="4" t="s">
        <v>98</v>
      </c>
      <c r="L51" s="4" t="s">
        <v>99</v>
      </c>
    </row>
    <row r="52" customFormat="false" ht="15" hidden="false" customHeight="false" outlineLevel="0" collapsed="false">
      <c r="A52" s="23" t="n">
        <v>1</v>
      </c>
      <c r="B52" s="23" t="s">
        <v>60</v>
      </c>
      <c r="C52" s="23" t="s">
        <v>23</v>
      </c>
      <c r="D52" s="24" t="n">
        <v>16357.03</v>
      </c>
      <c r="E52" s="24" t="n">
        <v>0</v>
      </c>
      <c r="F52" s="24" t="n">
        <v>0</v>
      </c>
      <c r="G52" s="24" t="n">
        <v>16357.03</v>
      </c>
      <c r="H52" s="24" t="n">
        <v>0</v>
      </c>
      <c r="I52" s="24" t="n">
        <f aca="false">G52+H52</f>
        <v>16357.03</v>
      </c>
      <c r="J52" s="24" t="n">
        <f aca="false">D52-I52</f>
        <v>0</v>
      </c>
      <c r="K52" s="25" t="s">
        <v>104</v>
      </c>
      <c r="L52" s="25" t="s">
        <v>105</v>
      </c>
    </row>
    <row r="53" customFormat="false" ht="15" hidden="false" customHeight="false" outlineLevel="0" collapsed="false">
      <c r="A53" s="23" t="n">
        <v>2</v>
      </c>
      <c r="B53" s="23" t="s">
        <v>61</v>
      </c>
      <c r="C53" s="23" t="s">
        <v>23</v>
      </c>
      <c r="D53" s="24" t="n">
        <v>62345.08</v>
      </c>
      <c r="E53" s="24" t="n">
        <v>0</v>
      </c>
      <c r="F53" s="24" t="n">
        <v>0</v>
      </c>
      <c r="G53" s="24" t="n">
        <v>28622.01</v>
      </c>
      <c r="H53" s="24" t="n">
        <v>2267.09</v>
      </c>
      <c r="I53" s="24" t="n">
        <f aca="false">G53+H53</f>
        <v>30889.1</v>
      </c>
      <c r="J53" s="24" t="n">
        <f aca="false">D53-I53</f>
        <v>31455.98</v>
      </c>
      <c r="K53" s="25" t="s">
        <v>100</v>
      </c>
      <c r="L53" s="25" t="s">
        <v>101</v>
      </c>
    </row>
    <row r="54" customFormat="false" ht="15" hidden="false" customHeight="false" outlineLevel="0" collapsed="false">
      <c r="A54" s="23" t="n">
        <v>3</v>
      </c>
      <c r="B54" s="23" t="s">
        <v>62</v>
      </c>
      <c r="C54" s="23" t="s">
        <v>25</v>
      </c>
      <c r="D54" s="24" t="n">
        <v>50404.95</v>
      </c>
      <c r="E54" s="24" t="n">
        <v>0</v>
      </c>
      <c r="F54" s="24" t="n">
        <v>50404.95</v>
      </c>
      <c r="G54" s="24" t="n">
        <v>50404.95</v>
      </c>
      <c r="H54" s="24" t="n">
        <v>0</v>
      </c>
      <c r="I54" s="24" t="n">
        <f aca="false">G54+H54</f>
        <v>50404.95</v>
      </c>
      <c r="J54" s="24" t="n">
        <f aca="false">D54-I54</f>
        <v>0</v>
      </c>
      <c r="K54" s="25" t="s">
        <v>104</v>
      </c>
      <c r="L54" s="25" t="s">
        <v>105</v>
      </c>
    </row>
    <row r="55" customFormat="false" ht="15" hidden="false" customHeight="false" outlineLevel="0" collapsed="false">
      <c r="A55" s="23" t="n">
        <v>4</v>
      </c>
      <c r="B55" s="23" t="s">
        <v>63</v>
      </c>
      <c r="C55" s="23" t="s">
        <v>25</v>
      </c>
      <c r="D55" s="24" t="n">
        <v>192119.35</v>
      </c>
      <c r="E55" s="24" t="n">
        <v>0</v>
      </c>
      <c r="F55" s="24" t="n">
        <v>0</v>
      </c>
      <c r="G55" s="24" t="n">
        <v>11352.51</v>
      </c>
      <c r="H55" s="24" t="n">
        <v>6986.16</v>
      </c>
      <c r="I55" s="24" t="n">
        <f aca="false">G55+H55</f>
        <v>18338.67</v>
      </c>
      <c r="J55" s="24" t="n">
        <f aca="false">D55-I55</f>
        <v>173780.68</v>
      </c>
      <c r="K55" s="25" t="s">
        <v>100</v>
      </c>
      <c r="L55" s="25" t="s">
        <v>101</v>
      </c>
    </row>
    <row r="56" customFormat="false" ht="15" hidden="false" customHeight="false" outlineLevel="0" collapsed="false">
      <c r="A56" s="23" t="n">
        <v>5</v>
      </c>
      <c r="B56" s="23" t="s">
        <v>62</v>
      </c>
      <c r="C56" s="23" t="s">
        <v>27</v>
      </c>
      <c r="D56" s="24" t="n">
        <v>274.52</v>
      </c>
      <c r="E56" s="24" t="n">
        <v>0</v>
      </c>
      <c r="F56" s="24" t="n">
        <v>219.62</v>
      </c>
      <c r="G56" s="24" t="n">
        <v>230.6</v>
      </c>
      <c r="H56" s="24" t="n">
        <v>17.57</v>
      </c>
      <c r="I56" s="24" t="n">
        <f aca="false">G56+H56</f>
        <v>248.17</v>
      </c>
      <c r="J56" s="24" t="n">
        <f aca="false">D56-I56</f>
        <v>26.35</v>
      </c>
      <c r="K56" s="25" t="s">
        <v>104</v>
      </c>
      <c r="L56" s="25" t="s">
        <v>105</v>
      </c>
    </row>
    <row r="57" customFormat="false" ht="15" hidden="false" customHeight="false" outlineLevel="0" collapsed="false">
      <c r="A57" s="23" t="n">
        <v>6</v>
      </c>
      <c r="B57" s="23" t="s">
        <v>63</v>
      </c>
      <c r="C57" s="23" t="s">
        <v>27</v>
      </c>
      <c r="D57" s="24" t="n">
        <v>1046.36</v>
      </c>
      <c r="E57" s="24" t="n">
        <v>0</v>
      </c>
      <c r="F57" s="24" t="n">
        <v>0</v>
      </c>
      <c r="G57" s="24" t="n">
        <v>17.44</v>
      </c>
      <c r="H57" s="24" t="n">
        <v>38.05</v>
      </c>
      <c r="I57" s="24" t="n">
        <f aca="false">G57+H57</f>
        <v>55.49</v>
      </c>
      <c r="J57" s="24" t="n">
        <f aca="false">D57-I57</f>
        <v>990.87</v>
      </c>
      <c r="K57" s="25" t="s">
        <v>100</v>
      </c>
      <c r="L57" s="25" t="s">
        <v>101</v>
      </c>
    </row>
    <row r="58" customFormat="false" ht="15" hidden="false" customHeight="false" outlineLevel="0" collapsed="false">
      <c r="A58" s="23" t="n">
        <v>7</v>
      </c>
      <c r="B58" s="23" t="s">
        <v>64</v>
      </c>
      <c r="C58" s="23" t="s">
        <v>23</v>
      </c>
      <c r="D58" s="24" t="n">
        <v>4006.32</v>
      </c>
      <c r="E58" s="24" t="n">
        <v>0</v>
      </c>
      <c r="F58" s="24" t="n">
        <v>4006.32</v>
      </c>
      <c r="G58" s="24" t="n">
        <v>4006.32</v>
      </c>
      <c r="H58" s="24" t="n">
        <v>0</v>
      </c>
      <c r="I58" s="24" t="n">
        <f aca="false">G58+H58</f>
        <v>4006.32</v>
      </c>
      <c r="J58" s="24" t="n">
        <f aca="false">D58-I58</f>
        <v>0</v>
      </c>
      <c r="K58" s="25" t="s">
        <v>104</v>
      </c>
      <c r="L58" s="25" t="s">
        <v>105</v>
      </c>
    </row>
    <row r="59" customFormat="false" ht="15" hidden="false" customHeight="false" outlineLevel="0" collapsed="false">
      <c r="A59" s="23" t="n">
        <v>8</v>
      </c>
      <c r="B59" s="23" t="s">
        <v>65</v>
      </c>
      <c r="C59" s="23" t="s">
        <v>23</v>
      </c>
      <c r="D59" s="24" t="n">
        <v>15270.15</v>
      </c>
      <c r="E59" s="24" t="n">
        <v>0</v>
      </c>
      <c r="F59" s="24" t="n">
        <v>0</v>
      </c>
      <c r="G59" s="24" t="n">
        <v>7010.41</v>
      </c>
      <c r="H59" s="24" t="n">
        <v>555.28</v>
      </c>
      <c r="I59" s="24" t="n">
        <f aca="false">G59+H59</f>
        <v>7565.69</v>
      </c>
      <c r="J59" s="24" t="n">
        <f aca="false">D59-I59</f>
        <v>7704.46</v>
      </c>
      <c r="K59" s="25" t="s">
        <v>100</v>
      </c>
      <c r="L59" s="25" t="s">
        <v>101</v>
      </c>
    </row>
    <row r="60" customFormat="false" ht="15" hidden="false" customHeight="false" outlineLevel="0" collapsed="false">
      <c r="A60" s="23" t="n">
        <v>9</v>
      </c>
      <c r="B60" s="23" t="s">
        <v>64</v>
      </c>
      <c r="C60" s="23" t="s">
        <v>25</v>
      </c>
      <c r="D60" s="24" t="n">
        <v>8058.95</v>
      </c>
      <c r="E60" s="24" t="n">
        <v>0</v>
      </c>
      <c r="F60" s="24" t="n">
        <v>8058.95</v>
      </c>
      <c r="G60" s="24" t="n">
        <v>8058.95</v>
      </c>
      <c r="H60" s="24" t="n">
        <v>0</v>
      </c>
      <c r="I60" s="24" t="n">
        <f aca="false">G60+H60</f>
        <v>8058.95</v>
      </c>
      <c r="J60" s="24" t="n">
        <f aca="false">D60-I60</f>
        <v>0</v>
      </c>
      <c r="K60" s="25" t="s">
        <v>104</v>
      </c>
      <c r="L60" s="25" t="s">
        <v>105</v>
      </c>
    </row>
    <row r="61" customFormat="false" ht="15" hidden="false" customHeight="false" outlineLevel="0" collapsed="false">
      <c r="A61" s="23" t="n">
        <v>10</v>
      </c>
      <c r="B61" s="23" t="s">
        <v>65</v>
      </c>
      <c r="C61" s="23" t="s">
        <v>25</v>
      </c>
      <c r="D61" s="24" t="n">
        <v>30716.81</v>
      </c>
      <c r="E61" s="24" t="n">
        <v>0</v>
      </c>
      <c r="F61" s="24" t="n">
        <v>0</v>
      </c>
      <c r="G61" s="24" t="n">
        <v>1815.08</v>
      </c>
      <c r="H61" s="24" t="n">
        <v>1116.97</v>
      </c>
      <c r="I61" s="24" t="n">
        <f aca="false">G61+H61</f>
        <v>2932.05</v>
      </c>
      <c r="J61" s="24" t="n">
        <f aca="false">D61-I61</f>
        <v>27784.76</v>
      </c>
      <c r="K61" s="25" t="s">
        <v>100</v>
      </c>
      <c r="L61" s="25" t="s">
        <v>101</v>
      </c>
    </row>
    <row r="62" customFormat="false" ht="15" hidden="false" customHeight="false" outlineLevel="0" collapsed="false">
      <c r="A62" s="23" t="n">
        <v>11</v>
      </c>
      <c r="B62" s="23" t="s">
        <v>66</v>
      </c>
      <c r="C62" s="23" t="s">
        <v>25</v>
      </c>
      <c r="D62" s="24" t="n">
        <v>12421.88</v>
      </c>
      <c r="E62" s="24" t="n">
        <v>0</v>
      </c>
      <c r="F62" s="24" t="n">
        <v>12421.88</v>
      </c>
      <c r="G62" s="24" t="n">
        <v>12421.88</v>
      </c>
      <c r="H62" s="24" t="n">
        <v>0</v>
      </c>
      <c r="I62" s="24" t="n">
        <f aca="false">G62+H62</f>
        <v>12421.88</v>
      </c>
      <c r="J62" s="24" t="n">
        <f aca="false">D62-I62</f>
        <v>0</v>
      </c>
      <c r="K62" s="25" t="s">
        <v>104</v>
      </c>
      <c r="L62" s="25" t="s">
        <v>105</v>
      </c>
    </row>
    <row r="63" customFormat="false" ht="15" hidden="false" customHeight="false" outlineLevel="0" collapsed="false">
      <c r="A63" s="23" t="n">
        <v>12</v>
      </c>
      <c r="B63" s="23" t="s">
        <v>67</v>
      </c>
      <c r="C63" s="23" t="s">
        <v>25</v>
      </c>
      <c r="D63" s="24" t="n">
        <v>47346.23</v>
      </c>
      <c r="E63" s="24" t="n">
        <v>0</v>
      </c>
      <c r="F63" s="24" t="n">
        <v>0</v>
      </c>
      <c r="G63" s="24" t="n">
        <v>2797.73</v>
      </c>
      <c r="H63" s="24" t="n">
        <v>1721.68</v>
      </c>
      <c r="I63" s="24" t="n">
        <f aca="false">G63+H63</f>
        <v>4519.41</v>
      </c>
      <c r="J63" s="24" t="n">
        <f aca="false">D63-I63</f>
        <v>42826.82</v>
      </c>
      <c r="K63" s="25" t="s">
        <v>100</v>
      </c>
      <c r="L63" s="25" t="s">
        <v>101</v>
      </c>
    </row>
    <row r="64" customFormat="false" ht="15" hidden="false" customHeight="false" outlineLevel="0" collapsed="false">
      <c r="A64" s="26"/>
      <c r="B64" s="27" t="s">
        <v>42</v>
      </c>
      <c r="C64" s="26"/>
      <c r="D64" s="28" t="n">
        <f aca="false">SUM(D52:D63)</f>
        <v>440367.63</v>
      </c>
      <c r="E64" s="28" t="n">
        <f aca="false">SUM(E52:E63)</f>
        <v>0</v>
      </c>
      <c r="F64" s="28" t="n">
        <f aca="false">SUM(F52:F63)</f>
        <v>75111.72</v>
      </c>
      <c r="G64" s="28" t="n">
        <f aca="false">SUM(G52:G63)</f>
        <v>143094.91</v>
      </c>
      <c r="H64" s="28" t="n">
        <f aca="false">SUM(H52:H63)</f>
        <v>12702.8</v>
      </c>
      <c r="I64" s="28" t="n">
        <f aca="false">SUM(I52:I63)</f>
        <v>155797.71</v>
      </c>
      <c r="J64" s="28" t="n">
        <f aca="false">SUM(J52:J63)</f>
        <v>284569.92</v>
      </c>
      <c r="K64" s="26"/>
      <c r="L64" s="26"/>
    </row>
    <row r="66" customFormat="false" ht="15" hidden="false" customHeight="false" outlineLevel="0" collapsed="false">
      <c r="B66" s="18" t="s">
        <v>115</v>
      </c>
    </row>
    <row r="67" customFormat="false" ht="15" hidden="false" customHeight="false" outlineLevel="0" collapsed="false">
      <c r="B67" s="5" t="s">
        <v>108</v>
      </c>
      <c r="D67" s="6" t="n">
        <f aca="false">I48</f>
        <v>165218.78</v>
      </c>
    </row>
    <row r="68" customFormat="false" ht="15" hidden="false" customHeight="false" outlineLevel="0" collapsed="false">
      <c r="B68" s="5" t="s">
        <v>109</v>
      </c>
      <c r="D68" s="6" t="n">
        <f aca="false">I64</f>
        <v>155797.71</v>
      </c>
    </row>
    <row r="69" customFormat="false" ht="15" hidden="false" customHeight="false" outlineLevel="0" collapsed="false">
      <c r="B69" s="11" t="s">
        <v>115</v>
      </c>
      <c r="D69" s="29" t="n">
        <f aca="false">D67-D68</f>
        <v>9421.07000000001</v>
      </c>
    </row>
    <row r="71" customFormat="false" ht="15" hidden="false" customHeight="false" outlineLevel="0" collapsed="false">
      <c r="A71" s="10" t="s">
        <v>116</v>
      </c>
    </row>
    <row r="72" customFormat="false" ht="15" hidden="false" customHeight="false" outlineLevel="0" collapsed="false">
      <c r="B72" s="11" t="s">
        <v>143</v>
      </c>
      <c r="D72" s="12" t="n">
        <f aca="false">D109</f>
        <v>440367.63</v>
      </c>
    </row>
    <row r="73" customFormat="false" ht="15" hidden="false" customHeight="false" outlineLevel="0" collapsed="false">
      <c r="B73" s="5" t="s">
        <v>144</v>
      </c>
      <c r="D73" s="6" t="n">
        <f aca="false">F109</f>
        <v>91523.65</v>
      </c>
    </row>
    <row r="74" customFormat="false" ht="15" hidden="false" customHeight="false" outlineLevel="0" collapsed="false">
      <c r="B74" s="30" t="s">
        <v>119</v>
      </c>
      <c r="D74" s="31" t="n">
        <f aca="false">F110</f>
        <v>0.207834644885229</v>
      </c>
    </row>
    <row r="75" customFormat="false" ht="15" hidden="false" customHeight="false" outlineLevel="0" collapsed="false">
      <c r="B75" s="5" t="s">
        <v>145</v>
      </c>
      <c r="D75" s="6" t="n">
        <f aca="false">H109</f>
        <v>348843.98</v>
      </c>
    </row>
    <row r="76" customFormat="false" ht="15" hidden="false" customHeight="false" outlineLevel="0" collapsed="false">
      <c r="B76" s="30" t="s">
        <v>119</v>
      </c>
      <c r="D76" s="31" t="n">
        <f aca="false">H110</f>
        <v>0.792165355114771</v>
      </c>
    </row>
    <row r="78" customFormat="false" ht="15" hidden="false" customHeight="false" outlineLevel="0" collapsed="false">
      <c r="A78" s="10" t="s">
        <v>121</v>
      </c>
    </row>
    <row r="79" customFormat="false" ht="15" hidden="false" customHeight="false" outlineLevel="0" collapsed="false">
      <c r="B79" s="4" t="s">
        <v>122</v>
      </c>
      <c r="D79" s="4" t="s">
        <v>91</v>
      </c>
      <c r="F79" s="4" t="s">
        <v>146</v>
      </c>
      <c r="H79" s="4" t="s">
        <v>124</v>
      </c>
    </row>
    <row r="80" customFormat="false" ht="15" hidden="false" customHeight="false" outlineLevel="0" collapsed="false">
      <c r="B80" s="32" t="s">
        <v>147</v>
      </c>
    </row>
    <row r="81" customFormat="false" ht="15" hidden="false" customHeight="false" outlineLevel="0" collapsed="false">
      <c r="B81" s="5" t="s">
        <v>177</v>
      </c>
      <c r="D81" s="33" t="n">
        <f aca="false">SUM(F81:H81)</f>
        <v>14219.24</v>
      </c>
      <c r="F81" s="33" t="n">
        <v>14219.24</v>
      </c>
    </row>
    <row r="82" customFormat="false" ht="15" hidden="false" customHeight="false" outlineLevel="0" collapsed="false">
      <c r="B82" s="5" t="s">
        <v>148</v>
      </c>
      <c r="D82" s="33" t="n">
        <f aca="false">SUM(F82:H82)</f>
        <v>9652.73</v>
      </c>
      <c r="F82" s="33" t="n">
        <v>9652.73</v>
      </c>
    </row>
    <row r="83" customFormat="false" ht="15" hidden="false" customHeight="false" outlineLevel="0" collapsed="false">
      <c r="B83" s="5" t="s">
        <v>149</v>
      </c>
      <c r="D83" s="33" t="n">
        <f aca="false">SUM(F83:H83)</f>
        <v>33731.06</v>
      </c>
      <c r="F83" s="33" t="n">
        <v>33731.06</v>
      </c>
    </row>
    <row r="84" customFormat="false" ht="15" hidden="false" customHeight="false" outlineLevel="0" collapsed="false">
      <c r="B84" s="5" t="s">
        <v>178</v>
      </c>
      <c r="D84" s="33" t="n">
        <f aca="false">SUM(F84:H84)</f>
        <v>3552.78</v>
      </c>
      <c r="F84" s="33" t="n">
        <v>3552.78</v>
      </c>
    </row>
    <row r="85" customFormat="false" ht="15" hidden="false" customHeight="false" outlineLevel="0" collapsed="false">
      <c r="B85" s="5" t="s">
        <v>179</v>
      </c>
      <c r="D85" s="33" t="n">
        <f aca="false">SUM(F85:H85)</f>
        <v>297.35</v>
      </c>
      <c r="F85" s="33" t="n">
        <v>297.35</v>
      </c>
    </row>
    <row r="86" customFormat="false" ht="15" hidden="false" customHeight="false" outlineLevel="0" collapsed="false">
      <c r="B86" s="5" t="s">
        <v>151</v>
      </c>
      <c r="D86" s="33" t="n">
        <f aca="false">SUM(F86:H86)</f>
        <v>5540.41</v>
      </c>
      <c r="F86" s="33" t="n">
        <v>5540.41</v>
      </c>
    </row>
    <row r="87" customFormat="false" ht="15" hidden="false" customHeight="false" outlineLevel="0" collapsed="false">
      <c r="B87" s="5" t="s">
        <v>152</v>
      </c>
      <c r="D87" s="33" t="n">
        <f aca="false">SUM(F87:H87)</f>
        <v>2668.77</v>
      </c>
      <c r="F87" s="33" t="n">
        <v>2668.77</v>
      </c>
    </row>
    <row r="88" customFormat="false" ht="15" hidden="false" customHeight="false" outlineLevel="0" collapsed="false">
      <c r="B88" s="5" t="s">
        <v>180</v>
      </c>
      <c r="D88" s="33" t="n">
        <f aca="false">SUM(F88:H88)</f>
        <v>11469.05</v>
      </c>
      <c r="F88" s="33" t="n">
        <v>11469.05</v>
      </c>
    </row>
    <row r="89" customFormat="false" ht="15" hidden="false" customHeight="false" outlineLevel="0" collapsed="false">
      <c r="B89" s="5" t="s">
        <v>154</v>
      </c>
      <c r="D89" s="33" t="n">
        <f aca="false">SUM(F89:H89)</f>
        <v>886.65</v>
      </c>
      <c r="F89" s="33" t="n">
        <v>886.65</v>
      </c>
    </row>
    <row r="90" customFormat="false" ht="15" hidden="false" customHeight="false" outlineLevel="0" collapsed="false">
      <c r="B90" s="5" t="s">
        <v>156</v>
      </c>
      <c r="D90" s="33" t="n">
        <f aca="false">SUM(F90:H90)</f>
        <v>9505.61</v>
      </c>
      <c r="F90" s="33" t="n">
        <v>9505.61</v>
      </c>
    </row>
    <row r="91" customFormat="false" ht="15" hidden="false" customHeight="false" outlineLevel="0" collapsed="false">
      <c r="B91" s="32" t="s">
        <v>157</v>
      </c>
    </row>
    <row r="92" customFormat="false" ht="15" hidden="false" customHeight="false" outlineLevel="0" collapsed="false">
      <c r="B92" s="5" t="s">
        <v>158</v>
      </c>
      <c r="D92" s="33" t="n">
        <f aca="false">SUM(F92:H92)</f>
        <v>19629.66</v>
      </c>
      <c r="H92" s="33" t="n">
        <v>19629.66</v>
      </c>
    </row>
    <row r="93" customFormat="false" ht="15" hidden="false" customHeight="false" outlineLevel="0" collapsed="false">
      <c r="B93" s="5" t="s">
        <v>159</v>
      </c>
      <c r="D93" s="33" t="n">
        <f aca="false">SUM(F93:H93)</f>
        <v>23418.11</v>
      </c>
      <c r="H93" s="33" t="n">
        <v>23418.11</v>
      </c>
    </row>
    <row r="94" customFormat="false" ht="15" hidden="false" customHeight="false" outlineLevel="0" collapsed="false">
      <c r="B94" s="5" t="s">
        <v>160</v>
      </c>
      <c r="D94" s="33" t="n">
        <f aca="false">SUM(F94:H94)</f>
        <v>33997.34</v>
      </c>
      <c r="H94" s="33" t="n">
        <v>33997.34</v>
      </c>
    </row>
    <row r="95" customFormat="false" ht="15" hidden="false" customHeight="false" outlineLevel="0" collapsed="false">
      <c r="B95" s="5" t="s">
        <v>161</v>
      </c>
      <c r="D95" s="33" t="n">
        <f aca="false">SUM(F95:H95)</f>
        <v>26926.59</v>
      </c>
      <c r="H95" s="33" t="n">
        <v>26926.59</v>
      </c>
    </row>
    <row r="96" customFormat="false" ht="15" hidden="false" customHeight="false" outlineLevel="0" collapsed="false">
      <c r="B96" s="5" t="s">
        <v>162</v>
      </c>
      <c r="D96" s="33" t="n">
        <f aca="false">SUM(F96:H96)</f>
        <v>29553.7</v>
      </c>
      <c r="H96" s="33" t="n">
        <v>29553.7</v>
      </c>
    </row>
    <row r="97" customFormat="false" ht="15" hidden="false" customHeight="false" outlineLevel="0" collapsed="false">
      <c r="B97" s="5" t="s">
        <v>163</v>
      </c>
      <c r="D97" s="33" t="n">
        <f aca="false">SUM(F97:H97)</f>
        <v>1932.7</v>
      </c>
      <c r="H97" s="33" t="n">
        <v>1932.7</v>
      </c>
    </row>
    <row r="98" customFormat="false" ht="15" hidden="false" customHeight="false" outlineLevel="0" collapsed="false">
      <c r="B98" s="5" t="s">
        <v>164</v>
      </c>
      <c r="D98" s="33" t="n">
        <f aca="false">SUM(F98:H98)</f>
        <v>21649.45</v>
      </c>
      <c r="H98" s="33" t="n">
        <v>21649.45</v>
      </c>
    </row>
    <row r="99" customFormat="false" ht="15" hidden="false" customHeight="false" outlineLevel="0" collapsed="false">
      <c r="B99" s="5" t="s">
        <v>165</v>
      </c>
      <c r="D99" s="33" t="n">
        <f aca="false">SUM(F99:H99)</f>
        <v>18392.87</v>
      </c>
      <c r="H99" s="33" t="n">
        <v>18392.87</v>
      </c>
    </row>
    <row r="100" customFormat="false" ht="15" hidden="false" customHeight="false" outlineLevel="0" collapsed="false">
      <c r="B100" s="5" t="s">
        <v>166</v>
      </c>
      <c r="D100" s="33" t="n">
        <f aca="false">SUM(F100:H100)</f>
        <v>15659.18</v>
      </c>
      <c r="H100" s="33" t="n">
        <v>15659.18</v>
      </c>
    </row>
    <row r="101" customFormat="false" ht="15" hidden="false" customHeight="false" outlineLevel="0" collapsed="false">
      <c r="B101" s="5" t="s">
        <v>167</v>
      </c>
      <c r="D101" s="33" t="n">
        <f aca="false">SUM(F101:H101)</f>
        <v>15022.49</v>
      </c>
      <c r="H101" s="33" t="n">
        <v>15022.49</v>
      </c>
    </row>
    <row r="102" customFormat="false" ht="15" hidden="false" customHeight="false" outlineLevel="0" collapsed="false">
      <c r="B102" s="5" t="s">
        <v>168</v>
      </c>
      <c r="D102" s="33" t="n">
        <f aca="false">SUM(F102:H102)</f>
        <v>42580.32</v>
      </c>
      <c r="H102" s="33" t="n">
        <v>42580.32</v>
      </c>
    </row>
    <row r="103" customFormat="false" ht="15" hidden="false" customHeight="false" outlineLevel="0" collapsed="false">
      <c r="B103" s="5" t="s">
        <v>169</v>
      </c>
      <c r="D103" s="33" t="n">
        <f aca="false">SUM(F103:H103)</f>
        <v>17847.95</v>
      </c>
      <c r="H103" s="33" t="n">
        <v>17847.95</v>
      </c>
    </row>
    <row r="104" customFormat="false" ht="15" hidden="false" customHeight="false" outlineLevel="0" collapsed="false">
      <c r="B104" s="5" t="s">
        <v>170</v>
      </c>
      <c r="D104" s="33" t="n">
        <f aca="false">SUM(F104:H104)</f>
        <v>1064</v>
      </c>
      <c r="H104" s="33" t="n">
        <v>1064</v>
      </c>
    </row>
    <row r="105" customFormat="false" ht="15" hidden="false" customHeight="false" outlineLevel="0" collapsed="false">
      <c r="B105" s="5" t="s">
        <v>172</v>
      </c>
      <c r="D105" s="33" t="n">
        <f aca="false">SUM(F105:H105)</f>
        <v>61316.75</v>
      </c>
      <c r="H105" s="33" t="n">
        <v>61316.75</v>
      </c>
    </row>
    <row r="106" customFormat="false" ht="15" hidden="false" customHeight="false" outlineLevel="0" collapsed="false">
      <c r="B106" s="5" t="s">
        <v>181</v>
      </c>
      <c r="D106" s="33" t="n">
        <f aca="false">SUM(F106:H106)</f>
        <v>12561.26</v>
      </c>
      <c r="H106" s="33" t="n">
        <v>12561.26</v>
      </c>
    </row>
    <row r="107" customFormat="false" ht="15" hidden="false" customHeight="false" outlineLevel="0" collapsed="false">
      <c r="B107" s="5" t="s">
        <v>175</v>
      </c>
      <c r="D107" s="33" t="n">
        <f aca="false">SUM(F107:H107)</f>
        <v>3229.04</v>
      </c>
      <c r="H107" s="33" t="n">
        <v>3229.04</v>
      </c>
    </row>
    <row r="108" customFormat="false" ht="15" hidden="false" customHeight="false" outlineLevel="0" collapsed="false">
      <c r="B108" s="5" t="s">
        <v>182</v>
      </c>
      <c r="D108" s="33" t="n">
        <f aca="false">SUM(F108:H108)</f>
        <v>4062.57</v>
      </c>
      <c r="H108" s="33" t="n">
        <v>4062.57</v>
      </c>
    </row>
    <row r="109" customFormat="false" ht="15" hidden="false" customHeight="false" outlineLevel="0" collapsed="false">
      <c r="B109" s="11" t="s">
        <v>143</v>
      </c>
      <c r="D109" s="34" t="n">
        <f aca="false">SUM(D80:D108)</f>
        <v>440367.63</v>
      </c>
      <c r="F109" s="34" t="n">
        <f aca="false">SUM(F80:F108)</f>
        <v>91523.65</v>
      </c>
      <c r="H109" s="34" t="n">
        <f aca="false">SUM(H80:H108)</f>
        <v>348843.98</v>
      </c>
    </row>
    <row r="110" customFormat="false" ht="15" hidden="false" customHeight="false" outlineLevel="0" collapsed="false">
      <c r="B110" s="30" t="s">
        <v>119</v>
      </c>
      <c r="F110" s="31" t="n">
        <f aca="false">F109/D109</f>
        <v>0.207834644885229</v>
      </c>
      <c r="H110" s="31" t="n">
        <f aca="false">H109/D109</f>
        <v>0.792165355114771</v>
      </c>
    </row>
    <row r="112" customFormat="false" ht="15" hidden="false" customHeight="false" outlineLevel="0" collapsed="false">
      <c r="A112" s="10" t="s">
        <v>138</v>
      </c>
    </row>
    <row r="113" customFormat="false" ht="15" hidden="false" customHeight="false" outlineLevel="0" collapsed="false">
      <c r="B113" s="4" t="s">
        <v>139</v>
      </c>
      <c r="D113" s="4" t="s">
        <v>91</v>
      </c>
      <c r="F113" s="4" t="s">
        <v>146</v>
      </c>
      <c r="H113" s="4" t="s">
        <v>124</v>
      </c>
    </row>
    <row r="114" customFormat="false" ht="15" hidden="false" customHeight="false" outlineLevel="0" collapsed="false">
      <c r="B114" s="5" t="str">
        <f aca="false">M!B20</f>
        <v>Building - Apt - 5yr</v>
      </c>
      <c r="D114" s="33" t="n">
        <f aca="false">SUM(F114:H114)</f>
        <v>16357.03</v>
      </c>
      <c r="F114" s="33" t="n">
        <f aca="false">M!D20</f>
        <v>16357.03</v>
      </c>
    </row>
    <row r="115" customFormat="false" ht="15" hidden="false" customHeight="false" outlineLevel="0" collapsed="false">
      <c r="B115" s="5" t="str">
        <f aca="false">M!B21</f>
        <v>Building - Apt - 27.5yr</v>
      </c>
      <c r="D115" s="33" t="n">
        <f aca="false">SUM(F115:H115)</f>
        <v>62345.08</v>
      </c>
      <c r="H115" s="33" t="n">
        <f aca="false">M!D21</f>
        <v>62345.08</v>
      </c>
    </row>
    <row r="116" customFormat="false" ht="15" hidden="false" customHeight="false" outlineLevel="0" collapsed="false">
      <c r="B116" s="5" t="str">
        <f aca="false">M!B22</f>
        <v>Building Improvements - Apt - 5yr</v>
      </c>
      <c r="D116" s="33" t="n">
        <f aca="false">SUM(F116:H116)</f>
        <v>50404.95</v>
      </c>
      <c r="F116" s="33" t="n">
        <f aca="false">M!D22</f>
        <v>50404.95</v>
      </c>
    </row>
    <row r="117" customFormat="false" ht="15" hidden="false" customHeight="false" outlineLevel="0" collapsed="false">
      <c r="B117" s="5" t="str">
        <f aca="false">M!B23</f>
        <v>Building Improvements - Apt - 27.5yr</v>
      </c>
      <c r="D117" s="33" t="n">
        <f aca="false">SUM(F117:H117)</f>
        <v>192119.35</v>
      </c>
      <c r="H117" s="33" t="n">
        <f aca="false">M!D23</f>
        <v>192119.35</v>
      </c>
    </row>
    <row r="118" customFormat="false" ht="15" hidden="false" customHeight="false" outlineLevel="0" collapsed="false">
      <c r="B118" s="5" t="str">
        <f aca="false">M!B24</f>
        <v>Building Improvements - Apt - 5yr</v>
      </c>
      <c r="D118" s="33" t="n">
        <f aca="false">SUM(F118:H118)</f>
        <v>274.52</v>
      </c>
      <c r="F118" s="33" t="n">
        <f aca="false">M!D24</f>
        <v>274.52</v>
      </c>
    </row>
    <row r="119" customFormat="false" ht="15" hidden="false" customHeight="false" outlineLevel="0" collapsed="false">
      <c r="B119" s="5" t="str">
        <f aca="false">M!B25</f>
        <v>Building Improvements - Apt - 27.5yr</v>
      </c>
      <c r="D119" s="33" t="n">
        <f aca="false">SUM(F119:H119)</f>
        <v>1046.36</v>
      </c>
      <c r="H119" s="33" t="n">
        <f aca="false">M!D25</f>
        <v>1046.36</v>
      </c>
    </row>
    <row r="120" customFormat="false" ht="15" hidden="false" customHeight="false" outlineLevel="0" collapsed="false">
      <c r="B120" s="5" t="str">
        <f aca="false">M!B26</f>
        <v>Land Improvements - Apt - 5yr</v>
      </c>
      <c r="D120" s="33" t="n">
        <f aca="false">SUM(F120:H120)</f>
        <v>4006.32</v>
      </c>
      <c r="F120" s="33" t="n">
        <f aca="false">M!D26</f>
        <v>4006.32</v>
      </c>
    </row>
    <row r="121" customFormat="false" ht="15" hidden="false" customHeight="false" outlineLevel="0" collapsed="false">
      <c r="B121" s="5" t="str">
        <f aca="false">M!B27</f>
        <v>Land Improvements - Apt - 27.5yr</v>
      </c>
      <c r="D121" s="33" t="n">
        <f aca="false">SUM(F121:H121)</f>
        <v>15270.15</v>
      </c>
      <c r="H121" s="33" t="n">
        <f aca="false">M!D27</f>
        <v>15270.15</v>
      </c>
    </row>
    <row r="122" customFormat="false" ht="15" hidden="false" customHeight="false" outlineLevel="0" collapsed="false">
      <c r="B122" s="5" t="str">
        <f aca="false">M!B28</f>
        <v>Land Improvements - Apt - 5yr</v>
      </c>
      <c r="D122" s="33" t="n">
        <f aca="false">SUM(F122:H122)</f>
        <v>8058.95</v>
      </c>
      <c r="F122" s="33" t="n">
        <f aca="false">M!D28</f>
        <v>8058.95</v>
      </c>
    </row>
    <row r="123" customFormat="false" ht="15" hidden="false" customHeight="false" outlineLevel="0" collapsed="false">
      <c r="B123" s="5" t="str">
        <f aca="false">M!B29</f>
        <v>Land Improvements - Apt - 27.5yr</v>
      </c>
      <c r="D123" s="33" t="n">
        <f aca="false">SUM(F123:H123)</f>
        <v>30716.81</v>
      </c>
      <c r="H123" s="33" t="n">
        <f aca="false">M!D29</f>
        <v>30716.81</v>
      </c>
    </row>
    <row r="124" customFormat="false" ht="15" hidden="false" customHeight="false" outlineLevel="0" collapsed="false">
      <c r="B124" s="5" t="str">
        <f aca="false">M!B30</f>
        <v>Equipment - Apt - 5yr</v>
      </c>
      <c r="D124" s="33" t="n">
        <f aca="false">SUM(F124:H124)</f>
        <v>12421.88</v>
      </c>
      <c r="F124" s="33" t="n">
        <f aca="false">M!D30</f>
        <v>12421.88</v>
      </c>
    </row>
    <row r="125" customFormat="false" ht="15" hidden="false" customHeight="false" outlineLevel="0" collapsed="false">
      <c r="B125" s="5" t="str">
        <f aca="false">M!B31</f>
        <v>Equipment - Apt - 27.5yr</v>
      </c>
      <c r="D125" s="33" t="n">
        <f aca="false">SUM(F125:H125)</f>
        <v>47346.23</v>
      </c>
      <c r="H125" s="33" t="n">
        <f aca="false">M!D31</f>
        <v>47346.23</v>
      </c>
    </row>
    <row r="126" customFormat="false" ht="15" hidden="false" customHeight="false" outlineLevel="0" collapsed="false">
      <c r="B126" s="11" t="s">
        <v>140</v>
      </c>
      <c r="D126" s="34" t="n">
        <f aca="false">SUM(D114:D125)</f>
        <v>440367.63</v>
      </c>
      <c r="F126" s="34" t="n">
        <f aca="false">SUM(F114:F125)</f>
        <v>91523.65</v>
      </c>
      <c r="H126" s="34" t="n">
        <f aca="false">SUM(H114:H125)</f>
        <v>348843.98</v>
      </c>
    </row>
    <row r="127" customFormat="false" ht="15" hidden="false" customHeight="false" outlineLevel="0" collapsed="false">
      <c r="B127" s="16" t="s">
        <v>141</v>
      </c>
      <c r="D127" s="17" t="n">
        <f aca="false">D126-D109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195</v>
      </c>
    </row>
    <row r="5" customFormat="false" ht="15" hidden="false" customHeight="false" outlineLevel="0" collapsed="false">
      <c r="A5" s="16" t="s">
        <v>85</v>
      </c>
    </row>
    <row r="7" customFormat="false" ht="15" hidden="false" customHeight="false" outlineLevel="0" collapsed="false">
      <c r="A7" s="10" t="s">
        <v>86</v>
      </c>
    </row>
    <row r="8" customFormat="false" ht="15" hidden="false" customHeight="false" outlineLevel="0" collapsed="false">
      <c r="A8" s="21" t="s">
        <v>87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</row>
    <row r="10" customFormat="false" ht="15" hidden="false" customHeight="false" outlineLevel="0" collapsed="false">
      <c r="A10" s="23" t="n">
        <v>1</v>
      </c>
      <c r="B10" s="23" t="s">
        <v>39</v>
      </c>
      <c r="C10" s="23" t="s">
        <v>38</v>
      </c>
      <c r="D10" s="24" t="n">
        <v>68710</v>
      </c>
      <c r="E10" s="24" t="n">
        <v>0</v>
      </c>
      <c r="F10" s="24" t="n">
        <v>0</v>
      </c>
      <c r="G10" s="24" t="n">
        <v>18283</v>
      </c>
      <c r="H10" s="24" t="n">
        <v>2498</v>
      </c>
      <c r="I10" s="24" t="n">
        <f aca="false">G10+H10</f>
        <v>20781</v>
      </c>
      <c r="J10" s="24" t="n">
        <f aca="false">D10-I10</f>
        <v>47929</v>
      </c>
      <c r="K10" s="25" t="s">
        <v>100</v>
      </c>
      <c r="L10" s="25" t="s">
        <v>101</v>
      </c>
    </row>
    <row r="11" customFormat="false" ht="15" hidden="false" customHeight="false" outlineLevel="0" collapsed="false">
      <c r="A11" s="23" t="n">
        <v>2</v>
      </c>
      <c r="B11" s="23" t="s">
        <v>39</v>
      </c>
      <c r="C11" s="23" t="s">
        <v>40</v>
      </c>
      <c r="D11" s="24" t="n">
        <v>5854</v>
      </c>
      <c r="E11" s="24" t="n">
        <v>0</v>
      </c>
      <c r="F11" s="24" t="n">
        <v>0</v>
      </c>
      <c r="G11" s="24" t="n">
        <v>1345</v>
      </c>
      <c r="H11" s="24" t="n">
        <v>213</v>
      </c>
      <c r="I11" s="24" t="n">
        <f aca="false">G11+H11</f>
        <v>1558</v>
      </c>
      <c r="J11" s="24" t="n">
        <f aca="false">D11-I11</f>
        <v>4296</v>
      </c>
      <c r="K11" s="25" t="s">
        <v>100</v>
      </c>
      <c r="L11" s="25" t="s">
        <v>101</v>
      </c>
    </row>
    <row r="12" customFormat="false" ht="15" hidden="false" customHeight="false" outlineLevel="0" collapsed="false">
      <c r="A12" s="23" t="n">
        <v>3</v>
      </c>
      <c r="B12" s="23" t="s">
        <v>39</v>
      </c>
      <c r="C12" s="23" t="s">
        <v>41</v>
      </c>
      <c r="D12" s="24" t="n">
        <v>118173</v>
      </c>
      <c r="E12" s="24" t="n">
        <v>0</v>
      </c>
      <c r="F12" s="24" t="n">
        <v>0</v>
      </c>
      <c r="G12" s="24" t="n">
        <v>12827</v>
      </c>
      <c r="H12" s="24" t="n">
        <v>4297</v>
      </c>
      <c r="I12" s="24" t="n">
        <f aca="false">G12+H12</f>
        <v>17124</v>
      </c>
      <c r="J12" s="24" t="n">
        <f aca="false">D12-I12</f>
        <v>101049</v>
      </c>
      <c r="K12" s="25" t="s">
        <v>100</v>
      </c>
      <c r="L12" s="25" t="s">
        <v>101</v>
      </c>
    </row>
    <row r="13" customFormat="false" ht="15" hidden="false" customHeight="false" outlineLevel="0" collapsed="false">
      <c r="A13" s="26"/>
      <c r="B13" s="27" t="s">
        <v>42</v>
      </c>
      <c r="C13" s="26"/>
      <c r="D13" s="28" t="n">
        <f aca="false">SUM(D10:D12)</f>
        <v>192737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32455</v>
      </c>
      <c r="H13" s="28" t="n">
        <f aca="false">SUM(H10:H12)</f>
        <v>7008</v>
      </c>
      <c r="I13" s="28" t="n">
        <f aca="false">SUM(I10:I12)</f>
        <v>39463</v>
      </c>
      <c r="J13" s="28" t="n">
        <f aca="false">SUM(J10:J12)</f>
        <v>153274</v>
      </c>
      <c r="K13" s="26"/>
      <c r="L13" s="26"/>
    </row>
    <row r="15" customFormat="false" ht="15" hidden="false" customHeight="false" outlineLevel="0" collapsed="false">
      <c r="A15" s="21" t="s">
        <v>106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88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93</v>
      </c>
      <c r="G16" s="4" t="s">
        <v>94</v>
      </c>
      <c r="H16" s="4" t="s">
        <v>95</v>
      </c>
      <c r="I16" s="4" t="s">
        <v>96</v>
      </c>
      <c r="J16" s="4" t="s">
        <v>97</v>
      </c>
      <c r="K16" s="4" t="s">
        <v>98</v>
      </c>
      <c r="L16" s="4" t="s">
        <v>99</v>
      </c>
    </row>
    <row r="17" customFormat="false" ht="15" hidden="false" customHeight="false" outlineLevel="0" collapsed="false">
      <c r="A17" s="23" t="n">
        <v>1</v>
      </c>
      <c r="B17" s="23" t="s">
        <v>68</v>
      </c>
      <c r="C17" s="23" t="s">
        <v>38</v>
      </c>
      <c r="D17" s="24" t="n">
        <v>68710</v>
      </c>
      <c r="E17" s="24" t="n">
        <v>0</v>
      </c>
      <c r="F17" s="24" t="n">
        <v>34355</v>
      </c>
      <c r="G17" s="24" t="n">
        <v>68710</v>
      </c>
      <c r="H17" s="24" t="n">
        <v>0</v>
      </c>
      <c r="I17" s="24" t="n">
        <f aca="false">G17+H17</f>
        <v>68710</v>
      </c>
      <c r="J17" s="24" t="n">
        <f aca="false">D17-I17</f>
        <v>0</v>
      </c>
      <c r="K17" s="25" t="s">
        <v>104</v>
      </c>
      <c r="L17" s="25" t="s">
        <v>105</v>
      </c>
    </row>
    <row r="18" customFormat="false" ht="15" hidden="false" customHeight="false" outlineLevel="0" collapsed="false">
      <c r="A18" s="23" t="n">
        <v>2</v>
      </c>
      <c r="B18" s="23" t="s">
        <v>68</v>
      </c>
      <c r="C18" s="23" t="s">
        <v>40</v>
      </c>
      <c r="D18" s="24" t="n">
        <v>5854</v>
      </c>
      <c r="E18" s="24" t="n">
        <v>0</v>
      </c>
      <c r="F18" s="24" t="n">
        <v>2927</v>
      </c>
      <c r="G18" s="24" t="n">
        <v>5854</v>
      </c>
      <c r="H18" s="24" t="n">
        <v>0</v>
      </c>
      <c r="I18" s="24" t="n">
        <f aca="false">G18+H18</f>
        <v>5854</v>
      </c>
      <c r="J18" s="24" t="n">
        <f aca="false">D18-I18</f>
        <v>0</v>
      </c>
      <c r="K18" s="25" t="s">
        <v>104</v>
      </c>
      <c r="L18" s="25" t="s">
        <v>105</v>
      </c>
    </row>
    <row r="19" customFormat="false" ht="15" hidden="false" customHeight="false" outlineLevel="0" collapsed="false">
      <c r="A19" s="23" t="n">
        <v>3</v>
      </c>
      <c r="B19" s="23" t="s">
        <v>69</v>
      </c>
      <c r="C19" s="23" t="s">
        <v>41</v>
      </c>
      <c r="D19" s="24" t="n">
        <v>77000</v>
      </c>
      <c r="E19" s="24" t="n">
        <v>0</v>
      </c>
      <c r="F19" s="24" t="n">
        <v>77000</v>
      </c>
      <c r="G19" s="24" t="n">
        <v>77000</v>
      </c>
      <c r="H19" s="24" t="n">
        <v>0</v>
      </c>
      <c r="I19" s="24" t="n">
        <f aca="false">G19+H19</f>
        <v>77000</v>
      </c>
      <c r="J19" s="24" t="n">
        <f aca="false">D19-I19</f>
        <v>0</v>
      </c>
      <c r="K19" s="25" t="s">
        <v>102</v>
      </c>
      <c r="L19" s="25" t="s">
        <v>103</v>
      </c>
    </row>
    <row r="20" customFormat="false" ht="15" hidden="false" customHeight="false" outlineLevel="0" collapsed="false">
      <c r="A20" s="23" t="n">
        <v>4</v>
      </c>
      <c r="B20" s="23" t="s">
        <v>70</v>
      </c>
      <c r="C20" s="23" t="s">
        <v>41</v>
      </c>
      <c r="D20" s="24" t="n">
        <v>41173</v>
      </c>
      <c r="E20" s="24" t="n">
        <v>0</v>
      </c>
      <c r="F20" s="24" t="n">
        <v>0</v>
      </c>
      <c r="G20" s="24" t="n">
        <v>9295.12</v>
      </c>
      <c r="H20" s="24" t="n">
        <v>1497.2</v>
      </c>
      <c r="I20" s="24" t="n">
        <f aca="false">G20+H20</f>
        <v>10792.32</v>
      </c>
      <c r="J20" s="24" t="n">
        <f aca="false">D20-I20</f>
        <v>30380.68</v>
      </c>
      <c r="K20" s="25" t="s">
        <v>100</v>
      </c>
      <c r="L20" s="25" t="s">
        <v>101</v>
      </c>
    </row>
    <row r="21" customFormat="false" ht="15" hidden="false" customHeight="false" outlineLevel="0" collapsed="false">
      <c r="A21" s="26"/>
      <c r="B21" s="27" t="s">
        <v>42</v>
      </c>
      <c r="C21" s="26"/>
      <c r="D21" s="28" t="n">
        <f aca="false">SUM(D17:D20)</f>
        <v>192737</v>
      </c>
      <c r="E21" s="28" t="n">
        <f aca="false">SUM(E17:E20)</f>
        <v>0</v>
      </c>
      <c r="F21" s="28" t="n">
        <f aca="false">SUM(F17:F20)</f>
        <v>114282</v>
      </c>
      <c r="G21" s="28" t="n">
        <f aca="false">SUM(G17:G20)</f>
        <v>160859.12</v>
      </c>
      <c r="H21" s="28" t="n">
        <f aca="false">SUM(H17:H20)</f>
        <v>1497.2</v>
      </c>
      <c r="I21" s="28" t="n">
        <f aca="false">SUM(I17:I20)</f>
        <v>162356.32</v>
      </c>
      <c r="J21" s="28" t="n">
        <f aca="false">SUM(J17:J20)</f>
        <v>30380.68</v>
      </c>
      <c r="K21" s="26"/>
      <c r="L21" s="26"/>
    </row>
    <row r="23" customFormat="false" ht="15" hidden="false" customHeight="false" outlineLevel="0" collapsed="false">
      <c r="B23" s="18" t="s">
        <v>107</v>
      </c>
    </row>
    <row r="24" customFormat="false" ht="15" hidden="false" customHeight="false" outlineLevel="0" collapsed="false">
      <c r="B24" s="5" t="s">
        <v>108</v>
      </c>
      <c r="D24" s="6" t="n">
        <f aca="false">I13</f>
        <v>39463</v>
      </c>
    </row>
    <row r="25" customFormat="false" ht="15" hidden="false" customHeight="false" outlineLevel="0" collapsed="false">
      <c r="B25" s="5" t="s">
        <v>109</v>
      </c>
      <c r="D25" s="6" t="n">
        <f aca="false">I21</f>
        <v>162356.32</v>
      </c>
    </row>
    <row r="26" customFormat="false" ht="15" hidden="false" customHeight="false" outlineLevel="0" collapsed="false">
      <c r="B26" s="11" t="s">
        <v>107</v>
      </c>
      <c r="D26" s="29" t="n">
        <f aca="false">D24-D25</f>
        <v>-122893.32</v>
      </c>
    </row>
    <row r="28" customFormat="false" ht="15" hidden="false" customHeight="false" outlineLevel="0" collapsed="false">
      <c r="A28" s="10" t="s">
        <v>110</v>
      </c>
    </row>
    <row r="29" customFormat="false" ht="15" hidden="false" customHeight="false" outlineLevel="0" collapsed="false">
      <c r="A29" s="21" t="s">
        <v>111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customFormat="false" ht="22.35" hidden="false" customHeight="false" outlineLevel="0" collapsed="false">
      <c r="A30" s="4" t="s">
        <v>88</v>
      </c>
      <c r="B30" s="4" t="s">
        <v>89</v>
      </c>
      <c r="C30" s="4" t="s">
        <v>90</v>
      </c>
      <c r="D30" s="4" t="s">
        <v>91</v>
      </c>
      <c r="E30" s="4" t="s">
        <v>92</v>
      </c>
      <c r="F30" s="4" t="s">
        <v>93</v>
      </c>
      <c r="G30" s="4" t="s">
        <v>112</v>
      </c>
      <c r="H30" s="4" t="s">
        <v>113</v>
      </c>
      <c r="I30" s="4" t="s">
        <v>96</v>
      </c>
      <c r="J30" s="4" t="s">
        <v>97</v>
      </c>
      <c r="K30" s="4" t="s">
        <v>98</v>
      </c>
      <c r="L30" s="4" t="s">
        <v>99</v>
      </c>
    </row>
    <row r="31" customFormat="false" ht="15" hidden="false" customHeight="false" outlineLevel="0" collapsed="false">
      <c r="A31" s="23" t="n">
        <v>1</v>
      </c>
      <c r="B31" s="23" t="s">
        <v>39</v>
      </c>
      <c r="C31" s="23" t="s">
        <v>38</v>
      </c>
      <c r="D31" s="24" t="n">
        <v>68710</v>
      </c>
      <c r="E31" s="24" t="n">
        <v>0</v>
      </c>
      <c r="F31" s="24" t="n">
        <v>0</v>
      </c>
      <c r="G31" s="24" t="n">
        <v>18283</v>
      </c>
      <c r="H31" s="24" t="n">
        <v>2498</v>
      </c>
      <c r="I31" s="24" t="n">
        <f aca="false">G31+H31</f>
        <v>20781</v>
      </c>
      <c r="J31" s="24" t="n">
        <f aca="false">D31-I31</f>
        <v>47929</v>
      </c>
      <c r="K31" s="25" t="s">
        <v>100</v>
      </c>
      <c r="L31" s="25" t="s">
        <v>101</v>
      </c>
    </row>
    <row r="32" customFormat="false" ht="15" hidden="false" customHeight="false" outlineLevel="0" collapsed="false">
      <c r="A32" s="23" t="n">
        <v>2</v>
      </c>
      <c r="B32" s="23" t="s">
        <v>39</v>
      </c>
      <c r="C32" s="23" t="s">
        <v>40</v>
      </c>
      <c r="D32" s="24" t="n">
        <v>5854</v>
      </c>
      <c r="E32" s="24" t="n">
        <v>0</v>
      </c>
      <c r="F32" s="24" t="n">
        <v>0</v>
      </c>
      <c r="G32" s="24" t="n">
        <v>1345</v>
      </c>
      <c r="H32" s="24" t="n">
        <v>213</v>
      </c>
      <c r="I32" s="24" t="n">
        <f aca="false">G32+H32</f>
        <v>1558</v>
      </c>
      <c r="J32" s="24" t="n">
        <f aca="false">D32-I32</f>
        <v>4296</v>
      </c>
      <c r="K32" s="25" t="s">
        <v>100</v>
      </c>
      <c r="L32" s="25" t="s">
        <v>101</v>
      </c>
    </row>
    <row r="33" customFormat="false" ht="15" hidden="false" customHeight="false" outlineLevel="0" collapsed="false">
      <c r="A33" s="23" t="n">
        <v>3</v>
      </c>
      <c r="B33" s="23" t="s">
        <v>39</v>
      </c>
      <c r="C33" s="23" t="s">
        <v>41</v>
      </c>
      <c r="D33" s="24" t="n">
        <v>118173</v>
      </c>
      <c r="E33" s="24" t="n">
        <v>0</v>
      </c>
      <c r="F33" s="24" t="n">
        <v>0</v>
      </c>
      <c r="G33" s="24" t="n">
        <v>12827</v>
      </c>
      <c r="H33" s="24" t="n">
        <v>4297</v>
      </c>
      <c r="I33" s="24" t="n">
        <f aca="false">G33+H33</f>
        <v>17124</v>
      </c>
      <c r="J33" s="24" t="n">
        <f aca="false">D33-I33</f>
        <v>101049</v>
      </c>
      <c r="K33" s="25" t="s">
        <v>100</v>
      </c>
      <c r="L33" s="25" t="s">
        <v>101</v>
      </c>
    </row>
    <row r="34" customFormat="false" ht="15" hidden="false" customHeight="false" outlineLevel="0" collapsed="false">
      <c r="A34" s="26"/>
      <c r="B34" s="27" t="s">
        <v>42</v>
      </c>
      <c r="C34" s="26"/>
      <c r="D34" s="28" t="n">
        <f aca="false">SUM(D31:D33)</f>
        <v>192737</v>
      </c>
      <c r="E34" s="28" t="n">
        <f aca="false">SUM(E31:E33)</f>
        <v>0</v>
      </c>
      <c r="F34" s="28" t="n">
        <f aca="false">SUM(F31:F33)</f>
        <v>0</v>
      </c>
      <c r="G34" s="28" t="n">
        <f aca="false">SUM(G31:G33)</f>
        <v>32455</v>
      </c>
      <c r="H34" s="28" t="n">
        <f aca="false">SUM(H31:H33)</f>
        <v>7008</v>
      </c>
      <c r="I34" s="28" t="n">
        <f aca="false">SUM(I31:I33)</f>
        <v>39463</v>
      </c>
      <c r="J34" s="28" t="n">
        <f aca="false">SUM(J31:J33)</f>
        <v>153274</v>
      </c>
      <c r="K34" s="26"/>
      <c r="L34" s="26"/>
    </row>
    <row r="36" customFormat="false" ht="15" hidden="false" customHeight="false" outlineLevel="0" collapsed="false">
      <c r="A36" s="21" t="s">
        <v>114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customFormat="false" ht="22.35" hidden="false" customHeight="false" outlineLevel="0" collapsed="false">
      <c r="A37" s="4" t="s">
        <v>88</v>
      </c>
      <c r="B37" s="4" t="s">
        <v>89</v>
      </c>
      <c r="C37" s="4" t="s">
        <v>90</v>
      </c>
      <c r="D37" s="4" t="s">
        <v>91</v>
      </c>
      <c r="E37" s="4" t="s">
        <v>92</v>
      </c>
      <c r="F37" s="4" t="s">
        <v>93</v>
      </c>
      <c r="G37" s="4" t="s">
        <v>112</v>
      </c>
      <c r="H37" s="4" t="s">
        <v>113</v>
      </c>
      <c r="I37" s="4" t="s">
        <v>96</v>
      </c>
      <c r="J37" s="4" t="s">
        <v>97</v>
      </c>
      <c r="K37" s="4" t="s">
        <v>98</v>
      </c>
      <c r="L37" s="4" t="s">
        <v>99</v>
      </c>
    </row>
    <row r="38" customFormat="false" ht="15" hidden="false" customHeight="false" outlineLevel="0" collapsed="false">
      <c r="A38" s="23" t="n">
        <v>1</v>
      </c>
      <c r="B38" s="23" t="s">
        <v>68</v>
      </c>
      <c r="C38" s="23" t="s">
        <v>38</v>
      </c>
      <c r="D38" s="24" t="n">
        <v>68710</v>
      </c>
      <c r="E38" s="24" t="n">
        <v>0</v>
      </c>
      <c r="F38" s="24" t="n">
        <v>34355</v>
      </c>
      <c r="G38" s="24" t="n">
        <v>68710</v>
      </c>
      <c r="H38" s="24" t="n">
        <v>0</v>
      </c>
      <c r="I38" s="24" t="n">
        <f aca="false">G38+H38</f>
        <v>68710</v>
      </c>
      <c r="J38" s="24" t="n">
        <f aca="false">D38-I38</f>
        <v>0</v>
      </c>
      <c r="K38" s="25" t="s">
        <v>104</v>
      </c>
      <c r="L38" s="25" t="s">
        <v>105</v>
      </c>
    </row>
    <row r="39" customFormat="false" ht="15" hidden="false" customHeight="false" outlineLevel="0" collapsed="false">
      <c r="A39" s="23" t="n">
        <v>2</v>
      </c>
      <c r="B39" s="23" t="s">
        <v>68</v>
      </c>
      <c r="C39" s="23" t="s">
        <v>40</v>
      </c>
      <c r="D39" s="24" t="n">
        <v>5854</v>
      </c>
      <c r="E39" s="24" t="n">
        <v>0</v>
      </c>
      <c r="F39" s="24" t="n">
        <v>2927</v>
      </c>
      <c r="G39" s="24" t="n">
        <v>5854</v>
      </c>
      <c r="H39" s="24" t="n">
        <v>0</v>
      </c>
      <c r="I39" s="24" t="n">
        <f aca="false">G39+H39</f>
        <v>5854</v>
      </c>
      <c r="J39" s="24" t="n">
        <f aca="false">D39-I39</f>
        <v>0</v>
      </c>
      <c r="K39" s="25" t="s">
        <v>104</v>
      </c>
      <c r="L39" s="25" t="s">
        <v>105</v>
      </c>
    </row>
    <row r="40" customFormat="false" ht="15" hidden="false" customHeight="false" outlineLevel="0" collapsed="false">
      <c r="A40" s="23" t="n">
        <v>3</v>
      </c>
      <c r="B40" s="23" t="s">
        <v>69</v>
      </c>
      <c r="C40" s="23" t="s">
        <v>41</v>
      </c>
      <c r="D40" s="24" t="n">
        <v>77000</v>
      </c>
      <c r="E40" s="24" t="n">
        <v>0</v>
      </c>
      <c r="F40" s="24" t="n">
        <v>77000</v>
      </c>
      <c r="G40" s="24" t="n">
        <v>77000</v>
      </c>
      <c r="H40" s="24" t="n">
        <v>0</v>
      </c>
      <c r="I40" s="24" t="n">
        <f aca="false">G40+H40</f>
        <v>77000</v>
      </c>
      <c r="J40" s="24" t="n">
        <f aca="false">D40-I40</f>
        <v>0</v>
      </c>
      <c r="K40" s="25" t="s">
        <v>102</v>
      </c>
      <c r="L40" s="25" t="s">
        <v>103</v>
      </c>
    </row>
    <row r="41" customFormat="false" ht="15" hidden="false" customHeight="false" outlineLevel="0" collapsed="false">
      <c r="A41" s="23" t="n">
        <v>4</v>
      </c>
      <c r="B41" s="23" t="s">
        <v>70</v>
      </c>
      <c r="C41" s="23" t="s">
        <v>41</v>
      </c>
      <c r="D41" s="24" t="n">
        <v>41173</v>
      </c>
      <c r="E41" s="24" t="n">
        <v>0</v>
      </c>
      <c r="F41" s="24" t="n">
        <v>0</v>
      </c>
      <c r="G41" s="24" t="n">
        <v>9295.12</v>
      </c>
      <c r="H41" s="24" t="n">
        <v>1497.2</v>
      </c>
      <c r="I41" s="24" t="n">
        <f aca="false">G41+H41</f>
        <v>10792.32</v>
      </c>
      <c r="J41" s="24" t="n">
        <f aca="false">D41-I41</f>
        <v>30380.68</v>
      </c>
      <c r="K41" s="25" t="s">
        <v>100</v>
      </c>
      <c r="L41" s="25" t="s">
        <v>101</v>
      </c>
    </row>
    <row r="42" customFormat="false" ht="15" hidden="false" customHeight="false" outlineLevel="0" collapsed="false">
      <c r="A42" s="26"/>
      <c r="B42" s="27" t="s">
        <v>42</v>
      </c>
      <c r="C42" s="26"/>
      <c r="D42" s="28" t="n">
        <f aca="false">SUM(D38:D41)</f>
        <v>192737</v>
      </c>
      <c r="E42" s="28" t="n">
        <f aca="false">SUM(E38:E41)</f>
        <v>0</v>
      </c>
      <c r="F42" s="28" t="n">
        <f aca="false">SUM(F38:F41)</f>
        <v>114282</v>
      </c>
      <c r="G42" s="28" t="n">
        <f aca="false">SUM(G38:G41)</f>
        <v>160859.12</v>
      </c>
      <c r="H42" s="28" t="n">
        <f aca="false">SUM(H38:H41)</f>
        <v>1497.2</v>
      </c>
      <c r="I42" s="28" t="n">
        <f aca="false">SUM(I38:I41)</f>
        <v>162356.32</v>
      </c>
      <c r="J42" s="28" t="n">
        <f aca="false">SUM(J38:J41)</f>
        <v>30380.68</v>
      </c>
      <c r="K42" s="26"/>
      <c r="L42" s="26"/>
    </row>
    <row r="44" customFormat="false" ht="15" hidden="false" customHeight="false" outlineLevel="0" collapsed="false">
      <c r="B44" s="18" t="s">
        <v>115</v>
      </c>
    </row>
    <row r="45" customFormat="false" ht="15" hidden="false" customHeight="false" outlineLevel="0" collapsed="false">
      <c r="B45" s="5" t="s">
        <v>108</v>
      </c>
      <c r="D45" s="6" t="n">
        <f aca="false">I34</f>
        <v>39463</v>
      </c>
    </row>
    <row r="46" customFormat="false" ht="15" hidden="false" customHeight="false" outlineLevel="0" collapsed="false">
      <c r="B46" s="5" t="s">
        <v>109</v>
      </c>
      <c r="D46" s="6" t="n">
        <f aca="false">I42</f>
        <v>162356.32</v>
      </c>
    </row>
    <row r="47" customFormat="false" ht="15" hidden="false" customHeight="false" outlineLevel="0" collapsed="false">
      <c r="B47" s="11" t="s">
        <v>115</v>
      </c>
      <c r="D47" s="29" t="n">
        <f aca="false">D45-D46</f>
        <v>-122893.32</v>
      </c>
    </row>
    <row r="49" customFormat="false" ht="15" hidden="false" customHeight="false" outlineLevel="0" collapsed="false">
      <c r="A49" s="10" t="s">
        <v>116</v>
      </c>
    </row>
    <row r="50" customFormat="false" ht="15" hidden="false" customHeight="false" outlineLevel="0" collapsed="false">
      <c r="B50" s="11" t="s">
        <v>143</v>
      </c>
      <c r="D50" s="12" t="n">
        <f aca="false">D67</f>
        <v>192737</v>
      </c>
    </row>
    <row r="51" customFormat="false" ht="15" hidden="false" customHeight="false" outlineLevel="0" collapsed="false">
      <c r="B51" s="5" t="s">
        <v>144</v>
      </c>
      <c r="D51" s="6" t="n">
        <f aca="false">F67</f>
        <v>74564</v>
      </c>
    </row>
    <row r="52" customFormat="false" ht="15" hidden="false" customHeight="false" outlineLevel="0" collapsed="false">
      <c r="B52" s="30" t="s">
        <v>119</v>
      </c>
      <c r="D52" s="31" t="n">
        <f aca="false">F68</f>
        <v>0.386869153302168</v>
      </c>
    </row>
    <row r="53" customFormat="false" ht="15" hidden="false" customHeight="false" outlineLevel="0" collapsed="false">
      <c r="B53" s="5" t="s">
        <v>118</v>
      </c>
      <c r="D53" s="6" t="n">
        <f aca="false">H67</f>
        <v>77000</v>
      </c>
    </row>
    <row r="54" customFormat="false" ht="15" hidden="false" customHeight="false" outlineLevel="0" collapsed="false">
      <c r="B54" s="30" t="s">
        <v>119</v>
      </c>
      <c r="D54" s="31" t="n">
        <f aca="false">H68</f>
        <v>0.399508138032656</v>
      </c>
    </row>
    <row r="55" customFormat="false" ht="15" hidden="false" customHeight="false" outlineLevel="0" collapsed="false">
      <c r="B55" s="5" t="s">
        <v>145</v>
      </c>
      <c r="D55" s="6" t="n">
        <f aca="false">J67</f>
        <v>41173</v>
      </c>
    </row>
    <row r="56" customFormat="false" ht="15" hidden="false" customHeight="false" outlineLevel="0" collapsed="false">
      <c r="B56" s="30" t="s">
        <v>119</v>
      </c>
      <c r="D56" s="31" t="n">
        <f aca="false">J68</f>
        <v>0.213622708665176</v>
      </c>
    </row>
    <row r="58" customFormat="false" ht="15" hidden="false" customHeight="false" outlineLevel="0" collapsed="false">
      <c r="A58" s="10" t="s">
        <v>121</v>
      </c>
    </row>
    <row r="59" customFormat="false" ht="15" hidden="false" customHeight="false" outlineLevel="0" collapsed="false">
      <c r="B59" s="4" t="s">
        <v>122</v>
      </c>
      <c r="D59" s="4" t="s">
        <v>91</v>
      </c>
      <c r="F59" s="4" t="s">
        <v>146</v>
      </c>
      <c r="H59" s="4" t="s">
        <v>123</v>
      </c>
      <c r="J59" s="4" t="s">
        <v>124</v>
      </c>
    </row>
    <row r="60" customFormat="false" ht="15" hidden="false" customHeight="false" outlineLevel="0" collapsed="false">
      <c r="B60" s="32" t="s">
        <v>147</v>
      </c>
    </row>
    <row r="61" customFormat="false" ht="15" hidden="false" customHeight="false" outlineLevel="0" collapsed="false">
      <c r="B61" s="5" t="s">
        <v>196</v>
      </c>
      <c r="D61" s="33" t="n">
        <f aca="false">SUM(F61:J61)</f>
        <v>74564</v>
      </c>
      <c r="F61" s="33" t="n">
        <v>74564</v>
      </c>
    </row>
    <row r="62" customFormat="false" ht="15" hidden="false" customHeight="false" outlineLevel="0" collapsed="false">
      <c r="B62" s="32" t="s">
        <v>125</v>
      </c>
    </row>
    <row r="63" customFormat="false" ht="15" hidden="false" customHeight="false" outlineLevel="0" collapsed="false">
      <c r="B63" s="5" t="s">
        <v>126</v>
      </c>
      <c r="D63" s="33" t="n">
        <f aca="false">SUM(F63:J63)</f>
        <v>77000</v>
      </c>
      <c r="H63" s="33" t="n">
        <v>77000</v>
      </c>
    </row>
    <row r="64" customFormat="false" ht="15" hidden="false" customHeight="false" outlineLevel="0" collapsed="false">
      <c r="B64" s="32" t="s">
        <v>157</v>
      </c>
    </row>
    <row r="65" customFormat="false" ht="15" hidden="false" customHeight="false" outlineLevel="0" collapsed="false">
      <c r="B65" s="5" t="s">
        <v>163</v>
      </c>
      <c r="D65" s="33" t="n">
        <f aca="false">SUM(F65:J65)</f>
        <v>8471</v>
      </c>
      <c r="J65" s="33" t="n">
        <v>8471</v>
      </c>
    </row>
    <row r="66" customFormat="false" ht="15" hidden="false" customHeight="false" outlineLevel="0" collapsed="false">
      <c r="B66" s="5" t="s">
        <v>137</v>
      </c>
      <c r="D66" s="33" t="n">
        <f aca="false">SUM(F66:J66)</f>
        <v>32702</v>
      </c>
      <c r="J66" s="33" t="n">
        <v>32702</v>
      </c>
    </row>
    <row r="67" customFormat="false" ht="15" hidden="false" customHeight="false" outlineLevel="0" collapsed="false">
      <c r="B67" s="11" t="s">
        <v>143</v>
      </c>
      <c r="D67" s="34" t="n">
        <f aca="false">SUM(D60:D66)</f>
        <v>192737</v>
      </c>
      <c r="F67" s="34" t="n">
        <f aca="false">SUM(F60:F66)</f>
        <v>74564</v>
      </c>
      <c r="H67" s="34" t="n">
        <f aca="false">SUM(H60:H66)</f>
        <v>77000</v>
      </c>
      <c r="J67" s="34" t="n">
        <f aca="false">SUM(J60:J66)</f>
        <v>41173</v>
      </c>
    </row>
    <row r="68" customFormat="false" ht="15" hidden="false" customHeight="false" outlineLevel="0" collapsed="false">
      <c r="B68" s="30" t="s">
        <v>119</v>
      </c>
      <c r="F68" s="31" t="n">
        <f aca="false">F67/D67</f>
        <v>0.386869153302168</v>
      </c>
      <c r="H68" s="31" t="n">
        <f aca="false">H67/D67</f>
        <v>0.399508138032656</v>
      </c>
      <c r="J68" s="31" t="n">
        <f aca="false">J67/D67</f>
        <v>0.213622708665176</v>
      </c>
    </row>
    <row r="70" customFormat="false" ht="15" hidden="false" customHeight="false" outlineLevel="0" collapsed="false">
      <c r="A70" s="10" t="s">
        <v>138</v>
      </c>
    </row>
    <row r="71" customFormat="false" ht="15" hidden="false" customHeight="false" outlineLevel="0" collapsed="false">
      <c r="B71" s="4" t="s">
        <v>139</v>
      </c>
      <c r="D71" s="4" t="s">
        <v>91</v>
      </c>
      <c r="F71" s="4" t="s">
        <v>146</v>
      </c>
      <c r="H71" s="4" t="s">
        <v>123</v>
      </c>
      <c r="J71" s="4" t="s">
        <v>124</v>
      </c>
    </row>
    <row r="72" customFormat="false" ht="15" hidden="false" customHeight="false" outlineLevel="0" collapsed="false">
      <c r="B72" s="5" t="str">
        <f aca="false">Imp!B17</f>
        <v>Buidling Improvement - 5yr</v>
      </c>
      <c r="D72" s="33" t="n">
        <f aca="false">SUM(F72:J72)</f>
        <v>68710</v>
      </c>
      <c r="F72" s="33" t="n">
        <f aca="false">Imp!D17</f>
        <v>68710</v>
      </c>
    </row>
    <row r="73" customFormat="false" ht="15" hidden="false" customHeight="false" outlineLevel="0" collapsed="false">
      <c r="B73" s="5" t="str">
        <f aca="false">Imp!B18</f>
        <v>Buidling Improvement - 5yr</v>
      </c>
      <c r="D73" s="33" t="n">
        <f aca="false">SUM(F73:J73)</f>
        <v>5854</v>
      </c>
      <c r="F73" s="33" t="n">
        <f aca="false">Imp!D18</f>
        <v>5854</v>
      </c>
    </row>
    <row r="74" customFormat="false" ht="15" hidden="false" customHeight="false" outlineLevel="0" collapsed="false">
      <c r="B74" s="5" t="str">
        <f aca="false">Imp!B19</f>
        <v>Buidling Improvement - 15yr</v>
      </c>
      <c r="D74" s="33" t="n">
        <f aca="false">SUM(F74:J74)</f>
        <v>77000</v>
      </c>
      <c r="H74" s="33" t="n">
        <f aca="false">Imp!D19</f>
        <v>77000</v>
      </c>
    </row>
    <row r="75" customFormat="false" ht="15" hidden="false" customHeight="false" outlineLevel="0" collapsed="false">
      <c r="B75" s="5" t="str">
        <f aca="false">Imp!B20</f>
        <v>Buidling Improvement - 27.5yr</v>
      </c>
      <c r="D75" s="33" t="n">
        <f aca="false">SUM(F75:J75)</f>
        <v>41173</v>
      </c>
      <c r="J75" s="33" t="n">
        <f aca="false">Imp!D20</f>
        <v>41173</v>
      </c>
    </row>
    <row r="76" customFormat="false" ht="15" hidden="false" customHeight="false" outlineLevel="0" collapsed="false">
      <c r="B76" s="11" t="s">
        <v>140</v>
      </c>
      <c r="D76" s="34" t="n">
        <f aca="false">SUM(D72:D75)</f>
        <v>192737</v>
      </c>
      <c r="F76" s="34" t="n">
        <f aca="false">SUM(F72:F75)</f>
        <v>74564</v>
      </c>
      <c r="H76" s="34" t="n">
        <f aca="false">SUM(H72:H75)</f>
        <v>77000</v>
      </c>
      <c r="J76" s="34" t="n">
        <f aca="false">SUM(J72:J75)</f>
        <v>41173</v>
      </c>
    </row>
    <row r="77" customFormat="false" ht="15" hidden="false" customHeight="false" outlineLevel="0" collapsed="false">
      <c r="B77" s="16" t="s">
        <v>141</v>
      </c>
      <c r="D77" s="17" t="n">
        <f aca="false">D76-D67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2026-07-17T19:11:04Z</dcterms:created>
  <dc:creator>openpyxl</dc:creator>
  <dc:description/>
  <dc:language>en-US</dc:language>
  <cp:lastModifiedBy/>
  <dcterms:modified xsi:type="dcterms:W3CDTF">2026-07-17T19:11:05Z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