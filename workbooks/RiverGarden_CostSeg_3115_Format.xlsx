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Building 17" sheetId="19" state="visible" r:id="rId21"/>
    <sheet name="Building 18" sheetId="20" state="visible" r:id="rId22"/>
    <sheet name="Building 19" sheetId="21" state="visible" r:id="rId23"/>
    <sheet name="Building 20" sheetId="22" state="visible" r:id="rId24"/>
    <sheet name="Building 21" sheetId="23" state="visible" r:id="rId25"/>
    <sheet name="Building 22" sheetId="24" state="visible" r:id="rId26"/>
    <sheet name="Shed A" sheetId="25" state="visible" r:id="rId27"/>
    <sheet name="Shed B" sheetId="26" state="visible" r:id="rId28"/>
    <sheet name="Laundry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<sst xmlns="http://schemas.openxmlformats.org/spreadsheetml/2006/main" count="6961" uniqueCount="204">
  <si>
    <t xml:space="preserve">River Garden Estates Housing LP</t>
  </si>
  <si>
    <t xml:space="preserve">River Garden Estates — 2201 Northview Dr &amp; 712 Northfield Dr, Sacramento, CA 95833</t>
  </si>
  <si>
    <t xml:space="preserve">EIN: 93-2096487    ·    FYE: December 31, 2024    ·    Year of Change: 1/1/2024</t>
  </si>
  <si>
    <t xml:space="preserve">Summary of Cost Segregation Adjustments — CSSI Report #107552-43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</si>
  <si>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</si>
  <si>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</si>
  <si>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</si>
  <si>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</si>
  <si>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</si>
  <si>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</si>
  <si>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</si>
  <si>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</si>
  <si>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</si>
  <si>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</si>
  <si>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</si>
  <si>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</si>
  <si>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</si>
  <si>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</si>
  <si>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</si>
  <si>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</si>
  <si>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</si>
  <si>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</si>
  <si>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</si>
  <si>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</si>
  <si>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Building 17</t>
  </si>
  <si>
    <t xml:space="preserve">Building 18</t>
  </si>
  <si>
    <t xml:space="preserve">Building 19</t>
  </si>
  <si>
    <t xml:space="preserve">Building 20</t>
  </si>
  <si>
    <t xml:space="preserve">Building 21</t>
  </si>
  <si>
    <t xml:space="preserve">Building 22</t>
  </si>
  <si>
    <t xml:space="preserve">Shed A</t>
  </si>
  <si>
    <t xml:space="preserve">Shed B</t>
  </si>
  <si>
    <t xml:space="preserve">Laundry</t>
  </si>
  <si>
    <t xml:space="preserve">7/30/24</t>
  </si>
  <si>
    <t xml:space="preserve">2-Building-712 Northfield Dr</t>
  </si>
  <si>
    <t xml:space="preserve">3-Northfield Dr</t>
  </si>
  <si>
    <t xml:space="preserve">4-Northfield Dr</t>
  </si>
  <si>
    <t xml:space="preserve">7-Building-2202 Northview Dr</t>
  </si>
  <si>
    <t xml:space="preserve">8-Northiew Dr</t>
  </si>
  <si>
    <t xml:space="preserve">9-Northview Dr</t>
  </si>
  <si>
    <t xml:space="preserve">Grand Total</t>
  </si>
  <si>
    <t xml:space="preserve">MACRS Reclassification</t>
  </si>
  <si>
    <t xml:space="preserve">2-Building-712 Northfield Dr - 5 Year</t>
  </si>
  <si>
    <t xml:space="preserve">2-Building-712 Northfield Dr - 15 Year</t>
  </si>
  <si>
    <t xml:space="preserve">2-Building-712 Northfield Dr - 27.5 Year</t>
  </si>
  <si>
    <t xml:space="preserve">3-Northfield Dr - 5 Year</t>
  </si>
  <si>
    <t xml:space="preserve">3-Northfield Dr - 15 Year</t>
  </si>
  <si>
    <t xml:space="preserve">3-Northfield Dr - 27.5 Year</t>
  </si>
  <si>
    <t xml:space="preserve">4-Northfield Dr - 5 Year</t>
  </si>
  <si>
    <t xml:space="preserve">4-Northfield Dr - 15 Year</t>
  </si>
  <si>
    <t xml:space="preserve">4-Northfield Dr - 27.5 Year</t>
  </si>
  <si>
    <t xml:space="preserve">7-Building-2202 Northview Dr - 5 Year</t>
  </si>
  <si>
    <t xml:space="preserve">7-Building-2202 Northview Dr - 15 Year</t>
  </si>
  <si>
    <t xml:space="preserve">7-Building-2202 Northview Dr - 27.5 Year</t>
  </si>
  <si>
    <t xml:space="preserve">8-Northiew Dr - 5 Year</t>
  </si>
  <si>
    <t xml:space="preserve">8-Northiew Dr - 15 Year</t>
  </si>
  <si>
    <t xml:space="preserve">8-Northiew Dr - 27.5 Year</t>
  </si>
  <si>
    <t xml:space="preserve">9-Northview Dr - 5 Year</t>
  </si>
  <si>
    <t xml:space="preserve">9-Northview Dr - 15 Year</t>
  </si>
  <si>
    <t xml:space="preserve">9-Northview Dr - 27.5 Year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</si>
  <si>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</si>
  <si>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</si>
  <si>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</si>
  <si>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</si>
  <si>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</si>
  <si>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</si>
  <si>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</si>
  <si>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</si>
  <si>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34,580.83 (Regular Tax; AMT equals Regular Tax on every unit in this report).</t>
  </si>
  <si>
    <t xml:space="preserve">2. 'Building 15': Regular Tax page missing from PDF; AMT schedule used for both (values verified vs Summary Sheet)</t>
  </si>
  <si>
    <t xml:space="preserve">3.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</si>
  <si>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4.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</si>
  <si>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</si>
  <si>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#107552-43, "#107552-43_River Garden Estates Housing LP_3115_Combined.pdf"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</si>
  <si>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</si>
  <si>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</si>
  <si>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</si>
  <si>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</si>
  <si>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</si>
  <si>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</si>
  <si>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</si>
  <si>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</si>
  <si>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</si>
  <si>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</si>
  <si>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</si>
  <si>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</si>
  <si>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</si>
  <si>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</si>
  <si>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</si>
  <si>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</si>
  <si>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150DB</t>
  </si>
  <si>
    <t xml:space="preserve">15.0</t>
  </si>
  <si>
    <t xml:space="preserve">200DB</t>
  </si>
  <si>
    <t xml:space="preserve">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</si>
  <si>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</si>
  <si>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</si>
  <si>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</si>
  <si>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</si>
  <si>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</si>
  <si>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</si>
  <si>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</si>
  <si>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</si>
  <si>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</si>
  <si>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</si>
  <si>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</si>
  <si>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Building Cost</t>
  </si>
  <si>
    <t xml:space="preserve">Building Components: 5 Year</t>
  </si>
  <si>
    <t xml:space="preserve">% of Cost</t>
  </si>
  <si>
    <t xml:space="preserve">Site Improvements: 15 Year</t>
  </si>
  <si>
    <t xml:space="preserve">Building Structure: 27.5 Year</t>
  </si>
  <si>
    <t xml:space="preserve">COST SEGREGATION STUDY — COST DETAIL</t>
  </si>
  <si>
    <t xml:space="preserve">Property Category</t>
  </si>
  <si>
    <t xml:space="preserve">5 Year</t>
  </si>
  <si>
    <t xml:space="preserve">15 Year</t>
  </si>
  <si>
    <t xml:space="preserve">27.5 Year</t>
  </si>
  <si>
    <t xml:space="preserve">Building Components</t>
  </si>
  <si>
    <t xml:space="preserve">Access Control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</si>
  <si>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</si>
  <si>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</si>
  <si>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</si>
  <si>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</si>
  <si>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</si>
  <si>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</si>
  <si>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</si>
  <si>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</si>
  <si>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</si>
  <si>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</si>
  <si>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Fabricated Steel - Exterior Bollards</t>
  </si>
  <si>
    <t xml:space="preserve">Fire Hydrants</t>
  </si>
  <si>
    <t xml:space="preserve">Exterior Equipment Concrete Pads</t>
  </si>
  <si>
    <t xml:space="preserve">Mailbox Canopy</t>
  </si>
  <si>
    <t xml:space="preserve">Playgrounds</t>
  </si>
  <si>
    <t xml:space="preserve">Site Seating</t>
  </si>
  <si>
    <t xml:space="preserve">Grills</t>
  </si>
  <si>
    <t xml:space="preserve">Free Standing Canopies</t>
  </si>
  <si>
    <t xml:space="preserve">Building Structure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</si>
  <si>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</si>
  <si>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</si>
  <si>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</si>
  <si>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</si>
  <si>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</si>
  <si>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Building 1 — Attachment to Form 3115 (DCN #7, Rev. Proc. 2024-23 §6.01)</t>
  </si>
  <si>
    <t xml:space="preserve">Cabinets / Millwork</t>
  </si>
  <si>
    <t xml:space="preserve">Moldings</t>
  </si>
  <si>
    <t xml:space="preserve">Flooring - Vinyl Tile</t>
  </si>
  <si>
    <t xml:space="preserve">Flooring - Wood Laminate</t>
  </si>
  <si>
    <t xml:space="preserve">Security System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</si>
  <si>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</si>
  <si>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</si>
  <si>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</si>
  <si>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</si>
  <si>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</si>
  <si>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</si>
  <si>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Mailboxes</t>
  </si>
  <si>
    <t xml:space="preserve">Entry Canopies</t>
  </si>
  <si>
    <t xml:space="preserve">Appliances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</si>
  <si>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</si>
  <si>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</si>
  <si>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</si>
  <si>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</si>
  <si>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</si>
  <si>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</si>
  <si>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</si>
  <si>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</si>
  <si>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</si>
  <si>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</si>
  <si>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</si>
  <si>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</si>
  <si>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</si>
  <si>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</si>
  <si>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</si>
  <si>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</si>
  <si>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Building 2 — Attachment to Form 3115 (DCN #7, Rev. Proc. 2024-23 §6.01)</t>
  </si>
  <si>
    <t xml:space="preserve">Building 3 — Attachment to Form 3115 (DCN #7, Rev. Proc. 2024-23 §6.01)</t>
  </si>
  <si>
    <t xml:space="preserve">Building 4 — Attachment to Form 3115 (DCN #7, Rev. Proc. 2024-23 §6.01)</t>
  </si>
  <si>
    <t xml:space="preserve">Flooring - Carpet</t>
  </si>
  <si>
    <t xml:space="preserve">Flooring - Seamless Vinyl</t>
  </si>
  <si>
    <t xml:space="preserve">Building 5 — Attachment to Form 3115 (DCN #7, Rev. Proc. 2024-23 §6.01)</t>
  </si>
  <si>
    <t xml:space="preserve">Building 6 — Attachment to Form 3115 (DCN #7, Rev. Proc. 2024-23 §6.01)</t>
  </si>
  <si>
    <t xml:space="preserve">Building 7 — Attachment to Form 3115 (DCN #7, Rev. Proc. 2024-23 §6.01)</t>
  </si>
  <si>
    <t xml:space="preserve">Building 8 — Attachment to Form 3115 (DCN #7, Rev. Proc. 2024-23 §6.01)</t>
  </si>
  <si>
    <t xml:space="preserve">Building 9 — Attachment to Form 3115 (DCN #7, Rev. Proc. 2024-23 §6.01)</t>
  </si>
  <si>
    <t xml:space="preserve">Building 10 — Attachment to Form 3115 (DCN #7, Rev. Proc. 2024-23 §6.01)</t>
  </si>
  <si>
    <t xml:space="preserve">Building 11 — Attachment to Form 3115 (DCN #7, Rev. Proc. 2024-23 §6.01)</t>
  </si>
  <si>
    <t xml:space="preserve">Building 12 — Attachment to Form 3115 (DCN #7, Rev. Proc. 2024-23 §6.01)</t>
  </si>
  <si>
    <t xml:space="preserve">Building 13 — Attachment to Form 3115 (DCN #7, Rev. Proc. 2024-23 §6.01)</t>
  </si>
  <si>
    <t xml:space="preserve">Building 14 — Attachment to Form 3115 (DCN #7, Rev. Proc. 2024-23 §6.01)</t>
  </si>
  <si>
    <t xml:space="preserve">Building 15 — Attachment to Form 3115 (DCN #7, Rev. Proc. 2024-23 §6.01)</t>
  </si>
  <si>
    <t xml:space="preserve">NOTE: the Regular Tax schedule page for this unit is missing from the CSSI PDF (a duplicate of another unit's page appears in its place); the AMT schedule, which ties to the report's Summary Sheet, is used for both.</t>
  </si>
  <si>
    <t xml:space="preserve">Building 16 — Attachment to Form 3115 (DCN #7, Rev. Proc. 2024-23 §6.01)</t>
  </si>
  <si>
    <t xml:space="preserve">Building 17 — Attachment to Form 3115 (DCN #7, Rev. Proc. 2024-23 §6.01)</t>
  </si>
  <si>
    <t xml:space="preserve">Building 18 — Attachment to Form 3115 (DCN #7, Rev. Proc. 2024-23 §6.01)</t>
  </si>
  <si>
    <t xml:space="preserve">Building 19 — Attachment to Form 3115 (DCN #7, Rev. Proc. 2024-23 §6.01)</t>
  </si>
  <si>
    <t xml:space="preserve">Building 20 — Attachment to Form 3115 (DCN #7, Rev. Proc. 2024-23 §6.01)</t>
  </si>
  <si>
    <t xml:space="preserve">Building 21 — Attachment to Form 3115 (DCN #7, Rev. Proc. 2024-23 §6.01)</t>
  </si>
  <si>
    <t xml:space="preserve">Building 22 — Attachment to Form 3115 (DCN #7, Rev. Proc. 2024-23 §6.01)</t>
  </si>
  <si>
    <t xml:space="preserve">Shed A — Attachment to Form 3115 (DCN #7, Rev. Proc. 2024-23 §6.01)</t>
  </si>
  <si>
    <t xml:space="preserve">Garage Doors</t>
  </si>
  <si>
    <t xml:space="preserve">Flooring - Sealed Concrete</t>
  </si>
  <si>
    <t xml:space="preserve">Shed B — Attachment to Form 3115 (DCN #7, Rev. Proc. 2024-23 §6.01)</t>
  </si>
  <si>
    <t xml:space="preserve">Laundry — Attachment to Form 3115 (DCN #7, Rev. Proc. 2024-23 §6.01)</t>
  </si>
  <si>
    <t xml:space="preserve">Door &amp; Window Guards</t>
  </si>
  <si>
    <t xml:space="preserve">Specialty HVAC - Dryer Vents</t>
  </si>
  <si>
    <t xml:space="preserve">Specialty Plumbing - Laundry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</si>
</sst>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29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4" t="s">
        <v>28</v>
      </c>
      <c r="Z7" s="4" t="s">
        <v>29</v>
      </c>
      <c r="AA7" s="4" t="s">
        <v>30</v>
      </c>
      <c r="AB7" s="4" t="s">
        <v>31</v>
      </c>
      <c r="AC7" s="4" t="s">
        <v>32</v>
      </c>
    </row>
    <row r="8" customFormat="false" ht="15" hidden="false" customHeight="false" outlineLevel="0" collapsed="false">
      <c r="A8" s="5" t="s">
        <v>33</v>
      </c>
      <c r="B8" s="5" t="s">
        <v>34</v>
      </c>
      <c r="C8" s="6" t="n">
        <f aca="false">SUM(D8:AC8)</f>
        <v>1018903</v>
      </c>
      <c r="D8" s="6" t="n">
        <f aca="false">Site!$D$10</f>
        <v>166583.41</v>
      </c>
      <c r="E8" s="6" t="n">
        <f aca="false">'Building 1'!$D$10</f>
        <v>45270.97</v>
      </c>
      <c r="F8" s="6" t="n">
        <f aca="false">'Building 2'!$D$10</f>
        <v>34585.09</v>
      </c>
      <c r="G8" s="6" t="n">
        <f aca="false">'Building 3'!$D$10</f>
        <v>27290.76</v>
      </c>
      <c r="H8" s="6" t="n">
        <f aca="false">'Building 4'!$D$10</f>
        <v>53518.91</v>
      </c>
      <c r="I8" s="6" t="n">
        <f aca="false">'Building 5'!$D$10</f>
        <v>27290.76</v>
      </c>
      <c r="J8" s="6" t="n">
        <f aca="false">'Building 6'!$D$10</f>
        <v>53518.91</v>
      </c>
      <c r="K8" s="6" t="n">
        <f aca="false">'Building 7'!$D$10</f>
        <v>34585.09</v>
      </c>
      <c r="L8" s="6" t="n">
        <f aca="false">'Building 8'!$D$10</f>
        <v>46450.25</v>
      </c>
      <c r="M8" s="6" t="n">
        <f aca="false">'Building 9'!$D$10</f>
        <v>46321.61</v>
      </c>
      <c r="N8" s="6" t="n">
        <f aca="false">'Building 10'!$D$10</f>
        <v>27290.76</v>
      </c>
      <c r="O8" s="6" t="n">
        <f aca="false">'Building 11'!$D$10</f>
        <v>60219.73</v>
      </c>
      <c r="P8" s="6" t="n">
        <f aca="false">'Building 12'!$D$10</f>
        <v>39989.86</v>
      </c>
      <c r="Q8" s="6" t="n">
        <f aca="false">'Building 13'!$D$10</f>
        <v>39989.86</v>
      </c>
      <c r="R8" s="6" t="n">
        <f aca="false">'Building 14'!$D$10</f>
        <v>39989.86</v>
      </c>
      <c r="S8" s="6" t="n">
        <f aca="false">'Building 15'!$D$10</f>
        <v>60219.73</v>
      </c>
      <c r="T8" s="6" t="n">
        <f aca="false">'Building 16'!$D$10</f>
        <v>27290.76</v>
      </c>
      <c r="U8" s="6" t="n">
        <f aca="false">'Building 17'!$D$10</f>
        <v>20620.86</v>
      </c>
      <c r="V8" s="6" t="n">
        <f aca="false">'Building 18'!$D$10</f>
        <v>20620.86</v>
      </c>
      <c r="W8" s="6" t="n">
        <f aca="false">'Building 19'!$D$10</f>
        <v>34211.45</v>
      </c>
      <c r="X8" s="6" t="n">
        <f aca="false">'Building 20'!$D$10</f>
        <v>45795.35</v>
      </c>
      <c r="Y8" s="6" t="n">
        <f aca="false">'Building 21'!$D$10</f>
        <v>27290.76</v>
      </c>
      <c r="Z8" s="6" t="n">
        <f aca="false">'Building 22'!$D$10</f>
        <v>34211.45</v>
      </c>
      <c r="AA8" s="6" t="n">
        <f aca="false">'Shed A'!$D$10</f>
        <v>1082.72</v>
      </c>
      <c r="AB8" s="6" t="n">
        <f aca="false">'Shed B'!$D$10</f>
        <v>1082.23</v>
      </c>
      <c r="AC8" s="6" t="n">
        <f aca="false">Laundry!$D$10</f>
        <v>3581</v>
      </c>
    </row>
    <row r="9" customFormat="false" ht="15" hidden="false" customHeight="false" outlineLevel="0" collapsed="false">
      <c r="A9" s="5" t="s">
        <v>33</v>
      </c>
      <c r="B9" s="5" t="s">
        <v>35</v>
      </c>
      <c r="C9" s="6" t="n">
        <f aca="false">SUM(D9:AC9)</f>
        <v>131471</v>
      </c>
      <c r="D9" s="6" t="n">
        <f aca="false">Site!$D$11</f>
        <v>21494.58</v>
      </c>
      <c r="E9" s="6" t="n">
        <f aca="false">'Building 1'!$D$11</f>
        <v>5841.4</v>
      </c>
      <c r="F9" s="6" t="n">
        <f aca="false">'Building 2'!$D$11</f>
        <v>4462.58</v>
      </c>
      <c r="G9" s="6" t="n">
        <f aca="false">'Building 3'!$D$11</f>
        <v>3521.38</v>
      </c>
      <c r="H9" s="6" t="n">
        <f aca="false">'Building 4'!$D$11</f>
        <v>6905.65</v>
      </c>
      <c r="I9" s="6" t="n">
        <f aca="false">'Building 5'!$D$11</f>
        <v>3521.38</v>
      </c>
      <c r="J9" s="6" t="n">
        <f aca="false">'Building 6'!$D$11</f>
        <v>6905.65</v>
      </c>
      <c r="K9" s="6" t="n">
        <f aca="false">'Building 7'!$D$11</f>
        <v>4462.58</v>
      </c>
      <c r="L9" s="6" t="n">
        <f aca="false">'Building 8'!$D$11</f>
        <v>5993.57</v>
      </c>
      <c r="M9" s="6" t="n">
        <f aca="false">'Building 9'!$D$11</f>
        <v>5976.97</v>
      </c>
      <c r="N9" s="6" t="n">
        <f aca="false">'Building 10'!$D$11</f>
        <v>3521.38</v>
      </c>
      <c r="O9" s="6" t="n">
        <f aca="false">'Building 11'!$D$11</f>
        <v>7770.26</v>
      </c>
      <c r="P9" s="6" t="n">
        <f aca="false">'Building 12'!$D$11</f>
        <v>5159.97</v>
      </c>
      <c r="Q9" s="6" t="n">
        <f aca="false">'Building 13'!$D$11</f>
        <v>5159.97</v>
      </c>
      <c r="R9" s="6" t="n">
        <f aca="false">'Building 14'!$D$11</f>
        <v>5159.97</v>
      </c>
      <c r="S9" s="6" t="n">
        <f aca="false">'Building 15'!$D$11</f>
        <v>7770.26</v>
      </c>
      <c r="T9" s="6" t="n">
        <f aca="false">'Building 16'!$D$11</f>
        <v>3521.38</v>
      </c>
      <c r="U9" s="6" t="n">
        <f aca="false">'Building 17'!$D$11</f>
        <v>2660.75</v>
      </c>
      <c r="V9" s="6" t="n">
        <f aca="false">'Building 18'!$D$11</f>
        <v>2660.75</v>
      </c>
      <c r="W9" s="6" t="n">
        <f aca="false">'Building 19'!$D$11</f>
        <v>4414.37</v>
      </c>
      <c r="X9" s="6" t="n">
        <f aca="false">'Building 20'!$D$11</f>
        <v>5909.06</v>
      </c>
      <c r="Y9" s="6" t="n">
        <f aca="false">'Building 21'!$D$11</f>
        <v>3521.38</v>
      </c>
      <c r="Z9" s="6" t="n">
        <f aca="false">'Building 22'!$D$11</f>
        <v>4414.37</v>
      </c>
      <c r="AA9" s="6" t="n">
        <f aca="false">'Shed A'!$D$11</f>
        <v>139.71</v>
      </c>
      <c r="AB9" s="6" t="n">
        <f aca="false">'Shed B'!$D$11</f>
        <v>139.64</v>
      </c>
      <c r="AC9" s="6" t="n">
        <f aca="false">Laundry!$D$11</f>
        <v>462.04</v>
      </c>
    </row>
    <row r="10" customFormat="false" ht="15" hidden="false" customHeight="false" outlineLevel="0" collapsed="false">
      <c r="A10" s="5" t="s">
        <v>33</v>
      </c>
      <c r="B10" s="5" t="s">
        <v>36</v>
      </c>
      <c r="C10" s="6" t="n">
        <f aca="false">SUM(D10:AC10)</f>
        <v>246509</v>
      </c>
      <c r="D10" s="6" t="n">
        <f aca="false">Site!$D$12</f>
        <v>40302.47</v>
      </c>
      <c r="E10" s="6" t="n">
        <f aca="false">'Building 1'!$D$12</f>
        <v>10952.66</v>
      </c>
      <c r="F10" s="6" t="n">
        <f aca="false">'Building 2'!$D$12</f>
        <v>8367.37</v>
      </c>
      <c r="G10" s="6" t="n">
        <f aca="false">'Building 3'!$D$12</f>
        <v>6602.61</v>
      </c>
      <c r="H10" s="6" t="n">
        <f aca="false">'Building 4'!$D$12</f>
        <v>12948.13</v>
      </c>
      <c r="I10" s="6" t="n">
        <f aca="false">'Building 5'!$D$12</f>
        <v>6602.61</v>
      </c>
      <c r="J10" s="6" t="n">
        <f aca="false">'Building 6'!$D$12</f>
        <v>12948.13</v>
      </c>
      <c r="K10" s="6" t="n">
        <f aca="false">'Building 7'!$D$12</f>
        <v>8367.37</v>
      </c>
      <c r="L10" s="6" t="n">
        <f aca="false">'Building 8'!$D$12</f>
        <v>11237.98</v>
      </c>
      <c r="M10" s="6" t="n">
        <f aca="false">'Building 9'!$D$12</f>
        <v>11206.85</v>
      </c>
      <c r="N10" s="6" t="n">
        <f aca="false">'Building 10'!$D$12</f>
        <v>6602.61</v>
      </c>
      <c r="O10" s="6" t="n">
        <f aca="false">'Building 11'!$D$12</f>
        <v>14569.3</v>
      </c>
      <c r="P10" s="6" t="n">
        <f aca="false">'Building 12'!$D$12</f>
        <v>9674.97</v>
      </c>
      <c r="Q10" s="6" t="n">
        <f aca="false">'Building 13'!$D$12</f>
        <v>9674.97</v>
      </c>
      <c r="R10" s="6" t="n">
        <f aca="false">'Building 14'!$D$12</f>
        <v>9674.97</v>
      </c>
      <c r="S10" s="6" t="n">
        <f aca="false">'Building 15'!$D$12</f>
        <v>14569.3</v>
      </c>
      <c r="T10" s="6" t="n">
        <f aca="false">'Building 16'!$D$12</f>
        <v>6602.61</v>
      </c>
      <c r="U10" s="6" t="n">
        <f aca="false">'Building 17'!$D$12</f>
        <v>4988.92</v>
      </c>
      <c r="V10" s="6" t="n">
        <f aca="false">'Building 18'!$D$12</f>
        <v>4988.92</v>
      </c>
      <c r="W10" s="6" t="n">
        <f aca="false">'Building 19'!$D$12</f>
        <v>8276.98</v>
      </c>
      <c r="X10" s="6" t="n">
        <f aca="false">'Building 20'!$D$12</f>
        <v>11079.53</v>
      </c>
      <c r="Y10" s="6" t="n">
        <f aca="false">'Building 21'!$D$12</f>
        <v>6602.61</v>
      </c>
      <c r="Z10" s="6" t="n">
        <f aca="false">'Building 22'!$D$12</f>
        <v>8276.98</v>
      </c>
      <c r="AA10" s="6" t="n">
        <f aca="false">'Shed A'!$D$12</f>
        <v>261.95</v>
      </c>
      <c r="AB10" s="6" t="n">
        <f aca="false">'Shed B'!$D$12</f>
        <v>261.83</v>
      </c>
      <c r="AC10" s="6" t="n">
        <f aca="false">Laundry!$D$12</f>
        <v>866.37</v>
      </c>
    </row>
    <row r="11" customFormat="false" ht="15" hidden="false" customHeight="false" outlineLevel="0" collapsed="false">
      <c r="A11" s="5" t="s">
        <v>33</v>
      </c>
      <c r="B11" s="5" t="s">
        <v>37</v>
      </c>
      <c r="C11" s="6" t="n">
        <f aca="false">SUM(D11:AC11)</f>
        <v>4692432</v>
      </c>
      <c r="D11" s="6" t="n">
        <f aca="false">Site!$D$13</f>
        <v>767179.32</v>
      </c>
      <c r="E11" s="6" t="n">
        <f aca="false">'Building 1'!$D$13</f>
        <v>208489.87</v>
      </c>
      <c r="F11" s="6" t="n">
        <f aca="false">'Building 2'!$D$13</f>
        <v>159277.36</v>
      </c>
      <c r="G11" s="6" t="n">
        <f aca="false">'Building 3'!$D$13</f>
        <v>125684.23</v>
      </c>
      <c r="H11" s="6" t="n">
        <f aca="false">'Building 4'!$D$13</f>
        <v>246474.74</v>
      </c>
      <c r="I11" s="6" t="n">
        <f aca="false">'Building 5'!$D$13</f>
        <v>125684.23</v>
      </c>
      <c r="J11" s="6" t="n">
        <f aca="false">'Building 6'!$D$13</f>
        <v>246474.74</v>
      </c>
      <c r="K11" s="6" t="n">
        <f aca="false">'Building 7'!$D$13</f>
        <v>159277.36</v>
      </c>
      <c r="L11" s="6" t="n">
        <f aca="false">'Building 8'!$D$13</f>
        <v>213920.95</v>
      </c>
      <c r="M11" s="6" t="n">
        <f aca="false">'Building 9'!$D$13</f>
        <v>213328.45</v>
      </c>
      <c r="N11" s="6" t="n">
        <f aca="false">'Building 10'!$D$13</f>
        <v>125684.23</v>
      </c>
      <c r="O11" s="6" t="n">
        <f aca="false">'Building 11'!$D$13</f>
        <v>277334.53</v>
      </c>
      <c r="P11" s="6" t="n">
        <f aca="false">'Building 12'!$D$13</f>
        <v>184168.35</v>
      </c>
      <c r="Q11" s="6" t="n">
        <f aca="false">'Building 13'!$D$13</f>
        <v>184168.35</v>
      </c>
      <c r="R11" s="6" t="n">
        <f aca="false">'Building 14'!$D$13</f>
        <v>184168.35</v>
      </c>
      <c r="S11" s="6" t="n">
        <f aca="false">'Building 15'!$D$13</f>
        <v>277334.53</v>
      </c>
      <c r="T11" s="6" t="n">
        <f aca="false">'Building 16'!$D$13</f>
        <v>125684.23</v>
      </c>
      <c r="U11" s="6" t="n">
        <f aca="false">'Building 17'!$D$13</f>
        <v>94966.8</v>
      </c>
      <c r="V11" s="6" t="n">
        <f aca="false">'Building 18'!$D$13</f>
        <v>94966.8</v>
      </c>
      <c r="W11" s="6" t="n">
        <f aca="false">'Building 19'!$D$13</f>
        <v>157556.61</v>
      </c>
      <c r="X11" s="6" t="n">
        <f aca="false">'Building 20'!$D$13</f>
        <v>210904.84</v>
      </c>
      <c r="Y11" s="6" t="n">
        <f aca="false">'Building 21'!$D$13</f>
        <v>125684.23</v>
      </c>
      <c r="Z11" s="6" t="n">
        <f aca="false">'Building 22'!$D$13</f>
        <v>157556.61</v>
      </c>
      <c r="AA11" s="6" t="n">
        <f aca="false">'Shed A'!$D$13</f>
        <v>4986.32</v>
      </c>
      <c r="AB11" s="6" t="n">
        <f aca="false">'Shed B'!$D$13</f>
        <v>4984.09</v>
      </c>
      <c r="AC11" s="6" t="n">
        <f aca="false">Laundry!$D$13</f>
        <v>16491.88</v>
      </c>
    </row>
    <row r="12" customFormat="false" ht="15" hidden="false" customHeight="false" outlineLevel="0" collapsed="false">
      <c r="A12" s="5" t="s">
        <v>33</v>
      </c>
      <c r="B12" s="5" t="s">
        <v>38</v>
      </c>
      <c r="C12" s="6" t="n">
        <f aca="false">SUM(D12:AC12)</f>
        <v>605475</v>
      </c>
      <c r="D12" s="6" t="n">
        <f aca="false">Site!$D$14</f>
        <v>98990.86</v>
      </c>
      <c r="E12" s="6" t="n">
        <f aca="false">'Building 1'!$D$14</f>
        <v>26901.91</v>
      </c>
      <c r="F12" s="6" t="n">
        <f aca="false">'Building 2'!$D$14</f>
        <v>20551.91</v>
      </c>
      <c r="G12" s="6" t="n">
        <f aca="false">'Building 3'!$D$14</f>
        <v>16217.32</v>
      </c>
      <c r="H12" s="6" t="n">
        <f aca="false">'Building 4'!$D$14</f>
        <v>31803.19</v>
      </c>
      <c r="I12" s="6" t="n">
        <f aca="false">'Building 5'!$D$14</f>
        <v>16217.32</v>
      </c>
      <c r="J12" s="6" t="n">
        <f aca="false">'Building 6'!$D$14</f>
        <v>31803.19</v>
      </c>
      <c r="K12" s="6" t="n">
        <f aca="false">'Building 7'!$D$14</f>
        <v>20551.91</v>
      </c>
      <c r="L12" s="6" t="n">
        <f aca="false">'Building 8'!$D$14</f>
        <v>27602.7</v>
      </c>
      <c r="M12" s="6" t="n">
        <f aca="false">'Building 9'!$D$14</f>
        <v>27526.25</v>
      </c>
      <c r="N12" s="6" t="n">
        <f aca="false">'Building 10'!$D$14</f>
        <v>16217.32</v>
      </c>
      <c r="O12" s="6" t="n">
        <f aca="false">'Building 11'!$D$14</f>
        <v>35785.1</v>
      </c>
      <c r="P12" s="6" t="n">
        <f aca="false">'Building 12'!$D$14</f>
        <v>23763.65</v>
      </c>
      <c r="Q12" s="6" t="n">
        <f aca="false">'Building 13'!$D$14</f>
        <v>23763.65</v>
      </c>
      <c r="R12" s="6" t="n">
        <f aca="false">'Building 14'!$D$14</f>
        <v>23763.65</v>
      </c>
      <c r="S12" s="6" t="n">
        <f aca="false">'Building 15'!$D$14</f>
        <v>35785.1</v>
      </c>
      <c r="T12" s="6" t="n">
        <f aca="false">'Building 16'!$D$14</f>
        <v>16217.32</v>
      </c>
      <c r="U12" s="6" t="n">
        <f aca="false">'Building 17'!$D$14</f>
        <v>12253.78</v>
      </c>
      <c r="V12" s="6" t="n">
        <f aca="false">'Building 18'!$D$14</f>
        <v>12253.78</v>
      </c>
      <c r="W12" s="6" t="n">
        <f aca="false">'Building 19'!$D$14</f>
        <v>20329.88</v>
      </c>
      <c r="X12" s="6" t="n">
        <f aca="false">'Building 20'!$D$14</f>
        <v>27213.52</v>
      </c>
      <c r="Y12" s="6" t="n">
        <f aca="false">'Building 21'!$D$14</f>
        <v>16217.32</v>
      </c>
      <c r="Z12" s="6" t="n">
        <f aca="false">'Building 22'!$D$14</f>
        <v>20329.88</v>
      </c>
      <c r="AA12" s="6" t="n">
        <f aca="false">'Shed A'!$D$14</f>
        <v>643.4</v>
      </c>
      <c r="AB12" s="6" t="n">
        <f aca="false">'Shed B'!$D$14</f>
        <v>643.11</v>
      </c>
      <c r="AC12" s="6" t="n">
        <f aca="false">Laundry!$D$14</f>
        <v>2127.98</v>
      </c>
    </row>
    <row r="13" customFormat="false" ht="15" hidden="false" customHeight="false" outlineLevel="0" collapsed="false">
      <c r="A13" s="5" t="s">
        <v>33</v>
      </c>
      <c r="B13" s="5" t="s">
        <v>39</v>
      </c>
      <c r="C13" s="6" t="n">
        <f aca="false">SUM(D13:AC13)</f>
        <v>1135266</v>
      </c>
      <c r="D13" s="6" t="n">
        <f aca="false">Site!$D$15</f>
        <v>185607.93</v>
      </c>
      <c r="E13" s="6" t="n">
        <f aca="false">'Building 1'!$D$15</f>
        <v>50441.11</v>
      </c>
      <c r="F13" s="6" t="n">
        <f aca="false">'Building 2'!$D$15</f>
        <v>38534.85</v>
      </c>
      <c r="G13" s="6" t="n">
        <f aca="false">'Building 3'!$D$15</f>
        <v>30407.48</v>
      </c>
      <c r="H13" s="6" t="n">
        <f aca="false">'Building 4'!$D$15</f>
        <v>59631</v>
      </c>
      <c r="I13" s="6" t="n">
        <f aca="false">'Building 5'!$D$15</f>
        <v>30407.48</v>
      </c>
      <c r="J13" s="6" t="n">
        <f aca="false">'Building 6'!$D$15</f>
        <v>59631</v>
      </c>
      <c r="K13" s="6" t="n">
        <f aca="false">'Building 7'!$D$15</f>
        <v>38534.85</v>
      </c>
      <c r="L13" s="6" t="n">
        <f aca="false">'Building 8'!$D$15</f>
        <v>51755.08</v>
      </c>
      <c r="M13" s="6" t="n">
        <f aca="false">'Building 9'!$D$15</f>
        <v>51611.73</v>
      </c>
      <c r="N13" s="6" t="n">
        <f aca="false">'Building 10'!$D$15</f>
        <v>30407.48</v>
      </c>
      <c r="O13" s="6" t="n">
        <f aca="false">'Building 11'!$D$15</f>
        <v>67097.08</v>
      </c>
      <c r="P13" s="6" t="n">
        <f aca="false">'Building 12'!$D$15</f>
        <v>44556.87</v>
      </c>
      <c r="Q13" s="6" t="n">
        <f aca="false">'Building 13'!$D$15</f>
        <v>44556.87</v>
      </c>
      <c r="R13" s="6" t="n">
        <f aca="false">'Building 14'!$D$15</f>
        <v>44556.87</v>
      </c>
      <c r="S13" s="6" t="n">
        <f aca="false">'Building 15'!$D$15</f>
        <v>67097.08</v>
      </c>
      <c r="T13" s="6" t="n">
        <f aca="false">'Building 16'!$D$15</f>
        <v>30407.48</v>
      </c>
      <c r="U13" s="6" t="n">
        <f aca="false">'Building 17'!$D$15</f>
        <v>22975.84</v>
      </c>
      <c r="V13" s="6" t="n">
        <f aca="false">'Building 18'!$D$15</f>
        <v>22975.84</v>
      </c>
      <c r="W13" s="6" t="n">
        <f aca="false">'Building 19'!$D$15</f>
        <v>38118.54</v>
      </c>
      <c r="X13" s="6" t="n">
        <f aca="false">'Building 20'!$D$15</f>
        <v>51025.37</v>
      </c>
      <c r="Y13" s="6" t="n">
        <f aca="false">'Building 21'!$D$15</f>
        <v>30407.48</v>
      </c>
      <c r="Z13" s="6" t="n">
        <f aca="false">'Building 22'!$D$15</f>
        <v>38118.54</v>
      </c>
      <c r="AA13" s="6" t="n">
        <f aca="false">'Shed A'!$D$15</f>
        <v>1206.36</v>
      </c>
      <c r="AB13" s="6" t="n">
        <f aca="false">'Shed B'!$D$15</f>
        <v>1205.83</v>
      </c>
      <c r="AC13" s="6" t="n">
        <f aca="false">Laundry!$D$15</f>
        <v>3989.96</v>
      </c>
    </row>
    <row r="14" customFormat="false" ht="15" hidden="false" customHeight="false" outlineLevel="0" collapsed="false">
      <c r="A14" s="7"/>
      <c r="B14" s="8" t="s">
        <v>40</v>
      </c>
      <c r="C14" s="9" t="n">
        <f aca="false">SUM(C8:C13)</f>
        <v>7830056</v>
      </c>
      <c r="D14" s="9" t="n">
        <f aca="false">SUM(D8:D13)</f>
        <v>1280158.57</v>
      </c>
      <c r="E14" s="9" t="n">
        <f aca="false">SUM(E8:E13)</f>
        <v>347897.92</v>
      </c>
      <c r="F14" s="9" t="n">
        <f aca="false">SUM(F8:F13)</f>
        <v>265779.16</v>
      </c>
      <c r="G14" s="9" t="n">
        <f aca="false">SUM(G8:G13)</f>
        <v>209723.78</v>
      </c>
      <c r="H14" s="9" t="n">
        <f aca="false">SUM(H8:H13)</f>
        <v>411281.62</v>
      </c>
      <c r="I14" s="9" t="n">
        <f aca="false">SUM(I8:I13)</f>
        <v>209723.78</v>
      </c>
      <c r="J14" s="9" t="n">
        <f aca="false">SUM(J8:J13)</f>
        <v>411281.62</v>
      </c>
      <c r="K14" s="9" t="n">
        <f aca="false">SUM(K8:K13)</f>
        <v>265779.16</v>
      </c>
      <c r="L14" s="9" t="n">
        <f aca="false">SUM(L8:L13)</f>
        <v>356960.53</v>
      </c>
      <c r="M14" s="9" t="n">
        <f aca="false">SUM(M8:M13)</f>
        <v>355971.86</v>
      </c>
      <c r="N14" s="9" t="n">
        <f aca="false">SUM(N8:N13)</f>
        <v>209723.78</v>
      </c>
      <c r="O14" s="9" t="n">
        <f aca="false">SUM(O8:O13)</f>
        <v>462776</v>
      </c>
      <c r="P14" s="9" t="n">
        <f aca="false">SUM(P8:P13)</f>
        <v>307313.67</v>
      </c>
      <c r="Q14" s="9" t="n">
        <f aca="false">SUM(Q8:Q13)</f>
        <v>307313.67</v>
      </c>
      <c r="R14" s="9" t="n">
        <f aca="false">SUM(R8:R13)</f>
        <v>307313.67</v>
      </c>
      <c r="S14" s="9" t="n">
        <f aca="false">SUM(S8:S13)</f>
        <v>462776</v>
      </c>
      <c r="T14" s="9" t="n">
        <f aca="false">SUM(T8:T13)</f>
        <v>209723.78</v>
      </c>
      <c r="U14" s="9" t="n">
        <f aca="false">SUM(U8:U13)</f>
        <v>158466.95</v>
      </c>
      <c r="V14" s="9" t="n">
        <f aca="false">SUM(V8:V13)</f>
        <v>158466.95</v>
      </c>
      <c r="W14" s="9" t="n">
        <f aca="false">SUM(W8:W13)</f>
        <v>262907.83</v>
      </c>
      <c r="X14" s="9" t="n">
        <f aca="false">SUM(X8:X13)</f>
        <v>351927.67</v>
      </c>
      <c r="Y14" s="9" t="n">
        <f aca="false">SUM(Y8:Y13)</f>
        <v>209723.78</v>
      </c>
      <c r="Z14" s="9" t="n">
        <f aca="false">SUM(Z8:Z13)</f>
        <v>262907.83</v>
      </c>
      <c r="AA14" s="9" t="n">
        <f aca="false">SUM(AA8:AA13)</f>
        <v>8320.46</v>
      </c>
      <c r="AB14" s="9" t="n">
        <f aca="false">SUM(AB8:AB13)</f>
        <v>8316.73</v>
      </c>
      <c r="AC14" s="9" t="n">
        <f aca="false">SUM(AC8:AC13)</f>
        <v>27519.23</v>
      </c>
    </row>
    <row r="16" customFormat="false" ht="15" hidden="false" customHeight="false" outlineLevel="0" collapsed="false">
      <c r="B16" s="10" t="s">
        <v>41</v>
      </c>
    </row>
    <row r="17" customFormat="false" ht="15" hidden="false" customHeight="false" outlineLevel="0" collapsed="false">
      <c r="A17" s="5" t="s">
        <v>33</v>
      </c>
      <c r="B17" s="5" t="s">
        <v>42</v>
      </c>
      <c r="C17" s="6" t="n">
        <f aca="false">SUM(D17:AC17)</f>
        <v>159168.46</v>
      </c>
      <c r="D17" s="6" t="n">
        <f aca="false">Site!$D$20</f>
        <v>866.85</v>
      </c>
      <c r="E17" s="6" t="n">
        <f aca="false">'Building 1'!$D$20</f>
        <v>7916.21</v>
      </c>
      <c r="F17" s="6" t="n">
        <f aca="false">'Building 2'!$D$20</f>
        <v>6299.49</v>
      </c>
      <c r="G17" s="6" t="n">
        <f aca="false">'Building 3'!$D$20</f>
        <v>5001.64</v>
      </c>
      <c r="H17" s="6" t="n">
        <f aca="false">'Building 4'!$D$20</f>
        <v>9996.83</v>
      </c>
      <c r="I17" s="6" t="n">
        <f aca="false">'Building 5'!$D$20</f>
        <v>5001.64</v>
      </c>
      <c r="J17" s="6" t="n">
        <f aca="false">'Building 6'!$D$20</f>
        <v>9996.83</v>
      </c>
      <c r="K17" s="6" t="n">
        <f aca="false">'Building 7'!$D$20</f>
        <v>6299.49</v>
      </c>
      <c r="L17" s="6" t="n">
        <f aca="false">'Building 8'!$D$20</f>
        <v>8679.19</v>
      </c>
      <c r="M17" s="6" t="n">
        <f aca="false">'Building 9'!$D$20</f>
        <v>8603.17</v>
      </c>
      <c r="N17" s="6" t="n">
        <f aca="false">'Building 10'!$D$20</f>
        <v>5001.64</v>
      </c>
      <c r="O17" s="6" t="n">
        <f aca="false">'Building 11'!$D$20</f>
        <v>11223.57</v>
      </c>
      <c r="P17" s="6" t="n">
        <f aca="false">'Building 12'!$D$20</f>
        <v>7464.18</v>
      </c>
      <c r="Q17" s="6" t="n">
        <f aca="false">'Building 13'!$D$20</f>
        <v>7464.18</v>
      </c>
      <c r="R17" s="6" t="n">
        <f aca="false">'Building 14'!$D$20</f>
        <v>7464.18</v>
      </c>
      <c r="S17" s="6" t="n">
        <f aca="false">'Building 15'!$D$20</f>
        <v>11223.57</v>
      </c>
      <c r="T17" s="6" t="n">
        <f aca="false">'Building 16'!$D$20</f>
        <v>5001.64</v>
      </c>
      <c r="U17" s="6" t="n">
        <f aca="false">'Building 17'!$D$20</f>
        <v>3763.31</v>
      </c>
      <c r="V17" s="6" t="n">
        <f aca="false">'Building 18'!$D$20</f>
        <v>3763.31</v>
      </c>
      <c r="W17" s="6" t="n">
        <f aca="false">'Building 19'!$D$20</f>
        <v>6184.29</v>
      </c>
      <c r="X17" s="6" t="n">
        <f aca="false">'Building 20'!$D$20</f>
        <v>8473.25</v>
      </c>
      <c r="Y17" s="6" t="n">
        <f aca="false">'Building 21'!$D$20</f>
        <v>5001.64</v>
      </c>
      <c r="Z17" s="6" t="n">
        <f aca="false">'Building 22'!$D$20</f>
        <v>6184.29</v>
      </c>
      <c r="AA17" s="6"/>
      <c r="AB17" s="6" t="n">
        <f aca="false">'Shed B'!$D$20</f>
        <v>21.89</v>
      </c>
      <c r="AC17" s="6" t="n">
        <f aca="false">Laundry!$D$20</f>
        <v>2272.18</v>
      </c>
    </row>
    <row r="18" customFormat="false" ht="15" hidden="false" customHeight="false" outlineLevel="0" collapsed="false">
      <c r="A18" s="5" t="s">
        <v>33</v>
      </c>
      <c r="B18" s="5" t="s">
        <v>43</v>
      </c>
      <c r="C18" s="6" t="n">
        <f aca="false">SUM(D18:AC18)</f>
        <v>110068.96</v>
      </c>
      <c r="D18" s="6" t="n">
        <f aca="false">Site!$D$21</f>
        <v>110068.96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customFormat="false" ht="15" hidden="false" customHeight="false" outlineLevel="0" collapsed="false">
      <c r="A19" s="5" t="s">
        <v>33</v>
      </c>
      <c r="B19" s="5" t="s">
        <v>44</v>
      </c>
      <c r="C19" s="6" t="n">
        <f aca="false">SUM(D19:AC19)</f>
        <v>749665.58</v>
      </c>
      <c r="D19" s="6" t="n">
        <f aca="false">Site!$D$22</f>
        <v>55647.6</v>
      </c>
      <c r="E19" s="6" t="n">
        <f aca="false">'Building 1'!$D$21</f>
        <v>37354.76</v>
      </c>
      <c r="F19" s="6" t="n">
        <f aca="false">'Building 2'!$D$21</f>
        <v>28285.6</v>
      </c>
      <c r="G19" s="6" t="n">
        <f aca="false">'Building 3'!$D$21</f>
        <v>22289.12</v>
      </c>
      <c r="H19" s="6" t="n">
        <f aca="false">'Building 4'!$D$21</f>
        <v>43522.08</v>
      </c>
      <c r="I19" s="6" t="n">
        <f aca="false">'Building 5'!$D$21</f>
        <v>22289.12</v>
      </c>
      <c r="J19" s="6" t="n">
        <f aca="false">'Building 6'!$D$21</f>
        <v>43522.08</v>
      </c>
      <c r="K19" s="6" t="n">
        <f aca="false">'Building 7'!$D$21</f>
        <v>28285.6</v>
      </c>
      <c r="L19" s="6" t="n">
        <f aca="false">'Building 8'!$D$21</f>
        <v>37771.06</v>
      </c>
      <c r="M19" s="6" t="n">
        <f aca="false">'Building 9'!$D$21</f>
        <v>37718.44</v>
      </c>
      <c r="N19" s="6" t="n">
        <f aca="false">'Building 10'!$D$21</f>
        <v>22289.12</v>
      </c>
      <c r="O19" s="6" t="n">
        <f aca="false">'Building 11'!$D$21</f>
        <v>48996.16</v>
      </c>
      <c r="P19" s="6" t="n">
        <f aca="false">'Building 12'!$D$21</f>
        <v>32525.68</v>
      </c>
      <c r="Q19" s="6" t="n">
        <f aca="false">'Building 13'!$D$21</f>
        <v>32525.68</v>
      </c>
      <c r="R19" s="6" t="n">
        <f aca="false">'Building 14'!$D$21</f>
        <v>32525.68</v>
      </c>
      <c r="S19" s="6" t="n">
        <f aca="false">'Building 15'!$D$21</f>
        <v>48996.16</v>
      </c>
      <c r="T19" s="6" t="n">
        <f aca="false">'Building 16'!$D$21</f>
        <v>22289.12</v>
      </c>
      <c r="U19" s="6" t="n">
        <f aca="false">'Building 17'!$D$21</f>
        <v>16857.55</v>
      </c>
      <c r="V19" s="6" t="n">
        <f aca="false">'Building 18'!$D$21</f>
        <v>16857.55</v>
      </c>
      <c r="W19" s="6" t="n">
        <f aca="false">'Building 19'!$D$21</f>
        <v>28027.16</v>
      </c>
      <c r="X19" s="6" t="n">
        <f aca="false">'Building 20'!$D$21</f>
        <v>37322.1</v>
      </c>
      <c r="Y19" s="6" t="n">
        <f aca="false">'Building 21'!$D$21</f>
        <v>22289.12</v>
      </c>
      <c r="Z19" s="6" t="n">
        <f aca="false">'Building 22'!$D$21</f>
        <v>28027.16</v>
      </c>
      <c r="AA19" s="6" t="n">
        <f aca="false">'Shed A'!$D$20</f>
        <v>1082.72</v>
      </c>
      <c r="AB19" s="6" t="n">
        <f aca="false">'Shed B'!$D$21</f>
        <v>1060.34</v>
      </c>
      <c r="AC19" s="6" t="n">
        <f aca="false">Laundry!$D$21</f>
        <v>1308.82</v>
      </c>
    </row>
    <row r="20" customFormat="false" ht="15" hidden="false" customHeight="false" outlineLevel="0" collapsed="false">
      <c r="A20" s="5" t="s">
        <v>33</v>
      </c>
      <c r="B20" s="5" t="s">
        <v>45</v>
      </c>
      <c r="C20" s="6" t="n">
        <f aca="false">SUM(D20:AC20)</f>
        <v>20537.8</v>
      </c>
      <c r="D20" s="6" t="n">
        <f aca="false">Site!$D$23</f>
        <v>111.85</v>
      </c>
      <c r="E20" s="6" t="n">
        <f aca="false">'Building 1'!$D$22</f>
        <v>1021.44</v>
      </c>
      <c r="F20" s="6" t="n">
        <f aca="false">'Building 2'!$D$22</f>
        <v>812.84</v>
      </c>
      <c r="G20" s="6" t="n">
        <f aca="false">'Building 3'!$D$22</f>
        <v>645.37</v>
      </c>
      <c r="H20" s="6" t="n">
        <f aca="false">'Building 4'!$D$22</f>
        <v>1289.91</v>
      </c>
      <c r="I20" s="6" t="n">
        <f aca="false">'Building 5'!$D$22</f>
        <v>645.37</v>
      </c>
      <c r="J20" s="6" t="n">
        <f aca="false">'Building 6'!$D$22</f>
        <v>1289.91</v>
      </c>
      <c r="K20" s="6" t="n">
        <f aca="false">'Building 7'!$D$22</f>
        <v>812.84</v>
      </c>
      <c r="L20" s="6" t="n">
        <f aca="false">'Building 8'!$D$22</f>
        <v>1119.89</v>
      </c>
      <c r="M20" s="6" t="n">
        <f aca="false">'Building 9'!$D$22</f>
        <v>1110.08</v>
      </c>
      <c r="N20" s="6" t="n">
        <f aca="false">'Building 10'!$D$22</f>
        <v>645.37</v>
      </c>
      <c r="O20" s="6" t="n">
        <f aca="false">'Building 11'!$D$22</f>
        <v>1448.2</v>
      </c>
      <c r="P20" s="6" t="n">
        <f aca="false">'Building 12'!$D$22</f>
        <v>963.12</v>
      </c>
      <c r="Q20" s="6" t="n">
        <f aca="false">'Building 13'!$D$22</f>
        <v>963.12</v>
      </c>
      <c r="R20" s="6" t="n">
        <f aca="false">'Building 14'!$D$22</f>
        <v>963.12</v>
      </c>
      <c r="S20" s="6" t="n">
        <f aca="false">'Building 15'!$D$22</f>
        <v>1448.2</v>
      </c>
      <c r="T20" s="6" t="n">
        <f aca="false">'Building 16'!$D$22</f>
        <v>645.37</v>
      </c>
      <c r="U20" s="6" t="n">
        <f aca="false">'Building 17'!$D$22</f>
        <v>485.59</v>
      </c>
      <c r="V20" s="6" t="n">
        <f aca="false">'Building 18'!$D$22</f>
        <v>485.59</v>
      </c>
      <c r="W20" s="6" t="n">
        <f aca="false">'Building 19'!$D$22</f>
        <v>797.97</v>
      </c>
      <c r="X20" s="6" t="n">
        <f aca="false">'Building 20'!$D$22</f>
        <v>1093.32</v>
      </c>
      <c r="Y20" s="6" t="n">
        <f aca="false">'Building 21'!$D$22</f>
        <v>645.37</v>
      </c>
      <c r="Z20" s="6" t="n">
        <f aca="false">'Building 22'!$D$22</f>
        <v>797.97</v>
      </c>
      <c r="AA20" s="6"/>
      <c r="AB20" s="6" t="n">
        <f aca="false">'Shed B'!$D$22</f>
        <v>2.82</v>
      </c>
      <c r="AC20" s="6" t="n">
        <f aca="false">Laundry!$D$22</f>
        <v>293.17</v>
      </c>
    </row>
    <row r="21" customFormat="false" ht="15" hidden="false" customHeight="false" outlineLevel="0" collapsed="false">
      <c r="A21" s="5" t="s">
        <v>33</v>
      </c>
      <c r="B21" s="5" t="s">
        <v>46</v>
      </c>
      <c r="C21" s="6" t="n">
        <f aca="false">SUM(D21:AC21)</f>
        <v>14202.41</v>
      </c>
      <c r="D21" s="6" t="n">
        <f aca="false">Site!$D$24</f>
        <v>14202.41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15" hidden="false" customHeight="false" outlineLevel="0" collapsed="false">
      <c r="A22" s="5" t="s">
        <v>33</v>
      </c>
      <c r="B22" s="5" t="s">
        <v>47</v>
      </c>
      <c r="C22" s="6" t="n">
        <f aca="false">SUM(D22:AC22)</f>
        <v>96730.79</v>
      </c>
      <c r="D22" s="6" t="n">
        <f aca="false">Site!$D$25</f>
        <v>7180.32</v>
      </c>
      <c r="E22" s="6" t="n">
        <f aca="false">'Building 1'!$D$23</f>
        <v>4819.96</v>
      </c>
      <c r="F22" s="6" t="n">
        <f aca="false">'Building 2'!$D$23</f>
        <v>3649.74</v>
      </c>
      <c r="G22" s="6" t="n">
        <f aca="false">'Building 3'!$D$23</f>
        <v>2876.01</v>
      </c>
      <c r="H22" s="6" t="n">
        <f aca="false">'Building 4'!$D$23</f>
        <v>5615.74</v>
      </c>
      <c r="I22" s="6" t="n">
        <f aca="false">'Building 5'!$D$23</f>
        <v>2876.01</v>
      </c>
      <c r="J22" s="6" t="n">
        <f aca="false">'Building 6'!$D$23</f>
        <v>5615.74</v>
      </c>
      <c r="K22" s="6" t="n">
        <f aca="false">'Building 7'!$D$23</f>
        <v>3649.74</v>
      </c>
      <c r="L22" s="6" t="n">
        <f aca="false">'Building 8'!$D$23</f>
        <v>4873.68</v>
      </c>
      <c r="M22" s="6" t="n">
        <f aca="false">'Building 9'!$D$23</f>
        <v>4866.89</v>
      </c>
      <c r="N22" s="6" t="n">
        <f aca="false">'Building 10'!$D$23</f>
        <v>2876.01</v>
      </c>
      <c r="O22" s="6" t="n">
        <f aca="false">'Building 11'!$D$23</f>
        <v>6322.06</v>
      </c>
      <c r="P22" s="6" t="n">
        <f aca="false">'Building 12'!$D$23</f>
        <v>4196.85</v>
      </c>
      <c r="Q22" s="6" t="n">
        <f aca="false">'Building 13'!$D$23</f>
        <v>4196.85</v>
      </c>
      <c r="R22" s="6" t="n">
        <f aca="false">'Building 14'!$D$23</f>
        <v>4196.85</v>
      </c>
      <c r="S22" s="6" t="n">
        <f aca="false">'Building 15'!$D$23</f>
        <v>6322.06</v>
      </c>
      <c r="T22" s="6" t="n">
        <f aca="false">'Building 16'!$D$23</f>
        <v>2876.01</v>
      </c>
      <c r="U22" s="6" t="n">
        <f aca="false">'Building 17'!$D$23</f>
        <v>2175.16</v>
      </c>
      <c r="V22" s="6" t="n">
        <f aca="false">'Building 18'!$D$23</f>
        <v>2175.16</v>
      </c>
      <c r="W22" s="6" t="n">
        <f aca="false">'Building 19'!$D$23</f>
        <v>3616.4</v>
      </c>
      <c r="X22" s="6" t="n">
        <f aca="false">'Building 20'!$D$23</f>
        <v>4815.74</v>
      </c>
      <c r="Y22" s="6" t="n">
        <f aca="false">'Building 21'!$D$23</f>
        <v>2876.01</v>
      </c>
      <c r="Z22" s="6" t="n">
        <f aca="false">'Building 22'!$D$23</f>
        <v>3616.4</v>
      </c>
      <c r="AA22" s="6" t="n">
        <f aca="false">'Shed A'!$D$21</f>
        <v>139.71</v>
      </c>
      <c r="AB22" s="6" t="n">
        <f aca="false">'Shed B'!$D$23</f>
        <v>136.82</v>
      </c>
      <c r="AC22" s="6" t="n">
        <f aca="false">Laundry!$D$23</f>
        <v>168.87</v>
      </c>
    </row>
    <row r="23" customFormat="false" ht="15" hidden="false" customHeight="false" outlineLevel="0" collapsed="false">
      <c r="A23" s="5" t="s">
        <v>33</v>
      </c>
      <c r="B23" s="5" t="s">
        <v>48</v>
      </c>
      <c r="C23" s="6" t="n">
        <f aca="false">SUM(D23:AC23)</f>
        <v>38508.54</v>
      </c>
      <c r="D23" s="6" t="n">
        <f aca="false">Site!$D$26</f>
        <v>209.72</v>
      </c>
      <c r="E23" s="6" t="n">
        <f aca="false">'Building 1'!$D$24</f>
        <v>1915.21</v>
      </c>
      <c r="F23" s="6" t="n">
        <f aca="false">'Building 2'!$D$24</f>
        <v>1524.07</v>
      </c>
      <c r="G23" s="6" t="n">
        <f aca="false">'Building 3'!$D$24</f>
        <v>1210.08</v>
      </c>
      <c r="H23" s="6" t="n">
        <f aca="false">'Building 4'!$D$24</f>
        <v>2418.59</v>
      </c>
      <c r="I23" s="6" t="n">
        <f aca="false">'Building 5'!$D$24</f>
        <v>1210.08</v>
      </c>
      <c r="J23" s="6" t="n">
        <f aca="false">'Building 6'!$D$24</f>
        <v>2418.59</v>
      </c>
      <c r="K23" s="6" t="n">
        <f aca="false">'Building 7'!$D$24</f>
        <v>1524.07</v>
      </c>
      <c r="L23" s="6" t="n">
        <f aca="false">'Building 8'!$D$24</f>
        <v>2099.81</v>
      </c>
      <c r="M23" s="6" t="n">
        <f aca="false">'Building 9'!$D$24</f>
        <v>2081.41</v>
      </c>
      <c r="N23" s="6" t="n">
        <f aca="false">'Building 10'!$D$24</f>
        <v>1210.08</v>
      </c>
      <c r="O23" s="6" t="n">
        <f aca="false">'Building 11'!$D$24</f>
        <v>2715.38</v>
      </c>
      <c r="P23" s="6" t="n">
        <f aca="false">'Building 12'!$D$24</f>
        <v>1805.85</v>
      </c>
      <c r="Q23" s="6" t="n">
        <f aca="false">'Building 13'!$D$24</f>
        <v>1805.85</v>
      </c>
      <c r="R23" s="6" t="n">
        <f aca="false">'Building 14'!$D$24</f>
        <v>1805.85</v>
      </c>
      <c r="S23" s="6" t="n">
        <f aca="false">'Building 15'!$D$24</f>
        <v>2715.38</v>
      </c>
      <c r="T23" s="6" t="n">
        <f aca="false">'Building 16'!$D$24</f>
        <v>1210.08</v>
      </c>
      <c r="U23" s="6" t="n">
        <f aca="false">'Building 17'!$D$24</f>
        <v>910.48</v>
      </c>
      <c r="V23" s="6" t="n">
        <f aca="false">'Building 18'!$D$24</f>
        <v>910.48</v>
      </c>
      <c r="W23" s="6" t="n">
        <f aca="false">'Building 19'!$D$24</f>
        <v>1496.2</v>
      </c>
      <c r="X23" s="6" t="n">
        <f aca="false">'Building 20'!$D$24</f>
        <v>2049.98</v>
      </c>
      <c r="Y23" s="6" t="n">
        <f aca="false">'Building 21'!$D$24</f>
        <v>1210.08</v>
      </c>
      <c r="Z23" s="6" t="n">
        <f aca="false">'Building 22'!$D$24</f>
        <v>1496.2</v>
      </c>
      <c r="AA23" s="6"/>
      <c r="AB23" s="6" t="n">
        <f aca="false">'Shed B'!$D$24</f>
        <v>5.3</v>
      </c>
      <c r="AC23" s="6" t="n">
        <f aca="false">Laundry!$D$24</f>
        <v>549.72</v>
      </c>
    </row>
    <row r="24" customFormat="false" ht="15" hidden="false" customHeight="false" outlineLevel="0" collapsed="false">
      <c r="A24" s="5" t="s">
        <v>33</v>
      </c>
      <c r="B24" s="5" t="s">
        <v>49</v>
      </c>
      <c r="C24" s="6" t="n">
        <f aca="false">SUM(D24:AC24)</f>
        <v>26629.61</v>
      </c>
      <c r="D24" s="6" t="n">
        <f aca="false">Site!$D$27</f>
        <v>26629.61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customFormat="false" ht="15" hidden="false" customHeight="false" outlineLevel="0" collapsed="false">
      <c r="A25" s="5" t="s">
        <v>33</v>
      </c>
      <c r="B25" s="5" t="s">
        <v>50</v>
      </c>
      <c r="C25" s="6" t="n">
        <f aca="false">SUM(D25:AC25)</f>
        <v>181370.85</v>
      </c>
      <c r="D25" s="6" t="n">
        <f aca="false">Site!$D$28</f>
        <v>13463.14</v>
      </c>
      <c r="E25" s="6" t="n">
        <f aca="false">'Building 1'!$D$25</f>
        <v>9037.45</v>
      </c>
      <c r="F25" s="6" t="n">
        <f aca="false">'Building 2'!$D$25</f>
        <v>6843.3</v>
      </c>
      <c r="G25" s="6" t="n">
        <f aca="false">'Building 3'!$D$25</f>
        <v>5392.53</v>
      </c>
      <c r="H25" s="6" t="n">
        <f aca="false">'Building 4'!$D$25</f>
        <v>10529.54</v>
      </c>
      <c r="I25" s="6" t="n">
        <f aca="false">'Building 5'!$D$25</f>
        <v>5392.53</v>
      </c>
      <c r="J25" s="6" t="n">
        <f aca="false">'Building 6'!$D$25</f>
        <v>10529.54</v>
      </c>
      <c r="K25" s="6" t="n">
        <f aca="false">'Building 7'!$D$25</f>
        <v>6843.3</v>
      </c>
      <c r="L25" s="6" t="n">
        <f aca="false">'Building 8'!$D$25</f>
        <v>9138.17</v>
      </c>
      <c r="M25" s="6" t="n">
        <f aca="false">'Building 9'!$D$25</f>
        <v>9125.44</v>
      </c>
      <c r="N25" s="6" t="n">
        <f aca="false">'Building 10'!$D$25</f>
        <v>5392.53</v>
      </c>
      <c r="O25" s="6" t="n">
        <f aca="false">'Building 11'!$D$25</f>
        <v>11853.92</v>
      </c>
      <c r="P25" s="6" t="n">
        <f aca="false">'Building 12'!$D$25</f>
        <v>7869.12</v>
      </c>
      <c r="Q25" s="6" t="n">
        <f aca="false">'Building 13'!$D$25</f>
        <v>7869.12</v>
      </c>
      <c r="R25" s="6" t="n">
        <f aca="false">'Building 14'!$D$25</f>
        <v>7869.12</v>
      </c>
      <c r="S25" s="6" t="n">
        <f aca="false">'Building 15'!$D$25</f>
        <v>11853.92</v>
      </c>
      <c r="T25" s="6" t="n">
        <f aca="false">'Building 16'!$D$25</f>
        <v>5392.53</v>
      </c>
      <c r="U25" s="6" t="n">
        <f aca="false">'Building 17'!$D$25</f>
        <v>4078.44</v>
      </c>
      <c r="V25" s="6" t="n">
        <f aca="false">'Building 18'!$D$25</f>
        <v>4078.44</v>
      </c>
      <c r="W25" s="6" t="n">
        <f aca="false">'Building 19'!$D$25</f>
        <v>6780.78</v>
      </c>
      <c r="X25" s="6" t="n">
        <f aca="false">'Building 20'!$D$25</f>
        <v>9029.55</v>
      </c>
      <c r="Y25" s="6" t="n">
        <f aca="false">'Building 21'!$D$25</f>
        <v>5392.53</v>
      </c>
      <c r="Z25" s="6" t="n">
        <f aca="false">'Building 22'!$D$25</f>
        <v>6780.78</v>
      </c>
      <c r="AA25" s="6" t="n">
        <f aca="false">'Shed A'!$D$22</f>
        <v>261.95</v>
      </c>
      <c r="AB25" s="6" t="n">
        <f aca="false">'Shed B'!$D$25</f>
        <v>256.53</v>
      </c>
      <c r="AC25" s="6" t="n">
        <f aca="false">Laundry!$D$25</f>
        <v>316.65</v>
      </c>
    </row>
    <row r="26" customFormat="false" ht="15" hidden="false" customHeight="false" outlineLevel="0" collapsed="false">
      <c r="A26" s="5" t="s">
        <v>33</v>
      </c>
      <c r="B26" s="5" t="s">
        <v>51</v>
      </c>
      <c r="C26" s="6" t="n">
        <f aca="false">SUM(D26:AC26)</f>
        <v>733030.85</v>
      </c>
      <c r="D26" s="6" t="n">
        <f aca="false">Site!$D$29</f>
        <v>3992.15</v>
      </c>
      <c r="E26" s="6" t="n">
        <f aca="false">'Building 1'!$D$26</f>
        <v>36457.14</v>
      </c>
      <c r="F26" s="6" t="n">
        <f aca="false">'Building 2'!$D$26</f>
        <v>29011.54</v>
      </c>
      <c r="G26" s="6" t="n">
        <f aca="false">'Building 3'!$D$26</f>
        <v>23034.43</v>
      </c>
      <c r="H26" s="6" t="n">
        <f aca="false">'Building 4'!$D$26</f>
        <v>46039.18</v>
      </c>
      <c r="I26" s="6" t="n">
        <f aca="false">'Building 5'!$D$26</f>
        <v>23034.43</v>
      </c>
      <c r="J26" s="6" t="n">
        <f aca="false">'Building 6'!$D$26</f>
        <v>46039.18</v>
      </c>
      <c r="K26" s="6" t="n">
        <f aca="false">'Building 7'!$D$26</f>
        <v>29011.54</v>
      </c>
      <c r="L26" s="6" t="n">
        <f aca="false">'Building 8'!$D$26</f>
        <v>39970.95</v>
      </c>
      <c r="M26" s="6" t="n">
        <f aca="false">'Building 9'!$D$26</f>
        <v>39620.83</v>
      </c>
      <c r="N26" s="6" t="n">
        <f aca="false">'Building 10'!$D$26</f>
        <v>23034.43</v>
      </c>
      <c r="O26" s="6" t="n">
        <f aca="false">'Building 11'!$D$26</f>
        <v>51688.76</v>
      </c>
      <c r="P26" s="6" t="n">
        <f aca="false">'Building 12'!$D$26</f>
        <v>34375.37</v>
      </c>
      <c r="Q26" s="6" t="n">
        <f aca="false">'Building 13'!$D$26</f>
        <v>34375.37</v>
      </c>
      <c r="R26" s="6" t="n">
        <f aca="false">'Building 14'!$D$26</f>
        <v>34375.37</v>
      </c>
      <c r="S26" s="6" t="n">
        <f aca="false">'Building 15'!$D$26</f>
        <v>51688.76</v>
      </c>
      <c r="T26" s="6" t="n">
        <f aca="false">'Building 16'!$D$26</f>
        <v>23034.43</v>
      </c>
      <c r="U26" s="6" t="n">
        <f aca="false">'Building 17'!$D$26</f>
        <v>17331.47</v>
      </c>
      <c r="V26" s="6" t="n">
        <f aca="false">'Building 18'!$D$26</f>
        <v>17331.47</v>
      </c>
      <c r="W26" s="6" t="n">
        <f aca="false">'Building 19'!$D$26</f>
        <v>28481.01</v>
      </c>
      <c r="X26" s="6" t="n">
        <f aca="false">'Building 20'!$D$26</f>
        <v>39022.5</v>
      </c>
      <c r="Y26" s="6" t="n">
        <f aca="false">'Building 21'!$D$26</f>
        <v>23034.43</v>
      </c>
      <c r="Z26" s="6" t="n">
        <f aca="false">'Building 22'!$D$26</f>
        <v>28481.01</v>
      </c>
      <c r="AA26" s="6"/>
      <c r="AB26" s="6" t="n">
        <f aca="false">'Shed B'!$D$26</f>
        <v>100.82</v>
      </c>
      <c r="AC26" s="6" t="n">
        <f aca="false">Laundry!$D$26</f>
        <v>10464.28</v>
      </c>
    </row>
    <row r="27" customFormat="false" ht="15" hidden="false" customHeight="false" outlineLevel="0" collapsed="false">
      <c r="A27" s="5" t="s">
        <v>33</v>
      </c>
      <c r="B27" s="5" t="s">
        <v>52</v>
      </c>
      <c r="C27" s="6" t="n">
        <f aca="false">SUM(D27:AC27)</f>
        <v>506909.01</v>
      </c>
      <c r="D27" s="6" t="n">
        <f aca="false">Site!$D$30</f>
        <v>506909.01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customFormat="false" ht="15" hidden="false" customHeight="false" outlineLevel="0" collapsed="false">
      <c r="A28" s="5" t="s">
        <v>33</v>
      </c>
      <c r="B28" s="5" t="s">
        <v>53</v>
      </c>
      <c r="C28" s="6" t="n">
        <f aca="false">SUM(D28:AC28)</f>
        <v>3452492.14</v>
      </c>
      <c r="D28" s="6" t="n">
        <f aca="false">Site!$D$31</f>
        <v>256278.16</v>
      </c>
      <c r="E28" s="6" t="n">
        <f aca="false">'Building 1'!$D$27</f>
        <v>172032.73</v>
      </c>
      <c r="F28" s="6" t="n">
        <f aca="false">'Building 2'!$D$27</f>
        <v>130265.82</v>
      </c>
      <c r="G28" s="6" t="n">
        <f aca="false">'Building 3'!$D$27</f>
        <v>102649.8</v>
      </c>
      <c r="H28" s="6" t="n">
        <f aca="false">'Building 4'!$D$27</f>
        <v>200435.56</v>
      </c>
      <c r="I28" s="6" t="n">
        <f aca="false">'Building 5'!$D$27</f>
        <v>102649.8</v>
      </c>
      <c r="J28" s="6" t="n">
        <f aca="false">'Building 6'!$D$27</f>
        <v>200435.56</v>
      </c>
      <c r="K28" s="6" t="n">
        <f aca="false">'Building 7'!$D$27</f>
        <v>130265.82</v>
      </c>
      <c r="L28" s="6" t="n">
        <f aca="false">'Building 8'!$D$27</f>
        <v>173950</v>
      </c>
      <c r="M28" s="6" t="n">
        <f aca="false">'Building 9'!$D$27</f>
        <v>173707.62</v>
      </c>
      <c r="N28" s="6" t="n">
        <f aca="false">'Building 10'!$D$27</f>
        <v>102649.8</v>
      </c>
      <c r="O28" s="6" t="n">
        <f aca="false">'Building 11'!$D$27</f>
        <v>225645.77</v>
      </c>
      <c r="P28" s="6" t="n">
        <f aca="false">'Building 12'!$D$27</f>
        <v>149792.98</v>
      </c>
      <c r="Q28" s="6" t="n">
        <f aca="false">'Building 13'!$D$27</f>
        <v>149792.98</v>
      </c>
      <c r="R28" s="6" t="n">
        <f aca="false">'Building 14'!$D$27</f>
        <v>149792.98</v>
      </c>
      <c r="S28" s="6" t="n">
        <f aca="false">'Building 15'!$D$27</f>
        <v>225645.77</v>
      </c>
      <c r="T28" s="6" t="n">
        <f aca="false">'Building 16'!$D$27</f>
        <v>102649.8</v>
      </c>
      <c r="U28" s="6" t="n">
        <f aca="false">'Building 17'!$D$27</f>
        <v>77635.33</v>
      </c>
      <c r="V28" s="6" t="n">
        <f aca="false">'Building 18'!$D$27</f>
        <v>77635.33</v>
      </c>
      <c r="W28" s="6" t="n">
        <f aca="false">'Building 19'!$D$27</f>
        <v>129075.6</v>
      </c>
      <c r="X28" s="6" t="n">
        <f aca="false">'Building 20'!$D$27</f>
        <v>171882.34</v>
      </c>
      <c r="Y28" s="6" t="n">
        <f aca="false">'Building 21'!$D$27</f>
        <v>102649.8</v>
      </c>
      <c r="Z28" s="6" t="n">
        <f aca="false">'Building 22'!$D$27</f>
        <v>129075.6</v>
      </c>
      <c r="AA28" s="6" t="n">
        <f aca="false">'Shed A'!$D$23</f>
        <v>4986.32</v>
      </c>
      <c r="AB28" s="6" t="n">
        <f aca="false">'Shed B'!$D$27</f>
        <v>4883.27</v>
      </c>
      <c r="AC28" s="6" t="n">
        <f aca="false">Laundry!$D$27</f>
        <v>6027.6</v>
      </c>
    </row>
    <row r="29" customFormat="false" ht="15" hidden="false" customHeight="false" outlineLevel="0" collapsed="false">
      <c r="A29" s="5" t="s">
        <v>33</v>
      </c>
      <c r="B29" s="5" t="s">
        <v>54</v>
      </c>
      <c r="C29" s="6" t="n">
        <f aca="false">SUM(D29:AC29)</f>
        <v>94584.6</v>
      </c>
      <c r="D29" s="6" t="n">
        <f aca="false">Site!$D$32</f>
        <v>515.12</v>
      </c>
      <c r="E29" s="6" t="n">
        <f aca="false">'Building 1'!$D$28</f>
        <v>4704.15</v>
      </c>
      <c r="F29" s="6" t="n">
        <f aca="false">'Building 2'!$D$28</f>
        <v>3743.42</v>
      </c>
      <c r="G29" s="6" t="n">
        <f aca="false">'Building 3'!$D$28</f>
        <v>2972.18</v>
      </c>
      <c r="H29" s="6" t="n">
        <f aca="false">'Building 4'!$D$28</f>
        <v>5940.54</v>
      </c>
      <c r="I29" s="6" t="n">
        <f aca="false">'Building 5'!$D$28</f>
        <v>2972.18</v>
      </c>
      <c r="J29" s="6" t="n">
        <f aca="false">'Building 6'!$D$28</f>
        <v>5940.54</v>
      </c>
      <c r="K29" s="6" t="n">
        <f aca="false">'Building 7'!$D$28</f>
        <v>3743.42</v>
      </c>
      <c r="L29" s="6" t="n">
        <f aca="false">'Building 8'!$D$28</f>
        <v>5157.54</v>
      </c>
      <c r="M29" s="6" t="n">
        <f aca="false">'Building 9'!$D$28</f>
        <v>5112.36</v>
      </c>
      <c r="N29" s="6" t="n">
        <f aca="false">'Building 10'!$D$28</f>
        <v>2972.18</v>
      </c>
      <c r="O29" s="6" t="n">
        <f aca="false">'Building 11'!$D$28</f>
        <v>6669.52</v>
      </c>
      <c r="P29" s="6" t="n">
        <f aca="false">'Building 12'!$D$28</f>
        <v>4435.53</v>
      </c>
      <c r="Q29" s="6" t="n">
        <f aca="false">'Building 13'!$D$28</f>
        <v>4435.53</v>
      </c>
      <c r="R29" s="6" t="n">
        <f aca="false">'Building 14'!$D$28</f>
        <v>4435.53</v>
      </c>
      <c r="S29" s="6" t="n">
        <f aca="false">'Building 15'!$D$28</f>
        <v>6669.52</v>
      </c>
      <c r="T29" s="6" t="n">
        <f aca="false">'Building 16'!$D$28</f>
        <v>2972.18</v>
      </c>
      <c r="U29" s="6" t="n">
        <f aca="false">'Building 17'!$D$28</f>
        <v>2236.32</v>
      </c>
      <c r="V29" s="6" t="n">
        <f aca="false">'Building 18'!$D$28</f>
        <v>2236.32</v>
      </c>
      <c r="W29" s="6" t="n">
        <f aca="false">'Building 19'!$D$28</f>
        <v>3674.97</v>
      </c>
      <c r="X29" s="6" t="n">
        <f aca="false">'Building 20'!$D$28</f>
        <v>5035.16</v>
      </c>
      <c r="Y29" s="6" t="n">
        <f aca="false">'Building 21'!$D$28</f>
        <v>2972.18</v>
      </c>
      <c r="Z29" s="6" t="n">
        <f aca="false">'Building 22'!$D$28</f>
        <v>3674.97</v>
      </c>
      <c r="AA29" s="6"/>
      <c r="AB29" s="6" t="n">
        <f aca="false">'Shed B'!$D$28</f>
        <v>13.01</v>
      </c>
      <c r="AC29" s="6" t="n">
        <f aca="false">Laundry!$D$28</f>
        <v>1350.23</v>
      </c>
    </row>
    <row r="30" customFormat="false" ht="15" hidden="false" customHeight="false" outlineLevel="0" collapsed="false">
      <c r="A30" s="5" t="s">
        <v>33</v>
      </c>
      <c r="B30" s="5" t="s">
        <v>55</v>
      </c>
      <c r="C30" s="6" t="n">
        <f aca="false">SUM(D30:AC30)</f>
        <v>65407.6</v>
      </c>
      <c r="D30" s="6" t="n">
        <f aca="false">Site!$D$33</f>
        <v>65407.6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customFormat="false" ht="15" hidden="false" customHeight="false" outlineLevel="0" collapsed="false">
      <c r="A31" s="5" t="s">
        <v>33</v>
      </c>
      <c r="B31" s="5" t="s">
        <v>56</v>
      </c>
      <c r="C31" s="6" t="n">
        <f aca="false">SUM(D31:AC31)</f>
        <v>445482.8</v>
      </c>
      <c r="D31" s="6" t="n">
        <f aca="false">Site!$D$34</f>
        <v>33068.14</v>
      </c>
      <c r="E31" s="6" t="n">
        <f aca="false">'Building 1'!$D$29</f>
        <v>22197.76</v>
      </c>
      <c r="F31" s="6" t="n">
        <f aca="false">'Building 2'!$D$29</f>
        <v>16808.49</v>
      </c>
      <c r="G31" s="6" t="n">
        <f aca="false">'Building 3'!$D$29</f>
        <v>13245.14</v>
      </c>
      <c r="H31" s="6" t="n">
        <f aca="false">'Building 4'!$D$29</f>
        <v>25862.65</v>
      </c>
      <c r="I31" s="6" t="n">
        <f aca="false">'Building 5'!$D$29</f>
        <v>13245.14</v>
      </c>
      <c r="J31" s="6" t="n">
        <f aca="false">'Building 6'!$D$29</f>
        <v>25862.65</v>
      </c>
      <c r="K31" s="6" t="n">
        <f aca="false">'Building 7'!$D$29</f>
        <v>16808.49</v>
      </c>
      <c r="L31" s="6" t="n">
        <f aca="false">'Building 8'!$D$29</f>
        <v>22445.16</v>
      </c>
      <c r="M31" s="6" t="n">
        <f aca="false">'Building 9'!$D$29</f>
        <v>22413.89</v>
      </c>
      <c r="N31" s="6" t="n">
        <f aca="false">'Building 10'!$D$29</f>
        <v>13245.14</v>
      </c>
      <c r="O31" s="6" t="n">
        <f aca="false">'Building 11'!$D$29</f>
        <v>29115.58</v>
      </c>
      <c r="P31" s="6" t="n">
        <f aca="false">'Building 12'!$D$29</f>
        <v>19328.12</v>
      </c>
      <c r="Q31" s="6" t="n">
        <f aca="false">'Building 13'!$D$29</f>
        <v>19328.12</v>
      </c>
      <c r="R31" s="6" t="n">
        <f aca="false">'Building 14'!$D$29</f>
        <v>19328.12</v>
      </c>
      <c r="S31" s="6" t="n">
        <f aca="false">'Building 15'!$D$29</f>
        <v>29115.58</v>
      </c>
      <c r="T31" s="6" t="n">
        <f aca="false">'Building 16'!$D$29</f>
        <v>13245.14</v>
      </c>
      <c r="U31" s="6" t="n">
        <f aca="false">'Building 17'!$D$29</f>
        <v>10017.46</v>
      </c>
      <c r="V31" s="6" t="n">
        <f aca="false">'Building 18'!$D$29</f>
        <v>10017.46</v>
      </c>
      <c r="W31" s="6" t="n">
        <f aca="false">'Building 19'!$D$29</f>
        <v>16654.91</v>
      </c>
      <c r="X31" s="6" t="n">
        <f aca="false">'Building 20'!$D$29</f>
        <v>22178.36</v>
      </c>
      <c r="Y31" s="6" t="n">
        <f aca="false">'Building 21'!$D$29</f>
        <v>13245.14</v>
      </c>
      <c r="Z31" s="6" t="n">
        <f aca="false">'Building 22'!$D$29</f>
        <v>16654.91</v>
      </c>
      <c r="AA31" s="6" t="n">
        <f aca="false">'Shed A'!$D$24</f>
        <v>643.4</v>
      </c>
      <c r="AB31" s="6" t="n">
        <f aca="false">'Shed B'!$D$29</f>
        <v>630.1</v>
      </c>
      <c r="AC31" s="6" t="n">
        <f aca="false">Laundry!$D$29</f>
        <v>777.75</v>
      </c>
    </row>
    <row r="32" customFormat="false" ht="15" hidden="false" customHeight="false" outlineLevel="0" collapsed="false">
      <c r="A32" s="5" t="s">
        <v>33</v>
      </c>
      <c r="B32" s="5" t="s">
        <v>57</v>
      </c>
      <c r="C32" s="6" t="n">
        <f aca="false">SUM(D32:AC32)</f>
        <v>177346.2</v>
      </c>
      <c r="D32" s="6" t="n">
        <f aca="false">Site!$D$35</f>
        <v>965.84</v>
      </c>
      <c r="E32" s="6" t="n">
        <f aca="false">'Building 1'!$D$30</f>
        <v>8820.29</v>
      </c>
      <c r="F32" s="6" t="n">
        <f aca="false">'Building 2'!$D$30</f>
        <v>7018.93</v>
      </c>
      <c r="G32" s="6" t="n">
        <f aca="false">'Building 3'!$D$30</f>
        <v>5572.85</v>
      </c>
      <c r="H32" s="6" t="n">
        <f aca="false">'Building 4'!$D$30</f>
        <v>11138.51</v>
      </c>
      <c r="I32" s="6" t="n">
        <f aca="false">'Building 5'!$D$30</f>
        <v>5572.85</v>
      </c>
      <c r="J32" s="6" t="n">
        <f aca="false">'Building 6'!$D$30</f>
        <v>11138.51</v>
      </c>
      <c r="K32" s="6" t="n">
        <f aca="false">'Building 7'!$D$30</f>
        <v>7018.93</v>
      </c>
      <c r="L32" s="6" t="n">
        <f aca="false">'Building 8'!$D$30</f>
        <v>9670.4</v>
      </c>
      <c r="M32" s="6" t="n">
        <f aca="false">'Building 9'!$D$30</f>
        <v>9585.69</v>
      </c>
      <c r="N32" s="6" t="n">
        <f aca="false">'Building 10'!$D$30</f>
        <v>5572.85</v>
      </c>
      <c r="O32" s="6" t="n">
        <f aca="false">'Building 11'!$D$30</f>
        <v>12505.34</v>
      </c>
      <c r="P32" s="6" t="n">
        <f aca="false">'Building 12'!$D$30</f>
        <v>8316.62</v>
      </c>
      <c r="Q32" s="6" t="n">
        <f aca="false">'Building 13'!$D$30</f>
        <v>8316.62</v>
      </c>
      <c r="R32" s="6" t="n">
        <f aca="false">'Building 14'!$D$30</f>
        <v>8316.62</v>
      </c>
      <c r="S32" s="6" t="n">
        <f aca="false">'Building 15'!$D$30</f>
        <v>12505.34</v>
      </c>
      <c r="T32" s="6" t="n">
        <f aca="false">'Building 16'!$D$30</f>
        <v>5572.85</v>
      </c>
      <c r="U32" s="6" t="n">
        <f aca="false">'Building 17'!$D$30</f>
        <v>4193.09</v>
      </c>
      <c r="V32" s="6" t="n">
        <f aca="false">'Building 18'!$D$30</f>
        <v>4193.09</v>
      </c>
      <c r="W32" s="6" t="n">
        <f aca="false">'Building 19'!$D$30</f>
        <v>6890.57</v>
      </c>
      <c r="X32" s="6" t="n">
        <f aca="false">'Building 20'!$D$30</f>
        <v>9440.93</v>
      </c>
      <c r="Y32" s="6" t="n">
        <f aca="false">'Building 21'!$D$30</f>
        <v>5572.85</v>
      </c>
      <c r="Z32" s="6" t="n">
        <f aca="false">'Building 22'!$D$30</f>
        <v>6890.57</v>
      </c>
      <c r="AA32" s="6"/>
      <c r="AB32" s="6" t="n">
        <f aca="false">'Shed B'!$D$30</f>
        <v>24.39</v>
      </c>
      <c r="AC32" s="6" t="n">
        <f aca="false">Laundry!$D$30</f>
        <v>2531.67</v>
      </c>
    </row>
    <row r="33" customFormat="false" ht="15" hidden="false" customHeight="false" outlineLevel="0" collapsed="false">
      <c r="A33" s="5" t="s">
        <v>33</v>
      </c>
      <c r="B33" s="5" t="s">
        <v>58</v>
      </c>
      <c r="C33" s="6" t="n">
        <f aca="false">SUM(D33:AC33)</f>
        <v>122639.3</v>
      </c>
      <c r="D33" s="6" t="n">
        <f aca="false">Site!$D$36</f>
        <v>122639.3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customFormat="false" ht="15" hidden="false" customHeight="false" outlineLevel="0" collapsed="false">
      <c r="A34" s="5" t="s">
        <v>33</v>
      </c>
      <c r="B34" s="5" t="s">
        <v>59</v>
      </c>
      <c r="C34" s="6" t="n">
        <f aca="false">SUM(D34:AC34)</f>
        <v>835280.5</v>
      </c>
      <c r="D34" s="6" t="n">
        <f aca="false">Site!$D$37</f>
        <v>62002.79</v>
      </c>
      <c r="E34" s="6" t="n">
        <f aca="false">'Building 1'!$D$31</f>
        <v>41620.82</v>
      </c>
      <c r="F34" s="6" t="n">
        <f aca="false">'Building 2'!$D$31</f>
        <v>31515.92</v>
      </c>
      <c r="G34" s="6" t="n">
        <f aca="false">'Building 3'!$D$31</f>
        <v>24834.63</v>
      </c>
      <c r="H34" s="6" t="n">
        <f aca="false">'Building 4'!$D$31</f>
        <v>48492.49</v>
      </c>
      <c r="I34" s="6" t="n">
        <f aca="false">'Building 5'!$D$31</f>
        <v>24834.63</v>
      </c>
      <c r="J34" s="6" t="n">
        <f aca="false">'Building 6'!$D$31</f>
        <v>48492.49</v>
      </c>
      <c r="K34" s="6" t="n">
        <f aca="false">'Building 7'!$D$31</f>
        <v>31515.92</v>
      </c>
      <c r="L34" s="6" t="n">
        <f aca="false">'Building 8'!$D$31</f>
        <v>42084.68</v>
      </c>
      <c r="M34" s="6" t="n">
        <f aca="false">'Building 9'!$D$31</f>
        <v>42026.04</v>
      </c>
      <c r="N34" s="6" t="n">
        <f aca="false">'Building 10'!$D$31</f>
        <v>24834.63</v>
      </c>
      <c r="O34" s="6" t="n">
        <f aca="false">'Building 11'!$D$31</f>
        <v>54591.74</v>
      </c>
      <c r="P34" s="6" t="n">
        <f aca="false">'Building 12'!$D$31</f>
        <v>36240.25</v>
      </c>
      <c r="Q34" s="6" t="n">
        <f aca="false">'Building 13'!$D$31</f>
        <v>36240.25</v>
      </c>
      <c r="R34" s="6" t="n">
        <f aca="false">'Building 14'!$D$31</f>
        <v>36240.25</v>
      </c>
      <c r="S34" s="6" t="n">
        <f aca="false">'Building 15'!$D$31</f>
        <v>54591.74</v>
      </c>
      <c r="T34" s="6" t="n">
        <f aca="false">'Building 16'!$D$31</f>
        <v>24834.63</v>
      </c>
      <c r="U34" s="6" t="n">
        <f aca="false">'Building 17'!$D$31</f>
        <v>18782.75</v>
      </c>
      <c r="V34" s="6" t="n">
        <f aca="false">'Building 18'!$D$31</f>
        <v>18782.75</v>
      </c>
      <c r="W34" s="6" t="n">
        <f aca="false">'Building 19'!$D$31</f>
        <v>31227.97</v>
      </c>
      <c r="X34" s="6" t="n">
        <f aca="false">'Building 20'!$D$31</f>
        <v>41584.44</v>
      </c>
      <c r="Y34" s="6" t="n">
        <f aca="false">'Building 21'!$D$31</f>
        <v>24834.63</v>
      </c>
      <c r="Z34" s="6" t="n">
        <f aca="false">'Building 22'!$D$31</f>
        <v>31227.97</v>
      </c>
      <c r="AA34" s="6" t="n">
        <f aca="false">'Shed A'!$D$25</f>
        <v>1206.36</v>
      </c>
      <c r="AB34" s="6" t="n">
        <f aca="false">'Shed B'!$D$31</f>
        <v>1181.44</v>
      </c>
      <c r="AC34" s="6" t="n">
        <f aca="false">Laundry!$D$31</f>
        <v>1458.29</v>
      </c>
    </row>
    <row r="35" customFormat="false" ht="15" hidden="false" customHeight="false" outlineLevel="0" collapsed="false">
      <c r="A35" s="7"/>
      <c r="B35" s="8" t="s">
        <v>60</v>
      </c>
      <c r="C35" s="9" t="n">
        <f aca="false">SUM(C17:C34)</f>
        <v>7830056</v>
      </c>
      <c r="D35" s="9" t="n">
        <f aca="false">SUM(D17:D34)</f>
        <v>1280158.57</v>
      </c>
      <c r="E35" s="9" t="n">
        <f aca="false">SUM(E17:E34)</f>
        <v>347897.92</v>
      </c>
      <c r="F35" s="9" t="n">
        <f aca="false">SUM(F17:F34)</f>
        <v>265779.16</v>
      </c>
      <c r="G35" s="9" t="n">
        <f aca="false">SUM(G17:G34)</f>
        <v>209723.78</v>
      </c>
      <c r="H35" s="9" t="n">
        <f aca="false">SUM(H17:H34)</f>
        <v>411281.62</v>
      </c>
      <c r="I35" s="9" t="n">
        <f aca="false">SUM(I17:I34)</f>
        <v>209723.78</v>
      </c>
      <c r="J35" s="9" t="n">
        <f aca="false">SUM(J17:J34)</f>
        <v>411281.62</v>
      </c>
      <c r="K35" s="9" t="n">
        <f aca="false">SUM(K17:K34)</f>
        <v>265779.16</v>
      </c>
      <c r="L35" s="9" t="n">
        <f aca="false">SUM(L17:L34)</f>
        <v>356960.53</v>
      </c>
      <c r="M35" s="9" t="n">
        <f aca="false">SUM(M17:M34)</f>
        <v>355971.86</v>
      </c>
      <c r="N35" s="9" t="n">
        <f aca="false">SUM(N17:N34)</f>
        <v>209723.78</v>
      </c>
      <c r="O35" s="9" t="n">
        <f aca="false">SUM(O17:O34)</f>
        <v>462776</v>
      </c>
      <c r="P35" s="9" t="n">
        <f aca="false">SUM(P17:P34)</f>
        <v>307313.67</v>
      </c>
      <c r="Q35" s="9" t="n">
        <f aca="false">SUM(Q17:Q34)</f>
        <v>307313.67</v>
      </c>
      <c r="R35" s="9" t="n">
        <f aca="false">SUM(R17:R34)</f>
        <v>307313.67</v>
      </c>
      <c r="S35" s="9" t="n">
        <f aca="false">SUM(S17:S34)</f>
        <v>462776</v>
      </c>
      <c r="T35" s="9" t="n">
        <f aca="false">SUM(T17:T34)</f>
        <v>209723.78</v>
      </c>
      <c r="U35" s="9" t="n">
        <f aca="false">SUM(U17:U34)</f>
        <v>158466.95</v>
      </c>
      <c r="V35" s="9" t="n">
        <f aca="false">SUM(V17:V34)</f>
        <v>158466.95</v>
      </c>
      <c r="W35" s="9" t="n">
        <f aca="false">SUM(W17:W34)</f>
        <v>262907.83</v>
      </c>
      <c r="X35" s="9" t="n">
        <f aca="false">SUM(X17:X34)</f>
        <v>351927.67</v>
      </c>
      <c r="Y35" s="9" t="n">
        <f aca="false">SUM(Y17:Y34)</f>
        <v>209723.78</v>
      </c>
      <c r="Z35" s="9" t="n">
        <f aca="false">SUM(Z17:Z34)</f>
        <v>262907.83</v>
      </c>
      <c r="AA35" s="9" t="n">
        <f aca="false">SUM(AA17:AA34)</f>
        <v>8320.46</v>
      </c>
      <c r="AB35" s="9" t="n">
        <f aca="false">SUM(AB17:AB34)</f>
        <v>8316.73</v>
      </c>
      <c r="AC35" s="9" t="n">
        <f aca="false">SUM(AC17:AC34)</f>
        <v>27519.23</v>
      </c>
    </row>
    <row r="36" customFormat="false" ht="15" hidden="false" customHeight="false" outlineLevel="0" collapsed="false">
      <c r="B36" s="11" t="s">
        <v>61</v>
      </c>
      <c r="C36" s="12" t="n">
        <f aca="false">C14-C35</f>
        <v>0</v>
      </c>
      <c r="D36" s="12" t="n">
        <f aca="false">D14-D35</f>
        <v>0</v>
      </c>
      <c r="E36" s="12" t="n">
        <f aca="false">E14-E35</f>
        <v>0</v>
      </c>
      <c r="F36" s="12" t="n">
        <f aca="false">F14-F35</f>
        <v>0</v>
      </c>
      <c r="G36" s="12" t="n">
        <f aca="false">G14-G35</f>
        <v>0</v>
      </c>
      <c r="H36" s="12" t="n">
        <f aca="false">H14-H35</f>
        <v>0</v>
      </c>
      <c r="I36" s="12" t="n">
        <f aca="false">I14-I35</f>
        <v>0</v>
      </c>
      <c r="J36" s="12" t="n">
        <f aca="false">J14-J35</f>
        <v>0</v>
      </c>
      <c r="K36" s="12" t="n">
        <f aca="false">K14-K35</f>
        <v>0</v>
      </c>
      <c r="L36" s="12" t="n">
        <f aca="false">L14-L35</f>
        <v>0</v>
      </c>
      <c r="M36" s="12" t="n">
        <f aca="false">M14-M35</f>
        <v>0</v>
      </c>
      <c r="N36" s="12" t="n">
        <f aca="false">N14-N35</f>
        <v>0</v>
      </c>
      <c r="O36" s="12" t="n">
        <f aca="false">O14-O35</f>
        <v>0</v>
      </c>
      <c r="P36" s="12" t="n">
        <f aca="false">P14-P35</f>
        <v>0</v>
      </c>
      <c r="Q36" s="12" t="n">
        <f aca="false">Q14-Q35</f>
        <v>0</v>
      </c>
      <c r="R36" s="12" t="n">
        <f aca="false">R14-R35</f>
        <v>0</v>
      </c>
      <c r="S36" s="12" t="n">
        <f aca="false">S14-S35</f>
        <v>0</v>
      </c>
      <c r="T36" s="12" t="n">
        <f aca="false">T14-T35</f>
        <v>0</v>
      </c>
      <c r="U36" s="12" t="n">
        <f aca="false">U14-U35</f>
        <v>0</v>
      </c>
      <c r="V36" s="12" t="n">
        <f aca="false">V14-V35</f>
        <v>0</v>
      </c>
      <c r="W36" s="12" t="n">
        <f aca="false">W14-W35</f>
        <v>0</v>
      </c>
      <c r="X36" s="12" t="n">
        <f aca="false">X14-X35</f>
        <v>0</v>
      </c>
      <c r="Y36" s="12" t="n">
        <f aca="false">Y14-Y35</f>
        <v>0</v>
      </c>
      <c r="Z36" s="12" t="n">
        <f aca="false">Z14-Z35</f>
        <v>0</v>
      </c>
      <c r="AA36" s="12" t="n">
        <f aca="false">AA14-AA35</f>
        <v>0</v>
      </c>
      <c r="AB36" s="12" t="n">
        <f aca="false">AB14-AB35</f>
        <v>0</v>
      </c>
      <c r="AC36" s="12" t="n">
        <f aca="false">AC14-AC35</f>
        <v>0</v>
      </c>
    </row>
    <row r="38" customFormat="false" ht="15" hidden="false" customHeight="false" outlineLevel="0" collapsed="false">
      <c r="B38" s="10" t="s">
        <v>62</v>
      </c>
    </row>
    <row r="39" customFormat="false" ht="15" hidden="false" customHeight="false" outlineLevel="0" collapsed="false">
      <c r="B39" s="11" t="s">
        <v>63</v>
      </c>
      <c r="C39" s="12" t="n">
        <f aca="false">SUM(D39:AC39)</f>
        <v>1486790</v>
      </c>
      <c r="D39" s="12" t="n">
        <f aca="false">Site!$I$16</f>
        <v>243079.61</v>
      </c>
      <c r="E39" s="12" t="n">
        <f aca="false">'Building 1'!$I$16</f>
        <v>66059.7</v>
      </c>
      <c r="F39" s="12" t="n">
        <f aca="false">'Building 2'!$I$16</f>
        <v>50466.79</v>
      </c>
      <c r="G39" s="12" t="n">
        <f aca="false">'Building 3'!$I$16</f>
        <v>39822.85</v>
      </c>
      <c r="H39" s="12" t="n">
        <f aca="false">'Building 4'!$I$16</f>
        <v>78095.16</v>
      </c>
      <c r="I39" s="12" t="n">
        <f aca="false">'Building 5'!$I$16</f>
        <v>39822.85</v>
      </c>
      <c r="J39" s="12" t="n">
        <f aca="false">'Building 6'!$I$16</f>
        <v>78095.16</v>
      </c>
      <c r="K39" s="12" t="n">
        <f aca="false">'Building 7'!$I$16</f>
        <v>50466.79</v>
      </c>
      <c r="L39" s="12" t="n">
        <f aca="false">'Building 8'!$I$16</f>
        <v>67780.54</v>
      </c>
      <c r="M39" s="12" t="n">
        <f aca="false">'Building 9'!$I$16</f>
        <v>67592.81</v>
      </c>
      <c r="N39" s="12" t="n">
        <f aca="false">'Building 10'!$I$16</f>
        <v>39822.85</v>
      </c>
      <c r="O39" s="12" t="n">
        <f aca="false">'Building 11'!$I$16</f>
        <v>87873.03</v>
      </c>
      <c r="P39" s="12" t="n">
        <f aca="false">'Building 12'!$I$16</f>
        <v>58353.46</v>
      </c>
      <c r="Q39" s="12" t="n">
        <f aca="false">'Building 13'!$I$16</f>
        <v>58353.46</v>
      </c>
      <c r="R39" s="12" t="n">
        <f aca="false">'Building 14'!$I$16</f>
        <v>58353.46</v>
      </c>
      <c r="S39" s="12" t="n">
        <f aca="false">'Building 15'!$I$16</f>
        <v>87873.03</v>
      </c>
      <c r="T39" s="12" t="n">
        <f aca="false">'Building 16'!$I$16</f>
        <v>39822.85</v>
      </c>
      <c r="U39" s="12" t="n">
        <f aca="false">'Building 17'!$I$16</f>
        <v>30090.09</v>
      </c>
      <c r="V39" s="12" t="n">
        <f aca="false">'Building 18'!$I$16</f>
        <v>30090.09</v>
      </c>
      <c r="W39" s="12" t="n">
        <f aca="false">'Building 19'!$I$16</f>
        <v>49921.58</v>
      </c>
      <c r="X39" s="12" t="n">
        <f aca="false">'Building 20'!$I$16</f>
        <v>66824.88</v>
      </c>
      <c r="Y39" s="12" t="n">
        <f aca="false">'Building 21'!$I$16</f>
        <v>39822.85</v>
      </c>
      <c r="Z39" s="12" t="n">
        <f aca="false">'Building 22'!$I$16</f>
        <v>49921.58</v>
      </c>
      <c r="AA39" s="12" t="n">
        <f aca="false">'Shed A'!$I$16</f>
        <v>1579.91</v>
      </c>
      <c r="AB39" s="12" t="n">
        <f aca="false">'Shed B'!$I$16</f>
        <v>1579.19</v>
      </c>
      <c r="AC39" s="12" t="n">
        <f aca="false">Laundry!$I$16</f>
        <v>5225.43</v>
      </c>
    </row>
    <row r="40" customFormat="false" ht="15" hidden="false" customHeight="false" outlineLevel="0" collapsed="false">
      <c r="B40" s="5" t="s">
        <v>42</v>
      </c>
      <c r="C40" s="6" t="n">
        <f aca="false">SUM(D40:AC40)</f>
        <v>108234.51</v>
      </c>
      <c r="D40" s="6" t="n">
        <f aca="false">Site!$I$20</f>
        <v>589.46</v>
      </c>
      <c r="E40" s="6" t="n">
        <f aca="false">'Building 1'!$I$20</f>
        <v>5383.03</v>
      </c>
      <c r="F40" s="6" t="n">
        <f aca="false">'Building 2'!$I$20</f>
        <v>4283.65</v>
      </c>
      <c r="G40" s="6" t="n">
        <f aca="false">'Building 3'!$I$20</f>
        <v>3401.11</v>
      </c>
      <c r="H40" s="6" t="n">
        <f aca="false">'Building 4'!$I$20</f>
        <v>6797.85</v>
      </c>
      <c r="I40" s="6" t="n">
        <f aca="false">'Building 5'!$I$20</f>
        <v>3401.11</v>
      </c>
      <c r="J40" s="6" t="n">
        <f aca="false">'Building 6'!$I$20</f>
        <v>6797.85</v>
      </c>
      <c r="K40" s="6" t="n">
        <f aca="false">'Building 7'!$I$20</f>
        <v>4283.65</v>
      </c>
      <c r="L40" s="6" t="n">
        <f aca="false">'Building 8'!$I$20</f>
        <v>5901.85</v>
      </c>
      <c r="M40" s="6" t="n">
        <f aca="false">'Building 9'!$I$20</f>
        <v>5850.15</v>
      </c>
      <c r="N40" s="6" t="n">
        <f aca="false">'Building 10'!$I$20</f>
        <v>3401.11</v>
      </c>
      <c r="O40" s="6" t="n">
        <f aca="false">'Building 11'!$I$20</f>
        <v>7632.03</v>
      </c>
      <c r="P40" s="6" t="n">
        <f aca="false">'Building 12'!$I$20</f>
        <v>5075.64</v>
      </c>
      <c r="Q40" s="6" t="n">
        <f aca="false">'Building 13'!$I$20</f>
        <v>5075.64</v>
      </c>
      <c r="R40" s="6" t="n">
        <f aca="false">'Building 14'!$I$20</f>
        <v>5075.64</v>
      </c>
      <c r="S40" s="6" t="n">
        <f aca="false">'Building 15'!$I$20</f>
        <v>7632.03</v>
      </c>
      <c r="T40" s="6" t="n">
        <f aca="false">'Building 16'!$I$20</f>
        <v>3401.11</v>
      </c>
      <c r="U40" s="6" t="n">
        <f aca="false">'Building 17'!$I$20</f>
        <v>2559.05</v>
      </c>
      <c r="V40" s="6" t="n">
        <f aca="false">'Building 18'!$I$20</f>
        <v>2559.05</v>
      </c>
      <c r="W40" s="6" t="n">
        <f aca="false">'Building 19'!$I$20</f>
        <v>4205.31</v>
      </c>
      <c r="X40" s="6" t="n">
        <f aca="false">'Building 20'!$I$20</f>
        <v>5761.81</v>
      </c>
      <c r="Y40" s="6" t="n">
        <f aca="false">'Building 21'!$I$20</f>
        <v>3401.11</v>
      </c>
      <c r="Z40" s="6" t="n">
        <f aca="false">'Building 22'!$I$20</f>
        <v>4205.31</v>
      </c>
      <c r="AA40" s="6"/>
      <c r="AB40" s="6" t="n">
        <f aca="false">'Shed B'!$I$20</f>
        <v>14.88</v>
      </c>
      <c r="AC40" s="6" t="n">
        <f aca="false">Laundry!$I$20</f>
        <v>1545.08</v>
      </c>
    </row>
    <row r="41" customFormat="false" ht="15" hidden="false" customHeight="false" outlineLevel="0" collapsed="false">
      <c r="B41" s="5" t="s">
        <v>43</v>
      </c>
      <c r="C41" s="6" t="n">
        <f aca="false">SUM(D41:AC41)</f>
        <v>68242.76</v>
      </c>
      <c r="D41" s="6" t="n">
        <f aca="false">Site!$I$21</f>
        <v>68242.76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customFormat="false" ht="15" hidden="false" customHeight="false" outlineLevel="0" collapsed="false">
      <c r="B42" s="5" t="s">
        <v>44</v>
      </c>
      <c r="C42" s="6" t="n">
        <f aca="false">SUM(D42:AC42)</f>
        <v>12494.44</v>
      </c>
      <c r="D42" s="6" t="n">
        <f aca="false">Site!$I$22</f>
        <v>927.46</v>
      </c>
      <c r="E42" s="6" t="n">
        <f aca="false">'Building 1'!$I$21</f>
        <v>622.58</v>
      </c>
      <c r="F42" s="6" t="n">
        <f aca="false">'Building 2'!$I$21</f>
        <v>471.43</v>
      </c>
      <c r="G42" s="6" t="n">
        <f aca="false">'Building 3'!$I$21</f>
        <v>371.49</v>
      </c>
      <c r="H42" s="6" t="n">
        <f aca="false">'Building 4'!$I$21</f>
        <v>725.37</v>
      </c>
      <c r="I42" s="6" t="n">
        <f aca="false">'Building 5'!$I$21</f>
        <v>371.49</v>
      </c>
      <c r="J42" s="6" t="n">
        <f aca="false">'Building 6'!$I$21</f>
        <v>725.37</v>
      </c>
      <c r="K42" s="6" t="n">
        <f aca="false">'Building 7'!$I$21</f>
        <v>471.43</v>
      </c>
      <c r="L42" s="6" t="n">
        <f aca="false">'Building 8'!$I$21</f>
        <v>629.52</v>
      </c>
      <c r="M42" s="6" t="n">
        <f aca="false">'Building 9'!$I$21</f>
        <v>628.64</v>
      </c>
      <c r="N42" s="6" t="n">
        <f aca="false">'Building 10'!$I$21</f>
        <v>371.49</v>
      </c>
      <c r="O42" s="6" t="n">
        <f aca="false">'Building 11'!$I$21</f>
        <v>816.6</v>
      </c>
      <c r="P42" s="6" t="n">
        <f aca="false">'Building 12'!$I$21</f>
        <v>542.09</v>
      </c>
      <c r="Q42" s="6" t="n">
        <f aca="false">'Building 13'!$I$21</f>
        <v>542.09</v>
      </c>
      <c r="R42" s="6" t="n">
        <f aca="false">'Building 14'!$I$21</f>
        <v>542.09</v>
      </c>
      <c r="S42" s="6" t="n">
        <f aca="false">'Building 15'!$I$21</f>
        <v>816.6</v>
      </c>
      <c r="T42" s="6" t="n">
        <f aca="false">'Building 16'!$I$21</f>
        <v>371.49</v>
      </c>
      <c r="U42" s="6" t="n">
        <f aca="false">'Building 17'!$I$21</f>
        <v>280.96</v>
      </c>
      <c r="V42" s="6" t="n">
        <f aca="false">'Building 18'!$I$21</f>
        <v>280.96</v>
      </c>
      <c r="W42" s="6" t="n">
        <f aca="false">'Building 19'!$I$21</f>
        <v>467.12</v>
      </c>
      <c r="X42" s="6" t="n">
        <f aca="false">'Building 20'!$I$21</f>
        <v>622.03</v>
      </c>
      <c r="Y42" s="6" t="n">
        <f aca="false">'Building 21'!$I$21</f>
        <v>371.49</v>
      </c>
      <c r="Z42" s="6" t="n">
        <f aca="false">'Building 22'!$I$21</f>
        <v>467.12</v>
      </c>
      <c r="AA42" s="6" t="n">
        <f aca="false">'Shed A'!$I$20</f>
        <v>18.05</v>
      </c>
      <c r="AB42" s="6" t="n">
        <f aca="false">'Shed B'!$I$21</f>
        <v>17.67</v>
      </c>
      <c r="AC42" s="6" t="n">
        <f aca="false">Laundry!$I$21</f>
        <v>21.81</v>
      </c>
    </row>
    <row r="43" customFormat="false" ht="15" hidden="false" customHeight="false" outlineLevel="0" collapsed="false">
      <c r="B43" s="5" t="s">
        <v>45</v>
      </c>
      <c r="C43" s="6" t="n">
        <f aca="false">SUM(D43:AC43)</f>
        <v>13966.6</v>
      </c>
      <c r="D43" s="6" t="n">
        <f aca="false">Site!$I$23</f>
        <v>76.06</v>
      </c>
      <c r="E43" s="6" t="n">
        <f aca="false">'Building 1'!$I$22</f>
        <v>694.58</v>
      </c>
      <c r="F43" s="6" t="n">
        <f aca="false">'Building 2'!$I$22</f>
        <v>552.73</v>
      </c>
      <c r="G43" s="6" t="n">
        <f aca="false">'Building 3'!$I$22</f>
        <v>438.85</v>
      </c>
      <c r="H43" s="6" t="n">
        <f aca="false">'Building 4'!$I$22</f>
        <v>877.14</v>
      </c>
      <c r="I43" s="6" t="n">
        <f aca="false">'Building 5'!$I$22</f>
        <v>438.85</v>
      </c>
      <c r="J43" s="6" t="n">
        <f aca="false">'Building 6'!$I$22</f>
        <v>877.14</v>
      </c>
      <c r="K43" s="6" t="n">
        <f aca="false">'Building 7'!$I$22</f>
        <v>552.73</v>
      </c>
      <c r="L43" s="6" t="n">
        <f aca="false">'Building 8'!$I$22</f>
        <v>761.52</v>
      </c>
      <c r="M43" s="6" t="n">
        <f aca="false">'Building 9'!$I$22</f>
        <v>754.86</v>
      </c>
      <c r="N43" s="6" t="n">
        <f aca="false">'Building 10'!$I$22</f>
        <v>438.85</v>
      </c>
      <c r="O43" s="6" t="n">
        <f aca="false">'Building 11'!$I$22</f>
        <v>984.78</v>
      </c>
      <c r="P43" s="6" t="n">
        <f aca="false">'Building 12'!$I$22</f>
        <v>654.92</v>
      </c>
      <c r="Q43" s="6" t="n">
        <f aca="false">'Building 13'!$I$22</f>
        <v>654.92</v>
      </c>
      <c r="R43" s="6" t="n">
        <f aca="false">'Building 14'!$I$22</f>
        <v>654.92</v>
      </c>
      <c r="S43" s="6" t="n">
        <f aca="false">'Building 15'!$I$22</f>
        <v>984.78</v>
      </c>
      <c r="T43" s="6" t="n">
        <f aca="false">'Building 16'!$I$22</f>
        <v>438.85</v>
      </c>
      <c r="U43" s="6" t="n">
        <f aca="false">'Building 17'!$I$22</f>
        <v>330.2</v>
      </c>
      <c r="V43" s="6" t="n">
        <f aca="false">'Building 18'!$I$22</f>
        <v>330.2</v>
      </c>
      <c r="W43" s="6" t="n">
        <f aca="false">'Building 19'!$I$22</f>
        <v>542.62</v>
      </c>
      <c r="X43" s="6" t="n">
        <f aca="false">'Building 20'!$I$22</f>
        <v>743.46</v>
      </c>
      <c r="Y43" s="6" t="n">
        <f aca="false">'Building 21'!$I$22</f>
        <v>438.85</v>
      </c>
      <c r="Z43" s="6" t="n">
        <f aca="false">'Building 22'!$I$22</f>
        <v>542.62</v>
      </c>
      <c r="AA43" s="6"/>
      <c r="AB43" s="6" t="n">
        <f aca="false">'Shed B'!$I$22</f>
        <v>2.82</v>
      </c>
      <c r="AC43" s="6" t="n">
        <f aca="false">Laundry!$I$22</f>
        <v>199.35</v>
      </c>
    </row>
    <row r="44" customFormat="false" ht="15" hidden="false" customHeight="false" outlineLevel="0" collapsed="false">
      <c r="B44" s="5" t="s">
        <v>46</v>
      </c>
      <c r="C44" s="6" t="n">
        <f aca="false">SUM(D44:AC44)</f>
        <v>8805.5</v>
      </c>
      <c r="D44" s="6" t="n">
        <f aca="false">Site!$I$24</f>
        <v>8805.5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customFormat="false" ht="15" hidden="false" customHeight="false" outlineLevel="0" collapsed="false">
      <c r="B45" s="5" t="s">
        <v>47</v>
      </c>
      <c r="C45" s="6" t="n">
        <f aca="false">SUM(D45:AC45)</f>
        <v>1612.16</v>
      </c>
      <c r="D45" s="6" t="n">
        <f aca="false">Site!$I$25</f>
        <v>119.67</v>
      </c>
      <c r="E45" s="6" t="n">
        <f aca="false">'Building 1'!$I$23</f>
        <v>80.33</v>
      </c>
      <c r="F45" s="6" t="n">
        <f aca="false">'Building 2'!$I$23</f>
        <v>60.83</v>
      </c>
      <c r="G45" s="6" t="n">
        <f aca="false">'Building 3'!$I$23</f>
        <v>47.93</v>
      </c>
      <c r="H45" s="6" t="n">
        <f aca="false">'Building 4'!$I$23</f>
        <v>93.6</v>
      </c>
      <c r="I45" s="6" t="n">
        <f aca="false">'Building 5'!$I$23</f>
        <v>47.93</v>
      </c>
      <c r="J45" s="6" t="n">
        <f aca="false">'Building 6'!$I$23</f>
        <v>93.6</v>
      </c>
      <c r="K45" s="6" t="n">
        <f aca="false">'Building 7'!$I$23</f>
        <v>60.83</v>
      </c>
      <c r="L45" s="6" t="n">
        <f aca="false">'Building 8'!$I$23</f>
        <v>81.23</v>
      </c>
      <c r="M45" s="6" t="n">
        <f aca="false">'Building 9'!$I$23</f>
        <v>81.11</v>
      </c>
      <c r="N45" s="6" t="n">
        <f aca="false">'Building 10'!$I$23</f>
        <v>47.93</v>
      </c>
      <c r="O45" s="6" t="n">
        <f aca="false">'Building 11'!$I$23</f>
        <v>105.37</v>
      </c>
      <c r="P45" s="6" t="n">
        <f aca="false">'Building 12'!$I$23</f>
        <v>69.95</v>
      </c>
      <c r="Q45" s="6" t="n">
        <f aca="false">'Building 13'!$I$23</f>
        <v>69.95</v>
      </c>
      <c r="R45" s="6" t="n">
        <f aca="false">'Building 14'!$I$23</f>
        <v>69.95</v>
      </c>
      <c r="S45" s="6" t="n">
        <f aca="false">'Building 15'!$I$23</f>
        <v>105.37</v>
      </c>
      <c r="T45" s="6" t="n">
        <f aca="false">'Building 16'!$I$23</f>
        <v>47.93</v>
      </c>
      <c r="U45" s="6" t="n">
        <f aca="false">'Building 17'!$I$23</f>
        <v>36.25</v>
      </c>
      <c r="V45" s="6" t="n">
        <f aca="false">'Building 18'!$I$23</f>
        <v>36.25</v>
      </c>
      <c r="W45" s="6" t="n">
        <f aca="false">'Building 19'!$I$23</f>
        <v>60.27</v>
      </c>
      <c r="X45" s="6" t="n">
        <f aca="false">'Building 20'!$I$23</f>
        <v>80.26</v>
      </c>
      <c r="Y45" s="6" t="n">
        <f aca="false">'Building 21'!$I$23</f>
        <v>47.93</v>
      </c>
      <c r="Z45" s="6" t="n">
        <f aca="false">'Building 22'!$I$23</f>
        <v>60.27</v>
      </c>
      <c r="AA45" s="6" t="n">
        <f aca="false">'Shed A'!$I$21</f>
        <v>2.33</v>
      </c>
      <c r="AB45" s="6" t="n">
        <f aca="false">'Shed B'!$I$23</f>
        <v>2.28</v>
      </c>
      <c r="AC45" s="6" t="n">
        <f aca="false">Laundry!$I$23</f>
        <v>2.81</v>
      </c>
    </row>
    <row r="46" customFormat="false" ht="15" hidden="false" customHeight="false" outlineLevel="0" collapsed="false">
      <c r="B46" s="5" t="s">
        <v>48</v>
      </c>
      <c r="C46" s="6" t="n">
        <f aca="false">SUM(D46:AC46)</f>
        <v>26185.87</v>
      </c>
      <c r="D46" s="6" t="n">
        <f aca="false">Site!$I$26</f>
        <v>142.61</v>
      </c>
      <c r="E46" s="6" t="n">
        <f aca="false">'Building 1'!$I$24</f>
        <v>1302.35</v>
      </c>
      <c r="F46" s="6" t="n">
        <f aca="false">'Building 2'!$I$24</f>
        <v>1036.37</v>
      </c>
      <c r="G46" s="6" t="n">
        <f aca="false">'Building 3'!$I$24</f>
        <v>822.86</v>
      </c>
      <c r="H46" s="6" t="n">
        <f aca="false">'Building 4'!$I$24</f>
        <v>1644.64</v>
      </c>
      <c r="I46" s="6" t="n">
        <f aca="false">'Building 5'!$I$24</f>
        <v>822.86</v>
      </c>
      <c r="J46" s="6" t="n">
        <f aca="false">'Building 6'!$I$24</f>
        <v>1644.64</v>
      </c>
      <c r="K46" s="6" t="n">
        <f aca="false">'Building 7'!$I$24</f>
        <v>1036.37</v>
      </c>
      <c r="L46" s="6" t="n">
        <f aca="false">'Building 8'!$I$24</f>
        <v>1427.87</v>
      </c>
      <c r="M46" s="6" t="n">
        <f aca="false">'Building 9'!$I$24</f>
        <v>1415.36</v>
      </c>
      <c r="N46" s="6" t="n">
        <f aca="false">'Building 10'!$I$24</f>
        <v>822.86</v>
      </c>
      <c r="O46" s="6" t="n">
        <f aca="false">'Building 11'!$I$24</f>
        <v>1846.46</v>
      </c>
      <c r="P46" s="6" t="n">
        <f aca="false">'Building 12'!$I$24</f>
        <v>1227.98</v>
      </c>
      <c r="Q46" s="6" t="n">
        <f aca="false">'Building 13'!$I$24</f>
        <v>1227.98</v>
      </c>
      <c r="R46" s="6" t="n">
        <f aca="false">'Building 14'!$I$24</f>
        <v>1227.98</v>
      </c>
      <c r="S46" s="6" t="n">
        <f aca="false">'Building 15'!$I$24</f>
        <v>1846.46</v>
      </c>
      <c r="T46" s="6" t="n">
        <f aca="false">'Building 16'!$I$24</f>
        <v>822.86</v>
      </c>
      <c r="U46" s="6" t="n">
        <f aca="false">'Building 17'!$I$24</f>
        <v>619.13</v>
      </c>
      <c r="V46" s="6" t="n">
        <f aca="false">'Building 18'!$I$24</f>
        <v>619.13</v>
      </c>
      <c r="W46" s="6" t="n">
        <f aca="false">'Building 19'!$I$24</f>
        <v>1017.42</v>
      </c>
      <c r="X46" s="6" t="n">
        <f aca="false">'Building 20'!$I$24</f>
        <v>1393.99</v>
      </c>
      <c r="Y46" s="6" t="n">
        <f aca="false">'Building 21'!$I$24</f>
        <v>822.86</v>
      </c>
      <c r="Z46" s="6" t="n">
        <f aca="false">'Building 22'!$I$24</f>
        <v>1017.42</v>
      </c>
      <c r="AA46" s="6"/>
      <c r="AB46" s="6" t="n">
        <f aca="false">'Shed B'!$I$24</f>
        <v>3.6</v>
      </c>
      <c r="AC46" s="6" t="n">
        <f aca="false">Laundry!$I$24</f>
        <v>373.81</v>
      </c>
    </row>
    <row r="47" customFormat="false" ht="15" hidden="false" customHeight="false" outlineLevel="0" collapsed="false">
      <c r="B47" s="5" t="s">
        <v>49</v>
      </c>
      <c r="C47" s="6" t="n">
        <f aca="false">SUM(D47:AC47)</f>
        <v>16510.36</v>
      </c>
      <c r="D47" s="6" t="n">
        <f aca="false">Site!$I$27</f>
        <v>16510.36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customFormat="false" ht="15" hidden="false" customHeight="false" outlineLevel="0" collapsed="false">
      <c r="B48" s="5" t="s">
        <v>50</v>
      </c>
      <c r="C48" s="6" t="n">
        <f aca="false">SUM(D48:AC48)</f>
        <v>3022.87</v>
      </c>
      <c r="D48" s="6" t="n">
        <f aca="false">Site!$I$28</f>
        <v>224.39</v>
      </c>
      <c r="E48" s="6" t="n">
        <f aca="false">'Building 1'!$I$25</f>
        <v>150.62</v>
      </c>
      <c r="F48" s="6" t="n">
        <f aca="false">'Building 2'!$I$25</f>
        <v>114.06</v>
      </c>
      <c r="G48" s="6" t="n">
        <f aca="false">'Building 3'!$I$25</f>
        <v>89.88</v>
      </c>
      <c r="H48" s="6" t="n">
        <f aca="false">'Building 4'!$I$25</f>
        <v>175.49</v>
      </c>
      <c r="I48" s="6" t="n">
        <f aca="false">'Building 5'!$I$25</f>
        <v>89.88</v>
      </c>
      <c r="J48" s="6" t="n">
        <f aca="false">'Building 6'!$I$25</f>
        <v>175.49</v>
      </c>
      <c r="K48" s="6" t="n">
        <f aca="false">'Building 7'!$I$25</f>
        <v>114.06</v>
      </c>
      <c r="L48" s="6" t="n">
        <f aca="false">'Building 8'!$I$25</f>
        <v>152.3</v>
      </c>
      <c r="M48" s="6" t="n">
        <f aca="false">'Building 9'!$I$25</f>
        <v>152.09</v>
      </c>
      <c r="N48" s="6" t="n">
        <f aca="false">'Building 10'!$I$25</f>
        <v>89.88</v>
      </c>
      <c r="O48" s="6" t="n">
        <f aca="false">'Building 11'!$I$25</f>
        <v>197.57</v>
      </c>
      <c r="P48" s="6" t="n">
        <f aca="false">'Building 12'!$I$25</f>
        <v>131.15</v>
      </c>
      <c r="Q48" s="6" t="n">
        <f aca="false">'Building 13'!$I$25</f>
        <v>131.15</v>
      </c>
      <c r="R48" s="6" t="n">
        <f aca="false">'Building 14'!$I$25</f>
        <v>131.15</v>
      </c>
      <c r="S48" s="6" t="n">
        <f aca="false">'Building 15'!$I$25</f>
        <v>197.57</v>
      </c>
      <c r="T48" s="6" t="n">
        <f aca="false">'Building 16'!$I$25</f>
        <v>89.88</v>
      </c>
      <c r="U48" s="6" t="n">
        <f aca="false">'Building 17'!$I$25</f>
        <v>67.97</v>
      </c>
      <c r="V48" s="6" t="n">
        <f aca="false">'Building 18'!$I$25</f>
        <v>67.97</v>
      </c>
      <c r="W48" s="6" t="n">
        <f aca="false">'Building 19'!$I$25</f>
        <v>113.01</v>
      </c>
      <c r="X48" s="6" t="n">
        <f aca="false">'Building 20'!$I$25</f>
        <v>150.49</v>
      </c>
      <c r="Y48" s="6" t="n">
        <f aca="false">'Building 21'!$I$25</f>
        <v>89.88</v>
      </c>
      <c r="Z48" s="6" t="n">
        <f aca="false">'Building 22'!$I$25</f>
        <v>113.01</v>
      </c>
      <c r="AA48" s="6" t="n">
        <f aca="false">'Shed A'!$I$22</f>
        <v>4.37</v>
      </c>
      <c r="AB48" s="6" t="n">
        <f aca="false">'Shed B'!$I$25</f>
        <v>4.28</v>
      </c>
      <c r="AC48" s="6" t="n">
        <f aca="false">Laundry!$I$25</f>
        <v>5.28</v>
      </c>
    </row>
    <row r="49" customFormat="false" ht="15" hidden="false" customHeight="false" outlineLevel="0" collapsed="false">
      <c r="B49" s="5" t="s">
        <v>51</v>
      </c>
      <c r="C49" s="6" t="n">
        <f aca="false">SUM(D49:AC49)</f>
        <v>498460.96</v>
      </c>
      <c r="D49" s="6" t="n">
        <f aca="false">Site!$I$29</f>
        <v>2714.66</v>
      </c>
      <c r="E49" s="6" t="n">
        <f aca="false">'Building 1'!$I$26</f>
        <v>24790.85</v>
      </c>
      <c r="F49" s="6" t="n">
        <f aca="false">'Building 2'!$I$26</f>
        <v>19727.84</v>
      </c>
      <c r="G49" s="6" t="n">
        <f aca="false">'Building 3'!$I$26</f>
        <v>15663.41</v>
      </c>
      <c r="H49" s="6" t="n">
        <f aca="false">'Building 4'!$I$26</f>
        <v>31306.64</v>
      </c>
      <c r="I49" s="6" t="n">
        <f aca="false">'Building 5'!$I$26</f>
        <v>15663.41</v>
      </c>
      <c r="J49" s="6" t="n">
        <f aca="false">'Building 6'!$I$26</f>
        <v>31306.64</v>
      </c>
      <c r="K49" s="6" t="n">
        <f aca="false">'Building 7'!$I$26</f>
        <v>19727.84</v>
      </c>
      <c r="L49" s="6" t="n">
        <f aca="false">'Building 8'!$I$26</f>
        <v>27180.25</v>
      </c>
      <c r="M49" s="6" t="n">
        <f aca="false">'Building 9'!$I$26</f>
        <v>26942.17</v>
      </c>
      <c r="N49" s="6" t="n">
        <f aca="false">'Building 10'!$I$26</f>
        <v>15663.41</v>
      </c>
      <c r="O49" s="6" t="n">
        <f aca="false">'Building 11'!$I$26</f>
        <v>35148.36</v>
      </c>
      <c r="P49" s="6" t="n">
        <f aca="false">'Building 12'!$I$26</f>
        <v>23375.25</v>
      </c>
      <c r="Q49" s="6" t="n">
        <f aca="false">'Building 13'!$I$26</f>
        <v>23375.25</v>
      </c>
      <c r="R49" s="6" t="n">
        <f aca="false">'Building 14'!$I$26</f>
        <v>23375.25</v>
      </c>
      <c r="S49" s="6" t="n">
        <f aca="false">'Building 15'!$I$26</f>
        <v>35148.36</v>
      </c>
      <c r="T49" s="6" t="n">
        <f aca="false">'Building 16'!$I$26</f>
        <v>15663.41</v>
      </c>
      <c r="U49" s="6" t="n">
        <f aca="false">'Building 17'!$I$26</f>
        <v>11785.4</v>
      </c>
      <c r="V49" s="6" t="n">
        <f aca="false">'Building 18'!$I$26</f>
        <v>11785.4</v>
      </c>
      <c r="W49" s="6" t="n">
        <f aca="false">'Building 19'!$I$26</f>
        <v>19367.09</v>
      </c>
      <c r="X49" s="6" t="n">
        <f aca="false">'Building 20'!$I$26</f>
        <v>26535.3</v>
      </c>
      <c r="Y49" s="6" t="n">
        <f aca="false">'Building 21'!$I$26</f>
        <v>15663.41</v>
      </c>
      <c r="Z49" s="6" t="n">
        <f aca="false">'Building 22'!$I$26</f>
        <v>19367.09</v>
      </c>
      <c r="AA49" s="6"/>
      <c r="AB49" s="6" t="n">
        <f aca="false">'Shed B'!$I$26</f>
        <v>68.56</v>
      </c>
      <c r="AC49" s="6" t="n">
        <f aca="false">Laundry!$I$26</f>
        <v>7115.71</v>
      </c>
    </row>
    <row r="50" customFormat="false" ht="15" hidden="false" customHeight="false" outlineLevel="0" collapsed="false">
      <c r="B50" s="5" t="s">
        <v>52</v>
      </c>
      <c r="C50" s="6" t="n">
        <f aca="false">SUM(D50:AC50)</f>
        <v>314283.59</v>
      </c>
      <c r="D50" s="6" t="n">
        <f aca="false">Site!$I$30</f>
        <v>314283.59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customFormat="false" ht="15" hidden="false" customHeight="false" outlineLevel="0" collapsed="false">
      <c r="B51" s="5" t="s">
        <v>53</v>
      </c>
      <c r="C51" s="6" t="n">
        <f aca="false">SUM(D51:AC51)</f>
        <v>57541.54</v>
      </c>
      <c r="D51" s="6" t="n">
        <f aca="false">Site!$I$31</f>
        <v>4271.3</v>
      </c>
      <c r="E51" s="6" t="n">
        <f aca="false">'Building 1'!$I$27</f>
        <v>2867.21</v>
      </c>
      <c r="F51" s="6" t="n">
        <f aca="false">'Building 2'!$I$27</f>
        <v>2171.1</v>
      </c>
      <c r="G51" s="6" t="n">
        <f aca="false">'Building 3'!$I$27</f>
        <v>1710.83</v>
      </c>
      <c r="H51" s="6" t="n">
        <f aca="false">'Building 4'!$I$27</f>
        <v>3340.59</v>
      </c>
      <c r="I51" s="6" t="n">
        <f aca="false">'Building 5'!$I$27</f>
        <v>1710.83</v>
      </c>
      <c r="J51" s="6" t="n">
        <f aca="false">'Building 6'!$I$27</f>
        <v>3340.59</v>
      </c>
      <c r="K51" s="6" t="n">
        <f aca="false">'Building 7'!$I$27</f>
        <v>2171.1</v>
      </c>
      <c r="L51" s="6" t="n">
        <f aca="false">'Building 8'!$I$27</f>
        <v>2899.17</v>
      </c>
      <c r="M51" s="6" t="n">
        <f aca="false">'Building 9'!$I$27</f>
        <v>2895.13</v>
      </c>
      <c r="N51" s="6" t="n">
        <f aca="false">'Building 10'!$I$27</f>
        <v>1710.83</v>
      </c>
      <c r="O51" s="6" t="n">
        <f aca="false">'Building 11'!$I$27</f>
        <v>3760.76</v>
      </c>
      <c r="P51" s="6" t="n">
        <f aca="false">'Building 12'!$I$27</f>
        <v>2496.55</v>
      </c>
      <c r="Q51" s="6" t="n">
        <f aca="false">'Building 13'!$I$27</f>
        <v>2496.55</v>
      </c>
      <c r="R51" s="6" t="n">
        <f aca="false">'Building 14'!$I$27</f>
        <v>2496.55</v>
      </c>
      <c r="S51" s="6" t="n">
        <f aca="false">'Building 15'!$I$27</f>
        <v>3760.76</v>
      </c>
      <c r="T51" s="6" t="n">
        <f aca="false">'Building 16'!$I$27</f>
        <v>1710.83</v>
      </c>
      <c r="U51" s="6" t="n">
        <f aca="false">'Building 17'!$I$27</f>
        <v>1293.92</v>
      </c>
      <c r="V51" s="6" t="n">
        <f aca="false">'Building 18'!$I$27</f>
        <v>1293.92</v>
      </c>
      <c r="W51" s="6" t="n">
        <f aca="false">'Building 19'!$I$27</f>
        <v>2151.26</v>
      </c>
      <c r="X51" s="6" t="n">
        <f aca="false">'Building 20'!$I$27</f>
        <v>2864.71</v>
      </c>
      <c r="Y51" s="6" t="n">
        <f aca="false">'Building 21'!$I$27</f>
        <v>1710.83</v>
      </c>
      <c r="Z51" s="6" t="n">
        <f aca="false">'Building 22'!$I$27</f>
        <v>2151.26</v>
      </c>
      <c r="AA51" s="6" t="n">
        <f aca="false">'Shed A'!$I$23</f>
        <v>83.11</v>
      </c>
      <c r="AB51" s="6" t="n">
        <f aca="false">'Shed B'!$I$27</f>
        <v>81.39</v>
      </c>
      <c r="AC51" s="6" t="n">
        <f aca="false">Laundry!$I$27</f>
        <v>100.46</v>
      </c>
    </row>
    <row r="52" customFormat="false" ht="15" hidden="false" customHeight="false" outlineLevel="0" collapsed="false">
      <c r="B52" s="5" t="s">
        <v>54</v>
      </c>
      <c r="C52" s="6" t="n">
        <f aca="false">SUM(D52:AC52)</f>
        <v>64317.49</v>
      </c>
      <c r="D52" s="6" t="n">
        <f aca="false">Site!$I$32</f>
        <v>350.28</v>
      </c>
      <c r="E52" s="6" t="n">
        <f aca="false">'Building 1'!$I$28</f>
        <v>3198.82</v>
      </c>
      <c r="F52" s="6" t="n">
        <f aca="false">'Building 2'!$I$28</f>
        <v>2545.52</v>
      </c>
      <c r="G52" s="6" t="n">
        <f aca="false">'Building 3'!$I$28</f>
        <v>2021.08</v>
      </c>
      <c r="H52" s="6" t="n">
        <f aca="false">'Building 4'!$I$28</f>
        <v>4039.56</v>
      </c>
      <c r="I52" s="6" t="n">
        <f aca="false">'Building 5'!$I$28</f>
        <v>2021.08</v>
      </c>
      <c r="J52" s="6" t="n">
        <f aca="false">'Building 6'!$I$28</f>
        <v>4039.56</v>
      </c>
      <c r="K52" s="6" t="n">
        <f aca="false">'Building 7'!$I$28</f>
        <v>2545.52</v>
      </c>
      <c r="L52" s="6" t="n">
        <f aca="false">'Building 8'!$I$28</f>
        <v>3507.12</v>
      </c>
      <c r="M52" s="6" t="n">
        <f aca="false">'Building 9'!$I$28</f>
        <v>3476.41</v>
      </c>
      <c r="N52" s="6" t="n">
        <f aca="false">'Building 10'!$I$28</f>
        <v>2021.08</v>
      </c>
      <c r="O52" s="6" t="n">
        <f aca="false">'Building 11'!$I$28</f>
        <v>4535.27</v>
      </c>
      <c r="P52" s="6" t="n">
        <f aca="false">'Building 12'!$I$28</f>
        <v>3016.16</v>
      </c>
      <c r="Q52" s="6" t="n">
        <f aca="false">'Building 13'!$I$28</f>
        <v>3016.16</v>
      </c>
      <c r="R52" s="6" t="n">
        <f aca="false">'Building 14'!$I$28</f>
        <v>3016.16</v>
      </c>
      <c r="S52" s="6" t="n">
        <f aca="false">'Building 15'!$I$28</f>
        <v>4535.27</v>
      </c>
      <c r="T52" s="6" t="n">
        <f aca="false">'Building 16'!$I$28</f>
        <v>2021.08</v>
      </c>
      <c r="U52" s="6" t="n">
        <f aca="false">'Building 17'!$I$28</f>
        <v>1520.7</v>
      </c>
      <c r="V52" s="6" t="n">
        <f aca="false">'Building 18'!$I$28</f>
        <v>1520.7</v>
      </c>
      <c r="W52" s="6" t="n">
        <f aca="false">'Building 19'!$I$28</f>
        <v>2498.98</v>
      </c>
      <c r="X52" s="6" t="n">
        <f aca="false">'Building 20'!$I$28</f>
        <v>3423.91</v>
      </c>
      <c r="Y52" s="6" t="n">
        <f aca="false">'Building 21'!$I$28</f>
        <v>2021.08</v>
      </c>
      <c r="Z52" s="6" t="n">
        <f aca="false">'Building 22'!$I$28</f>
        <v>2498.98</v>
      </c>
      <c r="AA52" s="6"/>
      <c r="AB52" s="6" t="n">
        <f aca="false">'Shed B'!$I$28</f>
        <v>8.85</v>
      </c>
      <c r="AC52" s="6" t="n">
        <f aca="false">Laundry!$I$28</f>
        <v>918.16</v>
      </c>
    </row>
    <row r="53" customFormat="false" ht="15" hidden="false" customHeight="false" outlineLevel="0" collapsed="false">
      <c r="B53" s="5" t="s">
        <v>55</v>
      </c>
      <c r="C53" s="6" t="n">
        <f aca="false">SUM(D53:AC53)</f>
        <v>40552.71</v>
      </c>
      <c r="D53" s="6" t="n">
        <f aca="false">Site!$I$33</f>
        <v>40552.71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customFormat="false" ht="15" hidden="false" customHeight="false" outlineLevel="0" collapsed="false">
      <c r="B54" s="5" t="s">
        <v>56</v>
      </c>
      <c r="C54" s="6" t="n">
        <f aca="false">SUM(D54:AC54)</f>
        <v>7424.7</v>
      </c>
      <c r="D54" s="6" t="n">
        <f aca="false">Site!$I$34</f>
        <v>551.14</v>
      </c>
      <c r="E54" s="6" t="n">
        <f aca="false">'Building 1'!$I$29</f>
        <v>369.96</v>
      </c>
      <c r="F54" s="6" t="n">
        <f aca="false">'Building 2'!$I$29</f>
        <v>280.14</v>
      </c>
      <c r="G54" s="6" t="n">
        <f aca="false">'Building 3'!$I$29</f>
        <v>220.75</v>
      </c>
      <c r="H54" s="6" t="n">
        <f aca="false">'Building 4'!$I$29</f>
        <v>431.04</v>
      </c>
      <c r="I54" s="6" t="n">
        <f aca="false">'Building 5'!$I$29</f>
        <v>220.75</v>
      </c>
      <c r="J54" s="6" t="n">
        <f aca="false">'Building 6'!$I$29</f>
        <v>431.04</v>
      </c>
      <c r="K54" s="6" t="n">
        <f aca="false">'Building 7'!$I$29</f>
        <v>280.14</v>
      </c>
      <c r="L54" s="6" t="n">
        <f aca="false">'Building 8'!$I$29</f>
        <v>374.09</v>
      </c>
      <c r="M54" s="6" t="n">
        <f aca="false">'Building 9'!$I$29</f>
        <v>373.56</v>
      </c>
      <c r="N54" s="6" t="n">
        <f aca="false">'Building 10'!$I$29</f>
        <v>220.75</v>
      </c>
      <c r="O54" s="6" t="n">
        <f aca="false">'Building 11'!$I$29</f>
        <v>485.26</v>
      </c>
      <c r="P54" s="6" t="n">
        <f aca="false">'Building 12'!$I$29</f>
        <v>322.14</v>
      </c>
      <c r="Q54" s="6" t="n">
        <f aca="false">'Building 13'!$I$29</f>
        <v>322.14</v>
      </c>
      <c r="R54" s="6" t="n">
        <f aca="false">'Building 14'!$I$29</f>
        <v>322.14</v>
      </c>
      <c r="S54" s="6" t="n">
        <f aca="false">'Building 15'!$I$29</f>
        <v>485.26</v>
      </c>
      <c r="T54" s="6" t="n">
        <f aca="false">'Building 16'!$I$29</f>
        <v>220.75</v>
      </c>
      <c r="U54" s="6" t="n">
        <f aca="false">'Building 17'!$I$29</f>
        <v>166.96</v>
      </c>
      <c r="V54" s="6" t="n">
        <f aca="false">'Building 18'!$I$29</f>
        <v>166.96</v>
      </c>
      <c r="W54" s="6" t="n">
        <f aca="false">'Building 19'!$I$29</f>
        <v>277.58</v>
      </c>
      <c r="X54" s="6" t="n">
        <f aca="false">'Building 20'!$I$29</f>
        <v>369.64</v>
      </c>
      <c r="Y54" s="6" t="n">
        <f aca="false">'Building 21'!$I$29</f>
        <v>220.75</v>
      </c>
      <c r="Z54" s="6" t="n">
        <f aca="false">'Building 22'!$I$29</f>
        <v>277.58</v>
      </c>
      <c r="AA54" s="6" t="n">
        <f aca="false">'Shed A'!$I$24</f>
        <v>10.72</v>
      </c>
      <c r="AB54" s="6" t="n">
        <f aca="false">'Shed B'!$I$29</f>
        <v>10.5</v>
      </c>
      <c r="AC54" s="6" t="n">
        <f aca="false">Laundry!$I$29</f>
        <v>12.96</v>
      </c>
    </row>
    <row r="55" customFormat="false" ht="15" hidden="false" customHeight="false" outlineLevel="0" collapsed="false">
      <c r="B55" s="5" t="s">
        <v>57</v>
      </c>
      <c r="C55" s="6" t="n">
        <f aca="false">SUM(D55:AC55)</f>
        <v>120595.4</v>
      </c>
      <c r="D55" s="6" t="n">
        <f aca="false">Site!$I$35</f>
        <v>656.77</v>
      </c>
      <c r="E55" s="6" t="n">
        <f aca="false">'Building 1'!$I$30</f>
        <v>5997.79</v>
      </c>
      <c r="F55" s="6" t="n">
        <f aca="false">'Building 2'!$I$30</f>
        <v>4772.87</v>
      </c>
      <c r="G55" s="6" t="n">
        <f aca="false">'Building 3'!$I$30</f>
        <v>3789.54</v>
      </c>
      <c r="H55" s="6" t="n">
        <f aca="false">'Building 4'!$I$30</f>
        <v>7574.19</v>
      </c>
      <c r="I55" s="6" t="n">
        <f aca="false">'Building 5'!$I$30</f>
        <v>3789.54</v>
      </c>
      <c r="J55" s="6" t="n">
        <f aca="false">'Building 6'!$I$30</f>
        <v>7574.19</v>
      </c>
      <c r="K55" s="6" t="n">
        <f aca="false">'Building 7'!$I$30</f>
        <v>4772.87</v>
      </c>
      <c r="L55" s="6" t="n">
        <f aca="false">'Building 8'!$I$30</f>
        <v>6575.87</v>
      </c>
      <c r="M55" s="6" t="n">
        <f aca="false">'Building 9'!$I$30</f>
        <v>6518.27</v>
      </c>
      <c r="N55" s="6" t="n">
        <f aca="false">'Building 10'!$I$30</f>
        <v>3789.54</v>
      </c>
      <c r="O55" s="6" t="n">
        <f aca="false">'Building 11'!$I$30</f>
        <v>8503.63</v>
      </c>
      <c r="P55" s="6" t="n">
        <f aca="false">'Building 12'!$I$30</f>
        <v>5655.3</v>
      </c>
      <c r="Q55" s="6" t="n">
        <f aca="false">'Building 13'!$I$30</f>
        <v>5655.3</v>
      </c>
      <c r="R55" s="6" t="n">
        <f aca="false">'Building 14'!$I$30</f>
        <v>5655.3</v>
      </c>
      <c r="S55" s="6" t="n">
        <f aca="false">'Building 15'!$I$30</f>
        <v>8503.63</v>
      </c>
      <c r="T55" s="6" t="n">
        <f aca="false">'Building 16'!$I$30</f>
        <v>3789.54</v>
      </c>
      <c r="U55" s="6" t="n">
        <f aca="false">'Building 17'!$I$30</f>
        <v>2851.3</v>
      </c>
      <c r="V55" s="6" t="n">
        <f aca="false">'Building 18'!$I$30</f>
        <v>2851.3</v>
      </c>
      <c r="W55" s="6" t="n">
        <f aca="false">'Building 19'!$I$30</f>
        <v>4685.59</v>
      </c>
      <c r="X55" s="6" t="n">
        <f aca="false">'Building 20'!$I$30</f>
        <v>6419.83</v>
      </c>
      <c r="Y55" s="6" t="n">
        <f aca="false">'Building 21'!$I$30</f>
        <v>3789.54</v>
      </c>
      <c r="Z55" s="6" t="n">
        <f aca="false">'Building 22'!$I$30</f>
        <v>4685.59</v>
      </c>
      <c r="AA55" s="6"/>
      <c r="AB55" s="6" t="n">
        <f aca="false">'Shed B'!$I$30</f>
        <v>16.58</v>
      </c>
      <c r="AC55" s="6" t="n">
        <f aca="false">Laundry!$I$30</f>
        <v>1721.53</v>
      </c>
    </row>
    <row r="56" customFormat="false" ht="15" hidden="false" customHeight="false" outlineLevel="0" collapsed="false">
      <c r="B56" s="5" t="s">
        <v>58</v>
      </c>
      <c r="C56" s="6" t="n">
        <f aca="false">SUM(D56:AC56)</f>
        <v>76036.37</v>
      </c>
      <c r="D56" s="6" t="n">
        <f aca="false">Site!$I$36</f>
        <v>76036.37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customFormat="false" ht="15" hidden="false" customHeight="false" outlineLevel="0" collapsed="false">
      <c r="B57" s="5" t="s">
        <v>59</v>
      </c>
      <c r="C57" s="6" t="n">
        <f aca="false">SUM(D57:AC57)</f>
        <v>13921.34</v>
      </c>
      <c r="D57" s="6" t="n">
        <f aca="false">Site!$I$37</f>
        <v>1033.38</v>
      </c>
      <c r="E57" s="6" t="n">
        <f aca="false">'Building 1'!$I$31</f>
        <v>693.68</v>
      </c>
      <c r="F57" s="6" t="n">
        <f aca="false">'Building 2'!$I$31</f>
        <v>525.27</v>
      </c>
      <c r="G57" s="6" t="n">
        <f aca="false">'Building 3'!$I$31</f>
        <v>413.91</v>
      </c>
      <c r="H57" s="6" t="n">
        <f aca="false">'Building 4'!$I$31</f>
        <v>808.21</v>
      </c>
      <c r="I57" s="6" t="n">
        <f aca="false">'Building 5'!$I$31</f>
        <v>413.91</v>
      </c>
      <c r="J57" s="6" t="n">
        <f aca="false">'Building 6'!$I$31</f>
        <v>808.21</v>
      </c>
      <c r="K57" s="6" t="n">
        <f aca="false">'Building 7'!$I$31</f>
        <v>525.27</v>
      </c>
      <c r="L57" s="6" t="n">
        <f aca="false">'Building 8'!$I$31</f>
        <v>701.41</v>
      </c>
      <c r="M57" s="6" t="n">
        <f aca="false">'Building 9'!$I$31</f>
        <v>700.43</v>
      </c>
      <c r="N57" s="6" t="n">
        <f aca="false">'Building 10'!$I$31</f>
        <v>413.91</v>
      </c>
      <c r="O57" s="6" t="n">
        <f aca="false">'Building 11'!$I$31</f>
        <v>909.86</v>
      </c>
      <c r="P57" s="6" t="n">
        <f aca="false">'Building 12'!$I$31</f>
        <v>604</v>
      </c>
      <c r="Q57" s="6" t="n">
        <f aca="false">'Building 13'!$I$31</f>
        <v>604</v>
      </c>
      <c r="R57" s="6" t="n">
        <f aca="false">'Building 14'!$I$31</f>
        <v>604</v>
      </c>
      <c r="S57" s="6" t="n">
        <f aca="false">'Building 15'!$I$31</f>
        <v>909.86</v>
      </c>
      <c r="T57" s="6" t="n">
        <f aca="false">'Building 16'!$I$31</f>
        <v>413.91</v>
      </c>
      <c r="U57" s="6" t="n">
        <f aca="false">'Building 17'!$I$31</f>
        <v>313.05</v>
      </c>
      <c r="V57" s="6" t="n">
        <f aca="false">'Building 18'!$I$31</f>
        <v>313.05</v>
      </c>
      <c r="W57" s="6" t="n">
        <f aca="false">'Building 19'!$I$31</f>
        <v>520.47</v>
      </c>
      <c r="X57" s="6" t="n">
        <f aca="false">'Building 20'!$I$31</f>
        <v>693.07</v>
      </c>
      <c r="Y57" s="6" t="n">
        <f aca="false">'Building 21'!$I$31</f>
        <v>413.91</v>
      </c>
      <c r="Z57" s="6" t="n">
        <f aca="false">'Building 22'!$I$31</f>
        <v>520.47</v>
      </c>
      <c r="AA57" s="6" t="n">
        <f aca="false">'Shed A'!$I$25</f>
        <v>20.11</v>
      </c>
      <c r="AB57" s="6" t="n">
        <f aca="false">'Shed B'!$I$31</f>
        <v>19.69</v>
      </c>
      <c r="AC57" s="6" t="n">
        <f aca="false">Laundry!$I$31</f>
        <v>24.3</v>
      </c>
    </row>
    <row r="58" customFormat="false" ht="15" hidden="false" customHeight="false" outlineLevel="0" collapsed="false">
      <c r="A58" s="7"/>
      <c r="B58" s="8" t="s">
        <v>64</v>
      </c>
      <c r="C58" s="9" t="n">
        <f aca="false">SUM(C40:C57)</f>
        <v>1452209.17</v>
      </c>
      <c r="D58" s="9" t="n">
        <f aca="false">SUM(D40:D57)</f>
        <v>536088.47</v>
      </c>
      <c r="E58" s="9" t="n">
        <f aca="false">SUM(E40:E57)</f>
        <v>46151.8</v>
      </c>
      <c r="F58" s="9" t="n">
        <f aca="false">SUM(F40:F57)</f>
        <v>36541.81</v>
      </c>
      <c r="G58" s="9" t="n">
        <f aca="false">SUM(G40:G57)</f>
        <v>28991.64</v>
      </c>
      <c r="H58" s="9" t="n">
        <f aca="false">SUM(H40:H57)</f>
        <v>57814.32</v>
      </c>
      <c r="I58" s="9" t="n">
        <f aca="false">SUM(I40:I57)</f>
        <v>28991.64</v>
      </c>
      <c r="J58" s="9" t="n">
        <f aca="false">SUM(J40:J57)</f>
        <v>57814.32</v>
      </c>
      <c r="K58" s="9" t="n">
        <f aca="false">SUM(K40:K57)</f>
        <v>36541.81</v>
      </c>
      <c r="L58" s="9" t="n">
        <f aca="false">SUM(L40:L57)</f>
        <v>50192.2</v>
      </c>
      <c r="M58" s="9" t="n">
        <f aca="false">SUM(M40:M57)</f>
        <v>49788.18</v>
      </c>
      <c r="N58" s="9" t="n">
        <f aca="false">SUM(N40:N57)</f>
        <v>28991.64</v>
      </c>
      <c r="O58" s="9" t="n">
        <f aca="false">SUM(O40:O57)</f>
        <v>64925.95</v>
      </c>
      <c r="P58" s="9" t="n">
        <f aca="false">SUM(P40:P57)</f>
        <v>43171.13</v>
      </c>
      <c r="Q58" s="9" t="n">
        <f aca="false">SUM(Q40:Q57)</f>
        <v>43171.13</v>
      </c>
      <c r="R58" s="9" t="n">
        <f aca="false">SUM(R40:R57)</f>
        <v>43171.13</v>
      </c>
      <c r="S58" s="9" t="n">
        <f aca="false">SUM(S40:S57)</f>
        <v>64925.95</v>
      </c>
      <c r="T58" s="9" t="n">
        <f aca="false">SUM(T40:T57)</f>
        <v>28991.64</v>
      </c>
      <c r="U58" s="9" t="n">
        <f aca="false">SUM(U40:U57)</f>
        <v>21824.89</v>
      </c>
      <c r="V58" s="9" t="n">
        <f aca="false">SUM(V40:V57)</f>
        <v>21824.89</v>
      </c>
      <c r="W58" s="9" t="n">
        <f aca="false">SUM(W40:W57)</f>
        <v>35906.72</v>
      </c>
      <c r="X58" s="9" t="n">
        <f aca="false">SUM(X40:X57)</f>
        <v>49058.5</v>
      </c>
      <c r="Y58" s="9" t="n">
        <f aca="false">SUM(Y40:Y57)</f>
        <v>28991.64</v>
      </c>
      <c r="Z58" s="9" t="n">
        <f aca="false">SUM(Z40:Z57)</f>
        <v>35906.72</v>
      </c>
      <c r="AA58" s="9" t="n">
        <f aca="false">SUM(AA40:AA57)</f>
        <v>138.69</v>
      </c>
      <c r="AB58" s="9" t="n">
        <f aca="false">SUM(AB40:AB57)</f>
        <v>251.1</v>
      </c>
      <c r="AC58" s="9" t="n">
        <f aca="false">SUM(AC40:AC57)</f>
        <v>12041.26</v>
      </c>
    </row>
    <row r="59" customFormat="false" ht="15" hidden="false" customHeight="false" outlineLevel="0" collapsed="false">
      <c r="A59" s="13"/>
      <c r="B59" s="14" t="s">
        <v>65</v>
      </c>
      <c r="C59" s="15" t="n">
        <f aca="false">C39-C58</f>
        <v>34580.8299999998</v>
      </c>
      <c r="D59" s="15" t="n">
        <f aca="false">D39-D58</f>
        <v>-293008.86</v>
      </c>
      <c r="E59" s="15" t="n">
        <f aca="false">E39-E58</f>
        <v>19907.9</v>
      </c>
      <c r="F59" s="15" t="n">
        <f aca="false">F39-F58</f>
        <v>13924.98</v>
      </c>
      <c r="G59" s="15" t="n">
        <f aca="false">G39-G58</f>
        <v>10831.21</v>
      </c>
      <c r="H59" s="15" t="n">
        <f aca="false">H39-H58</f>
        <v>20280.84</v>
      </c>
      <c r="I59" s="15" t="n">
        <f aca="false">I39-I58</f>
        <v>10831.21</v>
      </c>
      <c r="J59" s="15" t="n">
        <f aca="false">J39-J58</f>
        <v>20280.84</v>
      </c>
      <c r="K59" s="15" t="n">
        <f aca="false">K39-K58</f>
        <v>13924.98</v>
      </c>
      <c r="L59" s="15" t="n">
        <f aca="false">L39-L58</f>
        <v>17588.34</v>
      </c>
      <c r="M59" s="15" t="n">
        <f aca="false">M39-M58</f>
        <v>17804.63</v>
      </c>
      <c r="N59" s="15" t="n">
        <f aca="false">N39-N58</f>
        <v>10831.21</v>
      </c>
      <c r="O59" s="15" t="n">
        <f aca="false">O39-O58</f>
        <v>22947.08</v>
      </c>
      <c r="P59" s="15" t="n">
        <f aca="false">P39-P58</f>
        <v>15182.33</v>
      </c>
      <c r="Q59" s="15" t="n">
        <f aca="false">Q39-Q58</f>
        <v>15182.33</v>
      </c>
      <c r="R59" s="15" t="n">
        <f aca="false">R39-R58</f>
        <v>15182.33</v>
      </c>
      <c r="S59" s="15" t="n">
        <f aca="false">S39-S58</f>
        <v>22947.08</v>
      </c>
      <c r="T59" s="15" t="n">
        <f aca="false">T39-T58</f>
        <v>10831.21</v>
      </c>
      <c r="U59" s="15" t="n">
        <f aca="false">U39-U58</f>
        <v>8265.2</v>
      </c>
      <c r="V59" s="15" t="n">
        <f aca="false">V39-V58</f>
        <v>8265.2</v>
      </c>
      <c r="W59" s="15" t="n">
        <f aca="false">W39-W58</f>
        <v>14014.86</v>
      </c>
      <c r="X59" s="15" t="n">
        <f aca="false">X39-X58</f>
        <v>17766.38</v>
      </c>
      <c r="Y59" s="15" t="n">
        <f aca="false">Y39-Y58</f>
        <v>10831.21</v>
      </c>
      <c r="Z59" s="15" t="n">
        <f aca="false">Z39-Z58</f>
        <v>14014.86</v>
      </c>
      <c r="AA59" s="15" t="n">
        <f aca="false">AA39-AA58</f>
        <v>1441.22</v>
      </c>
      <c r="AB59" s="15" t="n">
        <f aca="false">AB39-AB58</f>
        <v>1328.09</v>
      </c>
      <c r="AC59" s="15" t="n">
        <f aca="false">AC39-AC58</f>
        <v>-6815.83</v>
      </c>
    </row>
    <row r="60" customFormat="false" ht="15" hidden="false" customHeight="false" outlineLevel="0" collapsed="false">
      <c r="B60" s="16" t="s">
        <v>66</v>
      </c>
      <c r="C60" s="17" t="n">
        <f aca="false">C59-(34580.83)</f>
        <v>-1.60071067512035E-010</v>
      </c>
      <c r="D60" s="17" t="n">
        <f aca="false">D59-Site!$D$43</f>
        <v>0</v>
      </c>
      <c r="E60" s="17" t="n">
        <f aca="false">E59-'Building 1'!$D$37</f>
        <v>0</v>
      </c>
      <c r="F60" s="17" t="n">
        <f aca="false">F59-'Building 2'!$D$37</f>
        <v>0</v>
      </c>
      <c r="G60" s="17" t="n">
        <f aca="false">G59-'Building 3'!$D$37</f>
        <v>0</v>
      </c>
      <c r="H60" s="17" t="n">
        <f aca="false">H59-'Building 4'!$D$37</f>
        <v>0</v>
      </c>
      <c r="I60" s="17" t="n">
        <f aca="false">I59-'Building 5'!$D$37</f>
        <v>0</v>
      </c>
      <c r="J60" s="17" t="n">
        <f aca="false">J59-'Building 6'!$D$37</f>
        <v>0</v>
      </c>
      <c r="K60" s="17" t="n">
        <f aca="false">K59-'Building 7'!$D$37</f>
        <v>0</v>
      </c>
      <c r="L60" s="17" t="n">
        <f aca="false">L59-'Building 8'!$D$37</f>
        <v>0</v>
      </c>
      <c r="M60" s="17" t="n">
        <f aca="false">M59-'Building 9'!$D$37</f>
        <v>0</v>
      </c>
      <c r="N60" s="17" t="n">
        <f aca="false">N59-'Building 10'!$D$37</f>
        <v>0</v>
      </c>
      <c r="O60" s="17" t="n">
        <f aca="false">O59-'Building 11'!$D$37</f>
        <v>0</v>
      </c>
      <c r="P60" s="17" t="n">
        <f aca="false">P59-'Building 12'!$D$37</f>
        <v>0</v>
      </c>
      <c r="Q60" s="17" t="n">
        <f aca="false">Q59-'Building 13'!$D$37</f>
        <v>0</v>
      </c>
      <c r="R60" s="17" t="n">
        <f aca="false">R59-'Building 14'!$D$37</f>
        <v>0</v>
      </c>
      <c r="S60" s="17" t="n">
        <f aca="false">S59-'Building 15'!$D$37</f>
        <v>0</v>
      </c>
      <c r="T60" s="17" t="n">
        <f aca="false">T59-'Building 16'!$D$37</f>
        <v>0</v>
      </c>
      <c r="U60" s="17" t="n">
        <f aca="false">U59-'Building 17'!$D$37</f>
        <v>0</v>
      </c>
      <c r="V60" s="17" t="n">
        <f aca="false">V59-'Building 18'!$D$37</f>
        <v>0</v>
      </c>
      <c r="W60" s="17" t="n">
        <f aca="false">W59-'Building 19'!$D$37</f>
        <v>0</v>
      </c>
      <c r="X60" s="17" t="n">
        <f aca="false">X59-'Building 20'!$D$37</f>
        <v>0</v>
      </c>
      <c r="Y60" s="17" t="n">
        <f aca="false">Y59-'Building 21'!$D$37</f>
        <v>0</v>
      </c>
      <c r="Z60" s="17" t="n">
        <f aca="false">Z59-'Building 22'!$D$37</f>
        <v>0</v>
      </c>
      <c r="AA60" s="17" t="n">
        <f aca="false">AA59-'Shed A'!$D$31</f>
        <v>0</v>
      </c>
      <c r="AB60" s="17" t="n">
        <f aca="false">AB59-'Shed B'!$D$37</f>
        <v>0</v>
      </c>
      <c r="AC60" s="17" t="n">
        <f aca="false">AC59-Laundry!$D$37</f>
        <v>0</v>
      </c>
    </row>
    <row r="62" customFormat="false" ht="15" hidden="false" customHeight="false" outlineLevel="0" collapsed="false">
      <c r="B62" s="18" t="s">
        <v>67</v>
      </c>
    </row>
    <row r="63" customFormat="false" ht="15" hidden="false" customHeight="false" outlineLevel="0" collapsed="false">
      <c r="B63" s="19" t="s">
        <v>68</v>
      </c>
    </row>
    <row r="64" customFormat="false" ht="15" hidden="false" customHeight="false" outlineLevel="0" collapsed="false">
      <c r="B64" s="19" t="s">
        <v>69</v>
      </c>
    </row>
    <row r="65" customFormat="false" ht="15" hidden="false" customHeight="false" outlineLevel="0" collapsed="false">
      <c r="B65" s="19" t="s">
        <v>70</v>
      </c>
    </row>
    <row r="66" customFormat="false" ht="15" hidden="false" customHeight="false" outlineLevel="0" collapsed="false">
      <c r="B66" s="1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72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166583.41</v>
      </c>
      <c r="E10" s="24" t="n">
        <v>0</v>
      </c>
      <c r="F10" s="24" t="n">
        <v>0</v>
      </c>
      <c r="G10" s="24" t="n">
        <v>0</v>
      </c>
      <c r="H10" s="24" t="n">
        <v>2776.44</v>
      </c>
      <c r="I10" s="24" t="n">
        <f aca="false">G10+H10</f>
        <v>2776.44</v>
      </c>
      <c r="J10" s="24" t="n">
        <f aca="false">D10-I10</f>
        <v>163806.97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21494.58</v>
      </c>
      <c r="E11" s="24" t="n">
        <v>0</v>
      </c>
      <c r="F11" s="24" t="n">
        <v>12896.75</v>
      </c>
      <c r="G11" s="24" t="n">
        <v>0</v>
      </c>
      <c r="H11" s="24" t="n">
        <v>13183.42</v>
      </c>
      <c r="I11" s="24" t="n">
        <f aca="false">G11+H11</f>
        <v>13183.42</v>
      </c>
      <c r="J11" s="24" t="n">
        <f aca="false">D11-I11</f>
        <v>8311.16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40302.47</v>
      </c>
      <c r="E12" s="24" t="n">
        <v>0</v>
      </c>
      <c r="F12" s="24" t="n">
        <v>24181.48</v>
      </c>
      <c r="G12" s="24" t="n">
        <v>0</v>
      </c>
      <c r="H12" s="24" t="n">
        <v>27405.66</v>
      </c>
      <c r="I12" s="24" t="n">
        <f aca="false">G12+H12</f>
        <v>27405.66</v>
      </c>
      <c r="J12" s="24" t="n">
        <f aca="false">D12-I12</f>
        <v>12896.81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767179.32</v>
      </c>
      <c r="E13" s="24" t="n">
        <v>0</v>
      </c>
      <c r="F13" s="24" t="n">
        <v>0</v>
      </c>
      <c r="G13" s="24" t="n">
        <v>0</v>
      </c>
      <c r="H13" s="24" t="n">
        <v>12786.29</v>
      </c>
      <c r="I13" s="24" t="n">
        <f aca="false">G13+H13</f>
        <v>12786.29</v>
      </c>
      <c r="J13" s="24" t="n">
        <f aca="false">D13-I13</f>
        <v>754393.03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98990.86</v>
      </c>
      <c r="E14" s="24" t="n">
        <v>0</v>
      </c>
      <c r="F14" s="24" t="n">
        <v>59394.52</v>
      </c>
      <c r="G14" s="24" t="n">
        <v>0</v>
      </c>
      <c r="H14" s="24" t="n">
        <v>60714.39</v>
      </c>
      <c r="I14" s="24" t="n">
        <f aca="false">G14+H14</f>
        <v>60714.39</v>
      </c>
      <c r="J14" s="24" t="n">
        <f aca="false">D14-I14</f>
        <v>38276.47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185607.93</v>
      </c>
      <c r="E15" s="24" t="n">
        <v>0</v>
      </c>
      <c r="F15" s="24" t="n">
        <v>111364.76</v>
      </c>
      <c r="G15" s="24" t="n">
        <v>0</v>
      </c>
      <c r="H15" s="24" t="n">
        <v>126213.41</v>
      </c>
      <c r="I15" s="24" t="n">
        <f aca="false">G15+H15</f>
        <v>126213.41</v>
      </c>
      <c r="J15" s="24" t="n">
        <f aca="false">D15-I15</f>
        <v>59394.52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1280158.57</v>
      </c>
      <c r="E16" s="28" t="n">
        <f aca="false">SUM(E10:E15)</f>
        <v>0</v>
      </c>
      <c r="F16" s="28" t="n">
        <f aca="false">SUM(F10:F15)</f>
        <v>207837.51</v>
      </c>
      <c r="G16" s="28" t="n">
        <f aca="false">SUM(G10:G15)</f>
        <v>0</v>
      </c>
      <c r="H16" s="28" t="n">
        <f aca="false">SUM(H10:H15)</f>
        <v>243079.61</v>
      </c>
      <c r="I16" s="28" t="n">
        <f aca="false">SUM(I10:I15)</f>
        <v>243079.61</v>
      </c>
      <c r="J16" s="28" t="n">
        <f aca="false">SUM(J10:J15)</f>
        <v>1037078.96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866.85</v>
      </c>
      <c r="E20" s="24" t="n">
        <v>0</v>
      </c>
      <c r="F20" s="24" t="n">
        <v>520.11</v>
      </c>
      <c r="G20" s="24" t="n">
        <v>0</v>
      </c>
      <c r="H20" s="24" t="n">
        <v>589.46</v>
      </c>
      <c r="I20" s="24" t="n">
        <f aca="false">G20+H20</f>
        <v>589.46</v>
      </c>
      <c r="J20" s="24" t="n">
        <f aca="false">D20-I20</f>
        <v>277.39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43</v>
      </c>
      <c r="C21" s="23" t="s">
        <v>33</v>
      </c>
      <c r="D21" s="24" t="n">
        <v>110068.96</v>
      </c>
      <c r="E21" s="24" t="n">
        <v>0</v>
      </c>
      <c r="F21" s="24" t="n">
        <v>66041.38</v>
      </c>
      <c r="G21" s="24" t="n">
        <v>0</v>
      </c>
      <c r="H21" s="24" t="n">
        <v>68242.76</v>
      </c>
      <c r="I21" s="24" t="n">
        <f aca="false">G21+H21</f>
        <v>68242.76</v>
      </c>
      <c r="J21" s="24" t="n">
        <f aca="false">D21-I21</f>
        <v>41826.2</v>
      </c>
      <c r="K21" s="25" t="s">
        <v>90</v>
      </c>
      <c r="L21" s="25" t="s">
        <v>91</v>
      </c>
    </row>
    <row r="22" customFormat="false" ht="15" hidden="false" customHeight="false" outlineLevel="0" collapsed="false">
      <c r="A22" s="23" t="n">
        <v>3</v>
      </c>
      <c r="B22" s="23" t="s">
        <v>44</v>
      </c>
      <c r="C22" s="23" t="s">
        <v>33</v>
      </c>
      <c r="D22" s="24" t="n">
        <v>55647.6</v>
      </c>
      <c r="E22" s="24" t="n">
        <v>0</v>
      </c>
      <c r="F22" s="24" t="n">
        <v>0</v>
      </c>
      <c r="G22" s="24" t="n">
        <v>0</v>
      </c>
      <c r="H22" s="24" t="n">
        <v>927.46</v>
      </c>
      <c r="I22" s="24" t="n">
        <f aca="false">G22+H22</f>
        <v>927.46</v>
      </c>
      <c r="J22" s="24" t="n">
        <f aca="false">D22-I22</f>
        <v>54720.14</v>
      </c>
      <c r="K22" s="25" t="s">
        <v>88</v>
      </c>
      <c r="L22" s="25" t="s">
        <v>89</v>
      </c>
    </row>
    <row r="23" customFormat="false" ht="15" hidden="false" customHeight="false" outlineLevel="0" collapsed="false">
      <c r="A23" s="23" t="n">
        <v>4</v>
      </c>
      <c r="B23" s="23" t="s">
        <v>45</v>
      </c>
      <c r="C23" s="23" t="s">
        <v>33</v>
      </c>
      <c r="D23" s="24" t="n">
        <v>111.85</v>
      </c>
      <c r="E23" s="24" t="n">
        <v>0</v>
      </c>
      <c r="F23" s="24" t="n">
        <v>67.11</v>
      </c>
      <c r="G23" s="24" t="n">
        <v>0</v>
      </c>
      <c r="H23" s="24" t="n">
        <v>76.06</v>
      </c>
      <c r="I23" s="24" t="n">
        <f aca="false">G23+H23</f>
        <v>76.06</v>
      </c>
      <c r="J23" s="24" t="n">
        <f aca="false">D23-I23</f>
        <v>35.79</v>
      </c>
      <c r="K23" s="25" t="s">
        <v>92</v>
      </c>
      <c r="L23" s="25" t="s">
        <v>93</v>
      </c>
    </row>
    <row r="24" customFormat="false" ht="15" hidden="false" customHeight="false" outlineLevel="0" collapsed="false">
      <c r="A24" s="23" t="n">
        <v>5</v>
      </c>
      <c r="B24" s="23" t="s">
        <v>46</v>
      </c>
      <c r="C24" s="23" t="s">
        <v>33</v>
      </c>
      <c r="D24" s="24" t="n">
        <v>14202.41</v>
      </c>
      <c r="E24" s="24" t="n">
        <v>0</v>
      </c>
      <c r="F24" s="24" t="n">
        <v>8521.45</v>
      </c>
      <c r="G24" s="24" t="n">
        <v>0</v>
      </c>
      <c r="H24" s="24" t="n">
        <v>8805.5</v>
      </c>
      <c r="I24" s="24" t="n">
        <f aca="false">G24+H24</f>
        <v>8805.5</v>
      </c>
      <c r="J24" s="24" t="n">
        <f aca="false">D24-I24</f>
        <v>5396.91</v>
      </c>
      <c r="K24" s="25" t="s">
        <v>90</v>
      </c>
      <c r="L24" s="25" t="s">
        <v>91</v>
      </c>
    </row>
    <row r="25" customFormat="false" ht="15" hidden="false" customHeight="false" outlineLevel="0" collapsed="false">
      <c r="A25" s="23" t="n">
        <v>6</v>
      </c>
      <c r="B25" s="23" t="s">
        <v>47</v>
      </c>
      <c r="C25" s="23" t="s">
        <v>33</v>
      </c>
      <c r="D25" s="24" t="n">
        <v>7180.32</v>
      </c>
      <c r="E25" s="24" t="n">
        <v>0</v>
      </c>
      <c r="F25" s="24" t="n">
        <v>0</v>
      </c>
      <c r="G25" s="24" t="n">
        <v>0</v>
      </c>
      <c r="H25" s="24" t="n">
        <v>119.67</v>
      </c>
      <c r="I25" s="24" t="n">
        <f aca="false">G25+H25</f>
        <v>119.67</v>
      </c>
      <c r="J25" s="24" t="n">
        <f aca="false">D25-I25</f>
        <v>7060.65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48</v>
      </c>
      <c r="C26" s="23" t="s">
        <v>33</v>
      </c>
      <c r="D26" s="24" t="n">
        <v>209.72</v>
      </c>
      <c r="E26" s="24" t="n">
        <v>0</v>
      </c>
      <c r="F26" s="24" t="n">
        <v>125.83</v>
      </c>
      <c r="G26" s="24" t="n">
        <v>0</v>
      </c>
      <c r="H26" s="24" t="n">
        <v>142.61</v>
      </c>
      <c r="I26" s="24" t="n">
        <f aca="false">G26+H26</f>
        <v>142.61</v>
      </c>
      <c r="J26" s="24" t="n">
        <f aca="false">D26-I26</f>
        <v>67.11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49</v>
      </c>
      <c r="C27" s="23" t="s">
        <v>33</v>
      </c>
      <c r="D27" s="24" t="n">
        <v>26629.61</v>
      </c>
      <c r="E27" s="24" t="n">
        <v>0</v>
      </c>
      <c r="F27" s="24" t="n">
        <v>15977.77</v>
      </c>
      <c r="G27" s="24" t="n">
        <v>0</v>
      </c>
      <c r="H27" s="24" t="n">
        <v>16510.36</v>
      </c>
      <c r="I27" s="24" t="n">
        <f aca="false">G27+H27</f>
        <v>16510.36</v>
      </c>
      <c r="J27" s="24" t="n">
        <f aca="false">D27-I27</f>
        <v>10119.25</v>
      </c>
      <c r="K27" s="25" t="s">
        <v>90</v>
      </c>
      <c r="L27" s="25" t="s">
        <v>91</v>
      </c>
    </row>
    <row r="28" customFormat="false" ht="15" hidden="false" customHeight="false" outlineLevel="0" collapsed="false">
      <c r="A28" s="23" t="n">
        <v>9</v>
      </c>
      <c r="B28" s="23" t="s">
        <v>50</v>
      </c>
      <c r="C28" s="23" t="s">
        <v>33</v>
      </c>
      <c r="D28" s="24" t="n">
        <v>13463.14</v>
      </c>
      <c r="E28" s="24" t="n">
        <v>0</v>
      </c>
      <c r="F28" s="24" t="n">
        <v>0</v>
      </c>
      <c r="G28" s="24" t="n">
        <v>0</v>
      </c>
      <c r="H28" s="24" t="n">
        <v>224.39</v>
      </c>
      <c r="I28" s="24" t="n">
        <f aca="false">G28+H28</f>
        <v>224.39</v>
      </c>
      <c r="J28" s="24" t="n">
        <f aca="false">D28-I28</f>
        <v>13238.75</v>
      </c>
      <c r="K28" s="25" t="s">
        <v>88</v>
      </c>
      <c r="L28" s="25" t="s">
        <v>89</v>
      </c>
    </row>
    <row r="29" customFormat="false" ht="15" hidden="false" customHeight="false" outlineLevel="0" collapsed="false">
      <c r="A29" s="23" t="n">
        <v>10</v>
      </c>
      <c r="B29" s="23" t="s">
        <v>51</v>
      </c>
      <c r="C29" s="23" t="s">
        <v>33</v>
      </c>
      <c r="D29" s="24" t="n">
        <v>3992.15</v>
      </c>
      <c r="E29" s="24" t="n">
        <v>0</v>
      </c>
      <c r="F29" s="24" t="n">
        <v>2395.29</v>
      </c>
      <c r="G29" s="24" t="n">
        <v>0</v>
      </c>
      <c r="H29" s="24" t="n">
        <v>2714.66</v>
      </c>
      <c r="I29" s="24" t="n">
        <f aca="false">G29+H29</f>
        <v>2714.66</v>
      </c>
      <c r="J29" s="24" t="n">
        <f aca="false">D29-I29</f>
        <v>1277.49</v>
      </c>
      <c r="K29" s="25" t="s">
        <v>92</v>
      </c>
      <c r="L29" s="25" t="s">
        <v>93</v>
      </c>
    </row>
    <row r="30" customFormat="false" ht="15" hidden="false" customHeight="false" outlineLevel="0" collapsed="false">
      <c r="A30" s="23" t="n">
        <v>11</v>
      </c>
      <c r="B30" s="23" t="s">
        <v>52</v>
      </c>
      <c r="C30" s="23" t="s">
        <v>33</v>
      </c>
      <c r="D30" s="24" t="n">
        <v>506909.01</v>
      </c>
      <c r="E30" s="24" t="n">
        <v>0</v>
      </c>
      <c r="F30" s="24" t="n">
        <v>304145.41</v>
      </c>
      <c r="G30" s="24" t="n">
        <v>0</v>
      </c>
      <c r="H30" s="24" t="n">
        <v>314283.59</v>
      </c>
      <c r="I30" s="24" t="n">
        <f aca="false">G30+H30</f>
        <v>314283.59</v>
      </c>
      <c r="J30" s="24" t="n">
        <f aca="false">D30-I30</f>
        <v>192625.42</v>
      </c>
      <c r="K30" s="25" t="s">
        <v>90</v>
      </c>
      <c r="L30" s="25" t="s">
        <v>91</v>
      </c>
    </row>
    <row r="31" customFormat="false" ht="15" hidden="false" customHeight="false" outlineLevel="0" collapsed="false">
      <c r="A31" s="23" t="n">
        <v>12</v>
      </c>
      <c r="B31" s="23" t="s">
        <v>53</v>
      </c>
      <c r="C31" s="23" t="s">
        <v>33</v>
      </c>
      <c r="D31" s="24" t="n">
        <v>256278.16</v>
      </c>
      <c r="E31" s="24" t="n">
        <v>0</v>
      </c>
      <c r="F31" s="24" t="n">
        <v>0</v>
      </c>
      <c r="G31" s="24" t="n">
        <v>0</v>
      </c>
      <c r="H31" s="24" t="n">
        <v>4271.3</v>
      </c>
      <c r="I31" s="24" t="n">
        <f aca="false">G31+H31</f>
        <v>4271.3</v>
      </c>
      <c r="J31" s="24" t="n">
        <f aca="false">D31-I31</f>
        <v>252006.86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3" t="n">
        <v>13</v>
      </c>
      <c r="B32" s="23" t="s">
        <v>54</v>
      </c>
      <c r="C32" s="23" t="s">
        <v>33</v>
      </c>
      <c r="D32" s="24" t="n">
        <v>515.12</v>
      </c>
      <c r="E32" s="24" t="n">
        <v>0</v>
      </c>
      <c r="F32" s="24" t="n">
        <v>309.07</v>
      </c>
      <c r="G32" s="24" t="n">
        <v>0</v>
      </c>
      <c r="H32" s="24" t="n">
        <v>350.28</v>
      </c>
      <c r="I32" s="24" t="n">
        <f aca="false">G32+H32</f>
        <v>350.28</v>
      </c>
      <c r="J32" s="24" t="n">
        <f aca="false">D32-I32</f>
        <v>164.84</v>
      </c>
      <c r="K32" s="25" t="s">
        <v>92</v>
      </c>
      <c r="L32" s="25" t="s">
        <v>93</v>
      </c>
    </row>
    <row r="33" customFormat="false" ht="15" hidden="false" customHeight="false" outlineLevel="0" collapsed="false">
      <c r="A33" s="23" t="n">
        <v>14</v>
      </c>
      <c r="B33" s="23" t="s">
        <v>55</v>
      </c>
      <c r="C33" s="23" t="s">
        <v>33</v>
      </c>
      <c r="D33" s="24" t="n">
        <v>65407.6</v>
      </c>
      <c r="E33" s="24" t="n">
        <v>0</v>
      </c>
      <c r="F33" s="24" t="n">
        <v>39244.56</v>
      </c>
      <c r="G33" s="24" t="n">
        <v>0</v>
      </c>
      <c r="H33" s="24" t="n">
        <v>40552.71</v>
      </c>
      <c r="I33" s="24" t="n">
        <f aca="false">G33+H33</f>
        <v>40552.71</v>
      </c>
      <c r="J33" s="24" t="n">
        <f aca="false">D33-I33</f>
        <v>24854.89</v>
      </c>
      <c r="K33" s="25" t="s">
        <v>90</v>
      </c>
      <c r="L33" s="25" t="s">
        <v>91</v>
      </c>
    </row>
    <row r="34" customFormat="false" ht="15" hidden="false" customHeight="false" outlineLevel="0" collapsed="false">
      <c r="A34" s="23" t="n">
        <v>15</v>
      </c>
      <c r="B34" s="23" t="s">
        <v>56</v>
      </c>
      <c r="C34" s="23" t="s">
        <v>33</v>
      </c>
      <c r="D34" s="24" t="n">
        <v>33068.14</v>
      </c>
      <c r="E34" s="24" t="n">
        <v>0</v>
      </c>
      <c r="F34" s="24" t="n">
        <v>0</v>
      </c>
      <c r="G34" s="24" t="n">
        <v>0</v>
      </c>
      <c r="H34" s="24" t="n">
        <v>551.14</v>
      </c>
      <c r="I34" s="24" t="n">
        <f aca="false">G34+H34</f>
        <v>551.14</v>
      </c>
      <c r="J34" s="24" t="n">
        <f aca="false">D34-I34</f>
        <v>32517</v>
      </c>
      <c r="K34" s="25" t="s">
        <v>88</v>
      </c>
      <c r="L34" s="25" t="s">
        <v>89</v>
      </c>
    </row>
    <row r="35" customFormat="false" ht="15" hidden="false" customHeight="false" outlineLevel="0" collapsed="false">
      <c r="A35" s="23" t="n">
        <v>16</v>
      </c>
      <c r="B35" s="23" t="s">
        <v>57</v>
      </c>
      <c r="C35" s="23" t="s">
        <v>33</v>
      </c>
      <c r="D35" s="24" t="n">
        <v>965.84</v>
      </c>
      <c r="E35" s="24" t="n">
        <v>0</v>
      </c>
      <c r="F35" s="24" t="n">
        <v>579.5</v>
      </c>
      <c r="G35" s="24" t="n">
        <v>0</v>
      </c>
      <c r="H35" s="24" t="n">
        <v>656.77</v>
      </c>
      <c r="I35" s="24" t="n">
        <f aca="false">G35+H35</f>
        <v>656.77</v>
      </c>
      <c r="J35" s="24" t="n">
        <f aca="false">D35-I35</f>
        <v>309.07</v>
      </c>
      <c r="K35" s="25" t="s">
        <v>92</v>
      </c>
      <c r="L35" s="25" t="s">
        <v>93</v>
      </c>
    </row>
    <row r="36" customFormat="false" ht="15" hidden="false" customHeight="false" outlineLevel="0" collapsed="false">
      <c r="A36" s="23" t="n">
        <v>17</v>
      </c>
      <c r="B36" s="23" t="s">
        <v>58</v>
      </c>
      <c r="C36" s="23" t="s">
        <v>33</v>
      </c>
      <c r="D36" s="24" t="n">
        <v>122639.3</v>
      </c>
      <c r="E36" s="24" t="n">
        <v>0</v>
      </c>
      <c r="F36" s="24" t="n">
        <v>73583.58</v>
      </c>
      <c r="G36" s="24" t="n">
        <v>0</v>
      </c>
      <c r="H36" s="24" t="n">
        <v>76036.37</v>
      </c>
      <c r="I36" s="24" t="n">
        <f aca="false">G36+H36</f>
        <v>76036.37</v>
      </c>
      <c r="J36" s="24" t="n">
        <f aca="false">D36-I36</f>
        <v>46602.93</v>
      </c>
      <c r="K36" s="25" t="s">
        <v>90</v>
      </c>
      <c r="L36" s="25" t="s">
        <v>91</v>
      </c>
    </row>
    <row r="37" customFormat="false" ht="15" hidden="false" customHeight="false" outlineLevel="0" collapsed="false">
      <c r="A37" s="23" t="n">
        <v>18</v>
      </c>
      <c r="B37" s="23" t="s">
        <v>59</v>
      </c>
      <c r="C37" s="23" t="s">
        <v>33</v>
      </c>
      <c r="D37" s="24" t="n">
        <v>62002.79</v>
      </c>
      <c r="E37" s="24" t="n">
        <v>0</v>
      </c>
      <c r="F37" s="24" t="n">
        <v>0</v>
      </c>
      <c r="G37" s="24" t="n">
        <v>0</v>
      </c>
      <c r="H37" s="24" t="n">
        <v>1033.38</v>
      </c>
      <c r="I37" s="24" t="n">
        <f aca="false">G37+H37</f>
        <v>1033.38</v>
      </c>
      <c r="J37" s="24" t="n">
        <f aca="false">D37-I37</f>
        <v>60969.41</v>
      </c>
      <c r="K37" s="25" t="s">
        <v>88</v>
      </c>
      <c r="L37" s="25" t="s">
        <v>89</v>
      </c>
    </row>
    <row r="38" customFormat="false" ht="15" hidden="false" customHeight="false" outlineLevel="0" collapsed="false">
      <c r="A38" s="26"/>
      <c r="B38" s="27" t="s">
        <v>40</v>
      </c>
      <c r="C38" s="26"/>
      <c r="D38" s="28" t="n">
        <f aca="false">SUM(D20:D37)</f>
        <v>1280158.57</v>
      </c>
      <c r="E38" s="28" t="n">
        <f aca="false">SUM(E20:E37)</f>
        <v>0</v>
      </c>
      <c r="F38" s="28" t="n">
        <f aca="false">SUM(F20:F37)</f>
        <v>511511.06</v>
      </c>
      <c r="G38" s="28" t="n">
        <f aca="false">SUM(G20:G37)</f>
        <v>0</v>
      </c>
      <c r="H38" s="28" t="n">
        <f aca="false">SUM(H20:H37)</f>
        <v>536088.47</v>
      </c>
      <c r="I38" s="28" t="n">
        <f aca="false">SUM(I20:I37)</f>
        <v>536088.47</v>
      </c>
      <c r="J38" s="28" t="n">
        <f aca="false">SUM(J20:J37)</f>
        <v>744070.1</v>
      </c>
      <c r="K38" s="26"/>
      <c r="L38" s="26"/>
    </row>
    <row r="40" customFormat="false" ht="15" hidden="false" customHeight="false" outlineLevel="0" collapsed="false">
      <c r="B40" s="18" t="s">
        <v>95</v>
      </c>
    </row>
    <row r="41" customFormat="false" ht="15" hidden="false" customHeight="false" outlineLevel="0" collapsed="false">
      <c r="B41" s="5" t="s">
        <v>96</v>
      </c>
      <c r="D41" s="6" t="n">
        <f aca="false">I16</f>
        <v>243079.61</v>
      </c>
    </row>
    <row r="42" customFormat="false" ht="15" hidden="false" customHeight="false" outlineLevel="0" collapsed="false">
      <c r="B42" s="5" t="s">
        <v>97</v>
      </c>
      <c r="D42" s="6" t="n">
        <f aca="false">I38</f>
        <v>536088.47</v>
      </c>
    </row>
    <row r="43" customFormat="false" ht="15" hidden="false" customHeight="false" outlineLevel="0" collapsed="false">
      <c r="B43" s="11" t="s">
        <v>95</v>
      </c>
      <c r="D43" s="29" t="n">
        <f aca="false">D41-D42</f>
        <v>-293008.86</v>
      </c>
    </row>
    <row r="45" customFormat="false" ht="15" hidden="false" customHeight="false" outlineLevel="0" collapsed="false">
      <c r="A45" s="10" t="s">
        <v>98</v>
      </c>
    </row>
    <row r="46" customFormat="false" ht="15" hidden="false" customHeight="false" outlineLevel="0" collapsed="false">
      <c r="A46" s="21" t="s">
        <v>99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customFormat="false" ht="22.35" hidden="false" customHeight="false" outlineLevel="0" collapsed="false">
      <c r="A47" s="4" t="s">
        <v>76</v>
      </c>
      <c r="B47" s="4" t="s">
        <v>77</v>
      </c>
      <c r="C47" s="4" t="s">
        <v>78</v>
      </c>
      <c r="D47" s="4" t="s">
        <v>79</v>
      </c>
      <c r="E47" s="4" t="s">
        <v>80</v>
      </c>
      <c r="F47" s="4" t="s">
        <v>81</v>
      </c>
      <c r="G47" s="4" t="s">
        <v>100</v>
      </c>
      <c r="H47" s="4" t="s">
        <v>101</v>
      </c>
      <c r="I47" s="4" t="s">
        <v>84</v>
      </c>
      <c r="J47" s="4" t="s">
        <v>85</v>
      </c>
      <c r="K47" s="4" t="s">
        <v>86</v>
      </c>
      <c r="L47" s="4" t="s">
        <v>87</v>
      </c>
    </row>
    <row r="48" customFormat="false" ht="15" hidden="false" customHeight="false" outlineLevel="0" collapsed="false">
      <c r="A48" s="23" t="n">
        <v>1</v>
      </c>
      <c r="B48" s="23" t="s">
        <v>34</v>
      </c>
      <c r="C48" s="23" t="s">
        <v>33</v>
      </c>
      <c r="D48" s="24" t="n">
        <v>166583.41</v>
      </c>
      <c r="E48" s="24" t="n">
        <v>0</v>
      </c>
      <c r="F48" s="24" t="n">
        <v>0</v>
      </c>
      <c r="G48" s="24" t="n">
        <v>0</v>
      </c>
      <c r="H48" s="24" t="n">
        <v>2776.44</v>
      </c>
      <c r="I48" s="24" t="n">
        <f aca="false">G48+H48</f>
        <v>2776.44</v>
      </c>
      <c r="J48" s="24" t="n">
        <f aca="false">D48-I48</f>
        <v>163806.97</v>
      </c>
      <c r="K48" s="25" t="s">
        <v>88</v>
      </c>
      <c r="L48" s="25" t="s">
        <v>89</v>
      </c>
    </row>
    <row r="49" customFormat="false" ht="15" hidden="false" customHeight="false" outlineLevel="0" collapsed="false">
      <c r="A49" s="23" t="n">
        <v>2</v>
      </c>
      <c r="B49" s="23" t="s">
        <v>35</v>
      </c>
      <c r="C49" s="23" t="s">
        <v>33</v>
      </c>
      <c r="D49" s="24" t="n">
        <v>21494.58</v>
      </c>
      <c r="E49" s="24" t="n">
        <v>0</v>
      </c>
      <c r="F49" s="24" t="n">
        <v>12896.75</v>
      </c>
      <c r="G49" s="24" t="n">
        <v>0</v>
      </c>
      <c r="H49" s="24" t="n">
        <v>13183.42</v>
      </c>
      <c r="I49" s="24" t="n">
        <f aca="false">G49+H49</f>
        <v>13183.42</v>
      </c>
      <c r="J49" s="24" t="n">
        <f aca="false">D49-I49</f>
        <v>8311.16</v>
      </c>
      <c r="K49" s="25" t="s">
        <v>90</v>
      </c>
      <c r="L49" s="25" t="s">
        <v>91</v>
      </c>
    </row>
    <row r="50" customFormat="false" ht="15" hidden="false" customHeight="false" outlineLevel="0" collapsed="false">
      <c r="A50" s="23" t="n">
        <v>3</v>
      </c>
      <c r="B50" s="23" t="s">
        <v>36</v>
      </c>
      <c r="C50" s="23" t="s">
        <v>33</v>
      </c>
      <c r="D50" s="24" t="n">
        <v>40302.47</v>
      </c>
      <c r="E50" s="24" t="n">
        <v>0</v>
      </c>
      <c r="F50" s="24" t="n">
        <v>24181.48</v>
      </c>
      <c r="G50" s="24" t="n">
        <v>0</v>
      </c>
      <c r="H50" s="24" t="n">
        <v>27405.66</v>
      </c>
      <c r="I50" s="24" t="n">
        <f aca="false">G50+H50</f>
        <v>27405.66</v>
      </c>
      <c r="J50" s="24" t="n">
        <f aca="false">D50-I50</f>
        <v>12896.81</v>
      </c>
      <c r="K50" s="25" t="s">
        <v>92</v>
      </c>
      <c r="L50" s="25" t="s">
        <v>93</v>
      </c>
    </row>
    <row r="51" customFormat="false" ht="15" hidden="false" customHeight="false" outlineLevel="0" collapsed="false">
      <c r="A51" s="23" t="n">
        <v>4</v>
      </c>
      <c r="B51" s="23" t="s">
        <v>37</v>
      </c>
      <c r="C51" s="23" t="s">
        <v>33</v>
      </c>
      <c r="D51" s="24" t="n">
        <v>767179.32</v>
      </c>
      <c r="E51" s="24" t="n">
        <v>0</v>
      </c>
      <c r="F51" s="24" t="n">
        <v>0</v>
      </c>
      <c r="G51" s="24" t="n">
        <v>0</v>
      </c>
      <c r="H51" s="24" t="n">
        <v>12786.29</v>
      </c>
      <c r="I51" s="24" t="n">
        <f aca="false">G51+H51</f>
        <v>12786.29</v>
      </c>
      <c r="J51" s="24" t="n">
        <f aca="false">D51-I51</f>
        <v>754393.03</v>
      </c>
      <c r="K51" s="25" t="s">
        <v>88</v>
      </c>
      <c r="L51" s="25" t="s">
        <v>89</v>
      </c>
    </row>
    <row r="52" customFormat="false" ht="15" hidden="false" customHeight="false" outlineLevel="0" collapsed="false">
      <c r="A52" s="23" t="n">
        <v>5</v>
      </c>
      <c r="B52" s="23" t="s">
        <v>38</v>
      </c>
      <c r="C52" s="23" t="s">
        <v>33</v>
      </c>
      <c r="D52" s="24" t="n">
        <v>98990.86</v>
      </c>
      <c r="E52" s="24" t="n">
        <v>0</v>
      </c>
      <c r="F52" s="24" t="n">
        <v>59394.52</v>
      </c>
      <c r="G52" s="24" t="n">
        <v>0</v>
      </c>
      <c r="H52" s="24" t="n">
        <v>60714.39</v>
      </c>
      <c r="I52" s="24" t="n">
        <f aca="false">G52+H52</f>
        <v>60714.39</v>
      </c>
      <c r="J52" s="24" t="n">
        <f aca="false">D52-I52</f>
        <v>38276.47</v>
      </c>
      <c r="K52" s="25" t="s">
        <v>90</v>
      </c>
      <c r="L52" s="25" t="s">
        <v>91</v>
      </c>
    </row>
    <row r="53" customFormat="false" ht="15" hidden="false" customHeight="false" outlineLevel="0" collapsed="false">
      <c r="A53" s="23" t="n">
        <v>6</v>
      </c>
      <c r="B53" s="23" t="s">
        <v>39</v>
      </c>
      <c r="C53" s="23" t="s">
        <v>33</v>
      </c>
      <c r="D53" s="24" t="n">
        <v>185607.93</v>
      </c>
      <c r="E53" s="24" t="n">
        <v>0</v>
      </c>
      <c r="F53" s="24" t="n">
        <v>111364.76</v>
      </c>
      <c r="G53" s="24" t="n">
        <v>0</v>
      </c>
      <c r="H53" s="24" t="n">
        <v>126213.41</v>
      </c>
      <c r="I53" s="24" t="n">
        <f aca="false">G53+H53</f>
        <v>126213.41</v>
      </c>
      <c r="J53" s="24" t="n">
        <f aca="false">D53-I53</f>
        <v>59394.52</v>
      </c>
      <c r="K53" s="25" t="s">
        <v>92</v>
      </c>
      <c r="L53" s="25" t="s">
        <v>93</v>
      </c>
    </row>
    <row r="54" customFormat="false" ht="15" hidden="false" customHeight="false" outlineLevel="0" collapsed="false">
      <c r="A54" s="26"/>
      <c r="B54" s="27" t="s">
        <v>40</v>
      </c>
      <c r="C54" s="26"/>
      <c r="D54" s="28" t="n">
        <f aca="false">SUM(D48:D53)</f>
        <v>1280158.57</v>
      </c>
      <c r="E54" s="28" t="n">
        <f aca="false">SUM(E48:E53)</f>
        <v>0</v>
      </c>
      <c r="F54" s="28" t="n">
        <f aca="false">SUM(F48:F53)</f>
        <v>207837.51</v>
      </c>
      <c r="G54" s="28" t="n">
        <f aca="false">SUM(G48:G53)</f>
        <v>0</v>
      </c>
      <c r="H54" s="28" t="n">
        <f aca="false">SUM(H48:H53)</f>
        <v>243079.61</v>
      </c>
      <c r="I54" s="28" t="n">
        <f aca="false">SUM(I48:I53)</f>
        <v>243079.61</v>
      </c>
      <c r="J54" s="28" t="n">
        <f aca="false">SUM(J48:J53)</f>
        <v>1037078.96</v>
      </c>
      <c r="K54" s="26"/>
      <c r="L54" s="26"/>
    </row>
    <row r="56" customFormat="false" ht="15" hidden="false" customHeight="false" outlineLevel="0" collapsed="false">
      <c r="A56" s="21" t="s">
        <v>102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customFormat="false" ht="22.35" hidden="false" customHeight="false" outlineLevel="0" collapsed="false">
      <c r="A57" s="4" t="s">
        <v>76</v>
      </c>
      <c r="B57" s="4" t="s">
        <v>77</v>
      </c>
      <c r="C57" s="4" t="s">
        <v>78</v>
      </c>
      <c r="D57" s="4" t="s">
        <v>79</v>
      </c>
      <c r="E57" s="4" t="s">
        <v>80</v>
      </c>
      <c r="F57" s="4" t="s">
        <v>81</v>
      </c>
      <c r="G57" s="4" t="s">
        <v>100</v>
      </c>
      <c r="H57" s="4" t="s">
        <v>101</v>
      </c>
      <c r="I57" s="4" t="s">
        <v>84</v>
      </c>
      <c r="J57" s="4" t="s">
        <v>85</v>
      </c>
      <c r="K57" s="4" t="s">
        <v>86</v>
      </c>
      <c r="L57" s="4" t="s">
        <v>87</v>
      </c>
    </row>
    <row r="58" customFormat="false" ht="15" hidden="false" customHeight="false" outlineLevel="0" collapsed="false">
      <c r="A58" s="23" t="n">
        <v>1</v>
      </c>
      <c r="B58" s="23" t="s">
        <v>42</v>
      </c>
      <c r="C58" s="23" t="s">
        <v>33</v>
      </c>
      <c r="D58" s="24" t="n">
        <v>866.85</v>
      </c>
      <c r="E58" s="24" t="n">
        <v>0</v>
      </c>
      <c r="F58" s="24" t="n">
        <v>520.11</v>
      </c>
      <c r="G58" s="24" t="n">
        <v>0</v>
      </c>
      <c r="H58" s="24" t="n">
        <v>589.46</v>
      </c>
      <c r="I58" s="24" t="n">
        <f aca="false">G58+H58</f>
        <v>589.46</v>
      </c>
      <c r="J58" s="24" t="n">
        <f aca="false">D58-I58</f>
        <v>277.39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2</v>
      </c>
      <c r="B59" s="23" t="s">
        <v>43</v>
      </c>
      <c r="C59" s="23" t="s">
        <v>33</v>
      </c>
      <c r="D59" s="24" t="n">
        <v>110068.96</v>
      </c>
      <c r="E59" s="24" t="n">
        <v>0</v>
      </c>
      <c r="F59" s="24" t="n">
        <v>66041.38</v>
      </c>
      <c r="G59" s="24" t="n">
        <v>0</v>
      </c>
      <c r="H59" s="24" t="n">
        <v>68242.76</v>
      </c>
      <c r="I59" s="24" t="n">
        <f aca="false">G59+H59</f>
        <v>68242.76</v>
      </c>
      <c r="J59" s="24" t="n">
        <f aca="false">D59-I59</f>
        <v>41826.2</v>
      </c>
      <c r="K59" s="25" t="s">
        <v>90</v>
      </c>
      <c r="L59" s="25" t="s">
        <v>91</v>
      </c>
    </row>
    <row r="60" customFormat="false" ht="15" hidden="false" customHeight="false" outlineLevel="0" collapsed="false">
      <c r="A60" s="23" t="n">
        <v>3</v>
      </c>
      <c r="B60" s="23" t="s">
        <v>44</v>
      </c>
      <c r="C60" s="23" t="s">
        <v>33</v>
      </c>
      <c r="D60" s="24" t="n">
        <v>55647.6</v>
      </c>
      <c r="E60" s="24" t="n">
        <v>0</v>
      </c>
      <c r="F60" s="24" t="n">
        <v>0</v>
      </c>
      <c r="G60" s="24" t="n">
        <v>0</v>
      </c>
      <c r="H60" s="24" t="n">
        <v>927.46</v>
      </c>
      <c r="I60" s="24" t="n">
        <f aca="false">G60+H60</f>
        <v>927.46</v>
      </c>
      <c r="J60" s="24" t="n">
        <f aca="false">D60-I60</f>
        <v>54720.14</v>
      </c>
      <c r="K60" s="25" t="s">
        <v>88</v>
      </c>
      <c r="L60" s="25" t="s">
        <v>89</v>
      </c>
    </row>
    <row r="61" customFormat="false" ht="15" hidden="false" customHeight="false" outlineLevel="0" collapsed="false">
      <c r="A61" s="23" t="n">
        <v>4</v>
      </c>
      <c r="B61" s="23" t="s">
        <v>45</v>
      </c>
      <c r="C61" s="23" t="s">
        <v>33</v>
      </c>
      <c r="D61" s="24" t="n">
        <v>111.85</v>
      </c>
      <c r="E61" s="24" t="n">
        <v>0</v>
      </c>
      <c r="F61" s="24" t="n">
        <v>67.11</v>
      </c>
      <c r="G61" s="24" t="n">
        <v>0</v>
      </c>
      <c r="H61" s="24" t="n">
        <v>76.06</v>
      </c>
      <c r="I61" s="24" t="n">
        <f aca="false">G61+H61</f>
        <v>76.06</v>
      </c>
      <c r="J61" s="24" t="n">
        <f aca="false">D61-I61</f>
        <v>35.79</v>
      </c>
      <c r="K61" s="25" t="s">
        <v>92</v>
      </c>
      <c r="L61" s="25" t="s">
        <v>93</v>
      </c>
    </row>
    <row r="62" customFormat="false" ht="15" hidden="false" customHeight="false" outlineLevel="0" collapsed="false">
      <c r="A62" s="23" t="n">
        <v>5</v>
      </c>
      <c r="B62" s="23" t="s">
        <v>46</v>
      </c>
      <c r="C62" s="23" t="s">
        <v>33</v>
      </c>
      <c r="D62" s="24" t="n">
        <v>14202.41</v>
      </c>
      <c r="E62" s="24" t="n">
        <v>0</v>
      </c>
      <c r="F62" s="24" t="n">
        <v>8521.45</v>
      </c>
      <c r="G62" s="24" t="n">
        <v>0</v>
      </c>
      <c r="H62" s="24" t="n">
        <v>8805.5</v>
      </c>
      <c r="I62" s="24" t="n">
        <f aca="false">G62+H62</f>
        <v>8805.5</v>
      </c>
      <c r="J62" s="24" t="n">
        <f aca="false">D62-I62</f>
        <v>5396.91</v>
      </c>
      <c r="K62" s="25" t="s">
        <v>90</v>
      </c>
      <c r="L62" s="25" t="s">
        <v>91</v>
      </c>
    </row>
    <row r="63" customFormat="false" ht="15" hidden="false" customHeight="false" outlineLevel="0" collapsed="false">
      <c r="A63" s="23" t="n">
        <v>6</v>
      </c>
      <c r="B63" s="23" t="s">
        <v>47</v>
      </c>
      <c r="C63" s="23" t="s">
        <v>33</v>
      </c>
      <c r="D63" s="24" t="n">
        <v>7180.32</v>
      </c>
      <c r="E63" s="24" t="n">
        <v>0</v>
      </c>
      <c r="F63" s="24" t="n">
        <v>0</v>
      </c>
      <c r="G63" s="24" t="n">
        <v>0</v>
      </c>
      <c r="H63" s="24" t="n">
        <v>119.67</v>
      </c>
      <c r="I63" s="24" t="n">
        <f aca="false">G63+H63</f>
        <v>119.67</v>
      </c>
      <c r="J63" s="24" t="n">
        <f aca="false">D63-I63</f>
        <v>7060.65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3" t="n">
        <v>7</v>
      </c>
      <c r="B64" s="23" t="s">
        <v>48</v>
      </c>
      <c r="C64" s="23" t="s">
        <v>33</v>
      </c>
      <c r="D64" s="24" t="n">
        <v>209.72</v>
      </c>
      <c r="E64" s="24" t="n">
        <v>0</v>
      </c>
      <c r="F64" s="24" t="n">
        <v>125.83</v>
      </c>
      <c r="G64" s="24" t="n">
        <v>0</v>
      </c>
      <c r="H64" s="24" t="n">
        <v>142.61</v>
      </c>
      <c r="I64" s="24" t="n">
        <f aca="false">G64+H64</f>
        <v>142.61</v>
      </c>
      <c r="J64" s="24" t="n">
        <f aca="false">D64-I64</f>
        <v>67.11</v>
      </c>
      <c r="K64" s="25" t="s">
        <v>92</v>
      </c>
      <c r="L64" s="25" t="s">
        <v>93</v>
      </c>
    </row>
    <row r="65" customFormat="false" ht="15" hidden="false" customHeight="false" outlineLevel="0" collapsed="false">
      <c r="A65" s="23" t="n">
        <v>8</v>
      </c>
      <c r="B65" s="23" t="s">
        <v>49</v>
      </c>
      <c r="C65" s="23" t="s">
        <v>33</v>
      </c>
      <c r="D65" s="24" t="n">
        <v>26629.61</v>
      </c>
      <c r="E65" s="24" t="n">
        <v>0</v>
      </c>
      <c r="F65" s="24" t="n">
        <v>15977.77</v>
      </c>
      <c r="G65" s="24" t="n">
        <v>0</v>
      </c>
      <c r="H65" s="24" t="n">
        <v>16510.36</v>
      </c>
      <c r="I65" s="24" t="n">
        <f aca="false">G65+H65</f>
        <v>16510.36</v>
      </c>
      <c r="J65" s="24" t="n">
        <f aca="false">D65-I65</f>
        <v>10119.25</v>
      </c>
      <c r="K65" s="25" t="s">
        <v>90</v>
      </c>
      <c r="L65" s="25" t="s">
        <v>91</v>
      </c>
    </row>
    <row r="66" customFormat="false" ht="15" hidden="false" customHeight="false" outlineLevel="0" collapsed="false">
      <c r="A66" s="23" t="n">
        <v>9</v>
      </c>
      <c r="B66" s="23" t="s">
        <v>50</v>
      </c>
      <c r="C66" s="23" t="s">
        <v>33</v>
      </c>
      <c r="D66" s="24" t="n">
        <v>13463.14</v>
      </c>
      <c r="E66" s="24" t="n">
        <v>0</v>
      </c>
      <c r="F66" s="24" t="n">
        <v>0</v>
      </c>
      <c r="G66" s="24" t="n">
        <v>0</v>
      </c>
      <c r="H66" s="24" t="n">
        <v>224.39</v>
      </c>
      <c r="I66" s="24" t="n">
        <f aca="false">G66+H66</f>
        <v>224.39</v>
      </c>
      <c r="J66" s="24" t="n">
        <f aca="false">D66-I66</f>
        <v>13238.75</v>
      </c>
      <c r="K66" s="25" t="s">
        <v>88</v>
      </c>
      <c r="L66" s="25" t="s">
        <v>89</v>
      </c>
    </row>
    <row r="67" customFormat="false" ht="15" hidden="false" customHeight="false" outlineLevel="0" collapsed="false">
      <c r="A67" s="23" t="n">
        <v>10</v>
      </c>
      <c r="B67" s="23" t="s">
        <v>51</v>
      </c>
      <c r="C67" s="23" t="s">
        <v>33</v>
      </c>
      <c r="D67" s="24" t="n">
        <v>3992.15</v>
      </c>
      <c r="E67" s="24" t="n">
        <v>0</v>
      </c>
      <c r="F67" s="24" t="n">
        <v>2395.29</v>
      </c>
      <c r="G67" s="24" t="n">
        <v>0</v>
      </c>
      <c r="H67" s="24" t="n">
        <v>2714.66</v>
      </c>
      <c r="I67" s="24" t="n">
        <f aca="false">G67+H67</f>
        <v>2714.66</v>
      </c>
      <c r="J67" s="24" t="n">
        <f aca="false">D67-I67</f>
        <v>1277.49</v>
      </c>
      <c r="K67" s="25" t="s">
        <v>92</v>
      </c>
      <c r="L67" s="25" t="s">
        <v>93</v>
      </c>
    </row>
    <row r="68" customFormat="false" ht="15" hidden="false" customHeight="false" outlineLevel="0" collapsed="false">
      <c r="A68" s="23" t="n">
        <v>11</v>
      </c>
      <c r="B68" s="23" t="s">
        <v>52</v>
      </c>
      <c r="C68" s="23" t="s">
        <v>33</v>
      </c>
      <c r="D68" s="24" t="n">
        <v>506909.01</v>
      </c>
      <c r="E68" s="24" t="n">
        <v>0</v>
      </c>
      <c r="F68" s="24" t="n">
        <v>304145.41</v>
      </c>
      <c r="G68" s="24" t="n">
        <v>0</v>
      </c>
      <c r="H68" s="24" t="n">
        <v>314283.59</v>
      </c>
      <c r="I68" s="24" t="n">
        <f aca="false">G68+H68</f>
        <v>314283.59</v>
      </c>
      <c r="J68" s="24" t="n">
        <f aca="false">D68-I68</f>
        <v>192625.42</v>
      </c>
      <c r="K68" s="25" t="s">
        <v>90</v>
      </c>
      <c r="L68" s="25" t="s">
        <v>91</v>
      </c>
    </row>
    <row r="69" customFormat="false" ht="15" hidden="false" customHeight="false" outlineLevel="0" collapsed="false">
      <c r="A69" s="23" t="n">
        <v>12</v>
      </c>
      <c r="B69" s="23" t="s">
        <v>53</v>
      </c>
      <c r="C69" s="23" t="s">
        <v>33</v>
      </c>
      <c r="D69" s="24" t="n">
        <v>256278.16</v>
      </c>
      <c r="E69" s="24" t="n">
        <v>0</v>
      </c>
      <c r="F69" s="24" t="n">
        <v>0</v>
      </c>
      <c r="G69" s="24" t="n">
        <v>0</v>
      </c>
      <c r="H69" s="24" t="n">
        <v>4271.3</v>
      </c>
      <c r="I69" s="24" t="n">
        <f aca="false">G69+H69</f>
        <v>4271.3</v>
      </c>
      <c r="J69" s="24" t="n">
        <f aca="false">D69-I69</f>
        <v>252006.86</v>
      </c>
      <c r="K69" s="25" t="s">
        <v>88</v>
      </c>
      <c r="L69" s="25" t="s">
        <v>89</v>
      </c>
    </row>
    <row r="70" customFormat="false" ht="15" hidden="false" customHeight="false" outlineLevel="0" collapsed="false">
      <c r="A70" s="23" t="n">
        <v>13</v>
      </c>
      <c r="B70" s="23" t="s">
        <v>54</v>
      </c>
      <c r="C70" s="23" t="s">
        <v>33</v>
      </c>
      <c r="D70" s="24" t="n">
        <v>515.12</v>
      </c>
      <c r="E70" s="24" t="n">
        <v>0</v>
      </c>
      <c r="F70" s="24" t="n">
        <v>309.07</v>
      </c>
      <c r="G70" s="24" t="n">
        <v>0</v>
      </c>
      <c r="H70" s="24" t="n">
        <v>350.28</v>
      </c>
      <c r="I70" s="24" t="n">
        <f aca="false">G70+H70</f>
        <v>350.28</v>
      </c>
      <c r="J70" s="24" t="n">
        <f aca="false">D70-I70</f>
        <v>164.84</v>
      </c>
      <c r="K70" s="25" t="s">
        <v>92</v>
      </c>
      <c r="L70" s="25" t="s">
        <v>93</v>
      </c>
    </row>
    <row r="71" customFormat="false" ht="15" hidden="false" customHeight="false" outlineLevel="0" collapsed="false">
      <c r="A71" s="23" t="n">
        <v>14</v>
      </c>
      <c r="B71" s="23" t="s">
        <v>55</v>
      </c>
      <c r="C71" s="23" t="s">
        <v>33</v>
      </c>
      <c r="D71" s="24" t="n">
        <v>65407.6</v>
      </c>
      <c r="E71" s="24" t="n">
        <v>0</v>
      </c>
      <c r="F71" s="24" t="n">
        <v>39244.56</v>
      </c>
      <c r="G71" s="24" t="n">
        <v>0</v>
      </c>
      <c r="H71" s="24" t="n">
        <v>40552.71</v>
      </c>
      <c r="I71" s="24" t="n">
        <f aca="false">G71+H71</f>
        <v>40552.71</v>
      </c>
      <c r="J71" s="24" t="n">
        <f aca="false">D71-I71</f>
        <v>24854.89</v>
      </c>
      <c r="K71" s="25" t="s">
        <v>90</v>
      </c>
      <c r="L71" s="25" t="s">
        <v>91</v>
      </c>
    </row>
    <row r="72" customFormat="false" ht="15" hidden="false" customHeight="false" outlineLevel="0" collapsed="false">
      <c r="A72" s="23" t="n">
        <v>15</v>
      </c>
      <c r="B72" s="23" t="s">
        <v>56</v>
      </c>
      <c r="C72" s="23" t="s">
        <v>33</v>
      </c>
      <c r="D72" s="24" t="n">
        <v>33068.14</v>
      </c>
      <c r="E72" s="24" t="n">
        <v>0</v>
      </c>
      <c r="F72" s="24" t="n">
        <v>0</v>
      </c>
      <c r="G72" s="24" t="n">
        <v>0</v>
      </c>
      <c r="H72" s="24" t="n">
        <v>551.14</v>
      </c>
      <c r="I72" s="24" t="n">
        <f aca="false">G72+H72</f>
        <v>551.14</v>
      </c>
      <c r="J72" s="24" t="n">
        <f aca="false">D72-I72</f>
        <v>32517</v>
      </c>
      <c r="K72" s="25" t="s">
        <v>88</v>
      </c>
      <c r="L72" s="25" t="s">
        <v>89</v>
      </c>
    </row>
    <row r="73" customFormat="false" ht="15" hidden="false" customHeight="false" outlineLevel="0" collapsed="false">
      <c r="A73" s="23" t="n">
        <v>16</v>
      </c>
      <c r="B73" s="23" t="s">
        <v>57</v>
      </c>
      <c r="C73" s="23" t="s">
        <v>33</v>
      </c>
      <c r="D73" s="24" t="n">
        <v>965.84</v>
      </c>
      <c r="E73" s="24" t="n">
        <v>0</v>
      </c>
      <c r="F73" s="24" t="n">
        <v>579.5</v>
      </c>
      <c r="G73" s="24" t="n">
        <v>0</v>
      </c>
      <c r="H73" s="24" t="n">
        <v>656.77</v>
      </c>
      <c r="I73" s="24" t="n">
        <f aca="false">G73+H73</f>
        <v>656.77</v>
      </c>
      <c r="J73" s="24" t="n">
        <f aca="false">D73-I73</f>
        <v>309.07</v>
      </c>
      <c r="K73" s="25" t="s">
        <v>92</v>
      </c>
      <c r="L73" s="25" t="s">
        <v>93</v>
      </c>
    </row>
    <row r="74" customFormat="false" ht="15" hidden="false" customHeight="false" outlineLevel="0" collapsed="false">
      <c r="A74" s="23" t="n">
        <v>17</v>
      </c>
      <c r="B74" s="23" t="s">
        <v>58</v>
      </c>
      <c r="C74" s="23" t="s">
        <v>33</v>
      </c>
      <c r="D74" s="24" t="n">
        <v>122639.3</v>
      </c>
      <c r="E74" s="24" t="n">
        <v>0</v>
      </c>
      <c r="F74" s="24" t="n">
        <v>73583.58</v>
      </c>
      <c r="G74" s="24" t="n">
        <v>0</v>
      </c>
      <c r="H74" s="24" t="n">
        <v>76036.37</v>
      </c>
      <c r="I74" s="24" t="n">
        <f aca="false">G74+H74</f>
        <v>76036.37</v>
      </c>
      <c r="J74" s="24" t="n">
        <f aca="false">D74-I74</f>
        <v>46602.93</v>
      </c>
      <c r="K74" s="25" t="s">
        <v>90</v>
      </c>
      <c r="L74" s="25" t="s">
        <v>91</v>
      </c>
    </row>
    <row r="75" customFormat="false" ht="15" hidden="false" customHeight="false" outlineLevel="0" collapsed="false">
      <c r="A75" s="23" t="n">
        <v>18</v>
      </c>
      <c r="B75" s="23" t="s">
        <v>59</v>
      </c>
      <c r="C75" s="23" t="s">
        <v>33</v>
      </c>
      <c r="D75" s="24" t="n">
        <v>62002.79</v>
      </c>
      <c r="E75" s="24" t="n">
        <v>0</v>
      </c>
      <c r="F75" s="24" t="n">
        <v>0</v>
      </c>
      <c r="G75" s="24" t="n">
        <v>0</v>
      </c>
      <c r="H75" s="24" t="n">
        <v>1033.38</v>
      </c>
      <c r="I75" s="24" t="n">
        <f aca="false">G75+H75</f>
        <v>1033.38</v>
      </c>
      <c r="J75" s="24" t="n">
        <f aca="false">D75-I75</f>
        <v>60969.41</v>
      </c>
      <c r="K75" s="25" t="s">
        <v>88</v>
      </c>
      <c r="L75" s="25" t="s">
        <v>89</v>
      </c>
    </row>
    <row r="76" customFormat="false" ht="15" hidden="false" customHeight="false" outlineLevel="0" collapsed="false">
      <c r="A76" s="26"/>
      <c r="B76" s="27" t="s">
        <v>40</v>
      </c>
      <c r="C76" s="26"/>
      <c r="D76" s="28" t="n">
        <f aca="false">SUM(D58:D75)</f>
        <v>1280158.57</v>
      </c>
      <c r="E76" s="28" t="n">
        <f aca="false">SUM(E58:E75)</f>
        <v>0</v>
      </c>
      <c r="F76" s="28" t="n">
        <f aca="false">SUM(F58:F75)</f>
        <v>511511.06</v>
      </c>
      <c r="G76" s="28" t="n">
        <f aca="false">SUM(G58:G75)</f>
        <v>0</v>
      </c>
      <c r="H76" s="28" t="n">
        <f aca="false">SUM(H58:H75)</f>
        <v>536088.47</v>
      </c>
      <c r="I76" s="28" t="n">
        <f aca="false">SUM(I58:I75)</f>
        <v>536088.47</v>
      </c>
      <c r="J76" s="28" t="n">
        <f aca="false">SUM(J58:J75)</f>
        <v>744070.1</v>
      </c>
      <c r="K76" s="26"/>
      <c r="L76" s="26"/>
    </row>
    <row r="78" customFormat="false" ht="15" hidden="false" customHeight="false" outlineLevel="0" collapsed="false">
      <c r="B78" s="18" t="s">
        <v>103</v>
      </c>
    </row>
    <row r="79" customFormat="false" ht="15" hidden="false" customHeight="false" outlineLevel="0" collapsed="false">
      <c r="B79" s="5" t="s">
        <v>96</v>
      </c>
      <c r="D79" s="6" t="n">
        <f aca="false">I54</f>
        <v>243079.61</v>
      </c>
    </row>
    <row r="80" customFormat="false" ht="15" hidden="false" customHeight="false" outlineLevel="0" collapsed="false">
      <c r="B80" s="5" t="s">
        <v>97</v>
      </c>
      <c r="D80" s="6" t="n">
        <f aca="false">I76</f>
        <v>536088.47</v>
      </c>
    </row>
    <row r="81" customFormat="false" ht="15" hidden="false" customHeight="false" outlineLevel="0" collapsed="false">
      <c r="B81" s="11" t="s">
        <v>103</v>
      </c>
      <c r="D81" s="29" t="n">
        <f aca="false">D79-D80</f>
        <v>-293008.86</v>
      </c>
    </row>
    <row r="83" customFormat="false" ht="15" hidden="false" customHeight="false" outlineLevel="0" collapsed="false">
      <c r="A83" s="10" t="s">
        <v>104</v>
      </c>
    </row>
    <row r="84" customFormat="false" ht="15" hidden="false" customHeight="false" outlineLevel="0" collapsed="false">
      <c r="B84" s="11" t="s">
        <v>105</v>
      </c>
      <c r="D84" s="12" t="n">
        <f aca="false">D116</f>
        <v>1280158.57</v>
      </c>
    </row>
    <row r="85" customFormat="false" ht="15" hidden="false" customHeight="false" outlineLevel="0" collapsed="false">
      <c r="B85" s="5" t="s">
        <v>106</v>
      </c>
      <c r="D85" s="6" t="n">
        <f aca="false">F116</f>
        <v>6661.53</v>
      </c>
    </row>
    <row r="86" customFormat="false" ht="15" hidden="false" customHeight="false" outlineLevel="0" collapsed="false">
      <c r="B86" s="30" t="s">
        <v>107</v>
      </c>
      <c r="D86" s="31" t="n">
        <f aca="false">F117</f>
        <v>0.00520367566652309</v>
      </c>
    </row>
    <row r="87" customFormat="false" ht="15" hidden="false" customHeight="false" outlineLevel="0" collapsed="false">
      <c r="B87" s="5" t="s">
        <v>108</v>
      </c>
      <c r="D87" s="6" t="n">
        <f aca="false">H116</f>
        <v>845856.89</v>
      </c>
    </row>
    <row r="88" customFormat="false" ht="15" hidden="false" customHeight="false" outlineLevel="0" collapsed="false">
      <c r="B88" s="30" t="s">
        <v>107</v>
      </c>
      <c r="D88" s="31" t="n">
        <f aca="false">H117</f>
        <v>0.660743840507196</v>
      </c>
    </row>
    <row r="89" customFormat="false" ht="15" hidden="false" customHeight="false" outlineLevel="0" collapsed="false">
      <c r="B89" s="5" t="s">
        <v>109</v>
      </c>
      <c r="D89" s="6" t="n">
        <f aca="false">J116</f>
        <v>427640.15</v>
      </c>
    </row>
    <row r="90" customFormat="false" ht="15" hidden="false" customHeight="false" outlineLevel="0" collapsed="false">
      <c r="B90" s="30" t="s">
        <v>107</v>
      </c>
      <c r="D90" s="31" t="n">
        <f aca="false">J117</f>
        <v>0.334052483826281</v>
      </c>
    </row>
    <row r="92" customFormat="false" ht="15" hidden="false" customHeight="false" outlineLevel="0" collapsed="false">
      <c r="A92" s="10" t="s">
        <v>110</v>
      </c>
    </row>
    <row r="93" customFormat="false" ht="15" hidden="false" customHeight="false" outlineLevel="0" collapsed="false">
      <c r="B93" s="4" t="s">
        <v>111</v>
      </c>
      <c r="D93" s="4" t="s">
        <v>79</v>
      </c>
      <c r="F93" s="4" t="s">
        <v>112</v>
      </c>
      <c r="H93" s="4" t="s">
        <v>113</v>
      </c>
      <c r="J93" s="4" t="s">
        <v>114</v>
      </c>
    </row>
    <row r="94" customFormat="false" ht="15" hidden="false" customHeight="false" outlineLevel="0" collapsed="false">
      <c r="B94" s="32" t="s">
        <v>115</v>
      </c>
    </row>
    <row r="95" customFormat="false" ht="15" hidden="false" customHeight="false" outlineLevel="0" collapsed="false">
      <c r="B95" s="5" t="s">
        <v>116</v>
      </c>
      <c r="D95" s="33" t="n">
        <f aca="false">SUM(F95:J95)</f>
        <v>6661.53</v>
      </c>
      <c r="F95" s="33" t="n">
        <v>6661.53</v>
      </c>
    </row>
    <row r="96" customFormat="false" ht="15" hidden="false" customHeight="false" outlineLevel="0" collapsed="false">
      <c r="B96" s="32" t="s">
        <v>117</v>
      </c>
    </row>
    <row r="97" customFormat="false" ht="15" hidden="false" customHeight="false" outlineLevel="0" collapsed="false">
      <c r="B97" s="5" t="s">
        <v>118</v>
      </c>
      <c r="D97" s="33" t="n">
        <f aca="false">SUM(F97:J97)</f>
        <v>76326.73</v>
      </c>
      <c r="H97" s="33" t="n">
        <v>76326.73</v>
      </c>
    </row>
    <row r="98" customFormat="false" ht="15" hidden="false" customHeight="false" outlineLevel="0" collapsed="false">
      <c r="B98" s="5" t="s">
        <v>119</v>
      </c>
      <c r="D98" s="33" t="n">
        <f aca="false">SUM(F98:J98)</f>
        <v>192460.32</v>
      </c>
      <c r="H98" s="33" t="n">
        <v>192460.32</v>
      </c>
    </row>
    <row r="99" customFormat="false" ht="15" hidden="false" customHeight="false" outlineLevel="0" collapsed="false">
      <c r="B99" s="5" t="s">
        <v>120</v>
      </c>
      <c r="D99" s="33" t="n">
        <f aca="false">SUM(F99:J99)</f>
        <v>1455.53</v>
      </c>
      <c r="H99" s="33" t="n">
        <v>1455.53</v>
      </c>
    </row>
    <row r="100" customFormat="false" ht="15" hidden="false" customHeight="false" outlineLevel="0" collapsed="false">
      <c r="B100" s="5" t="s">
        <v>121</v>
      </c>
      <c r="D100" s="33" t="n">
        <f aca="false">SUM(F100:J100)</f>
        <v>10024.14</v>
      </c>
      <c r="H100" s="33" t="n">
        <v>10024.14</v>
      </c>
    </row>
    <row r="101" customFormat="false" ht="15" hidden="false" customHeight="false" outlineLevel="0" collapsed="false">
      <c r="B101" s="5" t="s">
        <v>122</v>
      </c>
      <c r="D101" s="33" t="n">
        <f aca="false">SUM(F101:J101)</f>
        <v>222825.4</v>
      </c>
      <c r="H101" s="33" t="n">
        <v>222825.4</v>
      </c>
    </row>
    <row r="102" customFormat="false" ht="15" hidden="false" customHeight="false" outlineLevel="0" collapsed="false">
      <c r="B102" s="5" t="s">
        <v>123</v>
      </c>
      <c r="D102" s="33" t="n">
        <f aca="false">SUM(F102:J102)</f>
        <v>7131.4</v>
      </c>
      <c r="H102" s="33" t="n">
        <v>7131.4</v>
      </c>
    </row>
    <row r="103" customFormat="false" ht="15" hidden="false" customHeight="false" outlineLevel="0" collapsed="false">
      <c r="B103" s="5" t="s">
        <v>124</v>
      </c>
      <c r="D103" s="33" t="n">
        <f aca="false">SUM(F103:J103)</f>
        <v>3738.18</v>
      </c>
      <c r="H103" s="33" t="n">
        <v>3738.18</v>
      </c>
    </row>
    <row r="104" customFormat="false" ht="15" hidden="false" customHeight="false" outlineLevel="0" collapsed="false">
      <c r="B104" s="5" t="s">
        <v>125</v>
      </c>
      <c r="D104" s="33" t="n">
        <f aca="false">SUM(F104:J104)</f>
        <v>230042.3</v>
      </c>
      <c r="H104" s="33" t="n">
        <v>230042.3</v>
      </c>
    </row>
    <row r="105" customFormat="false" ht="15" hidden="false" customHeight="false" outlineLevel="0" collapsed="false">
      <c r="B105" s="5" t="s">
        <v>126</v>
      </c>
      <c r="D105" s="33" t="n">
        <f aca="false">SUM(F105:J105)</f>
        <v>30860.5</v>
      </c>
      <c r="H105" s="33" t="n">
        <v>30860.5</v>
      </c>
    </row>
    <row r="106" customFormat="false" ht="15" hidden="false" customHeight="false" outlineLevel="0" collapsed="false">
      <c r="B106" s="5" t="s">
        <v>127</v>
      </c>
      <c r="D106" s="33" t="n">
        <f aca="false">SUM(F106:J106)</f>
        <v>2802.66</v>
      </c>
      <c r="H106" s="33" t="n">
        <v>2802.66</v>
      </c>
    </row>
    <row r="107" customFormat="false" ht="15" hidden="false" customHeight="false" outlineLevel="0" collapsed="false">
      <c r="B107" s="5" t="s">
        <v>128</v>
      </c>
      <c r="D107" s="33" t="n">
        <f aca="false">SUM(F107:J107)</f>
        <v>9369.69</v>
      </c>
      <c r="H107" s="33" t="n">
        <v>9369.69</v>
      </c>
    </row>
    <row r="108" customFormat="false" ht="15" hidden="false" customHeight="false" outlineLevel="0" collapsed="false">
      <c r="B108" s="5" t="s">
        <v>129</v>
      </c>
      <c r="D108" s="33" t="n">
        <f aca="false">SUM(F108:J108)</f>
        <v>1024.32</v>
      </c>
      <c r="H108" s="33" t="n">
        <v>1024.32</v>
      </c>
    </row>
    <row r="109" customFormat="false" ht="15" hidden="false" customHeight="false" outlineLevel="0" collapsed="false">
      <c r="B109" s="5" t="s">
        <v>130</v>
      </c>
      <c r="D109" s="33" t="n">
        <f aca="false">SUM(F109:J109)</f>
        <v>6866.32</v>
      </c>
      <c r="H109" s="33" t="n">
        <v>6866.32</v>
      </c>
    </row>
    <row r="110" customFormat="false" ht="15" hidden="false" customHeight="false" outlineLevel="0" collapsed="false">
      <c r="B110" s="5" t="s">
        <v>131</v>
      </c>
      <c r="D110" s="33" t="n">
        <f aca="false">SUM(F110:J110)</f>
        <v>47949.95</v>
      </c>
      <c r="H110" s="33" t="n">
        <v>47949.95</v>
      </c>
    </row>
    <row r="111" customFormat="false" ht="15" hidden="false" customHeight="false" outlineLevel="0" collapsed="false">
      <c r="B111" s="5" t="s">
        <v>132</v>
      </c>
      <c r="D111" s="33" t="n">
        <f aca="false">SUM(F111:J111)</f>
        <v>1504.47</v>
      </c>
      <c r="H111" s="33" t="n">
        <v>1504.47</v>
      </c>
    </row>
    <row r="112" customFormat="false" ht="15" hidden="false" customHeight="false" outlineLevel="0" collapsed="false">
      <c r="B112" s="5" t="s">
        <v>133</v>
      </c>
      <c r="D112" s="33" t="n">
        <f aca="false">SUM(F112:J112)</f>
        <v>382.18</v>
      </c>
      <c r="H112" s="33" t="n">
        <v>382.18</v>
      </c>
    </row>
    <row r="113" customFormat="false" ht="15" hidden="false" customHeight="false" outlineLevel="0" collapsed="false">
      <c r="B113" s="5" t="s">
        <v>134</v>
      </c>
      <c r="D113" s="33" t="n">
        <f aca="false">SUM(F113:J113)</f>
        <v>1092.8</v>
      </c>
      <c r="H113" s="33" t="n">
        <v>1092.8</v>
      </c>
    </row>
    <row r="114" customFormat="false" ht="15" hidden="false" customHeight="false" outlineLevel="0" collapsed="false">
      <c r="B114" s="32" t="s">
        <v>135</v>
      </c>
    </row>
    <row r="115" customFormat="false" ht="15" hidden="false" customHeight="false" outlineLevel="0" collapsed="false">
      <c r="B115" s="5" t="s">
        <v>136</v>
      </c>
      <c r="D115" s="33" t="n">
        <f aca="false">SUM(F115:J115)</f>
        <v>427640.15</v>
      </c>
      <c r="J115" s="33" t="n">
        <v>427640.15</v>
      </c>
    </row>
    <row r="116" customFormat="false" ht="15" hidden="false" customHeight="false" outlineLevel="0" collapsed="false">
      <c r="B116" s="11" t="s">
        <v>105</v>
      </c>
      <c r="D116" s="34" t="n">
        <f aca="false">SUM(D94:D115)</f>
        <v>1280158.57</v>
      </c>
      <c r="F116" s="34" t="n">
        <f aca="false">SUM(F94:F115)</f>
        <v>6661.53</v>
      </c>
      <c r="H116" s="34" t="n">
        <f aca="false">SUM(H94:H115)</f>
        <v>845856.89</v>
      </c>
      <c r="J116" s="34" t="n">
        <f aca="false">SUM(J94:J115)</f>
        <v>427640.15</v>
      </c>
    </row>
    <row r="117" customFormat="false" ht="15" hidden="false" customHeight="false" outlineLevel="0" collapsed="false">
      <c r="B117" s="30" t="s">
        <v>107</v>
      </c>
      <c r="F117" s="31" t="n">
        <f aca="false">F116/D116</f>
        <v>0.00520367566652309</v>
      </c>
      <c r="H117" s="31" t="n">
        <f aca="false">H116/D116</f>
        <v>0.660743840507196</v>
      </c>
      <c r="J117" s="31" t="n">
        <f aca="false">J116/D116</f>
        <v>0.334052483826281</v>
      </c>
    </row>
    <row r="119" customFormat="false" ht="15" hidden="false" customHeight="false" outlineLevel="0" collapsed="false">
      <c r="A119" s="10" t="s">
        <v>137</v>
      </c>
    </row>
    <row r="120" customFormat="false" ht="15" hidden="false" customHeight="false" outlineLevel="0" collapsed="false">
      <c r="B120" s="4" t="s">
        <v>138</v>
      </c>
      <c r="D120" s="4" t="s">
        <v>79</v>
      </c>
      <c r="F120" s="4" t="s">
        <v>112</v>
      </c>
      <c r="H120" s="4" t="s">
        <v>113</v>
      </c>
      <c r="J120" s="4" t="s">
        <v>114</v>
      </c>
    </row>
    <row r="121" customFormat="false" ht="15" hidden="false" customHeight="false" outlineLevel="0" collapsed="false">
      <c r="B121" s="5" t="str">
        <f aca="false">Site!B20</f>
        <v>2-Building-712 Northfield Dr - 5 Year</v>
      </c>
      <c r="D121" s="33" t="n">
        <f aca="false">SUM(F121:J121)</f>
        <v>866.85</v>
      </c>
      <c r="F121" s="33" t="n">
        <f aca="false">Site!D20</f>
        <v>866.85</v>
      </c>
    </row>
    <row r="122" customFormat="false" ht="15" hidden="false" customHeight="false" outlineLevel="0" collapsed="false">
      <c r="B122" s="5" t="str">
        <f aca="false">Site!B21</f>
        <v>2-Building-712 Northfield Dr - 15 Year</v>
      </c>
      <c r="D122" s="33" t="n">
        <f aca="false">SUM(F122:J122)</f>
        <v>110068.96</v>
      </c>
      <c r="H122" s="33" t="n">
        <f aca="false">Site!D21</f>
        <v>110068.96</v>
      </c>
    </row>
    <row r="123" customFormat="false" ht="15" hidden="false" customHeight="false" outlineLevel="0" collapsed="false">
      <c r="B123" s="5" t="str">
        <f aca="false">Site!B22</f>
        <v>2-Building-712 Northfield Dr - 27.5 Year</v>
      </c>
      <c r="D123" s="33" t="n">
        <f aca="false">SUM(F123:J123)</f>
        <v>55647.6</v>
      </c>
      <c r="J123" s="33" t="n">
        <f aca="false">Site!D22</f>
        <v>55647.6</v>
      </c>
    </row>
    <row r="124" customFormat="false" ht="15" hidden="false" customHeight="false" outlineLevel="0" collapsed="false">
      <c r="B124" s="5" t="str">
        <f aca="false">Site!B23</f>
        <v>3-Northfield Dr - 5 Year</v>
      </c>
      <c r="D124" s="33" t="n">
        <f aca="false">SUM(F124:J124)</f>
        <v>111.85</v>
      </c>
      <c r="F124" s="33" t="n">
        <f aca="false">Site!D23</f>
        <v>111.85</v>
      </c>
    </row>
    <row r="125" customFormat="false" ht="15" hidden="false" customHeight="false" outlineLevel="0" collapsed="false">
      <c r="B125" s="5" t="str">
        <f aca="false">Site!B24</f>
        <v>3-Northfield Dr - 15 Year</v>
      </c>
      <c r="D125" s="33" t="n">
        <f aca="false">SUM(F125:J125)</f>
        <v>14202.41</v>
      </c>
      <c r="H125" s="33" t="n">
        <f aca="false">Site!D24</f>
        <v>14202.41</v>
      </c>
    </row>
    <row r="126" customFormat="false" ht="15" hidden="false" customHeight="false" outlineLevel="0" collapsed="false">
      <c r="B126" s="5" t="str">
        <f aca="false">Site!B25</f>
        <v>3-Northfield Dr - 27.5 Year</v>
      </c>
      <c r="D126" s="33" t="n">
        <f aca="false">SUM(F126:J126)</f>
        <v>7180.32</v>
      </c>
      <c r="J126" s="33" t="n">
        <f aca="false">Site!D25</f>
        <v>7180.32</v>
      </c>
    </row>
    <row r="127" customFormat="false" ht="15" hidden="false" customHeight="false" outlineLevel="0" collapsed="false">
      <c r="B127" s="5" t="str">
        <f aca="false">Site!B26</f>
        <v>4-Northfield Dr - 5 Year</v>
      </c>
      <c r="D127" s="33" t="n">
        <f aca="false">SUM(F127:J127)</f>
        <v>209.72</v>
      </c>
      <c r="F127" s="33" t="n">
        <f aca="false">Site!D26</f>
        <v>209.72</v>
      </c>
    </row>
    <row r="128" customFormat="false" ht="15" hidden="false" customHeight="false" outlineLevel="0" collapsed="false">
      <c r="B128" s="5" t="str">
        <f aca="false">Site!B27</f>
        <v>4-Northfield Dr - 15 Year</v>
      </c>
      <c r="D128" s="33" t="n">
        <f aca="false">SUM(F128:J128)</f>
        <v>26629.61</v>
      </c>
      <c r="H128" s="33" t="n">
        <f aca="false">Site!D27</f>
        <v>26629.61</v>
      </c>
    </row>
    <row r="129" customFormat="false" ht="15" hidden="false" customHeight="false" outlineLevel="0" collapsed="false">
      <c r="B129" s="5" t="str">
        <f aca="false">Site!B28</f>
        <v>4-Northfield Dr - 27.5 Year</v>
      </c>
      <c r="D129" s="33" t="n">
        <f aca="false">SUM(F129:J129)</f>
        <v>13463.14</v>
      </c>
      <c r="J129" s="33" t="n">
        <f aca="false">Site!D28</f>
        <v>13463.14</v>
      </c>
    </row>
    <row r="130" customFormat="false" ht="15" hidden="false" customHeight="false" outlineLevel="0" collapsed="false">
      <c r="B130" s="5" t="str">
        <f aca="false">Site!B29</f>
        <v>7-Building-2202 Northview Dr - 5 Year</v>
      </c>
      <c r="D130" s="33" t="n">
        <f aca="false">SUM(F130:J130)</f>
        <v>3992.15</v>
      </c>
      <c r="F130" s="33" t="n">
        <f aca="false">Site!D29</f>
        <v>3992.15</v>
      </c>
    </row>
    <row r="131" customFormat="false" ht="15" hidden="false" customHeight="false" outlineLevel="0" collapsed="false">
      <c r="B131" s="5" t="str">
        <f aca="false">Site!B30</f>
        <v>7-Building-2202 Northview Dr - 15 Year</v>
      </c>
      <c r="D131" s="33" t="n">
        <f aca="false">SUM(F131:J131)</f>
        <v>506909.01</v>
      </c>
      <c r="H131" s="33" t="n">
        <f aca="false">Site!D30</f>
        <v>506909.01</v>
      </c>
    </row>
    <row r="132" customFormat="false" ht="15" hidden="false" customHeight="false" outlineLevel="0" collapsed="false">
      <c r="B132" s="5" t="str">
        <f aca="false">Site!B31</f>
        <v>7-Building-2202 Northview Dr - 27.5 Year</v>
      </c>
      <c r="D132" s="33" t="n">
        <f aca="false">SUM(F132:J132)</f>
        <v>256278.16</v>
      </c>
      <c r="J132" s="33" t="n">
        <f aca="false">Site!D31</f>
        <v>256278.16</v>
      </c>
    </row>
    <row r="133" customFormat="false" ht="15" hidden="false" customHeight="false" outlineLevel="0" collapsed="false">
      <c r="B133" s="5" t="str">
        <f aca="false">Site!B32</f>
        <v>8-Northiew Dr - 5 Year</v>
      </c>
      <c r="D133" s="33" t="n">
        <f aca="false">SUM(F133:J133)</f>
        <v>515.12</v>
      </c>
      <c r="F133" s="33" t="n">
        <f aca="false">Site!D32</f>
        <v>515.12</v>
      </c>
    </row>
    <row r="134" customFormat="false" ht="15" hidden="false" customHeight="false" outlineLevel="0" collapsed="false">
      <c r="B134" s="5" t="str">
        <f aca="false">Site!B33</f>
        <v>8-Northiew Dr - 15 Year</v>
      </c>
      <c r="D134" s="33" t="n">
        <f aca="false">SUM(F134:J134)</f>
        <v>65407.6</v>
      </c>
      <c r="H134" s="33" t="n">
        <f aca="false">Site!D33</f>
        <v>65407.6</v>
      </c>
    </row>
    <row r="135" customFormat="false" ht="15" hidden="false" customHeight="false" outlineLevel="0" collapsed="false">
      <c r="B135" s="5" t="str">
        <f aca="false">Site!B34</f>
        <v>8-Northiew Dr - 27.5 Year</v>
      </c>
      <c r="D135" s="33" t="n">
        <f aca="false">SUM(F135:J135)</f>
        <v>33068.14</v>
      </c>
      <c r="J135" s="33" t="n">
        <f aca="false">Site!D34</f>
        <v>33068.14</v>
      </c>
    </row>
    <row r="136" customFormat="false" ht="15" hidden="false" customHeight="false" outlineLevel="0" collapsed="false">
      <c r="B136" s="5" t="str">
        <f aca="false">Site!B35</f>
        <v>9-Northview Dr - 5 Year</v>
      </c>
      <c r="D136" s="33" t="n">
        <f aca="false">SUM(F136:J136)</f>
        <v>965.84</v>
      </c>
      <c r="F136" s="33" t="n">
        <f aca="false">Site!D35</f>
        <v>965.84</v>
      </c>
    </row>
    <row r="137" customFormat="false" ht="15" hidden="false" customHeight="false" outlineLevel="0" collapsed="false">
      <c r="B137" s="5" t="str">
        <f aca="false">Site!B36</f>
        <v>9-Northview Dr - 15 Year</v>
      </c>
      <c r="D137" s="33" t="n">
        <f aca="false">SUM(F137:J137)</f>
        <v>122639.3</v>
      </c>
      <c r="H137" s="33" t="n">
        <f aca="false">Site!D36</f>
        <v>122639.3</v>
      </c>
    </row>
    <row r="138" customFormat="false" ht="15" hidden="false" customHeight="false" outlineLevel="0" collapsed="false">
      <c r="B138" s="5" t="str">
        <f aca="false">Site!B37</f>
        <v>9-Northview Dr - 27.5 Year</v>
      </c>
      <c r="D138" s="33" t="n">
        <f aca="false">SUM(F138:J138)</f>
        <v>62002.79</v>
      </c>
      <c r="J138" s="33" t="n">
        <f aca="false">Site!D37</f>
        <v>62002.79</v>
      </c>
    </row>
    <row r="139" customFormat="false" ht="15" hidden="false" customHeight="false" outlineLevel="0" collapsed="false">
      <c r="B139" s="11" t="s">
        <v>139</v>
      </c>
      <c r="D139" s="34" t="n">
        <f aca="false">SUM(D121:D138)</f>
        <v>1280158.57</v>
      </c>
      <c r="F139" s="34" t="n">
        <f aca="false">SUM(F121:F138)</f>
        <v>6661.53</v>
      </c>
      <c r="H139" s="34" t="n">
        <f aca="false">SUM(H121:H138)</f>
        <v>845856.89</v>
      </c>
      <c r="J139" s="34" t="n">
        <f aca="false">SUM(J121:J138)</f>
        <v>427640.15</v>
      </c>
    </row>
    <row r="140" customFormat="false" ht="15" hidden="false" customHeight="false" outlineLevel="0" collapsed="false">
      <c r="B140" s="16" t="s">
        <v>140</v>
      </c>
      <c r="D140" s="17" t="n">
        <f aca="false">D139-D116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141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45270.97</v>
      </c>
      <c r="E10" s="24" t="n">
        <v>0</v>
      </c>
      <c r="F10" s="24" t="n">
        <v>0</v>
      </c>
      <c r="G10" s="24" t="n">
        <v>0</v>
      </c>
      <c r="H10" s="24" t="n">
        <v>754.53</v>
      </c>
      <c r="I10" s="24" t="n">
        <f aca="false">G10+H10</f>
        <v>754.53</v>
      </c>
      <c r="J10" s="24" t="n">
        <f aca="false">D10-I10</f>
        <v>44516.44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5841.4</v>
      </c>
      <c r="E11" s="24" t="n">
        <v>0</v>
      </c>
      <c r="F11" s="24" t="n">
        <v>3504.84</v>
      </c>
      <c r="G11" s="24" t="n">
        <v>0</v>
      </c>
      <c r="H11" s="24" t="n">
        <v>3582.75</v>
      </c>
      <c r="I11" s="24" t="n">
        <f aca="false">G11+H11</f>
        <v>3582.75</v>
      </c>
      <c r="J11" s="24" t="n">
        <f aca="false">D11-I11</f>
        <v>2258.65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10952.66</v>
      </c>
      <c r="E12" s="24" t="n">
        <v>0</v>
      </c>
      <c r="F12" s="24" t="n">
        <v>6571.6</v>
      </c>
      <c r="G12" s="24" t="n">
        <v>0</v>
      </c>
      <c r="H12" s="24" t="n">
        <v>7447.8</v>
      </c>
      <c r="I12" s="24" t="n">
        <f aca="false">G12+H12</f>
        <v>7447.8</v>
      </c>
      <c r="J12" s="24" t="n">
        <f aca="false">D12-I12</f>
        <v>3504.86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208489.87</v>
      </c>
      <c r="E13" s="24" t="n">
        <v>0</v>
      </c>
      <c r="F13" s="24" t="n">
        <v>0</v>
      </c>
      <c r="G13" s="24" t="n">
        <v>0</v>
      </c>
      <c r="H13" s="24" t="n">
        <v>3474.82</v>
      </c>
      <c r="I13" s="24" t="n">
        <f aca="false">G13+H13</f>
        <v>3474.82</v>
      </c>
      <c r="J13" s="24" t="n">
        <f aca="false">D13-I13</f>
        <v>205015.05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26901.91</v>
      </c>
      <c r="E14" s="24" t="n">
        <v>0</v>
      </c>
      <c r="F14" s="24" t="n">
        <v>16141.15</v>
      </c>
      <c r="G14" s="24" t="n">
        <v>0</v>
      </c>
      <c r="H14" s="24" t="n">
        <v>16499.84</v>
      </c>
      <c r="I14" s="24" t="n">
        <f aca="false">G14+H14</f>
        <v>16499.84</v>
      </c>
      <c r="J14" s="24" t="n">
        <f aca="false">D14-I14</f>
        <v>10402.07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50441.11</v>
      </c>
      <c r="E15" s="24" t="n">
        <v>0</v>
      </c>
      <c r="F15" s="24" t="n">
        <v>30264.67</v>
      </c>
      <c r="G15" s="24" t="n">
        <v>0</v>
      </c>
      <c r="H15" s="24" t="n">
        <v>34299.96</v>
      </c>
      <c r="I15" s="24" t="n">
        <f aca="false">G15+H15</f>
        <v>34299.96</v>
      </c>
      <c r="J15" s="24" t="n">
        <f aca="false">D15-I15</f>
        <v>16141.15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347897.92</v>
      </c>
      <c r="E16" s="28" t="n">
        <f aca="false">SUM(E10:E15)</f>
        <v>0</v>
      </c>
      <c r="F16" s="28" t="n">
        <f aca="false">SUM(F10:F15)</f>
        <v>56482.26</v>
      </c>
      <c r="G16" s="28" t="n">
        <f aca="false">SUM(G10:G15)</f>
        <v>0</v>
      </c>
      <c r="H16" s="28" t="n">
        <f aca="false">SUM(H10:H15)</f>
        <v>66059.7</v>
      </c>
      <c r="I16" s="28" t="n">
        <f aca="false">SUM(I10:I15)</f>
        <v>66059.7</v>
      </c>
      <c r="J16" s="28" t="n">
        <f aca="false">SUM(J10:J15)</f>
        <v>281838.22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7916.21</v>
      </c>
      <c r="E20" s="24" t="n">
        <v>0</v>
      </c>
      <c r="F20" s="24" t="n">
        <v>4749.73</v>
      </c>
      <c r="G20" s="24" t="n">
        <v>0</v>
      </c>
      <c r="H20" s="24" t="n">
        <v>5383.03</v>
      </c>
      <c r="I20" s="24" t="n">
        <f aca="false">G20+H20</f>
        <v>5383.03</v>
      </c>
      <c r="J20" s="24" t="n">
        <f aca="false">D20-I20</f>
        <v>2533.18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37354.76</v>
      </c>
      <c r="E21" s="24" t="n">
        <v>0</v>
      </c>
      <c r="F21" s="24" t="n">
        <v>0</v>
      </c>
      <c r="G21" s="24" t="n">
        <v>0</v>
      </c>
      <c r="H21" s="24" t="n">
        <v>622.58</v>
      </c>
      <c r="I21" s="24" t="n">
        <f aca="false">G21+H21</f>
        <v>622.58</v>
      </c>
      <c r="J21" s="24" t="n">
        <f aca="false">D21-I21</f>
        <v>36732.18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1021.44</v>
      </c>
      <c r="E22" s="24" t="n">
        <v>0</v>
      </c>
      <c r="F22" s="24" t="n">
        <v>612.86</v>
      </c>
      <c r="G22" s="24" t="n">
        <v>0</v>
      </c>
      <c r="H22" s="24" t="n">
        <v>694.58</v>
      </c>
      <c r="I22" s="24" t="n">
        <f aca="false">G22+H22</f>
        <v>694.58</v>
      </c>
      <c r="J22" s="24" t="n">
        <f aca="false">D22-I22</f>
        <v>326.86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4819.96</v>
      </c>
      <c r="E23" s="24" t="n">
        <v>0</v>
      </c>
      <c r="F23" s="24" t="n">
        <v>0</v>
      </c>
      <c r="G23" s="24" t="n">
        <v>0</v>
      </c>
      <c r="H23" s="24" t="n">
        <v>80.33</v>
      </c>
      <c r="I23" s="24" t="n">
        <f aca="false">G23+H23</f>
        <v>80.33</v>
      </c>
      <c r="J23" s="24" t="n">
        <f aca="false">D23-I23</f>
        <v>4739.63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1915.21</v>
      </c>
      <c r="E24" s="24" t="n">
        <v>0</v>
      </c>
      <c r="F24" s="24" t="n">
        <v>1149.13</v>
      </c>
      <c r="G24" s="24" t="n">
        <v>0</v>
      </c>
      <c r="H24" s="24" t="n">
        <v>1302.35</v>
      </c>
      <c r="I24" s="24" t="n">
        <f aca="false">G24+H24</f>
        <v>1302.35</v>
      </c>
      <c r="J24" s="24" t="n">
        <f aca="false">D24-I24</f>
        <v>612.86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9037.45</v>
      </c>
      <c r="E25" s="24" t="n">
        <v>0</v>
      </c>
      <c r="F25" s="24" t="n">
        <v>0</v>
      </c>
      <c r="G25" s="24" t="n">
        <v>0</v>
      </c>
      <c r="H25" s="24" t="n">
        <v>150.62</v>
      </c>
      <c r="I25" s="24" t="n">
        <f aca="false">G25+H25</f>
        <v>150.62</v>
      </c>
      <c r="J25" s="24" t="n">
        <f aca="false">D25-I25</f>
        <v>8886.83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36457.14</v>
      </c>
      <c r="E26" s="24" t="n">
        <v>0</v>
      </c>
      <c r="F26" s="24" t="n">
        <v>21874.28</v>
      </c>
      <c r="G26" s="24" t="n">
        <v>0</v>
      </c>
      <c r="H26" s="24" t="n">
        <v>24790.85</v>
      </c>
      <c r="I26" s="24" t="n">
        <f aca="false">G26+H26</f>
        <v>24790.85</v>
      </c>
      <c r="J26" s="24" t="n">
        <f aca="false">D26-I26</f>
        <v>11666.29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172032.73</v>
      </c>
      <c r="E27" s="24" t="n">
        <v>0</v>
      </c>
      <c r="F27" s="24" t="n">
        <v>0</v>
      </c>
      <c r="G27" s="24" t="n">
        <v>0</v>
      </c>
      <c r="H27" s="24" t="n">
        <v>2867.21</v>
      </c>
      <c r="I27" s="24" t="n">
        <f aca="false">G27+H27</f>
        <v>2867.21</v>
      </c>
      <c r="J27" s="24" t="n">
        <f aca="false">D27-I27</f>
        <v>169165.52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4704.15</v>
      </c>
      <c r="E28" s="24" t="n">
        <v>0</v>
      </c>
      <c r="F28" s="24" t="n">
        <v>2822.49</v>
      </c>
      <c r="G28" s="24" t="n">
        <v>0</v>
      </c>
      <c r="H28" s="24" t="n">
        <v>3198.82</v>
      </c>
      <c r="I28" s="24" t="n">
        <f aca="false">G28+H28</f>
        <v>3198.82</v>
      </c>
      <c r="J28" s="24" t="n">
        <f aca="false">D28-I28</f>
        <v>1505.33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22197.76</v>
      </c>
      <c r="E29" s="24" t="n">
        <v>0</v>
      </c>
      <c r="F29" s="24" t="n">
        <v>0</v>
      </c>
      <c r="G29" s="24" t="n">
        <v>0</v>
      </c>
      <c r="H29" s="24" t="n">
        <v>369.96</v>
      </c>
      <c r="I29" s="24" t="n">
        <f aca="false">G29+H29</f>
        <v>369.96</v>
      </c>
      <c r="J29" s="24" t="n">
        <f aca="false">D29-I29</f>
        <v>21827.8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8820.29</v>
      </c>
      <c r="E30" s="24" t="n">
        <v>0</v>
      </c>
      <c r="F30" s="24" t="n">
        <v>5292.17</v>
      </c>
      <c r="G30" s="24" t="n">
        <v>0</v>
      </c>
      <c r="H30" s="24" t="n">
        <v>5997.79</v>
      </c>
      <c r="I30" s="24" t="n">
        <f aca="false">G30+H30</f>
        <v>5997.79</v>
      </c>
      <c r="J30" s="24" t="n">
        <f aca="false">D30-I30</f>
        <v>2822.5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41620.82</v>
      </c>
      <c r="E31" s="24" t="n">
        <v>0</v>
      </c>
      <c r="F31" s="24" t="n">
        <v>0</v>
      </c>
      <c r="G31" s="24" t="n">
        <v>0</v>
      </c>
      <c r="H31" s="24" t="n">
        <v>693.68</v>
      </c>
      <c r="I31" s="24" t="n">
        <f aca="false">G31+H31</f>
        <v>693.68</v>
      </c>
      <c r="J31" s="24" t="n">
        <f aca="false">D31-I31</f>
        <v>40927.14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347897.92</v>
      </c>
      <c r="E32" s="28" t="n">
        <f aca="false">SUM(E20:E31)</f>
        <v>0</v>
      </c>
      <c r="F32" s="28" t="n">
        <f aca="false">SUM(F20:F31)</f>
        <v>36500.66</v>
      </c>
      <c r="G32" s="28" t="n">
        <f aca="false">SUM(G20:G31)</f>
        <v>0</v>
      </c>
      <c r="H32" s="28" t="n">
        <f aca="false">SUM(H20:H31)</f>
        <v>46151.8</v>
      </c>
      <c r="I32" s="28" t="n">
        <f aca="false">SUM(I20:I31)</f>
        <v>46151.8</v>
      </c>
      <c r="J32" s="28" t="n">
        <f aca="false">SUM(J20:J31)</f>
        <v>301746.12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66059.7</v>
      </c>
    </row>
    <row r="36" customFormat="false" ht="15" hidden="false" customHeight="false" outlineLevel="0" collapsed="false">
      <c r="B36" s="5" t="s">
        <v>97</v>
      </c>
      <c r="D36" s="6" t="n">
        <f aca="false">I32</f>
        <v>46151.8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19907.9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45270.97</v>
      </c>
      <c r="E42" s="24" t="n">
        <v>0</v>
      </c>
      <c r="F42" s="24" t="n">
        <v>0</v>
      </c>
      <c r="G42" s="24" t="n">
        <v>0</v>
      </c>
      <c r="H42" s="24" t="n">
        <v>754.53</v>
      </c>
      <c r="I42" s="24" t="n">
        <f aca="false">G42+H42</f>
        <v>754.53</v>
      </c>
      <c r="J42" s="24" t="n">
        <f aca="false">D42-I42</f>
        <v>44516.44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5841.4</v>
      </c>
      <c r="E43" s="24" t="n">
        <v>0</v>
      </c>
      <c r="F43" s="24" t="n">
        <v>3504.84</v>
      </c>
      <c r="G43" s="24" t="n">
        <v>0</v>
      </c>
      <c r="H43" s="24" t="n">
        <v>3582.75</v>
      </c>
      <c r="I43" s="24" t="n">
        <f aca="false">G43+H43</f>
        <v>3582.75</v>
      </c>
      <c r="J43" s="24" t="n">
        <f aca="false">D43-I43</f>
        <v>2258.65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10952.66</v>
      </c>
      <c r="E44" s="24" t="n">
        <v>0</v>
      </c>
      <c r="F44" s="24" t="n">
        <v>6571.6</v>
      </c>
      <c r="G44" s="24" t="n">
        <v>0</v>
      </c>
      <c r="H44" s="24" t="n">
        <v>7447.8</v>
      </c>
      <c r="I44" s="24" t="n">
        <f aca="false">G44+H44</f>
        <v>7447.8</v>
      </c>
      <c r="J44" s="24" t="n">
        <f aca="false">D44-I44</f>
        <v>3504.86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208489.87</v>
      </c>
      <c r="E45" s="24" t="n">
        <v>0</v>
      </c>
      <c r="F45" s="24" t="n">
        <v>0</v>
      </c>
      <c r="G45" s="24" t="n">
        <v>0</v>
      </c>
      <c r="H45" s="24" t="n">
        <v>3474.82</v>
      </c>
      <c r="I45" s="24" t="n">
        <f aca="false">G45+H45</f>
        <v>3474.82</v>
      </c>
      <c r="J45" s="24" t="n">
        <f aca="false">D45-I45</f>
        <v>205015.05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26901.91</v>
      </c>
      <c r="E46" s="24" t="n">
        <v>0</v>
      </c>
      <c r="F46" s="24" t="n">
        <v>16141.15</v>
      </c>
      <c r="G46" s="24" t="n">
        <v>0</v>
      </c>
      <c r="H46" s="24" t="n">
        <v>16499.84</v>
      </c>
      <c r="I46" s="24" t="n">
        <f aca="false">G46+H46</f>
        <v>16499.84</v>
      </c>
      <c r="J46" s="24" t="n">
        <f aca="false">D46-I46</f>
        <v>10402.07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50441.11</v>
      </c>
      <c r="E47" s="24" t="n">
        <v>0</v>
      </c>
      <c r="F47" s="24" t="n">
        <v>30264.67</v>
      </c>
      <c r="G47" s="24" t="n">
        <v>0</v>
      </c>
      <c r="H47" s="24" t="n">
        <v>34299.96</v>
      </c>
      <c r="I47" s="24" t="n">
        <f aca="false">G47+H47</f>
        <v>34299.96</v>
      </c>
      <c r="J47" s="24" t="n">
        <f aca="false">D47-I47</f>
        <v>16141.15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347897.92</v>
      </c>
      <c r="E48" s="28" t="n">
        <f aca="false">SUM(E42:E47)</f>
        <v>0</v>
      </c>
      <c r="F48" s="28" t="n">
        <f aca="false">SUM(F42:F47)</f>
        <v>56482.26</v>
      </c>
      <c r="G48" s="28" t="n">
        <f aca="false">SUM(G42:G47)</f>
        <v>0</v>
      </c>
      <c r="H48" s="28" t="n">
        <f aca="false">SUM(H42:H47)</f>
        <v>66059.7</v>
      </c>
      <c r="I48" s="28" t="n">
        <f aca="false">SUM(I42:I47)</f>
        <v>66059.7</v>
      </c>
      <c r="J48" s="28" t="n">
        <f aca="false">SUM(J42:J47)</f>
        <v>281838.22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7916.21</v>
      </c>
      <c r="E52" s="24" t="n">
        <v>0</v>
      </c>
      <c r="F52" s="24" t="n">
        <v>4749.73</v>
      </c>
      <c r="G52" s="24" t="n">
        <v>0</v>
      </c>
      <c r="H52" s="24" t="n">
        <v>5383.03</v>
      </c>
      <c r="I52" s="24" t="n">
        <f aca="false">G52+H52</f>
        <v>5383.03</v>
      </c>
      <c r="J52" s="24" t="n">
        <f aca="false">D52-I52</f>
        <v>2533.18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37354.76</v>
      </c>
      <c r="E53" s="24" t="n">
        <v>0</v>
      </c>
      <c r="F53" s="24" t="n">
        <v>0</v>
      </c>
      <c r="G53" s="24" t="n">
        <v>0</v>
      </c>
      <c r="H53" s="24" t="n">
        <v>622.58</v>
      </c>
      <c r="I53" s="24" t="n">
        <f aca="false">G53+H53</f>
        <v>622.58</v>
      </c>
      <c r="J53" s="24" t="n">
        <f aca="false">D53-I53</f>
        <v>36732.18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1021.44</v>
      </c>
      <c r="E54" s="24" t="n">
        <v>0</v>
      </c>
      <c r="F54" s="24" t="n">
        <v>612.86</v>
      </c>
      <c r="G54" s="24" t="n">
        <v>0</v>
      </c>
      <c r="H54" s="24" t="n">
        <v>694.58</v>
      </c>
      <c r="I54" s="24" t="n">
        <f aca="false">G54+H54</f>
        <v>694.58</v>
      </c>
      <c r="J54" s="24" t="n">
        <f aca="false">D54-I54</f>
        <v>326.86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4819.96</v>
      </c>
      <c r="E55" s="24" t="n">
        <v>0</v>
      </c>
      <c r="F55" s="24" t="n">
        <v>0</v>
      </c>
      <c r="G55" s="24" t="n">
        <v>0</v>
      </c>
      <c r="H55" s="24" t="n">
        <v>80.33</v>
      </c>
      <c r="I55" s="24" t="n">
        <f aca="false">G55+H55</f>
        <v>80.33</v>
      </c>
      <c r="J55" s="24" t="n">
        <f aca="false">D55-I55</f>
        <v>4739.63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1915.21</v>
      </c>
      <c r="E56" s="24" t="n">
        <v>0</v>
      </c>
      <c r="F56" s="24" t="n">
        <v>1149.13</v>
      </c>
      <c r="G56" s="24" t="n">
        <v>0</v>
      </c>
      <c r="H56" s="24" t="n">
        <v>1302.35</v>
      </c>
      <c r="I56" s="24" t="n">
        <f aca="false">G56+H56</f>
        <v>1302.35</v>
      </c>
      <c r="J56" s="24" t="n">
        <f aca="false">D56-I56</f>
        <v>612.86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9037.45</v>
      </c>
      <c r="E57" s="24" t="n">
        <v>0</v>
      </c>
      <c r="F57" s="24" t="n">
        <v>0</v>
      </c>
      <c r="G57" s="24" t="n">
        <v>0</v>
      </c>
      <c r="H57" s="24" t="n">
        <v>150.62</v>
      </c>
      <c r="I57" s="24" t="n">
        <f aca="false">G57+H57</f>
        <v>150.62</v>
      </c>
      <c r="J57" s="24" t="n">
        <f aca="false">D57-I57</f>
        <v>8886.83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36457.14</v>
      </c>
      <c r="E58" s="24" t="n">
        <v>0</v>
      </c>
      <c r="F58" s="24" t="n">
        <v>21874.28</v>
      </c>
      <c r="G58" s="24" t="n">
        <v>0</v>
      </c>
      <c r="H58" s="24" t="n">
        <v>24790.85</v>
      </c>
      <c r="I58" s="24" t="n">
        <f aca="false">G58+H58</f>
        <v>24790.85</v>
      </c>
      <c r="J58" s="24" t="n">
        <f aca="false">D58-I58</f>
        <v>11666.29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172032.73</v>
      </c>
      <c r="E59" s="24" t="n">
        <v>0</v>
      </c>
      <c r="F59" s="24" t="n">
        <v>0</v>
      </c>
      <c r="G59" s="24" t="n">
        <v>0</v>
      </c>
      <c r="H59" s="24" t="n">
        <v>2867.21</v>
      </c>
      <c r="I59" s="24" t="n">
        <f aca="false">G59+H59</f>
        <v>2867.21</v>
      </c>
      <c r="J59" s="24" t="n">
        <f aca="false">D59-I59</f>
        <v>169165.52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4704.15</v>
      </c>
      <c r="E60" s="24" t="n">
        <v>0</v>
      </c>
      <c r="F60" s="24" t="n">
        <v>2822.49</v>
      </c>
      <c r="G60" s="24" t="n">
        <v>0</v>
      </c>
      <c r="H60" s="24" t="n">
        <v>3198.82</v>
      </c>
      <c r="I60" s="24" t="n">
        <f aca="false">G60+H60</f>
        <v>3198.82</v>
      </c>
      <c r="J60" s="24" t="n">
        <f aca="false">D60-I60</f>
        <v>1505.33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22197.76</v>
      </c>
      <c r="E61" s="24" t="n">
        <v>0</v>
      </c>
      <c r="F61" s="24" t="n">
        <v>0</v>
      </c>
      <c r="G61" s="24" t="n">
        <v>0</v>
      </c>
      <c r="H61" s="24" t="n">
        <v>369.96</v>
      </c>
      <c r="I61" s="24" t="n">
        <f aca="false">G61+H61</f>
        <v>369.96</v>
      </c>
      <c r="J61" s="24" t="n">
        <f aca="false">D61-I61</f>
        <v>21827.8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8820.29</v>
      </c>
      <c r="E62" s="24" t="n">
        <v>0</v>
      </c>
      <c r="F62" s="24" t="n">
        <v>5292.17</v>
      </c>
      <c r="G62" s="24" t="n">
        <v>0</v>
      </c>
      <c r="H62" s="24" t="n">
        <v>5997.79</v>
      </c>
      <c r="I62" s="24" t="n">
        <f aca="false">G62+H62</f>
        <v>5997.79</v>
      </c>
      <c r="J62" s="24" t="n">
        <f aca="false">D62-I62</f>
        <v>2822.5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41620.82</v>
      </c>
      <c r="E63" s="24" t="n">
        <v>0</v>
      </c>
      <c r="F63" s="24" t="n">
        <v>0</v>
      </c>
      <c r="G63" s="24" t="n">
        <v>0</v>
      </c>
      <c r="H63" s="24" t="n">
        <v>693.68</v>
      </c>
      <c r="I63" s="24" t="n">
        <f aca="false">G63+H63</f>
        <v>693.68</v>
      </c>
      <c r="J63" s="24" t="n">
        <f aca="false">D63-I63</f>
        <v>40927.14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347897.92</v>
      </c>
      <c r="E64" s="28" t="n">
        <f aca="false">SUM(E52:E63)</f>
        <v>0</v>
      </c>
      <c r="F64" s="28" t="n">
        <f aca="false">SUM(F52:F63)</f>
        <v>36500.66</v>
      </c>
      <c r="G64" s="28" t="n">
        <f aca="false">SUM(G52:G63)</f>
        <v>0</v>
      </c>
      <c r="H64" s="28" t="n">
        <f aca="false">SUM(H52:H63)</f>
        <v>46151.8</v>
      </c>
      <c r="I64" s="28" t="n">
        <f aca="false">SUM(I52:I63)</f>
        <v>46151.8</v>
      </c>
      <c r="J64" s="28" t="n">
        <f aca="false">SUM(J52:J63)</f>
        <v>301746.12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66059.7</v>
      </c>
    </row>
    <row r="68" customFormat="false" ht="15" hidden="false" customHeight="false" outlineLevel="0" collapsed="false">
      <c r="B68" s="5" t="s">
        <v>97</v>
      </c>
      <c r="D68" s="6" t="n">
        <f aca="false">I64</f>
        <v>46151.8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19907.9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D113</f>
        <v>347897.92</v>
      </c>
    </row>
    <row r="73" customFormat="false" ht="15" hidden="false" customHeight="false" outlineLevel="0" collapsed="false">
      <c r="B73" s="5" t="s">
        <v>106</v>
      </c>
      <c r="D73" s="6" t="n">
        <f aca="false">F113</f>
        <v>60834.44</v>
      </c>
    </row>
    <row r="74" customFormat="false" ht="15" hidden="false" customHeight="false" outlineLevel="0" collapsed="false">
      <c r="B74" s="30" t="s">
        <v>107</v>
      </c>
      <c r="D74" s="31" t="n">
        <f aca="false">F114</f>
        <v>0.174862902313414</v>
      </c>
    </row>
    <row r="75" customFormat="false" ht="15" hidden="false" customHeight="false" outlineLevel="0" collapsed="false">
      <c r="B75" s="5" t="s">
        <v>109</v>
      </c>
      <c r="D75" s="6" t="n">
        <f aca="false">H113</f>
        <v>287063.48</v>
      </c>
    </row>
    <row r="76" customFormat="false" ht="15" hidden="false" customHeight="false" outlineLevel="0" collapsed="false">
      <c r="B76" s="30" t="s">
        <v>107</v>
      </c>
      <c r="D76" s="31" t="n">
        <f aca="false">H114</f>
        <v>0.825137097686586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12358.73</v>
      </c>
      <c r="F81" s="33" t="n">
        <v>12358.73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5146.33</v>
      </c>
      <c r="F82" s="33" t="n">
        <v>5146.33</v>
      </c>
    </row>
    <row r="83" customFormat="false" ht="15" hidden="false" customHeight="false" outlineLevel="0" collapsed="false">
      <c r="B83" s="5" t="s">
        <v>144</v>
      </c>
      <c r="D83" s="33" t="n">
        <f aca="false">SUM(F83:H83)</f>
        <v>3208.38</v>
      </c>
      <c r="F83" s="33" t="n">
        <v>3208.38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15651.6</v>
      </c>
      <c r="F84" s="33" t="n">
        <v>15651.6</v>
      </c>
    </row>
    <row r="85" customFormat="false" ht="15" hidden="false" customHeight="false" outlineLevel="0" collapsed="false">
      <c r="B85" s="5" t="s">
        <v>146</v>
      </c>
      <c r="D85" s="33" t="n">
        <f aca="false">SUM(F85:H85)</f>
        <v>355.5</v>
      </c>
      <c r="F85" s="33" t="n">
        <v>355.5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4419.8</v>
      </c>
      <c r="F86" s="33" t="n">
        <v>4419.8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171.07</v>
      </c>
      <c r="F87" s="33" t="n">
        <v>171.07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2691.07</v>
      </c>
      <c r="F88" s="33" t="n">
        <v>2691.07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4781.49</v>
      </c>
      <c r="F89" s="33" t="n">
        <v>4781.49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4922.4</v>
      </c>
      <c r="F90" s="33" t="n">
        <v>4922.4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1746.74</v>
      </c>
      <c r="F91" s="33" t="n">
        <v>1746.74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66.45</v>
      </c>
      <c r="F92" s="33" t="n">
        <v>66.45</v>
      </c>
    </row>
    <row r="93" customFormat="false" ht="15" hidden="false" customHeight="false" outlineLevel="0" collapsed="false">
      <c r="B93" s="5" t="s">
        <v>153</v>
      </c>
      <c r="D93" s="33" t="n">
        <f aca="false">SUM(F93:H93)</f>
        <v>171.07</v>
      </c>
      <c r="F93" s="33" t="n">
        <v>171.07</v>
      </c>
    </row>
    <row r="94" customFormat="false" ht="15" hidden="false" customHeight="false" outlineLevel="0" collapsed="false">
      <c r="B94" s="5" t="s">
        <v>154</v>
      </c>
      <c r="D94" s="33" t="n">
        <f aca="false">SUM(F94:H94)</f>
        <v>1604.92</v>
      </c>
      <c r="F94" s="33" t="n">
        <v>1604.92</v>
      </c>
    </row>
    <row r="95" customFormat="false" ht="15" hidden="false" customHeight="false" outlineLevel="0" collapsed="false">
      <c r="B95" s="5" t="s">
        <v>155</v>
      </c>
      <c r="D95" s="33" t="n">
        <f aca="false">SUM(F95:H95)</f>
        <v>3538.89</v>
      </c>
      <c r="F95" s="33" t="n">
        <v>3538.89</v>
      </c>
    </row>
    <row r="96" customFormat="false" ht="15" hidden="false" customHeight="false" outlineLevel="0" collapsed="false">
      <c r="B96" s="32" t="s">
        <v>135</v>
      </c>
    </row>
    <row r="97" customFormat="false" ht="15" hidden="false" customHeight="false" outlineLevel="0" collapsed="false">
      <c r="B97" s="5" t="s">
        <v>156</v>
      </c>
      <c r="D97" s="33" t="n">
        <f aca="false">SUM(F97:H97)</f>
        <v>16847.82</v>
      </c>
      <c r="H97" s="33" t="n">
        <v>16847.82</v>
      </c>
    </row>
    <row r="98" customFormat="false" ht="15" hidden="false" customHeight="false" outlineLevel="0" collapsed="false">
      <c r="B98" s="5" t="s">
        <v>157</v>
      </c>
      <c r="D98" s="33" t="n">
        <f aca="false">SUM(F98:H98)</f>
        <v>20376.05</v>
      </c>
      <c r="H98" s="33" t="n">
        <v>20376.05</v>
      </c>
    </row>
    <row r="99" customFormat="false" ht="15" hidden="false" customHeight="false" outlineLevel="0" collapsed="false">
      <c r="B99" s="5" t="s">
        <v>158</v>
      </c>
      <c r="D99" s="33" t="n">
        <f aca="false">SUM(F99:H99)</f>
        <v>30335.08</v>
      </c>
      <c r="H99" s="33" t="n">
        <v>30335.08</v>
      </c>
    </row>
    <row r="100" customFormat="false" ht="15" hidden="false" customHeight="false" outlineLevel="0" collapsed="false">
      <c r="B100" s="5" t="s">
        <v>159</v>
      </c>
      <c r="D100" s="33" t="n">
        <f aca="false">SUM(F100:H100)</f>
        <v>32785.09</v>
      </c>
      <c r="H100" s="33" t="n">
        <v>32785.09</v>
      </c>
    </row>
    <row r="101" customFormat="false" ht="15" hidden="false" customHeight="false" outlineLevel="0" collapsed="false">
      <c r="B101" s="5" t="s">
        <v>160</v>
      </c>
      <c r="D101" s="33" t="n">
        <f aca="false">SUM(F101:H101)</f>
        <v>26370.11</v>
      </c>
      <c r="H101" s="33" t="n">
        <v>26370.11</v>
      </c>
    </row>
    <row r="102" customFormat="false" ht="15" hidden="false" customHeight="false" outlineLevel="0" collapsed="false">
      <c r="B102" s="5" t="s">
        <v>161</v>
      </c>
      <c r="D102" s="33" t="n">
        <f aca="false">SUM(F102:H102)</f>
        <v>1900.26</v>
      </c>
      <c r="H102" s="33" t="n">
        <v>1900.26</v>
      </c>
    </row>
    <row r="103" customFormat="false" ht="15" hidden="false" customHeight="false" outlineLevel="0" collapsed="false">
      <c r="B103" s="5" t="s">
        <v>162</v>
      </c>
      <c r="D103" s="33" t="n">
        <f aca="false">SUM(F103:H103)</f>
        <v>11317.23</v>
      </c>
      <c r="H103" s="33" t="n">
        <v>11317.23</v>
      </c>
    </row>
    <row r="104" customFormat="false" ht="15" hidden="false" customHeight="false" outlineLevel="0" collapsed="false">
      <c r="B104" s="5" t="s">
        <v>163</v>
      </c>
      <c r="D104" s="33" t="n">
        <f aca="false">SUM(F104:H104)</f>
        <v>16611.21</v>
      </c>
      <c r="H104" s="33" t="n">
        <v>16611.21</v>
      </c>
    </row>
    <row r="105" customFormat="false" ht="15" hidden="false" customHeight="false" outlineLevel="0" collapsed="false">
      <c r="B105" s="5" t="s">
        <v>164</v>
      </c>
      <c r="D105" s="33" t="n">
        <f aca="false">SUM(F105:H105)</f>
        <v>9575.83</v>
      </c>
      <c r="H105" s="33" t="n">
        <v>9575.83</v>
      </c>
    </row>
    <row r="106" customFormat="false" ht="15" hidden="false" customHeight="false" outlineLevel="0" collapsed="false">
      <c r="B106" s="5" t="s">
        <v>165</v>
      </c>
      <c r="D106" s="33" t="n">
        <f aca="false">SUM(F106:H106)</f>
        <v>13952.82</v>
      </c>
      <c r="H106" s="33" t="n">
        <v>13952.82</v>
      </c>
    </row>
    <row r="107" customFormat="false" ht="15" hidden="false" customHeight="false" outlineLevel="0" collapsed="false">
      <c r="B107" s="5" t="s">
        <v>166</v>
      </c>
      <c r="D107" s="33" t="n">
        <f aca="false">SUM(F107:H107)</f>
        <v>31819.16</v>
      </c>
      <c r="H107" s="33" t="n">
        <v>31819.16</v>
      </c>
    </row>
    <row r="108" customFormat="false" ht="15" hidden="false" customHeight="false" outlineLevel="0" collapsed="false">
      <c r="B108" s="5" t="s">
        <v>167</v>
      </c>
      <c r="D108" s="33" t="n">
        <f aca="false">SUM(F108:H108)</f>
        <v>14251.16</v>
      </c>
      <c r="H108" s="33" t="n">
        <v>14251.16</v>
      </c>
    </row>
    <row r="109" customFormat="false" ht="15" hidden="false" customHeight="false" outlineLevel="0" collapsed="false">
      <c r="B109" s="5" t="s">
        <v>168</v>
      </c>
      <c r="D109" s="33" t="n">
        <f aca="false">SUM(F109:H109)</f>
        <v>1543.42</v>
      </c>
      <c r="H109" s="33" t="n">
        <v>1543.42</v>
      </c>
    </row>
    <row r="110" customFormat="false" ht="15" hidden="false" customHeight="false" outlineLevel="0" collapsed="false">
      <c r="B110" s="5" t="s">
        <v>169</v>
      </c>
      <c r="D110" s="33" t="n">
        <f aca="false">SUM(F110:H110)</f>
        <v>37142.95</v>
      </c>
      <c r="H110" s="33" t="n">
        <v>37142.95</v>
      </c>
    </row>
    <row r="111" customFormat="false" ht="15" hidden="false" customHeight="false" outlineLevel="0" collapsed="false">
      <c r="B111" s="5" t="s">
        <v>170</v>
      </c>
      <c r="D111" s="33" t="n">
        <f aca="false">SUM(F111:H111)</f>
        <v>18288.44</v>
      </c>
      <c r="H111" s="33" t="n">
        <v>18288.44</v>
      </c>
    </row>
    <row r="112" customFormat="false" ht="15" hidden="false" customHeight="false" outlineLevel="0" collapsed="false">
      <c r="B112" s="5" t="s">
        <v>171</v>
      </c>
      <c r="D112" s="33" t="n">
        <f aca="false">SUM(F112:H112)</f>
        <v>3946.85</v>
      </c>
      <c r="H112" s="33" t="n">
        <v>3946.85</v>
      </c>
    </row>
    <row r="113" customFormat="false" ht="15" hidden="false" customHeight="false" outlineLevel="0" collapsed="false">
      <c r="B113" s="11" t="s">
        <v>105</v>
      </c>
      <c r="D113" s="34" t="n">
        <f aca="false">SUM(D80:D112)</f>
        <v>347897.92</v>
      </c>
      <c r="F113" s="34" t="n">
        <f aca="false">SUM(F80:F112)</f>
        <v>60834.44</v>
      </c>
      <c r="H113" s="34" t="n">
        <f aca="false">SUM(H80:H112)</f>
        <v>287063.48</v>
      </c>
    </row>
    <row r="114" customFormat="false" ht="15" hidden="false" customHeight="false" outlineLevel="0" collapsed="false">
      <c r="B114" s="30" t="s">
        <v>107</v>
      </c>
      <c r="F114" s="31" t="n">
        <f aca="false">F113/D113</f>
        <v>0.174862902313414</v>
      </c>
      <c r="H114" s="31" t="n">
        <f aca="false">H113/D113</f>
        <v>0.825137097686586</v>
      </c>
    </row>
    <row r="116" customFormat="false" ht="15" hidden="false" customHeight="false" outlineLevel="0" collapsed="false">
      <c r="A116" s="10" t="s">
        <v>137</v>
      </c>
    </row>
    <row r="117" customFormat="false" ht="15" hidden="false" customHeight="false" outlineLevel="0" collapsed="false">
      <c r="B117" s="4" t="s">
        <v>138</v>
      </c>
      <c r="D117" s="4" t="s">
        <v>79</v>
      </c>
      <c r="F117" s="4" t="s">
        <v>112</v>
      </c>
      <c r="H117" s="4" t="s">
        <v>114</v>
      </c>
    </row>
    <row r="118" customFormat="false" ht="15" hidden="false" customHeight="false" outlineLevel="0" collapsed="false">
      <c r="B118" s="5" t="str">
        <f aca="false">'Building 1'!B20</f>
        <v>2-Building-712 Northfield Dr - 5 Year</v>
      </c>
      <c r="D118" s="33" t="n">
        <f aca="false">SUM(F118:H118)</f>
        <v>7916.21</v>
      </c>
      <c r="F118" s="33" t="n">
        <f aca="false">'Building 1'!D20</f>
        <v>7916.21</v>
      </c>
    </row>
    <row r="119" customFormat="false" ht="15" hidden="false" customHeight="false" outlineLevel="0" collapsed="false">
      <c r="B119" s="5" t="str">
        <f aca="false">'Building 1'!B21</f>
        <v>2-Building-712 Northfield Dr - 27.5 Year</v>
      </c>
      <c r="D119" s="33" t="n">
        <f aca="false">SUM(F119:H119)</f>
        <v>37354.76</v>
      </c>
      <c r="H119" s="33" t="n">
        <f aca="false">'Building 1'!D21</f>
        <v>37354.76</v>
      </c>
    </row>
    <row r="120" customFormat="false" ht="15" hidden="false" customHeight="false" outlineLevel="0" collapsed="false">
      <c r="B120" s="5" t="str">
        <f aca="false">'Building 1'!B22</f>
        <v>3-Northfield Dr - 5 Year</v>
      </c>
      <c r="D120" s="33" t="n">
        <f aca="false">SUM(F120:H120)</f>
        <v>1021.44</v>
      </c>
      <c r="F120" s="33" t="n">
        <f aca="false">'Building 1'!D22</f>
        <v>1021.44</v>
      </c>
    </row>
    <row r="121" customFormat="false" ht="15" hidden="false" customHeight="false" outlineLevel="0" collapsed="false">
      <c r="B121" s="5" t="str">
        <f aca="false">'Building 1'!B23</f>
        <v>3-Northfield Dr - 27.5 Year</v>
      </c>
      <c r="D121" s="33" t="n">
        <f aca="false">SUM(F121:H121)</f>
        <v>4819.96</v>
      </c>
      <c r="H121" s="33" t="n">
        <f aca="false">'Building 1'!D23</f>
        <v>4819.96</v>
      </c>
    </row>
    <row r="122" customFormat="false" ht="15" hidden="false" customHeight="false" outlineLevel="0" collapsed="false">
      <c r="B122" s="5" t="str">
        <f aca="false">'Building 1'!B24</f>
        <v>4-Northfield Dr - 5 Year</v>
      </c>
      <c r="D122" s="33" t="n">
        <f aca="false">SUM(F122:H122)</f>
        <v>1915.21</v>
      </c>
      <c r="F122" s="33" t="n">
        <f aca="false">'Building 1'!D24</f>
        <v>1915.21</v>
      </c>
    </row>
    <row r="123" customFormat="false" ht="15" hidden="false" customHeight="false" outlineLevel="0" collapsed="false">
      <c r="B123" s="5" t="str">
        <f aca="false">'Building 1'!B25</f>
        <v>4-Northfield Dr - 27.5 Year</v>
      </c>
      <c r="D123" s="33" t="n">
        <f aca="false">SUM(F123:H123)</f>
        <v>9037.45</v>
      </c>
      <c r="H123" s="33" t="n">
        <f aca="false">'Building 1'!D25</f>
        <v>9037.45</v>
      </c>
    </row>
    <row r="124" customFormat="false" ht="15" hidden="false" customHeight="false" outlineLevel="0" collapsed="false">
      <c r="B124" s="5" t="str">
        <f aca="false">'Building 1'!B26</f>
        <v>7-Building-2202 Northview Dr - 5 Year</v>
      </c>
      <c r="D124" s="33" t="n">
        <f aca="false">SUM(F124:H124)</f>
        <v>36457.14</v>
      </c>
      <c r="F124" s="33" t="n">
        <f aca="false">'Building 1'!D26</f>
        <v>36457.14</v>
      </c>
    </row>
    <row r="125" customFormat="false" ht="15" hidden="false" customHeight="false" outlineLevel="0" collapsed="false">
      <c r="B125" s="5" t="str">
        <f aca="false">'Building 1'!B27</f>
        <v>7-Building-2202 Northview Dr - 27.5 Year</v>
      </c>
      <c r="D125" s="33" t="n">
        <f aca="false">SUM(F125:H125)</f>
        <v>172032.73</v>
      </c>
      <c r="H125" s="33" t="n">
        <f aca="false">'Building 1'!D27</f>
        <v>172032.73</v>
      </c>
    </row>
    <row r="126" customFormat="false" ht="15" hidden="false" customHeight="false" outlineLevel="0" collapsed="false">
      <c r="B126" s="5" t="str">
        <f aca="false">'Building 1'!B28</f>
        <v>8-Northiew Dr - 5 Year</v>
      </c>
      <c r="D126" s="33" t="n">
        <f aca="false">SUM(F126:H126)</f>
        <v>4704.15</v>
      </c>
      <c r="F126" s="33" t="n">
        <f aca="false">'Building 1'!D28</f>
        <v>4704.15</v>
      </c>
    </row>
    <row r="127" customFormat="false" ht="15" hidden="false" customHeight="false" outlineLevel="0" collapsed="false">
      <c r="B127" s="5" t="str">
        <f aca="false">'Building 1'!B29</f>
        <v>8-Northiew Dr - 27.5 Year</v>
      </c>
      <c r="D127" s="33" t="n">
        <f aca="false">SUM(F127:H127)</f>
        <v>22197.76</v>
      </c>
      <c r="H127" s="33" t="n">
        <f aca="false">'Building 1'!D29</f>
        <v>22197.76</v>
      </c>
    </row>
    <row r="128" customFormat="false" ht="15" hidden="false" customHeight="false" outlineLevel="0" collapsed="false">
      <c r="B128" s="5" t="str">
        <f aca="false">'Building 1'!B30</f>
        <v>9-Northview Dr - 5 Year</v>
      </c>
      <c r="D128" s="33" t="n">
        <f aca="false">SUM(F128:H128)</f>
        <v>8820.29</v>
      </c>
      <c r="F128" s="33" t="n">
        <f aca="false">'Building 1'!D30</f>
        <v>8820.29</v>
      </c>
    </row>
    <row r="129" customFormat="false" ht="15" hidden="false" customHeight="false" outlineLevel="0" collapsed="false">
      <c r="B129" s="5" t="str">
        <f aca="false">'Building 1'!B31</f>
        <v>9-Northview Dr - 27.5 Year</v>
      </c>
      <c r="D129" s="33" t="n">
        <f aca="false">SUM(F129:H129)</f>
        <v>41620.82</v>
      </c>
      <c r="H129" s="33" t="n">
        <f aca="false">'Building 1'!D31</f>
        <v>41620.82</v>
      </c>
    </row>
    <row r="130" customFormat="false" ht="15" hidden="false" customHeight="false" outlineLevel="0" collapsed="false">
      <c r="B130" s="11" t="s">
        <v>139</v>
      </c>
      <c r="D130" s="34" t="n">
        <f aca="false">SUM(D118:D129)</f>
        <v>347897.92</v>
      </c>
      <c r="F130" s="34" t="n">
        <f aca="false">SUM(F118:F129)</f>
        <v>60834.44</v>
      </c>
      <c r="H130" s="34" t="n">
        <f aca="false">SUM(H118:H129)</f>
        <v>287063.48</v>
      </c>
    </row>
    <row r="131" customFormat="false" ht="15" hidden="false" customHeight="false" outlineLevel="0" collapsed="false">
      <c r="B131" s="16" t="s">
        <v>140</v>
      </c>
      <c r="D131" s="17" t="n">
        <f aca="false">D130-D113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172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34585.09</v>
      </c>
      <c r="E10" s="24" t="n">
        <v>0</v>
      </c>
      <c r="F10" s="24" t="n">
        <v>0</v>
      </c>
      <c r="G10" s="24" t="n">
        <v>0</v>
      </c>
      <c r="H10" s="24" t="n">
        <v>576.43</v>
      </c>
      <c r="I10" s="24" t="n">
        <f aca="false">G10+H10</f>
        <v>576.43</v>
      </c>
      <c r="J10" s="24" t="n">
        <f aca="false">D10-I10</f>
        <v>34008.66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4462.58</v>
      </c>
      <c r="E11" s="24" t="n">
        <v>0</v>
      </c>
      <c r="F11" s="24" t="n">
        <v>2677.55</v>
      </c>
      <c r="G11" s="24" t="n">
        <v>0</v>
      </c>
      <c r="H11" s="24" t="n">
        <v>2737.06</v>
      </c>
      <c r="I11" s="24" t="n">
        <f aca="false">G11+H11</f>
        <v>2737.06</v>
      </c>
      <c r="J11" s="24" t="n">
        <f aca="false">D11-I11</f>
        <v>1725.52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8367.37</v>
      </c>
      <c r="E12" s="24" t="n">
        <v>0</v>
      </c>
      <c r="F12" s="24" t="n">
        <v>5020.42</v>
      </c>
      <c r="G12" s="24" t="n">
        <v>0</v>
      </c>
      <c r="H12" s="24" t="n">
        <v>5689.81</v>
      </c>
      <c r="I12" s="24" t="n">
        <f aca="false">G12+H12</f>
        <v>5689.81</v>
      </c>
      <c r="J12" s="24" t="n">
        <f aca="false">D12-I12</f>
        <v>2677.56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159277.36</v>
      </c>
      <c r="E13" s="24" t="n">
        <v>0</v>
      </c>
      <c r="F13" s="24" t="n">
        <v>0</v>
      </c>
      <c r="G13" s="24" t="n">
        <v>0</v>
      </c>
      <c r="H13" s="24" t="n">
        <v>2654.62</v>
      </c>
      <c r="I13" s="24" t="n">
        <f aca="false">G13+H13</f>
        <v>2654.62</v>
      </c>
      <c r="J13" s="24" t="n">
        <f aca="false">D13-I13</f>
        <v>156622.74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20551.91</v>
      </c>
      <c r="E14" s="24" t="n">
        <v>0</v>
      </c>
      <c r="F14" s="24" t="n">
        <v>12331.15</v>
      </c>
      <c r="G14" s="24" t="n">
        <v>0</v>
      </c>
      <c r="H14" s="24" t="n">
        <v>12605.17</v>
      </c>
      <c r="I14" s="24" t="n">
        <f aca="false">G14+H14</f>
        <v>12605.17</v>
      </c>
      <c r="J14" s="24" t="n">
        <f aca="false">D14-I14</f>
        <v>7946.74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38534.85</v>
      </c>
      <c r="E15" s="24" t="n">
        <v>0</v>
      </c>
      <c r="F15" s="24" t="n">
        <v>23120.91</v>
      </c>
      <c r="G15" s="24" t="n">
        <v>0</v>
      </c>
      <c r="H15" s="24" t="n">
        <v>26203.7</v>
      </c>
      <c r="I15" s="24" t="n">
        <f aca="false">G15+H15</f>
        <v>26203.7</v>
      </c>
      <c r="J15" s="24" t="n">
        <f aca="false">D15-I15</f>
        <v>12331.15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265779.16</v>
      </c>
      <c r="E16" s="28" t="n">
        <f aca="false">SUM(E10:E15)</f>
        <v>0</v>
      </c>
      <c r="F16" s="28" t="n">
        <f aca="false">SUM(F10:F15)</f>
        <v>43150.03</v>
      </c>
      <c r="G16" s="28" t="n">
        <f aca="false">SUM(G10:G15)</f>
        <v>0</v>
      </c>
      <c r="H16" s="28" t="n">
        <f aca="false">SUM(H10:H15)</f>
        <v>50466.79</v>
      </c>
      <c r="I16" s="28" t="n">
        <f aca="false">SUM(I10:I15)</f>
        <v>50466.79</v>
      </c>
      <c r="J16" s="28" t="n">
        <f aca="false">SUM(J10:J15)</f>
        <v>215312.37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6299.49</v>
      </c>
      <c r="E20" s="24" t="n">
        <v>0</v>
      </c>
      <c r="F20" s="24" t="n">
        <v>3779.69</v>
      </c>
      <c r="G20" s="24" t="n">
        <v>0</v>
      </c>
      <c r="H20" s="24" t="n">
        <v>4283.65</v>
      </c>
      <c r="I20" s="24" t="n">
        <f aca="false">G20+H20</f>
        <v>4283.65</v>
      </c>
      <c r="J20" s="24" t="n">
        <f aca="false">D20-I20</f>
        <v>2015.84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28285.6</v>
      </c>
      <c r="E21" s="24" t="n">
        <v>0</v>
      </c>
      <c r="F21" s="24" t="n">
        <v>0</v>
      </c>
      <c r="G21" s="24" t="n">
        <v>0</v>
      </c>
      <c r="H21" s="24" t="n">
        <v>471.43</v>
      </c>
      <c r="I21" s="24" t="n">
        <f aca="false">G21+H21</f>
        <v>471.43</v>
      </c>
      <c r="J21" s="24" t="n">
        <f aca="false">D21-I21</f>
        <v>27814.17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812.84</v>
      </c>
      <c r="E22" s="24" t="n">
        <v>0</v>
      </c>
      <c r="F22" s="24" t="n">
        <v>487.7</v>
      </c>
      <c r="G22" s="24" t="n">
        <v>0</v>
      </c>
      <c r="H22" s="24" t="n">
        <v>552.73</v>
      </c>
      <c r="I22" s="24" t="n">
        <f aca="false">G22+H22</f>
        <v>552.73</v>
      </c>
      <c r="J22" s="24" t="n">
        <f aca="false">D22-I22</f>
        <v>260.11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3649.74</v>
      </c>
      <c r="E23" s="24" t="n">
        <v>0</v>
      </c>
      <c r="F23" s="24" t="n">
        <v>0</v>
      </c>
      <c r="G23" s="24" t="n">
        <v>0</v>
      </c>
      <c r="H23" s="24" t="n">
        <v>60.83</v>
      </c>
      <c r="I23" s="24" t="n">
        <f aca="false">G23+H23</f>
        <v>60.83</v>
      </c>
      <c r="J23" s="24" t="n">
        <f aca="false">D23-I23</f>
        <v>3588.91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1524.07</v>
      </c>
      <c r="E24" s="24" t="n">
        <v>0</v>
      </c>
      <c r="F24" s="24" t="n">
        <v>914.44</v>
      </c>
      <c r="G24" s="24" t="n">
        <v>0</v>
      </c>
      <c r="H24" s="24" t="n">
        <v>1036.37</v>
      </c>
      <c r="I24" s="24" t="n">
        <f aca="false">G24+H24</f>
        <v>1036.37</v>
      </c>
      <c r="J24" s="24" t="n">
        <f aca="false">D24-I24</f>
        <v>487.7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6843.3</v>
      </c>
      <c r="E25" s="24" t="n">
        <v>0</v>
      </c>
      <c r="F25" s="24" t="n">
        <v>0</v>
      </c>
      <c r="G25" s="24" t="n">
        <v>0</v>
      </c>
      <c r="H25" s="24" t="n">
        <v>114.06</v>
      </c>
      <c r="I25" s="24" t="n">
        <f aca="false">G25+H25</f>
        <v>114.06</v>
      </c>
      <c r="J25" s="24" t="n">
        <f aca="false">D25-I25</f>
        <v>6729.24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29011.54</v>
      </c>
      <c r="E26" s="24" t="n">
        <v>0</v>
      </c>
      <c r="F26" s="24" t="n">
        <v>17406.92</v>
      </c>
      <c r="G26" s="24" t="n">
        <v>0</v>
      </c>
      <c r="H26" s="24" t="n">
        <v>19727.84</v>
      </c>
      <c r="I26" s="24" t="n">
        <f aca="false">G26+H26</f>
        <v>19727.84</v>
      </c>
      <c r="J26" s="24" t="n">
        <f aca="false">D26-I26</f>
        <v>9283.7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130265.82</v>
      </c>
      <c r="E27" s="24" t="n">
        <v>0</v>
      </c>
      <c r="F27" s="24" t="n">
        <v>0</v>
      </c>
      <c r="G27" s="24" t="n">
        <v>0</v>
      </c>
      <c r="H27" s="24" t="n">
        <v>2171.1</v>
      </c>
      <c r="I27" s="24" t="n">
        <f aca="false">G27+H27</f>
        <v>2171.1</v>
      </c>
      <c r="J27" s="24" t="n">
        <f aca="false">D27-I27</f>
        <v>128094.72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3743.42</v>
      </c>
      <c r="E28" s="24" t="n">
        <v>0</v>
      </c>
      <c r="F28" s="24" t="n">
        <v>2246.05</v>
      </c>
      <c r="G28" s="24" t="n">
        <v>0</v>
      </c>
      <c r="H28" s="24" t="n">
        <v>2545.52</v>
      </c>
      <c r="I28" s="24" t="n">
        <f aca="false">G28+H28</f>
        <v>2545.52</v>
      </c>
      <c r="J28" s="24" t="n">
        <f aca="false">D28-I28</f>
        <v>1197.9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16808.49</v>
      </c>
      <c r="E29" s="24" t="n">
        <v>0</v>
      </c>
      <c r="F29" s="24" t="n">
        <v>0</v>
      </c>
      <c r="G29" s="24" t="n">
        <v>0</v>
      </c>
      <c r="H29" s="24" t="n">
        <v>280.14</v>
      </c>
      <c r="I29" s="24" t="n">
        <f aca="false">G29+H29</f>
        <v>280.14</v>
      </c>
      <c r="J29" s="24" t="n">
        <f aca="false">D29-I29</f>
        <v>16528.35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7018.93</v>
      </c>
      <c r="E30" s="24" t="n">
        <v>0</v>
      </c>
      <c r="F30" s="24" t="n">
        <v>4211.36</v>
      </c>
      <c r="G30" s="24" t="n">
        <v>0</v>
      </c>
      <c r="H30" s="24" t="n">
        <v>4772.87</v>
      </c>
      <c r="I30" s="24" t="n">
        <f aca="false">G30+H30</f>
        <v>4772.87</v>
      </c>
      <c r="J30" s="24" t="n">
        <f aca="false">D30-I30</f>
        <v>2246.06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31515.92</v>
      </c>
      <c r="E31" s="24" t="n">
        <v>0</v>
      </c>
      <c r="F31" s="24" t="n">
        <v>0</v>
      </c>
      <c r="G31" s="24" t="n">
        <v>0</v>
      </c>
      <c r="H31" s="24" t="n">
        <v>525.27</v>
      </c>
      <c r="I31" s="24" t="n">
        <f aca="false">G31+H31</f>
        <v>525.27</v>
      </c>
      <c r="J31" s="24" t="n">
        <f aca="false">D31-I31</f>
        <v>30990.65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265779.16</v>
      </c>
      <c r="E32" s="28" t="n">
        <f aca="false">SUM(E20:E31)</f>
        <v>0</v>
      </c>
      <c r="F32" s="28" t="n">
        <f aca="false">SUM(F20:F31)</f>
        <v>29046.16</v>
      </c>
      <c r="G32" s="28" t="n">
        <f aca="false">SUM(G20:G31)</f>
        <v>0</v>
      </c>
      <c r="H32" s="28" t="n">
        <f aca="false">SUM(H20:H31)</f>
        <v>36541.81</v>
      </c>
      <c r="I32" s="28" t="n">
        <f aca="false">SUM(I20:I31)</f>
        <v>36541.81</v>
      </c>
      <c r="J32" s="28" t="n">
        <f aca="false">SUM(J20:J31)</f>
        <v>229237.35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50466.79</v>
      </c>
    </row>
    <row r="36" customFormat="false" ht="15" hidden="false" customHeight="false" outlineLevel="0" collapsed="false">
      <c r="B36" s="5" t="s">
        <v>97</v>
      </c>
      <c r="D36" s="6" t="n">
        <f aca="false">I32</f>
        <v>36541.81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13924.98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34585.09</v>
      </c>
      <c r="E42" s="24" t="n">
        <v>0</v>
      </c>
      <c r="F42" s="24" t="n">
        <v>0</v>
      </c>
      <c r="G42" s="24" t="n">
        <v>0</v>
      </c>
      <c r="H42" s="24" t="n">
        <v>576.43</v>
      </c>
      <c r="I42" s="24" t="n">
        <f aca="false">G42+H42</f>
        <v>576.43</v>
      </c>
      <c r="J42" s="24" t="n">
        <f aca="false">D42-I42</f>
        <v>34008.66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4462.58</v>
      </c>
      <c r="E43" s="24" t="n">
        <v>0</v>
      </c>
      <c r="F43" s="24" t="n">
        <v>2677.55</v>
      </c>
      <c r="G43" s="24" t="n">
        <v>0</v>
      </c>
      <c r="H43" s="24" t="n">
        <v>2737.06</v>
      </c>
      <c r="I43" s="24" t="n">
        <f aca="false">G43+H43</f>
        <v>2737.06</v>
      </c>
      <c r="J43" s="24" t="n">
        <f aca="false">D43-I43</f>
        <v>1725.52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8367.37</v>
      </c>
      <c r="E44" s="24" t="n">
        <v>0</v>
      </c>
      <c r="F44" s="24" t="n">
        <v>5020.42</v>
      </c>
      <c r="G44" s="24" t="n">
        <v>0</v>
      </c>
      <c r="H44" s="24" t="n">
        <v>5689.81</v>
      </c>
      <c r="I44" s="24" t="n">
        <f aca="false">G44+H44</f>
        <v>5689.81</v>
      </c>
      <c r="J44" s="24" t="n">
        <f aca="false">D44-I44</f>
        <v>2677.56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159277.36</v>
      </c>
      <c r="E45" s="24" t="n">
        <v>0</v>
      </c>
      <c r="F45" s="24" t="n">
        <v>0</v>
      </c>
      <c r="G45" s="24" t="n">
        <v>0</v>
      </c>
      <c r="H45" s="24" t="n">
        <v>2654.62</v>
      </c>
      <c r="I45" s="24" t="n">
        <f aca="false">G45+H45</f>
        <v>2654.62</v>
      </c>
      <c r="J45" s="24" t="n">
        <f aca="false">D45-I45</f>
        <v>156622.74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20551.91</v>
      </c>
      <c r="E46" s="24" t="n">
        <v>0</v>
      </c>
      <c r="F46" s="24" t="n">
        <v>12331.15</v>
      </c>
      <c r="G46" s="24" t="n">
        <v>0</v>
      </c>
      <c r="H46" s="24" t="n">
        <v>12605.17</v>
      </c>
      <c r="I46" s="24" t="n">
        <f aca="false">G46+H46</f>
        <v>12605.17</v>
      </c>
      <c r="J46" s="24" t="n">
        <f aca="false">D46-I46</f>
        <v>7946.74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38534.85</v>
      </c>
      <c r="E47" s="24" t="n">
        <v>0</v>
      </c>
      <c r="F47" s="24" t="n">
        <v>23120.91</v>
      </c>
      <c r="G47" s="24" t="n">
        <v>0</v>
      </c>
      <c r="H47" s="24" t="n">
        <v>26203.7</v>
      </c>
      <c r="I47" s="24" t="n">
        <f aca="false">G47+H47</f>
        <v>26203.7</v>
      </c>
      <c r="J47" s="24" t="n">
        <f aca="false">D47-I47</f>
        <v>12331.15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265779.16</v>
      </c>
      <c r="E48" s="28" t="n">
        <f aca="false">SUM(E42:E47)</f>
        <v>0</v>
      </c>
      <c r="F48" s="28" t="n">
        <f aca="false">SUM(F42:F47)</f>
        <v>43150.03</v>
      </c>
      <c r="G48" s="28" t="n">
        <f aca="false">SUM(G42:G47)</f>
        <v>0</v>
      </c>
      <c r="H48" s="28" t="n">
        <f aca="false">SUM(H42:H47)</f>
        <v>50466.79</v>
      </c>
      <c r="I48" s="28" t="n">
        <f aca="false">SUM(I42:I47)</f>
        <v>50466.79</v>
      </c>
      <c r="J48" s="28" t="n">
        <f aca="false">SUM(J42:J47)</f>
        <v>215312.37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6299.49</v>
      </c>
      <c r="E52" s="24" t="n">
        <v>0</v>
      </c>
      <c r="F52" s="24" t="n">
        <v>3779.69</v>
      </c>
      <c r="G52" s="24" t="n">
        <v>0</v>
      </c>
      <c r="H52" s="24" t="n">
        <v>4283.65</v>
      </c>
      <c r="I52" s="24" t="n">
        <f aca="false">G52+H52</f>
        <v>4283.65</v>
      </c>
      <c r="J52" s="24" t="n">
        <f aca="false">D52-I52</f>
        <v>2015.84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28285.6</v>
      </c>
      <c r="E53" s="24" t="n">
        <v>0</v>
      </c>
      <c r="F53" s="24" t="n">
        <v>0</v>
      </c>
      <c r="G53" s="24" t="n">
        <v>0</v>
      </c>
      <c r="H53" s="24" t="n">
        <v>471.43</v>
      </c>
      <c r="I53" s="24" t="n">
        <f aca="false">G53+H53</f>
        <v>471.43</v>
      </c>
      <c r="J53" s="24" t="n">
        <f aca="false">D53-I53</f>
        <v>27814.17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812.84</v>
      </c>
      <c r="E54" s="24" t="n">
        <v>0</v>
      </c>
      <c r="F54" s="24" t="n">
        <v>487.7</v>
      </c>
      <c r="G54" s="24" t="n">
        <v>0</v>
      </c>
      <c r="H54" s="24" t="n">
        <v>552.73</v>
      </c>
      <c r="I54" s="24" t="n">
        <f aca="false">G54+H54</f>
        <v>552.73</v>
      </c>
      <c r="J54" s="24" t="n">
        <f aca="false">D54-I54</f>
        <v>260.11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3649.74</v>
      </c>
      <c r="E55" s="24" t="n">
        <v>0</v>
      </c>
      <c r="F55" s="24" t="n">
        <v>0</v>
      </c>
      <c r="G55" s="24" t="n">
        <v>0</v>
      </c>
      <c r="H55" s="24" t="n">
        <v>60.83</v>
      </c>
      <c r="I55" s="24" t="n">
        <f aca="false">G55+H55</f>
        <v>60.83</v>
      </c>
      <c r="J55" s="24" t="n">
        <f aca="false">D55-I55</f>
        <v>3588.91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1524.07</v>
      </c>
      <c r="E56" s="24" t="n">
        <v>0</v>
      </c>
      <c r="F56" s="24" t="n">
        <v>914.44</v>
      </c>
      <c r="G56" s="24" t="n">
        <v>0</v>
      </c>
      <c r="H56" s="24" t="n">
        <v>1036.37</v>
      </c>
      <c r="I56" s="24" t="n">
        <f aca="false">G56+H56</f>
        <v>1036.37</v>
      </c>
      <c r="J56" s="24" t="n">
        <f aca="false">D56-I56</f>
        <v>487.7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6843.3</v>
      </c>
      <c r="E57" s="24" t="n">
        <v>0</v>
      </c>
      <c r="F57" s="24" t="n">
        <v>0</v>
      </c>
      <c r="G57" s="24" t="n">
        <v>0</v>
      </c>
      <c r="H57" s="24" t="n">
        <v>114.06</v>
      </c>
      <c r="I57" s="24" t="n">
        <f aca="false">G57+H57</f>
        <v>114.06</v>
      </c>
      <c r="J57" s="24" t="n">
        <f aca="false">D57-I57</f>
        <v>6729.24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29011.54</v>
      </c>
      <c r="E58" s="24" t="n">
        <v>0</v>
      </c>
      <c r="F58" s="24" t="n">
        <v>17406.92</v>
      </c>
      <c r="G58" s="24" t="n">
        <v>0</v>
      </c>
      <c r="H58" s="24" t="n">
        <v>19727.84</v>
      </c>
      <c r="I58" s="24" t="n">
        <f aca="false">G58+H58</f>
        <v>19727.84</v>
      </c>
      <c r="J58" s="24" t="n">
        <f aca="false">D58-I58</f>
        <v>9283.7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130265.82</v>
      </c>
      <c r="E59" s="24" t="n">
        <v>0</v>
      </c>
      <c r="F59" s="24" t="n">
        <v>0</v>
      </c>
      <c r="G59" s="24" t="n">
        <v>0</v>
      </c>
      <c r="H59" s="24" t="n">
        <v>2171.1</v>
      </c>
      <c r="I59" s="24" t="n">
        <f aca="false">G59+H59</f>
        <v>2171.1</v>
      </c>
      <c r="J59" s="24" t="n">
        <f aca="false">D59-I59</f>
        <v>128094.72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3743.42</v>
      </c>
      <c r="E60" s="24" t="n">
        <v>0</v>
      </c>
      <c r="F60" s="24" t="n">
        <v>2246.05</v>
      </c>
      <c r="G60" s="24" t="n">
        <v>0</v>
      </c>
      <c r="H60" s="24" t="n">
        <v>2545.52</v>
      </c>
      <c r="I60" s="24" t="n">
        <f aca="false">G60+H60</f>
        <v>2545.52</v>
      </c>
      <c r="J60" s="24" t="n">
        <f aca="false">D60-I60</f>
        <v>1197.9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16808.49</v>
      </c>
      <c r="E61" s="24" t="n">
        <v>0</v>
      </c>
      <c r="F61" s="24" t="n">
        <v>0</v>
      </c>
      <c r="G61" s="24" t="n">
        <v>0</v>
      </c>
      <c r="H61" s="24" t="n">
        <v>280.14</v>
      </c>
      <c r="I61" s="24" t="n">
        <f aca="false">G61+H61</f>
        <v>280.14</v>
      </c>
      <c r="J61" s="24" t="n">
        <f aca="false">D61-I61</f>
        <v>16528.35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7018.93</v>
      </c>
      <c r="E62" s="24" t="n">
        <v>0</v>
      </c>
      <c r="F62" s="24" t="n">
        <v>4211.36</v>
      </c>
      <c r="G62" s="24" t="n">
        <v>0</v>
      </c>
      <c r="H62" s="24" t="n">
        <v>4772.87</v>
      </c>
      <c r="I62" s="24" t="n">
        <f aca="false">G62+H62</f>
        <v>4772.87</v>
      </c>
      <c r="J62" s="24" t="n">
        <f aca="false">D62-I62</f>
        <v>2246.06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31515.92</v>
      </c>
      <c r="E63" s="24" t="n">
        <v>0</v>
      </c>
      <c r="F63" s="24" t="n">
        <v>0</v>
      </c>
      <c r="G63" s="24" t="n">
        <v>0</v>
      </c>
      <c r="H63" s="24" t="n">
        <v>525.27</v>
      </c>
      <c r="I63" s="24" t="n">
        <f aca="false">G63+H63</f>
        <v>525.27</v>
      </c>
      <c r="J63" s="24" t="n">
        <f aca="false">D63-I63</f>
        <v>30990.65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265779.16</v>
      </c>
      <c r="E64" s="28" t="n">
        <f aca="false">SUM(E52:E63)</f>
        <v>0</v>
      </c>
      <c r="F64" s="28" t="n">
        <f aca="false">SUM(F52:F63)</f>
        <v>29046.16</v>
      </c>
      <c r="G64" s="28" t="n">
        <f aca="false">SUM(G52:G63)</f>
        <v>0</v>
      </c>
      <c r="H64" s="28" t="n">
        <f aca="false">SUM(H52:H63)</f>
        <v>36541.81</v>
      </c>
      <c r="I64" s="28" t="n">
        <f aca="false">SUM(I52:I63)</f>
        <v>36541.81</v>
      </c>
      <c r="J64" s="28" t="n">
        <f aca="false">SUM(J52:J63)</f>
        <v>229237.35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50466.79</v>
      </c>
    </row>
    <row r="68" customFormat="false" ht="15" hidden="false" customHeight="false" outlineLevel="0" collapsed="false">
      <c r="B68" s="5" t="s">
        <v>97</v>
      </c>
      <c r="D68" s="6" t="n">
        <f aca="false">I64</f>
        <v>36541.81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13924.98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265779.16</v>
      </c>
    </row>
    <row r="73" customFormat="false" ht="15" hidden="false" customHeight="false" outlineLevel="0" collapsed="false">
      <c r="B73" s="5" t="s">
        <v>106</v>
      </c>
      <c r="D73" s="6" t="n">
        <f aca="false">F110</f>
        <v>48410.29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0.182144792691797</v>
      </c>
    </row>
    <row r="75" customFormat="false" ht="15" hidden="false" customHeight="false" outlineLevel="0" collapsed="false">
      <c r="B75" s="5" t="s">
        <v>109</v>
      </c>
      <c r="D75" s="6" t="n">
        <f aca="false">H110</f>
        <v>217368.87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0.817855207308203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10896.11</v>
      </c>
      <c r="F81" s="33" t="n">
        <v>10896.11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4110.75</v>
      </c>
      <c r="F82" s="33" t="n">
        <v>4110.75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15651.6</v>
      </c>
      <c r="F83" s="33" t="n">
        <v>15651.6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3613.14</v>
      </c>
      <c r="F84" s="33" t="n">
        <v>3613.14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105.28</v>
      </c>
      <c r="F85" s="33" t="n">
        <v>105.28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2242.57</v>
      </c>
      <c r="F86" s="33" t="n">
        <v>2242.57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1932.23</v>
      </c>
      <c r="F87" s="33" t="n">
        <v>1932.23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4101.99</v>
      </c>
      <c r="F88" s="33" t="n">
        <v>4101.99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1746.74</v>
      </c>
      <c r="F89" s="33" t="n">
        <v>1746.74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66.45</v>
      </c>
      <c r="F90" s="33" t="n">
        <v>66.45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3538.89</v>
      </c>
      <c r="F92" s="33" t="n">
        <v>3538.89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12887.37</v>
      </c>
      <c r="H94" s="33" t="n">
        <v>12887.37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14646.87</v>
      </c>
      <c r="H95" s="33" t="n">
        <v>14646.87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21749.99</v>
      </c>
      <c r="H96" s="33" t="n">
        <v>21749.99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23506.63</v>
      </c>
      <c r="H97" s="33" t="n">
        <v>23506.63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18907.15</v>
      </c>
      <c r="H98" s="33" t="n">
        <v>18907.15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1701.46</v>
      </c>
      <c r="H99" s="33" t="n">
        <v>1701.46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9148.73</v>
      </c>
      <c r="H100" s="33" t="n">
        <v>9148.73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14572.68</v>
      </c>
      <c r="H101" s="33" t="n">
        <v>14572.68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7194.27</v>
      </c>
      <c r="H102" s="33" t="n">
        <v>7194.27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10004.05</v>
      </c>
      <c r="H103" s="33" t="n">
        <v>10004.05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25350.08</v>
      </c>
      <c r="H104" s="33" t="n">
        <v>25350.08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11072.6</v>
      </c>
      <c r="H105" s="33" t="n">
        <v>11072.6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1304.4</v>
      </c>
      <c r="H106" s="33" t="n">
        <v>1304.4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28145.62</v>
      </c>
      <c r="H107" s="33" t="n">
        <v>28145.62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13479.81</v>
      </c>
      <c r="H108" s="33" t="n">
        <v>13479.81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3697.16</v>
      </c>
      <c r="H109" s="33" t="n">
        <v>3697.16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265779.16</v>
      </c>
      <c r="F110" s="34" t="n">
        <f aca="false">SUM(F80:F109)</f>
        <v>48410.29</v>
      </c>
      <c r="H110" s="34" t="n">
        <f aca="false">SUM(H80:H109)</f>
        <v>217368.87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0.182144792691797</v>
      </c>
      <c r="H111" s="31" t="n">
        <f aca="false">H110/D110</f>
        <v>0.817855207308203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2'!B20</f>
        <v>2-Building-712 Northfield Dr - 5 Year</v>
      </c>
      <c r="D115" s="33" t="n">
        <f aca="false">SUM(F115:H115)</f>
        <v>6299.49</v>
      </c>
      <c r="F115" s="33" t="n">
        <f aca="false">'Building 2'!D20</f>
        <v>6299.49</v>
      </c>
    </row>
    <row r="116" customFormat="false" ht="15" hidden="false" customHeight="false" outlineLevel="0" collapsed="false">
      <c r="B116" s="5" t="str">
        <f aca="false">'Building 2'!B21</f>
        <v>2-Building-712 Northfield Dr - 27.5 Year</v>
      </c>
      <c r="D116" s="33" t="n">
        <f aca="false">SUM(F116:H116)</f>
        <v>28285.6</v>
      </c>
      <c r="H116" s="33" t="n">
        <f aca="false">'Building 2'!D21</f>
        <v>28285.6</v>
      </c>
    </row>
    <row r="117" customFormat="false" ht="15" hidden="false" customHeight="false" outlineLevel="0" collapsed="false">
      <c r="B117" s="5" t="str">
        <f aca="false">'Building 2'!B22</f>
        <v>3-Northfield Dr - 5 Year</v>
      </c>
      <c r="D117" s="33" t="n">
        <f aca="false">SUM(F117:H117)</f>
        <v>812.84</v>
      </c>
      <c r="F117" s="33" t="n">
        <f aca="false">'Building 2'!D22</f>
        <v>812.84</v>
      </c>
    </row>
    <row r="118" customFormat="false" ht="15" hidden="false" customHeight="false" outlineLevel="0" collapsed="false">
      <c r="B118" s="5" t="str">
        <f aca="false">'Building 2'!B23</f>
        <v>3-Northfield Dr - 27.5 Year</v>
      </c>
      <c r="D118" s="33" t="n">
        <f aca="false">SUM(F118:H118)</f>
        <v>3649.74</v>
      </c>
      <c r="H118" s="33" t="n">
        <f aca="false">'Building 2'!D23</f>
        <v>3649.74</v>
      </c>
    </row>
    <row r="119" customFormat="false" ht="15" hidden="false" customHeight="false" outlineLevel="0" collapsed="false">
      <c r="B119" s="5" t="str">
        <f aca="false">'Building 2'!B24</f>
        <v>4-Northfield Dr - 5 Year</v>
      </c>
      <c r="D119" s="33" t="n">
        <f aca="false">SUM(F119:H119)</f>
        <v>1524.07</v>
      </c>
      <c r="F119" s="33" t="n">
        <f aca="false">'Building 2'!D24</f>
        <v>1524.07</v>
      </c>
    </row>
    <row r="120" customFormat="false" ht="15" hidden="false" customHeight="false" outlineLevel="0" collapsed="false">
      <c r="B120" s="5" t="str">
        <f aca="false">'Building 2'!B25</f>
        <v>4-Northfield Dr - 27.5 Year</v>
      </c>
      <c r="D120" s="33" t="n">
        <f aca="false">SUM(F120:H120)</f>
        <v>6843.3</v>
      </c>
      <c r="H120" s="33" t="n">
        <f aca="false">'Building 2'!D25</f>
        <v>6843.3</v>
      </c>
    </row>
    <row r="121" customFormat="false" ht="15" hidden="false" customHeight="false" outlineLevel="0" collapsed="false">
      <c r="B121" s="5" t="str">
        <f aca="false">'Building 2'!B26</f>
        <v>7-Building-2202 Northview Dr - 5 Year</v>
      </c>
      <c r="D121" s="33" t="n">
        <f aca="false">SUM(F121:H121)</f>
        <v>29011.54</v>
      </c>
      <c r="F121" s="33" t="n">
        <f aca="false">'Building 2'!D26</f>
        <v>29011.54</v>
      </c>
    </row>
    <row r="122" customFormat="false" ht="15" hidden="false" customHeight="false" outlineLevel="0" collapsed="false">
      <c r="B122" s="5" t="str">
        <f aca="false">'Building 2'!B27</f>
        <v>7-Building-2202 Northview Dr - 27.5 Year</v>
      </c>
      <c r="D122" s="33" t="n">
        <f aca="false">SUM(F122:H122)</f>
        <v>130265.82</v>
      </c>
      <c r="H122" s="33" t="n">
        <f aca="false">'Building 2'!D27</f>
        <v>130265.82</v>
      </c>
    </row>
    <row r="123" customFormat="false" ht="15" hidden="false" customHeight="false" outlineLevel="0" collapsed="false">
      <c r="B123" s="5" t="str">
        <f aca="false">'Building 2'!B28</f>
        <v>8-Northiew Dr - 5 Year</v>
      </c>
      <c r="D123" s="33" t="n">
        <f aca="false">SUM(F123:H123)</f>
        <v>3743.42</v>
      </c>
      <c r="F123" s="33" t="n">
        <f aca="false">'Building 2'!D28</f>
        <v>3743.42</v>
      </c>
    </row>
    <row r="124" customFormat="false" ht="15" hidden="false" customHeight="false" outlineLevel="0" collapsed="false">
      <c r="B124" s="5" t="str">
        <f aca="false">'Building 2'!B29</f>
        <v>8-Northiew Dr - 27.5 Year</v>
      </c>
      <c r="D124" s="33" t="n">
        <f aca="false">SUM(F124:H124)</f>
        <v>16808.49</v>
      </c>
      <c r="H124" s="33" t="n">
        <f aca="false">'Building 2'!D29</f>
        <v>16808.49</v>
      </c>
    </row>
    <row r="125" customFormat="false" ht="15" hidden="false" customHeight="false" outlineLevel="0" collapsed="false">
      <c r="B125" s="5" t="str">
        <f aca="false">'Building 2'!B30</f>
        <v>9-Northview Dr - 5 Year</v>
      </c>
      <c r="D125" s="33" t="n">
        <f aca="false">SUM(F125:H125)</f>
        <v>7018.93</v>
      </c>
      <c r="F125" s="33" t="n">
        <f aca="false">'Building 2'!D30</f>
        <v>7018.93</v>
      </c>
    </row>
    <row r="126" customFormat="false" ht="15" hidden="false" customHeight="false" outlineLevel="0" collapsed="false">
      <c r="B126" s="5" t="str">
        <f aca="false">'Building 2'!B31</f>
        <v>9-Northview Dr - 27.5 Year</v>
      </c>
      <c r="D126" s="33" t="n">
        <f aca="false">SUM(F126:H126)</f>
        <v>31515.92</v>
      </c>
      <c r="H126" s="33" t="n">
        <f aca="false">'Building 2'!D31</f>
        <v>31515.92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265779.16</v>
      </c>
      <c r="F127" s="34" t="n">
        <f aca="false">SUM(F115:F126)</f>
        <v>48410.29</v>
      </c>
      <c r="H127" s="34" t="n">
        <f aca="false">SUM(H115:H126)</f>
        <v>217368.87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173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27290.76</v>
      </c>
      <c r="E10" s="24" t="n">
        <v>0</v>
      </c>
      <c r="F10" s="24" t="n">
        <v>0</v>
      </c>
      <c r="G10" s="24" t="n">
        <v>0</v>
      </c>
      <c r="H10" s="24" t="n">
        <v>454.85</v>
      </c>
      <c r="I10" s="24" t="n">
        <f aca="false">G10+H10</f>
        <v>454.85</v>
      </c>
      <c r="J10" s="24" t="n">
        <f aca="false">D10-I10</f>
        <v>26835.91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3521.38</v>
      </c>
      <c r="E11" s="24" t="n">
        <v>0</v>
      </c>
      <c r="F11" s="24" t="n">
        <v>2112.83</v>
      </c>
      <c r="G11" s="24" t="n">
        <v>0</v>
      </c>
      <c r="H11" s="24" t="n">
        <v>2159.79</v>
      </c>
      <c r="I11" s="24" t="n">
        <f aca="false">G11+H11</f>
        <v>2159.79</v>
      </c>
      <c r="J11" s="24" t="n">
        <f aca="false">D11-I11</f>
        <v>1361.59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6602.61</v>
      </c>
      <c r="E12" s="24" t="n">
        <v>0</v>
      </c>
      <c r="F12" s="24" t="n">
        <v>3961.57</v>
      </c>
      <c r="G12" s="24" t="n">
        <v>0</v>
      </c>
      <c r="H12" s="24" t="n">
        <v>4489.77</v>
      </c>
      <c r="I12" s="24" t="n">
        <f aca="false">G12+H12</f>
        <v>4489.77</v>
      </c>
      <c r="J12" s="24" t="n">
        <f aca="false">D12-I12</f>
        <v>2112.84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125684.23</v>
      </c>
      <c r="E13" s="24" t="n">
        <v>0</v>
      </c>
      <c r="F13" s="24" t="n">
        <v>0</v>
      </c>
      <c r="G13" s="24" t="n">
        <v>0</v>
      </c>
      <c r="H13" s="24" t="n">
        <v>2094.73</v>
      </c>
      <c r="I13" s="24" t="n">
        <f aca="false">G13+H13</f>
        <v>2094.73</v>
      </c>
      <c r="J13" s="24" t="n">
        <f aca="false">D13-I13</f>
        <v>123589.5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16217.32</v>
      </c>
      <c r="E14" s="24" t="n">
        <v>0</v>
      </c>
      <c r="F14" s="24" t="n">
        <v>9730.39</v>
      </c>
      <c r="G14" s="24" t="n">
        <v>0</v>
      </c>
      <c r="H14" s="24" t="n">
        <v>9946.62</v>
      </c>
      <c r="I14" s="24" t="n">
        <f aca="false">G14+H14</f>
        <v>9946.62</v>
      </c>
      <c r="J14" s="24" t="n">
        <f aca="false">D14-I14</f>
        <v>6270.7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30407.48</v>
      </c>
      <c r="E15" s="24" t="n">
        <v>0</v>
      </c>
      <c r="F15" s="24" t="n">
        <v>18244.49</v>
      </c>
      <c r="G15" s="24" t="n">
        <v>0</v>
      </c>
      <c r="H15" s="24" t="n">
        <v>20677.09</v>
      </c>
      <c r="I15" s="24" t="n">
        <f aca="false">G15+H15</f>
        <v>20677.09</v>
      </c>
      <c r="J15" s="24" t="n">
        <f aca="false">D15-I15</f>
        <v>9730.39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209723.78</v>
      </c>
      <c r="E16" s="28" t="n">
        <f aca="false">SUM(E10:E15)</f>
        <v>0</v>
      </c>
      <c r="F16" s="28" t="n">
        <f aca="false">SUM(F10:F15)</f>
        <v>34049.28</v>
      </c>
      <c r="G16" s="28" t="n">
        <f aca="false">SUM(G10:G15)</f>
        <v>0</v>
      </c>
      <c r="H16" s="28" t="n">
        <f aca="false">SUM(H10:H15)</f>
        <v>39822.85</v>
      </c>
      <c r="I16" s="28" t="n">
        <f aca="false">SUM(I10:I15)</f>
        <v>39822.85</v>
      </c>
      <c r="J16" s="28" t="n">
        <f aca="false">SUM(J10:J15)</f>
        <v>169900.93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5001.64</v>
      </c>
      <c r="E20" s="24" t="n">
        <v>0</v>
      </c>
      <c r="F20" s="24" t="n">
        <v>3000.98</v>
      </c>
      <c r="G20" s="24" t="n">
        <v>0</v>
      </c>
      <c r="H20" s="24" t="n">
        <v>3401.11</v>
      </c>
      <c r="I20" s="24" t="n">
        <f aca="false">G20+H20</f>
        <v>3401.11</v>
      </c>
      <c r="J20" s="24" t="n">
        <f aca="false">D20-I20</f>
        <v>1600.53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22289.12</v>
      </c>
      <c r="E21" s="24" t="n">
        <v>0</v>
      </c>
      <c r="F21" s="24" t="n">
        <v>0</v>
      </c>
      <c r="G21" s="24" t="n">
        <v>0</v>
      </c>
      <c r="H21" s="24" t="n">
        <v>371.49</v>
      </c>
      <c r="I21" s="24" t="n">
        <f aca="false">G21+H21</f>
        <v>371.49</v>
      </c>
      <c r="J21" s="24" t="n">
        <f aca="false">D21-I21</f>
        <v>21917.63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645.37</v>
      </c>
      <c r="E22" s="24" t="n">
        <v>0</v>
      </c>
      <c r="F22" s="24" t="n">
        <v>387.22</v>
      </c>
      <c r="G22" s="24" t="n">
        <v>0</v>
      </c>
      <c r="H22" s="24" t="n">
        <v>438.85</v>
      </c>
      <c r="I22" s="24" t="n">
        <f aca="false">G22+H22</f>
        <v>438.85</v>
      </c>
      <c r="J22" s="24" t="n">
        <f aca="false">D22-I22</f>
        <v>206.52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2876.01</v>
      </c>
      <c r="E23" s="24" t="n">
        <v>0</v>
      </c>
      <c r="F23" s="24" t="n">
        <v>0</v>
      </c>
      <c r="G23" s="24" t="n">
        <v>0</v>
      </c>
      <c r="H23" s="24" t="n">
        <v>47.93</v>
      </c>
      <c r="I23" s="24" t="n">
        <f aca="false">G23+H23</f>
        <v>47.93</v>
      </c>
      <c r="J23" s="24" t="n">
        <f aca="false">D23-I23</f>
        <v>2828.08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1210.08</v>
      </c>
      <c r="E24" s="24" t="n">
        <v>0</v>
      </c>
      <c r="F24" s="24" t="n">
        <v>726.05</v>
      </c>
      <c r="G24" s="24" t="n">
        <v>0</v>
      </c>
      <c r="H24" s="24" t="n">
        <v>822.86</v>
      </c>
      <c r="I24" s="24" t="n">
        <f aca="false">G24+H24</f>
        <v>822.86</v>
      </c>
      <c r="J24" s="24" t="n">
        <f aca="false">D24-I24</f>
        <v>387.22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5392.53</v>
      </c>
      <c r="E25" s="24" t="n">
        <v>0</v>
      </c>
      <c r="F25" s="24" t="n">
        <v>0</v>
      </c>
      <c r="G25" s="24" t="n">
        <v>0</v>
      </c>
      <c r="H25" s="24" t="n">
        <v>89.88</v>
      </c>
      <c r="I25" s="24" t="n">
        <f aca="false">G25+H25</f>
        <v>89.88</v>
      </c>
      <c r="J25" s="24" t="n">
        <f aca="false">D25-I25</f>
        <v>5302.65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23034.43</v>
      </c>
      <c r="E26" s="24" t="n">
        <v>0</v>
      </c>
      <c r="F26" s="24" t="n">
        <v>13820.66</v>
      </c>
      <c r="G26" s="24" t="n">
        <v>0</v>
      </c>
      <c r="H26" s="24" t="n">
        <v>15663.41</v>
      </c>
      <c r="I26" s="24" t="n">
        <f aca="false">G26+H26</f>
        <v>15663.41</v>
      </c>
      <c r="J26" s="24" t="n">
        <f aca="false">D26-I26</f>
        <v>7371.02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102649.8</v>
      </c>
      <c r="E27" s="24" t="n">
        <v>0</v>
      </c>
      <c r="F27" s="24" t="n">
        <v>0</v>
      </c>
      <c r="G27" s="24" t="n">
        <v>0</v>
      </c>
      <c r="H27" s="24" t="n">
        <v>1710.83</v>
      </c>
      <c r="I27" s="24" t="n">
        <f aca="false">G27+H27</f>
        <v>1710.83</v>
      </c>
      <c r="J27" s="24" t="n">
        <f aca="false">D27-I27</f>
        <v>100938.97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2972.18</v>
      </c>
      <c r="E28" s="24" t="n">
        <v>0</v>
      </c>
      <c r="F28" s="24" t="n">
        <v>1783.31</v>
      </c>
      <c r="G28" s="24" t="n">
        <v>0</v>
      </c>
      <c r="H28" s="24" t="n">
        <v>2021.08</v>
      </c>
      <c r="I28" s="24" t="n">
        <f aca="false">G28+H28</f>
        <v>2021.08</v>
      </c>
      <c r="J28" s="24" t="n">
        <f aca="false">D28-I28</f>
        <v>951.1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13245.14</v>
      </c>
      <c r="E29" s="24" t="n">
        <v>0</v>
      </c>
      <c r="F29" s="24" t="n">
        <v>0</v>
      </c>
      <c r="G29" s="24" t="n">
        <v>0</v>
      </c>
      <c r="H29" s="24" t="n">
        <v>220.75</v>
      </c>
      <c r="I29" s="24" t="n">
        <f aca="false">G29+H29</f>
        <v>220.75</v>
      </c>
      <c r="J29" s="24" t="n">
        <f aca="false">D29-I29</f>
        <v>13024.39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5572.85</v>
      </c>
      <c r="E30" s="24" t="n">
        <v>0</v>
      </c>
      <c r="F30" s="24" t="n">
        <v>3343.71</v>
      </c>
      <c r="G30" s="24" t="n">
        <v>0</v>
      </c>
      <c r="H30" s="24" t="n">
        <v>3789.54</v>
      </c>
      <c r="I30" s="24" t="n">
        <f aca="false">G30+H30</f>
        <v>3789.54</v>
      </c>
      <c r="J30" s="24" t="n">
        <f aca="false">D30-I30</f>
        <v>1783.31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24834.63</v>
      </c>
      <c r="E31" s="24" t="n">
        <v>0</v>
      </c>
      <c r="F31" s="24" t="n">
        <v>0</v>
      </c>
      <c r="G31" s="24" t="n">
        <v>0</v>
      </c>
      <c r="H31" s="24" t="n">
        <v>413.91</v>
      </c>
      <c r="I31" s="24" t="n">
        <f aca="false">G31+H31</f>
        <v>413.91</v>
      </c>
      <c r="J31" s="24" t="n">
        <f aca="false">D31-I31</f>
        <v>24420.72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209723.78</v>
      </c>
      <c r="E32" s="28" t="n">
        <f aca="false">SUM(E20:E31)</f>
        <v>0</v>
      </c>
      <c r="F32" s="28" t="n">
        <f aca="false">SUM(F20:F31)</f>
        <v>23061.93</v>
      </c>
      <c r="G32" s="28" t="n">
        <f aca="false">SUM(G20:G31)</f>
        <v>0</v>
      </c>
      <c r="H32" s="28" t="n">
        <f aca="false">SUM(H20:H31)</f>
        <v>28991.64</v>
      </c>
      <c r="I32" s="28" t="n">
        <f aca="false">SUM(I20:I31)</f>
        <v>28991.64</v>
      </c>
      <c r="J32" s="28" t="n">
        <f aca="false">SUM(J20:J31)</f>
        <v>180732.14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39822.85</v>
      </c>
    </row>
    <row r="36" customFormat="false" ht="15" hidden="false" customHeight="false" outlineLevel="0" collapsed="false">
      <c r="B36" s="5" t="s">
        <v>97</v>
      </c>
      <c r="D36" s="6" t="n">
        <f aca="false">I32</f>
        <v>28991.64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10831.21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27290.76</v>
      </c>
      <c r="E42" s="24" t="n">
        <v>0</v>
      </c>
      <c r="F42" s="24" t="n">
        <v>0</v>
      </c>
      <c r="G42" s="24" t="n">
        <v>0</v>
      </c>
      <c r="H42" s="24" t="n">
        <v>454.85</v>
      </c>
      <c r="I42" s="24" t="n">
        <f aca="false">G42+H42</f>
        <v>454.85</v>
      </c>
      <c r="J42" s="24" t="n">
        <f aca="false">D42-I42</f>
        <v>26835.91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3521.38</v>
      </c>
      <c r="E43" s="24" t="n">
        <v>0</v>
      </c>
      <c r="F43" s="24" t="n">
        <v>2112.83</v>
      </c>
      <c r="G43" s="24" t="n">
        <v>0</v>
      </c>
      <c r="H43" s="24" t="n">
        <v>2159.79</v>
      </c>
      <c r="I43" s="24" t="n">
        <f aca="false">G43+H43</f>
        <v>2159.79</v>
      </c>
      <c r="J43" s="24" t="n">
        <f aca="false">D43-I43</f>
        <v>1361.59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6602.61</v>
      </c>
      <c r="E44" s="24" t="n">
        <v>0</v>
      </c>
      <c r="F44" s="24" t="n">
        <v>3961.57</v>
      </c>
      <c r="G44" s="24" t="n">
        <v>0</v>
      </c>
      <c r="H44" s="24" t="n">
        <v>4489.77</v>
      </c>
      <c r="I44" s="24" t="n">
        <f aca="false">G44+H44</f>
        <v>4489.77</v>
      </c>
      <c r="J44" s="24" t="n">
        <f aca="false">D44-I44</f>
        <v>2112.84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125684.23</v>
      </c>
      <c r="E45" s="24" t="n">
        <v>0</v>
      </c>
      <c r="F45" s="24" t="n">
        <v>0</v>
      </c>
      <c r="G45" s="24" t="n">
        <v>0</v>
      </c>
      <c r="H45" s="24" t="n">
        <v>2094.73</v>
      </c>
      <c r="I45" s="24" t="n">
        <f aca="false">G45+H45</f>
        <v>2094.73</v>
      </c>
      <c r="J45" s="24" t="n">
        <f aca="false">D45-I45</f>
        <v>123589.5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16217.32</v>
      </c>
      <c r="E46" s="24" t="n">
        <v>0</v>
      </c>
      <c r="F46" s="24" t="n">
        <v>9730.39</v>
      </c>
      <c r="G46" s="24" t="n">
        <v>0</v>
      </c>
      <c r="H46" s="24" t="n">
        <v>9946.62</v>
      </c>
      <c r="I46" s="24" t="n">
        <f aca="false">G46+H46</f>
        <v>9946.62</v>
      </c>
      <c r="J46" s="24" t="n">
        <f aca="false">D46-I46</f>
        <v>6270.7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30407.48</v>
      </c>
      <c r="E47" s="24" t="n">
        <v>0</v>
      </c>
      <c r="F47" s="24" t="n">
        <v>18244.49</v>
      </c>
      <c r="G47" s="24" t="n">
        <v>0</v>
      </c>
      <c r="H47" s="24" t="n">
        <v>20677.09</v>
      </c>
      <c r="I47" s="24" t="n">
        <f aca="false">G47+H47</f>
        <v>20677.09</v>
      </c>
      <c r="J47" s="24" t="n">
        <f aca="false">D47-I47</f>
        <v>9730.39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209723.78</v>
      </c>
      <c r="E48" s="28" t="n">
        <f aca="false">SUM(E42:E47)</f>
        <v>0</v>
      </c>
      <c r="F48" s="28" t="n">
        <f aca="false">SUM(F42:F47)</f>
        <v>34049.28</v>
      </c>
      <c r="G48" s="28" t="n">
        <f aca="false">SUM(G42:G47)</f>
        <v>0</v>
      </c>
      <c r="H48" s="28" t="n">
        <f aca="false">SUM(H42:H47)</f>
        <v>39822.85</v>
      </c>
      <c r="I48" s="28" t="n">
        <f aca="false">SUM(I42:I47)</f>
        <v>39822.85</v>
      </c>
      <c r="J48" s="28" t="n">
        <f aca="false">SUM(J42:J47)</f>
        <v>169900.93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5001.64</v>
      </c>
      <c r="E52" s="24" t="n">
        <v>0</v>
      </c>
      <c r="F52" s="24" t="n">
        <v>3000.98</v>
      </c>
      <c r="G52" s="24" t="n">
        <v>0</v>
      </c>
      <c r="H52" s="24" t="n">
        <v>3401.11</v>
      </c>
      <c r="I52" s="24" t="n">
        <f aca="false">G52+H52</f>
        <v>3401.11</v>
      </c>
      <c r="J52" s="24" t="n">
        <f aca="false">D52-I52</f>
        <v>1600.53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22289.12</v>
      </c>
      <c r="E53" s="24" t="n">
        <v>0</v>
      </c>
      <c r="F53" s="24" t="n">
        <v>0</v>
      </c>
      <c r="G53" s="24" t="n">
        <v>0</v>
      </c>
      <c r="H53" s="24" t="n">
        <v>371.49</v>
      </c>
      <c r="I53" s="24" t="n">
        <f aca="false">G53+H53</f>
        <v>371.49</v>
      </c>
      <c r="J53" s="24" t="n">
        <f aca="false">D53-I53</f>
        <v>21917.63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645.37</v>
      </c>
      <c r="E54" s="24" t="n">
        <v>0</v>
      </c>
      <c r="F54" s="24" t="n">
        <v>387.22</v>
      </c>
      <c r="G54" s="24" t="n">
        <v>0</v>
      </c>
      <c r="H54" s="24" t="n">
        <v>438.85</v>
      </c>
      <c r="I54" s="24" t="n">
        <f aca="false">G54+H54</f>
        <v>438.85</v>
      </c>
      <c r="J54" s="24" t="n">
        <f aca="false">D54-I54</f>
        <v>206.52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2876.01</v>
      </c>
      <c r="E55" s="24" t="n">
        <v>0</v>
      </c>
      <c r="F55" s="24" t="n">
        <v>0</v>
      </c>
      <c r="G55" s="24" t="n">
        <v>0</v>
      </c>
      <c r="H55" s="24" t="n">
        <v>47.93</v>
      </c>
      <c r="I55" s="24" t="n">
        <f aca="false">G55+H55</f>
        <v>47.93</v>
      </c>
      <c r="J55" s="24" t="n">
        <f aca="false">D55-I55</f>
        <v>2828.08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1210.08</v>
      </c>
      <c r="E56" s="24" t="n">
        <v>0</v>
      </c>
      <c r="F56" s="24" t="n">
        <v>726.05</v>
      </c>
      <c r="G56" s="24" t="n">
        <v>0</v>
      </c>
      <c r="H56" s="24" t="n">
        <v>822.86</v>
      </c>
      <c r="I56" s="24" t="n">
        <f aca="false">G56+H56</f>
        <v>822.86</v>
      </c>
      <c r="J56" s="24" t="n">
        <f aca="false">D56-I56</f>
        <v>387.22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5392.53</v>
      </c>
      <c r="E57" s="24" t="n">
        <v>0</v>
      </c>
      <c r="F57" s="24" t="n">
        <v>0</v>
      </c>
      <c r="G57" s="24" t="n">
        <v>0</v>
      </c>
      <c r="H57" s="24" t="n">
        <v>89.88</v>
      </c>
      <c r="I57" s="24" t="n">
        <f aca="false">G57+H57</f>
        <v>89.88</v>
      </c>
      <c r="J57" s="24" t="n">
        <f aca="false">D57-I57</f>
        <v>5302.65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23034.43</v>
      </c>
      <c r="E58" s="24" t="n">
        <v>0</v>
      </c>
      <c r="F58" s="24" t="n">
        <v>13820.66</v>
      </c>
      <c r="G58" s="24" t="n">
        <v>0</v>
      </c>
      <c r="H58" s="24" t="n">
        <v>15663.41</v>
      </c>
      <c r="I58" s="24" t="n">
        <f aca="false">G58+H58</f>
        <v>15663.41</v>
      </c>
      <c r="J58" s="24" t="n">
        <f aca="false">D58-I58</f>
        <v>7371.02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102649.8</v>
      </c>
      <c r="E59" s="24" t="n">
        <v>0</v>
      </c>
      <c r="F59" s="24" t="n">
        <v>0</v>
      </c>
      <c r="G59" s="24" t="n">
        <v>0</v>
      </c>
      <c r="H59" s="24" t="n">
        <v>1710.83</v>
      </c>
      <c r="I59" s="24" t="n">
        <f aca="false">G59+H59</f>
        <v>1710.83</v>
      </c>
      <c r="J59" s="24" t="n">
        <f aca="false">D59-I59</f>
        <v>100938.97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2972.18</v>
      </c>
      <c r="E60" s="24" t="n">
        <v>0</v>
      </c>
      <c r="F60" s="24" t="n">
        <v>1783.31</v>
      </c>
      <c r="G60" s="24" t="n">
        <v>0</v>
      </c>
      <c r="H60" s="24" t="n">
        <v>2021.08</v>
      </c>
      <c r="I60" s="24" t="n">
        <f aca="false">G60+H60</f>
        <v>2021.08</v>
      </c>
      <c r="J60" s="24" t="n">
        <f aca="false">D60-I60</f>
        <v>951.1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13245.14</v>
      </c>
      <c r="E61" s="24" t="n">
        <v>0</v>
      </c>
      <c r="F61" s="24" t="n">
        <v>0</v>
      </c>
      <c r="G61" s="24" t="n">
        <v>0</v>
      </c>
      <c r="H61" s="24" t="n">
        <v>220.75</v>
      </c>
      <c r="I61" s="24" t="n">
        <f aca="false">G61+H61</f>
        <v>220.75</v>
      </c>
      <c r="J61" s="24" t="n">
        <f aca="false">D61-I61</f>
        <v>13024.39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5572.85</v>
      </c>
      <c r="E62" s="24" t="n">
        <v>0</v>
      </c>
      <c r="F62" s="24" t="n">
        <v>3343.71</v>
      </c>
      <c r="G62" s="24" t="n">
        <v>0</v>
      </c>
      <c r="H62" s="24" t="n">
        <v>3789.54</v>
      </c>
      <c r="I62" s="24" t="n">
        <f aca="false">G62+H62</f>
        <v>3789.54</v>
      </c>
      <c r="J62" s="24" t="n">
        <f aca="false">D62-I62</f>
        <v>1783.31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24834.63</v>
      </c>
      <c r="E63" s="24" t="n">
        <v>0</v>
      </c>
      <c r="F63" s="24" t="n">
        <v>0</v>
      </c>
      <c r="G63" s="24" t="n">
        <v>0</v>
      </c>
      <c r="H63" s="24" t="n">
        <v>413.91</v>
      </c>
      <c r="I63" s="24" t="n">
        <f aca="false">G63+H63</f>
        <v>413.91</v>
      </c>
      <c r="J63" s="24" t="n">
        <f aca="false">D63-I63</f>
        <v>24420.72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209723.78</v>
      </c>
      <c r="E64" s="28" t="n">
        <f aca="false">SUM(E52:E63)</f>
        <v>0</v>
      </c>
      <c r="F64" s="28" t="n">
        <f aca="false">SUM(F52:F63)</f>
        <v>23061.93</v>
      </c>
      <c r="G64" s="28" t="n">
        <f aca="false">SUM(G52:G63)</f>
        <v>0</v>
      </c>
      <c r="H64" s="28" t="n">
        <f aca="false">SUM(H52:H63)</f>
        <v>28991.64</v>
      </c>
      <c r="I64" s="28" t="n">
        <f aca="false">SUM(I52:I63)</f>
        <v>28991.64</v>
      </c>
      <c r="J64" s="28" t="n">
        <f aca="false">SUM(J52:J63)</f>
        <v>180732.14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39822.85</v>
      </c>
    </row>
    <row r="68" customFormat="false" ht="15" hidden="false" customHeight="false" outlineLevel="0" collapsed="false">
      <c r="B68" s="5" t="s">
        <v>97</v>
      </c>
      <c r="D68" s="6" t="n">
        <f aca="false">I64</f>
        <v>28991.64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10831.21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209723.78</v>
      </c>
    </row>
    <row r="73" customFormat="false" ht="15" hidden="false" customHeight="false" outlineLevel="0" collapsed="false">
      <c r="B73" s="5" t="s">
        <v>106</v>
      </c>
      <c r="D73" s="6" t="n">
        <f aca="false">F110</f>
        <v>38436.55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0.183272254581717</v>
      </c>
    </row>
    <row r="75" customFormat="false" ht="15" hidden="false" customHeight="false" outlineLevel="0" collapsed="false">
      <c r="B75" s="5" t="s">
        <v>109</v>
      </c>
      <c r="D75" s="6" t="n">
        <f aca="false">H110</f>
        <v>171287.23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0.816727745418283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8655.83</v>
      </c>
      <c r="F81" s="33" t="n">
        <v>8655.83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3397.22</v>
      </c>
      <c r="F82" s="33" t="n">
        <v>3397.22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12211.66</v>
      </c>
      <c r="F83" s="33" t="n">
        <v>12211.66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2823.29</v>
      </c>
      <c r="F84" s="33" t="n">
        <v>2823.29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90.34</v>
      </c>
      <c r="F85" s="33" t="n">
        <v>90.34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1794.05</v>
      </c>
      <c r="F86" s="33" t="n">
        <v>1794.05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1507.56</v>
      </c>
      <c r="F87" s="33" t="n">
        <v>1507.56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3281.59</v>
      </c>
      <c r="F88" s="33" t="n">
        <v>3281.59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1386.19</v>
      </c>
      <c r="F89" s="33" t="n">
        <v>1386.19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53.16</v>
      </c>
      <c r="F90" s="33" t="n">
        <v>53.16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2831.12</v>
      </c>
      <c r="F92" s="33" t="n">
        <v>2831.12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9211.22</v>
      </c>
      <c r="H94" s="33" t="n">
        <v>9211.22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11470.72</v>
      </c>
      <c r="H95" s="33" t="n">
        <v>11470.72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16969.73</v>
      </c>
      <c r="H96" s="33" t="n">
        <v>16969.73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18340.3</v>
      </c>
      <c r="H97" s="33" t="n">
        <v>18340.3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14751.7</v>
      </c>
      <c r="H98" s="33" t="n">
        <v>14751.7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1388.53</v>
      </c>
      <c r="H99" s="33" t="n">
        <v>1388.53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7649.12</v>
      </c>
      <c r="H100" s="33" t="n">
        <v>7649.12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11108.31</v>
      </c>
      <c r="H101" s="33" t="n">
        <v>11108.31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5556.95</v>
      </c>
      <c r="H102" s="33" t="n">
        <v>5556.95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7805.36</v>
      </c>
      <c r="H103" s="33" t="n">
        <v>7805.36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21030.97</v>
      </c>
      <c r="H104" s="33" t="n">
        <v>21030.97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9062.11</v>
      </c>
      <c r="H105" s="33" t="n">
        <v>9062.11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1169.97</v>
      </c>
      <c r="H106" s="33" t="n">
        <v>1169.97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22012.51</v>
      </c>
      <c r="H107" s="33" t="n">
        <v>22012.51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10783.85</v>
      </c>
      <c r="H108" s="33" t="n">
        <v>10783.85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2975.88</v>
      </c>
      <c r="H109" s="33" t="n">
        <v>2975.88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209723.78</v>
      </c>
      <c r="F110" s="34" t="n">
        <f aca="false">SUM(F80:F109)</f>
        <v>38436.55</v>
      </c>
      <c r="H110" s="34" t="n">
        <f aca="false">SUM(H80:H109)</f>
        <v>171287.23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0.183272254581717</v>
      </c>
      <c r="H111" s="31" t="n">
        <f aca="false">H110/D110</f>
        <v>0.816727745418283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3'!B20</f>
        <v>2-Building-712 Northfield Dr - 5 Year</v>
      </c>
      <c r="D115" s="33" t="n">
        <f aca="false">SUM(F115:H115)</f>
        <v>5001.64</v>
      </c>
      <c r="F115" s="33" t="n">
        <f aca="false">'Building 3'!D20</f>
        <v>5001.64</v>
      </c>
    </row>
    <row r="116" customFormat="false" ht="15" hidden="false" customHeight="false" outlineLevel="0" collapsed="false">
      <c r="B116" s="5" t="str">
        <f aca="false">'Building 3'!B21</f>
        <v>2-Building-712 Northfield Dr - 27.5 Year</v>
      </c>
      <c r="D116" s="33" t="n">
        <f aca="false">SUM(F116:H116)</f>
        <v>22289.12</v>
      </c>
      <c r="H116" s="33" t="n">
        <f aca="false">'Building 3'!D21</f>
        <v>22289.12</v>
      </c>
    </row>
    <row r="117" customFormat="false" ht="15" hidden="false" customHeight="false" outlineLevel="0" collapsed="false">
      <c r="B117" s="5" t="str">
        <f aca="false">'Building 3'!B22</f>
        <v>3-Northfield Dr - 5 Year</v>
      </c>
      <c r="D117" s="33" t="n">
        <f aca="false">SUM(F117:H117)</f>
        <v>645.37</v>
      </c>
      <c r="F117" s="33" t="n">
        <f aca="false">'Building 3'!D22</f>
        <v>645.37</v>
      </c>
    </row>
    <row r="118" customFormat="false" ht="15" hidden="false" customHeight="false" outlineLevel="0" collapsed="false">
      <c r="B118" s="5" t="str">
        <f aca="false">'Building 3'!B23</f>
        <v>3-Northfield Dr - 27.5 Year</v>
      </c>
      <c r="D118" s="33" t="n">
        <f aca="false">SUM(F118:H118)</f>
        <v>2876.01</v>
      </c>
      <c r="H118" s="33" t="n">
        <f aca="false">'Building 3'!D23</f>
        <v>2876.01</v>
      </c>
    </row>
    <row r="119" customFormat="false" ht="15" hidden="false" customHeight="false" outlineLevel="0" collapsed="false">
      <c r="B119" s="5" t="str">
        <f aca="false">'Building 3'!B24</f>
        <v>4-Northfield Dr - 5 Year</v>
      </c>
      <c r="D119" s="33" t="n">
        <f aca="false">SUM(F119:H119)</f>
        <v>1210.08</v>
      </c>
      <c r="F119" s="33" t="n">
        <f aca="false">'Building 3'!D24</f>
        <v>1210.08</v>
      </c>
    </row>
    <row r="120" customFormat="false" ht="15" hidden="false" customHeight="false" outlineLevel="0" collapsed="false">
      <c r="B120" s="5" t="str">
        <f aca="false">'Building 3'!B25</f>
        <v>4-Northfield Dr - 27.5 Year</v>
      </c>
      <c r="D120" s="33" t="n">
        <f aca="false">SUM(F120:H120)</f>
        <v>5392.53</v>
      </c>
      <c r="H120" s="33" t="n">
        <f aca="false">'Building 3'!D25</f>
        <v>5392.53</v>
      </c>
    </row>
    <row r="121" customFormat="false" ht="15" hidden="false" customHeight="false" outlineLevel="0" collapsed="false">
      <c r="B121" s="5" t="str">
        <f aca="false">'Building 3'!B26</f>
        <v>7-Building-2202 Northview Dr - 5 Year</v>
      </c>
      <c r="D121" s="33" t="n">
        <f aca="false">SUM(F121:H121)</f>
        <v>23034.43</v>
      </c>
      <c r="F121" s="33" t="n">
        <f aca="false">'Building 3'!D26</f>
        <v>23034.43</v>
      </c>
    </row>
    <row r="122" customFormat="false" ht="15" hidden="false" customHeight="false" outlineLevel="0" collapsed="false">
      <c r="B122" s="5" t="str">
        <f aca="false">'Building 3'!B27</f>
        <v>7-Building-2202 Northview Dr - 27.5 Year</v>
      </c>
      <c r="D122" s="33" t="n">
        <f aca="false">SUM(F122:H122)</f>
        <v>102649.8</v>
      </c>
      <c r="H122" s="33" t="n">
        <f aca="false">'Building 3'!D27</f>
        <v>102649.8</v>
      </c>
    </row>
    <row r="123" customFormat="false" ht="15" hidden="false" customHeight="false" outlineLevel="0" collapsed="false">
      <c r="B123" s="5" t="str">
        <f aca="false">'Building 3'!B28</f>
        <v>8-Northiew Dr - 5 Year</v>
      </c>
      <c r="D123" s="33" t="n">
        <f aca="false">SUM(F123:H123)</f>
        <v>2972.18</v>
      </c>
      <c r="F123" s="33" t="n">
        <f aca="false">'Building 3'!D28</f>
        <v>2972.18</v>
      </c>
    </row>
    <row r="124" customFormat="false" ht="15" hidden="false" customHeight="false" outlineLevel="0" collapsed="false">
      <c r="B124" s="5" t="str">
        <f aca="false">'Building 3'!B29</f>
        <v>8-Northiew Dr - 27.5 Year</v>
      </c>
      <c r="D124" s="33" t="n">
        <f aca="false">SUM(F124:H124)</f>
        <v>13245.14</v>
      </c>
      <c r="H124" s="33" t="n">
        <f aca="false">'Building 3'!D29</f>
        <v>13245.14</v>
      </c>
    </row>
    <row r="125" customFormat="false" ht="15" hidden="false" customHeight="false" outlineLevel="0" collapsed="false">
      <c r="B125" s="5" t="str">
        <f aca="false">'Building 3'!B30</f>
        <v>9-Northview Dr - 5 Year</v>
      </c>
      <c r="D125" s="33" t="n">
        <f aca="false">SUM(F125:H125)</f>
        <v>5572.85</v>
      </c>
      <c r="F125" s="33" t="n">
        <f aca="false">'Building 3'!D30</f>
        <v>5572.85</v>
      </c>
    </row>
    <row r="126" customFormat="false" ht="15" hidden="false" customHeight="false" outlineLevel="0" collapsed="false">
      <c r="B126" s="5" t="str">
        <f aca="false">'Building 3'!B31</f>
        <v>9-Northview Dr - 27.5 Year</v>
      </c>
      <c r="D126" s="33" t="n">
        <f aca="false">SUM(F126:H126)</f>
        <v>24834.63</v>
      </c>
      <c r="H126" s="33" t="n">
        <f aca="false">'Building 3'!D31</f>
        <v>24834.63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209723.78</v>
      </c>
      <c r="F127" s="34" t="n">
        <f aca="false">SUM(F115:F126)</f>
        <v>38436.55</v>
      </c>
      <c r="H127" s="34" t="n">
        <f aca="false">SUM(H115:H126)</f>
        <v>171287.23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174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53518.91</v>
      </c>
      <c r="E10" s="24" t="n">
        <v>0</v>
      </c>
      <c r="F10" s="24" t="n">
        <v>0</v>
      </c>
      <c r="G10" s="24" t="n">
        <v>0</v>
      </c>
      <c r="H10" s="24" t="n">
        <v>892</v>
      </c>
      <c r="I10" s="24" t="n">
        <f aca="false">G10+H10</f>
        <v>892</v>
      </c>
      <c r="J10" s="24" t="n">
        <f aca="false">D10-I10</f>
        <v>52626.91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6905.65</v>
      </c>
      <c r="E11" s="24" t="n">
        <v>0</v>
      </c>
      <c r="F11" s="24" t="n">
        <v>4143.39</v>
      </c>
      <c r="G11" s="24" t="n">
        <v>0</v>
      </c>
      <c r="H11" s="24" t="n">
        <v>4235.49</v>
      </c>
      <c r="I11" s="24" t="n">
        <f aca="false">G11+H11</f>
        <v>4235.49</v>
      </c>
      <c r="J11" s="24" t="n">
        <f aca="false">D11-I11</f>
        <v>2670.16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12948.13</v>
      </c>
      <c r="E12" s="24" t="n">
        <v>0</v>
      </c>
      <c r="F12" s="24" t="n">
        <v>7768.88</v>
      </c>
      <c r="G12" s="24" t="n">
        <v>0</v>
      </c>
      <c r="H12" s="24" t="n">
        <v>8804.72</v>
      </c>
      <c r="I12" s="24" t="n">
        <f aca="false">G12+H12</f>
        <v>8804.72</v>
      </c>
      <c r="J12" s="24" t="n">
        <f aca="false">D12-I12</f>
        <v>4143.41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246474.74</v>
      </c>
      <c r="E13" s="24" t="n">
        <v>0</v>
      </c>
      <c r="F13" s="24" t="n">
        <v>0</v>
      </c>
      <c r="G13" s="24" t="n">
        <v>0</v>
      </c>
      <c r="H13" s="24" t="n">
        <v>4107.9</v>
      </c>
      <c r="I13" s="24" t="n">
        <f aca="false">G13+H13</f>
        <v>4107.9</v>
      </c>
      <c r="J13" s="24" t="n">
        <f aca="false">D13-I13</f>
        <v>242366.84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31803.19</v>
      </c>
      <c r="E14" s="24" t="n">
        <v>0</v>
      </c>
      <c r="F14" s="24" t="n">
        <v>19081.91</v>
      </c>
      <c r="G14" s="24" t="n">
        <v>0</v>
      </c>
      <c r="H14" s="24" t="n">
        <v>19505.96</v>
      </c>
      <c r="I14" s="24" t="n">
        <f aca="false">G14+H14</f>
        <v>19505.96</v>
      </c>
      <c r="J14" s="24" t="n">
        <f aca="false">D14-I14</f>
        <v>12297.23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59631</v>
      </c>
      <c r="E15" s="24" t="n">
        <v>0</v>
      </c>
      <c r="F15" s="24" t="n">
        <v>35778.6</v>
      </c>
      <c r="G15" s="24" t="n">
        <v>0</v>
      </c>
      <c r="H15" s="24" t="n">
        <v>40549.09</v>
      </c>
      <c r="I15" s="24" t="n">
        <f aca="false">G15+H15</f>
        <v>40549.09</v>
      </c>
      <c r="J15" s="24" t="n">
        <f aca="false">D15-I15</f>
        <v>19081.91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411281.62</v>
      </c>
      <c r="E16" s="28" t="n">
        <f aca="false">SUM(E10:E15)</f>
        <v>0</v>
      </c>
      <c r="F16" s="28" t="n">
        <f aca="false">SUM(F10:F15)</f>
        <v>66772.78</v>
      </c>
      <c r="G16" s="28" t="n">
        <f aca="false">SUM(G10:G15)</f>
        <v>0</v>
      </c>
      <c r="H16" s="28" t="n">
        <f aca="false">SUM(H10:H15)</f>
        <v>78095.16</v>
      </c>
      <c r="I16" s="28" t="n">
        <f aca="false">SUM(I10:I15)</f>
        <v>78095.16</v>
      </c>
      <c r="J16" s="28" t="n">
        <f aca="false">SUM(J10:J15)</f>
        <v>333186.46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9996.83</v>
      </c>
      <c r="E20" s="24" t="n">
        <v>0</v>
      </c>
      <c r="F20" s="24" t="n">
        <v>5998.1</v>
      </c>
      <c r="G20" s="24" t="n">
        <v>0</v>
      </c>
      <c r="H20" s="24" t="n">
        <v>6797.85</v>
      </c>
      <c r="I20" s="24" t="n">
        <f aca="false">G20+H20</f>
        <v>6797.85</v>
      </c>
      <c r="J20" s="24" t="n">
        <f aca="false">D20-I20</f>
        <v>3198.98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43522.08</v>
      </c>
      <c r="E21" s="24" t="n">
        <v>0</v>
      </c>
      <c r="F21" s="24" t="n">
        <v>0</v>
      </c>
      <c r="G21" s="24" t="n">
        <v>0</v>
      </c>
      <c r="H21" s="24" t="n">
        <v>725.37</v>
      </c>
      <c r="I21" s="24" t="n">
        <f aca="false">G21+H21</f>
        <v>725.37</v>
      </c>
      <c r="J21" s="24" t="n">
        <f aca="false">D21-I21</f>
        <v>42796.71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1289.91</v>
      </c>
      <c r="E22" s="24" t="n">
        <v>0</v>
      </c>
      <c r="F22" s="24" t="n">
        <v>773.95</v>
      </c>
      <c r="G22" s="24" t="n">
        <v>0</v>
      </c>
      <c r="H22" s="24" t="n">
        <v>877.14</v>
      </c>
      <c r="I22" s="24" t="n">
        <f aca="false">G22+H22</f>
        <v>877.14</v>
      </c>
      <c r="J22" s="24" t="n">
        <f aca="false">D22-I22</f>
        <v>412.77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5615.74</v>
      </c>
      <c r="E23" s="24" t="n">
        <v>0</v>
      </c>
      <c r="F23" s="24" t="n">
        <v>0</v>
      </c>
      <c r="G23" s="24" t="n">
        <v>0</v>
      </c>
      <c r="H23" s="24" t="n">
        <v>93.6</v>
      </c>
      <c r="I23" s="24" t="n">
        <f aca="false">G23+H23</f>
        <v>93.6</v>
      </c>
      <c r="J23" s="24" t="n">
        <f aca="false">D23-I23</f>
        <v>5522.14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2418.59</v>
      </c>
      <c r="E24" s="24" t="n">
        <v>0</v>
      </c>
      <c r="F24" s="24" t="n">
        <v>1451.15</v>
      </c>
      <c r="G24" s="24" t="n">
        <v>0</v>
      </c>
      <c r="H24" s="24" t="n">
        <v>1644.64</v>
      </c>
      <c r="I24" s="24" t="n">
        <f aca="false">G24+H24</f>
        <v>1644.64</v>
      </c>
      <c r="J24" s="24" t="n">
        <f aca="false">D24-I24</f>
        <v>773.95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10529.54</v>
      </c>
      <c r="E25" s="24" t="n">
        <v>0</v>
      </c>
      <c r="F25" s="24" t="n">
        <v>0</v>
      </c>
      <c r="G25" s="24" t="n">
        <v>0</v>
      </c>
      <c r="H25" s="24" t="n">
        <v>175.49</v>
      </c>
      <c r="I25" s="24" t="n">
        <f aca="false">G25+H25</f>
        <v>175.49</v>
      </c>
      <c r="J25" s="24" t="n">
        <f aca="false">D25-I25</f>
        <v>10354.05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46039.18</v>
      </c>
      <c r="E26" s="24" t="n">
        <v>0</v>
      </c>
      <c r="F26" s="24" t="n">
        <v>27623.51</v>
      </c>
      <c r="G26" s="24" t="n">
        <v>0</v>
      </c>
      <c r="H26" s="24" t="n">
        <v>31306.64</v>
      </c>
      <c r="I26" s="24" t="n">
        <f aca="false">G26+H26</f>
        <v>31306.64</v>
      </c>
      <c r="J26" s="24" t="n">
        <f aca="false">D26-I26</f>
        <v>14732.54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200435.56</v>
      </c>
      <c r="E27" s="24" t="n">
        <v>0</v>
      </c>
      <c r="F27" s="24" t="n">
        <v>0</v>
      </c>
      <c r="G27" s="24" t="n">
        <v>0</v>
      </c>
      <c r="H27" s="24" t="n">
        <v>3340.59</v>
      </c>
      <c r="I27" s="24" t="n">
        <f aca="false">G27+H27</f>
        <v>3340.59</v>
      </c>
      <c r="J27" s="24" t="n">
        <f aca="false">D27-I27</f>
        <v>197094.97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5940.54</v>
      </c>
      <c r="E28" s="24" t="n">
        <v>0</v>
      </c>
      <c r="F28" s="24" t="n">
        <v>3564.32</v>
      </c>
      <c r="G28" s="24" t="n">
        <v>0</v>
      </c>
      <c r="H28" s="24" t="n">
        <v>4039.56</v>
      </c>
      <c r="I28" s="24" t="n">
        <f aca="false">G28+H28</f>
        <v>4039.56</v>
      </c>
      <c r="J28" s="24" t="n">
        <f aca="false">D28-I28</f>
        <v>1900.98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25862.65</v>
      </c>
      <c r="E29" s="24" t="n">
        <v>0</v>
      </c>
      <c r="F29" s="24" t="n">
        <v>0</v>
      </c>
      <c r="G29" s="24" t="n">
        <v>0</v>
      </c>
      <c r="H29" s="24" t="n">
        <v>431.04</v>
      </c>
      <c r="I29" s="24" t="n">
        <f aca="false">G29+H29</f>
        <v>431.04</v>
      </c>
      <c r="J29" s="24" t="n">
        <f aca="false">D29-I29</f>
        <v>25431.61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11138.51</v>
      </c>
      <c r="E30" s="24" t="n">
        <v>0</v>
      </c>
      <c r="F30" s="24" t="n">
        <v>6683.11</v>
      </c>
      <c r="G30" s="24" t="n">
        <v>0</v>
      </c>
      <c r="H30" s="24" t="n">
        <v>7574.19</v>
      </c>
      <c r="I30" s="24" t="n">
        <f aca="false">G30+H30</f>
        <v>7574.19</v>
      </c>
      <c r="J30" s="24" t="n">
        <f aca="false">D30-I30</f>
        <v>3564.32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48492.49</v>
      </c>
      <c r="E31" s="24" t="n">
        <v>0</v>
      </c>
      <c r="F31" s="24" t="n">
        <v>0</v>
      </c>
      <c r="G31" s="24" t="n">
        <v>0</v>
      </c>
      <c r="H31" s="24" t="n">
        <v>808.21</v>
      </c>
      <c r="I31" s="24" t="n">
        <f aca="false">G31+H31</f>
        <v>808.21</v>
      </c>
      <c r="J31" s="24" t="n">
        <f aca="false">D31-I31</f>
        <v>47684.28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411281.62</v>
      </c>
      <c r="E32" s="28" t="n">
        <f aca="false">SUM(E20:E31)</f>
        <v>0</v>
      </c>
      <c r="F32" s="28" t="n">
        <f aca="false">SUM(F20:F31)</f>
        <v>46094.14</v>
      </c>
      <c r="G32" s="28" t="n">
        <f aca="false">SUM(G20:G31)</f>
        <v>0</v>
      </c>
      <c r="H32" s="28" t="n">
        <f aca="false">SUM(H20:H31)</f>
        <v>57814.32</v>
      </c>
      <c r="I32" s="28" t="n">
        <f aca="false">SUM(I20:I31)</f>
        <v>57814.32</v>
      </c>
      <c r="J32" s="28" t="n">
        <f aca="false">SUM(J20:J31)</f>
        <v>353467.3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78095.16</v>
      </c>
    </row>
    <row r="36" customFormat="false" ht="15" hidden="false" customHeight="false" outlineLevel="0" collapsed="false">
      <c r="B36" s="5" t="s">
        <v>97</v>
      </c>
      <c r="D36" s="6" t="n">
        <f aca="false">I32</f>
        <v>57814.32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20280.84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53518.91</v>
      </c>
      <c r="E42" s="24" t="n">
        <v>0</v>
      </c>
      <c r="F42" s="24" t="n">
        <v>0</v>
      </c>
      <c r="G42" s="24" t="n">
        <v>0</v>
      </c>
      <c r="H42" s="24" t="n">
        <v>892</v>
      </c>
      <c r="I42" s="24" t="n">
        <f aca="false">G42+H42</f>
        <v>892</v>
      </c>
      <c r="J42" s="24" t="n">
        <f aca="false">D42-I42</f>
        <v>52626.91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6905.65</v>
      </c>
      <c r="E43" s="24" t="n">
        <v>0</v>
      </c>
      <c r="F43" s="24" t="n">
        <v>4143.39</v>
      </c>
      <c r="G43" s="24" t="n">
        <v>0</v>
      </c>
      <c r="H43" s="24" t="n">
        <v>4235.49</v>
      </c>
      <c r="I43" s="24" t="n">
        <f aca="false">G43+H43</f>
        <v>4235.49</v>
      </c>
      <c r="J43" s="24" t="n">
        <f aca="false">D43-I43</f>
        <v>2670.16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12948.13</v>
      </c>
      <c r="E44" s="24" t="n">
        <v>0</v>
      </c>
      <c r="F44" s="24" t="n">
        <v>7768.88</v>
      </c>
      <c r="G44" s="24" t="n">
        <v>0</v>
      </c>
      <c r="H44" s="24" t="n">
        <v>8804.72</v>
      </c>
      <c r="I44" s="24" t="n">
        <f aca="false">G44+H44</f>
        <v>8804.72</v>
      </c>
      <c r="J44" s="24" t="n">
        <f aca="false">D44-I44</f>
        <v>4143.41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246474.74</v>
      </c>
      <c r="E45" s="24" t="n">
        <v>0</v>
      </c>
      <c r="F45" s="24" t="n">
        <v>0</v>
      </c>
      <c r="G45" s="24" t="n">
        <v>0</v>
      </c>
      <c r="H45" s="24" t="n">
        <v>4107.9</v>
      </c>
      <c r="I45" s="24" t="n">
        <f aca="false">G45+H45</f>
        <v>4107.9</v>
      </c>
      <c r="J45" s="24" t="n">
        <f aca="false">D45-I45</f>
        <v>242366.84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31803.19</v>
      </c>
      <c r="E46" s="24" t="n">
        <v>0</v>
      </c>
      <c r="F46" s="24" t="n">
        <v>19081.91</v>
      </c>
      <c r="G46" s="24" t="n">
        <v>0</v>
      </c>
      <c r="H46" s="24" t="n">
        <v>19505.96</v>
      </c>
      <c r="I46" s="24" t="n">
        <f aca="false">G46+H46</f>
        <v>19505.96</v>
      </c>
      <c r="J46" s="24" t="n">
        <f aca="false">D46-I46</f>
        <v>12297.23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59631</v>
      </c>
      <c r="E47" s="24" t="n">
        <v>0</v>
      </c>
      <c r="F47" s="24" t="n">
        <v>35778.6</v>
      </c>
      <c r="G47" s="24" t="n">
        <v>0</v>
      </c>
      <c r="H47" s="24" t="n">
        <v>40549.09</v>
      </c>
      <c r="I47" s="24" t="n">
        <f aca="false">G47+H47</f>
        <v>40549.09</v>
      </c>
      <c r="J47" s="24" t="n">
        <f aca="false">D47-I47</f>
        <v>19081.91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411281.62</v>
      </c>
      <c r="E48" s="28" t="n">
        <f aca="false">SUM(E42:E47)</f>
        <v>0</v>
      </c>
      <c r="F48" s="28" t="n">
        <f aca="false">SUM(F42:F47)</f>
        <v>66772.78</v>
      </c>
      <c r="G48" s="28" t="n">
        <f aca="false">SUM(G42:G47)</f>
        <v>0</v>
      </c>
      <c r="H48" s="28" t="n">
        <f aca="false">SUM(H42:H47)</f>
        <v>78095.16</v>
      </c>
      <c r="I48" s="28" t="n">
        <f aca="false">SUM(I42:I47)</f>
        <v>78095.16</v>
      </c>
      <c r="J48" s="28" t="n">
        <f aca="false">SUM(J42:J47)</f>
        <v>333186.46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9996.83</v>
      </c>
      <c r="E52" s="24" t="n">
        <v>0</v>
      </c>
      <c r="F52" s="24" t="n">
        <v>5998.1</v>
      </c>
      <c r="G52" s="24" t="n">
        <v>0</v>
      </c>
      <c r="H52" s="24" t="n">
        <v>6797.85</v>
      </c>
      <c r="I52" s="24" t="n">
        <f aca="false">G52+H52</f>
        <v>6797.85</v>
      </c>
      <c r="J52" s="24" t="n">
        <f aca="false">D52-I52</f>
        <v>3198.98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43522.08</v>
      </c>
      <c r="E53" s="24" t="n">
        <v>0</v>
      </c>
      <c r="F53" s="24" t="n">
        <v>0</v>
      </c>
      <c r="G53" s="24" t="n">
        <v>0</v>
      </c>
      <c r="H53" s="24" t="n">
        <v>725.37</v>
      </c>
      <c r="I53" s="24" t="n">
        <f aca="false">G53+H53</f>
        <v>725.37</v>
      </c>
      <c r="J53" s="24" t="n">
        <f aca="false">D53-I53</f>
        <v>42796.71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1289.91</v>
      </c>
      <c r="E54" s="24" t="n">
        <v>0</v>
      </c>
      <c r="F54" s="24" t="n">
        <v>773.95</v>
      </c>
      <c r="G54" s="24" t="n">
        <v>0</v>
      </c>
      <c r="H54" s="24" t="n">
        <v>877.14</v>
      </c>
      <c r="I54" s="24" t="n">
        <f aca="false">G54+H54</f>
        <v>877.14</v>
      </c>
      <c r="J54" s="24" t="n">
        <f aca="false">D54-I54</f>
        <v>412.77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5615.74</v>
      </c>
      <c r="E55" s="24" t="n">
        <v>0</v>
      </c>
      <c r="F55" s="24" t="n">
        <v>0</v>
      </c>
      <c r="G55" s="24" t="n">
        <v>0</v>
      </c>
      <c r="H55" s="24" t="n">
        <v>93.6</v>
      </c>
      <c r="I55" s="24" t="n">
        <f aca="false">G55+H55</f>
        <v>93.6</v>
      </c>
      <c r="J55" s="24" t="n">
        <f aca="false">D55-I55</f>
        <v>5522.14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2418.59</v>
      </c>
      <c r="E56" s="24" t="n">
        <v>0</v>
      </c>
      <c r="F56" s="24" t="n">
        <v>1451.15</v>
      </c>
      <c r="G56" s="24" t="n">
        <v>0</v>
      </c>
      <c r="H56" s="24" t="n">
        <v>1644.64</v>
      </c>
      <c r="I56" s="24" t="n">
        <f aca="false">G56+H56</f>
        <v>1644.64</v>
      </c>
      <c r="J56" s="24" t="n">
        <f aca="false">D56-I56</f>
        <v>773.95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10529.54</v>
      </c>
      <c r="E57" s="24" t="n">
        <v>0</v>
      </c>
      <c r="F57" s="24" t="n">
        <v>0</v>
      </c>
      <c r="G57" s="24" t="n">
        <v>0</v>
      </c>
      <c r="H57" s="24" t="n">
        <v>175.49</v>
      </c>
      <c r="I57" s="24" t="n">
        <f aca="false">G57+H57</f>
        <v>175.49</v>
      </c>
      <c r="J57" s="24" t="n">
        <f aca="false">D57-I57</f>
        <v>10354.05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46039.18</v>
      </c>
      <c r="E58" s="24" t="n">
        <v>0</v>
      </c>
      <c r="F58" s="24" t="n">
        <v>27623.51</v>
      </c>
      <c r="G58" s="24" t="n">
        <v>0</v>
      </c>
      <c r="H58" s="24" t="n">
        <v>31306.64</v>
      </c>
      <c r="I58" s="24" t="n">
        <f aca="false">G58+H58</f>
        <v>31306.64</v>
      </c>
      <c r="J58" s="24" t="n">
        <f aca="false">D58-I58</f>
        <v>14732.54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200435.56</v>
      </c>
      <c r="E59" s="24" t="n">
        <v>0</v>
      </c>
      <c r="F59" s="24" t="n">
        <v>0</v>
      </c>
      <c r="G59" s="24" t="n">
        <v>0</v>
      </c>
      <c r="H59" s="24" t="n">
        <v>3340.59</v>
      </c>
      <c r="I59" s="24" t="n">
        <f aca="false">G59+H59</f>
        <v>3340.59</v>
      </c>
      <c r="J59" s="24" t="n">
        <f aca="false">D59-I59</f>
        <v>197094.97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5940.54</v>
      </c>
      <c r="E60" s="24" t="n">
        <v>0</v>
      </c>
      <c r="F60" s="24" t="n">
        <v>3564.32</v>
      </c>
      <c r="G60" s="24" t="n">
        <v>0</v>
      </c>
      <c r="H60" s="24" t="n">
        <v>4039.56</v>
      </c>
      <c r="I60" s="24" t="n">
        <f aca="false">G60+H60</f>
        <v>4039.56</v>
      </c>
      <c r="J60" s="24" t="n">
        <f aca="false">D60-I60</f>
        <v>1900.98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25862.65</v>
      </c>
      <c r="E61" s="24" t="n">
        <v>0</v>
      </c>
      <c r="F61" s="24" t="n">
        <v>0</v>
      </c>
      <c r="G61" s="24" t="n">
        <v>0</v>
      </c>
      <c r="H61" s="24" t="n">
        <v>431.04</v>
      </c>
      <c r="I61" s="24" t="n">
        <f aca="false">G61+H61</f>
        <v>431.04</v>
      </c>
      <c r="J61" s="24" t="n">
        <f aca="false">D61-I61</f>
        <v>25431.61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11138.51</v>
      </c>
      <c r="E62" s="24" t="n">
        <v>0</v>
      </c>
      <c r="F62" s="24" t="n">
        <v>6683.11</v>
      </c>
      <c r="G62" s="24" t="n">
        <v>0</v>
      </c>
      <c r="H62" s="24" t="n">
        <v>7574.19</v>
      </c>
      <c r="I62" s="24" t="n">
        <f aca="false">G62+H62</f>
        <v>7574.19</v>
      </c>
      <c r="J62" s="24" t="n">
        <f aca="false">D62-I62</f>
        <v>3564.32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48492.49</v>
      </c>
      <c r="E63" s="24" t="n">
        <v>0</v>
      </c>
      <c r="F63" s="24" t="n">
        <v>0</v>
      </c>
      <c r="G63" s="24" t="n">
        <v>0</v>
      </c>
      <c r="H63" s="24" t="n">
        <v>808.21</v>
      </c>
      <c r="I63" s="24" t="n">
        <f aca="false">G63+H63</f>
        <v>808.21</v>
      </c>
      <c r="J63" s="24" t="n">
        <f aca="false">D63-I63</f>
        <v>47684.28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411281.62</v>
      </c>
      <c r="E64" s="28" t="n">
        <f aca="false">SUM(E52:E63)</f>
        <v>0</v>
      </c>
      <c r="F64" s="28" t="n">
        <f aca="false">SUM(F52:F63)</f>
        <v>46094.14</v>
      </c>
      <c r="G64" s="28" t="n">
        <f aca="false">SUM(G52:G63)</f>
        <v>0</v>
      </c>
      <c r="H64" s="28" t="n">
        <f aca="false">SUM(H52:H63)</f>
        <v>57814.32</v>
      </c>
      <c r="I64" s="28" t="n">
        <f aca="false">SUM(I52:I63)</f>
        <v>57814.32</v>
      </c>
      <c r="J64" s="28" t="n">
        <f aca="false">SUM(J52:J63)</f>
        <v>353467.3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78095.16</v>
      </c>
    </row>
    <row r="68" customFormat="false" ht="15" hidden="false" customHeight="false" outlineLevel="0" collapsed="false">
      <c r="B68" s="5" t="s">
        <v>97</v>
      </c>
      <c r="D68" s="6" t="n">
        <f aca="false">I64</f>
        <v>57814.32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20280.84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D112</f>
        <v>411281.62</v>
      </c>
    </row>
    <row r="73" customFormat="false" ht="15" hidden="false" customHeight="false" outlineLevel="0" collapsed="false">
      <c r="B73" s="5" t="s">
        <v>106</v>
      </c>
      <c r="D73" s="6" t="n">
        <f aca="false">F112</f>
        <v>76823.56</v>
      </c>
    </row>
    <row r="74" customFormat="false" ht="15" hidden="false" customHeight="false" outlineLevel="0" collapsed="false">
      <c r="B74" s="30" t="s">
        <v>107</v>
      </c>
      <c r="D74" s="31" t="n">
        <f aca="false">F113</f>
        <v>0.186790647245554</v>
      </c>
    </row>
    <row r="75" customFormat="false" ht="15" hidden="false" customHeight="false" outlineLevel="0" collapsed="false">
      <c r="B75" s="5" t="s">
        <v>109</v>
      </c>
      <c r="D75" s="6" t="n">
        <f aca="false">H112</f>
        <v>334458.06</v>
      </c>
    </row>
    <row r="76" customFormat="false" ht="15" hidden="false" customHeight="false" outlineLevel="0" collapsed="false">
      <c r="B76" s="30" t="s">
        <v>107</v>
      </c>
      <c r="D76" s="31" t="n">
        <f aca="false">H113</f>
        <v>0.813209352754446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17269.54</v>
      </c>
      <c r="F81" s="33" t="n">
        <v>17269.54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5872.52</v>
      </c>
      <c r="F82" s="33" t="n">
        <v>5872.52</v>
      </c>
    </row>
    <row r="83" customFormat="false" ht="15" hidden="false" customHeight="false" outlineLevel="0" collapsed="false">
      <c r="B83" s="5" t="s">
        <v>175</v>
      </c>
      <c r="D83" s="33" t="n">
        <f aca="false">SUM(F83:H83)</f>
        <v>1061.02</v>
      </c>
      <c r="F83" s="33" t="n">
        <v>1061.02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24005.05</v>
      </c>
      <c r="F84" s="33" t="n">
        <v>24005.05</v>
      </c>
    </row>
    <row r="85" customFormat="false" ht="15" hidden="false" customHeight="false" outlineLevel="0" collapsed="false">
      <c r="B85" s="5" t="s">
        <v>176</v>
      </c>
      <c r="D85" s="33" t="n">
        <f aca="false">SUM(F85:H85)</f>
        <v>164.32</v>
      </c>
      <c r="F85" s="33" t="n">
        <v>164.32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5825.84</v>
      </c>
      <c r="F86" s="33" t="n">
        <v>5825.84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150.1</v>
      </c>
      <c r="F87" s="33" t="n">
        <v>150.1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3588.08</v>
      </c>
      <c r="F88" s="33" t="n">
        <v>3588.08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3097.62</v>
      </c>
      <c r="F89" s="33" t="n">
        <v>3097.62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6563.2</v>
      </c>
      <c r="F90" s="33" t="n">
        <v>6563.2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2648.6</v>
      </c>
      <c r="F91" s="33" t="n">
        <v>2648.6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106.32</v>
      </c>
      <c r="F92" s="33" t="n">
        <v>106.32</v>
      </c>
    </row>
    <row r="93" customFormat="false" ht="15" hidden="false" customHeight="false" outlineLevel="0" collapsed="false">
      <c r="B93" s="5" t="s">
        <v>154</v>
      </c>
      <c r="D93" s="33" t="n">
        <f aca="false">SUM(F93:H93)</f>
        <v>809.12</v>
      </c>
      <c r="F93" s="33" t="n">
        <v>809.12</v>
      </c>
    </row>
    <row r="94" customFormat="false" ht="15" hidden="false" customHeight="false" outlineLevel="0" collapsed="false">
      <c r="B94" s="5" t="s">
        <v>155</v>
      </c>
      <c r="D94" s="33" t="n">
        <f aca="false">SUM(F94:H94)</f>
        <v>5662.23</v>
      </c>
      <c r="F94" s="33" t="n">
        <v>5662.23</v>
      </c>
    </row>
    <row r="95" customFormat="false" ht="15" hidden="false" customHeight="false" outlineLevel="0" collapsed="false">
      <c r="B95" s="32" t="s">
        <v>135</v>
      </c>
    </row>
    <row r="96" customFormat="false" ht="15" hidden="false" customHeight="false" outlineLevel="0" collapsed="false">
      <c r="B96" s="5" t="s">
        <v>156</v>
      </c>
      <c r="D96" s="33" t="n">
        <f aca="false">SUM(F96:H96)</f>
        <v>19965.05</v>
      </c>
      <c r="H96" s="33" t="n">
        <v>19965.05</v>
      </c>
    </row>
    <row r="97" customFormat="false" ht="15" hidden="false" customHeight="false" outlineLevel="0" collapsed="false">
      <c r="B97" s="5" t="s">
        <v>157</v>
      </c>
      <c r="D97" s="33" t="n">
        <f aca="false">SUM(F97:H97)</f>
        <v>23099.53</v>
      </c>
      <c r="H97" s="33" t="n">
        <v>23099.53</v>
      </c>
    </row>
    <row r="98" customFormat="false" ht="15" hidden="false" customHeight="false" outlineLevel="0" collapsed="false">
      <c r="B98" s="5" t="s">
        <v>158</v>
      </c>
      <c r="D98" s="33" t="n">
        <f aca="false">SUM(F98:H98)</f>
        <v>34868.14</v>
      </c>
      <c r="H98" s="33" t="n">
        <v>34868.14</v>
      </c>
    </row>
    <row r="99" customFormat="false" ht="15" hidden="false" customHeight="false" outlineLevel="0" collapsed="false">
      <c r="B99" s="5" t="s">
        <v>159</v>
      </c>
      <c r="D99" s="33" t="n">
        <f aca="false">SUM(F99:H99)</f>
        <v>37684.26</v>
      </c>
      <c r="H99" s="33" t="n">
        <v>37684.26</v>
      </c>
    </row>
    <row r="100" customFormat="false" ht="15" hidden="false" customHeight="false" outlineLevel="0" collapsed="false">
      <c r="B100" s="5" t="s">
        <v>160</v>
      </c>
      <c r="D100" s="33" t="n">
        <f aca="false">SUM(F100:H100)</f>
        <v>30310.68</v>
      </c>
      <c r="H100" s="33" t="n">
        <v>30310.68</v>
      </c>
    </row>
    <row r="101" customFormat="false" ht="15" hidden="false" customHeight="false" outlineLevel="0" collapsed="false">
      <c r="B101" s="5" t="s">
        <v>161</v>
      </c>
      <c r="D101" s="33" t="n">
        <f aca="false">SUM(F101:H101)</f>
        <v>2483.74</v>
      </c>
      <c r="H101" s="33" t="n">
        <v>2483.74</v>
      </c>
    </row>
    <row r="102" customFormat="false" ht="15" hidden="false" customHeight="false" outlineLevel="0" collapsed="false">
      <c r="B102" s="5" t="s">
        <v>162</v>
      </c>
      <c r="D102" s="33" t="n">
        <f aca="false">SUM(F102:H102)</f>
        <v>12802.47</v>
      </c>
      <c r="H102" s="33" t="n">
        <v>12802.47</v>
      </c>
    </row>
    <row r="103" customFormat="false" ht="15" hidden="false" customHeight="false" outlineLevel="0" collapsed="false">
      <c r="B103" s="5" t="s">
        <v>163</v>
      </c>
      <c r="D103" s="33" t="n">
        <f aca="false">SUM(F103:H103)</f>
        <v>21480.24</v>
      </c>
      <c r="H103" s="33" t="n">
        <v>21480.24</v>
      </c>
    </row>
    <row r="104" customFormat="false" ht="15" hidden="false" customHeight="false" outlineLevel="0" collapsed="false">
      <c r="B104" s="5" t="s">
        <v>164</v>
      </c>
      <c r="D104" s="33" t="n">
        <f aca="false">SUM(F104:H104)</f>
        <v>11643.15</v>
      </c>
      <c r="H104" s="33" t="n">
        <v>11643.15</v>
      </c>
    </row>
    <row r="105" customFormat="false" ht="15" hidden="false" customHeight="false" outlineLevel="0" collapsed="false">
      <c r="B105" s="5" t="s">
        <v>165</v>
      </c>
      <c r="D105" s="33" t="n">
        <f aca="false">SUM(F105:H105)</f>
        <v>16037.83</v>
      </c>
      <c r="H105" s="33" t="n">
        <v>16037.83</v>
      </c>
    </row>
    <row r="106" customFormat="false" ht="15" hidden="false" customHeight="false" outlineLevel="0" collapsed="false">
      <c r="B106" s="5" t="s">
        <v>166</v>
      </c>
      <c r="D106" s="33" t="n">
        <f aca="false">SUM(F106:H106)</f>
        <v>35969.2</v>
      </c>
      <c r="H106" s="33" t="n">
        <v>35969.2</v>
      </c>
    </row>
    <row r="107" customFormat="false" ht="15" hidden="false" customHeight="false" outlineLevel="0" collapsed="false">
      <c r="B107" s="5" t="s">
        <v>167</v>
      </c>
      <c r="D107" s="33" t="n">
        <f aca="false">SUM(F107:H107)</f>
        <v>16182.61</v>
      </c>
      <c r="H107" s="33" t="n">
        <v>16182.61</v>
      </c>
    </row>
    <row r="108" customFormat="false" ht="15" hidden="false" customHeight="false" outlineLevel="0" collapsed="false">
      <c r="B108" s="5" t="s">
        <v>168</v>
      </c>
      <c r="D108" s="33" t="n">
        <f aca="false">SUM(F108:H108)</f>
        <v>1795.77</v>
      </c>
      <c r="H108" s="33" t="n">
        <v>1795.77</v>
      </c>
    </row>
    <row r="109" customFormat="false" ht="15" hidden="false" customHeight="false" outlineLevel="0" collapsed="false">
      <c r="B109" s="5" t="s">
        <v>169</v>
      </c>
      <c r="D109" s="33" t="n">
        <f aca="false">SUM(F109:H109)</f>
        <v>43067.29</v>
      </c>
      <c r="H109" s="33" t="n">
        <v>43067.29</v>
      </c>
    </row>
    <row r="110" customFormat="false" ht="15" hidden="false" customHeight="false" outlineLevel="0" collapsed="false">
      <c r="B110" s="5" t="s">
        <v>170</v>
      </c>
      <c r="D110" s="33" t="n">
        <f aca="false">SUM(F110:H110)</f>
        <v>21567.71</v>
      </c>
      <c r="H110" s="33" t="n">
        <v>21567.71</v>
      </c>
    </row>
    <row r="111" customFormat="false" ht="15" hidden="false" customHeight="false" outlineLevel="0" collapsed="false">
      <c r="B111" s="5" t="s">
        <v>171</v>
      </c>
      <c r="D111" s="33" t="n">
        <f aca="false">SUM(F111:H111)</f>
        <v>5500.39</v>
      </c>
      <c r="H111" s="33" t="n">
        <v>5500.39</v>
      </c>
    </row>
    <row r="112" customFormat="false" ht="15" hidden="false" customHeight="false" outlineLevel="0" collapsed="false">
      <c r="B112" s="11" t="s">
        <v>105</v>
      </c>
      <c r="D112" s="34" t="n">
        <f aca="false">SUM(D80:D111)</f>
        <v>411281.62</v>
      </c>
      <c r="F112" s="34" t="n">
        <f aca="false">SUM(F80:F111)</f>
        <v>76823.56</v>
      </c>
      <c r="H112" s="34" t="n">
        <f aca="false">SUM(H80:H111)</f>
        <v>334458.06</v>
      </c>
    </row>
    <row r="113" customFormat="false" ht="15" hidden="false" customHeight="false" outlineLevel="0" collapsed="false">
      <c r="B113" s="30" t="s">
        <v>107</v>
      </c>
      <c r="F113" s="31" t="n">
        <f aca="false">F112/D112</f>
        <v>0.186790647245554</v>
      </c>
      <c r="H113" s="31" t="n">
        <f aca="false">H112/D112</f>
        <v>0.813209352754446</v>
      </c>
    </row>
    <row r="115" customFormat="false" ht="15" hidden="false" customHeight="false" outlineLevel="0" collapsed="false">
      <c r="A115" s="10" t="s">
        <v>137</v>
      </c>
    </row>
    <row r="116" customFormat="false" ht="15" hidden="false" customHeight="false" outlineLevel="0" collapsed="false">
      <c r="B116" s="4" t="s">
        <v>138</v>
      </c>
      <c r="D116" s="4" t="s">
        <v>79</v>
      </c>
      <c r="F116" s="4" t="s">
        <v>112</v>
      </c>
      <c r="H116" s="4" t="s">
        <v>114</v>
      </c>
    </row>
    <row r="117" customFormat="false" ht="15" hidden="false" customHeight="false" outlineLevel="0" collapsed="false">
      <c r="B117" s="5" t="str">
        <f aca="false">'Building 4'!B20</f>
        <v>2-Building-712 Northfield Dr - 5 Year</v>
      </c>
      <c r="D117" s="33" t="n">
        <f aca="false">SUM(F117:H117)</f>
        <v>9996.83</v>
      </c>
      <c r="F117" s="33" t="n">
        <f aca="false">'Building 4'!D20</f>
        <v>9996.83</v>
      </c>
    </row>
    <row r="118" customFormat="false" ht="15" hidden="false" customHeight="false" outlineLevel="0" collapsed="false">
      <c r="B118" s="5" t="str">
        <f aca="false">'Building 4'!B21</f>
        <v>2-Building-712 Northfield Dr - 27.5 Year</v>
      </c>
      <c r="D118" s="33" t="n">
        <f aca="false">SUM(F118:H118)</f>
        <v>43522.08</v>
      </c>
      <c r="H118" s="33" t="n">
        <f aca="false">'Building 4'!D21</f>
        <v>43522.08</v>
      </c>
    </row>
    <row r="119" customFormat="false" ht="15" hidden="false" customHeight="false" outlineLevel="0" collapsed="false">
      <c r="B119" s="5" t="str">
        <f aca="false">'Building 4'!B22</f>
        <v>3-Northfield Dr - 5 Year</v>
      </c>
      <c r="D119" s="33" t="n">
        <f aca="false">SUM(F119:H119)</f>
        <v>1289.91</v>
      </c>
      <c r="F119" s="33" t="n">
        <f aca="false">'Building 4'!D22</f>
        <v>1289.91</v>
      </c>
    </row>
    <row r="120" customFormat="false" ht="15" hidden="false" customHeight="false" outlineLevel="0" collapsed="false">
      <c r="B120" s="5" t="str">
        <f aca="false">'Building 4'!B23</f>
        <v>3-Northfield Dr - 27.5 Year</v>
      </c>
      <c r="D120" s="33" t="n">
        <f aca="false">SUM(F120:H120)</f>
        <v>5615.74</v>
      </c>
      <c r="H120" s="33" t="n">
        <f aca="false">'Building 4'!D23</f>
        <v>5615.74</v>
      </c>
    </row>
    <row r="121" customFormat="false" ht="15" hidden="false" customHeight="false" outlineLevel="0" collapsed="false">
      <c r="B121" s="5" t="str">
        <f aca="false">'Building 4'!B24</f>
        <v>4-Northfield Dr - 5 Year</v>
      </c>
      <c r="D121" s="33" t="n">
        <f aca="false">SUM(F121:H121)</f>
        <v>2418.59</v>
      </c>
      <c r="F121" s="33" t="n">
        <f aca="false">'Building 4'!D24</f>
        <v>2418.59</v>
      </c>
    </row>
    <row r="122" customFormat="false" ht="15" hidden="false" customHeight="false" outlineLevel="0" collapsed="false">
      <c r="B122" s="5" t="str">
        <f aca="false">'Building 4'!B25</f>
        <v>4-Northfield Dr - 27.5 Year</v>
      </c>
      <c r="D122" s="33" t="n">
        <f aca="false">SUM(F122:H122)</f>
        <v>10529.54</v>
      </c>
      <c r="H122" s="33" t="n">
        <f aca="false">'Building 4'!D25</f>
        <v>10529.54</v>
      </c>
    </row>
    <row r="123" customFormat="false" ht="15" hidden="false" customHeight="false" outlineLevel="0" collapsed="false">
      <c r="B123" s="5" t="str">
        <f aca="false">'Building 4'!B26</f>
        <v>7-Building-2202 Northview Dr - 5 Year</v>
      </c>
      <c r="D123" s="33" t="n">
        <f aca="false">SUM(F123:H123)</f>
        <v>46039.18</v>
      </c>
      <c r="F123" s="33" t="n">
        <f aca="false">'Building 4'!D26</f>
        <v>46039.18</v>
      </c>
    </row>
    <row r="124" customFormat="false" ht="15" hidden="false" customHeight="false" outlineLevel="0" collapsed="false">
      <c r="B124" s="5" t="str">
        <f aca="false">'Building 4'!B27</f>
        <v>7-Building-2202 Northview Dr - 27.5 Year</v>
      </c>
      <c r="D124" s="33" t="n">
        <f aca="false">SUM(F124:H124)</f>
        <v>200435.56</v>
      </c>
      <c r="H124" s="33" t="n">
        <f aca="false">'Building 4'!D27</f>
        <v>200435.56</v>
      </c>
    </row>
    <row r="125" customFormat="false" ht="15" hidden="false" customHeight="false" outlineLevel="0" collapsed="false">
      <c r="B125" s="5" t="str">
        <f aca="false">'Building 4'!B28</f>
        <v>8-Northiew Dr - 5 Year</v>
      </c>
      <c r="D125" s="33" t="n">
        <f aca="false">SUM(F125:H125)</f>
        <v>5940.54</v>
      </c>
      <c r="F125" s="33" t="n">
        <f aca="false">'Building 4'!D28</f>
        <v>5940.54</v>
      </c>
    </row>
    <row r="126" customFormat="false" ht="15" hidden="false" customHeight="false" outlineLevel="0" collapsed="false">
      <c r="B126" s="5" t="str">
        <f aca="false">'Building 4'!B29</f>
        <v>8-Northiew Dr - 27.5 Year</v>
      </c>
      <c r="D126" s="33" t="n">
        <f aca="false">SUM(F126:H126)</f>
        <v>25862.65</v>
      </c>
      <c r="H126" s="33" t="n">
        <f aca="false">'Building 4'!D29</f>
        <v>25862.65</v>
      </c>
    </row>
    <row r="127" customFormat="false" ht="15" hidden="false" customHeight="false" outlineLevel="0" collapsed="false">
      <c r="B127" s="5" t="str">
        <f aca="false">'Building 4'!B30</f>
        <v>9-Northview Dr - 5 Year</v>
      </c>
      <c r="D127" s="33" t="n">
        <f aca="false">SUM(F127:H127)</f>
        <v>11138.51</v>
      </c>
      <c r="F127" s="33" t="n">
        <f aca="false">'Building 4'!D30</f>
        <v>11138.51</v>
      </c>
    </row>
    <row r="128" customFormat="false" ht="15" hidden="false" customHeight="false" outlineLevel="0" collapsed="false">
      <c r="B128" s="5" t="str">
        <f aca="false">'Building 4'!B31</f>
        <v>9-Northview Dr - 27.5 Year</v>
      </c>
      <c r="D128" s="33" t="n">
        <f aca="false">SUM(F128:H128)</f>
        <v>48492.49</v>
      </c>
      <c r="H128" s="33" t="n">
        <f aca="false">'Building 4'!D31</f>
        <v>48492.49</v>
      </c>
    </row>
    <row r="129" customFormat="false" ht="15" hidden="false" customHeight="false" outlineLevel="0" collapsed="false">
      <c r="B129" s="11" t="s">
        <v>139</v>
      </c>
      <c r="D129" s="34" t="n">
        <f aca="false">SUM(D117:D128)</f>
        <v>411281.62</v>
      </c>
      <c r="F129" s="34" t="n">
        <f aca="false">SUM(F117:F128)</f>
        <v>76823.56</v>
      </c>
      <c r="H129" s="34" t="n">
        <f aca="false">SUM(H117:H128)</f>
        <v>334458.06</v>
      </c>
    </row>
    <row r="130" customFormat="false" ht="15" hidden="false" customHeight="false" outlineLevel="0" collapsed="false">
      <c r="B130" s="16" t="s">
        <v>140</v>
      </c>
      <c r="D130" s="17" t="n">
        <f aca="false">D129-D112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177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27290.76</v>
      </c>
      <c r="E10" s="24" t="n">
        <v>0</v>
      </c>
      <c r="F10" s="24" t="n">
        <v>0</v>
      </c>
      <c r="G10" s="24" t="n">
        <v>0</v>
      </c>
      <c r="H10" s="24" t="n">
        <v>454.85</v>
      </c>
      <c r="I10" s="24" t="n">
        <f aca="false">G10+H10</f>
        <v>454.85</v>
      </c>
      <c r="J10" s="24" t="n">
        <f aca="false">D10-I10</f>
        <v>26835.91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3521.38</v>
      </c>
      <c r="E11" s="24" t="n">
        <v>0</v>
      </c>
      <c r="F11" s="24" t="n">
        <v>2112.83</v>
      </c>
      <c r="G11" s="24" t="n">
        <v>0</v>
      </c>
      <c r="H11" s="24" t="n">
        <v>2159.79</v>
      </c>
      <c r="I11" s="24" t="n">
        <f aca="false">G11+H11</f>
        <v>2159.79</v>
      </c>
      <c r="J11" s="24" t="n">
        <f aca="false">D11-I11</f>
        <v>1361.59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6602.61</v>
      </c>
      <c r="E12" s="24" t="n">
        <v>0</v>
      </c>
      <c r="F12" s="24" t="n">
        <v>3961.57</v>
      </c>
      <c r="G12" s="24" t="n">
        <v>0</v>
      </c>
      <c r="H12" s="24" t="n">
        <v>4489.77</v>
      </c>
      <c r="I12" s="24" t="n">
        <f aca="false">G12+H12</f>
        <v>4489.77</v>
      </c>
      <c r="J12" s="24" t="n">
        <f aca="false">D12-I12</f>
        <v>2112.84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125684.23</v>
      </c>
      <c r="E13" s="24" t="n">
        <v>0</v>
      </c>
      <c r="F13" s="24" t="n">
        <v>0</v>
      </c>
      <c r="G13" s="24" t="n">
        <v>0</v>
      </c>
      <c r="H13" s="24" t="n">
        <v>2094.73</v>
      </c>
      <c r="I13" s="24" t="n">
        <f aca="false">G13+H13</f>
        <v>2094.73</v>
      </c>
      <c r="J13" s="24" t="n">
        <f aca="false">D13-I13</f>
        <v>123589.5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16217.32</v>
      </c>
      <c r="E14" s="24" t="n">
        <v>0</v>
      </c>
      <c r="F14" s="24" t="n">
        <v>9730.39</v>
      </c>
      <c r="G14" s="24" t="n">
        <v>0</v>
      </c>
      <c r="H14" s="24" t="n">
        <v>9946.62</v>
      </c>
      <c r="I14" s="24" t="n">
        <f aca="false">G14+H14</f>
        <v>9946.62</v>
      </c>
      <c r="J14" s="24" t="n">
        <f aca="false">D14-I14</f>
        <v>6270.7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30407.48</v>
      </c>
      <c r="E15" s="24" t="n">
        <v>0</v>
      </c>
      <c r="F15" s="24" t="n">
        <v>18244.49</v>
      </c>
      <c r="G15" s="24" t="n">
        <v>0</v>
      </c>
      <c r="H15" s="24" t="n">
        <v>20677.09</v>
      </c>
      <c r="I15" s="24" t="n">
        <f aca="false">G15+H15</f>
        <v>20677.09</v>
      </c>
      <c r="J15" s="24" t="n">
        <f aca="false">D15-I15</f>
        <v>9730.39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209723.78</v>
      </c>
      <c r="E16" s="28" t="n">
        <f aca="false">SUM(E10:E15)</f>
        <v>0</v>
      </c>
      <c r="F16" s="28" t="n">
        <f aca="false">SUM(F10:F15)</f>
        <v>34049.28</v>
      </c>
      <c r="G16" s="28" t="n">
        <f aca="false">SUM(G10:G15)</f>
        <v>0</v>
      </c>
      <c r="H16" s="28" t="n">
        <f aca="false">SUM(H10:H15)</f>
        <v>39822.85</v>
      </c>
      <c r="I16" s="28" t="n">
        <f aca="false">SUM(I10:I15)</f>
        <v>39822.85</v>
      </c>
      <c r="J16" s="28" t="n">
        <f aca="false">SUM(J10:J15)</f>
        <v>169900.93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5001.64</v>
      </c>
      <c r="E20" s="24" t="n">
        <v>0</v>
      </c>
      <c r="F20" s="24" t="n">
        <v>3000.98</v>
      </c>
      <c r="G20" s="24" t="n">
        <v>0</v>
      </c>
      <c r="H20" s="24" t="n">
        <v>3401.11</v>
      </c>
      <c r="I20" s="24" t="n">
        <f aca="false">G20+H20</f>
        <v>3401.11</v>
      </c>
      <c r="J20" s="24" t="n">
        <f aca="false">D20-I20</f>
        <v>1600.53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22289.12</v>
      </c>
      <c r="E21" s="24" t="n">
        <v>0</v>
      </c>
      <c r="F21" s="24" t="n">
        <v>0</v>
      </c>
      <c r="G21" s="24" t="n">
        <v>0</v>
      </c>
      <c r="H21" s="24" t="n">
        <v>371.49</v>
      </c>
      <c r="I21" s="24" t="n">
        <f aca="false">G21+H21</f>
        <v>371.49</v>
      </c>
      <c r="J21" s="24" t="n">
        <f aca="false">D21-I21</f>
        <v>21917.63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645.37</v>
      </c>
      <c r="E22" s="24" t="n">
        <v>0</v>
      </c>
      <c r="F22" s="24" t="n">
        <v>387.22</v>
      </c>
      <c r="G22" s="24" t="n">
        <v>0</v>
      </c>
      <c r="H22" s="24" t="n">
        <v>438.85</v>
      </c>
      <c r="I22" s="24" t="n">
        <f aca="false">G22+H22</f>
        <v>438.85</v>
      </c>
      <c r="J22" s="24" t="n">
        <f aca="false">D22-I22</f>
        <v>206.52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2876.01</v>
      </c>
      <c r="E23" s="24" t="n">
        <v>0</v>
      </c>
      <c r="F23" s="24" t="n">
        <v>0</v>
      </c>
      <c r="G23" s="24" t="n">
        <v>0</v>
      </c>
      <c r="H23" s="24" t="n">
        <v>47.93</v>
      </c>
      <c r="I23" s="24" t="n">
        <f aca="false">G23+H23</f>
        <v>47.93</v>
      </c>
      <c r="J23" s="24" t="n">
        <f aca="false">D23-I23</f>
        <v>2828.08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1210.08</v>
      </c>
      <c r="E24" s="24" t="n">
        <v>0</v>
      </c>
      <c r="F24" s="24" t="n">
        <v>726.05</v>
      </c>
      <c r="G24" s="24" t="n">
        <v>0</v>
      </c>
      <c r="H24" s="24" t="n">
        <v>822.86</v>
      </c>
      <c r="I24" s="24" t="n">
        <f aca="false">G24+H24</f>
        <v>822.86</v>
      </c>
      <c r="J24" s="24" t="n">
        <f aca="false">D24-I24</f>
        <v>387.22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5392.53</v>
      </c>
      <c r="E25" s="24" t="n">
        <v>0</v>
      </c>
      <c r="F25" s="24" t="n">
        <v>0</v>
      </c>
      <c r="G25" s="24" t="n">
        <v>0</v>
      </c>
      <c r="H25" s="24" t="n">
        <v>89.88</v>
      </c>
      <c r="I25" s="24" t="n">
        <f aca="false">G25+H25</f>
        <v>89.88</v>
      </c>
      <c r="J25" s="24" t="n">
        <f aca="false">D25-I25</f>
        <v>5302.65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23034.43</v>
      </c>
      <c r="E26" s="24" t="n">
        <v>0</v>
      </c>
      <c r="F26" s="24" t="n">
        <v>13820.66</v>
      </c>
      <c r="G26" s="24" t="n">
        <v>0</v>
      </c>
      <c r="H26" s="24" t="n">
        <v>15663.41</v>
      </c>
      <c r="I26" s="24" t="n">
        <f aca="false">G26+H26</f>
        <v>15663.41</v>
      </c>
      <c r="J26" s="24" t="n">
        <f aca="false">D26-I26</f>
        <v>7371.02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102649.8</v>
      </c>
      <c r="E27" s="24" t="n">
        <v>0</v>
      </c>
      <c r="F27" s="24" t="n">
        <v>0</v>
      </c>
      <c r="G27" s="24" t="n">
        <v>0</v>
      </c>
      <c r="H27" s="24" t="n">
        <v>1710.83</v>
      </c>
      <c r="I27" s="24" t="n">
        <f aca="false">G27+H27</f>
        <v>1710.83</v>
      </c>
      <c r="J27" s="24" t="n">
        <f aca="false">D27-I27</f>
        <v>100938.97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2972.18</v>
      </c>
      <c r="E28" s="24" t="n">
        <v>0</v>
      </c>
      <c r="F28" s="24" t="n">
        <v>1783.31</v>
      </c>
      <c r="G28" s="24" t="n">
        <v>0</v>
      </c>
      <c r="H28" s="24" t="n">
        <v>2021.08</v>
      </c>
      <c r="I28" s="24" t="n">
        <f aca="false">G28+H28</f>
        <v>2021.08</v>
      </c>
      <c r="J28" s="24" t="n">
        <f aca="false">D28-I28</f>
        <v>951.1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13245.14</v>
      </c>
      <c r="E29" s="24" t="n">
        <v>0</v>
      </c>
      <c r="F29" s="24" t="n">
        <v>0</v>
      </c>
      <c r="G29" s="24" t="n">
        <v>0</v>
      </c>
      <c r="H29" s="24" t="n">
        <v>220.75</v>
      </c>
      <c r="I29" s="24" t="n">
        <f aca="false">G29+H29</f>
        <v>220.75</v>
      </c>
      <c r="J29" s="24" t="n">
        <f aca="false">D29-I29</f>
        <v>13024.39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5572.85</v>
      </c>
      <c r="E30" s="24" t="n">
        <v>0</v>
      </c>
      <c r="F30" s="24" t="n">
        <v>3343.71</v>
      </c>
      <c r="G30" s="24" t="n">
        <v>0</v>
      </c>
      <c r="H30" s="24" t="n">
        <v>3789.54</v>
      </c>
      <c r="I30" s="24" t="n">
        <f aca="false">G30+H30</f>
        <v>3789.54</v>
      </c>
      <c r="J30" s="24" t="n">
        <f aca="false">D30-I30</f>
        <v>1783.31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24834.63</v>
      </c>
      <c r="E31" s="24" t="n">
        <v>0</v>
      </c>
      <c r="F31" s="24" t="n">
        <v>0</v>
      </c>
      <c r="G31" s="24" t="n">
        <v>0</v>
      </c>
      <c r="H31" s="24" t="n">
        <v>413.91</v>
      </c>
      <c r="I31" s="24" t="n">
        <f aca="false">G31+H31</f>
        <v>413.91</v>
      </c>
      <c r="J31" s="24" t="n">
        <f aca="false">D31-I31</f>
        <v>24420.72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209723.78</v>
      </c>
      <c r="E32" s="28" t="n">
        <f aca="false">SUM(E20:E31)</f>
        <v>0</v>
      </c>
      <c r="F32" s="28" t="n">
        <f aca="false">SUM(F20:F31)</f>
        <v>23061.93</v>
      </c>
      <c r="G32" s="28" t="n">
        <f aca="false">SUM(G20:G31)</f>
        <v>0</v>
      </c>
      <c r="H32" s="28" t="n">
        <f aca="false">SUM(H20:H31)</f>
        <v>28991.64</v>
      </c>
      <c r="I32" s="28" t="n">
        <f aca="false">SUM(I20:I31)</f>
        <v>28991.64</v>
      </c>
      <c r="J32" s="28" t="n">
        <f aca="false">SUM(J20:J31)</f>
        <v>180732.14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39822.85</v>
      </c>
    </row>
    <row r="36" customFormat="false" ht="15" hidden="false" customHeight="false" outlineLevel="0" collapsed="false">
      <c r="B36" s="5" t="s">
        <v>97</v>
      </c>
      <c r="D36" s="6" t="n">
        <f aca="false">I32</f>
        <v>28991.64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10831.21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27290.76</v>
      </c>
      <c r="E42" s="24" t="n">
        <v>0</v>
      </c>
      <c r="F42" s="24" t="n">
        <v>0</v>
      </c>
      <c r="G42" s="24" t="n">
        <v>0</v>
      </c>
      <c r="H42" s="24" t="n">
        <v>454.85</v>
      </c>
      <c r="I42" s="24" t="n">
        <f aca="false">G42+H42</f>
        <v>454.85</v>
      </c>
      <c r="J42" s="24" t="n">
        <f aca="false">D42-I42</f>
        <v>26835.91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3521.38</v>
      </c>
      <c r="E43" s="24" t="n">
        <v>0</v>
      </c>
      <c r="F43" s="24" t="n">
        <v>2112.83</v>
      </c>
      <c r="G43" s="24" t="n">
        <v>0</v>
      </c>
      <c r="H43" s="24" t="n">
        <v>2159.79</v>
      </c>
      <c r="I43" s="24" t="n">
        <f aca="false">G43+H43</f>
        <v>2159.79</v>
      </c>
      <c r="J43" s="24" t="n">
        <f aca="false">D43-I43</f>
        <v>1361.59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6602.61</v>
      </c>
      <c r="E44" s="24" t="n">
        <v>0</v>
      </c>
      <c r="F44" s="24" t="n">
        <v>3961.57</v>
      </c>
      <c r="G44" s="24" t="n">
        <v>0</v>
      </c>
      <c r="H44" s="24" t="n">
        <v>4489.77</v>
      </c>
      <c r="I44" s="24" t="n">
        <f aca="false">G44+H44</f>
        <v>4489.77</v>
      </c>
      <c r="J44" s="24" t="n">
        <f aca="false">D44-I44</f>
        <v>2112.84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125684.23</v>
      </c>
      <c r="E45" s="24" t="n">
        <v>0</v>
      </c>
      <c r="F45" s="24" t="n">
        <v>0</v>
      </c>
      <c r="G45" s="24" t="n">
        <v>0</v>
      </c>
      <c r="H45" s="24" t="n">
        <v>2094.73</v>
      </c>
      <c r="I45" s="24" t="n">
        <f aca="false">G45+H45</f>
        <v>2094.73</v>
      </c>
      <c r="J45" s="24" t="n">
        <f aca="false">D45-I45</f>
        <v>123589.5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16217.32</v>
      </c>
      <c r="E46" s="24" t="n">
        <v>0</v>
      </c>
      <c r="F46" s="24" t="n">
        <v>9730.39</v>
      </c>
      <c r="G46" s="24" t="n">
        <v>0</v>
      </c>
      <c r="H46" s="24" t="n">
        <v>9946.62</v>
      </c>
      <c r="I46" s="24" t="n">
        <f aca="false">G46+H46</f>
        <v>9946.62</v>
      </c>
      <c r="J46" s="24" t="n">
        <f aca="false">D46-I46</f>
        <v>6270.7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30407.48</v>
      </c>
      <c r="E47" s="24" t="n">
        <v>0</v>
      </c>
      <c r="F47" s="24" t="n">
        <v>18244.49</v>
      </c>
      <c r="G47" s="24" t="n">
        <v>0</v>
      </c>
      <c r="H47" s="24" t="n">
        <v>20677.09</v>
      </c>
      <c r="I47" s="24" t="n">
        <f aca="false">G47+H47</f>
        <v>20677.09</v>
      </c>
      <c r="J47" s="24" t="n">
        <f aca="false">D47-I47</f>
        <v>9730.39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209723.78</v>
      </c>
      <c r="E48" s="28" t="n">
        <f aca="false">SUM(E42:E47)</f>
        <v>0</v>
      </c>
      <c r="F48" s="28" t="n">
        <f aca="false">SUM(F42:F47)</f>
        <v>34049.28</v>
      </c>
      <c r="G48" s="28" t="n">
        <f aca="false">SUM(G42:G47)</f>
        <v>0</v>
      </c>
      <c r="H48" s="28" t="n">
        <f aca="false">SUM(H42:H47)</f>
        <v>39822.85</v>
      </c>
      <c r="I48" s="28" t="n">
        <f aca="false">SUM(I42:I47)</f>
        <v>39822.85</v>
      </c>
      <c r="J48" s="28" t="n">
        <f aca="false">SUM(J42:J47)</f>
        <v>169900.93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5001.64</v>
      </c>
      <c r="E52" s="24" t="n">
        <v>0</v>
      </c>
      <c r="F52" s="24" t="n">
        <v>3000.98</v>
      </c>
      <c r="G52" s="24" t="n">
        <v>0</v>
      </c>
      <c r="H52" s="24" t="n">
        <v>3401.11</v>
      </c>
      <c r="I52" s="24" t="n">
        <f aca="false">G52+H52</f>
        <v>3401.11</v>
      </c>
      <c r="J52" s="24" t="n">
        <f aca="false">D52-I52</f>
        <v>1600.53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22289.12</v>
      </c>
      <c r="E53" s="24" t="n">
        <v>0</v>
      </c>
      <c r="F53" s="24" t="n">
        <v>0</v>
      </c>
      <c r="G53" s="24" t="n">
        <v>0</v>
      </c>
      <c r="H53" s="24" t="n">
        <v>371.49</v>
      </c>
      <c r="I53" s="24" t="n">
        <f aca="false">G53+H53</f>
        <v>371.49</v>
      </c>
      <c r="J53" s="24" t="n">
        <f aca="false">D53-I53</f>
        <v>21917.63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645.37</v>
      </c>
      <c r="E54" s="24" t="n">
        <v>0</v>
      </c>
      <c r="F54" s="24" t="n">
        <v>387.22</v>
      </c>
      <c r="G54" s="24" t="n">
        <v>0</v>
      </c>
      <c r="H54" s="24" t="n">
        <v>438.85</v>
      </c>
      <c r="I54" s="24" t="n">
        <f aca="false">G54+H54</f>
        <v>438.85</v>
      </c>
      <c r="J54" s="24" t="n">
        <f aca="false">D54-I54</f>
        <v>206.52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2876.01</v>
      </c>
      <c r="E55" s="24" t="n">
        <v>0</v>
      </c>
      <c r="F55" s="24" t="n">
        <v>0</v>
      </c>
      <c r="G55" s="24" t="n">
        <v>0</v>
      </c>
      <c r="H55" s="24" t="n">
        <v>47.93</v>
      </c>
      <c r="I55" s="24" t="n">
        <f aca="false">G55+H55</f>
        <v>47.93</v>
      </c>
      <c r="J55" s="24" t="n">
        <f aca="false">D55-I55</f>
        <v>2828.08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1210.08</v>
      </c>
      <c r="E56" s="24" t="n">
        <v>0</v>
      </c>
      <c r="F56" s="24" t="n">
        <v>726.05</v>
      </c>
      <c r="G56" s="24" t="n">
        <v>0</v>
      </c>
      <c r="H56" s="24" t="n">
        <v>822.86</v>
      </c>
      <c r="I56" s="24" t="n">
        <f aca="false">G56+H56</f>
        <v>822.86</v>
      </c>
      <c r="J56" s="24" t="n">
        <f aca="false">D56-I56</f>
        <v>387.22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5392.53</v>
      </c>
      <c r="E57" s="24" t="n">
        <v>0</v>
      </c>
      <c r="F57" s="24" t="n">
        <v>0</v>
      </c>
      <c r="G57" s="24" t="n">
        <v>0</v>
      </c>
      <c r="H57" s="24" t="n">
        <v>89.88</v>
      </c>
      <c r="I57" s="24" t="n">
        <f aca="false">G57+H57</f>
        <v>89.88</v>
      </c>
      <c r="J57" s="24" t="n">
        <f aca="false">D57-I57</f>
        <v>5302.65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23034.43</v>
      </c>
      <c r="E58" s="24" t="n">
        <v>0</v>
      </c>
      <c r="F58" s="24" t="n">
        <v>13820.66</v>
      </c>
      <c r="G58" s="24" t="n">
        <v>0</v>
      </c>
      <c r="H58" s="24" t="n">
        <v>15663.41</v>
      </c>
      <c r="I58" s="24" t="n">
        <f aca="false">G58+H58</f>
        <v>15663.41</v>
      </c>
      <c r="J58" s="24" t="n">
        <f aca="false">D58-I58</f>
        <v>7371.02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102649.8</v>
      </c>
      <c r="E59" s="24" t="n">
        <v>0</v>
      </c>
      <c r="F59" s="24" t="n">
        <v>0</v>
      </c>
      <c r="G59" s="24" t="n">
        <v>0</v>
      </c>
      <c r="H59" s="24" t="n">
        <v>1710.83</v>
      </c>
      <c r="I59" s="24" t="n">
        <f aca="false">G59+H59</f>
        <v>1710.83</v>
      </c>
      <c r="J59" s="24" t="n">
        <f aca="false">D59-I59</f>
        <v>100938.97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2972.18</v>
      </c>
      <c r="E60" s="24" t="n">
        <v>0</v>
      </c>
      <c r="F60" s="24" t="n">
        <v>1783.31</v>
      </c>
      <c r="G60" s="24" t="n">
        <v>0</v>
      </c>
      <c r="H60" s="24" t="n">
        <v>2021.08</v>
      </c>
      <c r="I60" s="24" t="n">
        <f aca="false">G60+H60</f>
        <v>2021.08</v>
      </c>
      <c r="J60" s="24" t="n">
        <f aca="false">D60-I60</f>
        <v>951.1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13245.14</v>
      </c>
      <c r="E61" s="24" t="n">
        <v>0</v>
      </c>
      <c r="F61" s="24" t="n">
        <v>0</v>
      </c>
      <c r="G61" s="24" t="n">
        <v>0</v>
      </c>
      <c r="H61" s="24" t="n">
        <v>220.75</v>
      </c>
      <c r="I61" s="24" t="n">
        <f aca="false">G61+H61</f>
        <v>220.75</v>
      </c>
      <c r="J61" s="24" t="n">
        <f aca="false">D61-I61</f>
        <v>13024.39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5572.85</v>
      </c>
      <c r="E62" s="24" t="n">
        <v>0</v>
      </c>
      <c r="F62" s="24" t="n">
        <v>3343.71</v>
      </c>
      <c r="G62" s="24" t="n">
        <v>0</v>
      </c>
      <c r="H62" s="24" t="n">
        <v>3789.54</v>
      </c>
      <c r="I62" s="24" t="n">
        <f aca="false">G62+H62</f>
        <v>3789.54</v>
      </c>
      <c r="J62" s="24" t="n">
        <f aca="false">D62-I62</f>
        <v>1783.31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24834.63</v>
      </c>
      <c r="E63" s="24" t="n">
        <v>0</v>
      </c>
      <c r="F63" s="24" t="n">
        <v>0</v>
      </c>
      <c r="G63" s="24" t="n">
        <v>0</v>
      </c>
      <c r="H63" s="24" t="n">
        <v>413.91</v>
      </c>
      <c r="I63" s="24" t="n">
        <f aca="false">G63+H63</f>
        <v>413.91</v>
      </c>
      <c r="J63" s="24" t="n">
        <f aca="false">D63-I63</f>
        <v>24420.72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209723.78</v>
      </c>
      <c r="E64" s="28" t="n">
        <f aca="false">SUM(E52:E63)</f>
        <v>0</v>
      </c>
      <c r="F64" s="28" t="n">
        <f aca="false">SUM(F52:F63)</f>
        <v>23061.93</v>
      </c>
      <c r="G64" s="28" t="n">
        <f aca="false">SUM(G52:G63)</f>
        <v>0</v>
      </c>
      <c r="H64" s="28" t="n">
        <f aca="false">SUM(H52:H63)</f>
        <v>28991.64</v>
      </c>
      <c r="I64" s="28" t="n">
        <f aca="false">SUM(I52:I63)</f>
        <v>28991.64</v>
      </c>
      <c r="J64" s="28" t="n">
        <f aca="false">SUM(J52:J63)</f>
        <v>180732.14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39822.85</v>
      </c>
    </row>
    <row r="68" customFormat="false" ht="15" hidden="false" customHeight="false" outlineLevel="0" collapsed="false">
      <c r="B68" s="5" t="s">
        <v>97</v>
      </c>
      <c r="D68" s="6" t="n">
        <f aca="false">I64</f>
        <v>28991.64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10831.21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209723.78</v>
      </c>
    </row>
    <row r="73" customFormat="false" ht="15" hidden="false" customHeight="false" outlineLevel="0" collapsed="false">
      <c r="B73" s="5" t="s">
        <v>106</v>
      </c>
      <c r="D73" s="6" t="n">
        <f aca="false">F110</f>
        <v>38436.55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0.183272254581717</v>
      </c>
    </row>
    <row r="75" customFormat="false" ht="15" hidden="false" customHeight="false" outlineLevel="0" collapsed="false">
      <c r="B75" s="5" t="s">
        <v>109</v>
      </c>
      <c r="D75" s="6" t="n">
        <f aca="false">H110</f>
        <v>171287.23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0.816727745418283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8655.83</v>
      </c>
      <c r="F81" s="33" t="n">
        <v>8655.83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3397.22</v>
      </c>
      <c r="F82" s="33" t="n">
        <v>3397.22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12211.66</v>
      </c>
      <c r="F83" s="33" t="n">
        <v>12211.66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2823.29</v>
      </c>
      <c r="F84" s="33" t="n">
        <v>2823.29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90.34</v>
      </c>
      <c r="F85" s="33" t="n">
        <v>90.34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1794.05</v>
      </c>
      <c r="F86" s="33" t="n">
        <v>1794.05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1507.56</v>
      </c>
      <c r="F87" s="33" t="n">
        <v>1507.56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3281.59</v>
      </c>
      <c r="F88" s="33" t="n">
        <v>3281.59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1386.19</v>
      </c>
      <c r="F89" s="33" t="n">
        <v>1386.19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53.16</v>
      </c>
      <c r="F90" s="33" t="n">
        <v>53.16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2831.12</v>
      </c>
      <c r="F92" s="33" t="n">
        <v>2831.12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9211.22</v>
      </c>
      <c r="H94" s="33" t="n">
        <v>9211.22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11470.72</v>
      </c>
      <c r="H95" s="33" t="n">
        <v>11470.72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16969.73</v>
      </c>
      <c r="H96" s="33" t="n">
        <v>16969.73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18340.3</v>
      </c>
      <c r="H97" s="33" t="n">
        <v>18340.3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14751.7</v>
      </c>
      <c r="H98" s="33" t="n">
        <v>14751.7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1388.53</v>
      </c>
      <c r="H99" s="33" t="n">
        <v>1388.53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7649.12</v>
      </c>
      <c r="H100" s="33" t="n">
        <v>7649.12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11108.31</v>
      </c>
      <c r="H101" s="33" t="n">
        <v>11108.31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5556.95</v>
      </c>
      <c r="H102" s="33" t="n">
        <v>5556.95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7805.36</v>
      </c>
      <c r="H103" s="33" t="n">
        <v>7805.36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21030.97</v>
      </c>
      <c r="H104" s="33" t="n">
        <v>21030.97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9062.11</v>
      </c>
      <c r="H105" s="33" t="n">
        <v>9062.11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1169.97</v>
      </c>
      <c r="H106" s="33" t="n">
        <v>1169.97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22012.51</v>
      </c>
      <c r="H107" s="33" t="n">
        <v>22012.51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10783.85</v>
      </c>
      <c r="H108" s="33" t="n">
        <v>10783.85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2975.88</v>
      </c>
      <c r="H109" s="33" t="n">
        <v>2975.88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209723.78</v>
      </c>
      <c r="F110" s="34" t="n">
        <f aca="false">SUM(F80:F109)</f>
        <v>38436.55</v>
      </c>
      <c r="H110" s="34" t="n">
        <f aca="false">SUM(H80:H109)</f>
        <v>171287.23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0.183272254581717</v>
      </c>
      <c r="H111" s="31" t="n">
        <f aca="false">H110/D110</f>
        <v>0.816727745418283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5'!B20</f>
        <v>2-Building-712 Northfield Dr - 5 Year</v>
      </c>
      <c r="D115" s="33" t="n">
        <f aca="false">SUM(F115:H115)</f>
        <v>5001.64</v>
      </c>
      <c r="F115" s="33" t="n">
        <f aca="false">'Building 5'!D20</f>
        <v>5001.64</v>
      </c>
    </row>
    <row r="116" customFormat="false" ht="15" hidden="false" customHeight="false" outlineLevel="0" collapsed="false">
      <c r="B116" s="5" t="str">
        <f aca="false">'Building 5'!B21</f>
        <v>2-Building-712 Northfield Dr - 27.5 Year</v>
      </c>
      <c r="D116" s="33" t="n">
        <f aca="false">SUM(F116:H116)</f>
        <v>22289.12</v>
      </c>
      <c r="H116" s="33" t="n">
        <f aca="false">'Building 5'!D21</f>
        <v>22289.12</v>
      </c>
    </row>
    <row r="117" customFormat="false" ht="15" hidden="false" customHeight="false" outlineLevel="0" collapsed="false">
      <c r="B117" s="5" t="str">
        <f aca="false">'Building 5'!B22</f>
        <v>3-Northfield Dr - 5 Year</v>
      </c>
      <c r="D117" s="33" t="n">
        <f aca="false">SUM(F117:H117)</f>
        <v>645.37</v>
      </c>
      <c r="F117" s="33" t="n">
        <f aca="false">'Building 5'!D22</f>
        <v>645.37</v>
      </c>
    </row>
    <row r="118" customFormat="false" ht="15" hidden="false" customHeight="false" outlineLevel="0" collapsed="false">
      <c r="B118" s="5" t="str">
        <f aca="false">'Building 5'!B23</f>
        <v>3-Northfield Dr - 27.5 Year</v>
      </c>
      <c r="D118" s="33" t="n">
        <f aca="false">SUM(F118:H118)</f>
        <v>2876.01</v>
      </c>
      <c r="H118" s="33" t="n">
        <f aca="false">'Building 5'!D23</f>
        <v>2876.01</v>
      </c>
    </row>
    <row r="119" customFormat="false" ht="15" hidden="false" customHeight="false" outlineLevel="0" collapsed="false">
      <c r="B119" s="5" t="str">
        <f aca="false">'Building 5'!B24</f>
        <v>4-Northfield Dr - 5 Year</v>
      </c>
      <c r="D119" s="33" t="n">
        <f aca="false">SUM(F119:H119)</f>
        <v>1210.08</v>
      </c>
      <c r="F119" s="33" t="n">
        <f aca="false">'Building 5'!D24</f>
        <v>1210.08</v>
      </c>
    </row>
    <row r="120" customFormat="false" ht="15" hidden="false" customHeight="false" outlineLevel="0" collapsed="false">
      <c r="B120" s="5" t="str">
        <f aca="false">'Building 5'!B25</f>
        <v>4-Northfield Dr - 27.5 Year</v>
      </c>
      <c r="D120" s="33" t="n">
        <f aca="false">SUM(F120:H120)</f>
        <v>5392.53</v>
      </c>
      <c r="H120" s="33" t="n">
        <f aca="false">'Building 5'!D25</f>
        <v>5392.53</v>
      </c>
    </row>
    <row r="121" customFormat="false" ht="15" hidden="false" customHeight="false" outlineLevel="0" collapsed="false">
      <c r="B121" s="5" t="str">
        <f aca="false">'Building 5'!B26</f>
        <v>7-Building-2202 Northview Dr - 5 Year</v>
      </c>
      <c r="D121" s="33" t="n">
        <f aca="false">SUM(F121:H121)</f>
        <v>23034.43</v>
      </c>
      <c r="F121" s="33" t="n">
        <f aca="false">'Building 5'!D26</f>
        <v>23034.43</v>
      </c>
    </row>
    <row r="122" customFormat="false" ht="15" hidden="false" customHeight="false" outlineLevel="0" collapsed="false">
      <c r="B122" s="5" t="str">
        <f aca="false">'Building 5'!B27</f>
        <v>7-Building-2202 Northview Dr - 27.5 Year</v>
      </c>
      <c r="D122" s="33" t="n">
        <f aca="false">SUM(F122:H122)</f>
        <v>102649.8</v>
      </c>
      <c r="H122" s="33" t="n">
        <f aca="false">'Building 5'!D27</f>
        <v>102649.8</v>
      </c>
    </row>
    <row r="123" customFormat="false" ht="15" hidden="false" customHeight="false" outlineLevel="0" collapsed="false">
      <c r="B123" s="5" t="str">
        <f aca="false">'Building 5'!B28</f>
        <v>8-Northiew Dr - 5 Year</v>
      </c>
      <c r="D123" s="33" t="n">
        <f aca="false">SUM(F123:H123)</f>
        <v>2972.18</v>
      </c>
      <c r="F123" s="33" t="n">
        <f aca="false">'Building 5'!D28</f>
        <v>2972.18</v>
      </c>
    </row>
    <row r="124" customFormat="false" ht="15" hidden="false" customHeight="false" outlineLevel="0" collapsed="false">
      <c r="B124" s="5" t="str">
        <f aca="false">'Building 5'!B29</f>
        <v>8-Northiew Dr - 27.5 Year</v>
      </c>
      <c r="D124" s="33" t="n">
        <f aca="false">SUM(F124:H124)</f>
        <v>13245.14</v>
      </c>
      <c r="H124" s="33" t="n">
        <f aca="false">'Building 5'!D29</f>
        <v>13245.14</v>
      </c>
    </row>
    <row r="125" customFormat="false" ht="15" hidden="false" customHeight="false" outlineLevel="0" collapsed="false">
      <c r="B125" s="5" t="str">
        <f aca="false">'Building 5'!B30</f>
        <v>9-Northview Dr - 5 Year</v>
      </c>
      <c r="D125" s="33" t="n">
        <f aca="false">SUM(F125:H125)</f>
        <v>5572.85</v>
      </c>
      <c r="F125" s="33" t="n">
        <f aca="false">'Building 5'!D30</f>
        <v>5572.85</v>
      </c>
    </row>
    <row r="126" customFormat="false" ht="15" hidden="false" customHeight="false" outlineLevel="0" collapsed="false">
      <c r="B126" s="5" t="str">
        <f aca="false">'Building 5'!B31</f>
        <v>9-Northview Dr - 27.5 Year</v>
      </c>
      <c r="D126" s="33" t="n">
        <f aca="false">SUM(F126:H126)</f>
        <v>24834.63</v>
      </c>
      <c r="H126" s="33" t="n">
        <f aca="false">'Building 5'!D31</f>
        <v>24834.63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209723.78</v>
      </c>
      <c r="F127" s="34" t="n">
        <f aca="false">SUM(F115:F126)</f>
        <v>38436.55</v>
      </c>
      <c r="H127" s="34" t="n">
        <f aca="false">SUM(H115:H126)</f>
        <v>171287.23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178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53518.91</v>
      </c>
      <c r="E10" s="24" t="n">
        <v>0</v>
      </c>
      <c r="F10" s="24" t="n">
        <v>0</v>
      </c>
      <c r="G10" s="24" t="n">
        <v>0</v>
      </c>
      <c r="H10" s="24" t="n">
        <v>892</v>
      </c>
      <c r="I10" s="24" t="n">
        <f aca="false">G10+H10</f>
        <v>892</v>
      </c>
      <c r="J10" s="24" t="n">
        <f aca="false">D10-I10</f>
        <v>52626.91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6905.65</v>
      </c>
      <c r="E11" s="24" t="n">
        <v>0</v>
      </c>
      <c r="F11" s="24" t="n">
        <v>4143.39</v>
      </c>
      <c r="G11" s="24" t="n">
        <v>0</v>
      </c>
      <c r="H11" s="24" t="n">
        <v>4235.49</v>
      </c>
      <c r="I11" s="24" t="n">
        <f aca="false">G11+H11</f>
        <v>4235.49</v>
      </c>
      <c r="J11" s="24" t="n">
        <f aca="false">D11-I11</f>
        <v>2670.16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12948.13</v>
      </c>
      <c r="E12" s="24" t="n">
        <v>0</v>
      </c>
      <c r="F12" s="24" t="n">
        <v>7768.88</v>
      </c>
      <c r="G12" s="24" t="n">
        <v>0</v>
      </c>
      <c r="H12" s="24" t="n">
        <v>8804.72</v>
      </c>
      <c r="I12" s="24" t="n">
        <f aca="false">G12+H12</f>
        <v>8804.72</v>
      </c>
      <c r="J12" s="24" t="n">
        <f aca="false">D12-I12</f>
        <v>4143.41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246474.74</v>
      </c>
      <c r="E13" s="24" t="n">
        <v>0</v>
      </c>
      <c r="F13" s="24" t="n">
        <v>0</v>
      </c>
      <c r="G13" s="24" t="n">
        <v>0</v>
      </c>
      <c r="H13" s="24" t="n">
        <v>4107.9</v>
      </c>
      <c r="I13" s="24" t="n">
        <f aca="false">G13+H13</f>
        <v>4107.9</v>
      </c>
      <c r="J13" s="24" t="n">
        <f aca="false">D13-I13</f>
        <v>242366.84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31803.19</v>
      </c>
      <c r="E14" s="24" t="n">
        <v>0</v>
      </c>
      <c r="F14" s="24" t="n">
        <v>19081.91</v>
      </c>
      <c r="G14" s="24" t="n">
        <v>0</v>
      </c>
      <c r="H14" s="24" t="n">
        <v>19505.96</v>
      </c>
      <c r="I14" s="24" t="n">
        <f aca="false">G14+H14</f>
        <v>19505.96</v>
      </c>
      <c r="J14" s="24" t="n">
        <f aca="false">D14-I14</f>
        <v>12297.23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59631</v>
      </c>
      <c r="E15" s="24" t="n">
        <v>0</v>
      </c>
      <c r="F15" s="24" t="n">
        <v>35778.6</v>
      </c>
      <c r="G15" s="24" t="n">
        <v>0</v>
      </c>
      <c r="H15" s="24" t="n">
        <v>40549.09</v>
      </c>
      <c r="I15" s="24" t="n">
        <f aca="false">G15+H15</f>
        <v>40549.09</v>
      </c>
      <c r="J15" s="24" t="n">
        <f aca="false">D15-I15</f>
        <v>19081.91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411281.62</v>
      </c>
      <c r="E16" s="28" t="n">
        <f aca="false">SUM(E10:E15)</f>
        <v>0</v>
      </c>
      <c r="F16" s="28" t="n">
        <f aca="false">SUM(F10:F15)</f>
        <v>66772.78</v>
      </c>
      <c r="G16" s="28" t="n">
        <f aca="false">SUM(G10:G15)</f>
        <v>0</v>
      </c>
      <c r="H16" s="28" t="n">
        <f aca="false">SUM(H10:H15)</f>
        <v>78095.16</v>
      </c>
      <c r="I16" s="28" t="n">
        <f aca="false">SUM(I10:I15)</f>
        <v>78095.16</v>
      </c>
      <c r="J16" s="28" t="n">
        <f aca="false">SUM(J10:J15)</f>
        <v>333186.46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9996.83</v>
      </c>
      <c r="E20" s="24" t="n">
        <v>0</v>
      </c>
      <c r="F20" s="24" t="n">
        <v>5998.1</v>
      </c>
      <c r="G20" s="24" t="n">
        <v>0</v>
      </c>
      <c r="H20" s="24" t="n">
        <v>6797.85</v>
      </c>
      <c r="I20" s="24" t="n">
        <f aca="false">G20+H20</f>
        <v>6797.85</v>
      </c>
      <c r="J20" s="24" t="n">
        <f aca="false">D20-I20</f>
        <v>3198.98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43522.08</v>
      </c>
      <c r="E21" s="24" t="n">
        <v>0</v>
      </c>
      <c r="F21" s="24" t="n">
        <v>0</v>
      </c>
      <c r="G21" s="24" t="n">
        <v>0</v>
      </c>
      <c r="H21" s="24" t="n">
        <v>725.37</v>
      </c>
      <c r="I21" s="24" t="n">
        <f aca="false">G21+H21</f>
        <v>725.37</v>
      </c>
      <c r="J21" s="24" t="n">
        <f aca="false">D21-I21</f>
        <v>42796.71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1289.91</v>
      </c>
      <c r="E22" s="24" t="n">
        <v>0</v>
      </c>
      <c r="F22" s="24" t="n">
        <v>773.95</v>
      </c>
      <c r="G22" s="24" t="n">
        <v>0</v>
      </c>
      <c r="H22" s="24" t="n">
        <v>877.14</v>
      </c>
      <c r="I22" s="24" t="n">
        <f aca="false">G22+H22</f>
        <v>877.14</v>
      </c>
      <c r="J22" s="24" t="n">
        <f aca="false">D22-I22</f>
        <v>412.77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5615.74</v>
      </c>
      <c r="E23" s="24" t="n">
        <v>0</v>
      </c>
      <c r="F23" s="24" t="n">
        <v>0</v>
      </c>
      <c r="G23" s="24" t="n">
        <v>0</v>
      </c>
      <c r="H23" s="24" t="n">
        <v>93.6</v>
      </c>
      <c r="I23" s="24" t="n">
        <f aca="false">G23+H23</f>
        <v>93.6</v>
      </c>
      <c r="J23" s="24" t="n">
        <f aca="false">D23-I23</f>
        <v>5522.14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2418.59</v>
      </c>
      <c r="E24" s="24" t="n">
        <v>0</v>
      </c>
      <c r="F24" s="24" t="n">
        <v>1451.15</v>
      </c>
      <c r="G24" s="24" t="n">
        <v>0</v>
      </c>
      <c r="H24" s="24" t="n">
        <v>1644.64</v>
      </c>
      <c r="I24" s="24" t="n">
        <f aca="false">G24+H24</f>
        <v>1644.64</v>
      </c>
      <c r="J24" s="24" t="n">
        <f aca="false">D24-I24</f>
        <v>773.95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10529.54</v>
      </c>
      <c r="E25" s="24" t="n">
        <v>0</v>
      </c>
      <c r="F25" s="24" t="n">
        <v>0</v>
      </c>
      <c r="G25" s="24" t="n">
        <v>0</v>
      </c>
      <c r="H25" s="24" t="n">
        <v>175.49</v>
      </c>
      <c r="I25" s="24" t="n">
        <f aca="false">G25+H25</f>
        <v>175.49</v>
      </c>
      <c r="J25" s="24" t="n">
        <f aca="false">D25-I25</f>
        <v>10354.05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46039.18</v>
      </c>
      <c r="E26" s="24" t="n">
        <v>0</v>
      </c>
      <c r="F26" s="24" t="n">
        <v>27623.51</v>
      </c>
      <c r="G26" s="24" t="n">
        <v>0</v>
      </c>
      <c r="H26" s="24" t="n">
        <v>31306.64</v>
      </c>
      <c r="I26" s="24" t="n">
        <f aca="false">G26+H26</f>
        <v>31306.64</v>
      </c>
      <c r="J26" s="24" t="n">
        <f aca="false">D26-I26</f>
        <v>14732.54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200435.56</v>
      </c>
      <c r="E27" s="24" t="n">
        <v>0</v>
      </c>
      <c r="F27" s="24" t="n">
        <v>0</v>
      </c>
      <c r="G27" s="24" t="n">
        <v>0</v>
      </c>
      <c r="H27" s="24" t="n">
        <v>3340.59</v>
      </c>
      <c r="I27" s="24" t="n">
        <f aca="false">G27+H27</f>
        <v>3340.59</v>
      </c>
      <c r="J27" s="24" t="n">
        <f aca="false">D27-I27</f>
        <v>197094.97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5940.54</v>
      </c>
      <c r="E28" s="24" t="n">
        <v>0</v>
      </c>
      <c r="F28" s="24" t="n">
        <v>3564.32</v>
      </c>
      <c r="G28" s="24" t="n">
        <v>0</v>
      </c>
      <c r="H28" s="24" t="n">
        <v>4039.56</v>
      </c>
      <c r="I28" s="24" t="n">
        <f aca="false">G28+H28</f>
        <v>4039.56</v>
      </c>
      <c r="J28" s="24" t="n">
        <f aca="false">D28-I28</f>
        <v>1900.98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25862.65</v>
      </c>
      <c r="E29" s="24" t="n">
        <v>0</v>
      </c>
      <c r="F29" s="24" t="n">
        <v>0</v>
      </c>
      <c r="G29" s="24" t="n">
        <v>0</v>
      </c>
      <c r="H29" s="24" t="n">
        <v>431.04</v>
      </c>
      <c r="I29" s="24" t="n">
        <f aca="false">G29+H29</f>
        <v>431.04</v>
      </c>
      <c r="J29" s="24" t="n">
        <f aca="false">D29-I29</f>
        <v>25431.61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11138.51</v>
      </c>
      <c r="E30" s="24" t="n">
        <v>0</v>
      </c>
      <c r="F30" s="24" t="n">
        <v>6683.11</v>
      </c>
      <c r="G30" s="24" t="n">
        <v>0</v>
      </c>
      <c r="H30" s="24" t="n">
        <v>7574.19</v>
      </c>
      <c r="I30" s="24" t="n">
        <f aca="false">G30+H30</f>
        <v>7574.19</v>
      </c>
      <c r="J30" s="24" t="n">
        <f aca="false">D30-I30</f>
        <v>3564.32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48492.49</v>
      </c>
      <c r="E31" s="24" t="n">
        <v>0</v>
      </c>
      <c r="F31" s="24" t="n">
        <v>0</v>
      </c>
      <c r="G31" s="24" t="n">
        <v>0</v>
      </c>
      <c r="H31" s="24" t="n">
        <v>808.21</v>
      </c>
      <c r="I31" s="24" t="n">
        <f aca="false">G31+H31</f>
        <v>808.21</v>
      </c>
      <c r="J31" s="24" t="n">
        <f aca="false">D31-I31</f>
        <v>47684.28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411281.62</v>
      </c>
      <c r="E32" s="28" t="n">
        <f aca="false">SUM(E20:E31)</f>
        <v>0</v>
      </c>
      <c r="F32" s="28" t="n">
        <f aca="false">SUM(F20:F31)</f>
        <v>46094.14</v>
      </c>
      <c r="G32" s="28" t="n">
        <f aca="false">SUM(G20:G31)</f>
        <v>0</v>
      </c>
      <c r="H32" s="28" t="n">
        <f aca="false">SUM(H20:H31)</f>
        <v>57814.32</v>
      </c>
      <c r="I32" s="28" t="n">
        <f aca="false">SUM(I20:I31)</f>
        <v>57814.32</v>
      </c>
      <c r="J32" s="28" t="n">
        <f aca="false">SUM(J20:J31)</f>
        <v>353467.3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78095.16</v>
      </c>
    </row>
    <row r="36" customFormat="false" ht="15" hidden="false" customHeight="false" outlineLevel="0" collapsed="false">
      <c r="B36" s="5" t="s">
        <v>97</v>
      </c>
      <c r="D36" s="6" t="n">
        <f aca="false">I32</f>
        <v>57814.32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20280.84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53518.91</v>
      </c>
      <c r="E42" s="24" t="n">
        <v>0</v>
      </c>
      <c r="F42" s="24" t="n">
        <v>0</v>
      </c>
      <c r="G42" s="24" t="n">
        <v>0</v>
      </c>
      <c r="H42" s="24" t="n">
        <v>892</v>
      </c>
      <c r="I42" s="24" t="n">
        <f aca="false">G42+H42</f>
        <v>892</v>
      </c>
      <c r="J42" s="24" t="n">
        <f aca="false">D42-I42</f>
        <v>52626.91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6905.65</v>
      </c>
      <c r="E43" s="24" t="n">
        <v>0</v>
      </c>
      <c r="F43" s="24" t="n">
        <v>4143.39</v>
      </c>
      <c r="G43" s="24" t="n">
        <v>0</v>
      </c>
      <c r="H43" s="24" t="n">
        <v>4235.49</v>
      </c>
      <c r="I43" s="24" t="n">
        <f aca="false">G43+H43</f>
        <v>4235.49</v>
      </c>
      <c r="J43" s="24" t="n">
        <f aca="false">D43-I43</f>
        <v>2670.16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12948.13</v>
      </c>
      <c r="E44" s="24" t="n">
        <v>0</v>
      </c>
      <c r="F44" s="24" t="n">
        <v>7768.88</v>
      </c>
      <c r="G44" s="24" t="n">
        <v>0</v>
      </c>
      <c r="H44" s="24" t="n">
        <v>8804.72</v>
      </c>
      <c r="I44" s="24" t="n">
        <f aca="false">G44+H44</f>
        <v>8804.72</v>
      </c>
      <c r="J44" s="24" t="n">
        <f aca="false">D44-I44</f>
        <v>4143.41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246474.74</v>
      </c>
      <c r="E45" s="24" t="n">
        <v>0</v>
      </c>
      <c r="F45" s="24" t="n">
        <v>0</v>
      </c>
      <c r="G45" s="24" t="n">
        <v>0</v>
      </c>
      <c r="H45" s="24" t="n">
        <v>4107.9</v>
      </c>
      <c r="I45" s="24" t="n">
        <f aca="false">G45+H45</f>
        <v>4107.9</v>
      </c>
      <c r="J45" s="24" t="n">
        <f aca="false">D45-I45</f>
        <v>242366.84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31803.19</v>
      </c>
      <c r="E46" s="24" t="n">
        <v>0</v>
      </c>
      <c r="F46" s="24" t="n">
        <v>19081.91</v>
      </c>
      <c r="G46" s="24" t="n">
        <v>0</v>
      </c>
      <c r="H46" s="24" t="n">
        <v>19505.96</v>
      </c>
      <c r="I46" s="24" t="n">
        <f aca="false">G46+H46</f>
        <v>19505.96</v>
      </c>
      <c r="J46" s="24" t="n">
        <f aca="false">D46-I46</f>
        <v>12297.23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59631</v>
      </c>
      <c r="E47" s="24" t="n">
        <v>0</v>
      </c>
      <c r="F47" s="24" t="n">
        <v>35778.6</v>
      </c>
      <c r="G47" s="24" t="n">
        <v>0</v>
      </c>
      <c r="H47" s="24" t="n">
        <v>40549.09</v>
      </c>
      <c r="I47" s="24" t="n">
        <f aca="false">G47+H47</f>
        <v>40549.09</v>
      </c>
      <c r="J47" s="24" t="n">
        <f aca="false">D47-I47</f>
        <v>19081.91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411281.62</v>
      </c>
      <c r="E48" s="28" t="n">
        <f aca="false">SUM(E42:E47)</f>
        <v>0</v>
      </c>
      <c r="F48" s="28" t="n">
        <f aca="false">SUM(F42:F47)</f>
        <v>66772.78</v>
      </c>
      <c r="G48" s="28" t="n">
        <f aca="false">SUM(G42:G47)</f>
        <v>0</v>
      </c>
      <c r="H48" s="28" t="n">
        <f aca="false">SUM(H42:H47)</f>
        <v>78095.16</v>
      </c>
      <c r="I48" s="28" t="n">
        <f aca="false">SUM(I42:I47)</f>
        <v>78095.16</v>
      </c>
      <c r="J48" s="28" t="n">
        <f aca="false">SUM(J42:J47)</f>
        <v>333186.46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9996.83</v>
      </c>
      <c r="E52" s="24" t="n">
        <v>0</v>
      </c>
      <c r="F52" s="24" t="n">
        <v>5998.1</v>
      </c>
      <c r="G52" s="24" t="n">
        <v>0</v>
      </c>
      <c r="H52" s="24" t="n">
        <v>6797.85</v>
      </c>
      <c r="I52" s="24" t="n">
        <f aca="false">G52+H52</f>
        <v>6797.85</v>
      </c>
      <c r="J52" s="24" t="n">
        <f aca="false">D52-I52</f>
        <v>3198.98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43522.08</v>
      </c>
      <c r="E53" s="24" t="n">
        <v>0</v>
      </c>
      <c r="F53" s="24" t="n">
        <v>0</v>
      </c>
      <c r="G53" s="24" t="n">
        <v>0</v>
      </c>
      <c r="H53" s="24" t="n">
        <v>725.37</v>
      </c>
      <c r="I53" s="24" t="n">
        <f aca="false">G53+H53</f>
        <v>725.37</v>
      </c>
      <c r="J53" s="24" t="n">
        <f aca="false">D53-I53</f>
        <v>42796.71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1289.91</v>
      </c>
      <c r="E54" s="24" t="n">
        <v>0</v>
      </c>
      <c r="F54" s="24" t="n">
        <v>773.95</v>
      </c>
      <c r="G54" s="24" t="n">
        <v>0</v>
      </c>
      <c r="H54" s="24" t="n">
        <v>877.14</v>
      </c>
      <c r="I54" s="24" t="n">
        <f aca="false">G54+H54</f>
        <v>877.14</v>
      </c>
      <c r="J54" s="24" t="n">
        <f aca="false">D54-I54</f>
        <v>412.77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5615.74</v>
      </c>
      <c r="E55" s="24" t="n">
        <v>0</v>
      </c>
      <c r="F55" s="24" t="n">
        <v>0</v>
      </c>
      <c r="G55" s="24" t="n">
        <v>0</v>
      </c>
      <c r="H55" s="24" t="n">
        <v>93.6</v>
      </c>
      <c r="I55" s="24" t="n">
        <f aca="false">G55+H55</f>
        <v>93.6</v>
      </c>
      <c r="J55" s="24" t="n">
        <f aca="false">D55-I55</f>
        <v>5522.14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2418.59</v>
      </c>
      <c r="E56" s="24" t="n">
        <v>0</v>
      </c>
      <c r="F56" s="24" t="n">
        <v>1451.15</v>
      </c>
      <c r="G56" s="24" t="n">
        <v>0</v>
      </c>
      <c r="H56" s="24" t="n">
        <v>1644.64</v>
      </c>
      <c r="I56" s="24" t="n">
        <f aca="false">G56+H56</f>
        <v>1644.64</v>
      </c>
      <c r="J56" s="24" t="n">
        <f aca="false">D56-I56</f>
        <v>773.95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10529.54</v>
      </c>
      <c r="E57" s="24" t="n">
        <v>0</v>
      </c>
      <c r="F57" s="24" t="n">
        <v>0</v>
      </c>
      <c r="G57" s="24" t="n">
        <v>0</v>
      </c>
      <c r="H57" s="24" t="n">
        <v>175.49</v>
      </c>
      <c r="I57" s="24" t="n">
        <f aca="false">G57+H57</f>
        <v>175.49</v>
      </c>
      <c r="J57" s="24" t="n">
        <f aca="false">D57-I57</f>
        <v>10354.05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46039.18</v>
      </c>
      <c r="E58" s="24" t="n">
        <v>0</v>
      </c>
      <c r="F58" s="24" t="n">
        <v>27623.51</v>
      </c>
      <c r="G58" s="24" t="n">
        <v>0</v>
      </c>
      <c r="H58" s="24" t="n">
        <v>31306.64</v>
      </c>
      <c r="I58" s="24" t="n">
        <f aca="false">G58+H58</f>
        <v>31306.64</v>
      </c>
      <c r="J58" s="24" t="n">
        <f aca="false">D58-I58</f>
        <v>14732.54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200435.56</v>
      </c>
      <c r="E59" s="24" t="n">
        <v>0</v>
      </c>
      <c r="F59" s="24" t="n">
        <v>0</v>
      </c>
      <c r="G59" s="24" t="n">
        <v>0</v>
      </c>
      <c r="H59" s="24" t="n">
        <v>3340.59</v>
      </c>
      <c r="I59" s="24" t="n">
        <f aca="false">G59+H59</f>
        <v>3340.59</v>
      </c>
      <c r="J59" s="24" t="n">
        <f aca="false">D59-I59</f>
        <v>197094.97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5940.54</v>
      </c>
      <c r="E60" s="24" t="n">
        <v>0</v>
      </c>
      <c r="F60" s="24" t="n">
        <v>3564.32</v>
      </c>
      <c r="G60" s="24" t="n">
        <v>0</v>
      </c>
      <c r="H60" s="24" t="n">
        <v>4039.56</v>
      </c>
      <c r="I60" s="24" t="n">
        <f aca="false">G60+H60</f>
        <v>4039.56</v>
      </c>
      <c r="J60" s="24" t="n">
        <f aca="false">D60-I60</f>
        <v>1900.98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25862.65</v>
      </c>
      <c r="E61" s="24" t="n">
        <v>0</v>
      </c>
      <c r="F61" s="24" t="n">
        <v>0</v>
      </c>
      <c r="G61" s="24" t="n">
        <v>0</v>
      </c>
      <c r="H61" s="24" t="n">
        <v>431.04</v>
      </c>
      <c r="I61" s="24" t="n">
        <f aca="false">G61+H61</f>
        <v>431.04</v>
      </c>
      <c r="J61" s="24" t="n">
        <f aca="false">D61-I61</f>
        <v>25431.61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11138.51</v>
      </c>
      <c r="E62" s="24" t="n">
        <v>0</v>
      </c>
      <c r="F62" s="24" t="n">
        <v>6683.11</v>
      </c>
      <c r="G62" s="24" t="n">
        <v>0</v>
      </c>
      <c r="H62" s="24" t="n">
        <v>7574.19</v>
      </c>
      <c r="I62" s="24" t="n">
        <f aca="false">G62+H62</f>
        <v>7574.19</v>
      </c>
      <c r="J62" s="24" t="n">
        <f aca="false">D62-I62</f>
        <v>3564.32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48492.49</v>
      </c>
      <c r="E63" s="24" t="n">
        <v>0</v>
      </c>
      <c r="F63" s="24" t="n">
        <v>0</v>
      </c>
      <c r="G63" s="24" t="n">
        <v>0</v>
      </c>
      <c r="H63" s="24" t="n">
        <v>808.21</v>
      </c>
      <c r="I63" s="24" t="n">
        <f aca="false">G63+H63</f>
        <v>808.21</v>
      </c>
      <c r="J63" s="24" t="n">
        <f aca="false">D63-I63</f>
        <v>47684.28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411281.62</v>
      </c>
      <c r="E64" s="28" t="n">
        <f aca="false">SUM(E52:E63)</f>
        <v>0</v>
      </c>
      <c r="F64" s="28" t="n">
        <f aca="false">SUM(F52:F63)</f>
        <v>46094.14</v>
      </c>
      <c r="G64" s="28" t="n">
        <f aca="false">SUM(G52:G63)</f>
        <v>0</v>
      </c>
      <c r="H64" s="28" t="n">
        <f aca="false">SUM(H52:H63)</f>
        <v>57814.32</v>
      </c>
      <c r="I64" s="28" t="n">
        <f aca="false">SUM(I52:I63)</f>
        <v>57814.32</v>
      </c>
      <c r="J64" s="28" t="n">
        <f aca="false">SUM(J52:J63)</f>
        <v>353467.3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78095.16</v>
      </c>
    </row>
    <row r="68" customFormat="false" ht="15" hidden="false" customHeight="false" outlineLevel="0" collapsed="false">
      <c r="B68" s="5" t="s">
        <v>97</v>
      </c>
      <c r="D68" s="6" t="n">
        <f aca="false">I64</f>
        <v>57814.32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20280.84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D112</f>
        <v>411281.62</v>
      </c>
    </row>
    <row r="73" customFormat="false" ht="15" hidden="false" customHeight="false" outlineLevel="0" collapsed="false">
      <c r="B73" s="5" t="s">
        <v>106</v>
      </c>
      <c r="D73" s="6" t="n">
        <f aca="false">F112</f>
        <v>76823.56</v>
      </c>
    </row>
    <row r="74" customFormat="false" ht="15" hidden="false" customHeight="false" outlineLevel="0" collapsed="false">
      <c r="B74" s="30" t="s">
        <v>107</v>
      </c>
      <c r="D74" s="31" t="n">
        <f aca="false">F113</f>
        <v>0.186790647245554</v>
      </c>
    </row>
    <row r="75" customFormat="false" ht="15" hidden="false" customHeight="false" outlineLevel="0" collapsed="false">
      <c r="B75" s="5" t="s">
        <v>109</v>
      </c>
      <c r="D75" s="6" t="n">
        <f aca="false">H112</f>
        <v>334458.06</v>
      </c>
    </row>
    <row r="76" customFormat="false" ht="15" hidden="false" customHeight="false" outlineLevel="0" collapsed="false">
      <c r="B76" s="30" t="s">
        <v>107</v>
      </c>
      <c r="D76" s="31" t="n">
        <f aca="false">H113</f>
        <v>0.813209352754446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17269.54</v>
      </c>
      <c r="F81" s="33" t="n">
        <v>17269.54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5872.52</v>
      </c>
      <c r="F82" s="33" t="n">
        <v>5872.52</v>
      </c>
    </row>
    <row r="83" customFormat="false" ht="15" hidden="false" customHeight="false" outlineLevel="0" collapsed="false">
      <c r="B83" s="5" t="s">
        <v>175</v>
      </c>
      <c r="D83" s="33" t="n">
        <f aca="false">SUM(F83:H83)</f>
        <v>1061.02</v>
      </c>
      <c r="F83" s="33" t="n">
        <v>1061.02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24005.05</v>
      </c>
      <c r="F84" s="33" t="n">
        <v>24005.05</v>
      </c>
    </row>
    <row r="85" customFormat="false" ht="15" hidden="false" customHeight="false" outlineLevel="0" collapsed="false">
      <c r="B85" s="5" t="s">
        <v>176</v>
      </c>
      <c r="D85" s="33" t="n">
        <f aca="false">SUM(F85:H85)</f>
        <v>164.32</v>
      </c>
      <c r="F85" s="33" t="n">
        <v>164.32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5825.84</v>
      </c>
      <c r="F86" s="33" t="n">
        <v>5825.84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150.1</v>
      </c>
      <c r="F87" s="33" t="n">
        <v>150.1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3588.08</v>
      </c>
      <c r="F88" s="33" t="n">
        <v>3588.08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3097.62</v>
      </c>
      <c r="F89" s="33" t="n">
        <v>3097.62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6563.2</v>
      </c>
      <c r="F90" s="33" t="n">
        <v>6563.2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2648.6</v>
      </c>
      <c r="F91" s="33" t="n">
        <v>2648.6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106.32</v>
      </c>
      <c r="F92" s="33" t="n">
        <v>106.32</v>
      </c>
    </row>
    <row r="93" customFormat="false" ht="15" hidden="false" customHeight="false" outlineLevel="0" collapsed="false">
      <c r="B93" s="5" t="s">
        <v>154</v>
      </c>
      <c r="D93" s="33" t="n">
        <f aca="false">SUM(F93:H93)</f>
        <v>809.12</v>
      </c>
      <c r="F93" s="33" t="n">
        <v>809.12</v>
      </c>
    </row>
    <row r="94" customFormat="false" ht="15" hidden="false" customHeight="false" outlineLevel="0" collapsed="false">
      <c r="B94" s="5" t="s">
        <v>155</v>
      </c>
      <c r="D94" s="33" t="n">
        <f aca="false">SUM(F94:H94)</f>
        <v>5662.23</v>
      </c>
      <c r="F94" s="33" t="n">
        <v>5662.23</v>
      </c>
    </row>
    <row r="95" customFormat="false" ht="15" hidden="false" customHeight="false" outlineLevel="0" collapsed="false">
      <c r="B95" s="32" t="s">
        <v>135</v>
      </c>
    </row>
    <row r="96" customFormat="false" ht="15" hidden="false" customHeight="false" outlineLevel="0" collapsed="false">
      <c r="B96" s="5" t="s">
        <v>156</v>
      </c>
      <c r="D96" s="33" t="n">
        <f aca="false">SUM(F96:H96)</f>
        <v>19965.05</v>
      </c>
      <c r="H96" s="33" t="n">
        <v>19965.05</v>
      </c>
    </row>
    <row r="97" customFormat="false" ht="15" hidden="false" customHeight="false" outlineLevel="0" collapsed="false">
      <c r="B97" s="5" t="s">
        <v>157</v>
      </c>
      <c r="D97" s="33" t="n">
        <f aca="false">SUM(F97:H97)</f>
        <v>23099.53</v>
      </c>
      <c r="H97" s="33" t="n">
        <v>23099.53</v>
      </c>
    </row>
    <row r="98" customFormat="false" ht="15" hidden="false" customHeight="false" outlineLevel="0" collapsed="false">
      <c r="B98" s="5" t="s">
        <v>158</v>
      </c>
      <c r="D98" s="33" t="n">
        <f aca="false">SUM(F98:H98)</f>
        <v>34868.14</v>
      </c>
      <c r="H98" s="33" t="n">
        <v>34868.14</v>
      </c>
    </row>
    <row r="99" customFormat="false" ht="15" hidden="false" customHeight="false" outlineLevel="0" collapsed="false">
      <c r="B99" s="5" t="s">
        <v>159</v>
      </c>
      <c r="D99" s="33" t="n">
        <f aca="false">SUM(F99:H99)</f>
        <v>37684.26</v>
      </c>
      <c r="H99" s="33" t="n">
        <v>37684.26</v>
      </c>
    </row>
    <row r="100" customFormat="false" ht="15" hidden="false" customHeight="false" outlineLevel="0" collapsed="false">
      <c r="B100" s="5" t="s">
        <v>160</v>
      </c>
      <c r="D100" s="33" t="n">
        <f aca="false">SUM(F100:H100)</f>
        <v>30310.68</v>
      </c>
      <c r="H100" s="33" t="n">
        <v>30310.68</v>
      </c>
    </row>
    <row r="101" customFormat="false" ht="15" hidden="false" customHeight="false" outlineLevel="0" collapsed="false">
      <c r="B101" s="5" t="s">
        <v>161</v>
      </c>
      <c r="D101" s="33" t="n">
        <f aca="false">SUM(F101:H101)</f>
        <v>2483.74</v>
      </c>
      <c r="H101" s="33" t="n">
        <v>2483.74</v>
      </c>
    </row>
    <row r="102" customFormat="false" ht="15" hidden="false" customHeight="false" outlineLevel="0" collapsed="false">
      <c r="B102" s="5" t="s">
        <v>162</v>
      </c>
      <c r="D102" s="33" t="n">
        <f aca="false">SUM(F102:H102)</f>
        <v>12802.47</v>
      </c>
      <c r="H102" s="33" t="n">
        <v>12802.47</v>
      </c>
    </row>
    <row r="103" customFormat="false" ht="15" hidden="false" customHeight="false" outlineLevel="0" collapsed="false">
      <c r="B103" s="5" t="s">
        <v>163</v>
      </c>
      <c r="D103" s="33" t="n">
        <f aca="false">SUM(F103:H103)</f>
        <v>21480.24</v>
      </c>
      <c r="H103" s="33" t="n">
        <v>21480.24</v>
      </c>
    </row>
    <row r="104" customFormat="false" ht="15" hidden="false" customHeight="false" outlineLevel="0" collapsed="false">
      <c r="B104" s="5" t="s">
        <v>164</v>
      </c>
      <c r="D104" s="33" t="n">
        <f aca="false">SUM(F104:H104)</f>
        <v>11643.15</v>
      </c>
      <c r="H104" s="33" t="n">
        <v>11643.15</v>
      </c>
    </row>
    <row r="105" customFormat="false" ht="15" hidden="false" customHeight="false" outlineLevel="0" collapsed="false">
      <c r="B105" s="5" t="s">
        <v>165</v>
      </c>
      <c r="D105" s="33" t="n">
        <f aca="false">SUM(F105:H105)</f>
        <v>16037.83</v>
      </c>
      <c r="H105" s="33" t="n">
        <v>16037.83</v>
      </c>
    </row>
    <row r="106" customFormat="false" ht="15" hidden="false" customHeight="false" outlineLevel="0" collapsed="false">
      <c r="B106" s="5" t="s">
        <v>166</v>
      </c>
      <c r="D106" s="33" t="n">
        <f aca="false">SUM(F106:H106)</f>
        <v>35969.2</v>
      </c>
      <c r="H106" s="33" t="n">
        <v>35969.2</v>
      </c>
    </row>
    <row r="107" customFormat="false" ht="15" hidden="false" customHeight="false" outlineLevel="0" collapsed="false">
      <c r="B107" s="5" t="s">
        <v>167</v>
      </c>
      <c r="D107" s="33" t="n">
        <f aca="false">SUM(F107:H107)</f>
        <v>16182.61</v>
      </c>
      <c r="H107" s="33" t="n">
        <v>16182.61</v>
      </c>
    </row>
    <row r="108" customFormat="false" ht="15" hidden="false" customHeight="false" outlineLevel="0" collapsed="false">
      <c r="B108" s="5" t="s">
        <v>168</v>
      </c>
      <c r="D108" s="33" t="n">
        <f aca="false">SUM(F108:H108)</f>
        <v>1795.77</v>
      </c>
      <c r="H108" s="33" t="n">
        <v>1795.77</v>
      </c>
    </row>
    <row r="109" customFormat="false" ht="15" hidden="false" customHeight="false" outlineLevel="0" collapsed="false">
      <c r="B109" s="5" t="s">
        <v>169</v>
      </c>
      <c r="D109" s="33" t="n">
        <f aca="false">SUM(F109:H109)</f>
        <v>43067.29</v>
      </c>
      <c r="H109" s="33" t="n">
        <v>43067.29</v>
      </c>
    </row>
    <row r="110" customFormat="false" ht="15" hidden="false" customHeight="false" outlineLevel="0" collapsed="false">
      <c r="B110" s="5" t="s">
        <v>170</v>
      </c>
      <c r="D110" s="33" t="n">
        <f aca="false">SUM(F110:H110)</f>
        <v>21567.71</v>
      </c>
      <c r="H110" s="33" t="n">
        <v>21567.71</v>
      </c>
    </row>
    <row r="111" customFormat="false" ht="15" hidden="false" customHeight="false" outlineLevel="0" collapsed="false">
      <c r="B111" s="5" t="s">
        <v>171</v>
      </c>
      <c r="D111" s="33" t="n">
        <f aca="false">SUM(F111:H111)</f>
        <v>5500.39</v>
      </c>
      <c r="H111" s="33" t="n">
        <v>5500.39</v>
      </c>
    </row>
    <row r="112" customFormat="false" ht="15" hidden="false" customHeight="false" outlineLevel="0" collapsed="false">
      <c r="B112" s="11" t="s">
        <v>105</v>
      </c>
      <c r="D112" s="34" t="n">
        <f aca="false">SUM(D80:D111)</f>
        <v>411281.62</v>
      </c>
      <c r="F112" s="34" t="n">
        <f aca="false">SUM(F80:F111)</f>
        <v>76823.56</v>
      </c>
      <c r="H112" s="34" t="n">
        <f aca="false">SUM(H80:H111)</f>
        <v>334458.06</v>
      </c>
    </row>
    <row r="113" customFormat="false" ht="15" hidden="false" customHeight="false" outlineLevel="0" collapsed="false">
      <c r="B113" s="30" t="s">
        <v>107</v>
      </c>
      <c r="F113" s="31" t="n">
        <f aca="false">F112/D112</f>
        <v>0.186790647245554</v>
      </c>
      <c r="H113" s="31" t="n">
        <f aca="false">H112/D112</f>
        <v>0.813209352754446</v>
      </c>
    </row>
    <row r="115" customFormat="false" ht="15" hidden="false" customHeight="false" outlineLevel="0" collapsed="false">
      <c r="A115" s="10" t="s">
        <v>137</v>
      </c>
    </row>
    <row r="116" customFormat="false" ht="15" hidden="false" customHeight="false" outlineLevel="0" collapsed="false">
      <c r="B116" s="4" t="s">
        <v>138</v>
      </c>
      <c r="D116" s="4" t="s">
        <v>79</v>
      </c>
      <c r="F116" s="4" t="s">
        <v>112</v>
      </c>
      <c r="H116" s="4" t="s">
        <v>114</v>
      </c>
    </row>
    <row r="117" customFormat="false" ht="15" hidden="false" customHeight="false" outlineLevel="0" collapsed="false">
      <c r="B117" s="5" t="str">
        <f aca="false">'Building 6'!B20</f>
        <v>2-Building-712 Northfield Dr - 5 Year</v>
      </c>
      <c r="D117" s="33" t="n">
        <f aca="false">SUM(F117:H117)</f>
        <v>9996.83</v>
      </c>
      <c r="F117" s="33" t="n">
        <f aca="false">'Building 6'!D20</f>
        <v>9996.83</v>
      </c>
    </row>
    <row r="118" customFormat="false" ht="15" hidden="false" customHeight="false" outlineLevel="0" collapsed="false">
      <c r="B118" s="5" t="str">
        <f aca="false">'Building 6'!B21</f>
        <v>2-Building-712 Northfield Dr - 27.5 Year</v>
      </c>
      <c r="D118" s="33" t="n">
        <f aca="false">SUM(F118:H118)</f>
        <v>43522.08</v>
      </c>
      <c r="H118" s="33" t="n">
        <f aca="false">'Building 6'!D21</f>
        <v>43522.08</v>
      </c>
    </row>
    <row r="119" customFormat="false" ht="15" hidden="false" customHeight="false" outlineLevel="0" collapsed="false">
      <c r="B119" s="5" t="str">
        <f aca="false">'Building 6'!B22</f>
        <v>3-Northfield Dr - 5 Year</v>
      </c>
      <c r="D119" s="33" t="n">
        <f aca="false">SUM(F119:H119)</f>
        <v>1289.91</v>
      </c>
      <c r="F119" s="33" t="n">
        <f aca="false">'Building 6'!D22</f>
        <v>1289.91</v>
      </c>
    </row>
    <row r="120" customFormat="false" ht="15" hidden="false" customHeight="false" outlineLevel="0" collapsed="false">
      <c r="B120" s="5" t="str">
        <f aca="false">'Building 6'!B23</f>
        <v>3-Northfield Dr - 27.5 Year</v>
      </c>
      <c r="D120" s="33" t="n">
        <f aca="false">SUM(F120:H120)</f>
        <v>5615.74</v>
      </c>
      <c r="H120" s="33" t="n">
        <f aca="false">'Building 6'!D23</f>
        <v>5615.74</v>
      </c>
    </row>
    <row r="121" customFormat="false" ht="15" hidden="false" customHeight="false" outlineLevel="0" collapsed="false">
      <c r="B121" s="5" t="str">
        <f aca="false">'Building 6'!B24</f>
        <v>4-Northfield Dr - 5 Year</v>
      </c>
      <c r="D121" s="33" t="n">
        <f aca="false">SUM(F121:H121)</f>
        <v>2418.59</v>
      </c>
      <c r="F121" s="33" t="n">
        <f aca="false">'Building 6'!D24</f>
        <v>2418.59</v>
      </c>
    </row>
    <row r="122" customFormat="false" ht="15" hidden="false" customHeight="false" outlineLevel="0" collapsed="false">
      <c r="B122" s="5" t="str">
        <f aca="false">'Building 6'!B25</f>
        <v>4-Northfield Dr - 27.5 Year</v>
      </c>
      <c r="D122" s="33" t="n">
        <f aca="false">SUM(F122:H122)</f>
        <v>10529.54</v>
      </c>
      <c r="H122" s="33" t="n">
        <f aca="false">'Building 6'!D25</f>
        <v>10529.54</v>
      </c>
    </row>
    <row r="123" customFormat="false" ht="15" hidden="false" customHeight="false" outlineLevel="0" collapsed="false">
      <c r="B123" s="5" t="str">
        <f aca="false">'Building 6'!B26</f>
        <v>7-Building-2202 Northview Dr - 5 Year</v>
      </c>
      <c r="D123" s="33" t="n">
        <f aca="false">SUM(F123:H123)</f>
        <v>46039.18</v>
      </c>
      <c r="F123" s="33" t="n">
        <f aca="false">'Building 6'!D26</f>
        <v>46039.18</v>
      </c>
    </row>
    <row r="124" customFormat="false" ht="15" hidden="false" customHeight="false" outlineLevel="0" collapsed="false">
      <c r="B124" s="5" t="str">
        <f aca="false">'Building 6'!B27</f>
        <v>7-Building-2202 Northview Dr - 27.5 Year</v>
      </c>
      <c r="D124" s="33" t="n">
        <f aca="false">SUM(F124:H124)</f>
        <v>200435.56</v>
      </c>
      <c r="H124" s="33" t="n">
        <f aca="false">'Building 6'!D27</f>
        <v>200435.56</v>
      </c>
    </row>
    <row r="125" customFormat="false" ht="15" hidden="false" customHeight="false" outlineLevel="0" collapsed="false">
      <c r="B125" s="5" t="str">
        <f aca="false">'Building 6'!B28</f>
        <v>8-Northiew Dr - 5 Year</v>
      </c>
      <c r="D125" s="33" t="n">
        <f aca="false">SUM(F125:H125)</f>
        <v>5940.54</v>
      </c>
      <c r="F125" s="33" t="n">
        <f aca="false">'Building 6'!D28</f>
        <v>5940.54</v>
      </c>
    </row>
    <row r="126" customFormat="false" ht="15" hidden="false" customHeight="false" outlineLevel="0" collapsed="false">
      <c r="B126" s="5" t="str">
        <f aca="false">'Building 6'!B29</f>
        <v>8-Northiew Dr - 27.5 Year</v>
      </c>
      <c r="D126" s="33" t="n">
        <f aca="false">SUM(F126:H126)</f>
        <v>25862.65</v>
      </c>
      <c r="H126" s="33" t="n">
        <f aca="false">'Building 6'!D29</f>
        <v>25862.65</v>
      </c>
    </row>
    <row r="127" customFormat="false" ht="15" hidden="false" customHeight="false" outlineLevel="0" collapsed="false">
      <c r="B127" s="5" t="str">
        <f aca="false">'Building 6'!B30</f>
        <v>9-Northview Dr - 5 Year</v>
      </c>
      <c r="D127" s="33" t="n">
        <f aca="false">SUM(F127:H127)</f>
        <v>11138.51</v>
      </c>
      <c r="F127" s="33" t="n">
        <f aca="false">'Building 6'!D30</f>
        <v>11138.51</v>
      </c>
    </row>
    <row r="128" customFormat="false" ht="15" hidden="false" customHeight="false" outlineLevel="0" collapsed="false">
      <c r="B128" s="5" t="str">
        <f aca="false">'Building 6'!B31</f>
        <v>9-Northview Dr - 27.5 Year</v>
      </c>
      <c r="D128" s="33" t="n">
        <f aca="false">SUM(F128:H128)</f>
        <v>48492.49</v>
      </c>
      <c r="H128" s="33" t="n">
        <f aca="false">'Building 6'!D31</f>
        <v>48492.49</v>
      </c>
    </row>
    <row r="129" customFormat="false" ht="15" hidden="false" customHeight="false" outlineLevel="0" collapsed="false">
      <c r="B129" s="11" t="s">
        <v>139</v>
      </c>
      <c r="D129" s="34" t="n">
        <f aca="false">SUM(D117:D128)</f>
        <v>411281.62</v>
      </c>
      <c r="F129" s="34" t="n">
        <f aca="false">SUM(F117:F128)</f>
        <v>76823.56</v>
      </c>
      <c r="H129" s="34" t="n">
        <f aca="false">SUM(H117:H128)</f>
        <v>334458.06</v>
      </c>
    </row>
    <row r="130" customFormat="false" ht="15" hidden="false" customHeight="false" outlineLevel="0" collapsed="false">
      <c r="B130" s="16" t="s">
        <v>140</v>
      </c>
      <c r="D130" s="17" t="n">
        <f aca="false">D129-D112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179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34585.09</v>
      </c>
      <c r="E10" s="24" t="n">
        <v>0</v>
      </c>
      <c r="F10" s="24" t="n">
        <v>0</v>
      </c>
      <c r="G10" s="24" t="n">
        <v>0</v>
      </c>
      <c r="H10" s="24" t="n">
        <v>576.43</v>
      </c>
      <c r="I10" s="24" t="n">
        <f aca="false">G10+H10</f>
        <v>576.43</v>
      </c>
      <c r="J10" s="24" t="n">
        <f aca="false">D10-I10</f>
        <v>34008.66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4462.58</v>
      </c>
      <c r="E11" s="24" t="n">
        <v>0</v>
      </c>
      <c r="F11" s="24" t="n">
        <v>2677.55</v>
      </c>
      <c r="G11" s="24" t="n">
        <v>0</v>
      </c>
      <c r="H11" s="24" t="n">
        <v>2737.06</v>
      </c>
      <c r="I11" s="24" t="n">
        <f aca="false">G11+H11</f>
        <v>2737.06</v>
      </c>
      <c r="J11" s="24" t="n">
        <f aca="false">D11-I11</f>
        <v>1725.52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8367.37</v>
      </c>
      <c r="E12" s="24" t="n">
        <v>0</v>
      </c>
      <c r="F12" s="24" t="n">
        <v>5020.42</v>
      </c>
      <c r="G12" s="24" t="n">
        <v>0</v>
      </c>
      <c r="H12" s="24" t="n">
        <v>5689.81</v>
      </c>
      <c r="I12" s="24" t="n">
        <f aca="false">G12+H12</f>
        <v>5689.81</v>
      </c>
      <c r="J12" s="24" t="n">
        <f aca="false">D12-I12</f>
        <v>2677.56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159277.36</v>
      </c>
      <c r="E13" s="24" t="n">
        <v>0</v>
      </c>
      <c r="F13" s="24" t="n">
        <v>0</v>
      </c>
      <c r="G13" s="24" t="n">
        <v>0</v>
      </c>
      <c r="H13" s="24" t="n">
        <v>2654.62</v>
      </c>
      <c r="I13" s="24" t="n">
        <f aca="false">G13+H13</f>
        <v>2654.62</v>
      </c>
      <c r="J13" s="24" t="n">
        <f aca="false">D13-I13</f>
        <v>156622.74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20551.91</v>
      </c>
      <c r="E14" s="24" t="n">
        <v>0</v>
      </c>
      <c r="F14" s="24" t="n">
        <v>12331.15</v>
      </c>
      <c r="G14" s="24" t="n">
        <v>0</v>
      </c>
      <c r="H14" s="24" t="n">
        <v>12605.17</v>
      </c>
      <c r="I14" s="24" t="n">
        <f aca="false">G14+H14</f>
        <v>12605.17</v>
      </c>
      <c r="J14" s="24" t="n">
        <f aca="false">D14-I14</f>
        <v>7946.74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38534.85</v>
      </c>
      <c r="E15" s="24" t="n">
        <v>0</v>
      </c>
      <c r="F15" s="24" t="n">
        <v>23120.91</v>
      </c>
      <c r="G15" s="24" t="n">
        <v>0</v>
      </c>
      <c r="H15" s="24" t="n">
        <v>26203.7</v>
      </c>
      <c r="I15" s="24" t="n">
        <f aca="false">G15+H15</f>
        <v>26203.7</v>
      </c>
      <c r="J15" s="24" t="n">
        <f aca="false">D15-I15</f>
        <v>12331.15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265779.16</v>
      </c>
      <c r="E16" s="28" t="n">
        <f aca="false">SUM(E10:E15)</f>
        <v>0</v>
      </c>
      <c r="F16" s="28" t="n">
        <f aca="false">SUM(F10:F15)</f>
        <v>43150.03</v>
      </c>
      <c r="G16" s="28" t="n">
        <f aca="false">SUM(G10:G15)</f>
        <v>0</v>
      </c>
      <c r="H16" s="28" t="n">
        <f aca="false">SUM(H10:H15)</f>
        <v>50466.79</v>
      </c>
      <c r="I16" s="28" t="n">
        <f aca="false">SUM(I10:I15)</f>
        <v>50466.79</v>
      </c>
      <c r="J16" s="28" t="n">
        <f aca="false">SUM(J10:J15)</f>
        <v>215312.37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6299.49</v>
      </c>
      <c r="E20" s="24" t="n">
        <v>0</v>
      </c>
      <c r="F20" s="24" t="n">
        <v>3779.69</v>
      </c>
      <c r="G20" s="24" t="n">
        <v>0</v>
      </c>
      <c r="H20" s="24" t="n">
        <v>4283.65</v>
      </c>
      <c r="I20" s="24" t="n">
        <f aca="false">G20+H20</f>
        <v>4283.65</v>
      </c>
      <c r="J20" s="24" t="n">
        <f aca="false">D20-I20</f>
        <v>2015.84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28285.6</v>
      </c>
      <c r="E21" s="24" t="n">
        <v>0</v>
      </c>
      <c r="F21" s="24" t="n">
        <v>0</v>
      </c>
      <c r="G21" s="24" t="n">
        <v>0</v>
      </c>
      <c r="H21" s="24" t="n">
        <v>471.43</v>
      </c>
      <c r="I21" s="24" t="n">
        <f aca="false">G21+H21</f>
        <v>471.43</v>
      </c>
      <c r="J21" s="24" t="n">
        <f aca="false">D21-I21</f>
        <v>27814.17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812.84</v>
      </c>
      <c r="E22" s="24" t="n">
        <v>0</v>
      </c>
      <c r="F22" s="24" t="n">
        <v>487.7</v>
      </c>
      <c r="G22" s="24" t="n">
        <v>0</v>
      </c>
      <c r="H22" s="24" t="n">
        <v>552.73</v>
      </c>
      <c r="I22" s="24" t="n">
        <f aca="false">G22+H22</f>
        <v>552.73</v>
      </c>
      <c r="J22" s="24" t="n">
        <f aca="false">D22-I22</f>
        <v>260.11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3649.74</v>
      </c>
      <c r="E23" s="24" t="n">
        <v>0</v>
      </c>
      <c r="F23" s="24" t="n">
        <v>0</v>
      </c>
      <c r="G23" s="24" t="n">
        <v>0</v>
      </c>
      <c r="H23" s="24" t="n">
        <v>60.83</v>
      </c>
      <c r="I23" s="24" t="n">
        <f aca="false">G23+H23</f>
        <v>60.83</v>
      </c>
      <c r="J23" s="24" t="n">
        <f aca="false">D23-I23</f>
        <v>3588.91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1524.07</v>
      </c>
      <c r="E24" s="24" t="n">
        <v>0</v>
      </c>
      <c r="F24" s="24" t="n">
        <v>914.44</v>
      </c>
      <c r="G24" s="24" t="n">
        <v>0</v>
      </c>
      <c r="H24" s="24" t="n">
        <v>1036.37</v>
      </c>
      <c r="I24" s="24" t="n">
        <f aca="false">G24+H24</f>
        <v>1036.37</v>
      </c>
      <c r="J24" s="24" t="n">
        <f aca="false">D24-I24</f>
        <v>487.7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6843.3</v>
      </c>
      <c r="E25" s="24" t="n">
        <v>0</v>
      </c>
      <c r="F25" s="24" t="n">
        <v>0</v>
      </c>
      <c r="G25" s="24" t="n">
        <v>0</v>
      </c>
      <c r="H25" s="24" t="n">
        <v>114.06</v>
      </c>
      <c r="I25" s="24" t="n">
        <f aca="false">G25+H25</f>
        <v>114.06</v>
      </c>
      <c r="J25" s="24" t="n">
        <f aca="false">D25-I25</f>
        <v>6729.24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29011.54</v>
      </c>
      <c r="E26" s="24" t="n">
        <v>0</v>
      </c>
      <c r="F26" s="24" t="n">
        <v>17406.92</v>
      </c>
      <c r="G26" s="24" t="n">
        <v>0</v>
      </c>
      <c r="H26" s="24" t="n">
        <v>19727.84</v>
      </c>
      <c r="I26" s="24" t="n">
        <f aca="false">G26+H26</f>
        <v>19727.84</v>
      </c>
      <c r="J26" s="24" t="n">
        <f aca="false">D26-I26</f>
        <v>9283.7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130265.82</v>
      </c>
      <c r="E27" s="24" t="n">
        <v>0</v>
      </c>
      <c r="F27" s="24" t="n">
        <v>0</v>
      </c>
      <c r="G27" s="24" t="n">
        <v>0</v>
      </c>
      <c r="H27" s="24" t="n">
        <v>2171.1</v>
      </c>
      <c r="I27" s="24" t="n">
        <f aca="false">G27+H27</f>
        <v>2171.1</v>
      </c>
      <c r="J27" s="24" t="n">
        <f aca="false">D27-I27</f>
        <v>128094.72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3743.42</v>
      </c>
      <c r="E28" s="24" t="n">
        <v>0</v>
      </c>
      <c r="F28" s="24" t="n">
        <v>2246.05</v>
      </c>
      <c r="G28" s="24" t="n">
        <v>0</v>
      </c>
      <c r="H28" s="24" t="n">
        <v>2545.52</v>
      </c>
      <c r="I28" s="24" t="n">
        <f aca="false">G28+H28</f>
        <v>2545.52</v>
      </c>
      <c r="J28" s="24" t="n">
        <f aca="false">D28-I28</f>
        <v>1197.9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16808.49</v>
      </c>
      <c r="E29" s="24" t="n">
        <v>0</v>
      </c>
      <c r="F29" s="24" t="n">
        <v>0</v>
      </c>
      <c r="G29" s="24" t="n">
        <v>0</v>
      </c>
      <c r="H29" s="24" t="n">
        <v>280.14</v>
      </c>
      <c r="I29" s="24" t="n">
        <f aca="false">G29+H29</f>
        <v>280.14</v>
      </c>
      <c r="J29" s="24" t="n">
        <f aca="false">D29-I29</f>
        <v>16528.35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7018.93</v>
      </c>
      <c r="E30" s="24" t="n">
        <v>0</v>
      </c>
      <c r="F30" s="24" t="n">
        <v>4211.36</v>
      </c>
      <c r="G30" s="24" t="n">
        <v>0</v>
      </c>
      <c r="H30" s="24" t="n">
        <v>4772.87</v>
      </c>
      <c r="I30" s="24" t="n">
        <f aca="false">G30+H30</f>
        <v>4772.87</v>
      </c>
      <c r="J30" s="24" t="n">
        <f aca="false">D30-I30</f>
        <v>2246.06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31515.92</v>
      </c>
      <c r="E31" s="24" t="n">
        <v>0</v>
      </c>
      <c r="F31" s="24" t="n">
        <v>0</v>
      </c>
      <c r="G31" s="24" t="n">
        <v>0</v>
      </c>
      <c r="H31" s="24" t="n">
        <v>525.27</v>
      </c>
      <c r="I31" s="24" t="n">
        <f aca="false">G31+H31</f>
        <v>525.27</v>
      </c>
      <c r="J31" s="24" t="n">
        <f aca="false">D31-I31</f>
        <v>30990.65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265779.16</v>
      </c>
      <c r="E32" s="28" t="n">
        <f aca="false">SUM(E20:E31)</f>
        <v>0</v>
      </c>
      <c r="F32" s="28" t="n">
        <f aca="false">SUM(F20:F31)</f>
        <v>29046.16</v>
      </c>
      <c r="G32" s="28" t="n">
        <f aca="false">SUM(G20:G31)</f>
        <v>0</v>
      </c>
      <c r="H32" s="28" t="n">
        <f aca="false">SUM(H20:H31)</f>
        <v>36541.81</v>
      </c>
      <c r="I32" s="28" t="n">
        <f aca="false">SUM(I20:I31)</f>
        <v>36541.81</v>
      </c>
      <c r="J32" s="28" t="n">
        <f aca="false">SUM(J20:J31)</f>
        <v>229237.35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50466.79</v>
      </c>
    </row>
    <row r="36" customFormat="false" ht="15" hidden="false" customHeight="false" outlineLevel="0" collapsed="false">
      <c r="B36" s="5" t="s">
        <v>97</v>
      </c>
      <c r="D36" s="6" t="n">
        <f aca="false">I32</f>
        <v>36541.81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13924.98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34585.09</v>
      </c>
      <c r="E42" s="24" t="n">
        <v>0</v>
      </c>
      <c r="F42" s="24" t="n">
        <v>0</v>
      </c>
      <c r="G42" s="24" t="n">
        <v>0</v>
      </c>
      <c r="H42" s="24" t="n">
        <v>576.43</v>
      </c>
      <c r="I42" s="24" t="n">
        <f aca="false">G42+H42</f>
        <v>576.43</v>
      </c>
      <c r="J42" s="24" t="n">
        <f aca="false">D42-I42</f>
        <v>34008.66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4462.58</v>
      </c>
      <c r="E43" s="24" t="n">
        <v>0</v>
      </c>
      <c r="F43" s="24" t="n">
        <v>2677.55</v>
      </c>
      <c r="G43" s="24" t="n">
        <v>0</v>
      </c>
      <c r="H43" s="24" t="n">
        <v>2737.06</v>
      </c>
      <c r="I43" s="24" t="n">
        <f aca="false">G43+H43</f>
        <v>2737.06</v>
      </c>
      <c r="J43" s="24" t="n">
        <f aca="false">D43-I43</f>
        <v>1725.52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8367.37</v>
      </c>
      <c r="E44" s="24" t="n">
        <v>0</v>
      </c>
      <c r="F44" s="24" t="n">
        <v>5020.42</v>
      </c>
      <c r="G44" s="24" t="n">
        <v>0</v>
      </c>
      <c r="H44" s="24" t="n">
        <v>5689.81</v>
      </c>
      <c r="I44" s="24" t="n">
        <f aca="false">G44+H44</f>
        <v>5689.81</v>
      </c>
      <c r="J44" s="24" t="n">
        <f aca="false">D44-I44</f>
        <v>2677.56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159277.36</v>
      </c>
      <c r="E45" s="24" t="n">
        <v>0</v>
      </c>
      <c r="F45" s="24" t="n">
        <v>0</v>
      </c>
      <c r="G45" s="24" t="n">
        <v>0</v>
      </c>
      <c r="H45" s="24" t="n">
        <v>2654.62</v>
      </c>
      <c r="I45" s="24" t="n">
        <f aca="false">G45+H45</f>
        <v>2654.62</v>
      </c>
      <c r="J45" s="24" t="n">
        <f aca="false">D45-I45</f>
        <v>156622.74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20551.91</v>
      </c>
      <c r="E46" s="24" t="n">
        <v>0</v>
      </c>
      <c r="F46" s="24" t="n">
        <v>12331.15</v>
      </c>
      <c r="G46" s="24" t="n">
        <v>0</v>
      </c>
      <c r="H46" s="24" t="n">
        <v>12605.17</v>
      </c>
      <c r="I46" s="24" t="n">
        <f aca="false">G46+H46</f>
        <v>12605.17</v>
      </c>
      <c r="J46" s="24" t="n">
        <f aca="false">D46-I46</f>
        <v>7946.74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38534.85</v>
      </c>
      <c r="E47" s="24" t="n">
        <v>0</v>
      </c>
      <c r="F47" s="24" t="n">
        <v>23120.91</v>
      </c>
      <c r="G47" s="24" t="n">
        <v>0</v>
      </c>
      <c r="H47" s="24" t="n">
        <v>26203.7</v>
      </c>
      <c r="I47" s="24" t="n">
        <f aca="false">G47+H47</f>
        <v>26203.7</v>
      </c>
      <c r="J47" s="24" t="n">
        <f aca="false">D47-I47</f>
        <v>12331.15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265779.16</v>
      </c>
      <c r="E48" s="28" t="n">
        <f aca="false">SUM(E42:E47)</f>
        <v>0</v>
      </c>
      <c r="F48" s="28" t="n">
        <f aca="false">SUM(F42:F47)</f>
        <v>43150.03</v>
      </c>
      <c r="G48" s="28" t="n">
        <f aca="false">SUM(G42:G47)</f>
        <v>0</v>
      </c>
      <c r="H48" s="28" t="n">
        <f aca="false">SUM(H42:H47)</f>
        <v>50466.79</v>
      </c>
      <c r="I48" s="28" t="n">
        <f aca="false">SUM(I42:I47)</f>
        <v>50466.79</v>
      </c>
      <c r="J48" s="28" t="n">
        <f aca="false">SUM(J42:J47)</f>
        <v>215312.37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6299.49</v>
      </c>
      <c r="E52" s="24" t="n">
        <v>0</v>
      </c>
      <c r="F52" s="24" t="n">
        <v>3779.69</v>
      </c>
      <c r="G52" s="24" t="n">
        <v>0</v>
      </c>
      <c r="H52" s="24" t="n">
        <v>4283.65</v>
      </c>
      <c r="I52" s="24" t="n">
        <f aca="false">G52+H52</f>
        <v>4283.65</v>
      </c>
      <c r="J52" s="24" t="n">
        <f aca="false">D52-I52</f>
        <v>2015.84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28285.6</v>
      </c>
      <c r="E53" s="24" t="n">
        <v>0</v>
      </c>
      <c r="F53" s="24" t="n">
        <v>0</v>
      </c>
      <c r="G53" s="24" t="n">
        <v>0</v>
      </c>
      <c r="H53" s="24" t="n">
        <v>471.43</v>
      </c>
      <c r="I53" s="24" t="n">
        <f aca="false">G53+H53</f>
        <v>471.43</v>
      </c>
      <c r="J53" s="24" t="n">
        <f aca="false">D53-I53</f>
        <v>27814.17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812.84</v>
      </c>
      <c r="E54" s="24" t="n">
        <v>0</v>
      </c>
      <c r="F54" s="24" t="n">
        <v>487.7</v>
      </c>
      <c r="G54" s="24" t="n">
        <v>0</v>
      </c>
      <c r="H54" s="24" t="n">
        <v>552.73</v>
      </c>
      <c r="I54" s="24" t="n">
        <f aca="false">G54+H54</f>
        <v>552.73</v>
      </c>
      <c r="J54" s="24" t="n">
        <f aca="false">D54-I54</f>
        <v>260.11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3649.74</v>
      </c>
      <c r="E55" s="24" t="n">
        <v>0</v>
      </c>
      <c r="F55" s="24" t="n">
        <v>0</v>
      </c>
      <c r="G55" s="24" t="n">
        <v>0</v>
      </c>
      <c r="H55" s="24" t="n">
        <v>60.83</v>
      </c>
      <c r="I55" s="24" t="n">
        <f aca="false">G55+H55</f>
        <v>60.83</v>
      </c>
      <c r="J55" s="24" t="n">
        <f aca="false">D55-I55</f>
        <v>3588.91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1524.07</v>
      </c>
      <c r="E56" s="24" t="n">
        <v>0</v>
      </c>
      <c r="F56" s="24" t="n">
        <v>914.44</v>
      </c>
      <c r="G56" s="24" t="n">
        <v>0</v>
      </c>
      <c r="H56" s="24" t="n">
        <v>1036.37</v>
      </c>
      <c r="I56" s="24" t="n">
        <f aca="false">G56+H56</f>
        <v>1036.37</v>
      </c>
      <c r="J56" s="24" t="n">
        <f aca="false">D56-I56</f>
        <v>487.7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6843.3</v>
      </c>
      <c r="E57" s="24" t="n">
        <v>0</v>
      </c>
      <c r="F57" s="24" t="n">
        <v>0</v>
      </c>
      <c r="G57" s="24" t="n">
        <v>0</v>
      </c>
      <c r="H57" s="24" t="n">
        <v>114.06</v>
      </c>
      <c r="I57" s="24" t="n">
        <f aca="false">G57+H57</f>
        <v>114.06</v>
      </c>
      <c r="J57" s="24" t="n">
        <f aca="false">D57-I57</f>
        <v>6729.24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29011.54</v>
      </c>
      <c r="E58" s="24" t="n">
        <v>0</v>
      </c>
      <c r="F58" s="24" t="n">
        <v>17406.92</v>
      </c>
      <c r="G58" s="24" t="n">
        <v>0</v>
      </c>
      <c r="H58" s="24" t="n">
        <v>19727.84</v>
      </c>
      <c r="I58" s="24" t="n">
        <f aca="false">G58+H58</f>
        <v>19727.84</v>
      </c>
      <c r="J58" s="24" t="n">
        <f aca="false">D58-I58</f>
        <v>9283.7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130265.82</v>
      </c>
      <c r="E59" s="24" t="n">
        <v>0</v>
      </c>
      <c r="F59" s="24" t="n">
        <v>0</v>
      </c>
      <c r="G59" s="24" t="n">
        <v>0</v>
      </c>
      <c r="H59" s="24" t="n">
        <v>2171.1</v>
      </c>
      <c r="I59" s="24" t="n">
        <f aca="false">G59+H59</f>
        <v>2171.1</v>
      </c>
      <c r="J59" s="24" t="n">
        <f aca="false">D59-I59</f>
        <v>128094.72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3743.42</v>
      </c>
      <c r="E60" s="24" t="n">
        <v>0</v>
      </c>
      <c r="F60" s="24" t="n">
        <v>2246.05</v>
      </c>
      <c r="G60" s="24" t="n">
        <v>0</v>
      </c>
      <c r="H60" s="24" t="n">
        <v>2545.52</v>
      </c>
      <c r="I60" s="24" t="n">
        <f aca="false">G60+H60</f>
        <v>2545.52</v>
      </c>
      <c r="J60" s="24" t="n">
        <f aca="false">D60-I60</f>
        <v>1197.9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16808.49</v>
      </c>
      <c r="E61" s="24" t="n">
        <v>0</v>
      </c>
      <c r="F61" s="24" t="n">
        <v>0</v>
      </c>
      <c r="G61" s="24" t="n">
        <v>0</v>
      </c>
      <c r="H61" s="24" t="n">
        <v>280.14</v>
      </c>
      <c r="I61" s="24" t="n">
        <f aca="false">G61+H61</f>
        <v>280.14</v>
      </c>
      <c r="J61" s="24" t="n">
        <f aca="false">D61-I61</f>
        <v>16528.35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7018.93</v>
      </c>
      <c r="E62" s="24" t="n">
        <v>0</v>
      </c>
      <c r="F62" s="24" t="n">
        <v>4211.36</v>
      </c>
      <c r="G62" s="24" t="n">
        <v>0</v>
      </c>
      <c r="H62" s="24" t="n">
        <v>4772.87</v>
      </c>
      <c r="I62" s="24" t="n">
        <f aca="false">G62+H62</f>
        <v>4772.87</v>
      </c>
      <c r="J62" s="24" t="n">
        <f aca="false">D62-I62</f>
        <v>2246.06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31515.92</v>
      </c>
      <c r="E63" s="24" t="n">
        <v>0</v>
      </c>
      <c r="F63" s="24" t="n">
        <v>0</v>
      </c>
      <c r="G63" s="24" t="n">
        <v>0</v>
      </c>
      <c r="H63" s="24" t="n">
        <v>525.27</v>
      </c>
      <c r="I63" s="24" t="n">
        <f aca="false">G63+H63</f>
        <v>525.27</v>
      </c>
      <c r="J63" s="24" t="n">
        <f aca="false">D63-I63</f>
        <v>30990.65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265779.16</v>
      </c>
      <c r="E64" s="28" t="n">
        <f aca="false">SUM(E52:E63)</f>
        <v>0</v>
      </c>
      <c r="F64" s="28" t="n">
        <f aca="false">SUM(F52:F63)</f>
        <v>29046.16</v>
      </c>
      <c r="G64" s="28" t="n">
        <f aca="false">SUM(G52:G63)</f>
        <v>0</v>
      </c>
      <c r="H64" s="28" t="n">
        <f aca="false">SUM(H52:H63)</f>
        <v>36541.81</v>
      </c>
      <c r="I64" s="28" t="n">
        <f aca="false">SUM(I52:I63)</f>
        <v>36541.81</v>
      </c>
      <c r="J64" s="28" t="n">
        <f aca="false">SUM(J52:J63)</f>
        <v>229237.35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50466.79</v>
      </c>
    </row>
    <row r="68" customFormat="false" ht="15" hidden="false" customHeight="false" outlineLevel="0" collapsed="false">
      <c r="B68" s="5" t="s">
        <v>97</v>
      </c>
      <c r="D68" s="6" t="n">
        <f aca="false">I64</f>
        <v>36541.81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13924.98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265779.16</v>
      </c>
    </row>
    <row r="73" customFormat="false" ht="15" hidden="false" customHeight="false" outlineLevel="0" collapsed="false">
      <c r="B73" s="5" t="s">
        <v>106</v>
      </c>
      <c r="D73" s="6" t="n">
        <f aca="false">F110</f>
        <v>48410.29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0.182144792691797</v>
      </c>
    </row>
    <row r="75" customFormat="false" ht="15" hidden="false" customHeight="false" outlineLevel="0" collapsed="false">
      <c r="B75" s="5" t="s">
        <v>109</v>
      </c>
      <c r="D75" s="6" t="n">
        <f aca="false">H110</f>
        <v>217368.87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0.817855207308203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10896.11</v>
      </c>
      <c r="F81" s="33" t="n">
        <v>10896.11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4110.75</v>
      </c>
      <c r="F82" s="33" t="n">
        <v>4110.75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15651.6</v>
      </c>
      <c r="F83" s="33" t="n">
        <v>15651.6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3613.14</v>
      </c>
      <c r="F84" s="33" t="n">
        <v>3613.14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105.28</v>
      </c>
      <c r="F85" s="33" t="n">
        <v>105.28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2242.57</v>
      </c>
      <c r="F86" s="33" t="n">
        <v>2242.57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1932.23</v>
      </c>
      <c r="F87" s="33" t="n">
        <v>1932.23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4101.99</v>
      </c>
      <c r="F88" s="33" t="n">
        <v>4101.99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1746.74</v>
      </c>
      <c r="F89" s="33" t="n">
        <v>1746.74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66.45</v>
      </c>
      <c r="F90" s="33" t="n">
        <v>66.45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3538.89</v>
      </c>
      <c r="F92" s="33" t="n">
        <v>3538.89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12887.37</v>
      </c>
      <c r="H94" s="33" t="n">
        <v>12887.37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14646.87</v>
      </c>
      <c r="H95" s="33" t="n">
        <v>14646.87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21749.99</v>
      </c>
      <c r="H96" s="33" t="n">
        <v>21749.99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23506.63</v>
      </c>
      <c r="H97" s="33" t="n">
        <v>23506.63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18907.15</v>
      </c>
      <c r="H98" s="33" t="n">
        <v>18907.15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1701.46</v>
      </c>
      <c r="H99" s="33" t="n">
        <v>1701.46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9148.73</v>
      </c>
      <c r="H100" s="33" t="n">
        <v>9148.73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14572.68</v>
      </c>
      <c r="H101" s="33" t="n">
        <v>14572.68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7194.27</v>
      </c>
      <c r="H102" s="33" t="n">
        <v>7194.27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10004.05</v>
      </c>
      <c r="H103" s="33" t="n">
        <v>10004.05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25350.08</v>
      </c>
      <c r="H104" s="33" t="n">
        <v>25350.08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11072.6</v>
      </c>
      <c r="H105" s="33" t="n">
        <v>11072.6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1304.4</v>
      </c>
      <c r="H106" s="33" t="n">
        <v>1304.4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28145.62</v>
      </c>
      <c r="H107" s="33" t="n">
        <v>28145.62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13479.81</v>
      </c>
      <c r="H108" s="33" t="n">
        <v>13479.81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3697.16</v>
      </c>
      <c r="H109" s="33" t="n">
        <v>3697.16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265779.16</v>
      </c>
      <c r="F110" s="34" t="n">
        <f aca="false">SUM(F80:F109)</f>
        <v>48410.29</v>
      </c>
      <c r="H110" s="34" t="n">
        <f aca="false">SUM(H80:H109)</f>
        <v>217368.87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0.182144792691797</v>
      </c>
      <c r="H111" s="31" t="n">
        <f aca="false">H110/D110</f>
        <v>0.817855207308203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7'!B20</f>
        <v>2-Building-712 Northfield Dr - 5 Year</v>
      </c>
      <c r="D115" s="33" t="n">
        <f aca="false">SUM(F115:H115)</f>
        <v>6299.49</v>
      </c>
      <c r="F115" s="33" t="n">
        <f aca="false">'Building 7'!D20</f>
        <v>6299.49</v>
      </c>
    </row>
    <row r="116" customFormat="false" ht="15" hidden="false" customHeight="false" outlineLevel="0" collapsed="false">
      <c r="B116" s="5" t="str">
        <f aca="false">'Building 7'!B21</f>
        <v>2-Building-712 Northfield Dr - 27.5 Year</v>
      </c>
      <c r="D116" s="33" t="n">
        <f aca="false">SUM(F116:H116)</f>
        <v>28285.6</v>
      </c>
      <c r="H116" s="33" t="n">
        <f aca="false">'Building 7'!D21</f>
        <v>28285.6</v>
      </c>
    </row>
    <row r="117" customFormat="false" ht="15" hidden="false" customHeight="false" outlineLevel="0" collapsed="false">
      <c r="B117" s="5" t="str">
        <f aca="false">'Building 7'!B22</f>
        <v>3-Northfield Dr - 5 Year</v>
      </c>
      <c r="D117" s="33" t="n">
        <f aca="false">SUM(F117:H117)</f>
        <v>812.84</v>
      </c>
      <c r="F117" s="33" t="n">
        <f aca="false">'Building 7'!D22</f>
        <v>812.84</v>
      </c>
    </row>
    <row r="118" customFormat="false" ht="15" hidden="false" customHeight="false" outlineLevel="0" collapsed="false">
      <c r="B118" s="5" t="str">
        <f aca="false">'Building 7'!B23</f>
        <v>3-Northfield Dr - 27.5 Year</v>
      </c>
      <c r="D118" s="33" t="n">
        <f aca="false">SUM(F118:H118)</f>
        <v>3649.74</v>
      </c>
      <c r="H118" s="33" t="n">
        <f aca="false">'Building 7'!D23</f>
        <v>3649.74</v>
      </c>
    </row>
    <row r="119" customFormat="false" ht="15" hidden="false" customHeight="false" outlineLevel="0" collapsed="false">
      <c r="B119" s="5" t="str">
        <f aca="false">'Building 7'!B24</f>
        <v>4-Northfield Dr - 5 Year</v>
      </c>
      <c r="D119" s="33" t="n">
        <f aca="false">SUM(F119:H119)</f>
        <v>1524.07</v>
      </c>
      <c r="F119" s="33" t="n">
        <f aca="false">'Building 7'!D24</f>
        <v>1524.07</v>
      </c>
    </row>
    <row r="120" customFormat="false" ht="15" hidden="false" customHeight="false" outlineLevel="0" collapsed="false">
      <c r="B120" s="5" t="str">
        <f aca="false">'Building 7'!B25</f>
        <v>4-Northfield Dr - 27.5 Year</v>
      </c>
      <c r="D120" s="33" t="n">
        <f aca="false">SUM(F120:H120)</f>
        <v>6843.3</v>
      </c>
      <c r="H120" s="33" t="n">
        <f aca="false">'Building 7'!D25</f>
        <v>6843.3</v>
      </c>
    </row>
    <row r="121" customFormat="false" ht="15" hidden="false" customHeight="false" outlineLevel="0" collapsed="false">
      <c r="B121" s="5" t="str">
        <f aca="false">'Building 7'!B26</f>
        <v>7-Building-2202 Northview Dr - 5 Year</v>
      </c>
      <c r="D121" s="33" t="n">
        <f aca="false">SUM(F121:H121)</f>
        <v>29011.54</v>
      </c>
      <c r="F121" s="33" t="n">
        <f aca="false">'Building 7'!D26</f>
        <v>29011.54</v>
      </c>
    </row>
    <row r="122" customFormat="false" ht="15" hidden="false" customHeight="false" outlineLevel="0" collapsed="false">
      <c r="B122" s="5" t="str">
        <f aca="false">'Building 7'!B27</f>
        <v>7-Building-2202 Northview Dr - 27.5 Year</v>
      </c>
      <c r="D122" s="33" t="n">
        <f aca="false">SUM(F122:H122)</f>
        <v>130265.82</v>
      </c>
      <c r="H122" s="33" t="n">
        <f aca="false">'Building 7'!D27</f>
        <v>130265.82</v>
      </c>
    </row>
    <row r="123" customFormat="false" ht="15" hidden="false" customHeight="false" outlineLevel="0" collapsed="false">
      <c r="B123" s="5" t="str">
        <f aca="false">'Building 7'!B28</f>
        <v>8-Northiew Dr - 5 Year</v>
      </c>
      <c r="D123" s="33" t="n">
        <f aca="false">SUM(F123:H123)</f>
        <v>3743.42</v>
      </c>
      <c r="F123" s="33" t="n">
        <f aca="false">'Building 7'!D28</f>
        <v>3743.42</v>
      </c>
    </row>
    <row r="124" customFormat="false" ht="15" hidden="false" customHeight="false" outlineLevel="0" collapsed="false">
      <c r="B124" s="5" t="str">
        <f aca="false">'Building 7'!B29</f>
        <v>8-Northiew Dr - 27.5 Year</v>
      </c>
      <c r="D124" s="33" t="n">
        <f aca="false">SUM(F124:H124)</f>
        <v>16808.49</v>
      </c>
      <c r="H124" s="33" t="n">
        <f aca="false">'Building 7'!D29</f>
        <v>16808.49</v>
      </c>
    </row>
    <row r="125" customFormat="false" ht="15" hidden="false" customHeight="false" outlineLevel="0" collapsed="false">
      <c r="B125" s="5" t="str">
        <f aca="false">'Building 7'!B30</f>
        <v>9-Northview Dr - 5 Year</v>
      </c>
      <c r="D125" s="33" t="n">
        <f aca="false">SUM(F125:H125)</f>
        <v>7018.93</v>
      </c>
      <c r="F125" s="33" t="n">
        <f aca="false">'Building 7'!D30</f>
        <v>7018.93</v>
      </c>
    </row>
    <row r="126" customFormat="false" ht="15" hidden="false" customHeight="false" outlineLevel="0" collapsed="false">
      <c r="B126" s="5" t="str">
        <f aca="false">'Building 7'!B31</f>
        <v>9-Northview Dr - 27.5 Year</v>
      </c>
      <c r="D126" s="33" t="n">
        <f aca="false">SUM(F126:H126)</f>
        <v>31515.92</v>
      </c>
      <c r="H126" s="33" t="n">
        <f aca="false">'Building 7'!D31</f>
        <v>31515.92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265779.16</v>
      </c>
      <c r="F127" s="34" t="n">
        <f aca="false">SUM(F115:F126)</f>
        <v>48410.29</v>
      </c>
      <c r="H127" s="34" t="n">
        <f aca="false">SUM(H115:H126)</f>
        <v>217368.87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180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46450.25</v>
      </c>
      <c r="E10" s="24" t="n">
        <v>0</v>
      </c>
      <c r="F10" s="24" t="n">
        <v>0</v>
      </c>
      <c r="G10" s="24" t="n">
        <v>0</v>
      </c>
      <c r="H10" s="24" t="n">
        <v>774.18</v>
      </c>
      <c r="I10" s="24" t="n">
        <f aca="false">G10+H10</f>
        <v>774.18</v>
      </c>
      <c r="J10" s="24" t="n">
        <f aca="false">D10-I10</f>
        <v>45676.07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5993.57</v>
      </c>
      <c r="E11" s="24" t="n">
        <v>0</v>
      </c>
      <c r="F11" s="24" t="n">
        <v>3596.14</v>
      </c>
      <c r="G11" s="24" t="n">
        <v>0</v>
      </c>
      <c r="H11" s="24" t="n">
        <v>3676.08</v>
      </c>
      <c r="I11" s="24" t="n">
        <f aca="false">G11+H11</f>
        <v>3676.08</v>
      </c>
      <c r="J11" s="24" t="n">
        <f aca="false">D11-I11</f>
        <v>2317.49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11237.98</v>
      </c>
      <c r="E12" s="24" t="n">
        <v>0</v>
      </c>
      <c r="F12" s="24" t="n">
        <v>6742.79</v>
      </c>
      <c r="G12" s="24" t="n">
        <v>0</v>
      </c>
      <c r="H12" s="24" t="n">
        <v>7641.82</v>
      </c>
      <c r="I12" s="24" t="n">
        <f aca="false">G12+H12</f>
        <v>7641.82</v>
      </c>
      <c r="J12" s="24" t="n">
        <f aca="false">D12-I12</f>
        <v>3596.16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213920.95</v>
      </c>
      <c r="E13" s="24" t="n">
        <v>0</v>
      </c>
      <c r="F13" s="24" t="n">
        <v>0</v>
      </c>
      <c r="G13" s="24" t="n">
        <v>0</v>
      </c>
      <c r="H13" s="24" t="n">
        <v>3565.34</v>
      </c>
      <c r="I13" s="24" t="n">
        <f aca="false">G13+H13</f>
        <v>3565.34</v>
      </c>
      <c r="J13" s="24" t="n">
        <f aca="false">D13-I13</f>
        <v>210355.61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27602.7</v>
      </c>
      <c r="E14" s="24" t="n">
        <v>0</v>
      </c>
      <c r="F14" s="24" t="n">
        <v>16561.62</v>
      </c>
      <c r="G14" s="24" t="n">
        <v>0</v>
      </c>
      <c r="H14" s="24" t="n">
        <v>16929.66</v>
      </c>
      <c r="I14" s="24" t="n">
        <f aca="false">G14+H14</f>
        <v>16929.66</v>
      </c>
      <c r="J14" s="24" t="n">
        <f aca="false">D14-I14</f>
        <v>10673.04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51755.08</v>
      </c>
      <c r="E15" s="24" t="n">
        <v>0</v>
      </c>
      <c r="F15" s="24" t="n">
        <v>31053.05</v>
      </c>
      <c r="G15" s="24" t="n">
        <v>0</v>
      </c>
      <c r="H15" s="24" t="n">
        <v>35193.46</v>
      </c>
      <c r="I15" s="24" t="n">
        <f aca="false">G15+H15</f>
        <v>35193.46</v>
      </c>
      <c r="J15" s="24" t="n">
        <f aca="false">D15-I15</f>
        <v>16561.62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356960.53</v>
      </c>
      <c r="E16" s="28" t="n">
        <f aca="false">SUM(E10:E15)</f>
        <v>0</v>
      </c>
      <c r="F16" s="28" t="n">
        <f aca="false">SUM(F10:F15)</f>
        <v>57953.6</v>
      </c>
      <c r="G16" s="28" t="n">
        <f aca="false">SUM(G10:G15)</f>
        <v>0</v>
      </c>
      <c r="H16" s="28" t="n">
        <f aca="false">SUM(H10:H15)</f>
        <v>67780.54</v>
      </c>
      <c r="I16" s="28" t="n">
        <f aca="false">SUM(I10:I15)</f>
        <v>67780.54</v>
      </c>
      <c r="J16" s="28" t="n">
        <f aca="false">SUM(J10:J15)</f>
        <v>289179.99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8679.19</v>
      </c>
      <c r="E20" s="24" t="n">
        <v>0</v>
      </c>
      <c r="F20" s="24" t="n">
        <v>5207.51</v>
      </c>
      <c r="G20" s="24" t="n">
        <v>0</v>
      </c>
      <c r="H20" s="24" t="n">
        <v>5901.85</v>
      </c>
      <c r="I20" s="24" t="n">
        <f aca="false">G20+H20</f>
        <v>5901.85</v>
      </c>
      <c r="J20" s="24" t="n">
        <f aca="false">D20-I20</f>
        <v>2777.34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37771.06</v>
      </c>
      <c r="E21" s="24" t="n">
        <v>0</v>
      </c>
      <c r="F21" s="24" t="n">
        <v>0</v>
      </c>
      <c r="G21" s="24" t="n">
        <v>0</v>
      </c>
      <c r="H21" s="24" t="n">
        <v>629.52</v>
      </c>
      <c r="I21" s="24" t="n">
        <f aca="false">G21+H21</f>
        <v>629.52</v>
      </c>
      <c r="J21" s="24" t="n">
        <f aca="false">D21-I21</f>
        <v>37141.54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1119.89</v>
      </c>
      <c r="E22" s="24" t="n">
        <v>0</v>
      </c>
      <c r="F22" s="24" t="n">
        <v>671.93</v>
      </c>
      <c r="G22" s="24" t="n">
        <v>0</v>
      </c>
      <c r="H22" s="24" t="n">
        <v>761.52</v>
      </c>
      <c r="I22" s="24" t="n">
        <f aca="false">G22+H22</f>
        <v>761.52</v>
      </c>
      <c r="J22" s="24" t="n">
        <f aca="false">D22-I22</f>
        <v>358.37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4873.68</v>
      </c>
      <c r="E23" s="24" t="n">
        <v>0</v>
      </c>
      <c r="F23" s="24" t="n">
        <v>0</v>
      </c>
      <c r="G23" s="24" t="n">
        <v>0</v>
      </c>
      <c r="H23" s="24" t="n">
        <v>81.23</v>
      </c>
      <c r="I23" s="24" t="n">
        <f aca="false">G23+H23</f>
        <v>81.23</v>
      </c>
      <c r="J23" s="24" t="n">
        <f aca="false">D23-I23</f>
        <v>4792.45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2099.81</v>
      </c>
      <c r="E24" s="24" t="n">
        <v>0</v>
      </c>
      <c r="F24" s="24" t="n">
        <v>1259.89</v>
      </c>
      <c r="G24" s="24" t="n">
        <v>0</v>
      </c>
      <c r="H24" s="24" t="n">
        <v>1427.87</v>
      </c>
      <c r="I24" s="24" t="n">
        <f aca="false">G24+H24</f>
        <v>1427.87</v>
      </c>
      <c r="J24" s="24" t="n">
        <f aca="false">D24-I24</f>
        <v>671.94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9138.17</v>
      </c>
      <c r="E25" s="24" t="n">
        <v>0</v>
      </c>
      <c r="F25" s="24" t="n">
        <v>0</v>
      </c>
      <c r="G25" s="24" t="n">
        <v>0</v>
      </c>
      <c r="H25" s="24" t="n">
        <v>152.3</v>
      </c>
      <c r="I25" s="24" t="n">
        <f aca="false">G25+H25</f>
        <v>152.3</v>
      </c>
      <c r="J25" s="24" t="n">
        <f aca="false">D25-I25</f>
        <v>8985.87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39970.95</v>
      </c>
      <c r="E26" s="24" t="n">
        <v>0</v>
      </c>
      <c r="F26" s="24" t="n">
        <v>23982.57</v>
      </c>
      <c r="G26" s="24" t="n">
        <v>0</v>
      </c>
      <c r="H26" s="24" t="n">
        <v>27180.25</v>
      </c>
      <c r="I26" s="24" t="n">
        <f aca="false">G26+H26</f>
        <v>27180.25</v>
      </c>
      <c r="J26" s="24" t="n">
        <f aca="false">D26-I26</f>
        <v>12790.7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173950</v>
      </c>
      <c r="E27" s="24" t="n">
        <v>0</v>
      </c>
      <c r="F27" s="24" t="n">
        <v>0</v>
      </c>
      <c r="G27" s="24" t="n">
        <v>0</v>
      </c>
      <c r="H27" s="24" t="n">
        <v>2899.17</v>
      </c>
      <c r="I27" s="24" t="n">
        <f aca="false">G27+H27</f>
        <v>2899.17</v>
      </c>
      <c r="J27" s="24" t="n">
        <f aca="false">D27-I27</f>
        <v>171050.83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5157.54</v>
      </c>
      <c r="E28" s="24" t="n">
        <v>0</v>
      </c>
      <c r="F28" s="24" t="n">
        <v>3094.52</v>
      </c>
      <c r="G28" s="24" t="n">
        <v>0</v>
      </c>
      <c r="H28" s="24" t="n">
        <v>3507.12</v>
      </c>
      <c r="I28" s="24" t="n">
        <f aca="false">G28+H28</f>
        <v>3507.12</v>
      </c>
      <c r="J28" s="24" t="n">
        <f aca="false">D28-I28</f>
        <v>1650.42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22445.16</v>
      </c>
      <c r="E29" s="24" t="n">
        <v>0</v>
      </c>
      <c r="F29" s="24" t="n">
        <v>0</v>
      </c>
      <c r="G29" s="24" t="n">
        <v>0</v>
      </c>
      <c r="H29" s="24" t="n">
        <v>374.09</v>
      </c>
      <c r="I29" s="24" t="n">
        <f aca="false">G29+H29</f>
        <v>374.09</v>
      </c>
      <c r="J29" s="24" t="n">
        <f aca="false">D29-I29</f>
        <v>22071.07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9670.4</v>
      </c>
      <c r="E30" s="24" t="n">
        <v>0</v>
      </c>
      <c r="F30" s="24" t="n">
        <v>5802.24</v>
      </c>
      <c r="G30" s="24" t="n">
        <v>0</v>
      </c>
      <c r="H30" s="24" t="n">
        <v>6575.87</v>
      </c>
      <c r="I30" s="24" t="n">
        <f aca="false">G30+H30</f>
        <v>6575.87</v>
      </c>
      <c r="J30" s="24" t="n">
        <f aca="false">D30-I30</f>
        <v>3094.53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42084.68</v>
      </c>
      <c r="E31" s="24" t="n">
        <v>0</v>
      </c>
      <c r="F31" s="24" t="n">
        <v>0</v>
      </c>
      <c r="G31" s="24" t="n">
        <v>0</v>
      </c>
      <c r="H31" s="24" t="n">
        <v>701.41</v>
      </c>
      <c r="I31" s="24" t="n">
        <f aca="false">G31+H31</f>
        <v>701.41</v>
      </c>
      <c r="J31" s="24" t="n">
        <f aca="false">D31-I31</f>
        <v>41383.27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356960.53</v>
      </c>
      <c r="E32" s="28" t="n">
        <f aca="false">SUM(E20:E31)</f>
        <v>0</v>
      </c>
      <c r="F32" s="28" t="n">
        <f aca="false">SUM(F20:F31)</f>
        <v>40018.66</v>
      </c>
      <c r="G32" s="28" t="n">
        <f aca="false">SUM(G20:G31)</f>
        <v>0</v>
      </c>
      <c r="H32" s="28" t="n">
        <f aca="false">SUM(H20:H31)</f>
        <v>50192.2</v>
      </c>
      <c r="I32" s="28" t="n">
        <f aca="false">SUM(I20:I31)</f>
        <v>50192.2</v>
      </c>
      <c r="J32" s="28" t="n">
        <f aca="false">SUM(J20:J31)</f>
        <v>306768.33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67780.54</v>
      </c>
    </row>
    <row r="36" customFormat="false" ht="15" hidden="false" customHeight="false" outlineLevel="0" collapsed="false">
      <c r="B36" s="5" t="s">
        <v>97</v>
      </c>
      <c r="D36" s="6" t="n">
        <f aca="false">I32</f>
        <v>50192.2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17588.34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46450.25</v>
      </c>
      <c r="E42" s="24" t="n">
        <v>0</v>
      </c>
      <c r="F42" s="24" t="n">
        <v>0</v>
      </c>
      <c r="G42" s="24" t="n">
        <v>0</v>
      </c>
      <c r="H42" s="24" t="n">
        <v>774.18</v>
      </c>
      <c r="I42" s="24" t="n">
        <f aca="false">G42+H42</f>
        <v>774.18</v>
      </c>
      <c r="J42" s="24" t="n">
        <f aca="false">D42-I42</f>
        <v>45676.07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5993.57</v>
      </c>
      <c r="E43" s="24" t="n">
        <v>0</v>
      </c>
      <c r="F43" s="24" t="n">
        <v>3596.14</v>
      </c>
      <c r="G43" s="24" t="n">
        <v>0</v>
      </c>
      <c r="H43" s="24" t="n">
        <v>3676.08</v>
      </c>
      <c r="I43" s="24" t="n">
        <f aca="false">G43+H43</f>
        <v>3676.08</v>
      </c>
      <c r="J43" s="24" t="n">
        <f aca="false">D43-I43</f>
        <v>2317.49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11237.98</v>
      </c>
      <c r="E44" s="24" t="n">
        <v>0</v>
      </c>
      <c r="F44" s="24" t="n">
        <v>6742.79</v>
      </c>
      <c r="G44" s="24" t="n">
        <v>0</v>
      </c>
      <c r="H44" s="24" t="n">
        <v>7641.82</v>
      </c>
      <c r="I44" s="24" t="n">
        <f aca="false">G44+H44</f>
        <v>7641.82</v>
      </c>
      <c r="J44" s="24" t="n">
        <f aca="false">D44-I44</f>
        <v>3596.16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213920.95</v>
      </c>
      <c r="E45" s="24" t="n">
        <v>0</v>
      </c>
      <c r="F45" s="24" t="n">
        <v>0</v>
      </c>
      <c r="G45" s="24" t="n">
        <v>0</v>
      </c>
      <c r="H45" s="24" t="n">
        <v>3565.34</v>
      </c>
      <c r="I45" s="24" t="n">
        <f aca="false">G45+H45</f>
        <v>3565.34</v>
      </c>
      <c r="J45" s="24" t="n">
        <f aca="false">D45-I45</f>
        <v>210355.61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27602.7</v>
      </c>
      <c r="E46" s="24" t="n">
        <v>0</v>
      </c>
      <c r="F46" s="24" t="n">
        <v>16561.62</v>
      </c>
      <c r="G46" s="24" t="n">
        <v>0</v>
      </c>
      <c r="H46" s="24" t="n">
        <v>16929.66</v>
      </c>
      <c r="I46" s="24" t="n">
        <f aca="false">G46+H46</f>
        <v>16929.66</v>
      </c>
      <c r="J46" s="24" t="n">
        <f aca="false">D46-I46</f>
        <v>10673.04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51755.08</v>
      </c>
      <c r="E47" s="24" t="n">
        <v>0</v>
      </c>
      <c r="F47" s="24" t="n">
        <v>31053.05</v>
      </c>
      <c r="G47" s="24" t="n">
        <v>0</v>
      </c>
      <c r="H47" s="24" t="n">
        <v>35193.46</v>
      </c>
      <c r="I47" s="24" t="n">
        <f aca="false">G47+H47</f>
        <v>35193.46</v>
      </c>
      <c r="J47" s="24" t="n">
        <f aca="false">D47-I47</f>
        <v>16561.62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356960.53</v>
      </c>
      <c r="E48" s="28" t="n">
        <f aca="false">SUM(E42:E47)</f>
        <v>0</v>
      </c>
      <c r="F48" s="28" t="n">
        <f aca="false">SUM(F42:F47)</f>
        <v>57953.6</v>
      </c>
      <c r="G48" s="28" t="n">
        <f aca="false">SUM(G42:G47)</f>
        <v>0</v>
      </c>
      <c r="H48" s="28" t="n">
        <f aca="false">SUM(H42:H47)</f>
        <v>67780.54</v>
      </c>
      <c r="I48" s="28" t="n">
        <f aca="false">SUM(I42:I47)</f>
        <v>67780.54</v>
      </c>
      <c r="J48" s="28" t="n">
        <f aca="false">SUM(J42:J47)</f>
        <v>289179.99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8679.19</v>
      </c>
      <c r="E52" s="24" t="n">
        <v>0</v>
      </c>
      <c r="F52" s="24" t="n">
        <v>5207.51</v>
      </c>
      <c r="G52" s="24" t="n">
        <v>0</v>
      </c>
      <c r="H52" s="24" t="n">
        <v>5901.85</v>
      </c>
      <c r="I52" s="24" t="n">
        <f aca="false">G52+H52</f>
        <v>5901.85</v>
      </c>
      <c r="J52" s="24" t="n">
        <f aca="false">D52-I52</f>
        <v>2777.34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37771.06</v>
      </c>
      <c r="E53" s="24" t="n">
        <v>0</v>
      </c>
      <c r="F53" s="24" t="n">
        <v>0</v>
      </c>
      <c r="G53" s="24" t="n">
        <v>0</v>
      </c>
      <c r="H53" s="24" t="n">
        <v>629.52</v>
      </c>
      <c r="I53" s="24" t="n">
        <f aca="false">G53+H53</f>
        <v>629.52</v>
      </c>
      <c r="J53" s="24" t="n">
        <f aca="false">D53-I53</f>
        <v>37141.54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1119.89</v>
      </c>
      <c r="E54" s="24" t="n">
        <v>0</v>
      </c>
      <c r="F54" s="24" t="n">
        <v>671.93</v>
      </c>
      <c r="G54" s="24" t="n">
        <v>0</v>
      </c>
      <c r="H54" s="24" t="n">
        <v>761.52</v>
      </c>
      <c r="I54" s="24" t="n">
        <f aca="false">G54+H54</f>
        <v>761.52</v>
      </c>
      <c r="J54" s="24" t="n">
        <f aca="false">D54-I54</f>
        <v>358.37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4873.68</v>
      </c>
      <c r="E55" s="24" t="n">
        <v>0</v>
      </c>
      <c r="F55" s="24" t="n">
        <v>0</v>
      </c>
      <c r="G55" s="24" t="n">
        <v>0</v>
      </c>
      <c r="H55" s="24" t="n">
        <v>81.23</v>
      </c>
      <c r="I55" s="24" t="n">
        <f aca="false">G55+H55</f>
        <v>81.23</v>
      </c>
      <c r="J55" s="24" t="n">
        <f aca="false">D55-I55</f>
        <v>4792.45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2099.81</v>
      </c>
      <c r="E56" s="24" t="n">
        <v>0</v>
      </c>
      <c r="F56" s="24" t="n">
        <v>1259.89</v>
      </c>
      <c r="G56" s="24" t="n">
        <v>0</v>
      </c>
      <c r="H56" s="24" t="n">
        <v>1427.87</v>
      </c>
      <c r="I56" s="24" t="n">
        <f aca="false">G56+H56</f>
        <v>1427.87</v>
      </c>
      <c r="J56" s="24" t="n">
        <f aca="false">D56-I56</f>
        <v>671.94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9138.17</v>
      </c>
      <c r="E57" s="24" t="n">
        <v>0</v>
      </c>
      <c r="F57" s="24" t="n">
        <v>0</v>
      </c>
      <c r="G57" s="24" t="n">
        <v>0</v>
      </c>
      <c r="H57" s="24" t="n">
        <v>152.3</v>
      </c>
      <c r="I57" s="24" t="n">
        <f aca="false">G57+H57</f>
        <v>152.3</v>
      </c>
      <c r="J57" s="24" t="n">
        <f aca="false">D57-I57</f>
        <v>8985.87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39970.95</v>
      </c>
      <c r="E58" s="24" t="n">
        <v>0</v>
      </c>
      <c r="F58" s="24" t="n">
        <v>23982.57</v>
      </c>
      <c r="G58" s="24" t="n">
        <v>0</v>
      </c>
      <c r="H58" s="24" t="n">
        <v>27180.25</v>
      </c>
      <c r="I58" s="24" t="n">
        <f aca="false">G58+H58</f>
        <v>27180.25</v>
      </c>
      <c r="J58" s="24" t="n">
        <f aca="false">D58-I58</f>
        <v>12790.7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173950</v>
      </c>
      <c r="E59" s="24" t="n">
        <v>0</v>
      </c>
      <c r="F59" s="24" t="n">
        <v>0</v>
      </c>
      <c r="G59" s="24" t="n">
        <v>0</v>
      </c>
      <c r="H59" s="24" t="n">
        <v>2899.17</v>
      </c>
      <c r="I59" s="24" t="n">
        <f aca="false">G59+H59</f>
        <v>2899.17</v>
      </c>
      <c r="J59" s="24" t="n">
        <f aca="false">D59-I59</f>
        <v>171050.83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5157.54</v>
      </c>
      <c r="E60" s="24" t="n">
        <v>0</v>
      </c>
      <c r="F60" s="24" t="n">
        <v>3094.52</v>
      </c>
      <c r="G60" s="24" t="n">
        <v>0</v>
      </c>
      <c r="H60" s="24" t="n">
        <v>3507.12</v>
      </c>
      <c r="I60" s="24" t="n">
        <f aca="false">G60+H60</f>
        <v>3507.12</v>
      </c>
      <c r="J60" s="24" t="n">
        <f aca="false">D60-I60</f>
        <v>1650.42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22445.16</v>
      </c>
      <c r="E61" s="24" t="n">
        <v>0</v>
      </c>
      <c r="F61" s="24" t="n">
        <v>0</v>
      </c>
      <c r="G61" s="24" t="n">
        <v>0</v>
      </c>
      <c r="H61" s="24" t="n">
        <v>374.09</v>
      </c>
      <c r="I61" s="24" t="n">
        <f aca="false">G61+H61</f>
        <v>374.09</v>
      </c>
      <c r="J61" s="24" t="n">
        <f aca="false">D61-I61</f>
        <v>22071.07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9670.4</v>
      </c>
      <c r="E62" s="24" t="n">
        <v>0</v>
      </c>
      <c r="F62" s="24" t="n">
        <v>5802.24</v>
      </c>
      <c r="G62" s="24" t="n">
        <v>0</v>
      </c>
      <c r="H62" s="24" t="n">
        <v>6575.87</v>
      </c>
      <c r="I62" s="24" t="n">
        <f aca="false">G62+H62</f>
        <v>6575.87</v>
      </c>
      <c r="J62" s="24" t="n">
        <f aca="false">D62-I62</f>
        <v>3094.53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42084.68</v>
      </c>
      <c r="E63" s="24" t="n">
        <v>0</v>
      </c>
      <c r="F63" s="24" t="n">
        <v>0</v>
      </c>
      <c r="G63" s="24" t="n">
        <v>0</v>
      </c>
      <c r="H63" s="24" t="n">
        <v>701.41</v>
      </c>
      <c r="I63" s="24" t="n">
        <f aca="false">G63+H63</f>
        <v>701.41</v>
      </c>
      <c r="J63" s="24" t="n">
        <f aca="false">D63-I63</f>
        <v>41383.27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356960.53</v>
      </c>
      <c r="E64" s="28" t="n">
        <f aca="false">SUM(E52:E63)</f>
        <v>0</v>
      </c>
      <c r="F64" s="28" t="n">
        <f aca="false">SUM(F52:F63)</f>
        <v>40018.66</v>
      </c>
      <c r="G64" s="28" t="n">
        <f aca="false">SUM(G52:G63)</f>
        <v>0</v>
      </c>
      <c r="H64" s="28" t="n">
        <f aca="false">SUM(H52:H63)</f>
        <v>50192.2</v>
      </c>
      <c r="I64" s="28" t="n">
        <f aca="false">SUM(I52:I63)</f>
        <v>50192.2</v>
      </c>
      <c r="J64" s="28" t="n">
        <f aca="false">SUM(J52:J63)</f>
        <v>306768.33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67780.54</v>
      </c>
    </row>
    <row r="68" customFormat="false" ht="15" hidden="false" customHeight="false" outlineLevel="0" collapsed="false">
      <c r="B68" s="5" t="s">
        <v>97</v>
      </c>
      <c r="D68" s="6" t="n">
        <f aca="false">I64</f>
        <v>50192.2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17588.34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D112</f>
        <v>356960.53</v>
      </c>
    </row>
    <row r="73" customFormat="false" ht="15" hidden="false" customHeight="false" outlineLevel="0" collapsed="false">
      <c r="B73" s="5" t="s">
        <v>106</v>
      </c>
      <c r="D73" s="6" t="n">
        <f aca="false">F112</f>
        <v>66697.78</v>
      </c>
    </row>
    <row r="74" customFormat="false" ht="15" hidden="false" customHeight="false" outlineLevel="0" collapsed="false">
      <c r="B74" s="30" t="s">
        <v>107</v>
      </c>
      <c r="D74" s="31" t="n">
        <f aca="false">F113</f>
        <v>0.186849173492655</v>
      </c>
    </row>
    <row r="75" customFormat="false" ht="15" hidden="false" customHeight="false" outlineLevel="0" collapsed="false">
      <c r="B75" s="5" t="s">
        <v>109</v>
      </c>
      <c r="D75" s="6" t="n">
        <f aca="false">H112</f>
        <v>290262.75</v>
      </c>
    </row>
    <row r="76" customFormat="false" ht="15" hidden="false" customHeight="false" outlineLevel="0" collapsed="false">
      <c r="B76" s="30" t="s">
        <v>107</v>
      </c>
      <c r="D76" s="31" t="n">
        <f aca="false">H113</f>
        <v>0.813150826507345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15196.4</v>
      </c>
      <c r="F81" s="33" t="n">
        <v>15196.4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5234.75</v>
      </c>
      <c r="F82" s="33" t="n">
        <v>5234.75</v>
      </c>
    </row>
    <row r="83" customFormat="false" ht="15" hidden="false" customHeight="false" outlineLevel="0" collapsed="false">
      <c r="B83" s="5" t="s">
        <v>175</v>
      </c>
      <c r="D83" s="33" t="n">
        <f aca="false">SUM(F83:H83)</f>
        <v>1061.02</v>
      </c>
      <c r="F83" s="33" t="n">
        <v>1061.02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20353.56</v>
      </c>
      <c r="F84" s="33" t="n">
        <v>20353.56</v>
      </c>
    </row>
    <row r="85" customFormat="false" ht="15" hidden="false" customHeight="false" outlineLevel="0" collapsed="false">
      <c r="B85" s="5" t="s">
        <v>176</v>
      </c>
      <c r="D85" s="33" t="n">
        <f aca="false">SUM(F85:H85)</f>
        <v>164.32</v>
      </c>
      <c r="F85" s="33" t="n">
        <v>164.32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5013.59</v>
      </c>
      <c r="F86" s="33" t="n">
        <v>5013.59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135.16</v>
      </c>
      <c r="F87" s="33" t="n">
        <v>135.16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3139.57</v>
      </c>
      <c r="F88" s="33" t="n">
        <v>3139.57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2646.84</v>
      </c>
      <c r="F89" s="33" t="n">
        <v>2646.84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5742.77</v>
      </c>
      <c r="F90" s="33" t="n">
        <v>5742.77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2288.05</v>
      </c>
      <c r="F91" s="33" t="n">
        <v>2288.05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93.04</v>
      </c>
      <c r="F92" s="33" t="n">
        <v>93.04</v>
      </c>
    </row>
    <row r="93" customFormat="false" ht="15" hidden="false" customHeight="false" outlineLevel="0" collapsed="false">
      <c r="B93" s="5" t="s">
        <v>154</v>
      </c>
      <c r="D93" s="33" t="n">
        <f aca="false">SUM(F93:H93)</f>
        <v>674.26</v>
      </c>
      <c r="F93" s="33" t="n">
        <v>674.26</v>
      </c>
    </row>
    <row r="94" customFormat="false" ht="15" hidden="false" customHeight="false" outlineLevel="0" collapsed="false">
      <c r="B94" s="5" t="s">
        <v>155</v>
      </c>
      <c r="D94" s="33" t="n">
        <f aca="false">SUM(F94:H94)</f>
        <v>4954.45</v>
      </c>
      <c r="F94" s="33" t="n">
        <v>4954.45</v>
      </c>
    </row>
    <row r="95" customFormat="false" ht="15" hidden="false" customHeight="false" outlineLevel="0" collapsed="false">
      <c r="B95" s="32" t="s">
        <v>135</v>
      </c>
    </row>
    <row r="96" customFormat="false" ht="15" hidden="false" customHeight="false" outlineLevel="0" collapsed="false">
      <c r="B96" s="5" t="s">
        <v>156</v>
      </c>
      <c r="D96" s="33" t="n">
        <f aca="false">SUM(F96:H96)</f>
        <v>16445.38</v>
      </c>
      <c r="H96" s="33" t="n">
        <v>16445.38</v>
      </c>
    </row>
    <row r="97" customFormat="false" ht="15" hidden="false" customHeight="false" outlineLevel="0" collapsed="false">
      <c r="B97" s="5" t="s">
        <v>157</v>
      </c>
      <c r="D97" s="33" t="n">
        <f aca="false">SUM(F97:H97)</f>
        <v>19790.61</v>
      </c>
      <c r="H97" s="33" t="n">
        <v>19790.61</v>
      </c>
    </row>
    <row r="98" customFormat="false" ht="15" hidden="false" customHeight="false" outlineLevel="0" collapsed="false">
      <c r="B98" s="5" t="s">
        <v>158</v>
      </c>
      <c r="D98" s="33" t="n">
        <f aca="false">SUM(F98:H98)</f>
        <v>29793.92</v>
      </c>
      <c r="H98" s="33" t="n">
        <v>29793.92</v>
      </c>
    </row>
    <row r="99" customFormat="false" ht="15" hidden="false" customHeight="false" outlineLevel="0" collapsed="false">
      <c r="B99" s="5" t="s">
        <v>159</v>
      </c>
      <c r="D99" s="33" t="n">
        <f aca="false">SUM(F99:H99)</f>
        <v>32200.21</v>
      </c>
      <c r="H99" s="33" t="n">
        <v>32200.21</v>
      </c>
    </row>
    <row r="100" customFormat="false" ht="15" hidden="false" customHeight="false" outlineLevel="0" collapsed="false">
      <c r="B100" s="5" t="s">
        <v>160</v>
      </c>
      <c r="D100" s="33" t="n">
        <f aca="false">SUM(F100:H100)</f>
        <v>25899.68</v>
      </c>
      <c r="H100" s="33" t="n">
        <v>25899.68</v>
      </c>
    </row>
    <row r="101" customFormat="false" ht="15" hidden="false" customHeight="false" outlineLevel="0" collapsed="false">
      <c r="B101" s="5" t="s">
        <v>161</v>
      </c>
      <c r="D101" s="33" t="n">
        <f aca="false">SUM(F101:H101)</f>
        <v>2118.67</v>
      </c>
      <c r="H101" s="33" t="n">
        <v>2118.67</v>
      </c>
    </row>
    <row r="102" customFormat="false" ht="15" hidden="false" customHeight="false" outlineLevel="0" collapsed="false">
      <c r="B102" s="5" t="s">
        <v>162</v>
      </c>
      <c r="D102" s="33" t="n">
        <f aca="false">SUM(F102:H102)</f>
        <v>11504.23</v>
      </c>
      <c r="H102" s="33" t="n">
        <v>11504.23</v>
      </c>
    </row>
    <row r="103" customFormat="false" ht="15" hidden="false" customHeight="false" outlineLevel="0" collapsed="false">
      <c r="B103" s="5" t="s">
        <v>163</v>
      </c>
      <c r="D103" s="33" t="n">
        <f aca="false">SUM(F103:H103)</f>
        <v>19980.87</v>
      </c>
      <c r="H103" s="33" t="n">
        <v>19980.87</v>
      </c>
    </row>
    <row r="104" customFormat="false" ht="15" hidden="false" customHeight="false" outlineLevel="0" collapsed="false">
      <c r="B104" s="5" t="s">
        <v>164</v>
      </c>
      <c r="D104" s="33" t="n">
        <f aca="false">SUM(F104:H104)</f>
        <v>9939.67</v>
      </c>
      <c r="H104" s="33" t="n">
        <v>9939.67</v>
      </c>
    </row>
    <row r="105" customFormat="false" ht="15" hidden="false" customHeight="false" outlineLevel="0" collapsed="false">
      <c r="B105" s="5" t="s">
        <v>165</v>
      </c>
      <c r="D105" s="33" t="n">
        <f aca="false">SUM(F105:H105)</f>
        <v>13703.91</v>
      </c>
      <c r="H105" s="33" t="n">
        <v>13703.91</v>
      </c>
    </row>
    <row r="106" customFormat="false" ht="15" hidden="false" customHeight="false" outlineLevel="0" collapsed="false">
      <c r="B106" s="5" t="s">
        <v>166</v>
      </c>
      <c r="D106" s="33" t="n">
        <f aca="false">SUM(F106:H106)</f>
        <v>32147.45</v>
      </c>
      <c r="H106" s="33" t="n">
        <v>32147.45</v>
      </c>
    </row>
    <row r="107" customFormat="false" ht="15" hidden="false" customHeight="false" outlineLevel="0" collapsed="false">
      <c r="B107" s="5" t="s">
        <v>167</v>
      </c>
      <c r="D107" s="33" t="n">
        <f aca="false">SUM(F107:H107)</f>
        <v>14302.21</v>
      </c>
      <c r="H107" s="33" t="n">
        <v>14302.21</v>
      </c>
    </row>
    <row r="108" customFormat="false" ht="15" hidden="false" customHeight="false" outlineLevel="0" collapsed="false">
      <c r="B108" s="5" t="s">
        <v>168</v>
      </c>
      <c r="D108" s="33" t="n">
        <f aca="false">SUM(F108:H108)</f>
        <v>1668.79</v>
      </c>
      <c r="H108" s="33" t="n">
        <v>1668.79</v>
      </c>
    </row>
    <row r="109" customFormat="false" ht="15" hidden="false" customHeight="false" outlineLevel="0" collapsed="false">
      <c r="B109" s="5" t="s">
        <v>169</v>
      </c>
      <c r="D109" s="33" t="n">
        <f aca="false">SUM(F109:H109)</f>
        <v>37025.6</v>
      </c>
      <c r="H109" s="33" t="n">
        <v>37025.6</v>
      </c>
    </row>
    <row r="110" customFormat="false" ht="15" hidden="false" customHeight="false" outlineLevel="0" collapsed="false">
      <c r="B110" s="5" t="s">
        <v>170</v>
      </c>
      <c r="D110" s="33" t="n">
        <f aca="false">SUM(F110:H110)</f>
        <v>18871.74</v>
      </c>
      <c r="H110" s="33" t="n">
        <v>18871.74</v>
      </c>
    </row>
    <row r="111" customFormat="false" ht="15" hidden="false" customHeight="false" outlineLevel="0" collapsed="false">
      <c r="B111" s="5" t="s">
        <v>171</v>
      </c>
      <c r="D111" s="33" t="n">
        <f aca="false">SUM(F111:H111)</f>
        <v>4869.81</v>
      </c>
      <c r="H111" s="33" t="n">
        <v>4869.81</v>
      </c>
    </row>
    <row r="112" customFormat="false" ht="15" hidden="false" customHeight="false" outlineLevel="0" collapsed="false">
      <c r="B112" s="11" t="s">
        <v>105</v>
      </c>
      <c r="D112" s="34" t="n">
        <f aca="false">SUM(D80:D111)</f>
        <v>356960.53</v>
      </c>
      <c r="F112" s="34" t="n">
        <f aca="false">SUM(F80:F111)</f>
        <v>66697.78</v>
      </c>
      <c r="H112" s="34" t="n">
        <f aca="false">SUM(H80:H111)</f>
        <v>290262.75</v>
      </c>
    </row>
    <row r="113" customFormat="false" ht="15" hidden="false" customHeight="false" outlineLevel="0" collapsed="false">
      <c r="B113" s="30" t="s">
        <v>107</v>
      </c>
      <c r="F113" s="31" t="n">
        <f aca="false">F112/D112</f>
        <v>0.186849173492655</v>
      </c>
      <c r="H113" s="31" t="n">
        <f aca="false">H112/D112</f>
        <v>0.813150826507345</v>
      </c>
    </row>
    <row r="115" customFormat="false" ht="15" hidden="false" customHeight="false" outlineLevel="0" collapsed="false">
      <c r="A115" s="10" t="s">
        <v>137</v>
      </c>
    </row>
    <row r="116" customFormat="false" ht="15" hidden="false" customHeight="false" outlineLevel="0" collapsed="false">
      <c r="B116" s="4" t="s">
        <v>138</v>
      </c>
      <c r="D116" s="4" t="s">
        <v>79</v>
      </c>
      <c r="F116" s="4" t="s">
        <v>112</v>
      </c>
      <c r="H116" s="4" t="s">
        <v>114</v>
      </c>
    </row>
    <row r="117" customFormat="false" ht="15" hidden="false" customHeight="false" outlineLevel="0" collapsed="false">
      <c r="B117" s="5" t="str">
        <f aca="false">'Building 8'!B20</f>
        <v>2-Building-712 Northfield Dr - 5 Year</v>
      </c>
      <c r="D117" s="33" t="n">
        <f aca="false">SUM(F117:H117)</f>
        <v>8679.19</v>
      </c>
      <c r="F117" s="33" t="n">
        <f aca="false">'Building 8'!D20</f>
        <v>8679.19</v>
      </c>
    </row>
    <row r="118" customFormat="false" ht="15" hidden="false" customHeight="false" outlineLevel="0" collapsed="false">
      <c r="B118" s="5" t="str">
        <f aca="false">'Building 8'!B21</f>
        <v>2-Building-712 Northfield Dr - 27.5 Year</v>
      </c>
      <c r="D118" s="33" t="n">
        <f aca="false">SUM(F118:H118)</f>
        <v>37771.06</v>
      </c>
      <c r="H118" s="33" t="n">
        <f aca="false">'Building 8'!D21</f>
        <v>37771.06</v>
      </c>
    </row>
    <row r="119" customFormat="false" ht="15" hidden="false" customHeight="false" outlineLevel="0" collapsed="false">
      <c r="B119" s="5" t="str">
        <f aca="false">'Building 8'!B22</f>
        <v>3-Northfield Dr - 5 Year</v>
      </c>
      <c r="D119" s="33" t="n">
        <f aca="false">SUM(F119:H119)</f>
        <v>1119.89</v>
      </c>
      <c r="F119" s="33" t="n">
        <f aca="false">'Building 8'!D22</f>
        <v>1119.89</v>
      </c>
    </row>
    <row r="120" customFormat="false" ht="15" hidden="false" customHeight="false" outlineLevel="0" collapsed="false">
      <c r="B120" s="5" t="str">
        <f aca="false">'Building 8'!B23</f>
        <v>3-Northfield Dr - 27.5 Year</v>
      </c>
      <c r="D120" s="33" t="n">
        <f aca="false">SUM(F120:H120)</f>
        <v>4873.68</v>
      </c>
      <c r="H120" s="33" t="n">
        <f aca="false">'Building 8'!D23</f>
        <v>4873.68</v>
      </c>
    </row>
    <row r="121" customFormat="false" ht="15" hidden="false" customHeight="false" outlineLevel="0" collapsed="false">
      <c r="B121" s="5" t="str">
        <f aca="false">'Building 8'!B24</f>
        <v>4-Northfield Dr - 5 Year</v>
      </c>
      <c r="D121" s="33" t="n">
        <f aca="false">SUM(F121:H121)</f>
        <v>2099.81</v>
      </c>
      <c r="F121" s="33" t="n">
        <f aca="false">'Building 8'!D24</f>
        <v>2099.81</v>
      </c>
    </row>
    <row r="122" customFormat="false" ht="15" hidden="false" customHeight="false" outlineLevel="0" collapsed="false">
      <c r="B122" s="5" t="str">
        <f aca="false">'Building 8'!B25</f>
        <v>4-Northfield Dr - 27.5 Year</v>
      </c>
      <c r="D122" s="33" t="n">
        <f aca="false">SUM(F122:H122)</f>
        <v>9138.17</v>
      </c>
      <c r="H122" s="33" t="n">
        <f aca="false">'Building 8'!D25</f>
        <v>9138.17</v>
      </c>
    </row>
    <row r="123" customFormat="false" ht="15" hidden="false" customHeight="false" outlineLevel="0" collapsed="false">
      <c r="B123" s="5" t="str">
        <f aca="false">'Building 8'!B26</f>
        <v>7-Building-2202 Northview Dr - 5 Year</v>
      </c>
      <c r="D123" s="33" t="n">
        <f aca="false">SUM(F123:H123)</f>
        <v>39970.95</v>
      </c>
      <c r="F123" s="33" t="n">
        <f aca="false">'Building 8'!D26</f>
        <v>39970.95</v>
      </c>
    </row>
    <row r="124" customFormat="false" ht="15" hidden="false" customHeight="false" outlineLevel="0" collapsed="false">
      <c r="B124" s="5" t="str">
        <f aca="false">'Building 8'!B27</f>
        <v>7-Building-2202 Northview Dr - 27.5 Year</v>
      </c>
      <c r="D124" s="33" t="n">
        <f aca="false">SUM(F124:H124)</f>
        <v>173950</v>
      </c>
      <c r="H124" s="33" t="n">
        <f aca="false">'Building 8'!D27</f>
        <v>173950</v>
      </c>
    </row>
    <row r="125" customFormat="false" ht="15" hidden="false" customHeight="false" outlineLevel="0" collapsed="false">
      <c r="B125" s="5" t="str">
        <f aca="false">'Building 8'!B28</f>
        <v>8-Northiew Dr - 5 Year</v>
      </c>
      <c r="D125" s="33" t="n">
        <f aca="false">SUM(F125:H125)</f>
        <v>5157.54</v>
      </c>
      <c r="F125" s="33" t="n">
        <f aca="false">'Building 8'!D28</f>
        <v>5157.54</v>
      </c>
    </row>
    <row r="126" customFormat="false" ht="15" hidden="false" customHeight="false" outlineLevel="0" collapsed="false">
      <c r="B126" s="5" t="str">
        <f aca="false">'Building 8'!B29</f>
        <v>8-Northiew Dr - 27.5 Year</v>
      </c>
      <c r="D126" s="33" t="n">
        <f aca="false">SUM(F126:H126)</f>
        <v>22445.16</v>
      </c>
      <c r="H126" s="33" t="n">
        <f aca="false">'Building 8'!D29</f>
        <v>22445.16</v>
      </c>
    </row>
    <row r="127" customFormat="false" ht="15" hidden="false" customHeight="false" outlineLevel="0" collapsed="false">
      <c r="B127" s="5" t="str">
        <f aca="false">'Building 8'!B30</f>
        <v>9-Northview Dr - 5 Year</v>
      </c>
      <c r="D127" s="33" t="n">
        <f aca="false">SUM(F127:H127)</f>
        <v>9670.4</v>
      </c>
      <c r="F127" s="33" t="n">
        <f aca="false">'Building 8'!D30</f>
        <v>9670.4</v>
      </c>
    </row>
    <row r="128" customFormat="false" ht="15" hidden="false" customHeight="false" outlineLevel="0" collapsed="false">
      <c r="B128" s="5" t="str">
        <f aca="false">'Building 8'!B31</f>
        <v>9-Northview Dr - 27.5 Year</v>
      </c>
      <c r="D128" s="33" t="n">
        <f aca="false">SUM(F128:H128)</f>
        <v>42084.68</v>
      </c>
      <c r="H128" s="33" t="n">
        <f aca="false">'Building 8'!D31</f>
        <v>42084.68</v>
      </c>
    </row>
    <row r="129" customFormat="false" ht="15" hidden="false" customHeight="false" outlineLevel="0" collapsed="false">
      <c r="B129" s="11" t="s">
        <v>139</v>
      </c>
      <c r="D129" s="34" t="n">
        <f aca="false">SUM(D117:D128)</f>
        <v>356960.53</v>
      </c>
      <c r="F129" s="34" t="n">
        <f aca="false">SUM(F117:F128)</f>
        <v>66697.78</v>
      </c>
      <c r="H129" s="34" t="n">
        <f aca="false">SUM(H117:H128)</f>
        <v>290262.75</v>
      </c>
    </row>
    <row r="130" customFormat="false" ht="15" hidden="false" customHeight="false" outlineLevel="0" collapsed="false">
      <c r="B130" s="16" t="s">
        <v>140</v>
      </c>
      <c r="D130" s="17" t="n">
        <f aca="false">D129-D112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181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46321.61</v>
      </c>
      <c r="E10" s="24" t="n">
        <v>0</v>
      </c>
      <c r="F10" s="24" t="n">
        <v>0</v>
      </c>
      <c r="G10" s="24" t="n">
        <v>0</v>
      </c>
      <c r="H10" s="24" t="n">
        <v>772.04</v>
      </c>
      <c r="I10" s="24" t="n">
        <f aca="false">G10+H10</f>
        <v>772.04</v>
      </c>
      <c r="J10" s="24" t="n">
        <f aca="false">D10-I10</f>
        <v>45549.57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5976.97</v>
      </c>
      <c r="E11" s="24" t="n">
        <v>0</v>
      </c>
      <c r="F11" s="24" t="n">
        <v>3586.18</v>
      </c>
      <c r="G11" s="24" t="n">
        <v>0</v>
      </c>
      <c r="H11" s="24" t="n">
        <v>3665.9</v>
      </c>
      <c r="I11" s="24" t="n">
        <f aca="false">G11+H11</f>
        <v>3665.9</v>
      </c>
      <c r="J11" s="24" t="n">
        <f aca="false">D11-I11</f>
        <v>2311.07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11206.85</v>
      </c>
      <c r="E12" s="24" t="n">
        <v>0</v>
      </c>
      <c r="F12" s="24" t="n">
        <v>6724.11</v>
      </c>
      <c r="G12" s="24" t="n">
        <v>0</v>
      </c>
      <c r="H12" s="24" t="n">
        <v>7620.65</v>
      </c>
      <c r="I12" s="24" t="n">
        <f aca="false">G12+H12</f>
        <v>7620.65</v>
      </c>
      <c r="J12" s="24" t="n">
        <f aca="false">D12-I12</f>
        <v>3586.2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213328.45</v>
      </c>
      <c r="E13" s="24" t="n">
        <v>0</v>
      </c>
      <c r="F13" s="24" t="n">
        <v>0</v>
      </c>
      <c r="G13" s="24" t="n">
        <v>0</v>
      </c>
      <c r="H13" s="24" t="n">
        <v>3555.47</v>
      </c>
      <c r="I13" s="24" t="n">
        <f aca="false">G13+H13</f>
        <v>3555.47</v>
      </c>
      <c r="J13" s="24" t="n">
        <f aca="false">D13-I13</f>
        <v>209772.98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27526.25</v>
      </c>
      <c r="E14" s="24" t="n">
        <v>0</v>
      </c>
      <c r="F14" s="24" t="n">
        <v>16515.75</v>
      </c>
      <c r="G14" s="24" t="n">
        <v>0</v>
      </c>
      <c r="H14" s="24" t="n">
        <v>16882.77</v>
      </c>
      <c r="I14" s="24" t="n">
        <f aca="false">G14+H14</f>
        <v>16882.77</v>
      </c>
      <c r="J14" s="24" t="n">
        <f aca="false">D14-I14</f>
        <v>10643.48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51611.73</v>
      </c>
      <c r="E15" s="24" t="n">
        <v>0</v>
      </c>
      <c r="F15" s="24" t="n">
        <v>30967.04</v>
      </c>
      <c r="G15" s="24" t="n">
        <v>0</v>
      </c>
      <c r="H15" s="24" t="n">
        <v>35095.98</v>
      </c>
      <c r="I15" s="24" t="n">
        <f aca="false">G15+H15</f>
        <v>35095.98</v>
      </c>
      <c r="J15" s="24" t="n">
        <f aca="false">D15-I15</f>
        <v>16515.75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355971.86</v>
      </c>
      <c r="E16" s="28" t="n">
        <f aca="false">SUM(E10:E15)</f>
        <v>0</v>
      </c>
      <c r="F16" s="28" t="n">
        <f aca="false">SUM(F10:F15)</f>
        <v>57793.08</v>
      </c>
      <c r="G16" s="28" t="n">
        <f aca="false">SUM(G10:G15)</f>
        <v>0</v>
      </c>
      <c r="H16" s="28" t="n">
        <f aca="false">SUM(H10:H15)</f>
        <v>67592.81</v>
      </c>
      <c r="I16" s="28" t="n">
        <f aca="false">SUM(I10:I15)</f>
        <v>67592.81</v>
      </c>
      <c r="J16" s="28" t="n">
        <f aca="false">SUM(J10:J15)</f>
        <v>288379.05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8603.17</v>
      </c>
      <c r="E20" s="24" t="n">
        <v>0</v>
      </c>
      <c r="F20" s="24" t="n">
        <v>5161.9</v>
      </c>
      <c r="G20" s="24" t="n">
        <v>0</v>
      </c>
      <c r="H20" s="24" t="n">
        <v>5850.15</v>
      </c>
      <c r="I20" s="24" t="n">
        <f aca="false">G20+H20</f>
        <v>5850.15</v>
      </c>
      <c r="J20" s="24" t="n">
        <f aca="false">D20-I20</f>
        <v>2753.02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37718.44</v>
      </c>
      <c r="E21" s="24" t="n">
        <v>0</v>
      </c>
      <c r="F21" s="24" t="n">
        <v>0</v>
      </c>
      <c r="G21" s="24" t="n">
        <v>0</v>
      </c>
      <c r="H21" s="24" t="n">
        <v>628.64</v>
      </c>
      <c r="I21" s="24" t="n">
        <f aca="false">G21+H21</f>
        <v>628.64</v>
      </c>
      <c r="J21" s="24" t="n">
        <f aca="false">D21-I21</f>
        <v>37089.8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1110.08</v>
      </c>
      <c r="E22" s="24" t="n">
        <v>0</v>
      </c>
      <c r="F22" s="24" t="n">
        <v>666.05</v>
      </c>
      <c r="G22" s="24" t="n">
        <v>0</v>
      </c>
      <c r="H22" s="24" t="n">
        <v>754.86</v>
      </c>
      <c r="I22" s="24" t="n">
        <f aca="false">G22+H22</f>
        <v>754.86</v>
      </c>
      <c r="J22" s="24" t="n">
        <f aca="false">D22-I22</f>
        <v>355.22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4866.89</v>
      </c>
      <c r="E23" s="24" t="n">
        <v>0</v>
      </c>
      <c r="F23" s="24" t="n">
        <v>0</v>
      </c>
      <c r="G23" s="24" t="n">
        <v>0</v>
      </c>
      <c r="H23" s="24" t="n">
        <v>81.11</v>
      </c>
      <c r="I23" s="24" t="n">
        <f aca="false">G23+H23</f>
        <v>81.11</v>
      </c>
      <c r="J23" s="24" t="n">
        <f aca="false">D23-I23</f>
        <v>4785.78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2081.41</v>
      </c>
      <c r="E24" s="24" t="n">
        <v>0</v>
      </c>
      <c r="F24" s="24" t="n">
        <v>1248.85</v>
      </c>
      <c r="G24" s="24" t="n">
        <v>0</v>
      </c>
      <c r="H24" s="24" t="n">
        <v>1415.36</v>
      </c>
      <c r="I24" s="24" t="n">
        <f aca="false">G24+H24</f>
        <v>1415.36</v>
      </c>
      <c r="J24" s="24" t="n">
        <f aca="false">D24-I24</f>
        <v>666.05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9125.44</v>
      </c>
      <c r="E25" s="24" t="n">
        <v>0</v>
      </c>
      <c r="F25" s="24" t="n">
        <v>0</v>
      </c>
      <c r="G25" s="24" t="n">
        <v>0</v>
      </c>
      <c r="H25" s="24" t="n">
        <v>152.09</v>
      </c>
      <c r="I25" s="24" t="n">
        <f aca="false">G25+H25</f>
        <v>152.09</v>
      </c>
      <c r="J25" s="24" t="n">
        <f aca="false">D25-I25</f>
        <v>8973.35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39620.83</v>
      </c>
      <c r="E26" s="24" t="n">
        <v>0</v>
      </c>
      <c r="F26" s="24" t="n">
        <v>23772.5</v>
      </c>
      <c r="G26" s="24" t="n">
        <v>0</v>
      </c>
      <c r="H26" s="24" t="n">
        <v>26942.17</v>
      </c>
      <c r="I26" s="24" t="n">
        <f aca="false">G26+H26</f>
        <v>26942.17</v>
      </c>
      <c r="J26" s="24" t="n">
        <f aca="false">D26-I26</f>
        <v>12678.66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173707.62</v>
      </c>
      <c r="E27" s="24" t="n">
        <v>0</v>
      </c>
      <c r="F27" s="24" t="n">
        <v>0</v>
      </c>
      <c r="G27" s="24" t="n">
        <v>0</v>
      </c>
      <c r="H27" s="24" t="n">
        <v>2895.13</v>
      </c>
      <c r="I27" s="24" t="n">
        <f aca="false">G27+H27</f>
        <v>2895.13</v>
      </c>
      <c r="J27" s="24" t="n">
        <f aca="false">D27-I27</f>
        <v>170812.49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5112.36</v>
      </c>
      <c r="E28" s="24" t="n">
        <v>0</v>
      </c>
      <c r="F28" s="24" t="n">
        <v>3067.42</v>
      </c>
      <c r="G28" s="24" t="n">
        <v>0</v>
      </c>
      <c r="H28" s="24" t="n">
        <v>3476.41</v>
      </c>
      <c r="I28" s="24" t="n">
        <f aca="false">G28+H28</f>
        <v>3476.41</v>
      </c>
      <c r="J28" s="24" t="n">
        <f aca="false">D28-I28</f>
        <v>1635.95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22413.89</v>
      </c>
      <c r="E29" s="24" t="n">
        <v>0</v>
      </c>
      <c r="F29" s="24" t="n">
        <v>0</v>
      </c>
      <c r="G29" s="24" t="n">
        <v>0</v>
      </c>
      <c r="H29" s="24" t="n">
        <v>373.56</v>
      </c>
      <c r="I29" s="24" t="n">
        <f aca="false">G29+H29</f>
        <v>373.56</v>
      </c>
      <c r="J29" s="24" t="n">
        <f aca="false">D29-I29</f>
        <v>22040.33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9585.69</v>
      </c>
      <c r="E30" s="24" t="n">
        <v>0</v>
      </c>
      <c r="F30" s="24" t="n">
        <v>5751.41</v>
      </c>
      <c r="G30" s="24" t="n">
        <v>0</v>
      </c>
      <c r="H30" s="24" t="n">
        <v>6518.27</v>
      </c>
      <c r="I30" s="24" t="n">
        <f aca="false">G30+H30</f>
        <v>6518.27</v>
      </c>
      <c r="J30" s="24" t="n">
        <f aca="false">D30-I30</f>
        <v>3067.42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42026.04</v>
      </c>
      <c r="E31" s="24" t="n">
        <v>0</v>
      </c>
      <c r="F31" s="24" t="n">
        <v>0</v>
      </c>
      <c r="G31" s="24" t="n">
        <v>0</v>
      </c>
      <c r="H31" s="24" t="n">
        <v>700.43</v>
      </c>
      <c r="I31" s="24" t="n">
        <f aca="false">G31+H31</f>
        <v>700.43</v>
      </c>
      <c r="J31" s="24" t="n">
        <f aca="false">D31-I31</f>
        <v>41325.61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355971.86</v>
      </c>
      <c r="E32" s="28" t="n">
        <f aca="false">SUM(E20:E31)</f>
        <v>0</v>
      </c>
      <c r="F32" s="28" t="n">
        <f aca="false">SUM(F20:F31)</f>
        <v>39668.13</v>
      </c>
      <c r="G32" s="28" t="n">
        <f aca="false">SUM(G20:G31)</f>
        <v>0</v>
      </c>
      <c r="H32" s="28" t="n">
        <f aca="false">SUM(H20:H31)</f>
        <v>49788.18</v>
      </c>
      <c r="I32" s="28" t="n">
        <f aca="false">SUM(I20:I31)</f>
        <v>49788.18</v>
      </c>
      <c r="J32" s="28" t="n">
        <f aca="false">SUM(J20:J31)</f>
        <v>306183.68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67592.81</v>
      </c>
    </row>
    <row r="36" customFormat="false" ht="15" hidden="false" customHeight="false" outlineLevel="0" collapsed="false">
      <c r="B36" s="5" t="s">
        <v>97</v>
      </c>
      <c r="D36" s="6" t="n">
        <f aca="false">I32</f>
        <v>49788.18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17804.63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46321.61</v>
      </c>
      <c r="E42" s="24" t="n">
        <v>0</v>
      </c>
      <c r="F42" s="24" t="n">
        <v>0</v>
      </c>
      <c r="G42" s="24" t="n">
        <v>0</v>
      </c>
      <c r="H42" s="24" t="n">
        <v>772.04</v>
      </c>
      <c r="I42" s="24" t="n">
        <f aca="false">G42+H42</f>
        <v>772.04</v>
      </c>
      <c r="J42" s="24" t="n">
        <f aca="false">D42-I42</f>
        <v>45549.57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5976.97</v>
      </c>
      <c r="E43" s="24" t="n">
        <v>0</v>
      </c>
      <c r="F43" s="24" t="n">
        <v>3586.18</v>
      </c>
      <c r="G43" s="24" t="n">
        <v>0</v>
      </c>
      <c r="H43" s="24" t="n">
        <v>3665.9</v>
      </c>
      <c r="I43" s="24" t="n">
        <f aca="false">G43+H43</f>
        <v>3665.9</v>
      </c>
      <c r="J43" s="24" t="n">
        <f aca="false">D43-I43</f>
        <v>2311.07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11206.85</v>
      </c>
      <c r="E44" s="24" t="n">
        <v>0</v>
      </c>
      <c r="F44" s="24" t="n">
        <v>6724.11</v>
      </c>
      <c r="G44" s="24" t="n">
        <v>0</v>
      </c>
      <c r="H44" s="24" t="n">
        <v>7620.65</v>
      </c>
      <c r="I44" s="24" t="n">
        <f aca="false">G44+H44</f>
        <v>7620.65</v>
      </c>
      <c r="J44" s="24" t="n">
        <f aca="false">D44-I44</f>
        <v>3586.2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213328.45</v>
      </c>
      <c r="E45" s="24" t="n">
        <v>0</v>
      </c>
      <c r="F45" s="24" t="n">
        <v>0</v>
      </c>
      <c r="G45" s="24" t="n">
        <v>0</v>
      </c>
      <c r="H45" s="24" t="n">
        <v>3555.47</v>
      </c>
      <c r="I45" s="24" t="n">
        <f aca="false">G45+H45</f>
        <v>3555.47</v>
      </c>
      <c r="J45" s="24" t="n">
        <f aca="false">D45-I45</f>
        <v>209772.98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27526.25</v>
      </c>
      <c r="E46" s="24" t="n">
        <v>0</v>
      </c>
      <c r="F46" s="24" t="n">
        <v>16515.75</v>
      </c>
      <c r="G46" s="24" t="n">
        <v>0</v>
      </c>
      <c r="H46" s="24" t="n">
        <v>16882.77</v>
      </c>
      <c r="I46" s="24" t="n">
        <f aca="false">G46+H46</f>
        <v>16882.77</v>
      </c>
      <c r="J46" s="24" t="n">
        <f aca="false">D46-I46</f>
        <v>10643.48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51611.73</v>
      </c>
      <c r="E47" s="24" t="n">
        <v>0</v>
      </c>
      <c r="F47" s="24" t="n">
        <v>30967.04</v>
      </c>
      <c r="G47" s="24" t="n">
        <v>0</v>
      </c>
      <c r="H47" s="24" t="n">
        <v>35095.98</v>
      </c>
      <c r="I47" s="24" t="n">
        <f aca="false">G47+H47</f>
        <v>35095.98</v>
      </c>
      <c r="J47" s="24" t="n">
        <f aca="false">D47-I47</f>
        <v>16515.75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355971.86</v>
      </c>
      <c r="E48" s="28" t="n">
        <f aca="false">SUM(E42:E47)</f>
        <v>0</v>
      </c>
      <c r="F48" s="28" t="n">
        <f aca="false">SUM(F42:F47)</f>
        <v>57793.08</v>
      </c>
      <c r="G48" s="28" t="n">
        <f aca="false">SUM(G42:G47)</f>
        <v>0</v>
      </c>
      <c r="H48" s="28" t="n">
        <f aca="false">SUM(H42:H47)</f>
        <v>67592.81</v>
      </c>
      <c r="I48" s="28" t="n">
        <f aca="false">SUM(I42:I47)</f>
        <v>67592.81</v>
      </c>
      <c r="J48" s="28" t="n">
        <f aca="false">SUM(J42:J47)</f>
        <v>288379.05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8603.17</v>
      </c>
      <c r="E52" s="24" t="n">
        <v>0</v>
      </c>
      <c r="F52" s="24" t="n">
        <v>5161.9</v>
      </c>
      <c r="G52" s="24" t="n">
        <v>0</v>
      </c>
      <c r="H52" s="24" t="n">
        <v>5850.15</v>
      </c>
      <c r="I52" s="24" t="n">
        <f aca="false">G52+H52</f>
        <v>5850.15</v>
      </c>
      <c r="J52" s="24" t="n">
        <f aca="false">D52-I52</f>
        <v>2753.02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37718.44</v>
      </c>
      <c r="E53" s="24" t="n">
        <v>0</v>
      </c>
      <c r="F53" s="24" t="n">
        <v>0</v>
      </c>
      <c r="G53" s="24" t="n">
        <v>0</v>
      </c>
      <c r="H53" s="24" t="n">
        <v>628.64</v>
      </c>
      <c r="I53" s="24" t="n">
        <f aca="false">G53+H53</f>
        <v>628.64</v>
      </c>
      <c r="J53" s="24" t="n">
        <f aca="false">D53-I53</f>
        <v>37089.8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1110.08</v>
      </c>
      <c r="E54" s="24" t="n">
        <v>0</v>
      </c>
      <c r="F54" s="24" t="n">
        <v>666.05</v>
      </c>
      <c r="G54" s="24" t="n">
        <v>0</v>
      </c>
      <c r="H54" s="24" t="n">
        <v>754.86</v>
      </c>
      <c r="I54" s="24" t="n">
        <f aca="false">G54+H54</f>
        <v>754.86</v>
      </c>
      <c r="J54" s="24" t="n">
        <f aca="false">D54-I54</f>
        <v>355.22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4866.89</v>
      </c>
      <c r="E55" s="24" t="n">
        <v>0</v>
      </c>
      <c r="F55" s="24" t="n">
        <v>0</v>
      </c>
      <c r="G55" s="24" t="n">
        <v>0</v>
      </c>
      <c r="H55" s="24" t="n">
        <v>81.11</v>
      </c>
      <c r="I55" s="24" t="n">
        <f aca="false">G55+H55</f>
        <v>81.11</v>
      </c>
      <c r="J55" s="24" t="n">
        <f aca="false">D55-I55</f>
        <v>4785.78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2081.41</v>
      </c>
      <c r="E56" s="24" t="n">
        <v>0</v>
      </c>
      <c r="F56" s="24" t="n">
        <v>1248.85</v>
      </c>
      <c r="G56" s="24" t="n">
        <v>0</v>
      </c>
      <c r="H56" s="24" t="n">
        <v>1415.36</v>
      </c>
      <c r="I56" s="24" t="n">
        <f aca="false">G56+H56</f>
        <v>1415.36</v>
      </c>
      <c r="J56" s="24" t="n">
        <f aca="false">D56-I56</f>
        <v>666.05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9125.44</v>
      </c>
      <c r="E57" s="24" t="n">
        <v>0</v>
      </c>
      <c r="F57" s="24" t="n">
        <v>0</v>
      </c>
      <c r="G57" s="24" t="n">
        <v>0</v>
      </c>
      <c r="H57" s="24" t="n">
        <v>152.09</v>
      </c>
      <c r="I57" s="24" t="n">
        <f aca="false">G57+H57</f>
        <v>152.09</v>
      </c>
      <c r="J57" s="24" t="n">
        <f aca="false">D57-I57</f>
        <v>8973.35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39620.83</v>
      </c>
      <c r="E58" s="24" t="n">
        <v>0</v>
      </c>
      <c r="F58" s="24" t="n">
        <v>23772.5</v>
      </c>
      <c r="G58" s="24" t="n">
        <v>0</v>
      </c>
      <c r="H58" s="24" t="n">
        <v>26942.17</v>
      </c>
      <c r="I58" s="24" t="n">
        <f aca="false">G58+H58</f>
        <v>26942.17</v>
      </c>
      <c r="J58" s="24" t="n">
        <f aca="false">D58-I58</f>
        <v>12678.66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173707.62</v>
      </c>
      <c r="E59" s="24" t="n">
        <v>0</v>
      </c>
      <c r="F59" s="24" t="n">
        <v>0</v>
      </c>
      <c r="G59" s="24" t="n">
        <v>0</v>
      </c>
      <c r="H59" s="24" t="n">
        <v>2895.13</v>
      </c>
      <c r="I59" s="24" t="n">
        <f aca="false">G59+H59</f>
        <v>2895.13</v>
      </c>
      <c r="J59" s="24" t="n">
        <f aca="false">D59-I59</f>
        <v>170812.49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5112.36</v>
      </c>
      <c r="E60" s="24" t="n">
        <v>0</v>
      </c>
      <c r="F60" s="24" t="n">
        <v>3067.42</v>
      </c>
      <c r="G60" s="24" t="n">
        <v>0</v>
      </c>
      <c r="H60" s="24" t="n">
        <v>3476.41</v>
      </c>
      <c r="I60" s="24" t="n">
        <f aca="false">G60+H60</f>
        <v>3476.41</v>
      </c>
      <c r="J60" s="24" t="n">
        <f aca="false">D60-I60</f>
        <v>1635.95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22413.89</v>
      </c>
      <c r="E61" s="24" t="n">
        <v>0</v>
      </c>
      <c r="F61" s="24" t="n">
        <v>0</v>
      </c>
      <c r="G61" s="24" t="n">
        <v>0</v>
      </c>
      <c r="H61" s="24" t="n">
        <v>373.56</v>
      </c>
      <c r="I61" s="24" t="n">
        <f aca="false">G61+H61</f>
        <v>373.56</v>
      </c>
      <c r="J61" s="24" t="n">
        <f aca="false">D61-I61</f>
        <v>22040.33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9585.69</v>
      </c>
      <c r="E62" s="24" t="n">
        <v>0</v>
      </c>
      <c r="F62" s="24" t="n">
        <v>5751.41</v>
      </c>
      <c r="G62" s="24" t="n">
        <v>0</v>
      </c>
      <c r="H62" s="24" t="n">
        <v>6518.27</v>
      </c>
      <c r="I62" s="24" t="n">
        <f aca="false">G62+H62</f>
        <v>6518.27</v>
      </c>
      <c r="J62" s="24" t="n">
        <f aca="false">D62-I62</f>
        <v>3067.42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42026.04</v>
      </c>
      <c r="E63" s="24" t="n">
        <v>0</v>
      </c>
      <c r="F63" s="24" t="n">
        <v>0</v>
      </c>
      <c r="G63" s="24" t="n">
        <v>0</v>
      </c>
      <c r="H63" s="24" t="n">
        <v>700.43</v>
      </c>
      <c r="I63" s="24" t="n">
        <f aca="false">G63+H63</f>
        <v>700.43</v>
      </c>
      <c r="J63" s="24" t="n">
        <f aca="false">D63-I63</f>
        <v>41325.61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355971.86</v>
      </c>
      <c r="E64" s="28" t="n">
        <f aca="false">SUM(E52:E63)</f>
        <v>0</v>
      </c>
      <c r="F64" s="28" t="n">
        <f aca="false">SUM(F52:F63)</f>
        <v>39668.13</v>
      </c>
      <c r="G64" s="28" t="n">
        <f aca="false">SUM(G52:G63)</f>
        <v>0</v>
      </c>
      <c r="H64" s="28" t="n">
        <f aca="false">SUM(H52:H63)</f>
        <v>49788.18</v>
      </c>
      <c r="I64" s="28" t="n">
        <f aca="false">SUM(I52:I63)</f>
        <v>49788.18</v>
      </c>
      <c r="J64" s="28" t="n">
        <f aca="false">SUM(J52:J63)</f>
        <v>306183.68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67592.81</v>
      </c>
    </row>
    <row r="68" customFormat="false" ht="15" hidden="false" customHeight="false" outlineLevel="0" collapsed="false">
      <c r="B68" s="5" t="s">
        <v>97</v>
      </c>
      <c r="D68" s="6" t="n">
        <f aca="false">I64</f>
        <v>49788.18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17804.63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D112</f>
        <v>355971.86</v>
      </c>
    </row>
    <row r="73" customFormat="false" ht="15" hidden="false" customHeight="false" outlineLevel="0" collapsed="false">
      <c r="B73" s="5" t="s">
        <v>106</v>
      </c>
      <c r="D73" s="6" t="n">
        <f aca="false">F112</f>
        <v>66113.54</v>
      </c>
    </row>
    <row r="74" customFormat="false" ht="15" hidden="false" customHeight="false" outlineLevel="0" collapsed="false">
      <c r="B74" s="30" t="s">
        <v>107</v>
      </c>
      <c r="D74" s="31" t="n">
        <f aca="false">F113</f>
        <v>0.185726871781382</v>
      </c>
    </row>
    <row r="75" customFormat="false" ht="15" hidden="false" customHeight="false" outlineLevel="0" collapsed="false">
      <c r="B75" s="5" t="s">
        <v>109</v>
      </c>
      <c r="D75" s="6" t="n">
        <f aca="false">H112</f>
        <v>289858.32</v>
      </c>
    </row>
    <row r="76" customFormat="false" ht="15" hidden="false" customHeight="false" outlineLevel="0" collapsed="false">
      <c r="B76" s="30" t="s">
        <v>107</v>
      </c>
      <c r="D76" s="31" t="n">
        <f aca="false">H113</f>
        <v>0.814273128218618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15245.45</v>
      </c>
      <c r="F81" s="33" t="n">
        <v>15245.45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5405.24</v>
      </c>
      <c r="F82" s="33" t="n">
        <v>5405.24</v>
      </c>
    </row>
    <row r="83" customFormat="false" ht="15" hidden="false" customHeight="false" outlineLevel="0" collapsed="false">
      <c r="B83" s="5" t="s">
        <v>175</v>
      </c>
      <c r="D83" s="33" t="n">
        <f aca="false">SUM(F83:H83)</f>
        <v>1061.02</v>
      </c>
      <c r="F83" s="33" t="n">
        <v>1061.02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19807.88</v>
      </c>
      <c r="F84" s="33" t="n">
        <v>19807.88</v>
      </c>
    </row>
    <row r="85" customFormat="false" ht="15" hidden="false" customHeight="false" outlineLevel="0" collapsed="false">
      <c r="B85" s="5" t="s">
        <v>176</v>
      </c>
      <c r="D85" s="33" t="n">
        <f aca="false">SUM(F85:H85)</f>
        <v>164.32</v>
      </c>
      <c r="F85" s="33" t="n">
        <v>164.32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4912.76</v>
      </c>
      <c r="F86" s="33" t="n">
        <v>4912.76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135.16</v>
      </c>
      <c r="F87" s="33" t="n">
        <v>135.16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3139.57</v>
      </c>
      <c r="F88" s="33" t="n">
        <v>3139.57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2579.47</v>
      </c>
      <c r="F89" s="33" t="n">
        <v>2579.47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5742.77</v>
      </c>
      <c r="F90" s="33" t="n">
        <v>5742.77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2198.15</v>
      </c>
      <c r="F91" s="33" t="n">
        <v>2198.15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93.04</v>
      </c>
      <c r="F92" s="33" t="n">
        <v>93.04</v>
      </c>
    </row>
    <row r="93" customFormat="false" ht="15" hidden="false" customHeight="false" outlineLevel="0" collapsed="false">
      <c r="B93" s="5" t="s">
        <v>154</v>
      </c>
      <c r="D93" s="33" t="n">
        <f aca="false">SUM(F93:H93)</f>
        <v>674.26</v>
      </c>
      <c r="F93" s="33" t="n">
        <v>674.26</v>
      </c>
    </row>
    <row r="94" customFormat="false" ht="15" hidden="false" customHeight="false" outlineLevel="0" collapsed="false">
      <c r="B94" s="5" t="s">
        <v>155</v>
      </c>
      <c r="D94" s="33" t="n">
        <f aca="false">SUM(F94:H94)</f>
        <v>4954.45</v>
      </c>
      <c r="F94" s="33" t="n">
        <v>4954.45</v>
      </c>
    </row>
    <row r="95" customFormat="false" ht="15" hidden="false" customHeight="false" outlineLevel="0" collapsed="false">
      <c r="B95" s="32" t="s">
        <v>135</v>
      </c>
    </row>
    <row r="96" customFormat="false" ht="15" hidden="false" customHeight="false" outlineLevel="0" collapsed="false">
      <c r="B96" s="5" t="s">
        <v>156</v>
      </c>
      <c r="D96" s="33" t="n">
        <f aca="false">SUM(F96:H96)</f>
        <v>16518.85</v>
      </c>
      <c r="H96" s="33" t="n">
        <v>16518.85</v>
      </c>
    </row>
    <row r="97" customFormat="false" ht="15" hidden="false" customHeight="false" outlineLevel="0" collapsed="false">
      <c r="B97" s="5" t="s">
        <v>157</v>
      </c>
      <c r="D97" s="33" t="n">
        <f aca="false">SUM(F97:H97)</f>
        <v>19369.96</v>
      </c>
      <c r="H97" s="33" t="n">
        <v>19369.96</v>
      </c>
    </row>
    <row r="98" customFormat="false" ht="15" hidden="false" customHeight="false" outlineLevel="0" collapsed="false">
      <c r="B98" s="5" t="s">
        <v>158</v>
      </c>
      <c r="D98" s="33" t="n">
        <f aca="false">SUM(F98:H98)</f>
        <v>29035.62</v>
      </c>
      <c r="H98" s="33" t="n">
        <v>29035.62</v>
      </c>
    </row>
    <row r="99" customFormat="false" ht="15" hidden="false" customHeight="false" outlineLevel="0" collapsed="false">
      <c r="B99" s="5" t="s">
        <v>159</v>
      </c>
      <c r="D99" s="33" t="n">
        <f aca="false">SUM(F99:H99)</f>
        <v>31380.68</v>
      </c>
      <c r="H99" s="33" t="n">
        <v>31380.68</v>
      </c>
    </row>
    <row r="100" customFormat="false" ht="15" hidden="false" customHeight="false" outlineLevel="0" collapsed="false">
      <c r="B100" s="5" t="s">
        <v>160</v>
      </c>
      <c r="D100" s="33" t="n">
        <f aca="false">SUM(F100:H100)</f>
        <v>25240.5</v>
      </c>
      <c r="H100" s="33" t="n">
        <v>25240.5</v>
      </c>
    </row>
    <row r="101" customFormat="false" ht="15" hidden="false" customHeight="false" outlineLevel="0" collapsed="false">
      <c r="B101" s="5" t="s">
        <v>161</v>
      </c>
      <c r="D101" s="33" t="n">
        <f aca="false">SUM(F101:H101)</f>
        <v>2014.37</v>
      </c>
      <c r="H101" s="33" t="n">
        <v>2014.37</v>
      </c>
    </row>
    <row r="102" customFormat="false" ht="15" hidden="false" customHeight="false" outlineLevel="0" collapsed="false">
      <c r="B102" s="5" t="s">
        <v>162</v>
      </c>
      <c r="D102" s="33" t="n">
        <f aca="false">SUM(F102:H102)</f>
        <v>12011.3</v>
      </c>
      <c r="H102" s="33" t="n">
        <v>12011.3</v>
      </c>
    </row>
    <row r="103" customFormat="false" ht="15" hidden="false" customHeight="false" outlineLevel="0" collapsed="false">
      <c r="B103" s="5" t="s">
        <v>163</v>
      </c>
      <c r="D103" s="33" t="n">
        <f aca="false">SUM(F103:H103)</f>
        <v>20767.35</v>
      </c>
      <c r="H103" s="33" t="n">
        <v>20767.35</v>
      </c>
    </row>
    <row r="104" customFormat="false" ht="15" hidden="false" customHeight="false" outlineLevel="0" collapsed="false">
      <c r="B104" s="5" t="s">
        <v>164</v>
      </c>
      <c r="D104" s="33" t="n">
        <f aca="false">SUM(F104:H104)</f>
        <v>9641.98</v>
      </c>
      <c r="H104" s="33" t="n">
        <v>9641.98</v>
      </c>
    </row>
    <row r="105" customFormat="false" ht="15" hidden="false" customHeight="false" outlineLevel="0" collapsed="false">
      <c r="B105" s="5" t="s">
        <v>165</v>
      </c>
      <c r="D105" s="33" t="n">
        <f aca="false">SUM(F105:H105)</f>
        <v>13355.12</v>
      </c>
      <c r="H105" s="33" t="n">
        <v>13355.12</v>
      </c>
    </row>
    <row r="106" customFormat="false" ht="15" hidden="false" customHeight="false" outlineLevel="0" collapsed="false">
      <c r="B106" s="5" t="s">
        <v>166</v>
      </c>
      <c r="D106" s="33" t="n">
        <f aca="false">SUM(F106:H106)</f>
        <v>33315.95</v>
      </c>
      <c r="H106" s="33" t="n">
        <v>33315.95</v>
      </c>
    </row>
    <row r="107" customFormat="false" ht="15" hidden="false" customHeight="false" outlineLevel="0" collapsed="false">
      <c r="B107" s="5" t="s">
        <v>167</v>
      </c>
      <c r="D107" s="33" t="n">
        <f aca="false">SUM(F107:H107)</f>
        <v>14606.85</v>
      </c>
      <c r="H107" s="33" t="n">
        <v>14606.85</v>
      </c>
    </row>
    <row r="108" customFormat="false" ht="15" hidden="false" customHeight="false" outlineLevel="0" collapsed="false">
      <c r="B108" s="5" t="s">
        <v>168</v>
      </c>
      <c r="D108" s="33" t="n">
        <f aca="false">SUM(F108:H108)</f>
        <v>1676.26</v>
      </c>
      <c r="H108" s="33" t="n">
        <v>1676.26</v>
      </c>
    </row>
    <row r="109" customFormat="false" ht="15" hidden="false" customHeight="false" outlineLevel="0" collapsed="false">
      <c r="B109" s="5" t="s">
        <v>169</v>
      </c>
      <c r="D109" s="33" t="n">
        <f aca="false">SUM(F109:H109)</f>
        <v>37091.29</v>
      </c>
      <c r="H109" s="33" t="n">
        <v>37091.29</v>
      </c>
    </row>
    <row r="110" customFormat="false" ht="15" hidden="false" customHeight="false" outlineLevel="0" collapsed="false">
      <c r="B110" s="5" t="s">
        <v>170</v>
      </c>
      <c r="D110" s="33" t="n">
        <f aca="false">SUM(F110:H110)</f>
        <v>18871.74</v>
      </c>
      <c r="H110" s="33" t="n">
        <v>18871.74</v>
      </c>
    </row>
    <row r="111" customFormat="false" ht="15" hidden="false" customHeight="false" outlineLevel="0" collapsed="false">
      <c r="B111" s="5" t="s">
        <v>171</v>
      </c>
      <c r="D111" s="33" t="n">
        <f aca="false">SUM(F111:H111)</f>
        <v>4960.5</v>
      </c>
      <c r="H111" s="33" t="n">
        <v>4960.5</v>
      </c>
    </row>
    <row r="112" customFormat="false" ht="15" hidden="false" customHeight="false" outlineLevel="0" collapsed="false">
      <c r="B112" s="11" t="s">
        <v>105</v>
      </c>
      <c r="D112" s="34" t="n">
        <f aca="false">SUM(D80:D111)</f>
        <v>355971.86</v>
      </c>
      <c r="F112" s="34" t="n">
        <f aca="false">SUM(F80:F111)</f>
        <v>66113.54</v>
      </c>
      <c r="H112" s="34" t="n">
        <f aca="false">SUM(H80:H111)</f>
        <v>289858.32</v>
      </c>
    </row>
    <row r="113" customFormat="false" ht="15" hidden="false" customHeight="false" outlineLevel="0" collapsed="false">
      <c r="B113" s="30" t="s">
        <v>107</v>
      </c>
      <c r="F113" s="31" t="n">
        <f aca="false">F112/D112</f>
        <v>0.185726871781382</v>
      </c>
      <c r="H113" s="31" t="n">
        <f aca="false">H112/D112</f>
        <v>0.814273128218618</v>
      </c>
    </row>
    <row r="115" customFormat="false" ht="15" hidden="false" customHeight="false" outlineLevel="0" collapsed="false">
      <c r="A115" s="10" t="s">
        <v>137</v>
      </c>
    </row>
    <row r="116" customFormat="false" ht="15" hidden="false" customHeight="false" outlineLevel="0" collapsed="false">
      <c r="B116" s="4" t="s">
        <v>138</v>
      </c>
      <c r="D116" s="4" t="s">
        <v>79</v>
      </c>
      <c r="F116" s="4" t="s">
        <v>112</v>
      </c>
      <c r="H116" s="4" t="s">
        <v>114</v>
      </c>
    </row>
    <row r="117" customFormat="false" ht="15" hidden="false" customHeight="false" outlineLevel="0" collapsed="false">
      <c r="B117" s="5" t="str">
        <f aca="false">'Building 9'!B20</f>
        <v>2-Building-712 Northfield Dr - 5 Year</v>
      </c>
      <c r="D117" s="33" t="n">
        <f aca="false">SUM(F117:H117)</f>
        <v>8603.17</v>
      </c>
      <c r="F117" s="33" t="n">
        <f aca="false">'Building 9'!D20</f>
        <v>8603.17</v>
      </c>
    </row>
    <row r="118" customFormat="false" ht="15" hidden="false" customHeight="false" outlineLevel="0" collapsed="false">
      <c r="B118" s="5" t="str">
        <f aca="false">'Building 9'!B21</f>
        <v>2-Building-712 Northfield Dr - 27.5 Year</v>
      </c>
      <c r="D118" s="33" t="n">
        <f aca="false">SUM(F118:H118)</f>
        <v>37718.44</v>
      </c>
      <c r="H118" s="33" t="n">
        <f aca="false">'Building 9'!D21</f>
        <v>37718.44</v>
      </c>
    </row>
    <row r="119" customFormat="false" ht="15" hidden="false" customHeight="false" outlineLevel="0" collapsed="false">
      <c r="B119" s="5" t="str">
        <f aca="false">'Building 9'!B22</f>
        <v>3-Northfield Dr - 5 Year</v>
      </c>
      <c r="D119" s="33" t="n">
        <f aca="false">SUM(F119:H119)</f>
        <v>1110.08</v>
      </c>
      <c r="F119" s="33" t="n">
        <f aca="false">'Building 9'!D22</f>
        <v>1110.08</v>
      </c>
    </row>
    <row r="120" customFormat="false" ht="15" hidden="false" customHeight="false" outlineLevel="0" collapsed="false">
      <c r="B120" s="5" t="str">
        <f aca="false">'Building 9'!B23</f>
        <v>3-Northfield Dr - 27.5 Year</v>
      </c>
      <c r="D120" s="33" t="n">
        <f aca="false">SUM(F120:H120)</f>
        <v>4866.89</v>
      </c>
      <c r="H120" s="33" t="n">
        <f aca="false">'Building 9'!D23</f>
        <v>4866.89</v>
      </c>
    </row>
    <row r="121" customFormat="false" ht="15" hidden="false" customHeight="false" outlineLevel="0" collapsed="false">
      <c r="B121" s="5" t="str">
        <f aca="false">'Building 9'!B24</f>
        <v>4-Northfield Dr - 5 Year</v>
      </c>
      <c r="D121" s="33" t="n">
        <f aca="false">SUM(F121:H121)</f>
        <v>2081.41</v>
      </c>
      <c r="F121" s="33" t="n">
        <f aca="false">'Building 9'!D24</f>
        <v>2081.41</v>
      </c>
    </row>
    <row r="122" customFormat="false" ht="15" hidden="false" customHeight="false" outlineLevel="0" collapsed="false">
      <c r="B122" s="5" t="str">
        <f aca="false">'Building 9'!B25</f>
        <v>4-Northfield Dr - 27.5 Year</v>
      </c>
      <c r="D122" s="33" t="n">
        <f aca="false">SUM(F122:H122)</f>
        <v>9125.44</v>
      </c>
      <c r="H122" s="33" t="n">
        <f aca="false">'Building 9'!D25</f>
        <v>9125.44</v>
      </c>
    </row>
    <row r="123" customFormat="false" ht="15" hidden="false" customHeight="false" outlineLevel="0" collapsed="false">
      <c r="B123" s="5" t="str">
        <f aca="false">'Building 9'!B26</f>
        <v>7-Building-2202 Northview Dr - 5 Year</v>
      </c>
      <c r="D123" s="33" t="n">
        <f aca="false">SUM(F123:H123)</f>
        <v>39620.83</v>
      </c>
      <c r="F123" s="33" t="n">
        <f aca="false">'Building 9'!D26</f>
        <v>39620.83</v>
      </c>
    </row>
    <row r="124" customFormat="false" ht="15" hidden="false" customHeight="false" outlineLevel="0" collapsed="false">
      <c r="B124" s="5" t="str">
        <f aca="false">'Building 9'!B27</f>
        <v>7-Building-2202 Northview Dr - 27.5 Year</v>
      </c>
      <c r="D124" s="33" t="n">
        <f aca="false">SUM(F124:H124)</f>
        <v>173707.62</v>
      </c>
      <c r="H124" s="33" t="n">
        <f aca="false">'Building 9'!D27</f>
        <v>173707.62</v>
      </c>
    </row>
    <row r="125" customFormat="false" ht="15" hidden="false" customHeight="false" outlineLevel="0" collapsed="false">
      <c r="B125" s="5" t="str">
        <f aca="false">'Building 9'!B28</f>
        <v>8-Northiew Dr - 5 Year</v>
      </c>
      <c r="D125" s="33" t="n">
        <f aca="false">SUM(F125:H125)</f>
        <v>5112.36</v>
      </c>
      <c r="F125" s="33" t="n">
        <f aca="false">'Building 9'!D28</f>
        <v>5112.36</v>
      </c>
    </row>
    <row r="126" customFormat="false" ht="15" hidden="false" customHeight="false" outlineLevel="0" collapsed="false">
      <c r="B126" s="5" t="str">
        <f aca="false">'Building 9'!B29</f>
        <v>8-Northiew Dr - 27.5 Year</v>
      </c>
      <c r="D126" s="33" t="n">
        <f aca="false">SUM(F126:H126)</f>
        <v>22413.89</v>
      </c>
      <c r="H126" s="33" t="n">
        <f aca="false">'Building 9'!D29</f>
        <v>22413.89</v>
      </c>
    </row>
    <row r="127" customFormat="false" ht="15" hidden="false" customHeight="false" outlineLevel="0" collapsed="false">
      <c r="B127" s="5" t="str">
        <f aca="false">'Building 9'!B30</f>
        <v>9-Northview Dr - 5 Year</v>
      </c>
      <c r="D127" s="33" t="n">
        <f aca="false">SUM(F127:H127)</f>
        <v>9585.69</v>
      </c>
      <c r="F127" s="33" t="n">
        <f aca="false">'Building 9'!D30</f>
        <v>9585.69</v>
      </c>
    </row>
    <row r="128" customFormat="false" ht="15" hidden="false" customHeight="false" outlineLevel="0" collapsed="false">
      <c r="B128" s="5" t="str">
        <f aca="false">'Building 9'!B31</f>
        <v>9-Northview Dr - 27.5 Year</v>
      </c>
      <c r="D128" s="33" t="n">
        <f aca="false">SUM(F128:H128)</f>
        <v>42026.04</v>
      </c>
      <c r="H128" s="33" t="n">
        <f aca="false">'Building 9'!D31</f>
        <v>42026.04</v>
      </c>
    </row>
    <row r="129" customFormat="false" ht="15" hidden="false" customHeight="false" outlineLevel="0" collapsed="false">
      <c r="B129" s="11" t="s">
        <v>139</v>
      </c>
      <c r="D129" s="34" t="n">
        <f aca="false">SUM(D117:D128)</f>
        <v>355971.86</v>
      </c>
      <c r="F129" s="34" t="n">
        <f aca="false">SUM(F117:F128)</f>
        <v>66113.54</v>
      </c>
      <c r="H129" s="34" t="n">
        <f aca="false">SUM(H117:H128)</f>
        <v>289858.32</v>
      </c>
    </row>
    <row r="130" customFormat="false" ht="15" hidden="false" customHeight="false" outlineLevel="0" collapsed="false">
      <c r="B130" s="16" t="s">
        <v>140</v>
      </c>
      <c r="D130" s="17" t="n">
        <f aca="false">D129-D112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182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27290.76</v>
      </c>
      <c r="E10" s="24" t="n">
        <v>0</v>
      </c>
      <c r="F10" s="24" t="n">
        <v>0</v>
      </c>
      <c r="G10" s="24" t="n">
        <v>0</v>
      </c>
      <c r="H10" s="24" t="n">
        <v>454.85</v>
      </c>
      <c r="I10" s="24" t="n">
        <f aca="false">G10+H10</f>
        <v>454.85</v>
      </c>
      <c r="J10" s="24" t="n">
        <f aca="false">D10-I10</f>
        <v>26835.91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3521.38</v>
      </c>
      <c r="E11" s="24" t="n">
        <v>0</v>
      </c>
      <c r="F11" s="24" t="n">
        <v>2112.83</v>
      </c>
      <c r="G11" s="24" t="n">
        <v>0</v>
      </c>
      <c r="H11" s="24" t="n">
        <v>2159.79</v>
      </c>
      <c r="I11" s="24" t="n">
        <f aca="false">G11+H11</f>
        <v>2159.79</v>
      </c>
      <c r="J11" s="24" t="n">
        <f aca="false">D11-I11</f>
        <v>1361.59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6602.61</v>
      </c>
      <c r="E12" s="24" t="n">
        <v>0</v>
      </c>
      <c r="F12" s="24" t="n">
        <v>3961.57</v>
      </c>
      <c r="G12" s="24" t="n">
        <v>0</v>
      </c>
      <c r="H12" s="24" t="n">
        <v>4489.77</v>
      </c>
      <c r="I12" s="24" t="n">
        <f aca="false">G12+H12</f>
        <v>4489.77</v>
      </c>
      <c r="J12" s="24" t="n">
        <f aca="false">D12-I12</f>
        <v>2112.84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125684.23</v>
      </c>
      <c r="E13" s="24" t="n">
        <v>0</v>
      </c>
      <c r="F13" s="24" t="n">
        <v>0</v>
      </c>
      <c r="G13" s="24" t="n">
        <v>0</v>
      </c>
      <c r="H13" s="24" t="n">
        <v>2094.73</v>
      </c>
      <c r="I13" s="24" t="n">
        <f aca="false">G13+H13</f>
        <v>2094.73</v>
      </c>
      <c r="J13" s="24" t="n">
        <f aca="false">D13-I13</f>
        <v>123589.5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16217.32</v>
      </c>
      <c r="E14" s="24" t="n">
        <v>0</v>
      </c>
      <c r="F14" s="24" t="n">
        <v>9730.39</v>
      </c>
      <c r="G14" s="24" t="n">
        <v>0</v>
      </c>
      <c r="H14" s="24" t="n">
        <v>9946.62</v>
      </c>
      <c r="I14" s="24" t="n">
        <f aca="false">G14+H14</f>
        <v>9946.62</v>
      </c>
      <c r="J14" s="24" t="n">
        <f aca="false">D14-I14</f>
        <v>6270.7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30407.48</v>
      </c>
      <c r="E15" s="24" t="n">
        <v>0</v>
      </c>
      <c r="F15" s="24" t="n">
        <v>18244.49</v>
      </c>
      <c r="G15" s="24" t="n">
        <v>0</v>
      </c>
      <c r="H15" s="24" t="n">
        <v>20677.09</v>
      </c>
      <c r="I15" s="24" t="n">
        <f aca="false">G15+H15</f>
        <v>20677.09</v>
      </c>
      <c r="J15" s="24" t="n">
        <f aca="false">D15-I15</f>
        <v>9730.39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209723.78</v>
      </c>
      <c r="E16" s="28" t="n">
        <f aca="false">SUM(E10:E15)</f>
        <v>0</v>
      </c>
      <c r="F16" s="28" t="n">
        <f aca="false">SUM(F10:F15)</f>
        <v>34049.28</v>
      </c>
      <c r="G16" s="28" t="n">
        <f aca="false">SUM(G10:G15)</f>
        <v>0</v>
      </c>
      <c r="H16" s="28" t="n">
        <f aca="false">SUM(H10:H15)</f>
        <v>39822.85</v>
      </c>
      <c r="I16" s="28" t="n">
        <f aca="false">SUM(I10:I15)</f>
        <v>39822.85</v>
      </c>
      <c r="J16" s="28" t="n">
        <f aca="false">SUM(J10:J15)</f>
        <v>169900.93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5001.64</v>
      </c>
      <c r="E20" s="24" t="n">
        <v>0</v>
      </c>
      <c r="F20" s="24" t="n">
        <v>3000.98</v>
      </c>
      <c r="G20" s="24" t="n">
        <v>0</v>
      </c>
      <c r="H20" s="24" t="n">
        <v>3401.11</v>
      </c>
      <c r="I20" s="24" t="n">
        <f aca="false">G20+H20</f>
        <v>3401.11</v>
      </c>
      <c r="J20" s="24" t="n">
        <f aca="false">D20-I20</f>
        <v>1600.53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22289.12</v>
      </c>
      <c r="E21" s="24" t="n">
        <v>0</v>
      </c>
      <c r="F21" s="24" t="n">
        <v>0</v>
      </c>
      <c r="G21" s="24" t="n">
        <v>0</v>
      </c>
      <c r="H21" s="24" t="n">
        <v>371.49</v>
      </c>
      <c r="I21" s="24" t="n">
        <f aca="false">G21+H21</f>
        <v>371.49</v>
      </c>
      <c r="J21" s="24" t="n">
        <f aca="false">D21-I21</f>
        <v>21917.63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645.37</v>
      </c>
      <c r="E22" s="24" t="n">
        <v>0</v>
      </c>
      <c r="F22" s="24" t="n">
        <v>387.22</v>
      </c>
      <c r="G22" s="24" t="n">
        <v>0</v>
      </c>
      <c r="H22" s="24" t="n">
        <v>438.85</v>
      </c>
      <c r="I22" s="24" t="n">
        <f aca="false">G22+H22</f>
        <v>438.85</v>
      </c>
      <c r="J22" s="24" t="n">
        <f aca="false">D22-I22</f>
        <v>206.52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2876.01</v>
      </c>
      <c r="E23" s="24" t="n">
        <v>0</v>
      </c>
      <c r="F23" s="24" t="n">
        <v>0</v>
      </c>
      <c r="G23" s="24" t="n">
        <v>0</v>
      </c>
      <c r="H23" s="24" t="n">
        <v>47.93</v>
      </c>
      <c r="I23" s="24" t="n">
        <f aca="false">G23+H23</f>
        <v>47.93</v>
      </c>
      <c r="J23" s="24" t="n">
        <f aca="false">D23-I23</f>
        <v>2828.08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1210.08</v>
      </c>
      <c r="E24" s="24" t="n">
        <v>0</v>
      </c>
      <c r="F24" s="24" t="n">
        <v>726.05</v>
      </c>
      <c r="G24" s="24" t="n">
        <v>0</v>
      </c>
      <c r="H24" s="24" t="n">
        <v>822.86</v>
      </c>
      <c r="I24" s="24" t="n">
        <f aca="false">G24+H24</f>
        <v>822.86</v>
      </c>
      <c r="J24" s="24" t="n">
        <f aca="false">D24-I24</f>
        <v>387.22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5392.53</v>
      </c>
      <c r="E25" s="24" t="n">
        <v>0</v>
      </c>
      <c r="F25" s="24" t="n">
        <v>0</v>
      </c>
      <c r="G25" s="24" t="n">
        <v>0</v>
      </c>
      <c r="H25" s="24" t="n">
        <v>89.88</v>
      </c>
      <c r="I25" s="24" t="n">
        <f aca="false">G25+H25</f>
        <v>89.88</v>
      </c>
      <c r="J25" s="24" t="n">
        <f aca="false">D25-I25</f>
        <v>5302.65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23034.43</v>
      </c>
      <c r="E26" s="24" t="n">
        <v>0</v>
      </c>
      <c r="F26" s="24" t="n">
        <v>13820.66</v>
      </c>
      <c r="G26" s="24" t="n">
        <v>0</v>
      </c>
      <c r="H26" s="24" t="n">
        <v>15663.41</v>
      </c>
      <c r="I26" s="24" t="n">
        <f aca="false">G26+H26</f>
        <v>15663.41</v>
      </c>
      <c r="J26" s="24" t="n">
        <f aca="false">D26-I26</f>
        <v>7371.02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102649.8</v>
      </c>
      <c r="E27" s="24" t="n">
        <v>0</v>
      </c>
      <c r="F27" s="24" t="n">
        <v>0</v>
      </c>
      <c r="G27" s="24" t="n">
        <v>0</v>
      </c>
      <c r="H27" s="24" t="n">
        <v>1710.83</v>
      </c>
      <c r="I27" s="24" t="n">
        <f aca="false">G27+H27</f>
        <v>1710.83</v>
      </c>
      <c r="J27" s="24" t="n">
        <f aca="false">D27-I27</f>
        <v>100938.97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2972.18</v>
      </c>
      <c r="E28" s="24" t="n">
        <v>0</v>
      </c>
      <c r="F28" s="24" t="n">
        <v>1783.31</v>
      </c>
      <c r="G28" s="24" t="n">
        <v>0</v>
      </c>
      <c r="H28" s="24" t="n">
        <v>2021.08</v>
      </c>
      <c r="I28" s="24" t="n">
        <f aca="false">G28+H28</f>
        <v>2021.08</v>
      </c>
      <c r="J28" s="24" t="n">
        <f aca="false">D28-I28</f>
        <v>951.1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13245.14</v>
      </c>
      <c r="E29" s="24" t="n">
        <v>0</v>
      </c>
      <c r="F29" s="24" t="n">
        <v>0</v>
      </c>
      <c r="G29" s="24" t="n">
        <v>0</v>
      </c>
      <c r="H29" s="24" t="n">
        <v>220.75</v>
      </c>
      <c r="I29" s="24" t="n">
        <f aca="false">G29+H29</f>
        <v>220.75</v>
      </c>
      <c r="J29" s="24" t="n">
        <f aca="false">D29-I29</f>
        <v>13024.39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5572.85</v>
      </c>
      <c r="E30" s="24" t="n">
        <v>0</v>
      </c>
      <c r="F30" s="24" t="n">
        <v>3343.71</v>
      </c>
      <c r="G30" s="24" t="n">
        <v>0</v>
      </c>
      <c r="H30" s="24" t="n">
        <v>3789.54</v>
      </c>
      <c r="I30" s="24" t="n">
        <f aca="false">G30+H30</f>
        <v>3789.54</v>
      </c>
      <c r="J30" s="24" t="n">
        <f aca="false">D30-I30</f>
        <v>1783.31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24834.63</v>
      </c>
      <c r="E31" s="24" t="n">
        <v>0</v>
      </c>
      <c r="F31" s="24" t="n">
        <v>0</v>
      </c>
      <c r="G31" s="24" t="n">
        <v>0</v>
      </c>
      <c r="H31" s="24" t="n">
        <v>413.91</v>
      </c>
      <c r="I31" s="24" t="n">
        <f aca="false">G31+H31</f>
        <v>413.91</v>
      </c>
      <c r="J31" s="24" t="n">
        <f aca="false">D31-I31</f>
        <v>24420.72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209723.78</v>
      </c>
      <c r="E32" s="28" t="n">
        <f aca="false">SUM(E20:E31)</f>
        <v>0</v>
      </c>
      <c r="F32" s="28" t="n">
        <f aca="false">SUM(F20:F31)</f>
        <v>23061.93</v>
      </c>
      <c r="G32" s="28" t="n">
        <f aca="false">SUM(G20:G31)</f>
        <v>0</v>
      </c>
      <c r="H32" s="28" t="n">
        <f aca="false">SUM(H20:H31)</f>
        <v>28991.64</v>
      </c>
      <c r="I32" s="28" t="n">
        <f aca="false">SUM(I20:I31)</f>
        <v>28991.64</v>
      </c>
      <c r="J32" s="28" t="n">
        <f aca="false">SUM(J20:J31)</f>
        <v>180732.14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39822.85</v>
      </c>
    </row>
    <row r="36" customFormat="false" ht="15" hidden="false" customHeight="false" outlineLevel="0" collapsed="false">
      <c r="B36" s="5" t="s">
        <v>97</v>
      </c>
      <c r="D36" s="6" t="n">
        <f aca="false">I32</f>
        <v>28991.64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10831.21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27290.76</v>
      </c>
      <c r="E42" s="24" t="n">
        <v>0</v>
      </c>
      <c r="F42" s="24" t="n">
        <v>0</v>
      </c>
      <c r="G42" s="24" t="n">
        <v>0</v>
      </c>
      <c r="H42" s="24" t="n">
        <v>454.85</v>
      </c>
      <c r="I42" s="24" t="n">
        <f aca="false">G42+H42</f>
        <v>454.85</v>
      </c>
      <c r="J42" s="24" t="n">
        <f aca="false">D42-I42</f>
        <v>26835.91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3521.38</v>
      </c>
      <c r="E43" s="24" t="n">
        <v>0</v>
      </c>
      <c r="F43" s="24" t="n">
        <v>2112.83</v>
      </c>
      <c r="G43" s="24" t="n">
        <v>0</v>
      </c>
      <c r="H43" s="24" t="n">
        <v>2159.79</v>
      </c>
      <c r="I43" s="24" t="n">
        <f aca="false">G43+H43</f>
        <v>2159.79</v>
      </c>
      <c r="J43" s="24" t="n">
        <f aca="false">D43-I43</f>
        <v>1361.59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6602.61</v>
      </c>
      <c r="E44" s="24" t="n">
        <v>0</v>
      </c>
      <c r="F44" s="24" t="n">
        <v>3961.57</v>
      </c>
      <c r="G44" s="24" t="n">
        <v>0</v>
      </c>
      <c r="H44" s="24" t="n">
        <v>4489.77</v>
      </c>
      <c r="I44" s="24" t="n">
        <f aca="false">G44+H44</f>
        <v>4489.77</v>
      </c>
      <c r="J44" s="24" t="n">
        <f aca="false">D44-I44</f>
        <v>2112.84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125684.23</v>
      </c>
      <c r="E45" s="24" t="n">
        <v>0</v>
      </c>
      <c r="F45" s="24" t="n">
        <v>0</v>
      </c>
      <c r="G45" s="24" t="n">
        <v>0</v>
      </c>
      <c r="H45" s="24" t="n">
        <v>2094.73</v>
      </c>
      <c r="I45" s="24" t="n">
        <f aca="false">G45+H45</f>
        <v>2094.73</v>
      </c>
      <c r="J45" s="24" t="n">
        <f aca="false">D45-I45</f>
        <v>123589.5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16217.32</v>
      </c>
      <c r="E46" s="24" t="n">
        <v>0</v>
      </c>
      <c r="F46" s="24" t="n">
        <v>9730.39</v>
      </c>
      <c r="G46" s="24" t="n">
        <v>0</v>
      </c>
      <c r="H46" s="24" t="n">
        <v>9946.62</v>
      </c>
      <c r="I46" s="24" t="n">
        <f aca="false">G46+H46</f>
        <v>9946.62</v>
      </c>
      <c r="J46" s="24" t="n">
        <f aca="false">D46-I46</f>
        <v>6270.7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30407.48</v>
      </c>
      <c r="E47" s="24" t="n">
        <v>0</v>
      </c>
      <c r="F47" s="24" t="n">
        <v>18244.49</v>
      </c>
      <c r="G47" s="24" t="n">
        <v>0</v>
      </c>
      <c r="H47" s="24" t="n">
        <v>20677.09</v>
      </c>
      <c r="I47" s="24" t="n">
        <f aca="false">G47+H47</f>
        <v>20677.09</v>
      </c>
      <c r="J47" s="24" t="n">
        <f aca="false">D47-I47</f>
        <v>9730.39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209723.78</v>
      </c>
      <c r="E48" s="28" t="n">
        <f aca="false">SUM(E42:E47)</f>
        <v>0</v>
      </c>
      <c r="F48" s="28" t="n">
        <f aca="false">SUM(F42:F47)</f>
        <v>34049.28</v>
      </c>
      <c r="G48" s="28" t="n">
        <f aca="false">SUM(G42:G47)</f>
        <v>0</v>
      </c>
      <c r="H48" s="28" t="n">
        <f aca="false">SUM(H42:H47)</f>
        <v>39822.85</v>
      </c>
      <c r="I48" s="28" t="n">
        <f aca="false">SUM(I42:I47)</f>
        <v>39822.85</v>
      </c>
      <c r="J48" s="28" t="n">
        <f aca="false">SUM(J42:J47)</f>
        <v>169900.93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5001.64</v>
      </c>
      <c r="E52" s="24" t="n">
        <v>0</v>
      </c>
      <c r="F52" s="24" t="n">
        <v>3000.98</v>
      </c>
      <c r="G52" s="24" t="n">
        <v>0</v>
      </c>
      <c r="H52" s="24" t="n">
        <v>3401.11</v>
      </c>
      <c r="I52" s="24" t="n">
        <f aca="false">G52+H52</f>
        <v>3401.11</v>
      </c>
      <c r="J52" s="24" t="n">
        <f aca="false">D52-I52</f>
        <v>1600.53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22289.12</v>
      </c>
      <c r="E53" s="24" t="n">
        <v>0</v>
      </c>
      <c r="F53" s="24" t="n">
        <v>0</v>
      </c>
      <c r="G53" s="24" t="n">
        <v>0</v>
      </c>
      <c r="H53" s="24" t="n">
        <v>371.49</v>
      </c>
      <c r="I53" s="24" t="n">
        <f aca="false">G53+H53</f>
        <v>371.49</v>
      </c>
      <c r="J53" s="24" t="n">
        <f aca="false">D53-I53</f>
        <v>21917.63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645.37</v>
      </c>
      <c r="E54" s="24" t="n">
        <v>0</v>
      </c>
      <c r="F54" s="24" t="n">
        <v>387.22</v>
      </c>
      <c r="G54" s="24" t="n">
        <v>0</v>
      </c>
      <c r="H54" s="24" t="n">
        <v>438.85</v>
      </c>
      <c r="I54" s="24" t="n">
        <f aca="false">G54+H54</f>
        <v>438.85</v>
      </c>
      <c r="J54" s="24" t="n">
        <f aca="false">D54-I54</f>
        <v>206.52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2876.01</v>
      </c>
      <c r="E55" s="24" t="n">
        <v>0</v>
      </c>
      <c r="F55" s="24" t="n">
        <v>0</v>
      </c>
      <c r="G55" s="24" t="n">
        <v>0</v>
      </c>
      <c r="H55" s="24" t="n">
        <v>47.93</v>
      </c>
      <c r="I55" s="24" t="n">
        <f aca="false">G55+H55</f>
        <v>47.93</v>
      </c>
      <c r="J55" s="24" t="n">
        <f aca="false">D55-I55</f>
        <v>2828.08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1210.08</v>
      </c>
      <c r="E56" s="24" t="n">
        <v>0</v>
      </c>
      <c r="F56" s="24" t="n">
        <v>726.05</v>
      </c>
      <c r="G56" s="24" t="n">
        <v>0</v>
      </c>
      <c r="H56" s="24" t="n">
        <v>822.86</v>
      </c>
      <c r="I56" s="24" t="n">
        <f aca="false">G56+H56</f>
        <v>822.86</v>
      </c>
      <c r="J56" s="24" t="n">
        <f aca="false">D56-I56</f>
        <v>387.22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5392.53</v>
      </c>
      <c r="E57" s="24" t="n">
        <v>0</v>
      </c>
      <c r="F57" s="24" t="n">
        <v>0</v>
      </c>
      <c r="G57" s="24" t="n">
        <v>0</v>
      </c>
      <c r="H57" s="24" t="n">
        <v>89.88</v>
      </c>
      <c r="I57" s="24" t="n">
        <f aca="false">G57+H57</f>
        <v>89.88</v>
      </c>
      <c r="J57" s="24" t="n">
        <f aca="false">D57-I57</f>
        <v>5302.65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23034.43</v>
      </c>
      <c r="E58" s="24" t="n">
        <v>0</v>
      </c>
      <c r="F58" s="24" t="n">
        <v>13820.66</v>
      </c>
      <c r="G58" s="24" t="n">
        <v>0</v>
      </c>
      <c r="H58" s="24" t="n">
        <v>15663.41</v>
      </c>
      <c r="I58" s="24" t="n">
        <f aca="false">G58+H58</f>
        <v>15663.41</v>
      </c>
      <c r="J58" s="24" t="n">
        <f aca="false">D58-I58</f>
        <v>7371.02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102649.8</v>
      </c>
      <c r="E59" s="24" t="n">
        <v>0</v>
      </c>
      <c r="F59" s="24" t="n">
        <v>0</v>
      </c>
      <c r="G59" s="24" t="n">
        <v>0</v>
      </c>
      <c r="H59" s="24" t="n">
        <v>1710.83</v>
      </c>
      <c r="I59" s="24" t="n">
        <f aca="false">G59+H59</f>
        <v>1710.83</v>
      </c>
      <c r="J59" s="24" t="n">
        <f aca="false">D59-I59</f>
        <v>100938.97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2972.18</v>
      </c>
      <c r="E60" s="24" t="n">
        <v>0</v>
      </c>
      <c r="F60" s="24" t="n">
        <v>1783.31</v>
      </c>
      <c r="G60" s="24" t="n">
        <v>0</v>
      </c>
      <c r="H60" s="24" t="n">
        <v>2021.08</v>
      </c>
      <c r="I60" s="24" t="n">
        <f aca="false">G60+H60</f>
        <v>2021.08</v>
      </c>
      <c r="J60" s="24" t="n">
        <f aca="false">D60-I60</f>
        <v>951.1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13245.14</v>
      </c>
      <c r="E61" s="24" t="n">
        <v>0</v>
      </c>
      <c r="F61" s="24" t="n">
        <v>0</v>
      </c>
      <c r="G61" s="24" t="n">
        <v>0</v>
      </c>
      <c r="H61" s="24" t="n">
        <v>220.75</v>
      </c>
      <c r="I61" s="24" t="n">
        <f aca="false">G61+H61</f>
        <v>220.75</v>
      </c>
      <c r="J61" s="24" t="n">
        <f aca="false">D61-I61</f>
        <v>13024.39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5572.85</v>
      </c>
      <c r="E62" s="24" t="n">
        <v>0</v>
      </c>
      <c r="F62" s="24" t="n">
        <v>3343.71</v>
      </c>
      <c r="G62" s="24" t="n">
        <v>0</v>
      </c>
      <c r="H62" s="24" t="n">
        <v>3789.54</v>
      </c>
      <c r="I62" s="24" t="n">
        <f aca="false">G62+H62</f>
        <v>3789.54</v>
      </c>
      <c r="J62" s="24" t="n">
        <f aca="false">D62-I62</f>
        <v>1783.31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24834.63</v>
      </c>
      <c r="E63" s="24" t="n">
        <v>0</v>
      </c>
      <c r="F63" s="24" t="n">
        <v>0</v>
      </c>
      <c r="G63" s="24" t="n">
        <v>0</v>
      </c>
      <c r="H63" s="24" t="n">
        <v>413.91</v>
      </c>
      <c r="I63" s="24" t="n">
        <f aca="false">G63+H63</f>
        <v>413.91</v>
      </c>
      <c r="J63" s="24" t="n">
        <f aca="false">D63-I63</f>
        <v>24420.72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209723.78</v>
      </c>
      <c r="E64" s="28" t="n">
        <f aca="false">SUM(E52:E63)</f>
        <v>0</v>
      </c>
      <c r="F64" s="28" t="n">
        <f aca="false">SUM(F52:F63)</f>
        <v>23061.93</v>
      </c>
      <c r="G64" s="28" t="n">
        <f aca="false">SUM(G52:G63)</f>
        <v>0</v>
      </c>
      <c r="H64" s="28" t="n">
        <f aca="false">SUM(H52:H63)</f>
        <v>28991.64</v>
      </c>
      <c r="I64" s="28" t="n">
        <f aca="false">SUM(I52:I63)</f>
        <v>28991.64</v>
      </c>
      <c r="J64" s="28" t="n">
        <f aca="false">SUM(J52:J63)</f>
        <v>180732.14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39822.85</v>
      </c>
    </row>
    <row r="68" customFormat="false" ht="15" hidden="false" customHeight="false" outlineLevel="0" collapsed="false">
      <c r="B68" s="5" t="s">
        <v>97</v>
      </c>
      <c r="D68" s="6" t="n">
        <f aca="false">I64</f>
        <v>28991.64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10831.21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209723.78</v>
      </c>
    </row>
    <row r="73" customFormat="false" ht="15" hidden="false" customHeight="false" outlineLevel="0" collapsed="false">
      <c r="B73" s="5" t="s">
        <v>106</v>
      </c>
      <c r="D73" s="6" t="n">
        <f aca="false">F110</f>
        <v>38436.55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0.183272254581717</v>
      </c>
    </row>
    <row r="75" customFormat="false" ht="15" hidden="false" customHeight="false" outlineLevel="0" collapsed="false">
      <c r="B75" s="5" t="s">
        <v>109</v>
      </c>
      <c r="D75" s="6" t="n">
        <f aca="false">H110</f>
        <v>171287.23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0.816727745418283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8655.83</v>
      </c>
      <c r="F81" s="33" t="n">
        <v>8655.83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3397.22</v>
      </c>
      <c r="F82" s="33" t="n">
        <v>3397.22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12211.66</v>
      </c>
      <c r="F83" s="33" t="n">
        <v>12211.66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2823.29</v>
      </c>
      <c r="F84" s="33" t="n">
        <v>2823.29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90.34</v>
      </c>
      <c r="F85" s="33" t="n">
        <v>90.34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1794.05</v>
      </c>
      <c r="F86" s="33" t="n">
        <v>1794.05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1507.56</v>
      </c>
      <c r="F87" s="33" t="n">
        <v>1507.56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3281.59</v>
      </c>
      <c r="F88" s="33" t="n">
        <v>3281.59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1386.19</v>
      </c>
      <c r="F89" s="33" t="n">
        <v>1386.19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53.16</v>
      </c>
      <c r="F90" s="33" t="n">
        <v>53.16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2831.12</v>
      </c>
      <c r="F92" s="33" t="n">
        <v>2831.12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9211.22</v>
      </c>
      <c r="H94" s="33" t="n">
        <v>9211.22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11470.72</v>
      </c>
      <c r="H95" s="33" t="n">
        <v>11470.72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16969.73</v>
      </c>
      <c r="H96" s="33" t="n">
        <v>16969.73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18340.3</v>
      </c>
      <c r="H97" s="33" t="n">
        <v>18340.3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14751.7</v>
      </c>
      <c r="H98" s="33" t="n">
        <v>14751.7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1388.53</v>
      </c>
      <c r="H99" s="33" t="n">
        <v>1388.53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7649.12</v>
      </c>
      <c r="H100" s="33" t="n">
        <v>7649.12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11108.31</v>
      </c>
      <c r="H101" s="33" t="n">
        <v>11108.31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5556.95</v>
      </c>
      <c r="H102" s="33" t="n">
        <v>5556.95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7805.36</v>
      </c>
      <c r="H103" s="33" t="n">
        <v>7805.36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21030.97</v>
      </c>
      <c r="H104" s="33" t="n">
        <v>21030.97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9062.11</v>
      </c>
      <c r="H105" s="33" t="n">
        <v>9062.11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1169.97</v>
      </c>
      <c r="H106" s="33" t="n">
        <v>1169.97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22012.51</v>
      </c>
      <c r="H107" s="33" t="n">
        <v>22012.51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10783.85</v>
      </c>
      <c r="H108" s="33" t="n">
        <v>10783.85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2975.88</v>
      </c>
      <c r="H109" s="33" t="n">
        <v>2975.88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209723.78</v>
      </c>
      <c r="F110" s="34" t="n">
        <f aca="false">SUM(F80:F109)</f>
        <v>38436.55</v>
      </c>
      <c r="H110" s="34" t="n">
        <f aca="false">SUM(H80:H109)</f>
        <v>171287.23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0.183272254581717</v>
      </c>
      <c r="H111" s="31" t="n">
        <f aca="false">H110/D110</f>
        <v>0.816727745418283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10'!B20</f>
        <v>2-Building-712 Northfield Dr - 5 Year</v>
      </c>
      <c r="D115" s="33" t="n">
        <f aca="false">SUM(F115:H115)</f>
        <v>5001.64</v>
      </c>
      <c r="F115" s="33" t="n">
        <f aca="false">'Building 10'!D20</f>
        <v>5001.64</v>
      </c>
    </row>
    <row r="116" customFormat="false" ht="15" hidden="false" customHeight="false" outlineLevel="0" collapsed="false">
      <c r="B116" s="5" t="str">
        <f aca="false">'Building 10'!B21</f>
        <v>2-Building-712 Northfield Dr - 27.5 Year</v>
      </c>
      <c r="D116" s="33" t="n">
        <f aca="false">SUM(F116:H116)</f>
        <v>22289.12</v>
      </c>
      <c r="H116" s="33" t="n">
        <f aca="false">'Building 10'!D21</f>
        <v>22289.12</v>
      </c>
    </row>
    <row r="117" customFormat="false" ht="15" hidden="false" customHeight="false" outlineLevel="0" collapsed="false">
      <c r="B117" s="5" t="str">
        <f aca="false">'Building 10'!B22</f>
        <v>3-Northfield Dr - 5 Year</v>
      </c>
      <c r="D117" s="33" t="n">
        <f aca="false">SUM(F117:H117)</f>
        <v>645.37</v>
      </c>
      <c r="F117" s="33" t="n">
        <f aca="false">'Building 10'!D22</f>
        <v>645.37</v>
      </c>
    </row>
    <row r="118" customFormat="false" ht="15" hidden="false" customHeight="false" outlineLevel="0" collapsed="false">
      <c r="B118" s="5" t="str">
        <f aca="false">'Building 10'!B23</f>
        <v>3-Northfield Dr - 27.5 Year</v>
      </c>
      <c r="D118" s="33" t="n">
        <f aca="false">SUM(F118:H118)</f>
        <v>2876.01</v>
      </c>
      <c r="H118" s="33" t="n">
        <f aca="false">'Building 10'!D23</f>
        <v>2876.01</v>
      </c>
    </row>
    <row r="119" customFormat="false" ht="15" hidden="false" customHeight="false" outlineLevel="0" collapsed="false">
      <c r="B119" s="5" t="str">
        <f aca="false">'Building 10'!B24</f>
        <v>4-Northfield Dr - 5 Year</v>
      </c>
      <c r="D119" s="33" t="n">
        <f aca="false">SUM(F119:H119)</f>
        <v>1210.08</v>
      </c>
      <c r="F119" s="33" t="n">
        <f aca="false">'Building 10'!D24</f>
        <v>1210.08</v>
      </c>
    </row>
    <row r="120" customFormat="false" ht="15" hidden="false" customHeight="false" outlineLevel="0" collapsed="false">
      <c r="B120" s="5" t="str">
        <f aca="false">'Building 10'!B25</f>
        <v>4-Northfield Dr - 27.5 Year</v>
      </c>
      <c r="D120" s="33" t="n">
        <f aca="false">SUM(F120:H120)</f>
        <v>5392.53</v>
      </c>
      <c r="H120" s="33" t="n">
        <f aca="false">'Building 10'!D25</f>
        <v>5392.53</v>
      </c>
    </row>
    <row r="121" customFormat="false" ht="15" hidden="false" customHeight="false" outlineLevel="0" collapsed="false">
      <c r="B121" s="5" t="str">
        <f aca="false">'Building 10'!B26</f>
        <v>7-Building-2202 Northview Dr - 5 Year</v>
      </c>
      <c r="D121" s="33" t="n">
        <f aca="false">SUM(F121:H121)</f>
        <v>23034.43</v>
      </c>
      <c r="F121" s="33" t="n">
        <f aca="false">'Building 10'!D26</f>
        <v>23034.43</v>
      </c>
    </row>
    <row r="122" customFormat="false" ht="15" hidden="false" customHeight="false" outlineLevel="0" collapsed="false">
      <c r="B122" s="5" t="str">
        <f aca="false">'Building 10'!B27</f>
        <v>7-Building-2202 Northview Dr - 27.5 Year</v>
      </c>
      <c r="D122" s="33" t="n">
        <f aca="false">SUM(F122:H122)</f>
        <v>102649.8</v>
      </c>
      <c r="H122" s="33" t="n">
        <f aca="false">'Building 10'!D27</f>
        <v>102649.8</v>
      </c>
    </row>
    <row r="123" customFormat="false" ht="15" hidden="false" customHeight="false" outlineLevel="0" collapsed="false">
      <c r="B123" s="5" t="str">
        <f aca="false">'Building 10'!B28</f>
        <v>8-Northiew Dr - 5 Year</v>
      </c>
      <c r="D123" s="33" t="n">
        <f aca="false">SUM(F123:H123)</f>
        <v>2972.18</v>
      </c>
      <c r="F123" s="33" t="n">
        <f aca="false">'Building 10'!D28</f>
        <v>2972.18</v>
      </c>
    </row>
    <row r="124" customFormat="false" ht="15" hidden="false" customHeight="false" outlineLevel="0" collapsed="false">
      <c r="B124" s="5" t="str">
        <f aca="false">'Building 10'!B29</f>
        <v>8-Northiew Dr - 27.5 Year</v>
      </c>
      <c r="D124" s="33" t="n">
        <f aca="false">SUM(F124:H124)</f>
        <v>13245.14</v>
      </c>
      <c r="H124" s="33" t="n">
        <f aca="false">'Building 10'!D29</f>
        <v>13245.14</v>
      </c>
    </row>
    <row r="125" customFormat="false" ht="15" hidden="false" customHeight="false" outlineLevel="0" collapsed="false">
      <c r="B125" s="5" t="str">
        <f aca="false">'Building 10'!B30</f>
        <v>9-Northview Dr - 5 Year</v>
      </c>
      <c r="D125" s="33" t="n">
        <f aca="false">SUM(F125:H125)</f>
        <v>5572.85</v>
      </c>
      <c r="F125" s="33" t="n">
        <f aca="false">'Building 10'!D30</f>
        <v>5572.85</v>
      </c>
    </row>
    <row r="126" customFormat="false" ht="15" hidden="false" customHeight="false" outlineLevel="0" collapsed="false">
      <c r="B126" s="5" t="str">
        <f aca="false">'Building 10'!B31</f>
        <v>9-Northview Dr - 27.5 Year</v>
      </c>
      <c r="D126" s="33" t="n">
        <f aca="false">SUM(F126:H126)</f>
        <v>24834.63</v>
      </c>
      <c r="H126" s="33" t="n">
        <f aca="false">'Building 10'!D31</f>
        <v>24834.63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209723.78</v>
      </c>
      <c r="F127" s="34" t="n">
        <f aca="false">SUM(F115:F126)</f>
        <v>38436.55</v>
      </c>
      <c r="H127" s="34" t="n">
        <f aca="false">SUM(H115:H126)</f>
        <v>171287.23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183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60219.73</v>
      </c>
      <c r="E10" s="24" t="n">
        <v>0</v>
      </c>
      <c r="F10" s="24" t="n">
        <v>0</v>
      </c>
      <c r="G10" s="24" t="n">
        <v>0</v>
      </c>
      <c r="H10" s="24" t="n">
        <v>1003.68</v>
      </c>
      <c r="I10" s="24" t="n">
        <f aca="false">G10+H10</f>
        <v>1003.68</v>
      </c>
      <c r="J10" s="24" t="n">
        <f aca="false">D10-I10</f>
        <v>59216.05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7770.26</v>
      </c>
      <c r="E11" s="24" t="n">
        <v>0</v>
      </c>
      <c r="F11" s="24" t="n">
        <v>4662.16</v>
      </c>
      <c r="G11" s="24" t="n">
        <v>0</v>
      </c>
      <c r="H11" s="24" t="n">
        <v>4765.79</v>
      </c>
      <c r="I11" s="24" t="n">
        <f aca="false">G11+H11</f>
        <v>4765.79</v>
      </c>
      <c r="J11" s="24" t="n">
        <f aca="false">D11-I11</f>
        <v>3004.47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14569.3</v>
      </c>
      <c r="E12" s="24" t="n">
        <v>0</v>
      </c>
      <c r="F12" s="24" t="n">
        <v>8741.58</v>
      </c>
      <c r="G12" s="24" t="n">
        <v>0</v>
      </c>
      <c r="H12" s="24" t="n">
        <v>9907.12</v>
      </c>
      <c r="I12" s="24" t="n">
        <f aca="false">G12+H12</f>
        <v>9907.12</v>
      </c>
      <c r="J12" s="24" t="n">
        <f aca="false">D12-I12</f>
        <v>4662.18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277334.53</v>
      </c>
      <c r="E13" s="24" t="n">
        <v>0</v>
      </c>
      <c r="F13" s="24" t="n">
        <v>0</v>
      </c>
      <c r="G13" s="24" t="n">
        <v>0</v>
      </c>
      <c r="H13" s="24" t="n">
        <v>4622.23</v>
      </c>
      <c r="I13" s="24" t="n">
        <f aca="false">G13+H13</f>
        <v>4622.23</v>
      </c>
      <c r="J13" s="24" t="n">
        <f aca="false">D13-I13</f>
        <v>272712.3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35785.1</v>
      </c>
      <c r="E14" s="24" t="n">
        <v>0</v>
      </c>
      <c r="F14" s="24" t="n">
        <v>21471.06</v>
      </c>
      <c r="G14" s="24" t="n">
        <v>0</v>
      </c>
      <c r="H14" s="24" t="n">
        <v>21948.19</v>
      </c>
      <c r="I14" s="24" t="n">
        <f aca="false">G14+H14</f>
        <v>21948.19</v>
      </c>
      <c r="J14" s="24" t="n">
        <f aca="false">D14-I14</f>
        <v>13836.91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67097.08</v>
      </c>
      <c r="E15" s="24" t="n">
        <v>0</v>
      </c>
      <c r="F15" s="24" t="n">
        <v>40258.25</v>
      </c>
      <c r="G15" s="24" t="n">
        <v>0</v>
      </c>
      <c r="H15" s="24" t="n">
        <v>45626.02</v>
      </c>
      <c r="I15" s="24" t="n">
        <f aca="false">G15+H15</f>
        <v>45626.02</v>
      </c>
      <c r="J15" s="24" t="n">
        <f aca="false">D15-I15</f>
        <v>21471.06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462776</v>
      </c>
      <c r="E16" s="28" t="n">
        <f aca="false">SUM(E10:E15)</f>
        <v>0</v>
      </c>
      <c r="F16" s="28" t="n">
        <f aca="false">SUM(F10:F15)</f>
        <v>75133.05</v>
      </c>
      <c r="G16" s="28" t="n">
        <f aca="false">SUM(G10:G15)</f>
        <v>0</v>
      </c>
      <c r="H16" s="28" t="n">
        <f aca="false">SUM(H10:H15)</f>
        <v>87873.03</v>
      </c>
      <c r="I16" s="28" t="n">
        <f aca="false">SUM(I10:I15)</f>
        <v>87873.03</v>
      </c>
      <c r="J16" s="28" t="n">
        <f aca="false">SUM(J10:J15)</f>
        <v>374902.97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11223.57</v>
      </c>
      <c r="E20" s="24" t="n">
        <v>0</v>
      </c>
      <c r="F20" s="24" t="n">
        <v>6734.14</v>
      </c>
      <c r="G20" s="24" t="n">
        <v>0</v>
      </c>
      <c r="H20" s="24" t="n">
        <v>7632.03</v>
      </c>
      <c r="I20" s="24" t="n">
        <f aca="false">G20+H20</f>
        <v>7632.03</v>
      </c>
      <c r="J20" s="24" t="n">
        <f aca="false">D20-I20</f>
        <v>3591.54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48996.16</v>
      </c>
      <c r="E21" s="24" t="n">
        <v>0</v>
      </c>
      <c r="F21" s="24" t="n">
        <v>0</v>
      </c>
      <c r="G21" s="24" t="n">
        <v>0</v>
      </c>
      <c r="H21" s="24" t="n">
        <v>816.6</v>
      </c>
      <c r="I21" s="24" t="n">
        <f aca="false">G21+H21</f>
        <v>816.6</v>
      </c>
      <c r="J21" s="24" t="n">
        <f aca="false">D21-I21</f>
        <v>48179.56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1448.2</v>
      </c>
      <c r="E22" s="24" t="n">
        <v>0</v>
      </c>
      <c r="F22" s="24" t="n">
        <v>868.92</v>
      </c>
      <c r="G22" s="24" t="n">
        <v>0</v>
      </c>
      <c r="H22" s="24" t="n">
        <v>984.78</v>
      </c>
      <c r="I22" s="24" t="n">
        <f aca="false">G22+H22</f>
        <v>984.78</v>
      </c>
      <c r="J22" s="24" t="n">
        <f aca="false">D22-I22</f>
        <v>463.42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6322.06</v>
      </c>
      <c r="E23" s="24" t="n">
        <v>0</v>
      </c>
      <c r="F23" s="24" t="n">
        <v>0</v>
      </c>
      <c r="G23" s="24" t="n">
        <v>0</v>
      </c>
      <c r="H23" s="24" t="n">
        <v>105.37</v>
      </c>
      <c r="I23" s="24" t="n">
        <f aca="false">G23+H23</f>
        <v>105.37</v>
      </c>
      <c r="J23" s="24" t="n">
        <f aca="false">D23-I23</f>
        <v>6216.69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2715.38</v>
      </c>
      <c r="E24" s="24" t="n">
        <v>0</v>
      </c>
      <c r="F24" s="24" t="n">
        <v>1629.23</v>
      </c>
      <c r="G24" s="24" t="n">
        <v>0</v>
      </c>
      <c r="H24" s="24" t="n">
        <v>1846.46</v>
      </c>
      <c r="I24" s="24" t="n">
        <f aca="false">G24+H24</f>
        <v>1846.46</v>
      </c>
      <c r="J24" s="24" t="n">
        <f aca="false">D24-I24</f>
        <v>868.92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11853.92</v>
      </c>
      <c r="E25" s="24" t="n">
        <v>0</v>
      </c>
      <c r="F25" s="24" t="n">
        <v>0</v>
      </c>
      <c r="G25" s="24" t="n">
        <v>0</v>
      </c>
      <c r="H25" s="24" t="n">
        <v>197.57</v>
      </c>
      <c r="I25" s="24" t="n">
        <f aca="false">G25+H25</f>
        <v>197.57</v>
      </c>
      <c r="J25" s="24" t="n">
        <f aca="false">D25-I25</f>
        <v>11656.35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51688.76</v>
      </c>
      <c r="E26" s="24" t="n">
        <v>0</v>
      </c>
      <c r="F26" s="24" t="n">
        <v>31013.26</v>
      </c>
      <c r="G26" s="24" t="n">
        <v>0</v>
      </c>
      <c r="H26" s="24" t="n">
        <v>35148.36</v>
      </c>
      <c r="I26" s="24" t="n">
        <f aca="false">G26+H26</f>
        <v>35148.36</v>
      </c>
      <c r="J26" s="24" t="n">
        <f aca="false">D26-I26</f>
        <v>16540.4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225645.77</v>
      </c>
      <c r="E27" s="24" t="n">
        <v>0</v>
      </c>
      <c r="F27" s="24" t="n">
        <v>0</v>
      </c>
      <c r="G27" s="24" t="n">
        <v>0</v>
      </c>
      <c r="H27" s="24" t="n">
        <v>3760.76</v>
      </c>
      <c r="I27" s="24" t="n">
        <f aca="false">G27+H27</f>
        <v>3760.76</v>
      </c>
      <c r="J27" s="24" t="n">
        <f aca="false">D27-I27</f>
        <v>221885.01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6669.52</v>
      </c>
      <c r="E28" s="24" t="n">
        <v>0</v>
      </c>
      <c r="F28" s="24" t="n">
        <v>4001.71</v>
      </c>
      <c r="G28" s="24" t="n">
        <v>0</v>
      </c>
      <c r="H28" s="24" t="n">
        <v>4535.27</v>
      </c>
      <c r="I28" s="24" t="n">
        <f aca="false">G28+H28</f>
        <v>4535.27</v>
      </c>
      <c r="J28" s="24" t="n">
        <f aca="false">D28-I28</f>
        <v>2134.25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29115.58</v>
      </c>
      <c r="E29" s="24" t="n">
        <v>0</v>
      </c>
      <c r="F29" s="24" t="n">
        <v>0</v>
      </c>
      <c r="G29" s="24" t="n">
        <v>0</v>
      </c>
      <c r="H29" s="24" t="n">
        <v>485.26</v>
      </c>
      <c r="I29" s="24" t="n">
        <f aca="false">G29+H29</f>
        <v>485.26</v>
      </c>
      <c r="J29" s="24" t="n">
        <f aca="false">D29-I29</f>
        <v>28630.32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12505.34</v>
      </c>
      <c r="E30" s="24" t="n">
        <v>0</v>
      </c>
      <c r="F30" s="24" t="n">
        <v>7503.2</v>
      </c>
      <c r="G30" s="24" t="n">
        <v>0</v>
      </c>
      <c r="H30" s="24" t="n">
        <v>8503.63</v>
      </c>
      <c r="I30" s="24" t="n">
        <f aca="false">G30+H30</f>
        <v>8503.63</v>
      </c>
      <c r="J30" s="24" t="n">
        <f aca="false">D30-I30</f>
        <v>4001.71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54591.74</v>
      </c>
      <c r="E31" s="24" t="n">
        <v>0</v>
      </c>
      <c r="F31" s="24" t="n">
        <v>0</v>
      </c>
      <c r="G31" s="24" t="n">
        <v>0</v>
      </c>
      <c r="H31" s="24" t="n">
        <v>909.86</v>
      </c>
      <c r="I31" s="24" t="n">
        <f aca="false">G31+H31</f>
        <v>909.86</v>
      </c>
      <c r="J31" s="24" t="n">
        <f aca="false">D31-I31</f>
        <v>53681.88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462776</v>
      </c>
      <c r="E32" s="28" t="n">
        <f aca="false">SUM(E20:E31)</f>
        <v>0</v>
      </c>
      <c r="F32" s="28" t="n">
        <f aca="false">SUM(F20:F31)</f>
        <v>51750.46</v>
      </c>
      <c r="G32" s="28" t="n">
        <f aca="false">SUM(G20:G31)</f>
        <v>0</v>
      </c>
      <c r="H32" s="28" t="n">
        <f aca="false">SUM(H20:H31)</f>
        <v>64925.95</v>
      </c>
      <c r="I32" s="28" t="n">
        <f aca="false">SUM(I20:I31)</f>
        <v>64925.95</v>
      </c>
      <c r="J32" s="28" t="n">
        <f aca="false">SUM(J20:J31)</f>
        <v>397850.05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87873.03</v>
      </c>
    </row>
    <row r="36" customFormat="false" ht="15" hidden="false" customHeight="false" outlineLevel="0" collapsed="false">
      <c r="B36" s="5" t="s">
        <v>97</v>
      </c>
      <c r="D36" s="6" t="n">
        <f aca="false">I32</f>
        <v>64925.95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22947.08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60219.73</v>
      </c>
      <c r="E42" s="24" t="n">
        <v>0</v>
      </c>
      <c r="F42" s="24" t="n">
        <v>0</v>
      </c>
      <c r="G42" s="24" t="n">
        <v>0</v>
      </c>
      <c r="H42" s="24" t="n">
        <v>1003.68</v>
      </c>
      <c r="I42" s="24" t="n">
        <f aca="false">G42+H42</f>
        <v>1003.68</v>
      </c>
      <c r="J42" s="24" t="n">
        <f aca="false">D42-I42</f>
        <v>59216.05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7770.26</v>
      </c>
      <c r="E43" s="24" t="n">
        <v>0</v>
      </c>
      <c r="F43" s="24" t="n">
        <v>4662.16</v>
      </c>
      <c r="G43" s="24" t="n">
        <v>0</v>
      </c>
      <c r="H43" s="24" t="n">
        <v>4765.79</v>
      </c>
      <c r="I43" s="24" t="n">
        <f aca="false">G43+H43</f>
        <v>4765.79</v>
      </c>
      <c r="J43" s="24" t="n">
        <f aca="false">D43-I43</f>
        <v>3004.47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14569.3</v>
      </c>
      <c r="E44" s="24" t="n">
        <v>0</v>
      </c>
      <c r="F44" s="24" t="n">
        <v>8741.58</v>
      </c>
      <c r="G44" s="24" t="n">
        <v>0</v>
      </c>
      <c r="H44" s="24" t="n">
        <v>9907.12</v>
      </c>
      <c r="I44" s="24" t="n">
        <f aca="false">G44+H44</f>
        <v>9907.12</v>
      </c>
      <c r="J44" s="24" t="n">
        <f aca="false">D44-I44</f>
        <v>4662.18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277334.53</v>
      </c>
      <c r="E45" s="24" t="n">
        <v>0</v>
      </c>
      <c r="F45" s="24" t="n">
        <v>0</v>
      </c>
      <c r="G45" s="24" t="n">
        <v>0</v>
      </c>
      <c r="H45" s="24" t="n">
        <v>4622.23</v>
      </c>
      <c r="I45" s="24" t="n">
        <f aca="false">G45+H45</f>
        <v>4622.23</v>
      </c>
      <c r="J45" s="24" t="n">
        <f aca="false">D45-I45</f>
        <v>272712.3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35785.1</v>
      </c>
      <c r="E46" s="24" t="n">
        <v>0</v>
      </c>
      <c r="F46" s="24" t="n">
        <v>21471.06</v>
      </c>
      <c r="G46" s="24" t="n">
        <v>0</v>
      </c>
      <c r="H46" s="24" t="n">
        <v>21948.19</v>
      </c>
      <c r="I46" s="24" t="n">
        <f aca="false">G46+H46</f>
        <v>21948.19</v>
      </c>
      <c r="J46" s="24" t="n">
        <f aca="false">D46-I46</f>
        <v>13836.91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67097.08</v>
      </c>
      <c r="E47" s="24" t="n">
        <v>0</v>
      </c>
      <c r="F47" s="24" t="n">
        <v>40258.25</v>
      </c>
      <c r="G47" s="24" t="n">
        <v>0</v>
      </c>
      <c r="H47" s="24" t="n">
        <v>45626.02</v>
      </c>
      <c r="I47" s="24" t="n">
        <f aca="false">G47+H47</f>
        <v>45626.02</v>
      </c>
      <c r="J47" s="24" t="n">
        <f aca="false">D47-I47</f>
        <v>21471.06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462776</v>
      </c>
      <c r="E48" s="28" t="n">
        <f aca="false">SUM(E42:E47)</f>
        <v>0</v>
      </c>
      <c r="F48" s="28" t="n">
        <f aca="false">SUM(F42:F47)</f>
        <v>75133.05</v>
      </c>
      <c r="G48" s="28" t="n">
        <f aca="false">SUM(G42:G47)</f>
        <v>0</v>
      </c>
      <c r="H48" s="28" t="n">
        <f aca="false">SUM(H42:H47)</f>
        <v>87873.03</v>
      </c>
      <c r="I48" s="28" t="n">
        <f aca="false">SUM(I42:I47)</f>
        <v>87873.03</v>
      </c>
      <c r="J48" s="28" t="n">
        <f aca="false">SUM(J42:J47)</f>
        <v>374902.97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11223.57</v>
      </c>
      <c r="E52" s="24" t="n">
        <v>0</v>
      </c>
      <c r="F52" s="24" t="n">
        <v>6734.14</v>
      </c>
      <c r="G52" s="24" t="n">
        <v>0</v>
      </c>
      <c r="H52" s="24" t="n">
        <v>7632.03</v>
      </c>
      <c r="I52" s="24" t="n">
        <f aca="false">G52+H52</f>
        <v>7632.03</v>
      </c>
      <c r="J52" s="24" t="n">
        <f aca="false">D52-I52</f>
        <v>3591.54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48996.16</v>
      </c>
      <c r="E53" s="24" t="n">
        <v>0</v>
      </c>
      <c r="F53" s="24" t="n">
        <v>0</v>
      </c>
      <c r="G53" s="24" t="n">
        <v>0</v>
      </c>
      <c r="H53" s="24" t="n">
        <v>816.6</v>
      </c>
      <c r="I53" s="24" t="n">
        <f aca="false">G53+H53</f>
        <v>816.6</v>
      </c>
      <c r="J53" s="24" t="n">
        <f aca="false">D53-I53</f>
        <v>48179.56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1448.2</v>
      </c>
      <c r="E54" s="24" t="n">
        <v>0</v>
      </c>
      <c r="F54" s="24" t="n">
        <v>868.92</v>
      </c>
      <c r="G54" s="24" t="n">
        <v>0</v>
      </c>
      <c r="H54" s="24" t="n">
        <v>984.78</v>
      </c>
      <c r="I54" s="24" t="n">
        <f aca="false">G54+H54</f>
        <v>984.78</v>
      </c>
      <c r="J54" s="24" t="n">
        <f aca="false">D54-I54</f>
        <v>463.42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6322.06</v>
      </c>
      <c r="E55" s="24" t="n">
        <v>0</v>
      </c>
      <c r="F55" s="24" t="n">
        <v>0</v>
      </c>
      <c r="G55" s="24" t="n">
        <v>0</v>
      </c>
      <c r="H55" s="24" t="n">
        <v>105.37</v>
      </c>
      <c r="I55" s="24" t="n">
        <f aca="false">G55+H55</f>
        <v>105.37</v>
      </c>
      <c r="J55" s="24" t="n">
        <f aca="false">D55-I55</f>
        <v>6216.69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2715.38</v>
      </c>
      <c r="E56" s="24" t="n">
        <v>0</v>
      </c>
      <c r="F56" s="24" t="n">
        <v>1629.23</v>
      </c>
      <c r="G56" s="24" t="n">
        <v>0</v>
      </c>
      <c r="H56" s="24" t="n">
        <v>1846.46</v>
      </c>
      <c r="I56" s="24" t="n">
        <f aca="false">G56+H56</f>
        <v>1846.46</v>
      </c>
      <c r="J56" s="24" t="n">
        <f aca="false">D56-I56</f>
        <v>868.92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11853.92</v>
      </c>
      <c r="E57" s="24" t="n">
        <v>0</v>
      </c>
      <c r="F57" s="24" t="n">
        <v>0</v>
      </c>
      <c r="G57" s="24" t="n">
        <v>0</v>
      </c>
      <c r="H57" s="24" t="n">
        <v>197.57</v>
      </c>
      <c r="I57" s="24" t="n">
        <f aca="false">G57+H57</f>
        <v>197.57</v>
      </c>
      <c r="J57" s="24" t="n">
        <f aca="false">D57-I57</f>
        <v>11656.35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51688.76</v>
      </c>
      <c r="E58" s="24" t="n">
        <v>0</v>
      </c>
      <c r="F58" s="24" t="n">
        <v>31013.26</v>
      </c>
      <c r="G58" s="24" t="n">
        <v>0</v>
      </c>
      <c r="H58" s="24" t="n">
        <v>35148.36</v>
      </c>
      <c r="I58" s="24" t="n">
        <f aca="false">G58+H58</f>
        <v>35148.36</v>
      </c>
      <c r="J58" s="24" t="n">
        <f aca="false">D58-I58</f>
        <v>16540.4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225645.77</v>
      </c>
      <c r="E59" s="24" t="n">
        <v>0</v>
      </c>
      <c r="F59" s="24" t="n">
        <v>0</v>
      </c>
      <c r="G59" s="24" t="n">
        <v>0</v>
      </c>
      <c r="H59" s="24" t="n">
        <v>3760.76</v>
      </c>
      <c r="I59" s="24" t="n">
        <f aca="false">G59+H59</f>
        <v>3760.76</v>
      </c>
      <c r="J59" s="24" t="n">
        <f aca="false">D59-I59</f>
        <v>221885.01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6669.52</v>
      </c>
      <c r="E60" s="24" t="n">
        <v>0</v>
      </c>
      <c r="F60" s="24" t="n">
        <v>4001.71</v>
      </c>
      <c r="G60" s="24" t="n">
        <v>0</v>
      </c>
      <c r="H60" s="24" t="n">
        <v>4535.27</v>
      </c>
      <c r="I60" s="24" t="n">
        <f aca="false">G60+H60</f>
        <v>4535.27</v>
      </c>
      <c r="J60" s="24" t="n">
        <f aca="false">D60-I60</f>
        <v>2134.25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29115.58</v>
      </c>
      <c r="E61" s="24" t="n">
        <v>0</v>
      </c>
      <c r="F61" s="24" t="n">
        <v>0</v>
      </c>
      <c r="G61" s="24" t="n">
        <v>0</v>
      </c>
      <c r="H61" s="24" t="n">
        <v>485.26</v>
      </c>
      <c r="I61" s="24" t="n">
        <f aca="false">G61+H61</f>
        <v>485.26</v>
      </c>
      <c r="J61" s="24" t="n">
        <f aca="false">D61-I61</f>
        <v>28630.32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12505.34</v>
      </c>
      <c r="E62" s="24" t="n">
        <v>0</v>
      </c>
      <c r="F62" s="24" t="n">
        <v>7503.2</v>
      </c>
      <c r="G62" s="24" t="n">
        <v>0</v>
      </c>
      <c r="H62" s="24" t="n">
        <v>8503.63</v>
      </c>
      <c r="I62" s="24" t="n">
        <f aca="false">G62+H62</f>
        <v>8503.63</v>
      </c>
      <c r="J62" s="24" t="n">
        <f aca="false">D62-I62</f>
        <v>4001.71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54591.74</v>
      </c>
      <c r="E63" s="24" t="n">
        <v>0</v>
      </c>
      <c r="F63" s="24" t="n">
        <v>0</v>
      </c>
      <c r="G63" s="24" t="n">
        <v>0</v>
      </c>
      <c r="H63" s="24" t="n">
        <v>909.86</v>
      </c>
      <c r="I63" s="24" t="n">
        <f aca="false">G63+H63</f>
        <v>909.86</v>
      </c>
      <c r="J63" s="24" t="n">
        <f aca="false">D63-I63</f>
        <v>53681.88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462776</v>
      </c>
      <c r="E64" s="28" t="n">
        <f aca="false">SUM(E52:E63)</f>
        <v>0</v>
      </c>
      <c r="F64" s="28" t="n">
        <f aca="false">SUM(F52:F63)</f>
        <v>51750.46</v>
      </c>
      <c r="G64" s="28" t="n">
        <f aca="false">SUM(G52:G63)</f>
        <v>0</v>
      </c>
      <c r="H64" s="28" t="n">
        <f aca="false">SUM(H52:H63)</f>
        <v>64925.95</v>
      </c>
      <c r="I64" s="28" t="n">
        <f aca="false">SUM(I52:I63)</f>
        <v>64925.95</v>
      </c>
      <c r="J64" s="28" t="n">
        <f aca="false">SUM(J52:J63)</f>
        <v>397850.05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87873.03</v>
      </c>
    </row>
    <row r="68" customFormat="false" ht="15" hidden="false" customHeight="false" outlineLevel="0" collapsed="false">
      <c r="B68" s="5" t="s">
        <v>97</v>
      </c>
      <c r="D68" s="6" t="n">
        <f aca="false">I64</f>
        <v>64925.95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22947.08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462776</v>
      </c>
    </row>
    <row r="73" customFormat="false" ht="15" hidden="false" customHeight="false" outlineLevel="0" collapsed="false">
      <c r="B73" s="5" t="s">
        <v>106</v>
      </c>
      <c r="D73" s="6" t="n">
        <f aca="false">F110</f>
        <v>86250.77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0.186376929659274</v>
      </c>
    </row>
    <row r="75" customFormat="false" ht="15" hidden="false" customHeight="false" outlineLevel="0" collapsed="false">
      <c r="B75" s="5" t="s">
        <v>109</v>
      </c>
      <c r="D75" s="6" t="n">
        <f aca="false">H110</f>
        <v>376525.23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0.813623070340726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19502.86</v>
      </c>
      <c r="F81" s="33" t="n">
        <v>19502.86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6491.33</v>
      </c>
      <c r="F82" s="33" t="n">
        <v>6491.33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28408.94</v>
      </c>
      <c r="F83" s="33" t="n">
        <v>28408.94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6537.27</v>
      </c>
      <c r="F84" s="33" t="n">
        <v>6537.27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165.04</v>
      </c>
      <c r="F85" s="33" t="n">
        <v>165.04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4036.61</v>
      </c>
      <c r="F86" s="33" t="n">
        <v>4036.61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3507.15</v>
      </c>
      <c r="F87" s="33" t="n">
        <v>3507.15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7383.57</v>
      </c>
      <c r="F88" s="33" t="n">
        <v>7383.57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2919.25</v>
      </c>
      <c r="F89" s="33" t="n">
        <v>2919.25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119.61</v>
      </c>
      <c r="F90" s="33" t="n">
        <v>119.61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809.12</v>
      </c>
      <c r="F91" s="33" t="n">
        <v>809.12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6370.02</v>
      </c>
      <c r="F92" s="33" t="n">
        <v>6370.02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22264.67</v>
      </c>
      <c r="H94" s="33" t="n">
        <v>22264.67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26055.7</v>
      </c>
      <c r="H95" s="33" t="n">
        <v>26055.7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39478.02</v>
      </c>
      <c r="H96" s="33" t="n">
        <v>39478.02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42666.46</v>
      </c>
      <c r="H97" s="33" t="n">
        <v>42666.46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34318.04</v>
      </c>
      <c r="H98" s="33" t="n">
        <v>34318.04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2796.66</v>
      </c>
      <c r="H99" s="33" t="n">
        <v>2796.66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14122.27</v>
      </c>
      <c r="H100" s="33" t="n">
        <v>14122.27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24894.53</v>
      </c>
      <c r="H101" s="33" t="n">
        <v>24894.53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13048.93</v>
      </c>
      <c r="H102" s="33" t="n">
        <v>13048.93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18158.19</v>
      </c>
      <c r="H103" s="33" t="n">
        <v>18158.19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39732.62</v>
      </c>
      <c r="H104" s="33" t="n">
        <v>39732.62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17994.21</v>
      </c>
      <c r="H105" s="33" t="n">
        <v>17994.21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1904.07</v>
      </c>
      <c r="H106" s="33" t="n">
        <v>1904.07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48244.85</v>
      </c>
      <c r="H107" s="33" t="n">
        <v>48244.85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24263.67</v>
      </c>
      <c r="H108" s="33" t="n">
        <v>24263.67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6582.34</v>
      </c>
      <c r="H109" s="33" t="n">
        <v>6582.34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462776</v>
      </c>
      <c r="F110" s="34" t="n">
        <f aca="false">SUM(F80:F109)</f>
        <v>86250.77</v>
      </c>
      <c r="H110" s="34" t="n">
        <f aca="false">SUM(H80:H109)</f>
        <v>376525.23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0.186376929659274</v>
      </c>
      <c r="H111" s="31" t="n">
        <f aca="false">H110/D110</f>
        <v>0.813623070340726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11'!B20</f>
        <v>2-Building-712 Northfield Dr - 5 Year</v>
      </c>
      <c r="D115" s="33" t="n">
        <f aca="false">SUM(F115:H115)</f>
        <v>11223.57</v>
      </c>
      <c r="F115" s="33" t="n">
        <f aca="false">'Building 11'!D20</f>
        <v>11223.57</v>
      </c>
    </row>
    <row r="116" customFormat="false" ht="15" hidden="false" customHeight="false" outlineLevel="0" collapsed="false">
      <c r="B116" s="5" t="str">
        <f aca="false">'Building 11'!B21</f>
        <v>2-Building-712 Northfield Dr - 27.5 Year</v>
      </c>
      <c r="D116" s="33" t="n">
        <f aca="false">SUM(F116:H116)</f>
        <v>48996.16</v>
      </c>
      <c r="H116" s="33" t="n">
        <f aca="false">'Building 11'!D21</f>
        <v>48996.16</v>
      </c>
    </row>
    <row r="117" customFormat="false" ht="15" hidden="false" customHeight="false" outlineLevel="0" collapsed="false">
      <c r="B117" s="5" t="str">
        <f aca="false">'Building 11'!B22</f>
        <v>3-Northfield Dr - 5 Year</v>
      </c>
      <c r="D117" s="33" t="n">
        <f aca="false">SUM(F117:H117)</f>
        <v>1448.2</v>
      </c>
      <c r="F117" s="33" t="n">
        <f aca="false">'Building 11'!D22</f>
        <v>1448.2</v>
      </c>
    </row>
    <row r="118" customFormat="false" ht="15" hidden="false" customHeight="false" outlineLevel="0" collapsed="false">
      <c r="B118" s="5" t="str">
        <f aca="false">'Building 11'!B23</f>
        <v>3-Northfield Dr - 27.5 Year</v>
      </c>
      <c r="D118" s="33" t="n">
        <f aca="false">SUM(F118:H118)</f>
        <v>6322.06</v>
      </c>
      <c r="H118" s="33" t="n">
        <f aca="false">'Building 11'!D23</f>
        <v>6322.06</v>
      </c>
    </row>
    <row r="119" customFormat="false" ht="15" hidden="false" customHeight="false" outlineLevel="0" collapsed="false">
      <c r="B119" s="5" t="str">
        <f aca="false">'Building 11'!B24</f>
        <v>4-Northfield Dr - 5 Year</v>
      </c>
      <c r="D119" s="33" t="n">
        <f aca="false">SUM(F119:H119)</f>
        <v>2715.38</v>
      </c>
      <c r="F119" s="33" t="n">
        <f aca="false">'Building 11'!D24</f>
        <v>2715.38</v>
      </c>
    </row>
    <row r="120" customFormat="false" ht="15" hidden="false" customHeight="false" outlineLevel="0" collapsed="false">
      <c r="B120" s="5" t="str">
        <f aca="false">'Building 11'!B25</f>
        <v>4-Northfield Dr - 27.5 Year</v>
      </c>
      <c r="D120" s="33" t="n">
        <f aca="false">SUM(F120:H120)</f>
        <v>11853.92</v>
      </c>
      <c r="H120" s="33" t="n">
        <f aca="false">'Building 11'!D25</f>
        <v>11853.92</v>
      </c>
    </row>
    <row r="121" customFormat="false" ht="15" hidden="false" customHeight="false" outlineLevel="0" collapsed="false">
      <c r="B121" s="5" t="str">
        <f aca="false">'Building 11'!B26</f>
        <v>7-Building-2202 Northview Dr - 5 Year</v>
      </c>
      <c r="D121" s="33" t="n">
        <f aca="false">SUM(F121:H121)</f>
        <v>51688.76</v>
      </c>
      <c r="F121" s="33" t="n">
        <f aca="false">'Building 11'!D26</f>
        <v>51688.76</v>
      </c>
    </row>
    <row r="122" customFormat="false" ht="15" hidden="false" customHeight="false" outlineLevel="0" collapsed="false">
      <c r="B122" s="5" t="str">
        <f aca="false">'Building 11'!B27</f>
        <v>7-Building-2202 Northview Dr - 27.5 Year</v>
      </c>
      <c r="D122" s="33" t="n">
        <f aca="false">SUM(F122:H122)</f>
        <v>225645.77</v>
      </c>
      <c r="H122" s="33" t="n">
        <f aca="false">'Building 11'!D27</f>
        <v>225645.77</v>
      </c>
    </row>
    <row r="123" customFormat="false" ht="15" hidden="false" customHeight="false" outlineLevel="0" collapsed="false">
      <c r="B123" s="5" t="str">
        <f aca="false">'Building 11'!B28</f>
        <v>8-Northiew Dr - 5 Year</v>
      </c>
      <c r="D123" s="33" t="n">
        <f aca="false">SUM(F123:H123)</f>
        <v>6669.52</v>
      </c>
      <c r="F123" s="33" t="n">
        <f aca="false">'Building 11'!D28</f>
        <v>6669.52</v>
      </c>
    </row>
    <row r="124" customFormat="false" ht="15" hidden="false" customHeight="false" outlineLevel="0" collapsed="false">
      <c r="B124" s="5" t="str">
        <f aca="false">'Building 11'!B29</f>
        <v>8-Northiew Dr - 27.5 Year</v>
      </c>
      <c r="D124" s="33" t="n">
        <f aca="false">SUM(F124:H124)</f>
        <v>29115.58</v>
      </c>
      <c r="H124" s="33" t="n">
        <f aca="false">'Building 11'!D29</f>
        <v>29115.58</v>
      </c>
    </row>
    <row r="125" customFormat="false" ht="15" hidden="false" customHeight="false" outlineLevel="0" collapsed="false">
      <c r="B125" s="5" t="str">
        <f aca="false">'Building 11'!B30</f>
        <v>9-Northview Dr - 5 Year</v>
      </c>
      <c r="D125" s="33" t="n">
        <f aca="false">SUM(F125:H125)</f>
        <v>12505.34</v>
      </c>
      <c r="F125" s="33" t="n">
        <f aca="false">'Building 11'!D30</f>
        <v>12505.34</v>
      </c>
    </row>
    <row r="126" customFormat="false" ht="15" hidden="false" customHeight="false" outlineLevel="0" collapsed="false">
      <c r="B126" s="5" t="str">
        <f aca="false">'Building 11'!B31</f>
        <v>9-Northview Dr - 27.5 Year</v>
      </c>
      <c r="D126" s="33" t="n">
        <f aca="false">SUM(F126:H126)</f>
        <v>54591.74</v>
      </c>
      <c r="H126" s="33" t="n">
        <f aca="false">'Building 11'!D31</f>
        <v>54591.74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462776</v>
      </c>
      <c r="F127" s="34" t="n">
        <f aca="false">SUM(F115:F126)</f>
        <v>86250.77</v>
      </c>
      <c r="H127" s="34" t="n">
        <f aca="false">SUM(H115:H126)</f>
        <v>376525.23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184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39989.86</v>
      </c>
      <c r="E10" s="24" t="n">
        <v>0</v>
      </c>
      <c r="F10" s="24" t="n">
        <v>0</v>
      </c>
      <c r="G10" s="24" t="n">
        <v>0</v>
      </c>
      <c r="H10" s="24" t="n">
        <v>666.51</v>
      </c>
      <c r="I10" s="24" t="n">
        <f aca="false">G10+H10</f>
        <v>666.51</v>
      </c>
      <c r="J10" s="24" t="n">
        <f aca="false">D10-I10</f>
        <v>39323.35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5159.97</v>
      </c>
      <c r="E11" s="24" t="n">
        <v>0</v>
      </c>
      <c r="F11" s="24" t="n">
        <v>3095.98</v>
      </c>
      <c r="G11" s="24" t="n">
        <v>0</v>
      </c>
      <c r="H11" s="24" t="n">
        <v>3164.8</v>
      </c>
      <c r="I11" s="24" t="n">
        <f aca="false">G11+H11</f>
        <v>3164.8</v>
      </c>
      <c r="J11" s="24" t="n">
        <f aca="false">D11-I11</f>
        <v>1995.17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9674.97</v>
      </c>
      <c r="E12" s="24" t="n">
        <v>0</v>
      </c>
      <c r="F12" s="24" t="n">
        <v>5804.98</v>
      </c>
      <c r="G12" s="24" t="n">
        <v>0</v>
      </c>
      <c r="H12" s="24" t="n">
        <v>6578.97</v>
      </c>
      <c r="I12" s="24" t="n">
        <f aca="false">G12+H12</f>
        <v>6578.97</v>
      </c>
      <c r="J12" s="24" t="n">
        <f aca="false">D12-I12</f>
        <v>3096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184168.35</v>
      </c>
      <c r="E13" s="24" t="n">
        <v>0</v>
      </c>
      <c r="F13" s="24" t="n">
        <v>0</v>
      </c>
      <c r="G13" s="24" t="n">
        <v>0</v>
      </c>
      <c r="H13" s="24" t="n">
        <v>3069.46</v>
      </c>
      <c r="I13" s="24" t="n">
        <f aca="false">G13+H13</f>
        <v>3069.46</v>
      </c>
      <c r="J13" s="24" t="n">
        <f aca="false">D13-I13</f>
        <v>181098.89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23763.65</v>
      </c>
      <c r="E14" s="24" t="n">
        <v>0</v>
      </c>
      <c r="F14" s="24" t="n">
        <v>14258.19</v>
      </c>
      <c r="G14" s="24" t="n">
        <v>0</v>
      </c>
      <c r="H14" s="24" t="n">
        <v>14575.04</v>
      </c>
      <c r="I14" s="24" t="n">
        <f aca="false">G14+H14</f>
        <v>14575.04</v>
      </c>
      <c r="J14" s="24" t="n">
        <f aca="false">D14-I14</f>
        <v>9188.61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44556.87</v>
      </c>
      <c r="E15" s="24" t="n">
        <v>0</v>
      </c>
      <c r="F15" s="24" t="n">
        <v>26734.12</v>
      </c>
      <c r="G15" s="24" t="n">
        <v>0</v>
      </c>
      <c r="H15" s="24" t="n">
        <v>30298.68</v>
      </c>
      <c r="I15" s="24" t="n">
        <f aca="false">G15+H15</f>
        <v>30298.68</v>
      </c>
      <c r="J15" s="24" t="n">
        <f aca="false">D15-I15</f>
        <v>14258.19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307313.67</v>
      </c>
      <c r="E16" s="28" t="n">
        <f aca="false">SUM(E10:E15)</f>
        <v>0</v>
      </c>
      <c r="F16" s="28" t="n">
        <f aca="false">SUM(F10:F15)</f>
        <v>49893.27</v>
      </c>
      <c r="G16" s="28" t="n">
        <f aca="false">SUM(G10:G15)</f>
        <v>0</v>
      </c>
      <c r="H16" s="28" t="n">
        <f aca="false">SUM(H10:H15)</f>
        <v>58353.46</v>
      </c>
      <c r="I16" s="28" t="n">
        <f aca="false">SUM(I10:I15)</f>
        <v>58353.46</v>
      </c>
      <c r="J16" s="28" t="n">
        <f aca="false">SUM(J10:J15)</f>
        <v>248960.21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7464.18</v>
      </c>
      <c r="E20" s="24" t="n">
        <v>0</v>
      </c>
      <c r="F20" s="24" t="n">
        <v>4478.51</v>
      </c>
      <c r="G20" s="24" t="n">
        <v>0</v>
      </c>
      <c r="H20" s="24" t="n">
        <v>5075.64</v>
      </c>
      <c r="I20" s="24" t="n">
        <f aca="false">G20+H20</f>
        <v>5075.64</v>
      </c>
      <c r="J20" s="24" t="n">
        <f aca="false">D20-I20</f>
        <v>2388.54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32525.68</v>
      </c>
      <c r="E21" s="24" t="n">
        <v>0</v>
      </c>
      <c r="F21" s="24" t="n">
        <v>0</v>
      </c>
      <c r="G21" s="24" t="n">
        <v>0</v>
      </c>
      <c r="H21" s="24" t="n">
        <v>542.09</v>
      </c>
      <c r="I21" s="24" t="n">
        <f aca="false">G21+H21</f>
        <v>542.09</v>
      </c>
      <c r="J21" s="24" t="n">
        <f aca="false">D21-I21</f>
        <v>31983.59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963.12</v>
      </c>
      <c r="E22" s="24" t="n">
        <v>0</v>
      </c>
      <c r="F22" s="24" t="n">
        <v>577.87</v>
      </c>
      <c r="G22" s="24" t="n">
        <v>0</v>
      </c>
      <c r="H22" s="24" t="n">
        <v>654.92</v>
      </c>
      <c r="I22" s="24" t="n">
        <f aca="false">G22+H22</f>
        <v>654.92</v>
      </c>
      <c r="J22" s="24" t="n">
        <f aca="false">D22-I22</f>
        <v>308.2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4196.85</v>
      </c>
      <c r="E23" s="24" t="n">
        <v>0</v>
      </c>
      <c r="F23" s="24" t="n">
        <v>0</v>
      </c>
      <c r="G23" s="24" t="n">
        <v>0</v>
      </c>
      <c r="H23" s="24" t="n">
        <v>69.95</v>
      </c>
      <c r="I23" s="24" t="n">
        <f aca="false">G23+H23</f>
        <v>69.95</v>
      </c>
      <c r="J23" s="24" t="n">
        <f aca="false">D23-I23</f>
        <v>4126.9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1805.85</v>
      </c>
      <c r="E24" s="24" t="n">
        <v>0</v>
      </c>
      <c r="F24" s="24" t="n">
        <v>1083.51</v>
      </c>
      <c r="G24" s="24" t="n">
        <v>0</v>
      </c>
      <c r="H24" s="24" t="n">
        <v>1227.98</v>
      </c>
      <c r="I24" s="24" t="n">
        <f aca="false">G24+H24</f>
        <v>1227.98</v>
      </c>
      <c r="J24" s="24" t="n">
        <f aca="false">D24-I24</f>
        <v>577.87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7869.12</v>
      </c>
      <c r="E25" s="24" t="n">
        <v>0</v>
      </c>
      <c r="F25" s="24" t="n">
        <v>0</v>
      </c>
      <c r="G25" s="24" t="n">
        <v>0</v>
      </c>
      <c r="H25" s="24" t="n">
        <v>131.15</v>
      </c>
      <c r="I25" s="24" t="n">
        <f aca="false">G25+H25</f>
        <v>131.15</v>
      </c>
      <c r="J25" s="24" t="n">
        <f aca="false">D25-I25</f>
        <v>7737.97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34375.37</v>
      </c>
      <c r="E26" s="24" t="n">
        <v>0</v>
      </c>
      <c r="F26" s="24" t="n">
        <v>20625.22</v>
      </c>
      <c r="G26" s="24" t="n">
        <v>0</v>
      </c>
      <c r="H26" s="24" t="n">
        <v>23375.25</v>
      </c>
      <c r="I26" s="24" t="n">
        <f aca="false">G26+H26</f>
        <v>23375.25</v>
      </c>
      <c r="J26" s="24" t="n">
        <f aca="false">D26-I26</f>
        <v>11000.12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149792.98</v>
      </c>
      <c r="E27" s="24" t="n">
        <v>0</v>
      </c>
      <c r="F27" s="24" t="n">
        <v>0</v>
      </c>
      <c r="G27" s="24" t="n">
        <v>0</v>
      </c>
      <c r="H27" s="24" t="n">
        <v>2496.55</v>
      </c>
      <c r="I27" s="24" t="n">
        <f aca="false">G27+H27</f>
        <v>2496.55</v>
      </c>
      <c r="J27" s="24" t="n">
        <f aca="false">D27-I27</f>
        <v>147296.43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4435.53</v>
      </c>
      <c r="E28" s="24" t="n">
        <v>0</v>
      </c>
      <c r="F28" s="24" t="n">
        <v>2661.32</v>
      </c>
      <c r="G28" s="24" t="n">
        <v>0</v>
      </c>
      <c r="H28" s="24" t="n">
        <v>3016.16</v>
      </c>
      <c r="I28" s="24" t="n">
        <f aca="false">G28+H28</f>
        <v>3016.16</v>
      </c>
      <c r="J28" s="24" t="n">
        <f aca="false">D28-I28</f>
        <v>1419.37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19328.12</v>
      </c>
      <c r="E29" s="24" t="n">
        <v>0</v>
      </c>
      <c r="F29" s="24" t="n">
        <v>0</v>
      </c>
      <c r="G29" s="24" t="n">
        <v>0</v>
      </c>
      <c r="H29" s="24" t="n">
        <v>322.14</v>
      </c>
      <c r="I29" s="24" t="n">
        <f aca="false">G29+H29</f>
        <v>322.14</v>
      </c>
      <c r="J29" s="24" t="n">
        <f aca="false">D29-I29</f>
        <v>19005.98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8316.62</v>
      </c>
      <c r="E30" s="24" t="n">
        <v>0</v>
      </c>
      <c r="F30" s="24" t="n">
        <v>4989.97</v>
      </c>
      <c r="G30" s="24" t="n">
        <v>0</v>
      </c>
      <c r="H30" s="24" t="n">
        <v>5655.3</v>
      </c>
      <c r="I30" s="24" t="n">
        <f aca="false">G30+H30</f>
        <v>5655.3</v>
      </c>
      <c r="J30" s="24" t="n">
        <f aca="false">D30-I30</f>
        <v>2661.32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36240.25</v>
      </c>
      <c r="E31" s="24" t="n">
        <v>0</v>
      </c>
      <c r="F31" s="24" t="n">
        <v>0</v>
      </c>
      <c r="G31" s="24" t="n">
        <v>0</v>
      </c>
      <c r="H31" s="24" t="n">
        <v>604</v>
      </c>
      <c r="I31" s="24" t="n">
        <f aca="false">G31+H31</f>
        <v>604</v>
      </c>
      <c r="J31" s="24" t="n">
        <f aca="false">D31-I31</f>
        <v>35636.25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307313.67</v>
      </c>
      <c r="E32" s="28" t="n">
        <f aca="false">SUM(E20:E31)</f>
        <v>0</v>
      </c>
      <c r="F32" s="28" t="n">
        <f aca="false">SUM(F20:F31)</f>
        <v>34416.4</v>
      </c>
      <c r="G32" s="28" t="n">
        <f aca="false">SUM(G20:G31)</f>
        <v>0</v>
      </c>
      <c r="H32" s="28" t="n">
        <f aca="false">SUM(H20:H31)</f>
        <v>43171.13</v>
      </c>
      <c r="I32" s="28" t="n">
        <f aca="false">SUM(I20:I31)</f>
        <v>43171.13</v>
      </c>
      <c r="J32" s="28" t="n">
        <f aca="false">SUM(J20:J31)</f>
        <v>264142.54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58353.46</v>
      </c>
    </row>
    <row r="36" customFormat="false" ht="15" hidden="false" customHeight="false" outlineLevel="0" collapsed="false">
      <c r="B36" s="5" t="s">
        <v>97</v>
      </c>
      <c r="D36" s="6" t="n">
        <f aca="false">I32</f>
        <v>43171.13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15182.33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39989.86</v>
      </c>
      <c r="E42" s="24" t="n">
        <v>0</v>
      </c>
      <c r="F42" s="24" t="n">
        <v>0</v>
      </c>
      <c r="G42" s="24" t="n">
        <v>0</v>
      </c>
      <c r="H42" s="24" t="n">
        <v>666.51</v>
      </c>
      <c r="I42" s="24" t="n">
        <f aca="false">G42+H42</f>
        <v>666.51</v>
      </c>
      <c r="J42" s="24" t="n">
        <f aca="false">D42-I42</f>
        <v>39323.35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5159.97</v>
      </c>
      <c r="E43" s="24" t="n">
        <v>0</v>
      </c>
      <c r="F43" s="24" t="n">
        <v>3095.98</v>
      </c>
      <c r="G43" s="24" t="n">
        <v>0</v>
      </c>
      <c r="H43" s="24" t="n">
        <v>3164.8</v>
      </c>
      <c r="I43" s="24" t="n">
        <f aca="false">G43+H43</f>
        <v>3164.8</v>
      </c>
      <c r="J43" s="24" t="n">
        <f aca="false">D43-I43</f>
        <v>1995.17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9674.97</v>
      </c>
      <c r="E44" s="24" t="n">
        <v>0</v>
      </c>
      <c r="F44" s="24" t="n">
        <v>5804.98</v>
      </c>
      <c r="G44" s="24" t="n">
        <v>0</v>
      </c>
      <c r="H44" s="24" t="n">
        <v>6578.97</v>
      </c>
      <c r="I44" s="24" t="n">
        <f aca="false">G44+H44</f>
        <v>6578.97</v>
      </c>
      <c r="J44" s="24" t="n">
        <f aca="false">D44-I44</f>
        <v>3096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184168.35</v>
      </c>
      <c r="E45" s="24" t="n">
        <v>0</v>
      </c>
      <c r="F45" s="24" t="n">
        <v>0</v>
      </c>
      <c r="G45" s="24" t="n">
        <v>0</v>
      </c>
      <c r="H45" s="24" t="n">
        <v>3069.46</v>
      </c>
      <c r="I45" s="24" t="n">
        <f aca="false">G45+H45</f>
        <v>3069.46</v>
      </c>
      <c r="J45" s="24" t="n">
        <f aca="false">D45-I45</f>
        <v>181098.89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23763.65</v>
      </c>
      <c r="E46" s="24" t="n">
        <v>0</v>
      </c>
      <c r="F46" s="24" t="n">
        <v>14258.19</v>
      </c>
      <c r="G46" s="24" t="n">
        <v>0</v>
      </c>
      <c r="H46" s="24" t="n">
        <v>14575.04</v>
      </c>
      <c r="I46" s="24" t="n">
        <f aca="false">G46+H46</f>
        <v>14575.04</v>
      </c>
      <c r="J46" s="24" t="n">
        <f aca="false">D46-I46</f>
        <v>9188.61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44556.87</v>
      </c>
      <c r="E47" s="24" t="n">
        <v>0</v>
      </c>
      <c r="F47" s="24" t="n">
        <v>26734.12</v>
      </c>
      <c r="G47" s="24" t="n">
        <v>0</v>
      </c>
      <c r="H47" s="24" t="n">
        <v>30298.68</v>
      </c>
      <c r="I47" s="24" t="n">
        <f aca="false">G47+H47</f>
        <v>30298.68</v>
      </c>
      <c r="J47" s="24" t="n">
        <f aca="false">D47-I47</f>
        <v>14258.19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307313.67</v>
      </c>
      <c r="E48" s="28" t="n">
        <f aca="false">SUM(E42:E47)</f>
        <v>0</v>
      </c>
      <c r="F48" s="28" t="n">
        <f aca="false">SUM(F42:F47)</f>
        <v>49893.27</v>
      </c>
      <c r="G48" s="28" t="n">
        <f aca="false">SUM(G42:G47)</f>
        <v>0</v>
      </c>
      <c r="H48" s="28" t="n">
        <f aca="false">SUM(H42:H47)</f>
        <v>58353.46</v>
      </c>
      <c r="I48" s="28" t="n">
        <f aca="false">SUM(I42:I47)</f>
        <v>58353.46</v>
      </c>
      <c r="J48" s="28" t="n">
        <f aca="false">SUM(J42:J47)</f>
        <v>248960.21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7464.18</v>
      </c>
      <c r="E52" s="24" t="n">
        <v>0</v>
      </c>
      <c r="F52" s="24" t="n">
        <v>4478.51</v>
      </c>
      <c r="G52" s="24" t="n">
        <v>0</v>
      </c>
      <c r="H52" s="24" t="n">
        <v>5075.64</v>
      </c>
      <c r="I52" s="24" t="n">
        <f aca="false">G52+H52</f>
        <v>5075.64</v>
      </c>
      <c r="J52" s="24" t="n">
        <f aca="false">D52-I52</f>
        <v>2388.54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32525.68</v>
      </c>
      <c r="E53" s="24" t="n">
        <v>0</v>
      </c>
      <c r="F53" s="24" t="n">
        <v>0</v>
      </c>
      <c r="G53" s="24" t="n">
        <v>0</v>
      </c>
      <c r="H53" s="24" t="n">
        <v>542.09</v>
      </c>
      <c r="I53" s="24" t="n">
        <f aca="false">G53+H53</f>
        <v>542.09</v>
      </c>
      <c r="J53" s="24" t="n">
        <f aca="false">D53-I53</f>
        <v>31983.59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963.12</v>
      </c>
      <c r="E54" s="24" t="n">
        <v>0</v>
      </c>
      <c r="F54" s="24" t="n">
        <v>577.87</v>
      </c>
      <c r="G54" s="24" t="n">
        <v>0</v>
      </c>
      <c r="H54" s="24" t="n">
        <v>654.92</v>
      </c>
      <c r="I54" s="24" t="n">
        <f aca="false">G54+H54</f>
        <v>654.92</v>
      </c>
      <c r="J54" s="24" t="n">
        <f aca="false">D54-I54</f>
        <v>308.2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4196.85</v>
      </c>
      <c r="E55" s="24" t="n">
        <v>0</v>
      </c>
      <c r="F55" s="24" t="n">
        <v>0</v>
      </c>
      <c r="G55" s="24" t="n">
        <v>0</v>
      </c>
      <c r="H55" s="24" t="n">
        <v>69.95</v>
      </c>
      <c r="I55" s="24" t="n">
        <f aca="false">G55+H55</f>
        <v>69.95</v>
      </c>
      <c r="J55" s="24" t="n">
        <f aca="false">D55-I55</f>
        <v>4126.9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1805.85</v>
      </c>
      <c r="E56" s="24" t="n">
        <v>0</v>
      </c>
      <c r="F56" s="24" t="n">
        <v>1083.51</v>
      </c>
      <c r="G56" s="24" t="n">
        <v>0</v>
      </c>
      <c r="H56" s="24" t="n">
        <v>1227.98</v>
      </c>
      <c r="I56" s="24" t="n">
        <f aca="false">G56+H56</f>
        <v>1227.98</v>
      </c>
      <c r="J56" s="24" t="n">
        <f aca="false">D56-I56</f>
        <v>577.87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7869.12</v>
      </c>
      <c r="E57" s="24" t="n">
        <v>0</v>
      </c>
      <c r="F57" s="24" t="n">
        <v>0</v>
      </c>
      <c r="G57" s="24" t="n">
        <v>0</v>
      </c>
      <c r="H57" s="24" t="n">
        <v>131.15</v>
      </c>
      <c r="I57" s="24" t="n">
        <f aca="false">G57+H57</f>
        <v>131.15</v>
      </c>
      <c r="J57" s="24" t="n">
        <f aca="false">D57-I57</f>
        <v>7737.97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34375.37</v>
      </c>
      <c r="E58" s="24" t="n">
        <v>0</v>
      </c>
      <c r="F58" s="24" t="n">
        <v>20625.22</v>
      </c>
      <c r="G58" s="24" t="n">
        <v>0</v>
      </c>
      <c r="H58" s="24" t="n">
        <v>23375.25</v>
      </c>
      <c r="I58" s="24" t="n">
        <f aca="false">G58+H58</f>
        <v>23375.25</v>
      </c>
      <c r="J58" s="24" t="n">
        <f aca="false">D58-I58</f>
        <v>11000.12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149792.98</v>
      </c>
      <c r="E59" s="24" t="n">
        <v>0</v>
      </c>
      <c r="F59" s="24" t="n">
        <v>0</v>
      </c>
      <c r="G59" s="24" t="n">
        <v>0</v>
      </c>
      <c r="H59" s="24" t="n">
        <v>2496.55</v>
      </c>
      <c r="I59" s="24" t="n">
        <f aca="false">G59+H59</f>
        <v>2496.55</v>
      </c>
      <c r="J59" s="24" t="n">
        <f aca="false">D59-I59</f>
        <v>147296.43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4435.53</v>
      </c>
      <c r="E60" s="24" t="n">
        <v>0</v>
      </c>
      <c r="F60" s="24" t="n">
        <v>2661.32</v>
      </c>
      <c r="G60" s="24" t="n">
        <v>0</v>
      </c>
      <c r="H60" s="24" t="n">
        <v>3016.16</v>
      </c>
      <c r="I60" s="24" t="n">
        <f aca="false">G60+H60</f>
        <v>3016.16</v>
      </c>
      <c r="J60" s="24" t="n">
        <f aca="false">D60-I60</f>
        <v>1419.37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19328.12</v>
      </c>
      <c r="E61" s="24" t="n">
        <v>0</v>
      </c>
      <c r="F61" s="24" t="n">
        <v>0</v>
      </c>
      <c r="G61" s="24" t="n">
        <v>0</v>
      </c>
      <c r="H61" s="24" t="n">
        <v>322.14</v>
      </c>
      <c r="I61" s="24" t="n">
        <f aca="false">G61+H61</f>
        <v>322.14</v>
      </c>
      <c r="J61" s="24" t="n">
        <f aca="false">D61-I61</f>
        <v>19005.98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8316.62</v>
      </c>
      <c r="E62" s="24" t="n">
        <v>0</v>
      </c>
      <c r="F62" s="24" t="n">
        <v>4989.97</v>
      </c>
      <c r="G62" s="24" t="n">
        <v>0</v>
      </c>
      <c r="H62" s="24" t="n">
        <v>5655.3</v>
      </c>
      <c r="I62" s="24" t="n">
        <f aca="false">G62+H62</f>
        <v>5655.3</v>
      </c>
      <c r="J62" s="24" t="n">
        <f aca="false">D62-I62</f>
        <v>2661.32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36240.25</v>
      </c>
      <c r="E63" s="24" t="n">
        <v>0</v>
      </c>
      <c r="F63" s="24" t="n">
        <v>0</v>
      </c>
      <c r="G63" s="24" t="n">
        <v>0</v>
      </c>
      <c r="H63" s="24" t="n">
        <v>604</v>
      </c>
      <c r="I63" s="24" t="n">
        <f aca="false">G63+H63</f>
        <v>604</v>
      </c>
      <c r="J63" s="24" t="n">
        <f aca="false">D63-I63</f>
        <v>35636.25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307313.67</v>
      </c>
      <c r="E64" s="28" t="n">
        <f aca="false">SUM(E52:E63)</f>
        <v>0</v>
      </c>
      <c r="F64" s="28" t="n">
        <f aca="false">SUM(F52:F63)</f>
        <v>34416.4</v>
      </c>
      <c r="G64" s="28" t="n">
        <f aca="false">SUM(G52:G63)</f>
        <v>0</v>
      </c>
      <c r="H64" s="28" t="n">
        <f aca="false">SUM(H52:H63)</f>
        <v>43171.13</v>
      </c>
      <c r="I64" s="28" t="n">
        <f aca="false">SUM(I52:I63)</f>
        <v>43171.13</v>
      </c>
      <c r="J64" s="28" t="n">
        <f aca="false">SUM(J52:J63)</f>
        <v>264142.54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58353.46</v>
      </c>
    </row>
    <row r="68" customFormat="false" ht="15" hidden="false" customHeight="false" outlineLevel="0" collapsed="false">
      <c r="B68" s="5" t="s">
        <v>97</v>
      </c>
      <c r="D68" s="6" t="n">
        <f aca="false">I64</f>
        <v>43171.13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15182.33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307313.67</v>
      </c>
    </row>
    <row r="73" customFormat="false" ht="15" hidden="false" customHeight="false" outlineLevel="0" collapsed="false">
      <c r="B73" s="5" t="s">
        <v>106</v>
      </c>
      <c r="D73" s="6" t="n">
        <f aca="false">F110</f>
        <v>57360.67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0.186651866153562</v>
      </c>
    </row>
    <row r="75" customFormat="false" ht="15" hidden="false" customHeight="false" outlineLevel="0" collapsed="false">
      <c r="B75" s="5" t="s">
        <v>109</v>
      </c>
      <c r="D75" s="6" t="n">
        <f aca="false">H110</f>
        <v>249953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0.813348133846438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13303.54</v>
      </c>
      <c r="F81" s="33" t="n">
        <v>13303.54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4028.66</v>
      </c>
      <c r="F82" s="33" t="n">
        <v>4028.66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18880</v>
      </c>
      <c r="F83" s="33" t="n">
        <v>18880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4380.58</v>
      </c>
      <c r="F84" s="33" t="n">
        <v>4380.58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120.21</v>
      </c>
      <c r="F85" s="33" t="n">
        <v>120.21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2691.07</v>
      </c>
      <c r="F86" s="33" t="n">
        <v>2691.07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2330.78</v>
      </c>
      <c r="F87" s="33" t="n">
        <v>2330.78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4922.4</v>
      </c>
      <c r="F88" s="33" t="n">
        <v>4922.4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2107.3</v>
      </c>
      <c r="F89" s="33" t="n">
        <v>2107.3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79.75</v>
      </c>
      <c r="F90" s="33" t="n">
        <v>79.75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269.71</v>
      </c>
      <c r="F91" s="33" t="n">
        <v>269.71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4246.67</v>
      </c>
      <c r="F92" s="33" t="n">
        <v>4246.67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14675.94</v>
      </c>
      <c r="H94" s="33" t="n">
        <v>14675.94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17193.38</v>
      </c>
      <c r="H95" s="33" t="n">
        <v>17193.38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26236.29</v>
      </c>
      <c r="H96" s="33" t="n">
        <v>26236.29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28355.25</v>
      </c>
      <c r="H97" s="33" t="n">
        <v>28355.25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22807.05</v>
      </c>
      <c r="H98" s="33" t="n">
        <v>22807.05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1962.21</v>
      </c>
      <c r="H99" s="33" t="n">
        <v>1962.21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8616.49</v>
      </c>
      <c r="H100" s="33" t="n">
        <v>8616.49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20002.12</v>
      </c>
      <c r="H101" s="33" t="n">
        <v>20002.12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8765.44</v>
      </c>
      <c r="H102" s="33" t="n">
        <v>8765.44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12067.55</v>
      </c>
      <c r="H103" s="33" t="n">
        <v>12067.55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24523.04</v>
      </c>
      <c r="H104" s="33" t="n">
        <v>24523.04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11322.54</v>
      </c>
      <c r="H105" s="33" t="n">
        <v>11322.54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1442.59</v>
      </c>
      <c r="H106" s="33" t="n">
        <v>1442.59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31298.16</v>
      </c>
      <c r="H107" s="33" t="n">
        <v>31298.16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16175.78</v>
      </c>
      <c r="H108" s="33" t="n">
        <v>16175.78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4509.17</v>
      </c>
      <c r="H109" s="33" t="n">
        <v>4509.17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307313.67</v>
      </c>
      <c r="F110" s="34" t="n">
        <f aca="false">SUM(F80:F109)</f>
        <v>57360.67</v>
      </c>
      <c r="H110" s="34" t="n">
        <f aca="false">SUM(H80:H109)</f>
        <v>249953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0.186651866153562</v>
      </c>
      <c r="H111" s="31" t="n">
        <f aca="false">H110/D110</f>
        <v>0.813348133846438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12'!B20</f>
        <v>2-Building-712 Northfield Dr - 5 Year</v>
      </c>
      <c r="D115" s="33" t="n">
        <f aca="false">SUM(F115:H115)</f>
        <v>7464.18</v>
      </c>
      <c r="F115" s="33" t="n">
        <f aca="false">'Building 12'!D20</f>
        <v>7464.18</v>
      </c>
    </row>
    <row r="116" customFormat="false" ht="15" hidden="false" customHeight="false" outlineLevel="0" collapsed="false">
      <c r="B116" s="5" t="str">
        <f aca="false">'Building 12'!B21</f>
        <v>2-Building-712 Northfield Dr - 27.5 Year</v>
      </c>
      <c r="D116" s="33" t="n">
        <f aca="false">SUM(F116:H116)</f>
        <v>32525.68</v>
      </c>
      <c r="H116" s="33" t="n">
        <f aca="false">'Building 12'!D21</f>
        <v>32525.68</v>
      </c>
    </row>
    <row r="117" customFormat="false" ht="15" hidden="false" customHeight="false" outlineLevel="0" collapsed="false">
      <c r="B117" s="5" t="str">
        <f aca="false">'Building 12'!B22</f>
        <v>3-Northfield Dr - 5 Year</v>
      </c>
      <c r="D117" s="33" t="n">
        <f aca="false">SUM(F117:H117)</f>
        <v>963.12</v>
      </c>
      <c r="F117" s="33" t="n">
        <f aca="false">'Building 12'!D22</f>
        <v>963.12</v>
      </c>
    </row>
    <row r="118" customFormat="false" ht="15" hidden="false" customHeight="false" outlineLevel="0" collapsed="false">
      <c r="B118" s="5" t="str">
        <f aca="false">'Building 12'!B23</f>
        <v>3-Northfield Dr - 27.5 Year</v>
      </c>
      <c r="D118" s="33" t="n">
        <f aca="false">SUM(F118:H118)</f>
        <v>4196.85</v>
      </c>
      <c r="H118" s="33" t="n">
        <f aca="false">'Building 12'!D23</f>
        <v>4196.85</v>
      </c>
    </row>
    <row r="119" customFormat="false" ht="15" hidden="false" customHeight="false" outlineLevel="0" collapsed="false">
      <c r="B119" s="5" t="str">
        <f aca="false">'Building 12'!B24</f>
        <v>4-Northfield Dr - 5 Year</v>
      </c>
      <c r="D119" s="33" t="n">
        <f aca="false">SUM(F119:H119)</f>
        <v>1805.85</v>
      </c>
      <c r="F119" s="33" t="n">
        <f aca="false">'Building 12'!D24</f>
        <v>1805.85</v>
      </c>
    </row>
    <row r="120" customFormat="false" ht="15" hidden="false" customHeight="false" outlineLevel="0" collapsed="false">
      <c r="B120" s="5" t="str">
        <f aca="false">'Building 12'!B25</f>
        <v>4-Northfield Dr - 27.5 Year</v>
      </c>
      <c r="D120" s="33" t="n">
        <f aca="false">SUM(F120:H120)</f>
        <v>7869.12</v>
      </c>
      <c r="H120" s="33" t="n">
        <f aca="false">'Building 12'!D25</f>
        <v>7869.12</v>
      </c>
    </row>
    <row r="121" customFormat="false" ht="15" hidden="false" customHeight="false" outlineLevel="0" collapsed="false">
      <c r="B121" s="5" t="str">
        <f aca="false">'Building 12'!B26</f>
        <v>7-Building-2202 Northview Dr - 5 Year</v>
      </c>
      <c r="D121" s="33" t="n">
        <f aca="false">SUM(F121:H121)</f>
        <v>34375.37</v>
      </c>
      <c r="F121" s="33" t="n">
        <f aca="false">'Building 12'!D26</f>
        <v>34375.37</v>
      </c>
    </row>
    <row r="122" customFormat="false" ht="15" hidden="false" customHeight="false" outlineLevel="0" collapsed="false">
      <c r="B122" s="5" t="str">
        <f aca="false">'Building 12'!B27</f>
        <v>7-Building-2202 Northview Dr - 27.5 Year</v>
      </c>
      <c r="D122" s="33" t="n">
        <f aca="false">SUM(F122:H122)</f>
        <v>149792.98</v>
      </c>
      <c r="H122" s="33" t="n">
        <f aca="false">'Building 12'!D27</f>
        <v>149792.98</v>
      </c>
    </row>
    <row r="123" customFormat="false" ht="15" hidden="false" customHeight="false" outlineLevel="0" collapsed="false">
      <c r="B123" s="5" t="str">
        <f aca="false">'Building 12'!B28</f>
        <v>8-Northiew Dr - 5 Year</v>
      </c>
      <c r="D123" s="33" t="n">
        <f aca="false">SUM(F123:H123)</f>
        <v>4435.53</v>
      </c>
      <c r="F123" s="33" t="n">
        <f aca="false">'Building 12'!D28</f>
        <v>4435.53</v>
      </c>
    </row>
    <row r="124" customFormat="false" ht="15" hidden="false" customHeight="false" outlineLevel="0" collapsed="false">
      <c r="B124" s="5" t="str">
        <f aca="false">'Building 12'!B29</f>
        <v>8-Northiew Dr - 27.5 Year</v>
      </c>
      <c r="D124" s="33" t="n">
        <f aca="false">SUM(F124:H124)</f>
        <v>19328.12</v>
      </c>
      <c r="H124" s="33" t="n">
        <f aca="false">'Building 12'!D29</f>
        <v>19328.12</v>
      </c>
    </row>
    <row r="125" customFormat="false" ht="15" hidden="false" customHeight="false" outlineLevel="0" collapsed="false">
      <c r="B125" s="5" t="str">
        <f aca="false">'Building 12'!B30</f>
        <v>9-Northview Dr - 5 Year</v>
      </c>
      <c r="D125" s="33" t="n">
        <f aca="false">SUM(F125:H125)</f>
        <v>8316.62</v>
      </c>
      <c r="F125" s="33" t="n">
        <f aca="false">'Building 12'!D30</f>
        <v>8316.62</v>
      </c>
    </row>
    <row r="126" customFormat="false" ht="15" hidden="false" customHeight="false" outlineLevel="0" collapsed="false">
      <c r="B126" s="5" t="str">
        <f aca="false">'Building 12'!B31</f>
        <v>9-Northview Dr - 27.5 Year</v>
      </c>
      <c r="D126" s="33" t="n">
        <f aca="false">SUM(F126:H126)</f>
        <v>36240.25</v>
      </c>
      <c r="H126" s="33" t="n">
        <f aca="false">'Building 12'!D31</f>
        <v>36240.25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307313.67</v>
      </c>
      <c r="F127" s="34" t="n">
        <f aca="false">SUM(F115:F126)</f>
        <v>57360.67</v>
      </c>
      <c r="H127" s="34" t="n">
        <f aca="false">SUM(H115:H126)</f>
        <v>249953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185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39989.86</v>
      </c>
      <c r="E10" s="24" t="n">
        <v>0</v>
      </c>
      <c r="F10" s="24" t="n">
        <v>0</v>
      </c>
      <c r="G10" s="24" t="n">
        <v>0</v>
      </c>
      <c r="H10" s="24" t="n">
        <v>666.51</v>
      </c>
      <c r="I10" s="24" t="n">
        <f aca="false">G10+H10</f>
        <v>666.51</v>
      </c>
      <c r="J10" s="24" t="n">
        <f aca="false">D10-I10</f>
        <v>39323.35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5159.97</v>
      </c>
      <c r="E11" s="24" t="n">
        <v>0</v>
      </c>
      <c r="F11" s="24" t="n">
        <v>3095.98</v>
      </c>
      <c r="G11" s="24" t="n">
        <v>0</v>
      </c>
      <c r="H11" s="24" t="n">
        <v>3164.8</v>
      </c>
      <c r="I11" s="24" t="n">
        <f aca="false">G11+H11</f>
        <v>3164.8</v>
      </c>
      <c r="J11" s="24" t="n">
        <f aca="false">D11-I11</f>
        <v>1995.17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9674.97</v>
      </c>
      <c r="E12" s="24" t="n">
        <v>0</v>
      </c>
      <c r="F12" s="24" t="n">
        <v>5804.98</v>
      </c>
      <c r="G12" s="24" t="n">
        <v>0</v>
      </c>
      <c r="H12" s="24" t="n">
        <v>6578.97</v>
      </c>
      <c r="I12" s="24" t="n">
        <f aca="false">G12+H12</f>
        <v>6578.97</v>
      </c>
      <c r="J12" s="24" t="n">
        <f aca="false">D12-I12</f>
        <v>3096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184168.35</v>
      </c>
      <c r="E13" s="24" t="n">
        <v>0</v>
      </c>
      <c r="F13" s="24" t="n">
        <v>0</v>
      </c>
      <c r="G13" s="24" t="n">
        <v>0</v>
      </c>
      <c r="H13" s="24" t="n">
        <v>3069.46</v>
      </c>
      <c r="I13" s="24" t="n">
        <f aca="false">G13+H13</f>
        <v>3069.46</v>
      </c>
      <c r="J13" s="24" t="n">
        <f aca="false">D13-I13</f>
        <v>181098.89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23763.65</v>
      </c>
      <c r="E14" s="24" t="n">
        <v>0</v>
      </c>
      <c r="F14" s="24" t="n">
        <v>14258.19</v>
      </c>
      <c r="G14" s="24" t="n">
        <v>0</v>
      </c>
      <c r="H14" s="24" t="n">
        <v>14575.04</v>
      </c>
      <c r="I14" s="24" t="n">
        <f aca="false">G14+H14</f>
        <v>14575.04</v>
      </c>
      <c r="J14" s="24" t="n">
        <f aca="false">D14-I14</f>
        <v>9188.61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44556.87</v>
      </c>
      <c r="E15" s="24" t="n">
        <v>0</v>
      </c>
      <c r="F15" s="24" t="n">
        <v>26734.12</v>
      </c>
      <c r="G15" s="24" t="n">
        <v>0</v>
      </c>
      <c r="H15" s="24" t="n">
        <v>30298.68</v>
      </c>
      <c r="I15" s="24" t="n">
        <f aca="false">G15+H15</f>
        <v>30298.68</v>
      </c>
      <c r="J15" s="24" t="n">
        <f aca="false">D15-I15</f>
        <v>14258.19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307313.67</v>
      </c>
      <c r="E16" s="28" t="n">
        <f aca="false">SUM(E10:E15)</f>
        <v>0</v>
      </c>
      <c r="F16" s="28" t="n">
        <f aca="false">SUM(F10:F15)</f>
        <v>49893.27</v>
      </c>
      <c r="G16" s="28" t="n">
        <f aca="false">SUM(G10:G15)</f>
        <v>0</v>
      </c>
      <c r="H16" s="28" t="n">
        <f aca="false">SUM(H10:H15)</f>
        <v>58353.46</v>
      </c>
      <c r="I16" s="28" t="n">
        <f aca="false">SUM(I10:I15)</f>
        <v>58353.46</v>
      </c>
      <c r="J16" s="28" t="n">
        <f aca="false">SUM(J10:J15)</f>
        <v>248960.21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7464.18</v>
      </c>
      <c r="E20" s="24" t="n">
        <v>0</v>
      </c>
      <c r="F20" s="24" t="n">
        <v>4478.51</v>
      </c>
      <c r="G20" s="24" t="n">
        <v>0</v>
      </c>
      <c r="H20" s="24" t="n">
        <v>5075.64</v>
      </c>
      <c r="I20" s="24" t="n">
        <f aca="false">G20+H20</f>
        <v>5075.64</v>
      </c>
      <c r="J20" s="24" t="n">
        <f aca="false">D20-I20</f>
        <v>2388.54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32525.68</v>
      </c>
      <c r="E21" s="24" t="n">
        <v>0</v>
      </c>
      <c r="F21" s="24" t="n">
        <v>0</v>
      </c>
      <c r="G21" s="24" t="n">
        <v>0</v>
      </c>
      <c r="H21" s="24" t="n">
        <v>542.09</v>
      </c>
      <c r="I21" s="24" t="n">
        <f aca="false">G21+H21</f>
        <v>542.09</v>
      </c>
      <c r="J21" s="24" t="n">
        <f aca="false">D21-I21</f>
        <v>31983.59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963.12</v>
      </c>
      <c r="E22" s="24" t="n">
        <v>0</v>
      </c>
      <c r="F22" s="24" t="n">
        <v>577.87</v>
      </c>
      <c r="G22" s="24" t="n">
        <v>0</v>
      </c>
      <c r="H22" s="24" t="n">
        <v>654.92</v>
      </c>
      <c r="I22" s="24" t="n">
        <f aca="false">G22+H22</f>
        <v>654.92</v>
      </c>
      <c r="J22" s="24" t="n">
        <f aca="false">D22-I22</f>
        <v>308.2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4196.85</v>
      </c>
      <c r="E23" s="24" t="n">
        <v>0</v>
      </c>
      <c r="F23" s="24" t="n">
        <v>0</v>
      </c>
      <c r="G23" s="24" t="n">
        <v>0</v>
      </c>
      <c r="H23" s="24" t="n">
        <v>69.95</v>
      </c>
      <c r="I23" s="24" t="n">
        <f aca="false">G23+H23</f>
        <v>69.95</v>
      </c>
      <c r="J23" s="24" t="n">
        <f aca="false">D23-I23</f>
        <v>4126.9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1805.85</v>
      </c>
      <c r="E24" s="24" t="n">
        <v>0</v>
      </c>
      <c r="F24" s="24" t="n">
        <v>1083.51</v>
      </c>
      <c r="G24" s="24" t="n">
        <v>0</v>
      </c>
      <c r="H24" s="24" t="n">
        <v>1227.98</v>
      </c>
      <c r="I24" s="24" t="n">
        <f aca="false">G24+H24</f>
        <v>1227.98</v>
      </c>
      <c r="J24" s="24" t="n">
        <f aca="false">D24-I24</f>
        <v>577.87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7869.12</v>
      </c>
      <c r="E25" s="24" t="n">
        <v>0</v>
      </c>
      <c r="F25" s="24" t="n">
        <v>0</v>
      </c>
      <c r="G25" s="24" t="n">
        <v>0</v>
      </c>
      <c r="H25" s="24" t="n">
        <v>131.15</v>
      </c>
      <c r="I25" s="24" t="n">
        <f aca="false">G25+H25</f>
        <v>131.15</v>
      </c>
      <c r="J25" s="24" t="n">
        <f aca="false">D25-I25</f>
        <v>7737.97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34375.37</v>
      </c>
      <c r="E26" s="24" t="n">
        <v>0</v>
      </c>
      <c r="F26" s="24" t="n">
        <v>20625.22</v>
      </c>
      <c r="G26" s="24" t="n">
        <v>0</v>
      </c>
      <c r="H26" s="24" t="n">
        <v>23375.25</v>
      </c>
      <c r="I26" s="24" t="n">
        <f aca="false">G26+H26</f>
        <v>23375.25</v>
      </c>
      <c r="J26" s="24" t="n">
        <f aca="false">D26-I26</f>
        <v>11000.12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149792.98</v>
      </c>
      <c r="E27" s="24" t="n">
        <v>0</v>
      </c>
      <c r="F27" s="24" t="n">
        <v>0</v>
      </c>
      <c r="G27" s="24" t="n">
        <v>0</v>
      </c>
      <c r="H27" s="24" t="n">
        <v>2496.55</v>
      </c>
      <c r="I27" s="24" t="n">
        <f aca="false">G27+H27</f>
        <v>2496.55</v>
      </c>
      <c r="J27" s="24" t="n">
        <f aca="false">D27-I27</f>
        <v>147296.43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4435.53</v>
      </c>
      <c r="E28" s="24" t="n">
        <v>0</v>
      </c>
      <c r="F28" s="24" t="n">
        <v>2661.32</v>
      </c>
      <c r="G28" s="24" t="n">
        <v>0</v>
      </c>
      <c r="H28" s="24" t="n">
        <v>3016.16</v>
      </c>
      <c r="I28" s="24" t="n">
        <f aca="false">G28+H28</f>
        <v>3016.16</v>
      </c>
      <c r="J28" s="24" t="n">
        <f aca="false">D28-I28</f>
        <v>1419.37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19328.12</v>
      </c>
      <c r="E29" s="24" t="n">
        <v>0</v>
      </c>
      <c r="F29" s="24" t="n">
        <v>0</v>
      </c>
      <c r="G29" s="24" t="n">
        <v>0</v>
      </c>
      <c r="H29" s="24" t="n">
        <v>322.14</v>
      </c>
      <c r="I29" s="24" t="n">
        <f aca="false">G29+H29</f>
        <v>322.14</v>
      </c>
      <c r="J29" s="24" t="n">
        <f aca="false">D29-I29</f>
        <v>19005.98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8316.62</v>
      </c>
      <c r="E30" s="24" t="n">
        <v>0</v>
      </c>
      <c r="F30" s="24" t="n">
        <v>4989.97</v>
      </c>
      <c r="G30" s="24" t="n">
        <v>0</v>
      </c>
      <c r="H30" s="24" t="n">
        <v>5655.3</v>
      </c>
      <c r="I30" s="24" t="n">
        <f aca="false">G30+H30</f>
        <v>5655.3</v>
      </c>
      <c r="J30" s="24" t="n">
        <f aca="false">D30-I30</f>
        <v>2661.32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36240.25</v>
      </c>
      <c r="E31" s="24" t="n">
        <v>0</v>
      </c>
      <c r="F31" s="24" t="n">
        <v>0</v>
      </c>
      <c r="G31" s="24" t="n">
        <v>0</v>
      </c>
      <c r="H31" s="24" t="n">
        <v>604</v>
      </c>
      <c r="I31" s="24" t="n">
        <f aca="false">G31+H31</f>
        <v>604</v>
      </c>
      <c r="J31" s="24" t="n">
        <f aca="false">D31-I31</f>
        <v>35636.25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307313.67</v>
      </c>
      <c r="E32" s="28" t="n">
        <f aca="false">SUM(E20:E31)</f>
        <v>0</v>
      </c>
      <c r="F32" s="28" t="n">
        <f aca="false">SUM(F20:F31)</f>
        <v>34416.4</v>
      </c>
      <c r="G32" s="28" t="n">
        <f aca="false">SUM(G20:G31)</f>
        <v>0</v>
      </c>
      <c r="H32" s="28" t="n">
        <f aca="false">SUM(H20:H31)</f>
        <v>43171.13</v>
      </c>
      <c r="I32" s="28" t="n">
        <f aca="false">SUM(I20:I31)</f>
        <v>43171.13</v>
      </c>
      <c r="J32" s="28" t="n">
        <f aca="false">SUM(J20:J31)</f>
        <v>264142.54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58353.46</v>
      </c>
    </row>
    <row r="36" customFormat="false" ht="15" hidden="false" customHeight="false" outlineLevel="0" collapsed="false">
      <c r="B36" s="5" t="s">
        <v>97</v>
      </c>
      <c r="D36" s="6" t="n">
        <f aca="false">I32</f>
        <v>43171.13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15182.33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39989.86</v>
      </c>
      <c r="E42" s="24" t="n">
        <v>0</v>
      </c>
      <c r="F42" s="24" t="n">
        <v>0</v>
      </c>
      <c r="G42" s="24" t="n">
        <v>0</v>
      </c>
      <c r="H42" s="24" t="n">
        <v>666.51</v>
      </c>
      <c r="I42" s="24" t="n">
        <f aca="false">G42+H42</f>
        <v>666.51</v>
      </c>
      <c r="J42" s="24" t="n">
        <f aca="false">D42-I42</f>
        <v>39323.35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5159.97</v>
      </c>
      <c r="E43" s="24" t="n">
        <v>0</v>
      </c>
      <c r="F43" s="24" t="n">
        <v>3095.98</v>
      </c>
      <c r="G43" s="24" t="n">
        <v>0</v>
      </c>
      <c r="H43" s="24" t="n">
        <v>3164.8</v>
      </c>
      <c r="I43" s="24" t="n">
        <f aca="false">G43+H43</f>
        <v>3164.8</v>
      </c>
      <c r="J43" s="24" t="n">
        <f aca="false">D43-I43</f>
        <v>1995.17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9674.97</v>
      </c>
      <c r="E44" s="24" t="n">
        <v>0</v>
      </c>
      <c r="F44" s="24" t="n">
        <v>5804.98</v>
      </c>
      <c r="G44" s="24" t="n">
        <v>0</v>
      </c>
      <c r="H44" s="24" t="n">
        <v>6578.97</v>
      </c>
      <c r="I44" s="24" t="n">
        <f aca="false">G44+H44</f>
        <v>6578.97</v>
      </c>
      <c r="J44" s="24" t="n">
        <f aca="false">D44-I44</f>
        <v>3096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184168.35</v>
      </c>
      <c r="E45" s="24" t="n">
        <v>0</v>
      </c>
      <c r="F45" s="24" t="n">
        <v>0</v>
      </c>
      <c r="G45" s="24" t="n">
        <v>0</v>
      </c>
      <c r="H45" s="24" t="n">
        <v>3069.46</v>
      </c>
      <c r="I45" s="24" t="n">
        <f aca="false">G45+H45</f>
        <v>3069.46</v>
      </c>
      <c r="J45" s="24" t="n">
        <f aca="false">D45-I45</f>
        <v>181098.89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23763.65</v>
      </c>
      <c r="E46" s="24" t="n">
        <v>0</v>
      </c>
      <c r="F46" s="24" t="n">
        <v>14258.19</v>
      </c>
      <c r="G46" s="24" t="n">
        <v>0</v>
      </c>
      <c r="H46" s="24" t="n">
        <v>14575.04</v>
      </c>
      <c r="I46" s="24" t="n">
        <f aca="false">G46+H46</f>
        <v>14575.04</v>
      </c>
      <c r="J46" s="24" t="n">
        <f aca="false">D46-I46</f>
        <v>9188.61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44556.87</v>
      </c>
      <c r="E47" s="24" t="n">
        <v>0</v>
      </c>
      <c r="F47" s="24" t="n">
        <v>26734.12</v>
      </c>
      <c r="G47" s="24" t="n">
        <v>0</v>
      </c>
      <c r="H47" s="24" t="n">
        <v>30298.68</v>
      </c>
      <c r="I47" s="24" t="n">
        <f aca="false">G47+H47</f>
        <v>30298.68</v>
      </c>
      <c r="J47" s="24" t="n">
        <f aca="false">D47-I47</f>
        <v>14258.19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307313.67</v>
      </c>
      <c r="E48" s="28" t="n">
        <f aca="false">SUM(E42:E47)</f>
        <v>0</v>
      </c>
      <c r="F48" s="28" t="n">
        <f aca="false">SUM(F42:F47)</f>
        <v>49893.27</v>
      </c>
      <c r="G48" s="28" t="n">
        <f aca="false">SUM(G42:G47)</f>
        <v>0</v>
      </c>
      <c r="H48" s="28" t="n">
        <f aca="false">SUM(H42:H47)</f>
        <v>58353.46</v>
      </c>
      <c r="I48" s="28" t="n">
        <f aca="false">SUM(I42:I47)</f>
        <v>58353.46</v>
      </c>
      <c r="J48" s="28" t="n">
        <f aca="false">SUM(J42:J47)</f>
        <v>248960.21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7464.18</v>
      </c>
      <c r="E52" s="24" t="n">
        <v>0</v>
      </c>
      <c r="F52" s="24" t="n">
        <v>4478.51</v>
      </c>
      <c r="G52" s="24" t="n">
        <v>0</v>
      </c>
      <c r="H52" s="24" t="n">
        <v>5075.64</v>
      </c>
      <c r="I52" s="24" t="n">
        <f aca="false">G52+H52</f>
        <v>5075.64</v>
      </c>
      <c r="J52" s="24" t="n">
        <f aca="false">D52-I52</f>
        <v>2388.54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32525.68</v>
      </c>
      <c r="E53" s="24" t="n">
        <v>0</v>
      </c>
      <c r="F53" s="24" t="n">
        <v>0</v>
      </c>
      <c r="G53" s="24" t="n">
        <v>0</v>
      </c>
      <c r="H53" s="24" t="n">
        <v>542.09</v>
      </c>
      <c r="I53" s="24" t="n">
        <f aca="false">G53+H53</f>
        <v>542.09</v>
      </c>
      <c r="J53" s="24" t="n">
        <f aca="false">D53-I53</f>
        <v>31983.59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963.12</v>
      </c>
      <c r="E54" s="24" t="n">
        <v>0</v>
      </c>
      <c r="F54" s="24" t="n">
        <v>577.87</v>
      </c>
      <c r="G54" s="24" t="n">
        <v>0</v>
      </c>
      <c r="H54" s="24" t="n">
        <v>654.92</v>
      </c>
      <c r="I54" s="24" t="n">
        <f aca="false">G54+H54</f>
        <v>654.92</v>
      </c>
      <c r="J54" s="24" t="n">
        <f aca="false">D54-I54</f>
        <v>308.2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4196.85</v>
      </c>
      <c r="E55" s="24" t="n">
        <v>0</v>
      </c>
      <c r="F55" s="24" t="n">
        <v>0</v>
      </c>
      <c r="G55" s="24" t="n">
        <v>0</v>
      </c>
      <c r="H55" s="24" t="n">
        <v>69.95</v>
      </c>
      <c r="I55" s="24" t="n">
        <f aca="false">G55+H55</f>
        <v>69.95</v>
      </c>
      <c r="J55" s="24" t="n">
        <f aca="false">D55-I55</f>
        <v>4126.9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1805.85</v>
      </c>
      <c r="E56" s="24" t="n">
        <v>0</v>
      </c>
      <c r="F56" s="24" t="n">
        <v>1083.51</v>
      </c>
      <c r="G56" s="24" t="n">
        <v>0</v>
      </c>
      <c r="H56" s="24" t="n">
        <v>1227.98</v>
      </c>
      <c r="I56" s="24" t="n">
        <f aca="false">G56+H56</f>
        <v>1227.98</v>
      </c>
      <c r="J56" s="24" t="n">
        <f aca="false">D56-I56</f>
        <v>577.87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7869.12</v>
      </c>
      <c r="E57" s="24" t="n">
        <v>0</v>
      </c>
      <c r="F57" s="24" t="n">
        <v>0</v>
      </c>
      <c r="G57" s="24" t="n">
        <v>0</v>
      </c>
      <c r="H57" s="24" t="n">
        <v>131.15</v>
      </c>
      <c r="I57" s="24" t="n">
        <f aca="false">G57+H57</f>
        <v>131.15</v>
      </c>
      <c r="J57" s="24" t="n">
        <f aca="false">D57-I57</f>
        <v>7737.97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34375.37</v>
      </c>
      <c r="E58" s="24" t="n">
        <v>0</v>
      </c>
      <c r="F58" s="24" t="n">
        <v>20625.22</v>
      </c>
      <c r="G58" s="24" t="n">
        <v>0</v>
      </c>
      <c r="H58" s="24" t="n">
        <v>23375.25</v>
      </c>
      <c r="I58" s="24" t="n">
        <f aca="false">G58+H58</f>
        <v>23375.25</v>
      </c>
      <c r="J58" s="24" t="n">
        <f aca="false">D58-I58</f>
        <v>11000.12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149792.98</v>
      </c>
      <c r="E59" s="24" t="n">
        <v>0</v>
      </c>
      <c r="F59" s="24" t="n">
        <v>0</v>
      </c>
      <c r="G59" s="24" t="n">
        <v>0</v>
      </c>
      <c r="H59" s="24" t="n">
        <v>2496.55</v>
      </c>
      <c r="I59" s="24" t="n">
        <f aca="false">G59+H59</f>
        <v>2496.55</v>
      </c>
      <c r="J59" s="24" t="n">
        <f aca="false">D59-I59</f>
        <v>147296.43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4435.53</v>
      </c>
      <c r="E60" s="24" t="n">
        <v>0</v>
      </c>
      <c r="F60" s="24" t="n">
        <v>2661.32</v>
      </c>
      <c r="G60" s="24" t="n">
        <v>0</v>
      </c>
      <c r="H60" s="24" t="n">
        <v>3016.16</v>
      </c>
      <c r="I60" s="24" t="n">
        <f aca="false">G60+H60</f>
        <v>3016.16</v>
      </c>
      <c r="J60" s="24" t="n">
        <f aca="false">D60-I60</f>
        <v>1419.37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19328.12</v>
      </c>
      <c r="E61" s="24" t="n">
        <v>0</v>
      </c>
      <c r="F61" s="24" t="n">
        <v>0</v>
      </c>
      <c r="G61" s="24" t="n">
        <v>0</v>
      </c>
      <c r="H61" s="24" t="n">
        <v>322.14</v>
      </c>
      <c r="I61" s="24" t="n">
        <f aca="false">G61+H61</f>
        <v>322.14</v>
      </c>
      <c r="J61" s="24" t="n">
        <f aca="false">D61-I61</f>
        <v>19005.98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8316.62</v>
      </c>
      <c r="E62" s="24" t="n">
        <v>0</v>
      </c>
      <c r="F62" s="24" t="n">
        <v>4989.97</v>
      </c>
      <c r="G62" s="24" t="n">
        <v>0</v>
      </c>
      <c r="H62" s="24" t="n">
        <v>5655.3</v>
      </c>
      <c r="I62" s="24" t="n">
        <f aca="false">G62+H62</f>
        <v>5655.3</v>
      </c>
      <c r="J62" s="24" t="n">
        <f aca="false">D62-I62</f>
        <v>2661.32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36240.25</v>
      </c>
      <c r="E63" s="24" t="n">
        <v>0</v>
      </c>
      <c r="F63" s="24" t="n">
        <v>0</v>
      </c>
      <c r="G63" s="24" t="n">
        <v>0</v>
      </c>
      <c r="H63" s="24" t="n">
        <v>604</v>
      </c>
      <c r="I63" s="24" t="n">
        <f aca="false">G63+H63</f>
        <v>604</v>
      </c>
      <c r="J63" s="24" t="n">
        <f aca="false">D63-I63</f>
        <v>35636.25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307313.67</v>
      </c>
      <c r="E64" s="28" t="n">
        <f aca="false">SUM(E52:E63)</f>
        <v>0</v>
      </c>
      <c r="F64" s="28" t="n">
        <f aca="false">SUM(F52:F63)</f>
        <v>34416.4</v>
      </c>
      <c r="G64" s="28" t="n">
        <f aca="false">SUM(G52:G63)</f>
        <v>0</v>
      </c>
      <c r="H64" s="28" t="n">
        <f aca="false">SUM(H52:H63)</f>
        <v>43171.13</v>
      </c>
      <c r="I64" s="28" t="n">
        <f aca="false">SUM(I52:I63)</f>
        <v>43171.13</v>
      </c>
      <c r="J64" s="28" t="n">
        <f aca="false">SUM(J52:J63)</f>
        <v>264142.54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58353.46</v>
      </c>
    </row>
    <row r="68" customFormat="false" ht="15" hidden="false" customHeight="false" outlineLevel="0" collapsed="false">
      <c r="B68" s="5" t="s">
        <v>97</v>
      </c>
      <c r="D68" s="6" t="n">
        <f aca="false">I64</f>
        <v>43171.13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15182.33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307313.67</v>
      </c>
    </row>
    <row r="73" customFormat="false" ht="15" hidden="false" customHeight="false" outlineLevel="0" collapsed="false">
      <c r="B73" s="5" t="s">
        <v>106</v>
      </c>
      <c r="D73" s="6" t="n">
        <f aca="false">F110</f>
        <v>57360.67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0.186651866153562</v>
      </c>
    </row>
    <row r="75" customFormat="false" ht="15" hidden="false" customHeight="false" outlineLevel="0" collapsed="false">
      <c r="B75" s="5" t="s">
        <v>109</v>
      </c>
      <c r="D75" s="6" t="n">
        <f aca="false">H110</f>
        <v>249953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0.813348133846438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13303.54</v>
      </c>
      <c r="F81" s="33" t="n">
        <v>13303.54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4028.66</v>
      </c>
      <c r="F82" s="33" t="n">
        <v>4028.66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18880</v>
      </c>
      <c r="F83" s="33" t="n">
        <v>18880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4380.58</v>
      </c>
      <c r="F84" s="33" t="n">
        <v>4380.58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120.21</v>
      </c>
      <c r="F85" s="33" t="n">
        <v>120.21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2691.07</v>
      </c>
      <c r="F86" s="33" t="n">
        <v>2691.07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2330.78</v>
      </c>
      <c r="F87" s="33" t="n">
        <v>2330.78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4922.4</v>
      </c>
      <c r="F88" s="33" t="n">
        <v>4922.4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2107.3</v>
      </c>
      <c r="F89" s="33" t="n">
        <v>2107.3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79.75</v>
      </c>
      <c r="F90" s="33" t="n">
        <v>79.75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269.71</v>
      </c>
      <c r="F91" s="33" t="n">
        <v>269.71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4246.67</v>
      </c>
      <c r="F92" s="33" t="n">
        <v>4246.67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14675.94</v>
      </c>
      <c r="H94" s="33" t="n">
        <v>14675.94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17193.38</v>
      </c>
      <c r="H95" s="33" t="n">
        <v>17193.38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26236.29</v>
      </c>
      <c r="H96" s="33" t="n">
        <v>26236.29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28355.25</v>
      </c>
      <c r="H97" s="33" t="n">
        <v>28355.25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22807.05</v>
      </c>
      <c r="H98" s="33" t="n">
        <v>22807.05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1962.21</v>
      </c>
      <c r="H99" s="33" t="n">
        <v>1962.21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8616.49</v>
      </c>
      <c r="H100" s="33" t="n">
        <v>8616.49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20002.12</v>
      </c>
      <c r="H101" s="33" t="n">
        <v>20002.12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8765.44</v>
      </c>
      <c r="H102" s="33" t="n">
        <v>8765.44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12067.55</v>
      </c>
      <c r="H103" s="33" t="n">
        <v>12067.55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24523.04</v>
      </c>
      <c r="H104" s="33" t="n">
        <v>24523.04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11322.54</v>
      </c>
      <c r="H105" s="33" t="n">
        <v>11322.54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1442.59</v>
      </c>
      <c r="H106" s="33" t="n">
        <v>1442.59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31298.16</v>
      </c>
      <c r="H107" s="33" t="n">
        <v>31298.16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16175.78</v>
      </c>
      <c r="H108" s="33" t="n">
        <v>16175.78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4509.17</v>
      </c>
      <c r="H109" s="33" t="n">
        <v>4509.17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307313.67</v>
      </c>
      <c r="F110" s="34" t="n">
        <f aca="false">SUM(F80:F109)</f>
        <v>57360.67</v>
      </c>
      <c r="H110" s="34" t="n">
        <f aca="false">SUM(H80:H109)</f>
        <v>249953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0.186651866153562</v>
      </c>
      <c r="H111" s="31" t="n">
        <f aca="false">H110/D110</f>
        <v>0.813348133846438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13'!B20</f>
        <v>2-Building-712 Northfield Dr - 5 Year</v>
      </c>
      <c r="D115" s="33" t="n">
        <f aca="false">SUM(F115:H115)</f>
        <v>7464.18</v>
      </c>
      <c r="F115" s="33" t="n">
        <f aca="false">'Building 13'!D20</f>
        <v>7464.18</v>
      </c>
    </row>
    <row r="116" customFormat="false" ht="15" hidden="false" customHeight="false" outlineLevel="0" collapsed="false">
      <c r="B116" s="5" t="str">
        <f aca="false">'Building 13'!B21</f>
        <v>2-Building-712 Northfield Dr - 27.5 Year</v>
      </c>
      <c r="D116" s="33" t="n">
        <f aca="false">SUM(F116:H116)</f>
        <v>32525.68</v>
      </c>
      <c r="H116" s="33" t="n">
        <f aca="false">'Building 13'!D21</f>
        <v>32525.68</v>
      </c>
    </row>
    <row r="117" customFormat="false" ht="15" hidden="false" customHeight="false" outlineLevel="0" collapsed="false">
      <c r="B117" s="5" t="str">
        <f aca="false">'Building 13'!B22</f>
        <v>3-Northfield Dr - 5 Year</v>
      </c>
      <c r="D117" s="33" t="n">
        <f aca="false">SUM(F117:H117)</f>
        <v>963.12</v>
      </c>
      <c r="F117" s="33" t="n">
        <f aca="false">'Building 13'!D22</f>
        <v>963.12</v>
      </c>
    </row>
    <row r="118" customFormat="false" ht="15" hidden="false" customHeight="false" outlineLevel="0" collapsed="false">
      <c r="B118" s="5" t="str">
        <f aca="false">'Building 13'!B23</f>
        <v>3-Northfield Dr - 27.5 Year</v>
      </c>
      <c r="D118" s="33" t="n">
        <f aca="false">SUM(F118:H118)</f>
        <v>4196.85</v>
      </c>
      <c r="H118" s="33" t="n">
        <f aca="false">'Building 13'!D23</f>
        <v>4196.85</v>
      </c>
    </row>
    <row r="119" customFormat="false" ht="15" hidden="false" customHeight="false" outlineLevel="0" collapsed="false">
      <c r="B119" s="5" t="str">
        <f aca="false">'Building 13'!B24</f>
        <v>4-Northfield Dr - 5 Year</v>
      </c>
      <c r="D119" s="33" t="n">
        <f aca="false">SUM(F119:H119)</f>
        <v>1805.85</v>
      </c>
      <c r="F119" s="33" t="n">
        <f aca="false">'Building 13'!D24</f>
        <v>1805.85</v>
      </c>
    </row>
    <row r="120" customFormat="false" ht="15" hidden="false" customHeight="false" outlineLevel="0" collapsed="false">
      <c r="B120" s="5" t="str">
        <f aca="false">'Building 13'!B25</f>
        <v>4-Northfield Dr - 27.5 Year</v>
      </c>
      <c r="D120" s="33" t="n">
        <f aca="false">SUM(F120:H120)</f>
        <v>7869.12</v>
      </c>
      <c r="H120" s="33" t="n">
        <f aca="false">'Building 13'!D25</f>
        <v>7869.12</v>
      </c>
    </row>
    <row r="121" customFormat="false" ht="15" hidden="false" customHeight="false" outlineLevel="0" collapsed="false">
      <c r="B121" s="5" t="str">
        <f aca="false">'Building 13'!B26</f>
        <v>7-Building-2202 Northview Dr - 5 Year</v>
      </c>
      <c r="D121" s="33" t="n">
        <f aca="false">SUM(F121:H121)</f>
        <v>34375.37</v>
      </c>
      <c r="F121" s="33" t="n">
        <f aca="false">'Building 13'!D26</f>
        <v>34375.37</v>
      </c>
    </row>
    <row r="122" customFormat="false" ht="15" hidden="false" customHeight="false" outlineLevel="0" collapsed="false">
      <c r="B122" s="5" t="str">
        <f aca="false">'Building 13'!B27</f>
        <v>7-Building-2202 Northview Dr - 27.5 Year</v>
      </c>
      <c r="D122" s="33" t="n">
        <f aca="false">SUM(F122:H122)</f>
        <v>149792.98</v>
      </c>
      <c r="H122" s="33" t="n">
        <f aca="false">'Building 13'!D27</f>
        <v>149792.98</v>
      </c>
    </row>
    <row r="123" customFormat="false" ht="15" hidden="false" customHeight="false" outlineLevel="0" collapsed="false">
      <c r="B123" s="5" t="str">
        <f aca="false">'Building 13'!B28</f>
        <v>8-Northiew Dr - 5 Year</v>
      </c>
      <c r="D123" s="33" t="n">
        <f aca="false">SUM(F123:H123)</f>
        <v>4435.53</v>
      </c>
      <c r="F123" s="33" t="n">
        <f aca="false">'Building 13'!D28</f>
        <v>4435.53</v>
      </c>
    </row>
    <row r="124" customFormat="false" ht="15" hidden="false" customHeight="false" outlineLevel="0" collapsed="false">
      <c r="B124" s="5" t="str">
        <f aca="false">'Building 13'!B29</f>
        <v>8-Northiew Dr - 27.5 Year</v>
      </c>
      <c r="D124" s="33" t="n">
        <f aca="false">SUM(F124:H124)</f>
        <v>19328.12</v>
      </c>
      <c r="H124" s="33" t="n">
        <f aca="false">'Building 13'!D29</f>
        <v>19328.12</v>
      </c>
    </row>
    <row r="125" customFormat="false" ht="15" hidden="false" customHeight="false" outlineLevel="0" collapsed="false">
      <c r="B125" s="5" t="str">
        <f aca="false">'Building 13'!B30</f>
        <v>9-Northview Dr - 5 Year</v>
      </c>
      <c r="D125" s="33" t="n">
        <f aca="false">SUM(F125:H125)</f>
        <v>8316.62</v>
      </c>
      <c r="F125" s="33" t="n">
        <f aca="false">'Building 13'!D30</f>
        <v>8316.62</v>
      </c>
    </row>
    <row r="126" customFormat="false" ht="15" hidden="false" customHeight="false" outlineLevel="0" collapsed="false">
      <c r="B126" s="5" t="str">
        <f aca="false">'Building 13'!B31</f>
        <v>9-Northview Dr - 27.5 Year</v>
      </c>
      <c r="D126" s="33" t="n">
        <f aca="false">SUM(F126:H126)</f>
        <v>36240.25</v>
      </c>
      <c r="H126" s="33" t="n">
        <f aca="false">'Building 13'!D31</f>
        <v>36240.25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307313.67</v>
      </c>
      <c r="F127" s="34" t="n">
        <f aca="false">SUM(F115:F126)</f>
        <v>57360.67</v>
      </c>
      <c r="H127" s="34" t="n">
        <f aca="false">SUM(H115:H126)</f>
        <v>249953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186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39989.86</v>
      </c>
      <c r="E10" s="24" t="n">
        <v>0</v>
      </c>
      <c r="F10" s="24" t="n">
        <v>0</v>
      </c>
      <c r="G10" s="24" t="n">
        <v>0</v>
      </c>
      <c r="H10" s="24" t="n">
        <v>666.51</v>
      </c>
      <c r="I10" s="24" t="n">
        <f aca="false">G10+H10</f>
        <v>666.51</v>
      </c>
      <c r="J10" s="24" t="n">
        <f aca="false">D10-I10</f>
        <v>39323.35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5159.97</v>
      </c>
      <c r="E11" s="24" t="n">
        <v>0</v>
      </c>
      <c r="F11" s="24" t="n">
        <v>3095.98</v>
      </c>
      <c r="G11" s="24" t="n">
        <v>0</v>
      </c>
      <c r="H11" s="24" t="n">
        <v>3164.8</v>
      </c>
      <c r="I11" s="24" t="n">
        <f aca="false">G11+H11</f>
        <v>3164.8</v>
      </c>
      <c r="J11" s="24" t="n">
        <f aca="false">D11-I11</f>
        <v>1995.17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9674.97</v>
      </c>
      <c r="E12" s="24" t="n">
        <v>0</v>
      </c>
      <c r="F12" s="24" t="n">
        <v>5804.98</v>
      </c>
      <c r="G12" s="24" t="n">
        <v>0</v>
      </c>
      <c r="H12" s="24" t="n">
        <v>6578.97</v>
      </c>
      <c r="I12" s="24" t="n">
        <f aca="false">G12+H12</f>
        <v>6578.97</v>
      </c>
      <c r="J12" s="24" t="n">
        <f aca="false">D12-I12</f>
        <v>3096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184168.35</v>
      </c>
      <c r="E13" s="24" t="n">
        <v>0</v>
      </c>
      <c r="F13" s="24" t="n">
        <v>0</v>
      </c>
      <c r="G13" s="24" t="n">
        <v>0</v>
      </c>
      <c r="H13" s="24" t="n">
        <v>3069.46</v>
      </c>
      <c r="I13" s="24" t="n">
        <f aca="false">G13+H13</f>
        <v>3069.46</v>
      </c>
      <c r="J13" s="24" t="n">
        <f aca="false">D13-I13</f>
        <v>181098.89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23763.65</v>
      </c>
      <c r="E14" s="24" t="n">
        <v>0</v>
      </c>
      <c r="F14" s="24" t="n">
        <v>14258.19</v>
      </c>
      <c r="G14" s="24" t="n">
        <v>0</v>
      </c>
      <c r="H14" s="24" t="n">
        <v>14575.04</v>
      </c>
      <c r="I14" s="24" t="n">
        <f aca="false">G14+H14</f>
        <v>14575.04</v>
      </c>
      <c r="J14" s="24" t="n">
        <f aca="false">D14-I14</f>
        <v>9188.61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44556.87</v>
      </c>
      <c r="E15" s="24" t="n">
        <v>0</v>
      </c>
      <c r="F15" s="24" t="n">
        <v>26734.12</v>
      </c>
      <c r="G15" s="24" t="n">
        <v>0</v>
      </c>
      <c r="H15" s="24" t="n">
        <v>30298.68</v>
      </c>
      <c r="I15" s="24" t="n">
        <f aca="false">G15+H15</f>
        <v>30298.68</v>
      </c>
      <c r="J15" s="24" t="n">
        <f aca="false">D15-I15</f>
        <v>14258.19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307313.67</v>
      </c>
      <c r="E16" s="28" t="n">
        <f aca="false">SUM(E10:E15)</f>
        <v>0</v>
      </c>
      <c r="F16" s="28" t="n">
        <f aca="false">SUM(F10:F15)</f>
        <v>49893.27</v>
      </c>
      <c r="G16" s="28" t="n">
        <f aca="false">SUM(G10:G15)</f>
        <v>0</v>
      </c>
      <c r="H16" s="28" t="n">
        <f aca="false">SUM(H10:H15)</f>
        <v>58353.46</v>
      </c>
      <c r="I16" s="28" t="n">
        <f aca="false">SUM(I10:I15)</f>
        <v>58353.46</v>
      </c>
      <c r="J16" s="28" t="n">
        <f aca="false">SUM(J10:J15)</f>
        <v>248960.21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7464.18</v>
      </c>
      <c r="E20" s="24" t="n">
        <v>0</v>
      </c>
      <c r="F20" s="24" t="n">
        <v>4478.51</v>
      </c>
      <c r="G20" s="24" t="n">
        <v>0</v>
      </c>
      <c r="H20" s="24" t="n">
        <v>5075.64</v>
      </c>
      <c r="I20" s="24" t="n">
        <f aca="false">G20+H20</f>
        <v>5075.64</v>
      </c>
      <c r="J20" s="24" t="n">
        <f aca="false">D20-I20</f>
        <v>2388.54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32525.68</v>
      </c>
      <c r="E21" s="24" t="n">
        <v>0</v>
      </c>
      <c r="F21" s="24" t="n">
        <v>0</v>
      </c>
      <c r="G21" s="24" t="n">
        <v>0</v>
      </c>
      <c r="H21" s="24" t="n">
        <v>542.09</v>
      </c>
      <c r="I21" s="24" t="n">
        <f aca="false">G21+H21</f>
        <v>542.09</v>
      </c>
      <c r="J21" s="24" t="n">
        <f aca="false">D21-I21</f>
        <v>31983.59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963.12</v>
      </c>
      <c r="E22" s="24" t="n">
        <v>0</v>
      </c>
      <c r="F22" s="24" t="n">
        <v>577.87</v>
      </c>
      <c r="G22" s="24" t="n">
        <v>0</v>
      </c>
      <c r="H22" s="24" t="n">
        <v>654.92</v>
      </c>
      <c r="I22" s="24" t="n">
        <f aca="false">G22+H22</f>
        <v>654.92</v>
      </c>
      <c r="J22" s="24" t="n">
        <f aca="false">D22-I22</f>
        <v>308.2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4196.85</v>
      </c>
      <c r="E23" s="24" t="n">
        <v>0</v>
      </c>
      <c r="F23" s="24" t="n">
        <v>0</v>
      </c>
      <c r="G23" s="24" t="n">
        <v>0</v>
      </c>
      <c r="H23" s="24" t="n">
        <v>69.95</v>
      </c>
      <c r="I23" s="24" t="n">
        <f aca="false">G23+H23</f>
        <v>69.95</v>
      </c>
      <c r="J23" s="24" t="n">
        <f aca="false">D23-I23</f>
        <v>4126.9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1805.85</v>
      </c>
      <c r="E24" s="24" t="n">
        <v>0</v>
      </c>
      <c r="F24" s="24" t="n">
        <v>1083.51</v>
      </c>
      <c r="G24" s="24" t="n">
        <v>0</v>
      </c>
      <c r="H24" s="24" t="n">
        <v>1227.98</v>
      </c>
      <c r="I24" s="24" t="n">
        <f aca="false">G24+H24</f>
        <v>1227.98</v>
      </c>
      <c r="J24" s="24" t="n">
        <f aca="false">D24-I24</f>
        <v>577.87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7869.12</v>
      </c>
      <c r="E25" s="24" t="n">
        <v>0</v>
      </c>
      <c r="F25" s="24" t="n">
        <v>0</v>
      </c>
      <c r="G25" s="24" t="n">
        <v>0</v>
      </c>
      <c r="H25" s="24" t="n">
        <v>131.15</v>
      </c>
      <c r="I25" s="24" t="n">
        <f aca="false">G25+H25</f>
        <v>131.15</v>
      </c>
      <c r="J25" s="24" t="n">
        <f aca="false">D25-I25</f>
        <v>7737.97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34375.37</v>
      </c>
      <c r="E26" s="24" t="n">
        <v>0</v>
      </c>
      <c r="F26" s="24" t="n">
        <v>20625.22</v>
      </c>
      <c r="G26" s="24" t="n">
        <v>0</v>
      </c>
      <c r="H26" s="24" t="n">
        <v>23375.25</v>
      </c>
      <c r="I26" s="24" t="n">
        <f aca="false">G26+H26</f>
        <v>23375.25</v>
      </c>
      <c r="J26" s="24" t="n">
        <f aca="false">D26-I26</f>
        <v>11000.12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149792.98</v>
      </c>
      <c r="E27" s="24" t="n">
        <v>0</v>
      </c>
      <c r="F27" s="24" t="n">
        <v>0</v>
      </c>
      <c r="G27" s="24" t="n">
        <v>0</v>
      </c>
      <c r="H27" s="24" t="n">
        <v>2496.55</v>
      </c>
      <c r="I27" s="24" t="n">
        <f aca="false">G27+H27</f>
        <v>2496.55</v>
      </c>
      <c r="J27" s="24" t="n">
        <f aca="false">D27-I27</f>
        <v>147296.43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4435.53</v>
      </c>
      <c r="E28" s="24" t="n">
        <v>0</v>
      </c>
      <c r="F28" s="24" t="n">
        <v>2661.32</v>
      </c>
      <c r="G28" s="24" t="n">
        <v>0</v>
      </c>
      <c r="H28" s="24" t="n">
        <v>3016.16</v>
      </c>
      <c r="I28" s="24" t="n">
        <f aca="false">G28+H28</f>
        <v>3016.16</v>
      </c>
      <c r="J28" s="24" t="n">
        <f aca="false">D28-I28</f>
        <v>1419.37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19328.12</v>
      </c>
      <c r="E29" s="24" t="n">
        <v>0</v>
      </c>
      <c r="F29" s="24" t="n">
        <v>0</v>
      </c>
      <c r="G29" s="24" t="n">
        <v>0</v>
      </c>
      <c r="H29" s="24" t="n">
        <v>322.14</v>
      </c>
      <c r="I29" s="24" t="n">
        <f aca="false">G29+H29</f>
        <v>322.14</v>
      </c>
      <c r="J29" s="24" t="n">
        <f aca="false">D29-I29</f>
        <v>19005.98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8316.62</v>
      </c>
      <c r="E30" s="24" t="n">
        <v>0</v>
      </c>
      <c r="F30" s="24" t="n">
        <v>4989.97</v>
      </c>
      <c r="G30" s="24" t="n">
        <v>0</v>
      </c>
      <c r="H30" s="24" t="n">
        <v>5655.3</v>
      </c>
      <c r="I30" s="24" t="n">
        <f aca="false">G30+H30</f>
        <v>5655.3</v>
      </c>
      <c r="J30" s="24" t="n">
        <f aca="false">D30-I30</f>
        <v>2661.32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36240.25</v>
      </c>
      <c r="E31" s="24" t="n">
        <v>0</v>
      </c>
      <c r="F31" s="24" t="n">
        <v>0</v>
      </c>
      <c r="G31" s="24" t="n">
        <v>0</v>
      </c>
      <c r="H31" s="24" t="n">
        <v>604</v>
      </c>
      <c r="I31" s="24" t="n">
        <f aca="false">G31+H31</f>
        <v>604</v>
      </c>
      <c r="J31" s="24" t="n">
        <f aca="false">D31-I31</f>
        <v>35636.25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307313.67</v>
      </c>
      <c r="E32" s="28" t="n">
        <f aca="false">SUM(E20:E31)</f>
        <v>0</v>
      </c>
      <c r="F32" s="28" t="n">
        <f aca="false">SUM(F20:F31)</f>
        <v>34416.4</v>
      </c>
      <c r="G32" s="28" t="n">
        <f aca="false">SUM(G20:G31)</f>
        <v>0</v>
      </c>
      <c r="H32" s="28" t="n">
        <f aca="false">SUM(H20:H31)</f>
        <v>43171.13</v>
      </c>
      <c r="I32" s="28" t="n">
        <f aca="false">SUM(I20:I31)</f>
        <v>43171.13</v>
      </c>
      <c r="J32" s="28" t="n">
        <f aca="false">SUM(J20:J31)</f>
        <v>264142.54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58353.46</v>
      </c>
    </row>
    <row r="36" customFormat="false" ht="15" hidden="false" customHeight="false" outlineLevel="0" collapsed="false">
      <c r="B36" s="5" t="s">
        <v>97</v>
      </c>
      <c r="D36" s="6" t="n">
        <f aca="false">I32</f>
        <v>43171.13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15182.33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39989.86</v>
      </c>
      <c r="E42" s="24" t="n">
        <v>0</v>
      </c>
      <c r="F42" s="24" t="n">
        <v>0</v>
      </c>
      <c r="G42" s="24" t="n">
        <v>0</v>
      </c>
      <c r="H42" s="24" t="n">
        <v>666.51</v>
      </c>
      <c r="I42" s="24" t="n">
        <f aca="false">G42+H42</f>
        <v>666.51</v>
      </c>
      <c r="J42" s="24" t="n">
        <f aca="false">D42-I42</f>
        <v>39323.35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5159.97</v>
      </c>
      <c r="E43" s="24" t="n">
        <v>0</v>
      </c>
      <c r="F43" s="24" t="n">
        <v>3095.98</v>
      </c>
      <c r="G43" s="24" t="n">
        <v>0</v>
      </c>
      <c r="H43" s="24" t="n">
        <v>3164.8</v>
      </c>
      <c r="I43" s="24" t="n">
        <f aca="false">G43+H43</f>
        <v>3164.8</v>
      </c>
      <c r="J43" s="24" t="n">
        <f aca="false">D43-I43</f>
        <v>1995.17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9674.97</v>
      </c>
      <c r="E44" s="24" t="n">
        <v>0</v>
      </c>
      <c r="F44" s="24" t="n">
        <v>5804.98</v>
      </c>
      <c r="G44" s="24" t="n">
        <v>0</v>
      </c>
      <c r="H44" s="24" t="n">
        <v>6578.97</v>
      </c>
      <c r="I44" s="24" t="n">
        <f aca="false">G44+H44</f>
        <v>6578.97</v>
      </c>
      <c r="J44" s="24" t="n">
        <f aca="false">D44-I44</f>
        <v>3096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184168.35</v>
      </c>
      <c r="E45" s="24" t="n">
        <v>0</v>
      </c>
      <c r="F45" s="24" t="n">
        <v>0</v>
      </c>
      <c r="G45" s="24" t="n">
        <v>0</v>
      </c>
      <c r="H45" s="24" t="n">
        <v>3069.46</v>
      </c>
      <c r="I45" s="24" t="n">
        <f aca="false">G45+H45</f>
        <v>3069.46</v>
      </c>
      <c r="J45" s="24" t="n">
        <f aca="false">D45-I45</f>
        <v>181098.89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23763.65</v>
      </c>
      <c r="E46" s="24" t="n">
        <v>0</v>
      </c>
      <c r="F46" s="24" t="n">
        <v>14258.19</v>
      </c>
      <c r="G46" s="24" t="n">
        <v>0</v>
      </c>
      <c r="H46" s="24" t="n">
        <v>14575.04</v>
      </c>
      <c r="I46" s="24" t="n">
        <f aca="false">G46+H46</f>
        <v>14575.04</v>
      </c>
      <c r="J46" s="24" t="n">
        <f aca="false">D46-I46</f>
        <v>9188.61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44556.87</v>
      </c>
      <c r="E47" s="24" t="n">
        <v>0</v>
      </c>
      <c r="F47" s="24" t="n">
        <v>26734.12</v>
      </c>
      <c r="G47" s="24" t="n">
        <v>0</v>
      </c>
      <c r="H47" s="24" t="n">
        <v>30298.68</v>
      </c>
      <c r="I47" s="24" t="n">
        <f aca="false">G47+H47</f>
        <v>30298.68</v>
      </c>
      <c r="J47" s="24" t="n">
        <f aca="false">D47-I47</f>
        <v>14258.19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307313.67</v>
      </c>
      <c r="E48" s="28" t="n">
        <f aca="false">SUM(E42:E47)</f>
        <v>0</v>
      </c>
      <c r="F48" s="28" t="n">
        <f aca="false">SUM(F42:F47)</f>
        <v>49893.27</v>
      </c>
      <c r="G48" s="28" t="n">
        <f aca="false">SUM(G42:G47)</f>
        <v>0</v>
      </c>
      <c r="H48" s="28" t="n">
        <f aca="false">SUM(H42:H47)</f>
        <v>58353.46</v>
      </c>
      <c r="I48" s="28" t="n">
        <f aca="false">SUM(I42:I47)</f>
        <v>58353.46</v>
      </c>
      <c r="J48" s="28" t="n">
        <f aca="false">SUM(J42:J47)</f>
        <v>248960.21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7464.18</v>
      </c>
      <c r="E52" s="24" t="n">
        <v>0</v>
      </c>
      <c r="F52" s="24" t="n">
        <v>4478.51</v>
      </c>
      <c r="G52" s="24" t="n">
        <v>0</v>
      </c>
      <c r="H52" s="24" t="n">
        <v>5075.64</v>
      </c>
      <c r="I52" s="24" t="n">
        <f aca="false">G52+H52</f>
        <v>5075.64</v>
      </c>
      <c r="J52" s="24" t="n">
        <f aca="false">D52-I52</f>
        <v>2388.54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32525.68</v>
      </c>
      <c r="E53" s="24" t="n">
        <v>0</v>
      </c>
      <c r="F53" s="24" t="n">
        <v>0</v>
      </c>
      <c r="G53" s="24" t="n">
        <v>0</v>
      </c>
      <c r="H53" s="24" t="n">
        <v>542.09</v>
      </c>
      <c r="I53" s="24" t="n">
        <f aca="false">G53+H53</f>
        <v>542.09</v>
      </c>
      <c r="J53" s="24" t="n">
        <f aca="false">D53-I53</f>
        <v>31983.59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963.12</v>
      </c>
      <c r="E54" s="24" t="n">
        <v>0</v>
      </c>
      <c r="F54" s="24" t="n">
        <v>577.87</v>
      </c>
      <c r="G54" s="24" t="n">
        <v>0</v>
      </c>
      <c r="H54" s="24" t="n">
        <v>654.92</v>
      </c>
      <c r="I54" s="24" t="n">
        <f aca="false">G54+H54</f>
        <v>654.92</v>
      </c>
      <c r="J54" s="24" t="n">
        <f aca="false">D54-I54</f>
        <v>308.2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4196.85</v>
      </c>
      <c r="E55" s="24" t="n">
        <v>0</v>
      </c>
      <c r="F55" s="24" t="n">
        <v>0</v>
      </c>
      <c r="G55" s="24" t="n">
        <v>0</v>
      </c>
      <c r="H55" s="24" t="n">
        <v>69.95</v>
      </c>
      <c r="I55" s="24" t="n">
        <f aca="false">G55+H55</f>
        <v>69.95</v>
      </c>
      <c r="J55" s="24" t="n">
        <f aca="false">D55-I55</f>
        <v>4126.9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1805.85</v>
      </c>
      <c r="E56" s="24" t="n">
        <v>0</v>
      </c>
      <c r="F56" s="24" t="n">
        <v>1083.51</v>
      </c>
      <c r="G56" s="24" t="n">
        <v>0</v>
      </c>
      <c r="H56" s="24" t="n">
        <v>1227.98</v>
      </c>
      <c r="I56" s="24" t="n">
        <f aca="false">G56+H56</f>
        <v>1227.98</v>
      </c>
      <c r="J56" s="24" t="n">
        <f aca="false">D56-I56</f>
        <v>577.87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7869.12</v>
      </c>
      <c r="E57" s="24" t="n">
        <v>0</v>
      </c>
      <c r="F57" s="24" t="n">
        <v>0</v>
      </c>
      <c r="G57" s="24" t="n">
        <v>0</v>
      </c>
      <c r="H57" s="24" t="n">
        <v>131.15</v>
      </c>
      <c r="I57" s="24" t="n">
        <f aca="false">G57+H57</f>
        <v>131.15</v>
      </c>
      <c r="J57" s="24" t="n">
        <f aca="false">D57-I57</f>
        <v>7737.97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34375.37</v>
      </c>
      <c r="E58" s="24" t="n">
        <v>0</v>
      </c>
      <c r="F58" s="24" t="n">
        <v>20625.22</v>
      </c>
      <c r="G58" s="24" t="n">
        <v>0</v>
      </c>
      <c r="H58" s="24" t="n">
        <v>23375.25</v>
      </c>
      <c r="I58" s="24" t="n">
        <f aca="false">G58+H58</f>
        <v>23375.25</v>
      </c>
      <c r="J58" s="24" t="n">
        <f aca="false">D58-I58</f>
        <v>11000.12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149792.98</v>
      </c>
      <c r="E59" s="24" t="n">
        <v>0</v>
      </c>
      <c r="F59" s="24" t="n">
        <v>0</v>
      </c>
      <c r="G59" s="24" t="n">
        <v>0</v>
      </c>
      <c r="H59" s="24" t="n">
        <v>2496.55</v>
      </c>
      <c r="I59" s="24" t="n">
        <f aca="false">G59+H59</f>
        <v>2496.55</v>
      </c>
      <c r="J59" s="24" t="n">
        <f aca="false">D59-I59</f>
        <v>147296.43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4435.53</v>
      </c>
      <c r="E60" s="24" t="n">
        <v>0</v>
      </c>
      <c r="F60" s="24" t="n">
        <v>2661.32</v>
      </c>
      <c r="G60" s="24" t="n">
        <v>0</v>
      </c>
      <c r="H60" s="24" t="n">
        <v>3016.16</v>
      </c>
      <c r="I60" s="24" t="n">
        <f aca="false">G60+H60</f>
        <v>3016.16</v>
      </c>
      <c r="J60" s="24" t="n">
        <f aca="false">D60-I60</f>
        <v>1419.37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19328.12</v>
      </c>
      <c r="E61" s="24" t="n">
        <v>0</v>
      </c>
      <c r="F61" s="24" t="n">
        <v>0</v>
      </c>
      <c r="G61" s="24" t="n">
        <v>0</v>
      </c>
      <c r="H61" s="24" t="n">
        <v>322.14</v>
      </c>
      <c r="I61" s="24" t="n">
        <f aca="false">G61+H61</f>
        <v>322.14</v>
      </c>
      <c r="J61" s="24" t="n">
        <f aca="false">D61-I61</f>
        <v>19005.98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8316.62</v>
      </c>
      <c r="E62" s="24" t="n">
        <v>0</v>
      </c>
      <c r="F62" s="24" t="n">
        <v>4989.97</v>
      </c>
      <c r="G62" s="24" t="n">
        <v>0</v>
      </c>
      <c r="H62" s="24" t="n">
        <v>5655.3</v>
      </c>
      <c r="I62" s="24" t="n">
        <f aca="false">G62+H62</f>
        <v>5655.3</v>
      </c>
      <c r="J62" s="24" t="n">
        <f aca="false">D62-I62</f>
        <v>2661.32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36240.25</v>
      </c>
      <c r="E63" s="24" t="n">
        <v>0</v>
      </c>
      <c r="F63" s="24" t="n">
        <v>0</v>
      </c>
      <c r="G63" s="24" t="n">
        <v>0</v>
      </c>
      <c r="H63" s="24" t="n">
        <v>604</v>
      </c>
      <c r="I63" s="24" t="n">
        <f aca="false">G63+H63</f>
        <v>604</v>
      </c>
      <c r="J63" s="24" t="n">
        <f aca="false">D63-I63</f>
        <v>35636.25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307313.67</v>
      </c>
      <c r="E64" s="28" t="n">
        <f aca="false">SUM(E52:E63)</f>
        <v>0</v>
      </c>
      <c r="F64" s="28" t="n">
        <f aca="false">SUM(F52:F63)</f>
        <v>34416.4</v>
      </c>
      <c r="G64" s="28" t="n">
        <f aca="false">SUM(G52:G63)</f>
        <v>0</v>
      </c>
      <c r="H64" s="28" t="n">
        <f aca="false">SUM(H52:H63)</f>
        <v>43171.13</v>
      </c>
      <c r="I64" s="28" t="n">
        <f aca="false">SUM(I52:I63)</f>
        <v>43171.13</v>
      </c>
      <c r="J64" s="28" t="n">
        <f aca="false">SUM(J52:J63)</f>
        <v>264142.54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58353.46</v>
      </c>
    </row>
    <row r="68" customFormat="false" ht="15" hidden="false" customHeight="false" outlineLevel="0" collapsed="false">
      <c r="B68" s="5" t="s">
        <v>97</v>
      </c>
      <c r="D68" s="6" t="n">
        <f aca="false">I64</f>
        <v>43171.13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15182.33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307313.67</v>
      </c>
    </row>
    <row r="73" customFormat="false" ht="15" hidden="false" customHeight="false" outlineLevel="0" collapsed="false">
      <c r="B73" s="5" t="s">
        <v>106</v>
      </c>
      <c r="D73" s="6" t="n">
        <f aca="false">F110</f>
        <v>57360.67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0.186651866153562</v>
      </c>
    </row>
    <row r="75" customFormat="false" ht="15" hidden="false" customHeight="false" outlineLevel="0" collapsed="false">
      <c r="B75" s="5" t="s">
        <v>109</v>
      </c>
      <c r="D75" s="6" t="n">
        <f aca="false">H110</f>
        <v>249953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0.813348133846438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13303.54</v>
      </c>
      <c r="F81" s="33" t="n">
        <v>13303.54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4028.66</v>
      </c>
      <c r="F82" s="33" t="n">
        <v>4028.66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18880</v>
      </c>
      <c r="F83" s="33" t="n">
        <v>18880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4380.58</v>
      </c>
      <c r="F84" s="33" t="n">
        <v>4380.58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120.21</v>
      </c>
      <c r="F85" s="33" t="n">
        <v>120.21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2691.07</v>
      </c>
      <c r="F86" s="33" t="n">
        <v>2691.07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2330.78</v>
      </c>
      <c r="F87" s="33" t="n">
        <v>2330.78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4922.4</v>
      </c>
      <c r="F88" s="33" t="n">
        <v>4922.4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2107.3</v>
      </c>
      <c r="F89" s="33" t="n">
        <v>2107.3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79.75</v>
      </c>
      <c r="F90" s="33" t="n">
        <v>79.75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269.71</v>
      </c>
      <c r="F91" s="33" t="n">
        <v>269.71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4246.67</v>
      </c>
      <c r="F92" s="33" t="n">
        <v>4246.67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14675.94</v>
      </c>
      <c r="H94" s="33" t="n">
        <v>14675.94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17193.38</v>
      </c>
      <c r="H95" s="33" t="n">
        <v>17193.38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26236.29</v>
      </c>
      <c r="H96" s="33" t="n">
        <v>26236.29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28355.25</v>
      </c>
      <c r="H97" s="33" t="n">
        <v>28355.25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22807.05</v>
      </c>
      <c r="H98" s="33" t="n">
        <v>22807.05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1962.21</v>
      </c>
      <c r="H99" s="33" t="n">
        <v>1962.21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8616.49</v>
      </c>
      <c r="H100" s="33" t="n">
        <v>8616.49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20002.12</v>
      </c>
      <c r="H101" s="33" t="n">
        <v>20002.12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8765.44</v>
      </c>
      <c r="H102" s="33" t="n">
        <v>8765.44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12067.55</v>
      </c>
      <c r="H103" s="33" t="n">
        <v>12067.55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24523.04</v>
      </c>
      <c r="H104" s="33" t="n">
        <v>24523.04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11322.54</v>
      </c>
      <c r="H105" s="33" t="n">
        <v>11322.54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1442.59</v>
      </c>
      <c r="H106" s="33" t="n">
        <v>1442.59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31298.16</v>
      </c>
      <c r="H107" s="33" t="n">
        <v>31298.16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16175.78</v>
      </c>
      <c r="H108" s="33" t="n">
        <v>16175.78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4509.17</v>
      </c>
      <c r="H109" s="33" t="n">
        <v>4509.17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307313.67</v>
      </c>
      <c r="F110" s="34" t="n">
        <f aca="false">SUM(F80:F109)</f>
        <v>57360.67</v>
      </c>
      <c r="H110" s="34" t="n">
        <f aca="false">SUM(H80:H109)</f>
        <v>249953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0.186651866153562</v>
      </c>
      <c r="H111" s="31" t="n">
        <f aca="false">H110/D110</f>
        <v>0.813348133846438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14'!B20</f>
        <v>2-Building-712 Northfield Dr - 5 Year</v>
      </c>
      <c r="D115" s="33" t="n">
        <f aca="false">SUM(F115:H115)</f>
        <v>7464.18</v>
      </c>
      <c r="F115" s="33" t="n">
        <f aca="false">'Building 14'!D20</f>
        <v>7464.18</v>
      </c>
    </row>
    <row r="116" customFormat="false" ht="15" hidden="false" customHeight="false" outlineLevel="0" collapsed="false">
      <c r="B116" s="5" t="str">
        <f aca="false">'Building 14'!B21</f>
        <v>2-Building-712 Northfield Dr - 27.5 Year</v>
      </c>
      <c r="D116" s="33" t="n">
        <f aca="false">SUM(F116:H116)</f>
        <v>32525.68</v>
      </c>
      <c r="H116" s="33" t="n">
        <f aca="false">'Building 14'!D21</f>
        <v>32525.68</v>
      </c>
    </row>
    <row r="117" customFormat="false" ht="15" hidden="false" customHeight="false" outlineLevel="0" collapsed="false">
      <c r="B117" s="5" t="str">
        <f aca="false">'Building 14'!B22</f>
        <v>3-Northfield Dr - 5 Year</v>
      </c>
      <c r="D117" s="33" t="n">
        <f aca="false">SUM(F117:H117)</f>
        <v>963.12</v>
      </c>
      <c r="F117" s="33" t="n">
        <f aca="false">'Building 14'!D22</f>
        <v>963.12</v>
      </c>
    </row>
    <row r="118" customFormat="false" ht="15" hidden="false" customHeight="false" outlineLevel="0" collapsed="false">
      <c r="B118" s="5" t="str">
        <f aca="false">'Building 14'!B23</f>
        <v>3-Northfield Dr - 27.5 Year</v>
      </c>
      <c r="D118" s="33" t="n">
        <f aca="false">SUM(F118:H118)</f>
        <v>4196.85</v>
      </c>
      <c r="H118" s="33" t="n">
        <f aca="false">'Building 14'!D23</f>
        <v>4196.85</v>
      </c>
    </row>
    <row r="119" customFormat="false" ht="15" hidden="false" customHeight="false" outlineLevel="0" collapsed="false">
      <c r="B119" s="5" t="str">
        <f aca="false">'Building 14'!B24</f>
        <v>4-Northfield Dr - 5 Year</v>
      </c>
      <c r="D119" s="33" t="n">
        <f aca="false">SUM(F119:H119)</f>
        <v>1805.85</v>
      </c>
      <c r="F119" s="33" t="n">
        <f aca="false">'Building 14'!D24</f>
        <v>1805.85</v>
      </c>
    </row>
    <row r="120" customFormat="false" ht="15" hidden="false" customHeight="false" outlineLevel="0" collapsed="false">
      <c r="B120" s="5" t="str">
        <f aca="false">'Building 14'!B25</f>
        <v>4-Northfield Dr - 27.5 Year</v>
      </c>
      <c r="D120" s="33" t="n">
        <f aca="false">SUM(F120:H120)</f>
        <v>7869.12</v>
      </c>
      <c r="H120" s="33" t="n">
        <f aca="false">'Building 14'!D25</f>
        <v>7869.12</v>
      </c>
    </row>
    <row r="121" customFormat="false" ht="15" hidden="false" customHeight="false" outlineLevel="0" collapsed="false">
      <c r="B121" s="5" t="str">
        <f aca="false">'Building 14'!B26</f>
        <v>7-Building-2202 Northview Dr - 5 Year</v>
      </c>
      <c r="D121" s="33" t="n">
        <f aca="false">SUM(F121:H121)</f>
        <v>34375.37</v>
      </c>
      <c r="F121" s="33" t="n">
        <f aca="false">'Building 14'!D26</f>
        <v>34375.37</v>
      </c>
    </row>
    <row r="122" customFormat="false" ht="15" hidden="false" customHeight="false" outlineLevel="0" collapsed="false">
      <c r="B122" s="5" t="str">
        <f aca="false">'Building 14'!B27</f>
        <v>7-Building-2202 Northview Dr - 27.5 Year</v>
      </c>
      <c r="D122" s="33" t="n">
        <f aca="false">SUM(F122:H122)</f>
        <v>149792.98</v>
      </c>
      <c r="H122" s="33" t="n">
        <f aca="false">'Building 14'!D27</f>
        <v>149792.98</v>
      </c>
    </row>
    <row r="123" customFormat="false" ht="15" hidden="false" customHeight="false" outlineLevel="0" collapsed="false">
      <c r="B123" s="5" t="str">
        <f aca="false">'Building 14'!B28</f>
        <v>8-Northiew Dr - 5 Year</v>
      </c>
      <c r="D123" s="33" t="n">
        <f aca="false">SUM(F123:H123)</f>
        <v>4435.53</v>
      </c>
      <c r="F123" s="33" t="n">
        <f aca="false">'Building 14'!D28</f>
        <v>4435.53</v>
      </c>
    </row>
    <row r="124" customFormat="false" ht="15" hidden="false" customHeight="false" outlineLevel="0" collapsed="false">
      <c r="B124" s="5" t="str">
        <f aca="false">'Building 14'!B29</f>
        <v>8-Northiew Dr - 27.5 Year</v>
      </c>
      <c r="D124" s="33" t="n">
        <f aca="false">SUM(F124:H124)</f>
        <v>19328.12</v>
      </c>
      <c r="H124" s="33" t="n">
        <f aca="false">'Building 14'!D29</f>
        <v>19328.12</v>
      </c>
    </row>
    <row r="125" customFormat="false" ht="15" hidden="false" customHeight="false" outlineLevel="0" collapsed="false">
      <c r="B125" s="5" t="str">
        <f aca="false">'Building 14'!B30</f>
        <v>9-Northview Dr - 5 Year</v>
      </c>
      <c r="D125" s="33" t="n">
        <f aca="false">SUM(F125:H125)</f>
        <v>8316.62</v>
      </c>
      <c r="F125" s="33" t="n">
        <f aca="false">'Building 14'!D30</f>
        <v>8316.62</v>
      </c>
    </row>
    <row r="126" customFormat="false" ht="15" hidden="false" customHeight="false" outlineLevel="0" collapsed="false">
      <c r="B126" s="5" t="str">
        <f aca="false">'Building 14'!B31</f>
        <v>9-Northview Dr - 27.5 Year</v>
      </c>
      <c r="D126" s="33" t="n">
        <f aca="false">SUM(F126:H126)</f>
        <v>36240.25</v>
      </c>
      <c r="H126" s="33" t="n">
        <f aca="false">'Building 14'!D31</f>
        <v>36240.25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307313.67</v>
      </c>
      <c r="F127" s="34" t="n">
        <f aca="false">SUM(F115:F126)</f>
        <v>57360.67</v>
      </c>
      <c r="H127" s="34" t="n">
        <f aca="false">SUM(H115:H126)</f>
        <v>249953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16" t="s">
        <v>73</v>
      </c>
    </row>
    <row r="6" customFormat="false" ht="15" hidden="false" customHeight="false" outlineLevel="0" collapsed="false">
      <c r="A6" s="35" t="s">
        <v>188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60219.73</v>
      </c>
      <c r="E10" s="24" t="n">
        <v>0</v>
      </c>
      <c r="F10" s="24" t="n">
        <v>0</v>
      </c>
      <c r="G10" s="24" t="n">
        <v>0</v>
      </c>
      <c r="H10" s="24" t="n">
        <v>1003.68</v>
      </c>
      <c r="I10" s="24" t="n">
        <f aca="false">G10+H10</f>
        <v>1003.68</v>
      </c>
      <c r="J10" s="24" t="n">
        <f aca="false">D10-I10</f>
        <v>59216.05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7770.26</v>
      </c>
      <c r="E11" s="24" t="n">
        <v>0</v>
      </c>
      <c r="F11" s="24" t="n">
        <v>4662.16</v>
      </c>
      <c r="G11" s="24" t="n">
        <v>0</v>
      </c>
      <c r="H11" s="24" t="n">
        <v>4765.79</v>
      </c>
      <c r="I11" s="24" t="n">
        <f aca="false">G11+H11</f>
        <v>4765.79</v>
      </c>
      <c r="J11" s="24" t="n">
        <f aca="false">D11-I11</f>
        <v>3004.47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14569.3</v>
      </c>
      <c r="E12" s="24" t="n">
        <v>0</v>
      </c>
      <c r="F12" s="24" t="n">
        <v>8741.58</v>
      </c>
      <c r="G12" s="24" t="n">
        <v>0</v>
      </c>
      <c r="H12" s="24" t="n">
        <v>9907.12</v>
      </c>
      <c r="I12" s="24" t="n">
        <f aca="false">G12+H12</f>
        <v>9907.12</v>
      </c>
      <c r="J12" s="24" t="n">
        <f aca="false">D12-I12</f>
        <v>4662.18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277334.53</v>
      </c>
      <c r="E13" s="24" t="n">
        <v>0</v>
      </c>
      <c r="F13" s="24" t="n">
        <v>0</v>
      </c>
      <c r="G13" s="24" t="n">
        <v>0</v>
      </c>
      <c r="H13" s="24" t="n">
        <v>4622.23</v>
      </c>
      <c r="I13" s="24" t="n">
        <f aca="false">G13+H13</f>
        <v>4622.23</v>
      </c>
      <c r="J13" s="24" t="n">
        <f aca="false">D13-I13</f>
        <v>272712.3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35785.1</v>
      </c>
      <c r="E14" s="24" t="n">
        <v>0</v>
      </c>
      <c r="F14" s="24" t="n">
        <v>21471.06</v>
      </c>
      <c r="G14" s="24" t="n">
        <v>0</v>
      </c>
      <c r="H14" s="24" t="n">
        <v>21948.19</v>
      </c>
      <c r="I14" s="24" t="n">
        <f aca="false">G14+H14</f>
        <v>21948.19</v>
      </c>
      <c r="J14" s="24" t="n">
        <f aca="false">D14-I14</f>
        <v>13836.91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67097.08</v>
      </c>
      <c r="E15" s="24" t="n">
        <v>0</v>
      </c>
      <c r="F15" s="24" t="n">
        <v>40258.25</v>
      </c>
      <c r="G15" s="24" t="n">
        <v>0</v>
      </c>
      <c r="H15" s="24" t="n">
        <v>45626.02</v>
      </c>
      <c r="I15" s="24" t="n">
        <f aca="false">G15+H15</f>
        <v>45626.02</v>
      </c>
      <c r="J15" s="24" t="n">
        <f aca="false">D15-I15</f>
        <v>21471.06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462776</v>
      </c>
      <c r="E16" s="28" t="n">
        <f aca="false">SUM(E10:E15)</f>
        <v>0</v>
      </c>
      <c r="F16" s="28" t="n">
        <f aca="false">SUM(F10:F15)</f>
        <v>75133.05</v>
      </c>
      <c r="G16" s="28" t="n">
        <f aca="false">SUM(G10:G15)</f>
        <v>0</v>
      </c>
      <c r="H16" s="28" t="n">
        <f aca="false">SUM(H10:H15)</f>
        <v>87873.03</v>
      </c>
      <c r="I16" s="28" t="n">
        <f aca="false">SUM(I10:I15)</f>
        <v>87873.03</v>
      </c>
      <c r="J16" s="28" t="n">
        <f aca="false">SUM(J10:J15)</f>
        <v>374902.97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11223.57</v>
      </c>
      <c r="E20" s="24" t="n">
        <v>0</v>
      </c>
      <c r="F20" s="24" t="n">
        <v>6734.14</v>
      </c>
      <c r="G20" s="24" t="n">
        <v>0</v>
      </c>
      <c r="H20" s="24" t="n">
        <v>7632.03</v>
      </c>
      <c r="I20" s="24" t="n">
        <f aca="false">G20+H20</f>
        <v>7632.03</v>
      </c>
      <c r="J20" s="24" t="n">
        <f aca="false">D20-I20</f>
        <v>3591.54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48996.16</v>
      </c>
      <c r="E21" s="24" t="n">
        <v>0</v>
      </c>
      <c r="F21" s="24" t="n">
        <v>0</v>
      </c>
      <c r="G21" s="24" t="n">
        <v>0</v>
      </c>
      <c r="H21" s="24" t="n">
        <v>816.6</v>
      </c>
      <c r="I21" s="24" t="n">
        <f aca="false">G21+H21</f>
        <v>816.6</v>
      </c>
      <c r="J21" s="24" t="n">
        <f aca="false">D21-I21</f>
        <v>48179.56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1448.2</v>
      </c>
      <c r="E22" s="24" t="n">
        <v>0</v>
      </c>
      <c r="F22" s="24" t="n">
        <v>868.92</v>
      </c>
      <c r="G22" s="24" t="n">
        <v>0</v>
      </c>
      <c r="H22" s="24" t="n">
        <v>984.78</v>
      </c>
      <c r="I22" s="24" t="n">
        <f aca="false">G22+H22</f>
        <v>984.78</v>
      </c>
      <c r="J22" s="24" t="n">
        <f aca="false">D22-I22</f>
        <v>463.42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6322.06</v>
      </c>
      <c r="E23" s="24" t="n">
        <v>0</v>
      </c>
      <c r="F23" s="24" t="n">
        <v>0</v>
      </c>
      <c r="G23" s="24" t="n">
        <v>0</v>
      </c>
      <c r="H23" s="24" t="n">
        <v>105.37</v>
      </c>
      <c r="I23" s="24" t="n">
        <f aca="false">G23+H23</f>
        <v>105.37</v>
      </c>
      <c r="J23" s="24" t="n">
        <f aca="false">D23-I23</f>
        <v>6216.69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2715.38</v>
      </c>
      <c r="E24" s="24" t="n">
        <v>0</v>
      </c>
      <c r="F24" s="24" t="n">
        <v>1629.23</v>
      </c>
      <c r="G24" s="24" t="n">
        <v>0</v>
      </c>
      <c r="H24" s="24" t="n">
        <v>1846.46</v>
      </c>
      <c r="I24" s="24" t="n">
        <f aca="false">G24+H24</f>
        <v>1846.46</v>
      </c>
      <c r="J24" s="24" t="n">
        <f aca="false">D24-I24</f>
        <v>868.92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11853.92</v>
      </c>
      <c r="E25" s="24" t="n">
        <v>0</v>
      </c>
      <c r="F25" s="24" t="n">
        <v>0</v>
      </c>
      <c r="G25" s="24" t="n">
        <v>0</v>
      </c>
      <c r="H25" s="24" t="n">
        <v>197.57</v>
      </c>
      <c r="I25" s="24" t="n">
        <f aca="false">G25+H25</f>
        <v>197.57</v>
      </c>
      <c r="J25" s="24" t="n">
        <f aca="false">D25-I25</f>
        <v>11656.35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51688.76</v>
      </c>
      <c r="E26" s="24" t="n">
        <v>0</v>
      </c>
      <c r="F26" s="24" t="n">
        <v>31013.26</v>
      </c>
      <c r="G26" s="24" t="n">
        <v>0</v>
      </c>
      <c r="H26" s="24" t="n">
        <v>35148.36</v>
      </c>
      <c r="I26" s="24" t="n">
        <f aca="false">G26+H26</f>
        <v>35148.36</v>
      </c>
      <c r="J26" s="24" t="n">
        <f aca="false">D26-I26</f>
        <v>16540.4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225645.77</v>
      </c>
      <c r="E27" s="24" t="n">
        <v>0</v>
      </c>
      <c r="F27" s="24" t="n">
        <v>0</v>
      </c>
      <c r="G27" s="24" t="n">
        <v>0</v>
      </c>
      <c r="H27" s="24" t="n">
        <v>3760.76</v>
      </c>
      <c r="I27" s="24" t="n">
        <f aca="false">G27+H27</f>
        <v>3760.76</v>
      </c>
      <c r="J27" s="24" t="n">
        <f aca="false">D27-I27</f>
        <v>221885.01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6669.52</v>
      </c>
      <c r="E28" s="24" t="n">
        <v>0</v>
      </c>
      <c r="F28" s="24" t="n">
        <v>4001.71</v>
      </c>
      <c r="G28" s="24" t="n">
        <v>0</v>
      </c>
      <c r="H28" s="24" t="n">
        <v>4535.27</v>
      </c>
      <c r="I28" s="24" t="n">
        <f aca="false">G28+H28</f>
        <v>4535.27</v>
      </c>
      <c r="J28" s="24" t="n">
        <f aca="false">D28-I28</f>
        <v>2134.25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29115.58</v>
      </c>
      <c r="E29" s="24" t="n">
        <v>0</v>
      </c>
      <c r="F29" s="24" t="n">
        <v>0</v>
      </c>
      <c r="G29" s="24" t="n">
        <v>0</v>
      </c>
      <c r="H29" s="24" t="n">
        <v>485.26</v>
      </c>
      <c r="I29" s="24" t="n">
        <f aca="false">G29+H29</f>
        <v>485.26</v>
      </c>
      <c r="J29" s="24" t="n">
        <f aca="false">D29-I29</f>
        <v>28630.32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12505.34</v>
      </c>
      <c r="E30" s="24" t="n">
        <v>0</v>
      </c>
      <c r="F30" s="24" t="n">
        <v>7503.2</v>
      </c>
      <c r="G30" s="24" t="n">
        <v>0</v>
      </c>
      <c r="H30" s="24" t="n">
        <v>8503.63</v>
      </c>
      <c r="I30" s="24" t="n">
        <f aca="false">G30+H30</f>
        <v>8503.63</v>
      </c>
      <c r="J30" s="24" t="n">
        <f aca="false">D30-I30</f>
        <v>4001.71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54591.74</v>
      </c>
      <c r="E31" s="24" t="n">
        <v>0</v>
      </c>
      <c r="F31" s="24" t="n">
        <v>0</v>
      </c>
      <c r="G31" s="24" t="n">
        <v>0</v>
      </c>
      <c r="H31" s="24" t="n">
        <v>909.86</v>
      </c>
      <c r="I31" s="24" t="n">
        <f aca="false">G31+H31</f>
        <v>909.86</v>
      </c>
      <c r="J31" s="24" t="n">
        <f aca="false">D31-I31</f>
        <v>53681.88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462776</v>
      </c>
      <c r="E32" s="28" t="n">
        <f aca="false">SUM(E20:E31)</f>
        <v>0</v>
      </c>
      <c r="F32" s="28" t="n">
        <f aca="false">SUM(F20:F31)</f>
        <v>51750.46</v>
      </c>
      <c r="G32" s="28" t="n">
        <f aca="false">SUM(G20:G31)</f>
        <v>0</v>
      </c>
      <c r="H32" s="28" t="n">
        <f aca="false">SUM(H20:H31)</f>
        <v>64925.95</v>
      </c>
      <c r="I32" s="28" t="n">
        <f aca="false">SUM(I20:I31)</f>
        <v>64925.95</v>
      </c>
      <c r="J32" s="28" t="n">
        <f aca="false">SUM(J20:J31)</f>
        <v>397850.05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87873.03</v>
      </c>
    </row>
    <row r="36" customFormat="false" ht="15" hidden="false" customHeight="false" outlineLevel="0" collapsed="false">
      <c r="B36" s="5" t="s">
        <v>97</v>
      </c>
      <c r="D36" s="6" t="n">
        <f aca="false">I32</f>
        <v>64925.95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22947.08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60219.73</v>
      </c>
      <c r="E42" s="24" t="n">
        <v>0</v>
      </c>
      <c r="F42" s="24" t="n">
        <v>0</v>
      </c>
      <c r="G42" s="24" t="n">
        <v>0</v>
      </c>
      <c r="H42" s="24" t="n">
        <v>1003.68</v>
      </c>
      <c r="I42" s="24" t="n">
        <f aca="false">G42+H42</f>
        <v>1003.68</v>
      </c>
      <c r="J42" s="24" t="n">
        <f aca="false">D42-I42</f>
        <v>59216.05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7770.26</v>
      </c>
      <c r="E43" s="24" t="n">
        <v>0</v>
      </c>
      <c r="F43" s="24" t="n">
        <v>4662.16</v>
      </c>
      <c r="G43" s="24" t="n">
        <v>0</v>
      </c>
      <c r="H43" s="24" t="n">
        <v>4765.79</v>
      </c>
      <c r="I43" s="24" t="n">
        <f aca="false">G43+H43</f>
        <v>4765.79</v>
      </c>
      <c r="J43" s="24" t="n">
        <f aca="false">D43-I43</f>
        <v>3004.47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14569.3</v>
      </c>
      <c r="E44" s="24" t="n">
        <v>0</v>
      </c>
      <c r="F44" s="24" t="n">
        <v>8741.58</v>
      </c>
      <c r="G44" s="24" t="n">
        <v>0</v>
      </c>
      <c r="H44" s="24" t="n">
        <v>9907.12</v>
      </c>
      <c r="I44" s="24" t="n">
        <f aca="false">G44+H44</f>
        <v>9907.12</v>
      </c>
      <c r="J44" s="24" t="n">
        <f aca="false">D44-I44</f>
        <v>4662.18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277334.53</v>
      </c>
      <c r="E45" s="24" t="n">
        <v>0</v>
      </c>
      <c r="F45" s="24" t="n">
        <v>0</v>
      </c>
      <c r="G45" s="24" t="n">
        <v>0</v>
      </c>
      <c r="H45" s="24" t="n">
        <v>4622.23</v>
      </c>
      <c r="I45" s="24" t="n">
        <f aca="false">G45+H45</f>
        <v>4622.23</v>
      </c>
      <c r="J45" s="24" t="n">
        <f aca="false">D45-I45</f>
        <v>272712.3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35785.1</v>
      </c>
      <c r="E46" s="24" t="n">
        <v>0</v>
      </c>
      <c r="F46" s="24" t="n">
        <v>21471.06</v>
      </c>
      <c r="G46" s="24" t="n">
        <v>0</v>
      </c>
      <c r="H46" s="24" t="n">
        <v>21948.19</v>
      </c>
      <c r="I46" s="24" t="n">
        <f aca="false">G46+H46</f>
        <v>21948.19</v>
      </c>
      <c r="J46" s="24" t="n">
        <f aca="false">D46-I46</f>
        <v>13836.91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67097.08</v>
      </c>
      <c r="E47" s="24" t="n">
        <v>0</v>
      </c>
      <c r="F47" s="24" t="n">
        <v>40258.25</v>
      </c>
      <c r="G47" s="24" t="n">
        <v>0</v>
      </c>
      <c r="H47" s="24" t="n">
        <v>45626.02</v>
      </c>
      <c r="I47" s="24" t="n">
        <f aca="false">G47+H47</f>
        <v>45626.02</v>
      </c>
      <c r="J47" s="24" t="n">
        <f aca="false">D47-I47</f>
        <v>21471.06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462776</v>
      </c>
      <c r="E48" s="28" t="n">
        <f aca="false">SUM(E42:E47)</f>
        <v>0</v>
      </c>
      <c r="F48" s="28" t="n">
        <f aca="false">SUM(F42:F47)</f>
        <v>75133.05</v>
      </c>
      <c r="G48" s="28" t="n">
        <f aca="false">SUM(G42:G47)</f>
        <v>0</v>
      </c>
      <c r="H48" s="28" t="n">
        <f aca="false">SUM(H42:H47)</f>
        <v>87873.03</v>
      </c>
      <c r="I48" s="28" t="n">
        <f aca="false">SUM(I42:I47)</f>
        <v>87873.03</v>
      </c>
      <c r="J48" s="28" t="n">
        <f aca="false">SUM(J42:J47)</f>
        <v>374902.97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11223.57</v>
      </c>
      <c r="E52" s="24" t="n">
        <v>0</v>
      </c>
      <c r="F52" s="24" t="n">
        <v>6734.14</v>
      </c>
      <c r="G52" s="24" t="n">
        <v>0</v>
      </c>
      <c r="H52" s="24" t="n">
        <v>7632.03</v>
      </c>
      <c r="I52" s="24" t="n">
        <f aca="false">G52+H52</f>
        <v>7632.03</v>
      </c>
      <c r="J52" s="24" t="n">
        <f aca="false">D52-I52</f>
        <v>3591.54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48996.16</v>
      </c>
      <c r="E53" s="24" t="n">
        <v>0</v>
      </c>
      <c r="F53" s="24" t="n">
        <v>0</v>
      </c>
      <c r="G53" s="24" t="n">
        <v>0</v>
      </c>
      <c r="H53" s="24" t="n">
        <v>816.6</v>
      </c>
      <c r="I53" s="24" t="n">
        <f aca="false">G53+H53</f>
        <v>816.6</v>
      </c>
      <c r="J53" s="24" t="n">
        <f aca="false">D53-I53</f>
        <v>48179.56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1448.2</v>
      </c>
      <c r="E54" s="24" t="n">
        <v>0</v>
      </c>
      <c r="F54" s="24" t="n">
        <v>868.92</v>
      </c>
      <c r="G54" s="24" t="n">
        <v>0</v>
      </c>
      <c r="H54" s="24" t="n">
        <v>984.78</v>
      </c>
      <c r="I54" s="24" t="n">
        <f aca="false">G54+H54</f>
        <v>984.78</v>
      </c>
      <c r="J54" s="24" t="n">
        <f aca="false">D54-I54</f>
        <v>463.42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6322.06</v>
      </c>
      <c r="E55" s="24" t="n">
        <v>0</v>
      </c>
      <c r="F55" s="24" t="n">
        <v>0</v>
      </c>
      <c r="G55" s="24" t="n">
        <v>0</v>
      </c>
      <c r="H55" s="24" t="n">
        <v>105.37</v>
      </c>
      <c r="I55" s="24" t="n">
        <f aca="false">G55+H55</f>
        <v>105.37</v>
      </c>
      <c r="J55" s="24" t="n">
        <f aca="false">D55-I55</f>
        <v>6216.69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2715.38</v>
      </c>
      <c r="E56" s="24" t="n">
        <v>0</v>
      </c>
      <c r="F56" s="24" t="n">
        <v>1629.23</v>
      </c>
      <c r="G56" s="24" t="n">
        <v>0</v>
      </c>
      <c r="H56" s="24" t="n">
        <v>1846.46</v>
      </c>
      <c r="I56" s="24" t="n">
        <f aca="false">G56+H56</f>
        <v>1846.46</v>
      </c>
      <c r="J56" s="24" t="n">
        <f aca="false">D56-I56</f>
        <v>868.92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11853.92</v>
      </c>
      <c r="E57" s="24" t="n">
        <v>0</v>
      </c>
      <c r="F57" s="24" t="n">
        <v>0</v>
      </c>
      <c r="G57" s="24" t="n">
        <v>0</v>
      </c>
      <c r="H57" s="24" t="n">
        <v>197.57</v>
      </c>
      <c r="I57" s="24" t="n">
        <f aca="false">G57+H57</f>
        <v>197.57</v>
      </c>
      <c r="J57" s="24" t="n">
        <f aca="false">D57-I57</f>
        <v>11656.35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51688.76</v>
      </c>
      <c r="E58" s="24" t="n">
        <v>0</v>
      </c>
      <c r="F58" s="24" t="n">
        <v>31013.26</v>
      </c>
      <c r="G58" s="24" t="n">
        <v>0</v>
      </c>
      <c r="H58" s="24" t="n">
        <v>35148.36</v>
      </c>
      <c r="I58" s="24" t="n">
        <f aca="false">G58+H58</f>
        <v>35148.36</v>
      </c>
      <c r="J58" s="24" t="n">
        <f aca="false">D58-I58</f>
        <v>16540.4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225645.77</v>
      </c>
      <c r="E59" s="24" t="n">
        <v>0</v>
      </c>
      <c r="F59" s="24" t="n">
        <v>0</v>
      </c>
      <c r="G59" s="24" t="n">
        <v>0</v>
      </c>
      <c r="H59" s="24" t="n">
        <v>3760.76</v>
      </c>
      <c r="I59" s="24" t="n">
        <f aca="false">G59+H59</f>
        <v>3760.76</v>
      </c>
      <c r="J59" s="24" t="n">
        <f aca="false">D59-I59</f>
        <v>221885.01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6669.52</v>
      </c>
      <c r="E60" s="24" t="n">
        <v>0</v>
      </c>
      <c r="F60" s="24" t="n">
        <v>4001.71</v>
      </c>
      <c r="G60" s="24" t="n">
        <v>0</v>
      </c>
      <c r="H60" s="24" t="n">
        <v>4535.27</v>
      </c>
      <c r="I60" s="24" t="n">
        <f aca="false">G60+H60</f>
        <v>4535.27</v>
      </c>
      <c r="J60" s="24" t="n">
        <f aca="false">D60-I60</f>
        <v>2134.25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29115.58</v>
      </c>
      <c r="E61" s="24" t="n">
        <v>0</v>
      </c>
      <c r="F61" s="24" t="n">
        <v>0</v>
      </c>
      <c r="G61" s="24" t="n">
        <v>0</v>
      </c>
      <c r="H61" s="24" t="n">
        <v>485.26</v>
      </c>
      <c r="I61" s="24" t="n">
        <f aca="false">G61+H61</f>
        <v>485.26</v>
      </c>
      <c r="J61" s="24" t="n">
        <f aca="false">D61-I61</f>
        <v>28630.32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12505.34</v>
      </c>
      <c r="E62" s="24" t="n">
        <v>0</v>
      </c>
      <c r="F62" s="24" t="n">
        <v>7503.2</v>
      </c>
      <c r="G62" s="24" t="n">
        <v>0</v>
      </c>
      <c r="H62" s="24" t="n">
        <v>8503.63</v>
      </c>
      <c r="I62" s="24" t="n">
        <f aca="false">G62+H62</f>
        <v>8503.63</v>
      </c>
      <c r="J62" s="24" t="n">
        <f aca="false">D62-I62</f>
        <v>4001.71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54591.74</v>
      </c>
      <c r="E63" s="24" t="n">
        <v>0</v>
      </c>
      <c r="F63" s="24" t="n">
        <v>0</v>
      </c>
      <c r="G63" s="24" t="n">
        <v>0</v>
      </c>
      <c r="H63" s="24" t="n">
        <v>909.86</v>
      </c>
      <c r="I63" s="24" t="n">
        <f aca="false">G63+H63</f>
        <v>909.86</v>
      </c>
      <c r="J63" s="24" t="n">
        <f aca="false">D63-I63</f>
        <v>53681.88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462776</v>
      </c>
      <c r="E64" s="28" t="n">
        <f aca="false">SUM(E52:E63)</f>
        <v>0</v>
      </c>
      <c r="F64" s="28" t="n">
        <f aca="false">SUM(F52:F63)</f>
        <v>51750.46</v>
      </c>
      <c r="G64" s="28" t="n">
        <f aca="false">SUM(G52:G63)</f>
        <v>0</v>
      </c>
      <c r="H64" s="28" t="n">
        <f aca="false">SUM(H52:H63)</f>
        <v>64925.95</v>
      </c>
      <c r="I64" s="28" t="n">
        <f aca="false">SUM(I52:I63)</f>
        <v>64925.95</v>
      </c>
      <c r="J64" s="28" t="n">
        <f aca="false">SUM(J52:J63)</f>
        <v>397850.05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87873.03</v>
      </c>
    </row>
    <row r="68" customFormat="false" ht="15" hidden="false" customHeight="false" outlineLevel="0" collapsed="false">
      <c r="B68" s="5" t="s">
        <v>97</v>
      </c>
      <c r="D68" s="6" t="n">
        <f aca="false">I64</f>
        <v>64925.95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22947.08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462776</v>
      </c>
    </row>
    <row r="73" customFormat="false" ht="15" hidden="false" customHeight="false" outlineLevel="0" collapsed="false">
      <c r="B73" s="5" t="s">
        <v>106</v>
      </c>
      <c r="D73" s="6" t="n">
        <f aca="false">F110</f>
        <v>86250.77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0.186376929659274</v>
      </c>
    </row>
    <row r="75" customFormat="false" ht="15" hidden="false" customHeight="false" outlineLevel="0" collapsed="false">
      <c r="B75" s="5" t="s">
        <v>109</v>
      </c>
      <c r="D75" s="6" t="n">
        <f aca="false">H110</f>
        <v>376525.23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0.813623070340726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19502.86</v>
      </c>
      <c r="F81" s="33" t="n">
        <v>19502.86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6491.33</v>
      </c>
      <c r="F82" s="33" t="n">
        <v>6491.33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28408.94</v>
      </c>
      <c r="F83" s="33" t="n">
        <v>28408.94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6537.27</v>
      </c>
      <c r="F84" s="33" t="n">
        <v>6537.27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165.04</v>
      </c>
      <c r="F85" s="33" t="n">
        <v>165.04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4036.61</v>
      </c>
      <c r="F86" s="33" t="n">
        <v>4036.61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3507.15</v>
      </c>
      <c r="F87" s="33" t="n">
        <v>3507.15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7383.57</v>
      </c>
      <c r="F88" s="33" t="n">
        <v>7383.57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2919.25</v>
      </c>
      <c r="F89" s="33" t="n">
        <v>2919.25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119.61</v>
      </c>
      <c r="F90" s="33" t="n">
        <v>119.61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809.12</v>
      </c>
      <c r="F91" s="33" t="n">
        <v>809.12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6370.02</v>
      </c>
      <c r="F92" s="33" t="n">
        <v>6370.02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22264.67</v>
      </c>
      <c r="H94" s="33" t="n">
        <v>22264.67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26055.7</v>
      </c>
      <c r="H95" s="33" t="n">
        <v>26055.7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39478.02</v>
      </c>
      <c r="H96" s="33" t="n">
        <v>39478.02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42666.46</v>
      </c>
      <c r="H97" s="33" t="n">
        <v>42666.46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34318.04</v>
      </c>
      <c r="H98" s="33" t="n">
        <v>34318.04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2796.66</v>
      </c>
      <c r="H99" s="33" t="n">
        <v>2796.66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14122.27</v>
      </c>
      <c r="H100" s="33" t="n">
        <v>14122.27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24894.53</v>
      </c>
      <c r="H101" s="33" t="n">
        <v>24894.53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13048.93</v>
      </c>
      <c r="H102" s="33" t="n">
        <v>13048.93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18158.19</v>
      </c>
      <c r="H103" s="33" t="n">
        <v>18158.19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39732.62</v>
      </c>
      <c r="H104" s="33" t="n">
        <v>39732.62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17994.21</v>
      </c>
      <c r="H105" s="33" t="n">
        <v>17994.21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1904.07</v>
      </c>
      <c r="H106" s="33" t="n">
        <v>1904.07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48244.85</v>
      </c>
      <c r="H107" s="33" t="n">
        <v>48244.85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24263.67</v>
      </c>
      <c r="H108" s="33" t="n">
        <v>24263.67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6582.34</v>
      </c>
      <c r="H109" s="33" t="n">
        <v>6582.34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462776</v>
      </c>
      <c r="F110" s="34" t="n">
        <f aca="false">SUM(F80:F109)</f>
        <v>86250.77</v>
      </c>
      <c r="H110" s="34" t="n">
        <f aca="false">SUM(H80:H109)</f>
        <v>376525.23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0.186376929659274</v>
      </c>
      <c r="H111" s="31" t="n">
        <f aca="false">H110/D110</f>
        <v>0.813623070340726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15'!B20</f>
        <v>2-Building-712 Northfield Dr - 5 Year</v>
      </c>
      <c r="D115" s="33" t="n">
        <f aca="false">SUM(F115:H115)</f>
        <v>11223.57</v>
      </c>
      <c r="F115" s="33" t="n">
        <f aca="false">'Building 15'!D20</f>
        <v>11223.57</v>
      </c>
    </row>
    <row r="116" customFormat="false" ht="15" hidden="false" customHeight="false" outlineLevel="0" collapsed="false">
      <c r="B116" s="5" t="str">
        <f aca="false">'Building 15'!B21</f>
        <v>2-Building-712 Northfield Dr - 27.5 Year</v>
      </c>
      <c r="D116" s="33" t="n">
        <f aca="false">SUM(F116:H116)</f>
        <v>48996.16</v>
      </c>
      <c r="H116" s="33" t="n">
        <f aca="false">'Building 15'!D21</f>
        <v>48996.16</v>
      </c>
    </row>
    <row r="117" customFormat="false" ht="15" hidden="false" customHeight="false" outlineLevel="0" collapsed="false">
      <c r="B117" s="5" t="str">
        <f aca="false">'Building 15'!B22</f>
        <v>3-Northfield Dr - 5 Year</v>
      </c>
      <c r="D117" s="33" t="n">
        <f aca="false">SUM(F117:H117)</f>
        <v>1448.2</v>
      </c>
      <c r="F117" s="33" t="n">
        <f aca="false">'Building 15'!D22</f>
        <v>1448.2</v>
      </c>
    </row>
    <row r="118" customFormat="false" ht="15" hidden="false" customHeight="false" outlineLevel="0" collapsed="false">
      <c r="B118" s="5" t="str">
        <f aca="false">'Building 15'!B23</f>
        <v>3-Northfield Dr - 27.5 Year</v>
      </c>
      <c r="D118" s="33" t="n">
        <f aca="false">SUM(F118:H118)</f>
        <v>6322.06</v>
      </c>
      <c r="H118" s="33" t="n">
        <f aca="false">'Building 15'!D23</f>
        <v>6322.06</v>
      </c>
    </row>
    <row r="119" customFormat="false" ht="15" hidden="false" customHeight="false" outlineLevel="0" collapsed="false">
      <c r="B119" s="5" t="str">
        <f aca="false">'Building 15'!B24</f>
        <v>4-Northfield Dr - 5 Year</v>
      </c>
      <c r="D119" s="33" t="n">
        <f aca="false">SUM(F119:H119)</f>
        <v>2715.38</v>
      </c>
      <c r="F119" s="33" t="n">
        <f aca="false">'Building 15'!D24</f>
        <v>2715.38</v>
      </c>
    </row>
    <row r="120" customFormat="false" ht="15" hidden="false" customHeight="false" outlineLevel="0" collapsed="false">
      <c r="B120" s="5" t="str">
        <f aca="false">'Building 15'!B25</f>
        <v>4-Northfield Dr - 27.5 Year</v>
      </c>
      <c r="D120" s="33" t="n">
        <f aca="false">SUM(F120:H120)</f>
        <v>11853.92</v>
      </c>
      <c r="H120" s="33" t="n">
        <f aca="false">'Building 15'!D25</f>
        <v>11853.92</v>
      </c>
    </row>
    <row r="121" customFormat="false" ht="15" hidden="false" customHeight="false" outlineLevel="0" collapsed="false">
      <c r="B121" s="5" t="str">
        <f aca="false">'Building 15'!B26</f>
        <v>7-Building-2202 Northview Dr - 5 Year</v>
      </c>
      <c r="D121" s="33" t="n">
        <f aca="false">SUM(F121:H121)</f>
        <v>51688.76</v>
      </c>
      <c r="F121" s="33" t="n">
        <f aca="false">'Building 15'!D26</f>
        <v>51688.76</v>
      </c>
    </row>
    <row r="122" customFormat="false" ht="15" hidden="false" customHeight="false" outlineLevel="0" collapsed="false">
      <c r="B122" s="5" t="str">
        <f aca="false">'Building 15'!B27</f>
        <v>7-Building-2202 Northview Dr - 27.5 Year</v>
      </c>
      <c r="D122" s="33" t="n">
        <f aca="false">SUM(F122:H122)</f>
        <v>225645.77</v>
      </c>
      <c r="H122" s="33" t="n">
        <f aca="false">'Building 15'!D27</f>
        <v>225645.77</v>
      </c>
    </row>
    <row r="123" customFormat="false" ht="15" hidden="false" customHeight="false" outlineLevel="0" collapsed="false">
      <c r="B123" s="5" t="str">
        <f aca="false">'Building 15'!B28</f>
        <v>8-Northiew Dr - 5 Year</v>
      </c>
      <c r="D123" s="33" t="n">
        <f aca="false">SUM(F123:H123)</f>
        <v>6669.52</v>
      </c>
      <c r="F123" s="33" t="n">
        <f aca="false">'Building 15'!D28</f>
        <v>6669.52</v>
      </c>
    </row>
    <row r="124" customFormat="false" ht="15" hidden="false" customHeight="false" outlineLevel="0" collapsed="false">
      <c r="B124" s="5" t="str">
        <f aca="false">'Building 15'!B29</f>
        <v>8-Northiew Dr - 27.5 Year</v>
      </c>
      <c r="D124" s="33" t="n">
        <f aca="false">SUM(F124:H124)</f>
        <v>29115.58</v>
      </c>
      <c r="H124" s="33" t="n">
        <f aca="false">'Building 15'!D29</f>
        <v>29115.58</v>
      </c>
    </row>
    <row r="125" customFormat="false" ht="15" hidden="false" customHeight="false" outlineLevel="0" collapsed="false">
      <c r="B125" s="5" t="str">
        <f aca="false">'Building 15'!B30</f>
        <v>9-Northview Dr - 5 Year</v>
      </c>
      <c r="D125" s="33" t="n">
        <f aca="false">SUM(F125:H125)</f>
        <v>12505.34</v>
      </c>
      <c r="F125" s="33" t="n">
        <f aca="false">'Building 15'!D30</f>
        <v>12505.34</v>
      </c>
    </row>
    <row r="126" customFormat="false" ht="15" hidden="false" customHeight="false" outlineLevel="0" collapsed="false">
      <c r="B126" s="5" t="str">
        <f aca="false">'Building 15'!B31</f>
        <v>9-Northview Dr - 27.5 Year</v>
      </c>
      <c r="D126" s="33" t="n">
        <f aca="false">SUM(F126:H126)</f>
        <v>54591.74</v>
      </c>
      <c r="H126" s="33" t="n">
        <f aca="false">'Building 15'!D31</f>
        <v>54591.74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462776</v>
      </c>
      <c r="F127" s="34" t="n">
        <f aca="false">SUM(F115:F126)</f>
        <v>86250.77</v>
      </c>
      <c r="H127" s="34" t="n">
        <f aca="false">SUM(H115:H126)</f>
        <v>376525.23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189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27290.76</v>
      </c>
      <c r="E10" s="24" t="n">
        <v>0</v>
      </c>
      <c r="F10" s="24" t="n">
        <v>0</v>
      </c>
      <c r="G10" s="24" t="n">
        <v>0</v>
      </c>
      <c r="H10" s="24" t="n">
        <v>454.85</v>
      </c>
      <c r="I10" s="24" t="n">
        <f aca="false">G10+H10</f>
        <v>454.85</v>
      </c>
      <c r="J10" s="24" t="n">
        <f aca="false">D10-I10</f>
        <v>26835.91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3521.38</v>
      </c>
      <c r="E11" s="24" t="n">
        <v>0</v>
      </c>
      <c r="F11" s="24" t="n">
        <v>2112.83</v>
      </c>
      <c r="G11" s="24" t="n">
        <v>0</v>
      </c>
      <c r="H11" s="24" t="n">
        <v>2159.79</v>
      </c>
      <c r="I11" s="24" t="n">
        <f aca="false">G11+H11</f>
        <v>2159.79</v>
      </c>
      <c r="J11" s="24" t="n">
        <f aca="false">D11-I11</f>
        <v>1361.59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6602.61</v>
      </c>
      <c r="E12" s="24" t="n">
        <v>0</v>
      </c>
      <c r="F12" s="24" t="n">
        <v>3961.57</v>
      </c>
      <c r="G12" s="24" t="n">
        <v>0</v>
      </c>
      <c r="H12" s="24" t="n">
        <v>4489.77</v>
      </c>
      <c r="I12" s="24" t="n">
        <f aca="false">G12+H12</f>
        <v>4489.77</v>
      </c>
      <c r="J12" s="24" t="n">
        <f aca="false">D12-I12</f>
        <v>2112.84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125684.23</v>
      </c>
      <c r="E13" s="24" t="n">
        <v>0</v>
      </c>
      <c r="F13" s="24" t="n">
        <v>0</v>
      </c>
      <c r="G13" s="24" t="n">
        <v>0</v>
      </c>
      <c r="H13" s="24" t="n">
        <v>2094.73</v>
      </c>
      <c r="I13" s="24" t="n">
        <f aca="false">G13+H13</f>
        <v>2094.73</v>
      </c>
      <c r="J13" s="24" t="n">
        <f aca="false">D13-I13</f>
        <v>123589.5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16217.32</v>
      </c>
      <c r="E14" s="24" t="n">
        <v>0</v>
      </c>
      <c r="F14" s="24" t="n">
        <v>9730.39</v>
      </c>
      <c r="G14" s="24" t="n">
        <v>0</v>
      </c>
      <c r="H14" s="24" t="n">
        <v>9946.62</v>
      </c>
      <c r="I14" s="24" t="n">
        <f aca="false">G14+H14</f>
        <v>9946.62</v>
      </c>
      <c r="J14" s="24" t="n">
        <f aca="false">D14-I14</f>
        <v>6270.7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30407.48</v>
      </c>
      <c r="E15" s="24" t="n">
        <v>0</v>
      </c>
      <c r="F15" s="24" t="n">
        <v>18244.49</v>
      </c>
      <c r="G15" s="24" t="n">
        <v>0</v>
      </c>
      <c r="H15" s="24" t="n">
        <v>20677.09</v>
      </c>
      <c r="I15" s="24" t="n">
        <f aca="false">G15+H15</f>
        <v>20677.09</v>
      </c>
      <c r="J15" s="24" t="n">
        <f aca="false">D15-I15</f>
        <v>9730.39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209723.78</v>
      </c>
      <c r="E16" s="28" t="n">
        <f aca="false">SUM(E10:E15)</f>
        <v>0</v>
      </c>
      <c r="F16" s="28" t="n">
        <f aca="false">SUM(F10:F15)</f>
        <v>34049.28</v>
      </c>
      <c r="G16" s="28" t="n">
        <f aca="false">SUM(G10:G15)</f>
        <v>0</v>
      </c>
      <c r="H16" s="28" t="n">
        <f aca="false">SUM(H10:H15)</f>
        <v>39822.85</v>
      </c>
      <c r="I16" s="28" t="n">
        <f aca="false">SUM(I10:I15)</f>
        <v>39822.85</v>
      </c>
      <c r="J16" s="28" t="n">
        <f aca="false">SUM(J10:J15)</f>
        <v>169900.93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5001.64</v>
      </c>
      <c r="E20" s="24" t="n">
        <v>0</v>
      </c>
      <c r="F20" s="24" t="n">
        <v>3000.98</v>
      </c>
      <c r="G20" s="24" t="n">
        <v>0</v>
      </c>
      <c r="H20" s="24" t="n">
        <v>3401.11</v>
      </c>
      <c r="I20" s="24" t="n">
        <f aca="false">G20+H20</f>
        <v>3401.11</v>
      </c>
      <c r="J20" s="24" t="n">
        <f aca="false">D20-I20</f>
        <v>1600.53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22289.12</v>
      </c>
      <c r="E21" s="24" t="n">
        <v>0</v>
      </c>
      <c r="F21" s="24" t="n">
        <v>0</v>
      </c>
      <c r="G21" s="24" t="n">
        <v>0</v>
      </c>
      <c r="H21" s="24" t="n">
        <v>371.49</v>
      </c>
      <c r="I21" s="24" t="n">
        <f aca="false">G21+H21</f>
        <v>371.49</v>
      </c>
      <c r="J21" s="24" t="n">
        <f aca="false">D21-I21</f>
        <v>21917.63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645.37</v>
      </c>
      <c r="E22" s="24" t="n">
        <v>0</v>
      </c>
      <c r="F22" s="24" t="n">
        <v>387.22</v>
      </c>
      <c r="G22" s="24" t="n">
        <v>0</v>
      </c>
      <c r="H22" s="24" t="n">
        <v>438.85</v>
      </c>
      <c r="I22" s="24" t="n">
        <f aca="false">G22+H22</f>
        <v>438.85</v>
      </c>
      <c r="J22" s="24" t="n">
        <f aca="false">D22-I22</f>
        <v>206.52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2876.01</v>
      </c>
      <c r="E23" s="24" t="n">
        <v>0</v>
      </c>
      <c r="F23" s="24" t="n">
        <v>0</v>
      </c>
      <c r="G23" s="24" t="n">
        <v>0</v>
      </c>
      <c r="H23" s="24" t="n">
        <v>47.93</v>
      </c>
      <c r="I23" s="24" t="n">
        <f aca="false">G23+H23</f>
        <v>47.93</v>
      </c>
      <c r="J23" s="24" t="n">
        <f aca="false">D23-I23</f>
        <v>2828.08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1210.08</v>
      </c>
      <c r="E24" s="24" t="n">
        <v>0</v>
      </c>
      <c r="F24" s="24" t="n">
        <v>726.05</v>
      </c>
      <c r="G24" s="24" t="n">
        <v>0</v>
      </c>
      <c r="H24" s="24" t="n">
        <v>822.86</v>
      </c>
      <c r="I24" s="24" t="n">
        <f aca="false">G24+H24</f>
        <v>822.86</v>
      </c>
      <c r="J24" s="24" t="n">
        <f aca="false">D24-I24</f>
        <v>387.22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5392.53</v>
      </c>
      <c r="E25" s="24" t="n">
        <v>0</v>
      </c>
      <c r="F25" s="24" t="n">
        <v>0</v>
      </c>
      <c r="G25" s="24" t="n">
        <v>0</v>
      </c>
      <c r="H25" s="24" t="n">
        <v>89.88</v>
      </c>
      <c r="I25" s="24" t="n">
        <f aca="false">G25+H25</f>
        <v>89.88</v>
      </c>
      <c r="J25" s="24" t="n">
        <f aca="false">D25-I25</f>
        <v>5302.65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23034.43</v>
      </c>
      <c r="E26" s="24" t="n">
        <v>0</v>
      </c>
      <c r="F26" s="24" t="n">
        <v>13820.66</v>
      </c>
      <c r="G26" s="24" t="n">
        <v>0</v>
      </c>
      <c r="H26" s="24" t="n">
        <v>15663.41</v>
      </c>
      <c r="I26" s="24" t="n">
        <f aca="false">G26+H26</f>
        <v>15663.41</v>
      </c>
      <c r="J26" s="24" t="n">
        <f aca="false">D26-I26</f>
        <v>7371.02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102649.8</v>
      </c>
      <c r="E27" s="24" t="n">
        <v>0</v>
      </c>
      <c r="F27" s="24" t="n">
        <v>0</v>
      </c>
      <c r="G27" s="24" t="n">
        <v>0</v>
      </c>
      <c r="H27" s="24" t="n">
        <v>1710.83</v>
      </c>
      <c r="I27" s="24" t="n">
        <f aca="false">G27+H27</f>
        <v>1710.83</v>
      </c>
      <c r="J27" s="24" t="n">
        <f aca="false">D27-I27</f>
        <v>100938.97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2972.18</v>
      </c>
      <c r="E28" s="24" t="n">
        <v>0</v>
      </c>
      <c r="F28" s="24" t="n">
        <v>1783.31</v>
      </c>
      <c r="G28" s="24" t="n">
        <v>0</v>
      </c>
      <c r="H28" s="24" t="n">
        <v>2021.08</v>
      </c>
      <c r="I28" s="24" t="n">
        <f aca="false">G28+H28</f>
        <v>2021.08</v>
      </c>
      <c r="J28" s="24" t="n">
        <f aca="false">D28-I28</f>
        <v>951.1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13245.14</v>
      </c>
      <c r="E29" s="24" t="n">
        <v>0</v>
      </c>
      <c r="F29" s="24" t="n">
        <v>0</v>
      </c>
      <c r="G29" s="24" t="n">
        <v>0</v>
      </c>
      <c r="H29" s="24" t="n">
        <v>220.75</v>
      </c>
      <c r="I29" s="24" t="n">
        <f aca="false">G29+H29</f>
        <v>220.75</v>
      </c>
      <c r="J29" s="24" t="n">
        <f aca="false">D29-I29</f>
        <v>13024.39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5572.85</v>
      </c>
      <c r="E30" s="24" t="n">
        <v>0</v>
      </c>
      <c r="F30" s="24" t="n">
        <v>3343.71</v>
      </c>
      <c r="G30" s="24" t="n">
        <v>0</v>
      </c>
      <c r="H30" s="24" t="n">
        <v>3789.54</v>
      </c>
      <c r="I30" s="24" t="n">
        <f aca="false">G30+H30</f>
        <v>3789.54</v>
      </c>
      <c r="J30" s="24" t="n">
        <f aca="false">D30-I30</f>
        <v>1783.31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24834.63</v>
      </c>
      <c r="E31" s="24" t="n">
        <v>0</v>
      </c>
      <c r="F31" s="24" t="n">
        <v>0</v>
      </c>
      <c r="G31" s="24" t="n">
        <v>0</v>
      </c>
      <c r="H31" s="24" t="n">
        <v>413.91</v>
      </c>
      <c r="I31" s="24" t="n">
        <f aca="false">G31+H31</f>
        <v>413.91</v>
      </c>
      <c r="J31" s="24" t="n">
        <f aca="false">D31-I31</f>
        <v>24420.72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209723.78</v>
      </c>
      <c r="E32" s="28" t="n">
        <f aca="false">SUM(E20:E31)</f>
        <v>0</v>
      </c>
      <c r="F32" s="28" t="n">
        <f aca="false">SUM(F20:F31)</f>
        <v>23061.93</v>
      </c>
      <c r="G32" s="28" t="n">
        <f aca="false">SUM(G20:G31)</f>
        <v>0</v>
      </c>
      <c r="H32" s="28" t="n">
        <f aca="false">SUM(H20:H31)</f>
        <v>28991.64</v>
      </c>
      <c r="I32" s="28" t="n">
        <f aca="false">SUM(I20:I31)</f>
        <v>28991.64</v>
      </c>
      <c r="J32" s="28" t="n">
        <f aca="false">SUM(J20:J31)</f>
        <v>180732.14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39822.85</v>
      </c>
    </row>
    <row r="36" customFormat="false" ht="15" hidden="false" customHeight="false" outlineLevel="0" collapsed="false">
      <c r="B36" s="5" t="s">
        <v>97</v>
      </c>
      <c r="D36" s="6" t="n">
        <f aca="false">I32</f>
        <v>28991.64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10831.21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27290.76</v>
      </c>
      <c r="E42" s="24" t="n">
        <v>0</v>
      </c>
      <c r="F42" s="24" t="n">
        <v>0</v>
      </c>
      <c r="G42" s="24" t="n">
        <v>0</v>
      </c>
      <c r="H42" s="24" t="n">
        <v>454.85</v>
      </c>
      <c r="I42" s="24" t="n">
        <f aca="false">G42+H42</f>
        <v>454.85</v>
      </c>
      <c r="J42" s="24" t="n">
        <f aca="false">D42-I42</f>
        <v>26835.91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3521.38</v>
      </c>
      <c r="E43" s="24" t="n">
        <v>0</v>
      </c>
      <c r="F43" s="24" t="n">
        <v>2112.83</v>
      </c>
      <c r="G43" s="24" t="n">
        <v>0</v>
      </c>
      <c r="H43" s="24" t="n">
        <v>2159.79</v>
      </c>
      <c r="I43" s="24" t="n">
        <f aca="false">G43+H43</f>
        <v>2159.79</v>
      </c>
      <c r="J43" s="24" t="n">
        <f aca="false">D43-I43</f>
        <v>1361.59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6602.61</v>
      </c>
      <c r="E44" s="24" t="n">
        <v>0</v>
      </c>
      <c r="F44" s="24" t="n">
        <v>3961.57</v>
      </c>
      <c r="G44" s="24" t="n">
        <v>0</v>
      </c>
      <c r="H44" s="24" t="n">
        <v>4489.77</v>
      </c>
      <c r="I44" s="24" t="n">
        <f aca="false">G44+H44</f>
        <v>4489.77</v>
      </c>
      <c r="J44" s="24" t="n">
        <f aca="false">D44-I44</f>
        <v>2112.84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125684.23</v>
      </c>
      <c r="E45" s="24" t="n">
        <v>0</v>
      </c>
      <c r="F45" s="24" t="n">
        <v>0</v>
      </c>
      <c r="G45" s="24" t="n">
        <v>0</v>
      </c>
      <c r="H45" s="24" t="n">
        <v>2094.73</v>
      </c>
      <c r="I45" s="24" t="n">
        <f aca="false">G45+H45</f>
        <v>2094.73</v>
      </c>
      <c r="J45" s="24" t="n">
        <f aca="false">D45-I45</f>
        <v>123589.5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16217.32</v>
      </c>
      <c r="E46" s="24" t="n">
        <v>0</v>
      </c>
      <c r="F46" s="24" t="n">
        <v>9730.39</v>
      </c>
      <c r="G46" s="24" t="n">
        <v>0</v>
      </c>
      <c r="H46" s="24" t="n">
        <v>9946.62</v>
      </c>
      <c r="I46" s="24" t="n">
        <f aca="false">G46+H46</f>
        <v>9946.62</v>
      </c>
      <c r="J46" s="24" t="n">
        <f aca="false">D46-I46</f>
        <v>6270.7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30407.48</v>
      </c>
      <c r="E47" s="24" t="n">
        <v>0</v>
      </c>
      <c r="F47" s="24" t="n">
        <v>18244.49</v>
      </c>
      <c r="G47" s="24" t="n">
        <v>0</v>
      </c>
      <c r="H47" s="24" t="n">
        <v>20677.09</v>
      </c>
      <c r="I47" s="24" t="n">
        <f aca="false">G47+H47</f>
        <v>20677.09</v>
      </c>
      <c r="J47" s="24" t="n">
        <f aca="false">D47-I47</f>
        <v>9730.39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209723.78</v>
      </c>
      <c r="E48" s="28" t="n">
        <f aca="false">SUM(E42:E47)</f>
        <v>0</v>
      </c>
      <c r="F48" s="28" t="n">
        <f aca="false">SUM(F42:F47)</f>
        <v>34049.28</v>
      </c>
      <c r="G48" s="28" t="n">
        <f aca="false">SUM(G42:G47)</f>
        <v>0</v>
      </c>
      <c r="H48" s="28" t="n">
        <f aca="false">SUM(H42:H47)</f>
        <v>39822.85</v>
      </c>
      <c r="I48" s="28" t="n">
        <f aca="false">SUM(I42:I47)</f>
        <v>39822.85</v>
      </c>
      <c r="J48" s="28" t="n">
        <f aca="false">SUM(J42:J47)</f>
        <v>169900.93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5001.64</v>
      </c>
      <c r="E52" s="24" t="n">
        <v>0</v>
      </c>
      <c r="F52" s="24" t="n">
        <v>3000.98</v>
      </c>
      <c r="G52" s="24" t="n">
        <v>0</v>
      </c>
      <c r="H52" s="24" t="n">
        <v>3401.11</v>
      </c>
      <c r="I52" s="24" t="n">
        <f aca="false">G52+H52</f>
        <v>3401.11</v>
      </c>
      <c r="J52" s="24" t="n">
        <f aca="false">D52-I52</f>
        <v>1600.53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22289.12</v>
      </c>
      <c r="E53" s="24" t="n">
        <v>0</v>
      </c>
      <c r="F53" s="24" t="n">
        <v>0</v>
      </c>
      <c r="G53" s="24" t="n">
        <v>0</v>
      </c>
      <c r="H53" s="24" t="n">
        <v>371.49</v>
      </c>
      <c r="I53" s="24" t="n">
        <f aca="false">G53+H53</f>
        <v>371.49</v>
      </c>
      <c r="J53" s="24" t="n">
        <f aca="false">D53-I53</f>
        <v>21917.63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645.37</v>
      </c>
      <c r="E54" s="24" t="n">
        <v>0</v>
      </c>
      <c r="F54" s="24" t="n">
        <v>387.22</v>
      </c>
      <c r="G54" s="24" t="n">
        <v>0</v>
      </c>
      <c r="H54" s="24" t="n">
        <v>438.85</v>
      </c>
      <c r="I54" s="24" t="n">
        <f aca="false">G54+H54</f>
        <v>438.85</v>
      </c>
      <c r="J54" s="24" t="n">
        <f aca="false">D54-I54</f>
        <v>206.52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2876.01</v>
      </c>
      <c r="E55" s="24" t="n">
        <v>0</v>
      </c>
      <c r="F55" s="24" t="n">
        <v>0</v>
      </c>
      <c r="G55" s="24" t="n">
        <v>0</v>
      </c>
      <c r="H55" s="24" t="n">
        <v>47.93</v>
      </c>
      <c r="I55" s="24" t="n">
        <f aca="false">G55+H55</f>
        <v>47.93</v>
      </c>
      <c r="J55" s="24" t="n">
        <f aca="false">D55-I55</f>
        <v>2828.08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1210.08</v>
      </c>
      <c r="E56" s="24" t="n">
        <v>0</v>
      </c>
      <c r="F56" s="24" t="n">
        <v>726.05</v>
      </c>
      <c r="G56" s="24" t="n">
        <v>0</v>
      </c>
      <c r="H56" s="24" t="n">
        <v>822.86</v>
      </c>
      <c r="I56" s="24" t="n">
        <f aca="false">G56+H56</f>
        <v>822.86</v>
      </c>
      <c r="J56" s="24" t="n">
        <f aca="false">D56-I56</f>
        <v>387.22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5392.53</v>
      </c>
      <c r="E57" s="24" t="n">
        <v>0</v>
      </c>
      <c r="F57" s="24" t="n">
        <v>0</v>
      </c>
      <c r="G57" s="24" t="n">
        <v>0</v>
      </c>
      <c r="H57" s="24" t="n">
        <v>89.88</v>
      </c>
      <c r="I57" s="24" t="n">
        <f aca="false">G57+H57</f>
        <v>89.88</v>
      </c>
      <c r="J57" s="24" t="n">
        <f aca="false">D57-I57</f>
        <v>5302.65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23034.43</v>
      </c>
      <c r="E58" s="24" t="n">
        <v>0</v>
      </c>
      <c r="F58" s="24" t="n">
        <v>13820.66</v>
      </c>
      <c r="G58" s="24" t="n">
        <v>0</v>
      </c>
      <c r="H58" s="24" t="n">
        <v>15663.41</v>
      </c>
      <c r="I58" s="24" t="n">
        <f aca="false">G58+H58</f>
        <v>15663.41</v>
      </c>
      <c r="J58" s="24" t="n">
        <f aca="false">D58-I58</f>
        <v>7371.02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102649.8</v>
      </c>
      <c r="E59" s="24" t="n">
        <v>0</v>
      </c>
      <c r="F59" s="24" t="n">
        <v>0</v>
      </c>
      <c r="G59" s="24" t="n">
        <v>0</v>
      </c>
      <c r="H59" s="24" t="n">
        <v>1710.83</v>
      </c>
      <c r="I59" s="24" t="n">
        <f aca="false">G59+H59</f>
        <v>1710.83</v>
      </c>
      <c r="J59" s="24" t="n">
        <f aca="false">D59-I59</f>
        <v>100938.97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2972.18</v>
      </c>
      <c r="E60" s="24" t="n">
        <v>0</v>
      </c>
      <c r="F60" s="24" t="n">
        <v>1783.31</v>
      </c>
      <c r="G60" s="24" t="n">
        <v>0</v>
      </c>
      <c r="H60" s="24" t="n">
        <v>2021.08</v>
      </c>
      <c r="I60" s="24" t="n">
        <f aca="false">G60+H60</f>
        <v>2021.08</v>
      </c>
      <c r="J60" s="24" t="n">
        <f aca="false">D60-I60</f>
        <v>951.1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13245.14</v>
      </c>
      <c r="E61" s="24" t="n">
        <v>0</v>
      </c>
      <c r="F61" s="24" t="n">
        <v>0</v>
      </c>
      <c r="G61" s="24" t="n">
        <v>0</v>
      </c>
      <c r="H61" s="24" t="n">
        <v>220.75</v>
      </c>
      <c r="I61" s="24" t="n">
        <f aca="false">G61+H61</f>
        <v>220.75</v>
      </c>
      <c r="J61" s="24" t="n">
        <f aca="false">D61-I61</f>
        <v>13024.39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5572.85</v>
      </c>
      <c r="E62" s="24" t="n">
        <v>0</v>
      </c>
      <c r="F62" s="24" t="n">
        <v>3343.71</v>
      </c>
      <c r="G62" s="24" t="n">
        <v>0</v>
      </c>
      <c r="H62" s="24" t="n">
        <v>3789.54</v>
      </c>
      <c r="I62" s="24" t="n">
        <f aca="false">G62+H62</f>
        <v>3789.54</v>
      </c>
      <c r="J62" s="24" t="n">
        <f aca="false">D62-I62</f>
        <v>1783.31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24834.63</v>
      </c>
      <c r="E63" s="24" t="n">
        <v>0</v>
      </c>
      <c r="F63" s="24" t="n">
        <v>0</v>
      </c>
      <c r="G63" s="24" t="n">
        <v>0</v>
      </c>
      <c r="H63" s="24" t="n">
        <v>413.91</v>
      </c>
      <c r="I63" s="24" t="n">
        <f aca="false">G63+H63</f>
        <v>413.91</v>
      </c>
      <c r="J63" s="24" t="n">
        <f aca="false">D63-I63</f>
        <v>24420.72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209723.78</v>
      </c>
      <c r="E64" s="28" t="n">
        <f aca="false">SUM(E52:E63)</f>
        <v>0</v>
      </c>
      <c r="F64" s="28" t="n">
        <f aca="false">SUM(F52:F63)</f>
        <v>23061.93</v>
      </c>
      <c r="G64" s="28" t="n">
        <f aca="false">SUM(G52:G63)</f>
        <v>0</v>
      </c>
      <c r="H64" s="28" t="n">
        <f aca="false">SUM(H52:H63)</f>
        <v>28991.64</v>
      </c>
      <c r="I64" s="28" t="n">
        <f aca="false">SUM(I52:I63)</f>
        <v>28991.64</v>
      </c>
      <c r="J64" s="28" t="n">
        <f aca="false">SUM(J52:J63)</f>
        <v>180732.14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39822.85</v>
      </c>
    </row>
    <row r="68" customFormat="false" ht="15" hidden="false" customHeight="false" outlineLevel="0" collapsed="false">
      <c r="B68" s="5" t="s">
        <v>97</v>
      </c>
      <c r="D68" s="6" t="n">
        <f aca="false">I64</f>
        <v>28991.64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10831.21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209723.78</v>
      </c>
    </row>
    <row r="73" customFormat="false" ht="15" hidden="false" customHeight="false" outlineLevel="0" collapsed="false">
      <c r="B73" s="5" t="s">
        <v>106</v>
      </c>
      <c r="D73" s="6" t="n">
        <f aca="false">F110</f>
        <v>38436.55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0.183272254581717</v>
      </c>
    </row>
    <row r="75" customFormat="false" ht="15" hidden="false" customHeight="false" outlineLevel="0" collapsed="false">
      <c r="B75" s="5" t="s">
        <v>109</v>
      </c>
      <c r="D75" s="6" t="n">
        <f aca="false">H110</f>
        <v>171287.23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0.816727745418283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8655.83</v>
      </c>
      <c r="F81" s="33" t="n">
        <v>8655.83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3397.22</v>
      </c>
      <c r="F82" s="33" t="n">
        <v>3397.22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12211.66</v>
      </c>
      <c r="F83" s="33" t="n">
        <v>12211.66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2823.29</v>
      </c>
      <c r="F84" s="33" t="n">
        <v>2823.29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90.34</v>
      </c>
      <c r="F85" s="33" t="n">
        <v>90.34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1794.05</v>
      </c>
      <c r="F86" s="33" t="n">
        <v>1794.05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1507.56</v>
      </c>
      <c r="F87" s="33" t="n">
        <v>1507.56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3281.59</v>
      </c>
      <c r="F88" s="33" t="n">
        <v>3281.59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1386.19</v>
      </c>
      <c r="F89" s="33" t="n">
        <v>1386.19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53.16</v>
      </c>
      <c r="F90" s="33" t="n">
        <v>53.16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2831.12</v>
      </c>
      <c r="F92" s="33" t="n">
        <v>2831.12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9211.22</v>
      </c>
      <c r="H94" s="33" t="n">
        <v>9211.22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11470.72</v>
      </c>
      <c r="H95" s="33" t="n">
        <v>11470.72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16969.73</v>
      </c>
      <c r="H96" s="33" t="n">
        <v>16969.73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18340.3</v>
      </c>
      <c r="H97" s="33" t="n">
        <v>18340.3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14751.7</v>
      </c>
      <c r="H98" s="33" t="n">
        <v>14751.7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1388.53</v>
      </c>
      <c r="H99" s="33" t="n">
        <v>1388.53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7649.12</v>
      </c>
      <c r="H100" s="33" t="n">
        <v>7649.12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11108.31</v>
      </c>
      <c r="H101" s="33" t="n">
        <v>11108.31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5556.95</v>
      </c>
      <c r="H102" s="33" t="n">
        <v>5556.95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7805.36</v>
      </c>
      <c r="H103" s="33" t="n">
        <v>7805.36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21030.97</v>
      </c>
      <c r="H104" s="33" t="n">
        <v>21030.97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9062.11</v>
      </c>
      <c r="H105" s="33" t="n">
        <v>9062.11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1169.97</v>
      </c>
      <c r="H106" s="33" t="n">
        <v>1169.97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22012.51</v>
      </c>
      <c r="H107" s="33" t="n">
        <v>22012.51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10783.85</v>
      </c>
      <c r="H108" s="33" t="n">
        <v>10783.85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2975.88</v>
      </c>
      <c r="H109" s="33" t="n">
        <v>2975.88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209723.78</v>
      </c>
      <c r="F110" s="34" t="n">
        <f aca="false">SUM(F80:F109)</f>
        <v>38436.55</v>
      </c>
      <c r="H110" s="34" t="n">
        <f aca="false">SUM(H80:H109)</f>
        <v>171287.23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0.183272254581717</v>
      </c>
      <c r="H111" s="31" t="n">
        <f aca="false">H110/D110</f>
        <v>0.816727745418283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16'!B20</f>
        <v>2-Building-712 Northfield Dr - 5 Year</v>
      </c>
      <c r="D115" s="33" t="n">
        <f aca="false">SUM(F115:H115)</f>
        <v>5001.64</v>
      </c>
      <c r="F115" s="33" t="n">
        <f aca="false">'Building 16'!D20</f>
        <v>5001.64</v>
      </c>
    </row>
    <row r="116" customFormat="false" ht="15" hidden="false" customHeight="false" outlineLevel="0" collapsed="false">
      <c r="B116" s="5" t="str">
        <f aca="false">'Building 16'!B21</f>
        <v>2-Building-712 Northfield Dr - 27.5 Year</v>
      </c>
      <c r="D116" s="33" t="n">
        <f aca="false">SUM(F116:H116)</f>
        <v>22289.12</v>
      </c>
      <c r="H116" s="33" t="n">
        <f aca="false">'Building 16'!D21</f>
        <v>22289.12</v>
      </c>
    </row>
    <row r="117" customFormat="false" ht="15" hidden="false" customHeight="false" outlineLevel="0" collapsed="false">
      <c r="B117" s="5" t="str">
        <f aca="false">'Building 16'!B22</f>
        <v>3-Northfield Dr - 5 Year</v>
      </c>
      <c r="D117" s="33" t="n">
        <f aca="false">SUM(F117:H117)</f>
        <v>645.37</v>
      </c>
      <c r="F117" s="33" t="n">
        <f aca="false">'Building 16'!D22</f>
        <v>645.37</v>
      </c>
    </row>
    <row r="118" customFormat="false" ht="15" hidden="false" customHeight="false" outlineLevel="0" collapsed="false">
      <c r="B118" s="5" t="str">
        <f aca="false">'Building 16'!B23</f>
        <v>3-Northfield Dr - 27.5 Year</v>
      </c>
      <c r="D118" s="33" t="n">
        <f aca="false">SUM(F118:H118)</f>
        <v>2876.01</v>
      </c>
      <c r="H118" s="33" t="n">
        <f aca="false">'Building 16'!D23</f>
        <v>2876.01</v>
      </c>
    </row>
    <row r="119" customFormat="false" ht="15" hidden="false" customHeight="false" outlineLevel="0" collapsed="false">
      <c r="B119" s="5" t="str">
        <f aca="false">'Building 16'!B24</f>
        <v>4-Northfield Dr - 5 Year</v>
      </c>
      <c r="D119" s="33" t="n">
        <f aca="false">SUM(F119:H119)</f>
        <v>1210.08</v>
      </c>
      <c r="F119" s="33" t="n">
        <f aca="false">'Building 16'!D24</f>
        <v>1210.08</v>
      </c>
    </row>
    <row r="120" customFormat="false" ht="15" hidden="false" customHeight="false" outlineLevel="0" collapsed="false">
      <c r="B120" s="5" t="str">
        <f aca="false">'Building 16'!B25</f>
        <v>4-Northfield Dr - 27.5 Year</v>
      </c>
      <c r="D120" s="33" t="n">
        <f aca="false">SUM(F120:H120)</f>
        <v>5392.53</v>
      </c>
      <c r="H120" s="33" t="n">
        <f aca="false">'Building 16'!D25</f>
        <v>5392.53</v>
      </c>
    </row>
    <row r="121" customFormat="false" ht="15" hidden="false" customHeight="false" outlineLevel="0" collapsed="false">
      <c r="B121" s="5" t="str">
        <f aca="false">'Building 16'!B26</f>
        <v>7-Building-2202 Northview Dr - 5 Year</v>
      </c>
      <c r="D121" s="33" t="n">
        <f aca="false">SUM(F121:H121)</f>
        <v>23034.43</v>
      </c>
      <c r="F121" s="33" t="n">
        <f aca="false">'Building 16'!D26</f>
        <v>23034.43</v>
      </c>
    </row>
    <row r="122" customFormat="false" ht="15" hidden="false" customHeight="false" outlineLevel="0" collapsed="false">
      <c r="B122" s="5" t="str">
        <f aca="false">'Building 16'!B27</f>
        <v>7-Building-2202 Northview Dr - 27.5 Year</v>
      </c>
      <c r="D122" s="33" t="n">
        <f aca="false">SUM(F122:H122)</f>
        <v>102649.8</v>
      </c>
      <c r="H122" s="33" t="n">
        <f aca="false">'Building 16'!D27</f>
        <v>102649.8</v>
      </c>
    </row>
    <row r="123" customFormat="false" ht="15" hidden="false" customHeight="false" outlineLevel="0" collapsed="false">
      <c r="B123" s="5" t="str">
        <f aca="false">'Building 16'!B28</f>
        <v>8-Northiew Dr - 5 Year</v>
      </c>
      <c r="D123" s="33" t="n">
        <f aca="false">SUM(F123:H123)</f>
        <v>2972.18</v>
      </c>
      <c r="F123" s="33" t="n">
        <f aca="false">'Building 16'!D28</f>
        <v>2972.18</v>
      </c>
    </row>
    <row r="124" customFormat="false" ht="15" hidden="false" customHeight="false" outlineLevel="0" collapsed="false">
      <c r="B124" s="5" t="str">
        <f aca="false">'Building 16'!B29</f>
        <v>8-Northiew Dr - 27.5 Year</v>
      </c>
      <c r="D124" s="33" t="n">
        <f aca="false">SUM(F124:H124)</f>
        <v>13245.14</v>
      </c>
      <c r="H124" s="33" t="n">
        <f aca="false">'Building 16'!D29</f>
        <v>13245.14</v>
      </c>
    </row>
    <row r="125" customFormat="false" ht="15" hidden="false" customHeight="false" outlineLevel="0" collapsed="false">
      <c r="B125" s="5" t="str">
        <f aca="false">'Building 16'!B30</f>
        <v>9-Northview Dr - 5 Year</v>
      </c>
      <c r="D125" s="33" t="n">
        <f aca="false">SUM(F125:H125)</f>
        <v>5572.85</v>
      </c>
      <c r="F125" s="33" t="n">
        <f aca="false">'Building 16'!D30</f>
        <v>5572.85</v>
      </c>
    </row>
    <row r="126" customFormat="false" ht="15" hidden="false" customHeight="false" outlineLevel="0" collapsed="false">
      <c r="B126" s="5" t="str">
        <f aca="false">'Building 16'!B31</f>
        <v>9-Northview Dr - 27.5 Year</v>
      </c>
      <c r="D126" s="33" t="n">
        <f aca="false">SUM(F126:H126)</f>
        <v>24834.63</v>
      </c>
      <c r="H126" s="33" t="n">
        <f aca="false">'Building 16'!D31</f>
        <v>24834.63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209723.78</v>
      </c>
      <c r="F127" s="34" t="n">
        <f aca="false">SUM(F115:F126)</f>
        <v>38436.55</v>
      </c>
      <c r="H127" s="34" t="n">
        <f aca="false">SUM(H115:H126)</f>
        <v>171287.23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190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20620.86</v>
      </c>
      <c r="E10" s="24" t="n">
        <v>0</v>
      </c>
      <c r="F10" s="24" t="n">
        <v>0</v>
      </c>
      <c r="G10" s="24" t="n">
        <v>0</v>
      </c>
      <c r="H10" s="24" t="n">
        <v>343.69</v>
      </c>
      <c r="I10" s="24" t="n">
        <f aca="false">G10+H10</f>
        <v>343.69</v>
      </c>
      <c r="J10" s="24" t="n">
        <f aca="false">D10-I10</f>
        <v>20277.17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2660.75</v>
      </c>
      <c r="E11" s="24" t="n">
        <v>0</v>
      </c>
      <c r="F11" s="24" t="n">
        <v>1596.45</v>
      </c>
      <c r="G11" s="24" t="n">
        <v>0</v>
      </c>
      <c r="H11" s="24" t="n">
        <v>1631.94</v>
      </c>
      <c r="I11" s="24" t="n">
        <f aca="false">G11+H11</f>
        <v>1631.94</v>
      </c>
      <c r="J11" s="24" t="n">
        <f aca="false">D11-I11</f>
        <v>1028.81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4988.92</v>
      </c>
      <c r="E12" s="24" t="n">
        <v>0</v>
      </c>
      <c r="F12" s="24" t="n">
        <v>2993.35</v>
      </c>
      <c r="G12" s="24" t="n">
        <v>0</v>
      </c>
      <c r="H12" s="24" t="n">
        <v>3392.46</v>
      </c>
      <c r="I12" s="24" t="n">
        <f aca="false">G12+H12</f>
        <v>3392.46</v>
      </c>
      <c r="J12" s="24" t="n">
        <f aca="false">D12-I12</f>
        <v>1596.46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94966.8</v>
      </c>
      <c r="E13" s="24" t="n">
        <v>0</v>
      </c>
      <c r="F13" s="24" t="n">
        <v>0</v>
      </c>
      <c r="G13" s="24" t="n">
        <v>0</v>
      </c>
      <c r="H13" s="24" t="n">
        <v>1582.78</v>
      </c>
      <c r="I13" s="24" t="n">
        <f aca="false">G13+H13</f>
        <v>1582.78</v>
      </c>
      <c r="J13" s="24" t="n">
        <f aca="false">D13-I13</f>
        <v>93384.02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12253.78</v>
      </c>
      <c r="E14" s="24" t="n">
        <v>0</v>
      </c>
      <c r="F14" s="24" t="n">
        <v>7352.27</v>
      </c>
      <c r="G14" s="24" t="n">
        <v>0</v>
      </c>
      <c r="H14" s="24" t="n">
        <v>7515.65</v>
      </c>
      <c r="I14" s="24" t="n">
        <f aca="false">G14+H14</f>
        <v>7515.65</v>
      </c>
      <c r="J14" s="24" t="n">
        <f aca="false">D14-I14</f>
        <v>4738.13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22975.84</v>
      </c>
      <c r="E15" s="24" t="n">
        <v>0</v>
      </c>
      <c r="F15" s="24" t="n">
        <v>13785.5</v>
      </c>
      <c r="G15" s="24" t="n">
        <v>0</v>
      </c>
      <c r="H15" s="24" t="n">
        <v>15623.57</v>
      </c>
      <c r="I15" s="24" t="n">
        <f aca="false">G15+H15</f>
        <v>15623.57</v>
      </c>
      <c r="J15" s="24" t="n">
        <f aca="false">D15-I15</f>
        <v>7352.27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158466.95</v>
      </c>
      <c r="E16" s="28" t="n">
        <f aca="false">SUM(E10:E15)</f>
        <v>0</v>
      </c>
      <c r="F16" s="28" t="n">
        <f aca="false">SUM(F10:F15)</f>
        <v>25727.57</v>
      </c>
      <c r="G16" s="28" t="n">
        <f aca="false">SUM(G10:G15)</f>
        <v>0</v>
      </c>
      <c r="H16" s="28" t="n">
        <f aca="false">SUM(H10:H15)</f>
        <v>30090.09</v>
      </c>
      <c r="I16" s="28" t="n">
        <f aca="false">SUM(I10:I15)</f>
        <v>30090.09</v>
      </c>
      <c r="J16" s="28" t="n">
        <f aca="false">SUM(J10:J15)</f>
        <v>128376.86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3763.31</v>
      </c>
      <c r="E20" s="24" t="n">
        <v>0</v>
      </c>
      <c r="F20" s="24" t="n">
        <v>2257.99</v>
      </c>
      <c r="G20" s="24" t="n">
        <v>0</v>
      </c>
      <c r="H20" s="24" t="n">
        <v>2559.05</v>
      </c>
      <c r="I20" s="24" t="n">
        <f aca="false">G20+H20</f>
        <v>2559.05</v>
      </c>
      <c r="J20" s="24" t="n">
        <f aca="false">D20-I20</f>
        <v>1204.26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16857.55</v>
      </c>
      <c r="E21" s="24" t="n">
        <v>0</v>
      </c>
      <c r="F21" s="24" t="n">
        <v>0</v>
      </c>
      <c r="G21" s="24" t="n">
        <v>0</v>
      </c>
      <c r="H21" s="24" t="n">
        <v>280.96</v>
      </c>
      <c r="I21" s="24" t="n">
        <f aca="false">G21+H21</f>
        <v>280.96</v>
      </c>
      <c r="J21" s="24" t="n">
        <f aca="false">D21-I21</f>
        <v>16576.59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485.59</v>
      </c>
      <c r="E22" s="24" t="n">
        <v>0</v>
      </c>
      <c r="F22" s="24" t="n">
        <v>291.35</v>
      </c>
      <c r="G22" s="24" t="n">
        <v>0</v>
      </c>
      <c r="H22" s="24" t="n">
        <v>330.2</v>
      </c>
      <c r="I22" s="24" t="n">
        <f aca="false">G22+H22</f>
        <v>330.2</v>
      </c>
      <c r="J22" s="24" t="n">
        <f aca="false">D22-I22</f>
        <v>155.39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2175.16</v>
      </c>
      <c r="E23" s="24" t="n">
        <v>0</v>
      </c>
      <c r="F23" s="24" t="n">
        <v>0</v>
      </c>
      <c r="G23" s="24" t="n">
        <v>0</v>
      </c>
      <c r="H23" s="24" t="n">
        <v>36.25</v>
      </c>
      <c r="I23" s="24" t="n">
        <f aca="false">G23+H23</f>
        <v>36.25</v>
      </c>
      <c r="J23" s="24" t="n">
        <f aca="false">D23-I23</f>
        <v>2138.91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910.48</v>
      </c>
      <c r="E24" s="24" t="n">
        <v>0</v>
      </c>
      <c r="F24" s="24" t="n">
        <v>546.29</v>
      </c>
      <c r="G24" s="24" t="n">
        <v>0</v>
      </c>
      <c r="H24" s="24" t="n">
        <v>619.13</v>
      </c>
      <c r="I24" s="24" t="n">
        <f aca="false">G24+H24</f>
        <v>619.13</v>
      </c>
      <c r="J24" s="24" t="n">
        <f aca="false">D24-I24</f>
        <v>291.35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4078.44</v>
      </c>
      <c r="E25" s="24" t="n">
        <v>0</v>
      </c>
      <c r="F25" s="24" t="n">
        <v>0</v>
      </c>
      <c r="G25" s="24" t="n">
        <v>0</v>
      </c>
      <c r="H25" s="24" t="n">
        <v>67.97</v>
      </c>
      <c r="I25" s="24" t="n">
        <f aca="false">G25+H25</f>
        <v>67.97</v>
      </c>
      <c r="J25" s="24" t="n">
        <f aca="false">D25-I25</f>
        <v>4010.47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17331.47</v>
      </c>
      <c r="E26" s="24" t="n">
        <v>0</v>
      </c>
      <c r="F26" s="24" t="n">
        <v>10398.88</v>
      </c>
      <c r="G26" s="24" t="n">
        <v>0</v>
      </c>
      <c r="H26" s="24" t="n">
        <v>11785.4</v>
      </c>
      <c r="I26" s="24" t="n">
        <f aca="false">G26+H26</f>
        <v>11785.4</v>
      </c>
      <c r="J26" s="24" t="n">
        <f aca="false">D26-I26</f>
        <v>5546.07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77635.33</v>
      </c>
      <c r="E27" s="24" t="n">
        <v>0</v>
      </c>
      <c r="F27" s="24" t="n">
        <v>0</v>
      </c>
      <c r="G27" s="24" t="n">
        <v>0</v>
      </c>
      <c r="H27" s="24" t="n">
        <v>1293.92</v>
      </c>
      <c r="I27" s="24" t="n">
        <f aca="false">G27+H27</f>
        <v>1293.92</v>
      </c>
      <c r="J27" s="24" t="n">
        <f aca="false">D27-I27</f>
        <v>76341.41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2236.32</v>
      </c>
      <c r="E28" s="24" t="n">
        <v>0</v>
      </c>
      <c r="F28" s="24" t="n">
        <v>1341.79</v>
      </c>
      <c r="G28" s="24" t="n">
        <v>0</v>
      </c>
      <c r="H28" s="24" t="n">
        <v>1520.7</v>
      </c>
      <c r="I28" s="24" t="n">
        <f aca="false">G28+H28</f>
        <v>1520.7</v>
      </c>
      <c r="J28" s="24" t="n">
        <f aca="false">D28-I28</f>
        <v>715.62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10017.46</v>
      </c>
      <c r="E29" s="24" t="n">
        <v>0</v>
      </c>
      <c r="F29" s="24" t="n">
        <v>0</v>
      </c>
      <c r="G29" s="24" t="n">
        <v>0</v>
      </c>
      <c r="H29" s="24" t="n">
        <v>166.96</v>
      </c>
      <c r="I29" s="24" t="n">
        <f aca="false">G29+H29</f>
        <v>166.96</v>
      </c>
      <c r="J29" s="24" t="n">
        <f aca="false">D29-I29</f>
        <v>9850.5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4193.09</v>
      </c>
      <c r="E30" s="24" t="n">
        <v>0</v>
      </c>
      <c r="F30" s="24" t="n">
        <v>2515.85</v>
      </c>
      <c r="G30" s="24" t="n">
        <v>0</v>
      </c>
      <c r="H30" s="24" t="n">
        <v>2851.3</v>
      </c>
      <c r="I30" s="24" t="n">
        <f aca="false">G30+H30</f>
        <v>2851.3</v>
      </c>
      <c r="J30" s="24" t="n">
        <f aca="false">D30-I30</f>
        <v>1341.79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18782.75</v>
      </c>
      <c r="E31" s="24" t="n">
        <v>0</v>
      </c>
      <c r="F31" s="24" t="n">
        <v>0</v>
      </c>
      <c r="G31" s="24" t="n">
        <v>0</v>
      </c>
      <c r="H31" s="24" t="n">
        <v>313.05</v>
      </c>
      <c r="I31" s="24" t="n">
        <f aca="false">G31+H31</f>
        <v>313.05</v>
      </c>
      <c r="J31" s="24" t="n">
        <f aca="false">D31-I31</f>
        <v>18469.7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158466.95</v>
      </c>
      <c r="E32" s="28" t="n">
        <f aca="false">SUM(E20:E31)</f>
        <v>0</v>
      </c>
      <c r="F32" s="28" t="n">
        <f aca="false">SUM(F20:F31)</f>
        <v>17352.15</v>
      </c>
      <c r="G32" s="28" t="n">
        <f aca="false">SUM(G20:G31)</f>
        <v>0</v>
      </c>
      <c r="H32" s="28" t="n">
        <f aca="false">SUM(H20:H31)</f>
        <v>21824.89</v>
      </c>
      <c r="I32" s="28" t="n">
        <f aca="false">SUM(I20:I31)</f>
        <v>21824.89</v>
      </c>
      <c r="J32" s="28" t="n">
        <f aca="false">SUM(J20:J31)</f>
        <v>136642.06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30090.09</v>
      </c>
    </row>
    <row r="36" customFormat="false" ht="15" hidden="false" customHeight="false" outlineLevel="0" collapsed="false">
      <c r="B36" s="5" t="s">
        <v>97</v>
      </c>
      <c r="D36" s="6" t="n">
        <f aca="false">I32</f>
        <v>21824.89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8265.2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20620.86</v>
      </c>
      <c r="E42" s="24" t="n">
        <v>0</v>
      </c>
      <c r="F42" s="24" t="n">
        <v>0</v>
      </c>
      <c r="G42" s="24" t="n">
        <v>0</v>
      </c>
      <c r="H42" s="24" t="n">
        <v>343.69</v>
      </c>
      <c r="I42" s="24" t="n">
        <f aca="false">G42+H42</f>
        <v>343.69</v>
      </c>
      <c r="J42" s="24" t="n">
        <f aca="false">D42-I42</f>
        <v>20277.17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2660.75</v>
      </c>
      <c r="E43" s="24" t="n">
        <v>0</v>
      </c>
      <c r="F43" s="24" t="n">
        <v>1596.45</v>
      </c>
      <c r="G43" s="24" t="n">
        <v>0</v>
      </c>
      <c r="H43" s="24" t="n">
        <v>1631.94</v>
      </c>
      <c r="I43" s="24" t="n">
        <f aca="false">G43+H43</f>
        <v>1631.94</v>
      </c>
      <c r="J43" s="24" t="n">
        <f aca="false">D43-I43</f>
        <v>1028.81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4988.92</v>
      </c>
      <c r="E44" s="24" t="n">
        <v>0</v>
      </c>
      <c r="F44" s="24" t="n">
        <v>2993.35</v>
      </c>
      <c r="G44" s="24" t="n">
        <v>0</v>
      </c>
      <c r="H44" s="24" t="n">
        <v>3392.46</v>
      </c>
      <c r="I44" s="24" t="n">
        <f aca="false">G44+H44</f>
        <v>3392.46</v>
      </c>
      <c r="J44" s="24" t="n">
        <f aca="false">D44-I44</f>
        <v>1596.46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94966.8</v>
      </c>
      <c r="E45" s="24" t="n">
        <v>0</v>
      </c>
      <c r="F45" s="24" t="n">
        <v>0</v>
      </c>
      <c r="G45" s="24" t="n">
        <v>0</v>
      </c>
      <c r="H45" s="24" t="n">
        <v>1582.78</v>
      </c>
      <c r="I45" s="24" t="n">
        <f aca="false">G45+H45</f>
        <v>1582.78</v>
      </c>
      <c r="J45" s="24" t="n">
        <f aca="false">D45-I45</f>
        <v>93384.02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12253.78</v>
      </c>
      <c r="E46" s="24" t="n">
        <v>0</v>
      </c>
      <c r="F46" s="24" t="n">
        <v>7352.27</v>
      </c>
      <c r="G46" s="24" t="n">
        <v>0</v>
      </c>
      <c r="H46" s="24" t="n">
        <v>7515.65</v>
      </c>
      <c r="I46" s="24" t="n">
        <f aca="false">G46+H46</f>
        <v>7515.65</v>
      </c>
      <c r="J46" s="24" t="n">
        <f aca="false">D46-I46</f>
        <v>4738.13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22975.84</v>
      </c>
      <c r="E47" s="24" t="n">
        <v>0</v>
      </c>
      <c r="F47" s="24" t="n">
        <v>13785.5</v>
      </c>
      <c r="G47" s="24" t="n">
        <v>0</v>
      </c>
      <c r="H47" s="24" t="n">
        <v>15623.57</v>
      </c>
      <c r="I47" s="24" t="n">
        <f aca="false">G47+H47</f>
        <v>15623.57</v>
      </c>
      <c r="J47" s="24" t="n">
        <f aca="false">D47-I47</f>
        <v>7352.27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158466.95</v>
      </c>
      <c r="E48" s="28" t="n">
        <f aca="false">SUM(E42:E47)</f>
        <v>0</v>
      </c>
      <c r="F48" s="28" t="n">
        <f aca="false">SUM(F42:F47)</f>
        <v>25727.57</v>
      </c>
      <c r="G48" s="28" t="n">
        <f aca="false">SUM(G42:G47)</f>
        <v>0</v>
      </c>
      <c r="H48" s="28" t="n">
        <f aca="false">SUM(H42:H47)</f>
        <v>30090.09</v>
      </c>
      <c r="I48" s="28" t="n">
        <f aca="false">SUM(I42:I47)</f>
        <v>30090.09</v>
      </c>
      <c r="J48" s="28" t="n">
        <f aca="false">SUM(J42:J47)</f>
        <v>128376.86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3763.31</v>
      </c>
      <c r="E52" s="24" t="n">
        <v>0</v>
      </c>
      <c r="F52" s="24" t="n">
        <v>2257.99</v>
      </c>
      <c r="G52" s="24" t="n">
        <v>0</v>
      </c>
      <c r="H52" s="24" t="n">
        <v>2559.05</v>
      </c>
      <c r="I52" s="24" t="n">
        <f aca="false">G52+H52</f>
        <v>2559.05</v>
      </c>
      <c r="J52" s="24" t="n">
        <f aca="false">D52-I52</f>
        <v>1204.26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16857.55</v>
      </c>
      <c r="E53" s="24" t="n">
        <v>0</v>
      </c>
      <c r="F53" s="24" t="n">
        <v>0</v>
      </c>
      <c r="G53" s="24" t="n">
        <v>0</v>
      </c>
      <c r="H53" s="24" t="n">
        <v>280.96</v>
      </c>
      <c r="I53" s="24" t="n">
        <f aca="false">G53+H53</f>
        <v>280.96</v>
      </c>
      <c r="J53" s="24" t="n">
        <f aca="false">D53-I53</f>
        <v>16576.59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485.59</v>
      </c>
      <c r="E54" s="24" t="n">
        <v>0</v>
      </c>
      <c r="F54" s="24" t="n">
        <v>291.35</v>
      </c>
      <c r="G54" s="24" t="n">
        <v>0</v>
      </c>
      <c r="H54" s="24" t="n">
        <v>330.2</v>
      </c>
      <c r="I54" s="24" t="n">
        <f aca="false">G54+H54</f>
        <v>330.2</v>
      </c>
      <c r="J54" s="24" t="n">
        <f aca="false">D54-I54</f>
        <v>155.39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2175.16</v>
      </c>
      <c r="E55" s="24" t="n">
        <v>0</v>
      </c>
      <c r="F55" s="24" t="n">
        <v>0</v>
      </c>
      <c r="G55" s="24" t="n">
        <v>0</v>
      </c>
      <c r="H55" s="24" t="n">
        <v>36.25</v>
      </c>
      <c r="I55" s="24" t="n">
        <f aca="false">G55+H55</f>
        <v>36.25</v>
      </c>
      <c r="J55" s="24" t="n">
        <f aca="false">D55-I55</f>
        <v>2138.91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910.48</v>
      </c>
      <c r="E56" s="24" t="n">
        <v>0</v>
      </c>
      <c r="F56" s="24" t="n">
        <v>546.29</v>
      </c>
      <c r="G56" s="24" t="n">
        <v>0</v>
      </c>
      <c r="H56" s="24" t="n">
        <v>619.13</v>
      </c>
      <c r="I56" s="24" t="n">
        <f aca="false">G56+H56</f>
        <v>619.13</v>
      </c>
      <c r="J56" s="24" t="n">
        <f aca="false">D56-I56</f>
        <v>291.35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4078.44</v>
      </c>
      <c r="E57" s="24" t="n">
        <v>0</v>
      </c>
      <c r="F57" s="24" t="n">
        <v>0</v>
      </c>
      <c r="G57" s="24" t="n">
        <v>0</v>
      </c>
      <c r="H57" s="24" t="n">
        <v>67.97</v>
      </c>
      <c r="I57" s="24" t="n">
        <f aca="false">G57+H57</f>
        <v>67.97</v>
      </c>
      <c r="J57" s="24" t="n">
        <f aca="false">D57-I57</f>
        <v>4010.47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17331.47</v>
      </c>
      <c r="E58" s="24" t="n">
        <v>0</v>
      </c>
      <c r="F58" s="24" t="n">
        <v>10398.88</v>
      </c>
      <c r="G58" s="24" t="n">
        <v>0</v>
      </c>
      <c r="H58" s="24" t="n">
        <v>11785.4</v>
      </c>
      <c r="I58" s="24" t="n">
        <f aca="false">G58+H58</f>
        <v>11785.4</v>
      </c>
      <c r="J58" s="24" t="n">
        <f aca="false">D58-I58</f>
        <v>5546.07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77635.33</v>
      </c>
      <c r="E59" s="24" t="n">
        <v>0</v>
      </c>
      <c r="F59" s="24" t="n">
        <v>0</v>
      </c>
      <c r="G59" s="24" t="n">
        <v>0</v>
      </c>
      <c r="H59" s="24" t="n">
        <v>1293.92</v>
      </c>
      <c r="I59" s="24" t="n">
        <f aca="false">G59+H59</f>
        <v>1293.92</v>
      </c>
      <c r="J59" s="24" t="n">
        <f aca="false">D59-I59</f>
        <v>76341.41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2236.32</v>
      </c>
      <c r="E60" s="24" t="n">
        <v>0</v>
      </c>
      <c r="F60" s="24" t="n">
        <v>1341.79</v>
      </c>
      <c r="G60" s="24" t="n">
        <v>0</v>
      </c>
      <c r="H60" s="24" t="n">
        <v>1520.7</v>
      </c>
      <c r="I60" s="24" t="n">
        <f aca="false">G60+H60</f>
        <v>1520.7</v>
      </c>
      <c r="J60" s="24" t="n">
        <f aca="false">D60-I60</f>
        <v>715.62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10017.46</v>
      </c>
      <c r="E61" s="24" t="n">
        <v>0</v>
      </c>
      <c r="F61" s="24" t="n">
        <v>0</v>
      </c>
      <c r="G61" s="24" t="n">
        <v>0</v>
      </c>
      <c r="H61" s="24" t="n">
        <v>166.96</v>
      </c>
      <c r="I61" s="24" t="n">
        <f aca="false">G61+H61</f>
        <v>166.96</v>
      </c>
      <c r="J61" s="24" t="n">
        <f aca="false">D61-I61</f>
        <v>9850.5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4193.09</v>
      </c>
      <c r="E62" s="24" t="n">
        <v>0</v>
      </c>
      <c r="F62" s="24" t="n">
        <v>2515.85</v>
      </c>
      <c r="G62" s="24" t="n">
        <v>0</v>
      </c>
      <c r="H62" s="24" t="n">
        <v>2851.3</v>
      </c>
      <c r="I62" s="24" t="n">
        <f aca="false">G62+H62</f>
        <v>2851.3</v>
      </c>
      <c r="J62" s="24" t="n">
        <f aca="false">D62-I62</f>
        <v>1341.79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18782.75</v>
      </c>
      <c r="E63" s="24" t="n">
        <v>0</v>
      </c>
      <c r="F63" s="24" t="n">
        <v>0</v>
      </c>
      <c r="G63" s="24" t="n">
        <v>0</v>
      </c>
      <c r="H63" s="24" t="n">
        <v>313.05</v>
      </c>
      <c r="I63" s="24" t="n">
        <f aca="false">G63+H63</f>
        <v>313.05</v>
      </c>
      <c r="J63" s="24" t="n">
        <f aca="false">D63-I63</f>
        <v>18469.7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158466.95</v>
      </c>
      <c r="E64" s="28" t="n">
        <f aca="false">SUM(E52:E63)</f>
        <v>0</v>
      </c>
      <c r="F64" s="28" t="n">
        <f aca="false">SUM(F52:F63)</f>
        <v>17352.15</v>
      </c>
      <c r="G64" s="28" t="n">
        <f aca="false">SUM(G52:G63)</f>
        <v>0</v>
      </c>
      <c r="H64" s="28" t="n">
        <f aca="false">SUM(H52:H63)</f>
        <v>21824.89</v>
      </c>
      <c r="I64" s="28" t="n">
        <f aca="false">SUM(I52:I63)</f>
        <v>21824.89</v>
      </c>
      <c r="J64" s="28" t="n">
        <f aca="false">SUM(J52:J63)</f>
        <v>136642.06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30090.09</v>
      </c>
    </row>
    <row r="68" customFormat="false" ht="15" hidden="false" customHeight="false" outlineLevel="0" collapsed="false">
      <c r="B68" s="5" t="s">
        <v>97</v>
      </c>
      <c r="D68" s="6" t="n">
        <f aca="false">I64</f>
        <v>21824.89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8265.2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158466.95</v>
      </c>
    </row>
    <row r="73" customFormat="false" ht="15" hidden="false" customHeight="false" outlineLevel="0" collapsed="false">
      <c r="B73" s="5" t="s">
        <v>106</v>
      </c>
      <c r="D73" s="6" t="n">
        <f aca="false">F110</f>
        <v>28920.26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0.182500262673068</v>
      </c>
    </row>
    <row r="75" customFormat="false" ht="15" hidden="false" customHeight="false" outlineLevel="0" collapsed="false">
      <c r="B75" s="5" t="s">
        <v>109</v>
      </c>
      <c r="D75" s="6" t="n">
        <f aca="false">H110</f>
        <v>129546.69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0.817499737326932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6533.64</v>
      </c>
      <c r="F81" s="33" t="n">
        <v>6533.64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2614.22</v>
      </c>
      <c r="F82" s="33" t="n">
        <v>2614.22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9105.85</v>
      </c>
      <c r="F83" s="33" t="n">
        <v>9105.85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2111.86</v>
      </c>
      <c r="F84" s="33" t="n">
        <v>2111.86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75.4</v>
      </c>
      <c r="F85" s="33" t="n">
        <v>75.4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1345.52</v>
      </c>
      <c r="F86" s="33" t="n">
        <v>1345.52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1124.14</v>
      </c>
      <c r="F87" s="33" t="n">
        <v>1124.14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2461.18</v>
      </c>
      <c r="F88" s="33" t="n">
        <v>2461.18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1115.53</v>
      </c>
      <c r="F89" s="33" t="n">
        <v>1115.53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39.87</v>
      </c>
      <c r="F90" s="33" t="n">
        <v>39.87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269.71</v>
      </c>
      <c r="F91" s="33" t="n">
        <v>269.71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2123.34</v>
      </c>
      <c r="F92" s="33" t="n">
        <v>2123.34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6918.03</v>
      </c>
      <c r="H94" s="33" t="n">
        <v>6918.03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8596.86</v>
      </c>
      <c r="H95" s="33" t="n">
        <v>8596.86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12653.81</v>
      </c>
      <c r="H96" s="33" t="n">
        <v>12653.81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13675.79</v>
      </c>
      <c r="H97" s="33" t="n">
        <v>13675.79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10999.88</v>
      </c>
      <c r="H98" s="33" t="n">
        <v>10999.88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1127.78</v>
      </c>
      <c r="H99" s="33" t="n">
        <v>1127.78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5908.55</v>
      </c>
      <c r="H100" s="33" t="n">
        <v>5908.55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8822.48</v>
      </c>
      <c r="H101" s="33" t="n">
        <v>8822.48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4151.18</v>
      </c>
      <c r="H102" s="33" t="n">
        <v>4151.18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5820.2</v>
      </c>
      <c r="H103" s="33" t="n">
        <v>5820.2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16204.26</v>
      </c>
      <c r="H104" s="33" t="n">
        <v>16204.26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6931.85</v>
      </c>
      <c r="H105" s="33" t="n">
        <v>6931.85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766.11</v>
      </c>
      <c r="H106" s="33" t="n">
        <v>766.11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16627.43</v>
      </c>
      <c r="H107" s="33" t="n">
        <v>16627.43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8087.9</v>
      </c>
      <c r="H108" s="33" t="n">
        <v>8087.9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2254.58</v>
      </c>
      <c r="H109" s="33" t="n">
        <v>2254.58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158466.95</v>
      </c>
      <c r="F110" s="34" t="n">
        <f aca="false">SUM(F80:F109)</f>
        <v>28920.26</v>
      </c>
      <c r="H110" s="34" t="n">
        <f aca="false">SUM(H80:H109)</f>
        <v>129546.69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0.182500262673068</v>
      </c>
      <c r="H111" s="31" t="n">
        <f aca="false">H110/D110</f>
        <v>0.817499737326932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17'!B20</f>
        <v>2-Building-712 Northfield Dr - 5 Year</v>
      </c>
      <c r="D115" s="33" t="n">
        <f aca="false">SUM(F115:H115)</f>
        <v>3763.31</v>
      </c>
      <c r="F115" s="33" t="n">
        <f aca="false">'Building 17'!D20</f>
        <v>3763.31</v>
      </c>
    </row>
    <row r="116" customFormat="false" ht="15" hidden="false" customHeight="false" outlineLevel="0" collapsed="false">
      <c r="B116" s="5" t="str">
        <f aca="false">'Building 17'!B21</f>
        <v>2-Building-712 Northfield Dr - 27.5 Year</v>
      </c>
      <c r="D116" s="33" t="n">
        <f aca="false">SUM(F116:H116)</f>
        <v>16857.55</v>
      </c>
      <c r="H116" s="33" t="n">
        <f aca="false">'Building 17'!D21</f>
        <v>16857.55</v>
      </c>
    </row>
    <row r="117" customFormat="false" ht="15" hidden="false" customHeight="false" outlineLevel="0" collapsed="false">
      <c r="B117" s="5" t="str">
        <f aca="false">'Building 17'!B22</f>
        <v>3-Northfield Dr - 5 Year</v>
      </c>
      <c r="D117" s="33" t="n">
        <f aca="false">SUM(F117:H117)</f>
        <v>485.59</v>
      </c>
      <c r="F117" s="33" t="n">
        <f aca="false">'Building 17'!D22</f>
        <v>485.59</v>
      </c>
    </row>
    <row r="118" customFormat="false" ht="15" hidden="false" customHeight="false" outlineLevel="0" collapsed="false">
      <c r="B118" s="5" t="str">
        <f aca="false">'Building 17'!B23</f>
        <v>3-Northfield Dr - 27.5 Year</v>
      </c>
      <c r="D118" s="33" t="n">
        <f aca="false">SUM(F118:H118)</f>
        <v>2175.16</v>
      </c>
      <c r="H118" s="33" t="n">
        <f aca="false">'Building 17'!D23</f>
        <v>2175.16</v>
      </c>
    </row>
    <row r="119" customFormat="false" ht="15" hidden="false" customHeight="false" outlineLevel="0" collapsed="false">
      <c r="B119" s="5" t="str">
        <f aca="false">'Building 17'!B24</f>
        <v>4-Northfield Dr - 5 Year</v>
      </c>
      <c r="D119" s="33" t="n">
        <f aca="false">SUM(F119:H119)</f>
        <v>910.48</v>
      </c>
      <c r="F119" s="33" t="n">
        <f aca="false">'Building 17'!D24</f>
        <v>910.48</v>
      </c>
    </row>
    <row r="120" customFormat="false" ht="15" hidden="false" customHeight="false" outlineLevel="0" collapsed="false">
      <c r="B120" s="5" t="str">
        <f aca="false">'Building 17'!B25</f>
        <v>4-Northfield Dr - 27.5 Year</v>
      </c>
      <c r="D120" s="33" t="n">
        <f aca="false">SUM(F120:H120)</f>
        <v>4078.44</v>
      </c>
      <c r="H120" s="33" t="n">
        <f aca="false">'Building 17'!D25</f>
        <v>4078.44</v>
      </c>
    </row>
    <row r="121" customFormat="false" ht="15" hidden="false" customHeight="false" outlineLevel="0" collapsed="false">
      <c r="B121" s="5" t="str">
        <f aca="false">'Building 17'!B26</f>
        <v>7-Building-2202 Northview Dr - 5 Year</v>
      </c>
      <c r="D121" s="33" t="n">
        <f aca="false">SUM(F121:H121)</f>
        <v>17331.47</v>
      </c>
      <c r="F121" s="33" t="n">
        <f aca="false">'Building 17'!D26</f>
        <v>17331.47</v>
      </c>
    </row>
    <row r="122" customFormat="false" ht="15" hidden="false" customHeight="false" outlineLevel="0" collapsed="false">
      <c r="B122" s="5" t="str">
        <f aca="false">'Building 17'!B27</f>
        <v>7-Building-2202 Northview Dr - 27.5 Year</v>
      </c>
      <c r="D122" s="33" t="n">
        <f aca="false">SUM(F122:H122)</f>
        <v>77635.33</v>
      </c>
      <c r="H122" s="33" t="n">
        <f aca="false">'Building 17'!D27</f>
        <v>77635.33</v>
      </c>
    </row>
    <row r="123" customFormat="false" ht="15" hidden="false" customHeight="false" outlineLevel="0" collapsed="false">
      <c r="B123" s="5" t="str">
        <f aca="false">'Building 17'!B28</f>
        <v>8-Northiew Dr - 5 Year</v>
      </c>
      <c r="D123" s="33" t="n">
        <f aca="false">SUM(F123:H123)</f>
        <v>2236.32</v>
      </c>
      <c r="F123" s="33" t="n">
        <f aca="false">'Building 17'!D28</f>
        <v>2236.32</v>
      </c>
    </row>
    <row r="124" customFormat="false" ht="15" hidden="false" customHeight="false" outlineLevel="0" collapsed="false">
      <c r="B124" s="5" t="str">
        <f aca="false">'Building 17'!B29</f>
        <v>8-Northiew Dr - 27.5 Year</v>
      </c>
      <c r="D124" s="33" t="n">
        <f aca="false">SUM(F124:H124)</f>
        <v>10017.46</v>
      </c>
      <c r="H124" s="33" t="n">
        <f aca="false">'Building 17'!D29</f>
        <v>10017.46</v>
      </c>
    </row>
    <row r="125" customFormat="false" ht="15" hidden="false" customHeight="false" outlineLevel="0" collapsed="false">
      <c r="B125" s="5" t="str">
        <f aca="false">'Building 17'!B30</f>
        <v>9-Northview Dr - 5 Year</v>
      </c>
      <c r="D125" s="33" t="n">
        <f aca="false">SUM(F125:H125)</f>
        <v>4193.09</v>
      </c>
      <c r="F125" s="33" t="n">
        <f aca="false">'Building 17'!D30</f>
        <v>4193.09</v>
      </c>
    </row>
    <row r="126" customFormat="false" ht="15" hidden="false" customHeight="false" outlineLevel="0" collapsed="false">
      <c r="B126" s="5" t="str">
        <f aca="false">'Building 17'!B31</f>
        <v>9-Northview Dr - 27.5 Year</v>
      </c>
      <c r="D126" s="33" t="n">
        <f aca="false">SUM(F126:H126)</f>
        <v>18782.75</v>
      </c>
      <c r="H126" s="33" t="n">
        <f aca="false">'Building 17'!D31</f>
        <v>18782.75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158466.95</v>
      </c>
      <c r="F127" s="34" t="n">
        <f aca="false">SUM(F115:F126)</f>
        <v>28920.26</v>
      </c>
      <c r="H127" s="34" t="n">
        <f aca="false">SUM(H115:H126)</f>
        <v>129546.69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191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20620.86</v>
      </c>
      <c r="E10" s="24" t="n">
        <v>0</v>
      </c>
      <c r="F10" s="24" t="n">
        <v>0</v>
      </c>
      <c r="G10" s="24" t="n">
        <v>0</v>
      </c>
      <c r="H10" s="24" t="n">
        <v>343.69</v>
      </c>
      <c r="I10" s="24" t="n">
        <f aca="false">G10+H10</f>
        <v>343.69</v>
      </c>
      <c r="J10" s="24" t="n">
        <f aca="false">D10-I10</f>
        <v>20277.17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2660.75</v>
      </c>
      <c r="E11" s="24" t="n">
        <v>0</v>
      </c>
      <c r="F11" s="24" t="n">
        <v>1596.45</v>
      </c>
      <c r="G11" s="24" t="n">
        <v>0</v>
      </c>
      <c r="H11" s="24" t="n">
        <v>1631.94</v>
      </c>
      <c r="I11" s="24" t="n">
        <f aca="false">G11+H11</f>
        <v>1631.94</v>
      </c>
      <c r="J11" s="24" t="n">
        <f aca="false">D11-I11</f>
        <v>1028.81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4988.92</v>
      </c>
      <c r="E12" s="24" t="n">
        <v>0</v>
      </c>
      <c r="F12" s="24" t="n">
        <v>2993.35</v>
      </c>
      <c r="G12" s="24" t="n">
        <v>0</v>
      </c>
      <c r="H12" s="24" t="n">
        <v>3392.46</v>
      </c>
      <c r="I12" s="24" t="n">
        <f aca="false">G12+H12</f>
        <v>3392.46</v>
      </c>
      <c r="J12" s="24" t="n">
        <f aca="false">D12-I12</f>
        <v>1596.46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94966.8</v>
      </c>
      <c r="E13" s="24" t="n">
        <v>0</v>
      </c>
      <c r="F13" s="24" t="n">
        <v>0</v>
      </c>
      <c r="G13" s="24" t="n">
        <v>0</v>
      </c>
      <c r="H13" s="24" t="n">
        <v>1582.78</v>
      </c>
      <c r="I13" s="24" t="n">
        <f aca="false">G13+H13</f>
        <v>1582.78</v>
      </c>
      <c r="J13" s="24" t="n">
        <f aca="false">D13-I13</f>
        <v>93384.02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12253.78</v>
      </c>
      <c r="E14" s="24" t="n">
        <v>0</v>
      </c>
      <c r="F14" s="24" t="n">
        <v>7352.27</v>
      </c>
      <c r="G14" s="24" t="n">
        <v>0</v>
      </c>
      <c r="H14" s="24" t="n">
        <v>7515.65</v>
      </c>
      <c r="I14" s="24" t="n">
        <f aca="false">G14+H14</f>
        <v>7515.65</v>
      </c>
      <c r="J14" s="24" t="n">
        <f aca="false">D14-I14</f>
        <v>4738.13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22975.84</v>
      </c>
      <c r="E15" s="24" t="n">
        <v>0</v>
      </c>
      <c r="F15" s="24" t="n">
        <v>13785.5</v>
      </c>
      <c r="G15" s="24" t="n">
        <v>0</v>
      </c>
      <c r="H15" s="24" t="n">
        <v>15623.57</v>
      </c>
      <c r="I15" s="24" t="n">
        <f aca="false">G15+H15</f>
        <v>15623.57</v>
      </c>
      <c r="J15" s="24" t="n">
        <f aca="false">D15-I15</f>
        <v>7352.27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158466.95</v>
      </c>
      <c r="E16" s="28" t="n">
        <f aca="false">SUM(E10:E15)</f>
        <v>0</v>
      </c>
      <c r="F16" s="28" t="n">
        <f aca="false">SUM(F10:F15)</f>
        <v>25727.57</v>
      </c>
      <c r="G16" s="28" t="n">
        <f aca="false">SUM(G10:G15)</f>
        <v>0</v>
      </c>
      <c r="H16" s="28" t="n">
        <f aca="false">SUM(H10:H15)</f>
        <v>30090.09</v>
      </c>
      <c r="I16" s="28" t="n">
        <f aca="false">SUM(I10:I15)</f>
        <v>30090.09</v>
      </c>
      <c r="J16" s="28" t="n">
        <f aca="false">SUM(J10:J15)</f>
        <v>128376.86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3763.31</v>
      </c>
      <c r="E20" s="24" t="n">
        <v>0</v>
      </c>
      <c r="F20" s="24" t="n">
        <v>2257.99</v>
      </c>
      <c r="G20" s="24" t="n">
        <v>0</v>
      </c>
      <c r="H20" s="24" t="n">
        <v>2559.05</v>
      </c>
      <c r="I20" s="24" t="n">
        <f aca="false">G20+H20</f>
        <v>2559.05</v>
      </c>
      <c r="J20" s="24" t="n">
        <f aca="false">D20-I20</f>
        <v>1204.26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16857.55</v>
      </c>
      <c r="E21" s="24" t="n">
        <v>0</v>
      </c>
      <c r="F21" s="24" t="n">
        <v>0</v>
      </c>
      <c r="G21" s="24" t="n">
        <v>0</v>
      </c>
      <c r="H21" s="24" t="n">
        <v>280.96</v>
      </c>
      <c r="I21" s="24" t="n">
        <f aca="false">G21+H21</f>
        <v>280.96</v>
      </c>
      <c r="J21" s="24" t="n">
        <f aca="false">D21-I21</f>
        <v>16576.59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485.59</v>
      </c>
      <c r="E22" s="24" t="n">
        <v>0</v>
      </c>
      <c r="F22" s="24" t="n">
        <v>291.35</v>
      </c>
      <c r="G22" s="24" t="n">
        <v>0</v>
      </c>
      <c r="H22" s="24" t="n">
        <v>330.2</v>
      </c>
      <c r="I22" s="24" t="n">
        <f aca="false">G22+H22</f>
        <v>330.2</v>
      </c>
      <c r="J22" s="24" t="n">
        <f aca="false">D22-I22</f>
        <v>155.39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2175.16</v>
      </c>
      <c r="E23" s="24" t="n">
        <v>0</v>
      </c>
      <c r="F23" s="24" t="n">
        <v>0</v>
      </c>
      <c r="G23" s="24" t="n">
        <v>0</v>
      </c>
      <c r="H23" s="24" t="n">
        <v>36.25</v>
      </c>
      <c r="I23" s="24" t="n">
        <f aca="false">G23+H23</f>
        <v>36.25</v>
      </c>
      <c r="J23" s="24" t="n">
        <f aca="false">D23-I23</f>
        <v>2138.91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910.48</v>
      </c>
      <c r="E24" s="24" t="n">
        <v>0</v>
      </c>
      <c r="F24" s="24" t="n">
        <v>546.29</v>
      </c>
      <c r="G24" s="24" t="n">
        <v>0</v>
      </c>
      <c r="H24" s="24" t="n">
        <v>619.13</v>
      </c>
      <c r="I24" s="24" t="n">
        <f aca="false">G24+H24</f>
        <v>619.13</v>
      </c>
      <c r="J24" s="24" t="n">
        <f aca="false">D24-I24</f>
        <v>291.35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4078.44</v>
      </c>
      <c r="E25" s="24" t="n">
        <v>0</v>
      </c>
      <c r="F25" s="24" t="n">
        <v>0</v>
      </c>
      <c r="G25" s="24" t="n">
        <v>0</v>
      </c>
      <c r="H25" s="24" t="n">
        <v>67.97</v>
      </c>
      <c r="I25" s="24" t="n">
        <f aca="false">G25+H25</f>
        <v>67.97</v>
      </c>
      <c r="J25" s="24" t="n">
        <f aca="false">D25-I25</f>
        <v>4010.47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17331.47</v>
      </c>
      <c r="E26" s="24" t="n">
        <v>0</v>
      </c>
      <c r="F26" s="24" t="n">
        <v>10398.88</v>
      </c>
      <c r="G26" s="24" t="n">
        <v>0</v>
      </c>
      <c r="H26" s="24" t="n">
        <v>11785.4</v>
      </c>
      <c r="I26" s="24" t="n">
        <f aca="false">G26+H26</f>
        <v>11785.4</v>
      </c>
      <c r="J26" s="24" t="n">
        <f aca="false">D26-I26</f>
        <v>5546.07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77635.33</v>
      </c>
      <c r="E27" s="24" t="n">
        <v>0</v>
      </c>
      <c r="F27" s="24" t="n">
        <v>0</v>
      </c>
      <c r="G27" s="24" t="n">
        <v>0</v>
      </c>
      <c r="H27" s="24" t="n">
        <v>1293.92</v>
      </c>
      <c r="I27" s="24" t="n">
        <f aca="false">G27+H27</f>
        <v>1293.92</v>
      </c>
      <c r="J27" s="24" t="n">
        <f aca="false">D27-I27</f>
        <v>76341.41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2236.32</v>
      </c>
      <c r="E28" s="24" t="n">
        <v>0</v>
      </c>
      <c r="F28" s="24" t="n">
        <v>1341.79</v>
      </c>
      <c r="G28" s="24" t="n">
        <v>0</v>
      </c>
      <c r="H28" s="24" t="n">
        <v>1520.7</v>
      </c>
      <c r="I28" s="24" t="n">
        <f aca="false">G28+H28</f>
        <v>1520.7</v>
      </c>
      <c r="J28" s="24" t="n">
        <f aca="false">D28-I28</f>
        <v>715.62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10017.46</v>
      </c>
      <c r="E29" s="24" t="n">
        <v>0</v>
      </c>
      <c r="F29" s="24" t="n">
        <v>0</v>
      </c>
      <c r="G29" s="24" t="n">
        <v>0</v>
      </c>
      <c r="H29" s="24" t="n">
        <v>166.96</v>
      </c>
      <c r="I29" s="24" t="n">
        <f aca="false">G29+H29</f>
        <v>166.96</v>
      </c>
      <c r="J29" s="24" t="n">
        <f aca="false">D29-I29</f>
        <v>9850.5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4193.09</v>
      </c>
      <c r="E30" s="24" t="n">
        <v>0</v>
      </c>
      <c r="F30" s="24" t="n">
        <v>2515.85</v>
      </c>
      <c r="G30" s="24" t="n">
        <v>0</v>
      </c>
      <c r="H30" s="24" t="n">
        <v>2851.3</v>
      </c>
      <c r="I30" s="24" t="n">
        <f aca="false">G30+H30</f>
        <v>2851.3</v>
      </c>
      <c r="J30" s="24" t="n">
        <f aca="false">D30-I30</f>
        <v>1341.79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18782.75</v>
      </c>
      <c r="E31" s="24" t="n">
        <v>0</v>
      </c>
      <c r="F31" s="24" t="n">
        <v>0</v>
      </c>
      <c r="G31" s="24" t="n">
        <v>0</v>
      </c>
      <c r="H31" s="24" t="n">
        <v>313.05</v>
      </c>
      <c r="I31" s="24" t="n">
        <f aca="false">G31+H31</f>
        <v>313.05</v>
      </c>
      <c r="J31" s="24" t="n">
        <f aca="false">D31-I31</f>
        <v>18469.7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158466.95</v>
      </c>
      <c r="E32" s="28" t="n">
        <f aca="false">SUM(E20:E31)</f>
        <v>0</v>
      </c>
      <c r="F32" s="28" t="n">
        <f aca="false">SUM(F20:F31)</f>
        <v>17352.15</v>
      </c>
      <c r="G32" s="28" t="n">
        <f aca="false">SUM(G20:G31)</f>
        <v>0</v>
      </c>
      <c r="H32" s="28" t="n">
        <f aca="false">SUM(H20:H31)</f>
        <v>21824.89</v>
      </c>
      <c r="I32" s="28" t="n">
        <f aca="false">SUM(I20:I31)</f>
        <v>21824.89</v>
      </c>
      <c r="J32" s="28" t="n">
        <f aca="false">SUM(J20:J31)</f>
        <v>136642.06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30090.09</v>
      </c>
    </row>
    <row r="36" customFormat="false" ht="15" hidden="false" customHeight="false" outlineLevel="0" collapsed="false">
      <c r="B36" s="5" t="s">
        <v>97</v>
      </c>
      <c r="D36" s="6" t="n">
        <f aca="false">I32</f>
        <v>21824.89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8265.2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20620.86</v>
      </c>
      <c r="E42" s="24" t="n">
        <v>0</v>
      </c>
      <c r="F42" s="24" t="n">
        <v>0</v>
      </c>
      <c r="G42" s="24" t="n">
        <v>0</v>
      </c>
      <c r="H42" s="24" t="n">
        <v>343.69</v>
      </c>
      <c r="I42" s="24" t="n">
        <f aca="false">G42+H42</f>
        <v>343.69</v>
      </c>
      <c r="J42" s="24" t="n">
        <f aca="false">D42-I42</f>
        <v>20277.17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2660.75</v>
      </c>
      <c r="E43" s="24" t="n">
        <v>0</v>
      </c>
      <c r="F43" s="24" t="n">
        <v>1596.45</v>
      </c>
      <c r="G43" s="24" t="n">
        <v>0</v>
      </c>
      <c r="H43" s="24" t="n">
        <v>1631.94</v>
      </c>
      <c r="I43" s="24" t="n">
        <f aca="false">G43+H43</f>
        <v>1631.94</v>
      </c>
      <c r="J43" s="24" t="n">
        <f aca="false">D43-I43</f>
        <v>1028.81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4988.92</v>
      </c>
      <c r="E44" s="24" t="n">
        <v>0</v>
      </c>
      <c r="F44" s="24" t="n">
        <v>2993.35</v>
      </c>
      <c r="G44" s="24" t="n">
        <v>0</v>
      </c>
      <c r="H44" s="24" t="n">
        <v>3392.46</v>
      </c>
      <c r="I44" s="24" t="n">
        <f aca="false">G44+H44</f>
        <v>3392.46</v>
      </c>
      <c r="J44" s="24" t="n">
        <f aca="false">D44-I44</f>
        <v>1596.46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94966.8</v>
      </c>
      <c r="E45" s="24" t="n">
        <v>0</v>
      </c>
      <c r="F45" s="24" t="n">
        <v>0</v>
      </c>
      <c r="G45" s="24" t="n">
        <v>0</v>
      </c>
      <c r="H45" s="24" t="n">
        <v>1582.78</v>
      </c>
      <c r="I45" s="24" t="n">
        <f aca="false">G45+H45</f>
        <v>1582.78</v>
      </c>
      <c r="J45" s="24" t="n">
        <f aca="false">D45-I45</f>
        <v>93384.02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12253.78</v>
      </c>
      <c r="E46" s="24" t="n">
        <v>0</v>
      </c>
      <c r="F46" s="24" t="n">
        <v>7352.27</v>
      </c>
      <c r="G46" s="24" t="n">
        <v>0</v>
      </c>
      <c r="H46" s="24" t="n">
        <v>7515.65</v>
      </c>
      <c r="I46" s="24" t="n">
        <f aca="false">G46+H46</f>
        <v>7515.65</v>
      </c>
      <c r="J46" s="24" t="n">
        <f aca="false">D46-I46</f>
        <v>4738.13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22975.84</v>
      </c>
      <c r="E47" s="24" t="n">
        <v>0</v>
      </c>
      <c r="F47" s="24" t="n">
        <v>13785.5</v>
      </c>
      <c r="G47" s="24" t="n">
        <v>0</v>
      </c>
      <c r="H47" s="24" t="n">
        <v>15623.57</v>
      </c>
      <c r="I47" s="24" t="n">
        <f aca="false">G47+H47</f>
        <v>15623.57</v>
      </c>
      <c r="J47" s="24" t="n">
        <f aca="false">D47-I47</f>
        <v>7352.27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158466.95</v>
      </c>
      <c r="E48" s="28" t="n">
        <f aca="false">SUM(E42:E47)</f>
        <v>0</v>
      </c>
      <c r="F48" s="28" t="n">
        <f aca="false">SUM(F42:F47)</f>
        <v>25727.57</v>
      </c>
      <c r="G48" s="28" t="n">
        <f aca="false">SUM(G42:G47)</f>
        <v>0</v>
      </c>
      <c r="H48" s="28" t="n">
        <f aca="false">SUM(H42:H47)</f>
        <v>30090.09</v>
      </c>
      <c r="I48" s="28" t="n">
        <f aca="false">SUM(I42:I47)</f>
        <v>30090.09</v>
      </c>
      <c r="J48" s="28" t="n">
        <f aca="false">SUM(J42:J47)</f>
        <v>128376.86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3763.31</v>
      </c>
      <c r="E52" s="24" t="n">
        <v>0</v>
      </c>
      <c r="F52" s="24" t="n">
        <v>2257.99</v>
      </c>
      <c r="G52" s="24" t="n">
        <v>0</v>
      </c>
      <c r="H52" s="24" t="n">
        <v>2559.05</v>
      </c>
      <c r="I52" s="24" t="n">
        <f aca="false">G52+H52</f>
        <v>2559.05</v>
      </c>
      <c r="J52" s="24" t="n">
        <f aca="false">D52-I52</f>
        <v>1204.26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16857.55</v>
      </c>
      <c r="E53" s="24" t="n">
        <v>0</v>
      </c>
      <c r="F53" s="24" t="n">
        <v>0</v>
      </c>
      <c r="G53" s="24" t="n">
        <v>0</v>
      </c>
      <c r="H53" s="24" t="n">
        <v>280.96</v>
      </c>
      <c r="I53" s="24" t="n">
        <f aca="false">G53+H53</f>
        <v>280.96</v>
      </c>
      <c r="J53" s="24" t="n">
        <f aca="false">D53-I53</f>
        <v>16576.59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485.59</v>
      </c>
      <c r="E54" s="24" t="n">
        <v>0</v>
      </c>
      <c r="F54" s="24" t="n">
        <v>291.35</v>
      </c>
      <c r="G54" s="24" t="n">
        <v>0</v>
      </c>
      <c r="H54" s="24" t="n">
        <v>330.2</v>
      </c>
      <c r="I54" s="24" t="n">
        <f aca="false">G54+H54</f>
        <v>330.2</v>
      </c>
      <c r="J54" s="24" t="n">
        <f aca="false">D54-I54</f>
        <v>155.39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2175.16</v>
      </c>
      <c r="E55" s="24" t="n">
        <v>0</v>
      </c>
      <c r="F55" s="24" t="n">
        <v>0</v>
      </c>
      <c r="G55" s="24" t="n">
        <v>0</v>
      </c>
      <c r="H55" s="24" t="n">
        <v>36.25</v>
      </c>
      <c r="I55" s="24" t="n">
        <f aca="false">G55+H55</f>
        <v>36.25</v>
      </c>
      <c r="J55" s="24" t="n">
        <f aca="false">D55-I55</f>
        <v>2138.91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910.48</v>
      </c>
      <c r="E56" s="24" t="n">
        <v>0</v>
      </c>
      <c r="F56" s="24" t="n">
        <v>546.29</v>
      </c>
      <c r="G56" s="24" t="n">
        <v>0</v>
      </c>
      <c r="H56" s="24" t="n">
        <v>619.13</v>
      </c>
      <c r="I56" s="24" t="n">
        <f aca="false">G56+H56</f>
        <v>619.13</v>
      </c>
      <c r="J56" s="24" t="n">
        <f aca="false">D56-I56</f>
        <v>291.35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4078.44</v>
      </c>
      <c r="E57" s="24" t="n">
        <v>0</v>
      </c>
      <c r="F57" s="24" t="n">
        <v>0</v>
      </c>
      <c r="G57" s="24" t="n">
        <v>0</v>
      </c>
      <c r="H57" s="24" t="n">
        <v>67.97</v>
      </c>
      <c r="I57" s="24" t="n">
        <f aca="false">G57+H57</f>
        <v>67.97</v>
      </c>
      <c r="J57" s="24" t="n">
        <f aca="false">D57-I57</f>
        <v>4010.47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17331.47</v>
      </c>
      <c r="E58" s="24" t="n">
        <v>0</v>
      </c>
      <c r="F58" s="24" t="n">
        <v>10398.88</v>
      </c>
      <c r="G58" s="24" t="n">
        <v>0</v>
      </c>
      <c r="H58" s="24" t="n">
        <v>11785.4</v>
      </c>
      <c r="I58" s="24" t="n">
        <f aca="false">G58+H58</f>
        <v>11785.4</v>
      </c>
      <c r="J58" s="24" t="n">
        <f aca="false">D58-I58</f>
        <v>5546.07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77635.33</v>
      </c>
      <c r="E59" s="24" t="n">
        <v>0</v>
      </c>
      <c r="F59" s="24" t="n">
        <v>0</v>
      </c>
      <c r="G59" s="24" t="n">
        <v>0</v>
      </c>
      <c r="H59" s="24" t="n">
        <v>1293.92</v>
      </c>
      <c r="I59" s="24" t="n">
        <f aca="false">G59+H59</f>
        <v>1293.92</v>
      </c>
      <c r="J59" s="24" t="n">
        <f aca="false">D59-I59</f>
        <v>76341.41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2236.32</v>
      </c>
      <c r="E60" s="24" t="n">
        <v>0</v>
      </c>
      <c r="F60" s="24" t="n">
        <v>1341.79</v>
      </c>
      <c r="G60" s="24" t="n">
        <v>0</v>
      </c>
      <c r="H60" s="24" t="n">
        <v>1520.7</v>
      </c>
      <c r="I60" s="24" t="n">
        <f aca="false">G60+H60</f>
        <v>1520.7</v>
      </c>
      <c r="J60" s="24" t="n">
        <f aca="false">D60-I60</f>
        <v>715.62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10017.46</v>
      </c>
      <c r="E61" s="24" t="n">
        <v>0</v>
      </c>
      <c r="F61" s="24" t="n">
        <v>0</v>
      </c>
      <c r="G61" s="24" t="n">
        <v>0</v>
      </c>
      <c r="H61" s="24" t="n">
        <v>166.96</v>
      </c>
      <c r="I61" s="24" t="n">
        <f aca="false">G61+H61</f>
        <v>166.96</v>
      </c>
      <c r="J61" s="24" t="n">
        <f aca="false">D61-I61</f>
        <v>9850.5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4193.09</v>
      </c>
      <c r="E62" s="24" t="n">
        <v>0</v>
      </c>
      <c r="F62" s="24" t="n">
        <v>2515.85</v>
      </c>
      <c r="G62" s="24" t="n">
        <v>0</v>
      </c>
      <c r="H62" s="24" t="n">
        <v>2851.3</v>
      </c>
      <c r="I62" s="24" t="n">
        <f aca="false">G62+H62</f>
        <v>2851.3</v>
      </c>
      <c r="J62" s="24" t="n">
        <f aca="false">D62-I62</f>
        <v>1341.79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18782.75</v>
      </c>
      <c r="E63" s="24" t="n">
        <v>0</v>
      </c>
      <c r="F63" s="24" t="n">
        <v>0</v>
      </c>
      <c r="G63" s="24" t="n">
        <v>0</v>
      </c>
      <c r="H63" s="24" t="n">
        <v>313.05</v>
      </c>
      <c r="I63" s="24" t="n">
        <f aca="false">G63+H63</f>
        <v>313.05</v>
      </c>
      <c r="J63" s="24" t="n">
        <f aca="false">D63-I63</f>
        <v>18469.7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158466.95</v>
      </c>
      <c r="E64" s="28" t="n">
        <f aca="false">SUM(E52:E63)</f>
        <v>0</v>
      </c>
      <c r="F64" s="28" t="n">
        <f aca="false">SUM(F52:F63)</f>
        <v>17352.15</v>
      </c>
      <c r="G64" s="28" t="n">
        <f aca="false">SUM(G52:G63)</f>
        <v>0</v>
      </c>
      <c r="H64" s="28" t="n">
        <f aca="false">SUM(H52:H63)</f>
        <v>21824.89</v>
      </c>
      <c r="I64" s="28" t="n">
        <f aca="false">SUM(I52:I63)</f>
        <v>21824.89</v>
      </c>
      <c r="J64" s="28" t="n">
        <f aca="false">SUM(J52:J63)</f>
        <v>136642.06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30090.09</v>
      </c>
    </row>
    <row r="68" customFormat="false" ht="15" hidden="false" customHeight="false" outlineLevel="0" collapsed="false">
      <c r="B68" s="5" t="s">
        <v>97</v>
      </c>
      <c r="D68" s="6" t="n">
        <f aca="false">I64</f>
        <v>21824.89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8265.2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158466.95</v>
      </c>
    </row>
    <row r="73" customFormat="false" ht="15" hidden="false" customHeight="false" outlineLevel="0" collapsed="false">
      <c r="B73" s="5" t="s">
        <v>106</v>
      </c>
      <c r="D73" s="6" t="n">
        <f aca="false">F110</f>
        <v>28920.26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0.182500262673068</v>
      </c>
    </row>
    <row r="75" customFormat="false" ht="15" hidden="false" customHeight="false" outlineLevel="0" collapsed="false">
      <c r="B75" s="5" t="s">
        <v>109</v>
      </c>
      <c r="D75" s="6" t="n">
        <f aca="false">H110</f>
        <v>129546.69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0.817499737326932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6533.64</v>
      </c>
      <c r="F81" s="33" t="n">
        <v>6533.64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2614.22</v>
      </c>
      <c r="F82" s="33" t="n">
        <v>2614.22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9105.85</v>
      </c>
      <c r="F83" s="33" t="n">
        <v>9105.85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2111.86</v>
      </c>
      <c r="F84" s="33" t="n">
        <v>2111.86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75.4</v>
      </c>
      <c r="F85" s="33" t="n">
        <v>75.4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1345.52</v>
      </c>
      <c r="F86" s="33" t="n">
        <v>1345.52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1124.14</v>
      </c>
      <c r="F87" s="33" t="n">
        <v>1124.14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2461.18</v>
      </c>
      <c r="F88" s="33" t="n">
        <v>2461.18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1115.53</v>
      </c>
      <c r="F89" s="33" t="n">
        <v>1115.53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39.87</v>
      </c>
      <c r="F90" s="33" t="n">
        <v>39.87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269.71</v>
      </c>
      <c r="F91" s="33" t="n">
        <v>269.71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2123.34</v>
      </c>
      <c r="F92" s="33" t="n">
        <v>2123.34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6918.03</v>
      </c>
      <c r="H94" s="33" t="n">
        <v>6918.03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8596.86</v>
      </c>
      <c r="H95" s="33" t="n">
        <v>8596.86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12653.81</v>
      </c>
      <c r="H96" s="33" t="n">
        <v>12653.81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13675.79</v>
      </c>
      <c r="H97" s="33" t="n">
        <v>13675.79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10999.88</v>
      </c>
      <c r="H98" s="33" t="n">
        <v>10999.88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1127.78</v>
      </c>
      <c r="H99" s="33" t="n">
        <v>1127.78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5908.55</v>
      </c>
      <c r="H100" s="33" t="n">
        <v>5908.55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8822.48</v>
      </c>
      <c r="H101" s="33" t="n">
        <v>8822.48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4151.18</v>
      </c>
      <c r="H102" s="33" t="n">
        <v>4151.18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5820.2</v>
      </c>
      <c r="H103" s="33" t="n">
        <v>5820.2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16204.26</v>
      </c>
      <c r="H104" s="33" t="n">
        <v>16204.26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6931.85</v>
      </c>
      <c r="H105" s="33" t="n">
        <v>6931.85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766.11</v>
      </c>
      <c r="H106" s="33" t="n">
        <v>766.11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16627.43</v>
      </c>
      <c r="H107" s="33" t="n">
        <v>16627.43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8087.9</v>
      </c>
      <c r="H108" s="33" t="n">
        <v>8087.9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2254.58</v>
      </c>
      <c r="H109" s="33" t="n">
        <v>2254.58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158466.95</v>
      </c>
      <c r="F110" s="34" t="n">
        <f aca="false">SUM(F80:F109)</f>
        <v>28920.26</v>
      </c>
      <c r="H110" s="34" t="n">
        <f aca="false">SUM(H80:H109)</f>
        <v>129546.69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0.182500262673068</v>
      </c>
      <c r="H111" s="31" t="n">
        <f aca="false">H110/D110</f>
        <v>0.817499737326932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18'!B20</f>
        <v>2-Building-712 Northfield Dr - 5 Year</v>
      </c>
      <c r="D115" s="33" t="n">
        <f aca="false">SUM(F115:H115)</f>
        <v>3763.31</v>
      </c>
      <c r="F115" s="33" t="n">
        <f aca="false">'Building 18'!D20</f>
        <v>3763.31</v>
      </c>
    </row>
    <row r="116" customFormat="false" ht="15" hidden="false" customHeight="false" outlineLevel="0" collapsed="false">
      <c r="B116" s="5" t="str">
        <f aca="false">'Building 18'!B21</f>
        <v>2-Building-712 Northfield Dr - 27.5 Year</v>
      </c>
      <c r="D116" s="33" t="n">
        <f aca="false">SUM(F116:H116)</f>
        <v>16857.55</v>
      </c>
      <c r="H116" s="33" t="n">
        <f aca="false">'Building 18'!D21</f>
        <v>16857.55</v>
      </c>
    </row>
    <row r="117" customFormat="false" ht="15" hidden="false" customHeight="false" outlineLevel="0" collapsed="false">
      <c r="B117" s="5" t="str">
        <f aca="false">'Building 18'!B22</f>
        <v>3-Northfield Dr - 5 Year</v>
      </c>
      <c r="D117" s="33" t="n">
        <f aca="false">SUM(F117:H117)</f>
        <v>485.59</v>
      </c>
      <c r="F117" s="33" t="n">
        <f aca="false">'Building 18'!D22</f>
        <v>485.59</v>
      </c>
    </row>
    <row r="118" customFormat="false" ht="15" hidden="false" customHeight="false" outlineLevel="0" collapsed="false">
      <c r="B118" s="5" t="str">
        <f aca="false">'Building 18'!B23</f>
        <v>3-Northfield Dr - 27.5 Year</v>
      </c>
      <c r="D118" s="33" t="n">
        <f aca="false">SUM(F118:H118)</f>
        <v>2175.16</v>
      </c>
      <c r="H118" s="33" t="n">
        <f aca="false">'Building 18'!D23</f>
        <v>2175.16</v>
      </c>
    </row>
    <row r="119" customFormat="false" ht="15" hidden="false" customHeight="false" outlineLevel="0" collapsed="false">
      <c r="B119" s="5" t="str">
        <f aca="false">'Building 18'!B24</f>
        <v>4-Northfield Dr - 5 Year</v>
      </c>
      <c r="D119" s="33" t="n">
        <f aca="false">SUM(F119:H119)</f>
        <v>910.48</v>
      </c>
      <c r="F119" s="33" t="n">
        <f aca="false">'Building 18'!D24</f>
        <v>910.48</v>
      </c>
    </row>
    <row r="120" customFormat="false" ht="15" hidden="false" customHeight="false" outlineLevel="0" collapsed="false">
      <c r="B120" s="5" t="str">
        <f aca="false">'Building 18'!B25</f>
        <v>4-Northfield Dr - 27.5 Year</v>
      </c>
      <c r="D120" s="33" t="n">
        <f aca="false">SUM(F120:H120)</f>
        <v>4078.44</v>
      </c>
      <c r="H120" s="33" t="n">
        <f aca="false">'Building 18'!D25</f>
        <v>4078.44</v>
      </c>
    </row>
    <row r="121" customFormat="false" ht="15" hidden="false" customHeight="false" outlineLevel="0" collapsed="false">
      <c r="B121" s="5" t="str">
        <f aca="false">'Building 18'!B26</f>
        <v>7-Building-2202 Northview Dr - 5 Year</v>
      </c>
      <c r="D121" s="33" t="n">
        <f aca="false">SUM(F121:H121)</f>
        <v>17331.47</v>
      </c>
      <c r="F121" s="33" t="n">
        <f aca="false">'Building 18'!D26</f>
        <v>17331.47</v>
      </c>
    </row>
    <row r="122" customFormat="false" ht="15" hidden="false" customHeight="false" outlineLevel="0" collapsed="false">
      <c r="B122" s="5" t="str">
        <f aca="false">'Building 18'!B27</f>
        <v>7-Building-2202 Northview Dr - 27.5 Year</v>
      </c>
      <c r="D122" s="33" t="n">
        <f aca="false">SUM(F122:H122)</f>
        <v>77635.33</v>
      </c>
      <c r="H122" s="33" t="n">
        <f aca="false">'Building 18'!D27</f>
        <v>77635.33</v>
      </c>
    </row>
    <row r="123" customFormat="false" ht="15" hidden="false" customHeight="false" outlineLevel="0" collapsed="false">
      <c r="B123" s="5" t="str">
        <f aca="false">'Building 18'!B28</f>
        <v>8-Northiew Dr - 5 Year</v>
      </c>
      <c r="D123" s="33" t="n">
        <f aca="false">SUM(F123:H123)</f>
        <v>2236.32</v>
      </c>
      <c r="F123" s="33" t="n">
        <f aca="false">'Building 18'!D28</f>
        <v>2236.32</v>
      </c>
    </row>
    <row r="124" customFormat="false" ht="15" hidden="false" customHeight="false" outlineLevel="0" collapsed="false">
      <c r="B124" s="5" t="str">
        <f aca="false">'Building 18'!B29</f>
        <v>8-Northiew Dr - 27.5 Year</v>
      </c>
      <c r="D124" s="33" t="n">
        <f aca="false">SUM(F124:H124)</f>
        <v>10017.46</v>
      </c>
      <c r="H124" s="33" t="n">
        <f aca="false">'Building 18'!D29</f>
        <v>10017.46</v>
      </c>
    </row>
    <row r="125" customFormat="false" ht="15" hidden="false" customHeight="false" outlineLevel="0" collapsed="false">
      <c r="B125" s="5" t="str">
        <f aca="false">'Building 18'!B30</f>
        <v>9-Northview Dr - 5 Year</v>
      </c>
      <c r="D125" s="33" t="n">
        <f aca="false">SUM(F125:H125)</f>
        <v>4193.09</v>
      </c>
      <c r="F125" s="33" t="n">
        <f aca="false">'Building 18'!D30</f>
        <v>4193.09</v>
      </c>
    </row>
    <row r="126" customFormat="false" ht="15" hidden="false" customHeight="false" outlineLevel="0" collapsed="false">
      <c r="B126" s="5" t="str">
        <f aca="false">'Building 18'!B31</f>
        <v>9-Northview Dr - 27.5 Year</v>
      </c>
      <c r="D126" s="33" t="n">
        <f aca="false">SUM(F126:H126)</f>
        <v>18782.75</v>
      </c>
      <c r="H126" s="33" t="n">
        <f aca="false">'Building 18'!D31</f>
        <v>18782.75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158466.95</v>
      </c>
      <c r="F127" s="34" t="n">
        <f aca="false">SUM(F115:F126)</f>
        <v>28920.26</v>
      </c>
      <c r="H127" s="34" t="n">
        <f aca="false">SUM(H115:H126)</f>
        <v>129546.69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192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34211.45</v>
      </c>
      <c r="E10" s="24" t="n">
        <v>0</v>
      </c>
      <c r="F10" s="24" t="n">
        <v>0</v>
      </c>
      <c r="G10" s="24" t="n">
        <v>0</v>
      </c>
      <c r="H10" s="24" t="n">
        <v>570.2</v>
      </c>
      <c r="I10" s="24" t="n">
        <f aca="false">G10+H10</f>
        <v>570.2</v>
      </c>
      <c r="J10" s="24" t="n">
        <f aca="false">D10-I10</f>
        <v>33641.25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4414.37</v>
      </c>
      <c r="E11" s="24" t="n">
        <v>0</v>
      </c>
      <c r="F11" s="24" t="n">
        <v>2648.62</v>
      </c>
      <c r="G11" s="24" t="n">
        <v>0</v>
      </c>
      <c r="H11" s="24" t="n">
        <v>2707.5</v>
      </c>
      <c r="I11" s="24" t="n">
        <f aca="false">G11+H11</f>
        <v>2707.5</v>
      </c>
      <c r="J11" s="24" t="n">
        <f aca="false">D11-I11</f>
        <v>1706.87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8276.98</v>
      </c>
      <c r="E12" s="24" t="n">
        <v>0</v>
      </c>
      <c r="F12" s="24" t="n">
        <v>4966.19</v>
      </c>
      <c r="G12" s="24" t="n">
        <v>0</v>
      </c>
      <c r="H12" s="24" t="n">
        <v>5628.34</v>
      </c>
      <c r="I12" s="24" t="n">
        <f aca="false">G12+H12</f>
        <v>5628.34</v>
      </c>
      <c r="J12" s="24" t="n">
        <f aca="false">D12-I12</f>
        <v>2648.64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157556.61</v>
      </c>
      <c r="E13" s="24" t="n">
        <v>0</v>
      </c>
      <c r="F13" s="24" t="n">
        <v>0</v>
      </c>
      <c r="G13" s="24" t="n">
        <v>0</v>
      </c>
      <c r="H13" s="24" t="n">
        <v>2625.94</v>
      </c>
      <c r="I13" s="24" t="n">
        <f aca="false">G13+H13</f>
        <v>2625.94</v>
      </c>
      <c r="J13" s="24" t="n">
        <f aca="false">D13-I13</f>
        <v>154930.67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20329.88</v>
      </c>
      <c r="E14" s="24" t="n">
        <v>0</v>
      </c>
      <c r="F14" s="24" t="n">
        <v>12197.93</v>
      </c>
      <c r="G14" s="24" t="n">
        <v>0</v>
      </c>
      <c r="H14" s="24" t="n">
        <v>12468.99</v>
      </c>
      <c r="I14" s="24" t="n">
        <f aca="false">G14+H14</f>
        <v>12468.99</v>
      </c>
      <c r="J14" s="24" t="n">
        <f aca="false">D14-I14</f>
        <v>7860.89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38118.54</v>
      </c>
      <c r="E15" s="24" t="n">
        <v>0</v>
      </c>
      <c r="F15" s="24" t="n">
        <v>22871.12</v>
      </c>
      <c r="G15" s="24" t="n">
        <v>0</v>
      </c>
      <c r="H15" s="24" t="n">
        <v>25920.61</v>
      </c>
      <c r="I15" s="24" t="n">
        <f aca="false">G15+H15</f>
        <v>25920.61</v>
      </c>
      <c r="J15" s="24" t="n">
        <f aca="false">D15-I15</f>
        <v>12197.93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262907.83</v>
      </c>
      <c r="E16" s="28" t="n">
        <f aca="false">SUM(E10:E15)</f>
        <v>0</v>
      </c>
      <c r="F16" s="28" t="n">
        <f aca="false">SUM(F10:F15)</f>
        <v>42683.86</v>
      </c>
      <c r="G16" s="28" t="n">
        <f aca="false">SUM(G10:G15)</f>
        <v>0</v>
      </c>
      <c r="H16" s="28" t="n">
        <f aca="false">SUM(H10:H15)</f>
        <v>49921.58</v>
      </c>
      <c r="I16" s="28" t="n">
        <f aca="false">SUM(I10:I15)</f>
        <v>49921.58</v>
      </c>
      <c r="J16" s="28" t="n">
        <f aca="false">SUM(J10:J15)</f>
        <v>212986.25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6184.29</v>
      </c>
      <c r="E20" s="24" t="n">
        <v>0</v>
      </c>
      <c r="F20" s="24" t="n">
        <v>3710.57</v>
      </c>
      <c r="G20" s="24" t="n">
        <v>0</v>
      </c>
      <c r="H20" s="24" t="n">
        <v>4205.31</v>
      </c>
      <c r="I20" s="24" t="n">
        <f aca="false">G20+H20</f>
        <v>4205.31</v>
      </c>
      <c r="J20" s="24" t="n">
        <f aca="false">D20-I20</f>
        <v>1978.98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28027.16</v>
      </c>
      <c r="E21" s="24" t="n">
        <v>0</v>
      </c>
      <c r="F21" s="24" t="n">
        <v>0</v>
      </c>
      <c r="G21" s="24" t="n">
        <v>0</v>
      </c>
      <c r="H21" s="24" t="n">
        <v>467.12</v>
      </c>
      <c r="I21" s="24" t="n">
        <f aca="false">G21+H21</f>
        <v>467.12</v>
      </c>
      <c r="J21" s="24" t="n">
        <f aca="false">D21-I21</f>
        <v>27560.04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797.97</v>
      </c>
      <c r="E22" s="24" t="n">
        <v>0</v>
      </c>
      <c r="F22" s="24" t="n">
        <v>478.78</v>
      </c>
      <c r="G22" s="24" t="n">
        <v>0</v>
      </c>
      <c r="H22" s="24" t="n">
        <v>542.62</v>
      </c>
      <c r="I22" s="24" t="n">
        <f aca="false">G22+H22</f>
        <v>542.62</v>
      </c>
      <c r="J22" s="24" t="n">
        <f aca="false">D22-I22</f>
        <v>255.35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3616.4</v>
      </c>
      <c r="E23" s="24" t="n">
        <v>0</v>
      </c>
      <c r="F23" s="24" t="n">
        <v>0</v>
      </c>
      <c r="G23" s="24" t="n">
        <v>0</v>
      </c>
      <c r="H23" s="24" t="n">
        <v>60.27</v>
      </c>
      <c r="I23" s="24" t="n">
        <f aca="false">G23+H23</f>
        <v>60.27</v>
      </c>
      <c r="J23" s="24" t="n">
        <f aca="false">D23-I23</f>
        <v>3556.13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1496.2</v>
      </c>
      <c r="E24" s="24" t="n">
        <v>0</v>
      </c>
      <c r="F24" s="24" t="n">
        <v>897.72</v>
      </c>
      <c r="G24" s="24" t="n">
        <v>0</v>
      </c>
      <c r="H24" s="24" t="n">
        <v>1017.42</v>
      </c>
      <c r="I24" s="24" t="n">
        <f aca="false">G24+H24</f>
        <v>1017.42</v>
      </c>
      <c r="J24" s="24" t="n">
        <f aca="false">D24-I24</f>
        <v>478.78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6780.78</v>
      </c>
      <c r="E25" s="24" t="n">
        <v>0</v>
      </c>
      <c r="F25" s="24" t="n">
        <v>0</v>
      </c>
      <c r="G25" s="24" t="n">
        <v>0</v>
      </c>
      <c r="H25" s="24" t="n">
        <v>113.01</v>
      </c>
      <c r="I25" s="24" t="n">
        <f aca="false">G25+H25</f>
        <v>113.01</v>
      </c>
      <c r="J25" s="24" t="n">
        <f aca="false">D25-I25</f>
        <v>6667.77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28481.01</v>
      </c>
      <c r="E26" s="24" t="n">
        <v>0</v>
      </c>
      <c r="F26" s="24" t="n">
        <v>17088.61</v>
      </c>
      <c r="G26" s="24" t="n">
        <v>0</v>
      </c>
      <c r="H26" s="24" t="n">
        <v>19367.09</v>
      </c>
      <c r="I26" s="24" t="n">
        <f aca="false">G26+H26</f>
        <v>19367.09</v>
      </c>
      <c r="J26" s="24" t="n">
        <f aca="false">D26-I26</f>
        <v>9113.92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129075.6</v>
      </c>
      <c r="E27" s="24" t="n">
        <v>0</v>
      </c>
      <c r="F27" s="24" t="n">
        <v>0</v>
      </c>
      <c r="G27" s="24" t="n">
        <v>0</v>
      </c>
      <c r="H27" s="24" t="n">
        <v>2151.26</v>
      </c>
      <c r="I27" s="24" t="n">
        <f aca="false">G27+H27</f>
        <v>2151.26</v>
      </c>
      <c r="J27" s="24" t="n">
        <f aca="false">D27-I27</f>
        <v>126924.34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3674.97</v>
      </c>
      <c r="E28" s="24" t="n">
        <v>0</v>
      </c>
      <c r="F28" s="24" t="n">
        <v>2204.98</v>
      </c>
      <c r="G28" s="24" t="n">
        <v>0</v>
      </c>
      <c r="H28" s="24" t="n">
        <v>2498.98</v>
      </c>
      <c r="I28" s="24" t="n">
        <f aca="false">G28+H28</f>
        <v>2498.98</v>
      </c>
      <c r="J28" s="24" t="n">
        <f aca="false">D28-I28</f>
        <v>1175.99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16654.91</v>
      </c>
      <c r="E29" s="24" t="n">
        <v>0</v>
      </c>
      <c r="F29" s="24" t="n">
        <v>0</v>
      </c>
      <c r="G29" s="24" t="n">
        <v>0</v>
      </c>
      <c r="H29" s="24" t="n">
        <v>277.58</v>
      </c>
      <c r="I29" s="24" t="n">
        <f aca="false">G29+H29</f>
        <v>277.58</v>
      </c>
      <c r="J29" s="24" t="n">
        <f aca="false">D29-I29</f>
        <v>16377.33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6890.57</v>
      </c>
      <c r="E30" s="24" t="n">
        <v>0</v>
      </c>
      <c r="F30" s="24" t="n">
        <v>4134.34</v>
      </c>
      <c r="G30" s="24" t="n">
        <v>0</v>
      </c>
      <c r="H30" s="24" t="n">
        <v>4685.59</v>
      </c>
      <c r="I30" s="24" t="n">
        <f aca="false">G30+H30</f>
        <v>4685.59</v>
      </c>
      <c r="J30" s="24" t="n">
        <f aca="false">D30-I30</f>
        <v>2204.98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31227.97</v>
      </c>
      <c r="E31" s="24" t="n">
        <v>0</v>
      </c>
      <c r="F31" s="24" t="n">
        <v>0</v>
      </c>
      <c r="G31" s="24" t="n">
        <v>0</v>
      </c>
      <c r="H31" s="24" t="n">
        <v>520.47</v>
      </c>
      <c r="I31" s="24" t="n">
        <f aca="false">G31+H31</f>
        <v>520.47</v>
      </c>
      <c r="J31" s="24" t="n">
        <f aca="false">D31-I31</f>
        <v>30707.5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262907.83</v>
      </c>
      <c r="E32" s="28" t="n">
        <f aca="false">SUM(E20:E31)</f>
        <v>0</v>
      </c>
      <c r="F32" s="28" t="n">
        <f aca="false">SUM(F20:F31)</f>
        <v>28515</v>
      </c>
      <c r="G32" s="28" t="n">
        <f aca="false">SUM(G20:G31)</f>
        <v>0</v>
      </c>
      <c r="H32" s="28" t="n">
        <f aca="false">SUM(H20:H31)</f>
        <v>35906.72</v>
      </c>
      <c r="I32" s="28" t="n">
        <f aca="false">SUM(I20:I31)</f>
        <v>35906.72</v>
      </c>
      <c r="J32" s="28" t="n">
        <f aca="false">SUM(J20:J31)</f>
        <v>227001.11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49921.58</v>
      </c>
    </row>
    <row r="36" customFormat="false" ht="15" hidden="false" customHeight="false" outlineLevel="0" collapsed="false">
      <c r="B36" s="5" t="s">
        <v>97</v>
      </c>
      <c r="D36" s="6" t="n">
        <f aca="false">I32</f>
        <v>35906.72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14014.86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34211.45</v>
      </c>
      <c r="E42" s="24" t="n">
        <v>0</v>
      </c>
      <c r="F42" s="24" t="n">
        <v>0</v>
      </c>
      <c r="G42" s="24" t="n">
        <v>0</v>
      </c>
      <c r="H42" s="24" t="n">
        <v>570.2</v>
      </c>
      <c r="I42" s="24" t="n">
        <f aca="false">G42+H42</f>
        <v>570.2</v>
      </c>
      <c r="J42" s="24" t="n">
        <f aca="false">D42-I42</f>
        <v>33641.25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4414.37</v>
      </c>
      <c r="E43" s="24" t="n">
        <v>0</v>
      </c>
      <c r="F43" s="24" t="n">
        <v>2648.62</v>
      </c>
      <c r="G43" s="24" t="n">
        <v>0</v>
      </c>
      <c r="H43" s="24" t="n">
        <v>2707.5</v>
      </c>
      <c r="I43" s="24" t="n">
        <f aca="false">G43+H43</f>
        <v>2707.5</v>
      </c>
      <c r="J43" s="24" t="n">
        <f aca="false">D43-I43</f>
        <v>1706.87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8276.98</v>
      </c>
      <c r="E44" s="24" t="n">
        <v>0</v>
      </c>
      <c r="F44" s="24" t="n">
        <v>4966.19</v>
      </c>
      <c r="G44" s="24" t="n">
        <v>0</v>
      </c>
      <c r="H44" s="24" t="n">
        <v>5628.34</v>
      </c>
      <c r="I44" s="24" t="n">
        <f aca="false">G44+H44</f>
        <v>5628.34</v>
      </c>
      <c r="J44" s="24" t="n">
        <f aca="false">D44-I44</f>
        <v>2648.64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157556.61</v>
      </c>
      <c r="E45" s="24" t="n">
        <v>0</v>
      </c>
      <c r="F45" s="24" t="n">
        <v>0</v>
      </c>
      <c r="G45" s="24" t="n">
        <v>0</v>
      </c>
      <c r="H45" s="24" t="n">
        <v>2625.94</v>
      </c>
      <c r="I45" s="24" t="n">
        <f aca="false">G45+H45</f>
        <v>2625.94</v>
      </c>
      <c r="J45" s="24" t="n">
        <f aca="false">D45-I45</f>
        <v>154930.67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20329.88</v>
      </c>
      <c r="E46" s="24" t="n">
        <v>0</v>
      </c>
      <c r="F46" s="24" t="n">
        <v>12197.93</v>
      </c>
      <c r="G46" s="24" t="n">
        <v>0</v>
      </c>
      <c r="H46" s="24" t="n">
        <v>12468.99</v>
      </c>
      <c r="I46" s="24" t="n">
        <f aca="false">G46+H46</f>
        <v>12468.99</v>
      </c>
      <c r="J46" s="24" t="n">
        <f aca="false">D46-I46</f>
        <v>7860.89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38118.54</v>
      </c>
      <c r="E47" s="24" t="n">
        <v>0</v>
      </c>
      <c r="F47" s="24" t="n">
        <v>22871.12</v>
      </c>
      <c r="G47" s="24" t="n">
        <v>0</v>
      </c>
      <c r="H47" s="24" t="n">
        <v>25920.61</v>
      </c>
      <c r="I47" s="24" t="n">
        <f aca="false">G47+H47</f>
        <v>25920.61</v>
      </c>
      <c r="J47" s="24" t="n">
        <f aca="false">D47-I47</f>
        <v>12197.93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262907.83</v>
      </c>
      <c r="E48" s="28" t="n">
        <f aca="false">SUM(E42:E47)</f>
        <v>0</v>
      </c>
      <c r="F48" s="28" t="n">
        <f aca="false">SUM(F42:F47)</f>
        <v>42683.86</v>
      </c>
      <c r="G48" s="28" t="n">
        <f aca="false">SUM(G42:G47)</f>
        <v>0</v>
      </c>
      <c r="H48" s="28" t="n">
        <f aca="false">SUM(H42:H47)</f>
        <v>49921.58</v>
      </c>
      <c r="I48" s="28" t="n">
        <f aca="false">SUM(I42:I47)</f>
        <v>49921.58</v>
      </c>
      <c r="J48" s="28" t="n">
        <f aca="false">SUM(J42:J47)</f>
        <v>212986.25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6184.29</v>
      </c>
      <c r="E52" s="24" t="n">
        <v>0</v>
      </c>
      <c r="F52" s="24" t="n">
        <v>3710.57</v>
      </c>
      <c r="G52" s="24" t="n">
        <v>0</v>
      </c>
      <c r="H52" s="24" t="n">
        <v>4205.31</v>
      </c>
      <c r="I52" s="24" t="n">
        <f aca="false">G52+H52</f>
        <v>4205.31</v>
      </c>
      <c r="J52" s="24" t="n">
        <f aca="false">D52-I52</f>
        <v>1978.98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28027.16</v>
      </c>
      <c r="E53" s="24" t="n">
        <v>0</v>
      </c>
      <c r="F53" s="24" t="n">
        <v>0</v>
      </c>
      <c r="G53" s="24" t="n">
        <v>0</v>
      </c>
      <c r="H53" s="24" t="n">
        <v>467.12</v>
      </c>
      <c r="I53" s="24" t="n">
        <f aca="false">G53+H53</f>
        <v>467.12</v>
      </c>
      <c r="J53" s="24" t="n">
        <f aca="false">D53-I53</f>
        <v>27560.04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797.97</v>
      </c>
      <c r="E54" s="24" t="n">
        <v>0</v>
      </c>
      <c r="F54" s="24" t="n">
        <v>478.78</v>
      </c>
      <c r="G54" s="24" t="n">
        <v>0</v>
      </c>
      <c r="H54" s="24" t="n">
        <v>542.62</v>
      </c>
      <c r="I54" s="24" t="n">
        <f aca="false">G54+H54</f>
        <v>542.62</v>
      </c>
      <c r="J54" s="24" t="n">
        <f aca="false">D54-I54</f>
        <v>255.35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3616.4</v>
      </c>
      <c r="E55" s="24" t="n">
        <v>0</v>
      </c>
      <c r="F55" s="24" t="n">
        <v>0</v>
      </c>
      <c r="G55" s="24" t="n">
        <v>0</v>
      </c>
      <c r="H55" s="24" t="n">
        <v>60.27</v>
      </c>
      <c r="I55" s="24" t="n">
        <f aca="false">G55+H55</f>
        <v>60.27</v>
      </c>
      <c r="J55" s="24" t="n">
        <f aca="false">D55-I55</f>
        <v>3556.13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1496.2</v>
      </c>
      <c r="E56" s="24" t="n">
        <v>0</v>
      </c>
      <c r="F56" s="24" t="n">
        <v>897.72</v>
      </c>
      <c r="G56" s="24" t="n">
        <v>0</v>
      </c>
      <c r="H56" s="24" t="n">
        <v>1017.42</v>
      </c>
      <c r="I56" s="24" t="n">
        <f aca="false">G56+H56</f>
        <v>1017.42</v>
      </c>
      <c r="J56" s="24" t="n">
        <f aca="false">D56-I56</f>
        <v>478.78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6780.78</v>
      </c>
      <c r="E57" s="24" t="n">
        <v>0</v>
      </c>
      <c r="F57" s="24" t="n">
        <v>0</v>
      </c>
      <c r="G57" s="24" t="n">
        <v>0</v>
      </c>
      <c r="H57" s="24" t="n">
        <v>113.01</v>
      </c>
      <c r="I57" s="24" t="n">
        <f aca="false">G57+H57</f>
        <v>113.01</v>
      </c>
      <c r="J57" s="24" t="n">
        <f aca="false">D57-I57</f>
        <v>6667.77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28481.01</v>
      </c>
      <c r="E58" s="24" t="n">
        <v>0</v>
      </c>
      <c r="F58" s="24" t="n">
        <v>17088.61</v>
      </c>
      <c r="G58" s="24" t="n">
        <v>0</v>
      </c>
      <c r="H58" s="24" t="n">
        <v>19367.09</v>
      </c>
      <c r="I58" s="24" t="n">
        <f aca="false">G58+H58</f>
        <v>19367.09</v>
      </c>
      <c r="J58" s="24" t="n">
        <f aca="false">D58-I58</f>
        <v>9113.92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129075.6</v>
      </c>
      <c r="E59" s="24" t="n">
        <v>0</v>
      </c>
      <c r="F59" s="24" t="n">
        <v>0</v>
      </c>
      <c r="G59" s="24" t="n">
        <v>0</v>
      </c>
      <c r="H59" s="24" t="n">
        <v>2151.26</v>
      </c>
      <c r="I59" s="24" t="n">
        <f aca="false">G59+H59</f>
        <v>2151.26</v>
      </c>
      <c r="J59" s="24" t="n">
        <f aca="false">D59-I59</f>
        <v>126924.34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3674.97</v>
      </c>
      <c r="E60" s="24" t="n">
        <v>0</v>
      </c>
      <c r="F60" s="24" t="n">
        <v>2204.98</v>
      </c>
      <c r="G60" s="24" t="n">
        <v>0</v>
      </c>
      <c r="H60" s="24" t="n">
        <v>2498.98</v>
      </c>
      <c r="I60" s="24" t="n">
        <f aca="false">G60+H60</f>
        <v>2498.98</v>
      </c>
      <c r="J60" s="24" t="n">
        <f aca="false">D60-I60</f>
        <v>1175.99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16654.91</v>
      </c>
      <c r="E61" s="24" t="n">
        <v>0</v>
      </c>
      <c r="F61" s="24" t="n">
        <v>0</v>
      </c>
      <c r="G61" s="24" t="n">
        <v>0</v>
      </c>
      <c r="H61" s="24" t="n">
        <v>277.58</v>
      </c>
      <c r="I61" s="24" t="n">
        <f aca="false">G61+H61</f>
        <v>277.58</v>
      </c>
      <c r="J61" s="24" t="n">
        <f aca="false">D61-I61</f>
        <v>16377.33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6890.57</v>
      </c>
      <c r="E62" s="24" t="n">
        <v>0</v>
      </c>
      <c r="F62" s="24" t="n">
        <v>4134.34</v>
      </c>
      <c r="G62" s="24" t="n">
        <v>0</v>
      </c>
      <c r="H62" s="24" t="n">
        <v>4685.59</v>
      </c>
      <c r="I62" s="24" t="n">
        <f aca="false">G62+H62</f>
        <v>4685.59</v>
      </c>
      <c r="J62" s="24" t="n">
        <f aca="false">D62-I62</f>
        <v>2204.98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31227.97</v>
      </c>
      <c r="E63" s="24" t="n">
        <v>0</v>
      </c>
      <c r="F63" s="24" t="n">
        <v>0</v>
      </c>
      <c r="G63" s="24" t="n">
        <v>0</v>
      </c>
      <c r="H63" s="24" t="n">
        <v>520.47</v>
      </c>
      <c r="I63" s="24" t="n">
        <f aca="false">G63+H63</f>
        <v>520.47</v>
      </c>
      <c r="J63" s="24" t="n">
        <f aca="false">D63-I63</f>
        <v>30707.5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262907.83</v>
      </c>
      <c r="E64" s="28" t="n">
        <f aca="false">SUM(E52:E63)</f>
        <v>0</v>
      </c>
      <c r="F64" s="28" t="n">
        <f aca="false">SUM(F52:F63)</f>
        <v>28515</v>
      </c>
      <c r="G64" s="28" t="n">
        <f aca="false">SUM(G52:G63)</f>
        <v>0</v>
      </c>
      <c r="H64" s="28" t="n">
        <f aca="false">SUM(H52:H63)</f>
        <v>35906.72</v>
      </c>
      <c r="I64" s="28" t="n">
        <f aca="false">SUM(I52:I63)</f>
        <v>35906.72</v>
      </c>
      <c r="J64" s="28" t="n">
        <f aca="false">SUM(J52:J63)</f>
        <v>227001.11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49921.58</v>
      </c>
    </row>
    <row r="68" customFormat="false" ht="15" hidden="false" customHeight="false" outlineLevel="0" collapsed="false">
      <c r="B68" s="5" t="s">
        <v>97</v>
      </c>
      <c r="D68" s="6" t="n">
        <f aca="false">I64</f>
        <v>35906.72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14014.86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D109</f>
        <v>262907.83</v>
      </c>
    </row>
    <row r="73" customFormat="false" ht="15" hidden="false" customHeight="false" outlineLevel="0" collapsed="false">
      <c r="B73" s="5" t="s">
        <v>106</v>
      </c>
      <c r="D73" s="6" t="n">
        <f aca="false">F109</f>
        <v>47525.01</v>
      </c>
    </row>
    <row r="74" customFormat="false" ht="15" hidden="false" customHeight="false" outlineLevel="0" collapsed="false">
      <c r="B74" s="30" t="s">
        <v>107</v>
      </c>
      <c r="D74" s="31" t="n">
        <f aca="false">F110</f>
        <v>0.180766810939028</v>
      </c>
    </row>
    <row r="75" customFormat="false" ht="15" hidden="false" customHeight="false" outlineLevel="0" collapsed="false">
      <c r="B75" s="5" t="s">
        <v>109</v>
      </c>
      <c r="D75" s="6" t="n">
        <f aca="false">H109</f>
        <v>215382.82</v>
      </c>
    </row>
    <row r="76" customFormat="false" ht="15" hidden="false" customHeight="false" outlineLevel="0" collapsed="false">
      <c r="B76" s="30" t="s">
        <v>107</v>
      </c>
      <c r="D76" s="31" t="n">
        <f aca="false">H110</f>
        <v>0.819233189060973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11397.61</v>
      </c>
      <c r="F81" s="33" t="n">
        <v>11397.61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3908.69</v>
      </c>
      <c r="F82" s="33" t="n">
        <v>3908.69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15016.98</v>
      </c>
      <c r="F83" s="33" t="n">
        <v>15016.98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3545.92</v>
      </c>
      <c r="F84" s="33" t="n">
        <v>3545.92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105.28</v>
      </c>
      <c r="F85" s="33" t="n">
        <v>105.28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2242.57</v>
      </c>
      <c r="F86" s="33" t="n">
        <v>2242.57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1853.89</v>
      </c>
      <c r="F87" s="33" t="n">
        <v>1853.89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4101.99</v>
      </c>
      <c r="F88" s="33" t="n">
        <v>4101.99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1746.74</v>
      </c>
      <c r="F89" s="33" t="n">
        <v>1746.74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66.45</v>
      </c>
      <c r="F90" s="33" t="n">
        <v>66.45</v>
      </c>
    </row>
    <row r="91" customFormat="false" ht="15" hidden="false" customHeight="false" outlineLevel="0" collapsed="false">
      <c r="B91" s="5" t="s">
        <v>155</v>
      </c>
      <c r="D91" s="33" t="n">
        <f aca="false">SUM(F91:H91)</f>
        <v>3538.89</v>
      </c>
      <c r="F91" s="33" t="n">
        <v>3538.89</v>
      </c>
    </row>
    <row r="92" customFormat="false" ht="15" hidden="false" customHeight="false" outlineLevel="0" collapsed="false">
      <c r="B92" s="32" t="s">
        <v>135</v>
      </c>
    </row>
    <row r="93" customFormat="false" ht="15" hidden="false" customHeight="false" outlineLevel="0" collapsed="false">
      <c r="B93" s="5" t="s">
        <v>156</v>
      </c>
      <c r="D93" s="33" t="n">
        <f aca="false">SUM(F93:H93)</f>
        <v>12325.25</v>
      </c>
      <c r="H93" s="33" t="n">
        <v>12325.25</v>
      </c>
    </row>
    <row r="94" customFormat="false" ht="15" hidden="false" customHeight="false" outlineLevel="0" collapsed="false">
      <c r="B94" s="5" t="s">
        <v>157</v>
      </c>
      <c r="D94" s="33" t="n">
        <f aca="false">SUM(F94:H94)</f>
        <v>14003.8</v>
      </c>
      <c r="H94" s="33" t="n">
        <v>14003.8</v>
      </c>
    </row>
    <row r="95" customFormat="false" ht="15" hidden="false" customHeight="false" outlineLevel="0" collapsed="false">
      <c r="B95" s="5" t="s">
        <v>158</v>
      </c>
      <c r="D95" s="33" t="n">
        <f aca="false">SUM(F95:H95)</f>
        <v>20868.1</v>
      </c>
      <c r="H95" s="33" t="n">
        <v>20868.1</v>
      </c>
    </row>
    <row r="96" customFormat="false" ht="15" hidden="false" customHeight="false" outlineLevel="0" collapsed="false">
      <c r="B96" s="5" t="s">
        <v>159</v>
      </c>
      <c r="D96" s="33" t="n">
        <f aca="false">SUM(F96:H96)</f>
        <v>22553.51</v>
      </c>
      <c r="H96" s="33" t="n">
        <v>22553.51</v>
      </c>
    </row>
    <row r="97" customFormat="false" ht="15" hidden="false" customHeight="false" outlineLevel="0" collapsed="false">
      <c r="B97" s="5" t="s">
        <v>160</v>
      </c>
      <c r="D97" s="33" t="n">
        <f aca="false">SUM(F97:H97)</f>
        <v>18140.53</v>
      </c>
      <c r="H97" s="33" t="n">
        <v>18140.53</v>
      </c>
    </row>
    <row r="98" customFormat="false" ht="15" hidden="false" customHeight="false" outlineLevel="0" collapsed="false">
      <c r="B98" s="5" t="s">
        <v>161</v>
      </c>
      <c r="D98" s="33" t="n">
        <f aca="false">SUM(F98:H98)</f>
        <v>1545</v>
      </c>
      <c r="H98" s="33" t="n">
        <v>1545</v>
      </c>
    </row>
    <row r="99" customFormat="false" ht="15" hidden="false" customHeight="false" outlineLevel="0" collapsed="false">
      <c r="B99" s="5" t="s">
        <v>162</v>
      </c>
      <c r="D99" s="33" t="n">
        <f aca="false">SUM(F99:H99)</f>
        <v>8652.46</v>
      </c>
      <c r="H99" s="33" t="n">
        <v>8652.46</v>
      </c>
    </row>
    <row r="100" customFormat="false" ht="15" hidden="false" customHeight="false" outlineLevel="0" collapsed="false">
      <c r="B100" s="5" t="s">
        <v>163</v>
      </c>
      <c r="D100" s="33" t="n">
        <f aca="false">SUM(F100:H100)</f>
        <v>20467.79</v>
      </c>
      <c r="H100" s="33" t="n">
        <v>20467.79</v>
      </c>
    </row>
    <row r="101" customFormat="false" ht="15" hidden="false" customHeight="false" outlineLevel="0" collapsed="false">
      <c r="B101" s="5" t="s">
        <v>164</v>
      </c>
      <c r="D101" s="33" t="n">
        <f aca="false">SUM(F101:H101)</f>
        <v>6995.81</v>
      </c>
      <c r="H101" s="33" t="n">
        <v>6995.81</v>
      </c>
    </row>
    <row r="102" customFormat="false" ht="15" hidden="false" customHeight="false" outlineLevel="0" collapsed="false">
      <c r="B102" s="5" t="s">
        <v>165</v>
      </c>
      <c r="D102" s="33" t="n">
        <f aca="false">SUM(F102:H102)</f>
        <v>9598.43</v>
      </c>
      <c r="H102" s="33" t="n">
        <v>9598.43</v>
      </c>
    </row>
    <row r="103" customFormat="false" ht="15" hidden="false" customHeight="false" outlineLevel="0" collapsed="false">
      <c r="B103" s="5" t="s">
        <v>166</v>
      </c>
      <c r="D103" s="33" t="n">
        <f aca="false">SUM(F103:H103)</f>
        <v>24061.24</v>
      </c>
      <c r="H103" s="33" t="n">
        <v>24061.24</v>
      </c>
    </row>
    <row r="104" customFormat="false" ht="15" hidden="false" customHeight="false" outlineLevel="0" collapsed="false">
      <c r="B104" s="5" t="s">
        <v>167</v>
      </c>
      <c r="D104" s="33" t="n">
        <f aca="false">SUM(F104:H104)</f>
        <v>10531.24</v>
      </c>
      <c r="H104" s="33" t="n">
        <v>10531.24</v>
      </c>
    </row>
    <row r="105" customFormat="false" ht="15" hidden="false" customHeight="false" outlineLevel="0" collapsed="false">
      <c r="B105" s="5" t="s">
        <v>168</v>
      </c>
      <c r="D105" s="33" t="n">
        <f aca="false">SUM(F105:H105)</f>
        <v>1296.94</v>
      </c>
      <c r="H105" s="33" t="n">
        <v>1296.94</v>
      </c>
    </row>
    <row r="106" customFormat="false" ht="15" hidden="false" customHeight="false" outlineLevel="0" collapsed="false">
      <c r="B106" s="5" t="s">
        <v>169</v>
      </c>
      <c r="D106" s="33" t="n">
        <f aca="false">SUM(F106:H106)</f>
        <v>26893.66</v>
      </c>
      <c r="H106" s="33" t="n">
        <v>26893.66</v>
      </c>
    </row>
    <row r="107" customFormat="false" ht="15" hidden="false" customHeight="false" outlineLevel="0" collapsed="false">
      <c r="B107" s="5" t="s">
        <v>170</v>
      </c>
      <c r="D107" s="33" t="n">
        <f aca="false">SUM(F107:H107)</f>
        <v>13479.81</v>
      </c>
      <c r="H107" s="33" t="n">
        <v>13479.81</v>
      </c>
    </row>
    <row r="108" customFormat="false" ht="15" hidden="false" customHeight="false" outlineLevel="0" collapsed="false">
      <c r="B108" s="5" t="s">
        <v>171</v>
      </c>
      <c r="D108" s="33" t="n">
        <f aca="false">SUM(F108:H108)</f>
        <v>3969.25</v>
      </c>
      <c r="H108" s="33" t="n">
        <v>3969.25</v>
      </c>
    </row>
    <row r="109" customFormat="false" ht="15" hidden="false" customHeight="false" outlineLevel="0" collapsed="false">
      <c r="B109" s="11" t="s">
        <v>105</v>
      </c>
      <c r="D109" s="34" t="n">
        <f aca="false">SUM(D80:D108)</f>
        <v>262907.83</v>
      </c>
      <c r="F109" s="34" t="n">
        <f aca="false">SUM(F80:F108)</f>
        <v>47525.01</v>
      </c>
      <c r="H109" s="34" t="n">
        <f aca="false">SUM(H80:H108)</f>
        <v>215382.82</v>
      </c>
    </row>
    <row r="110" customFormat="false" ht="15" hidden="false" customHeight="false" outlineLevel="0" collapsed="false">
      <c r="B110" s="30" t="s">
        <v>107</v>
      </c>
      <c r="F110" s="31" t="n">
        <f aca="false">F109/D109</f>
        <v>0.180766810939028</v>
      </c>
      <c r="H110" s="31" t="n">
        <f aca="false">H109/D109</f>
        <v>0.819233189060973</v>
      </c>
    </row>
    <row r="112" customFormat="false" ht="15" hidden="false" customHeight="false" outlineLevel="0" collapsed="false">
      <c r="A112" s="10" t="s">
        <v>137</v>
      </c>
    </row>
    <row r="113" customFormat="false" ht="15" hidden="false" customHeight="false" outlineLevel="0" collapsed="false">
      <c r="B113" s="4" t="s">
        <v>138</v>
      </c>
      <c r="D113" s="4" t="s">
        <v>79</v>
      </c>
      <c r="F113" s="4" t="s">
        <v>112</v>
      </c>
      <c r="H113" s="4" t="s">
        <v>114</v>
      </c>
    </row>
    <row r="114" customFormat="false" ht="15" hidden="false" customHeight="false" outlineLevel="0" collapsed="false">
      <c r="B114" s="5" t="str">
        <f aca="false">'Building 19'!B20</f>
        <v>2-Building-712 Northfield Dr - 5 Year</v>
      </c>
      <c r="D114" s="33" t="n">
        <f aca="false">SUM(F114:H114)</f>
        <v>6184.29</v>
      </c>
      <c r="F114" s="33" t="n">
        <f aca="false">'Building 19'!D20</f>
        <v>6184.29</v>
      </c>
    </row>
    <row r="115" customFormat="false" ht="15" hidden="false" customHeight="false" outlineLevel="0" collapsed="false">
      <c r="B115" s="5" t="str">
        <f aca="false">'Building 19'!B21</f>
        <v>2-Building-712 Northfield Dr - 27.5 Year</v>
      </c>
      <c r="D115" s="33" t="n">
        <f aca="false">SUM(F115:H115)</f>
        <v>28027.16</v>
      </c>
      <c r="H115" s="33" t="n">
        <f aca="false">'Building 19'!D21</f>
        <v>28027.16</v>
      </c>
    </row>
    <row r="116" customFormat="false" ht="15" hidden="false" customHeight="false" outlineLevel="0" collapsed="false">
      <c r="B116" s="5" t="str">
        <f aca="false">'Building 19'!B22</f>
        <v>3-Northfield Dr - 5 Year</v>
      </c>
      <c r="D116" s="33" t="n">
        <f aca="false">SUM(F116:H116)</f>
        <v>797.97</v>
      </c>
      <c r="F116" s="33" t="n">
        <f aca="false">'Building 19'!D22</f>
        <v>797.97</v>
      </c>
    </row>
    <row r="117" customFormat="false" ht="15" hidden="false" customHeight="false" outlineLevel="0" collapsed="false">
      <c r="B117" s="5" t="str">
        <f aca="false">'Building 19'!B23</f>
        <v>3-Northfield Dr - 27.5 Year</v>
      </c>
      <c r="D117" s="33" t="n">
        <f aca="false">SUM(F117:H117)</f>
        <v>3616.4</v>
      </c>
      <c r="H117" s="33" t="n">
        <f aca="false">'Building 19'!D23</f>
        <v>3616.4</v>
      </c>
    </row>
    <row r="118" customFormat="false" ht="15" hidden="false" customHeight="false" outlineLevel="0" collapsed="false">
      <c r="B118" s="5" t="str">
        <f aca="false">'Building 19'!B24</f>
        <v>4-Northfield Dr - 5 Year</v>
      </c>
      <c r="D118" s="33" t="n">
        <f aca="false">SUM(F118:H118)</f>
        <v>1496.2</v>
      </c>
      <c r="F118" s="33" t="n">
        <f aca="false">'Building 19'!D24</f>
        <v>1496.2</v>
      </c>
    </row>
    <row r="119" customFormat="false" ht="15" hidden="false" customHeight="false" outlineLevel="0" collapsed="false">
      <c r="B119" s="5" t="str">
        <f aca="false">'Building 19'!B25</f>
        <v>4-Northfield Dr - 27.5 Year</v>
      </c>
      <c r="D119" s="33" t="n">
        <f aca="false">SUM(F119:H119)</f>
        <v>6780.78</v>
      </c>
      <c r="H119" s="33" t="n">
        <f aca="false">'Building 19'!D25</f>
        <v>6780.78</v>
      </c>
    </row>
    <row r="120" customFormat="false" ht="15" hidden="false" customHeight="false" outlineLevel="0" collapsed="false">
      <c r="B120" s="5" t="str">
        <f aca="false">'Building 19'!B26</f>
        <v>7-Building-2202 Northview Dr - 5 Year</v>
      </c>
      <c r="D120" s="33" t="n">
        <f aca="false">SUM(F120:H120)</f>
        <v>28481.01</v>
      </c>
      <c r="F120" s="33" t="n">
        <f aca="false">'Building 19'!D26</f>
        <v>28481.01</v>
      </c>
    </row>
    <row r="121" customFormat="false" ht="15" hidden="false" customHeight="false" outlineLevel="0" collapsed="false">
      <c r="B121" s="5" t="str">
        <f aca="false">'Building 19'!B27</f>
        <v>7-Building-2202 Northview Dr - 27.5 Year</v>
      </c>
      <c r="D121" s="33" t="n">
        <f aca="false">SUM(F121:H121)</f>
        <v>129075.6</v>
      </c>
      <c r="H121" s="33" t="n">
        <f aca="false">'Building 19'!D27</f>
        <v>129075.6</v>
      </c>
    </row>
    <row r="122" customFormat="false" ht="15" hidden="false" customHeight="false" outlineLevel="0" collapsed="false">
      <c r="B122" s="5" t="str">
        <f aca="false">'Building 19'!B28</f>
        <v>8-Northiew Dr - 5 Year</v>
      </c>
      <c r="D122" s="33" t="n">
        <f aca="false">SUM(F122:H122)</f>
        <v>3674.97</v>
      </c>
      <c r="F122" s="33" t="n">
        <f aca="false">'Building 19'!D28</f>
        <v>3674.97</v>
      </c>
    </row>
    <row r="123" customFormat="false" ht="15" hidden="false" customHeight="false" outlineLevel="0" collapsed="false">
      <c r="B123" s="5" t="str">
        <f aca="false">'Building 19'!B29</f>
        <v>8-Northiew Dr - 27.5 Year</v>
      </c>
      <c r="D123" s="33" t="n">
        <f aca="false">SUM(F123:H123)</f>
        <v>16654.91</v>
      </c>
      <c r="H123" s="33" t="n">
        <f aca="false">'Building 19'!D29</f>
        <v>16654.91</v>
      </c>
    </row>
    <row r="124" customFormat="false" ht="15" hidden="false" customHeight="false" outlineLevel="0" collapsed="false">
      <c r="B124" s="5" t="str">
        <f aca="false">'Building 19'!B30</f>
        <v>9-Northview Dr - 5 Year</v>
      </c>
      <c r="D124" s="33" t="n">
        <f aca="false">SUM(F124:H124)</f>
        <v>6890.57</v>
      </c>
      <c r="F124" s="33" t="n">
        <f aca="false">'Building 19'!D30</f>
        <v>6890.57</v>
      </c>
    </row>
    <row r="125" customFormat="false" ht="15" hidden="false" customHeight="false" outlineLevel="0" collapsed="false">
      <c r="B125" s="5" t="str">
        <f aca="false">'Building 19'!B31</f>
        <v>9-Northview Dr - 27.5 Year</v>
      </c>
      <c r="D125" s="33" t="n">
        <f aca="false">SUM(F125:H125)</f>
        <v>31227.97</v>
      </c>
      <c r="H125" s="33" t="n">
        <f aca="false">'Building 19'!D31</f>
        <v>31227.97</v>
      </c>
    </row>
    <row r="126" customFormat="false" ht="15" hidden="false" customHeight="false" outlineLevel="0" collapsed="false">
      <c r="B126" s="11" t="s">
        <v>139</v>
      </c>
      <c r="D126" s="34" t="n">
        <f aca="false">SUM(D114:D125)</f>
        <v>262907.83</v>
      </c>
      <c r="F126" s="34" t="n">
        <f aca="false">SUM(F114:F125)</f>
        <v>47525.01</v>
      </c>
      <c r="H126" s="34" t="n">
        <f aca="false">SUM(H114:H125)</f>
        <v>215382.82</v>
      </c>
    </row>
    <row r="127" customFormat="false" ht="15" hidden="false" customHeight="false" outlineLevel="0" collapsed="false">
      <c r="B127" s="16" t="s">
        <v>140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193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45795.35</v>
      </c>
      <c r="E10" s="24" t="n">
        <v>0</v>
      </c>
      <c r="F10" s="24" t="n">
        <v>0</v>
      </c>
      <c r="G10" s="24" t="n">
        <v>0</v>
      </c>
      <c r="H10" s="24" t="n">
        <v>763.27</v>
      </c>
      <c r="I10" s="24" t="n">
        <f aca="false">G10+H10</f>
        <v>763.27</v>
      </c>
      <c r="J10" s="24" t="n">
        <f aca="false">D10-I10</f>
        <v>45032.08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5909.06</v>
      </c>
      <c r="E11" s="24" t="n">
        <v>0</v>
      </c>
      <c r="F11" s="24" t="n">
        <v>3545.44</v>
      </c>
      <c r="G11" s="24" t="n">
        <v>0</v>
      </c>
      <c r="H11" s="24" t="n">
        <v>3624.24</v>
      </c>
      <c r="I11" s="24" t="n">
        <f aca="false">G11+H11</f>
        <v>3624.24</v>
      </c>
      <c r="J11" s="24" t="n">
        <f aca="false">D11-I11</f>
        <v>2284.82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11079.53</v>
      </c>
      <c r="E12" s="24" t="n">
        <v>0</v>
      </c>
      <c r="F12" s="24" t="n">
        <v>6647.72</v>
      </c>
      <c r="G12" s="24" t="n">
        <v>0</v>
      </c>
      <c r="H12" s="24" t="n">
        <v>7534.08</v>
      </c>
      <c r="I12" s="24" t="n">
        <f aca="false">G12+H12</f>
        <v>7534.08</v>
      </c>
      <c r="J12" s="24" t="n">
        <f aca="false">D12-I12</f>
        <v>3545.45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210904.84</v>
      </c>
      <c r="E13" s="24" t="n">
        <v>0</v>
      </c>
      <c r="F13" s="24" t="n">
        <v>0</v>
      </c>
      <c r="G13" s="24" t="n">
        <v>0</v>
      </c>
      <c r="H13" s="24" t="n">
        <v>3515.07</v>
      </c>
      <c r="I13" s="24" t="n">
        <f aca="false">G13+H13</f>
        <v>3515.07</v>
      </c>
      <c r="J13" s="24" t="n">
        <f aca="false">D13-I13</f>
        <v>207389.77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27213.52</v>
      </c>
      <c r="E14" s="24" t="n">
        <v>0</v>
      </c>
      <c r="F14" s="24" t="n">
        <v>16328.11</v>
      </c>
      <c r="G14" s="24" t="n">
        <v>0</v>
      </c>
      <c r="H14" s="24" t="n">
        <v>16690.96</v>
      </c>
      <c r="I14" s="24" t="n">
        <f aca="false">G14+H14</f>
        <v>16690.96</v>
      </c>
      <c r="J14" s="24" t="n">
        <f aca="false">D14-I14</f>
        <v>10522.56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51025.37</v>
      </c>
      <c r="E15" s="24" t="n">
        <v>0</v>
      </c>
      <c r="F15" s="24" t="n">
        <v>30615.22</v>
      </c>
      <c r="G15" s="24" t="n">
        <v>0</v>
      </c>
      <c r="H15" s="24" t="n">
        <v>34697.26</v>
      </c>
      <c r="I15" s="24" t="n">
        <f aca="false">G15+H15</f>
        <v>34697.26</v>
      </c>
      <c r="J15" s="24" t="n">
        <f aca="false">D15-I15</f>
        <v>16328.11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351927.67</v>
      </c>
      <c r="E16" s="28" t="n">
        <f aca="false">SUM(E10:E15)</f>
        <v>0</v>
      </c>
      <c r="F16" s="28" t="n">
        <f aca="false">SUM(F10:F15)</f>
        <v>57136.49</v>
      </c>
      <c r="G16" s="28" t="n">
        <f aca="false">SUM(G10:G15)</f>
        <v>0</v>
      </c>
      <c r="H16" s="28" t="n">
        <f aca="false">SUM(H10:H15)</f>
        <v>66824.88</v>
      </c>
      <c r="I16" s="28" t="n">
        <f aca="false">SUM(I10:I15)</f>
        <v>66824.88</v>
      </c>
      <c r="J16" s="28" t="n">
        <f aca="false">SUM(J10:J15)</f>
        <v>285102.79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8473.25</v>
      </c>
      <c r="E20" s="24" t="n">
        <v>0</v>
      </c>
      <c r="F20" s="24" t="n">
        <v>5083.95</v>
      </c>
      <c r="G20" s="24" t="n">
        <v>0</v>
      </c>
      <c r="H20" s="24" t="n">
        <v>5761.81</v>
      </c>
      <c r="I20" s="24" t="n">
        <f aca="false">G20+H20</f>
        <v>5761.81</v>
      </c>
      <c r="J20" s="24" t="n">
        <f aca="false">D20-I20</f>
        <v>2711.44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37322.1</v>
      </c>
      <c r="E21" s="24" t="n">
        <v>0</v>
      </c>
      <c r="F21" s="24" t="n">
        <v>0</v>
      </c>
      <c r="G21" s="24" t="n">
        <v>0</v>
      </c>
      <c r="H21" s="24" t="n">
        <v>622.03</v>
      </c>
      <c r="I21" s="24" t="n">
        <f aca="false">G21+H21</f>
        <v>622.03</v>
      </c>
      <c r="J21" s="24" t="n">
        <f aca="false">D21-I21</f>
        <v>36700.07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1093.32</v>
      </c>
      <c r="E22" s="24" t="n">
        <v>0</v>
      </c>
      <c r="F22" s="24" t="n">
        <v>655.99</v>
      </c>
      <c r="G22" s="24" t="n">
        <v>0</v>
      </c>
      <c r="H22" s="24" t="n">
        <v>743.46</v>
      </c>
      <c r="I22" s="24" t="n">
        <f aca="false">G22+H22</f>
        <v>743.46</v>
      </c>
      <c r="J22" s="24" t="n">
        <f aca="false">D22-I22</f>
        <v>349.86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4815.74</v>
      </c>
      <c r="E23" s="24" t="n">
        <v>0</v>
      </c>
      <c r="F23" s="24" t="n">
        <v>0</v>
      </c>
      <c r="G23" s="24" t="n">
        <v>0</v>
      </c>
      <c r="H23" s="24" t="n">
        <v>80.26</v>
      </c>
      <c r="I23" s="24" t="n">
        <f aca="false">G23+H23</f>
        <v>80.26</v>
      </c>
      <c r="J23" s="24" t="n">
        <f aca="false">D23-I23</f>
        <v>4735.48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2049.98</v>
      </c>
      <c r="E24" s="24" t="n">
        <v>0</v>
      </c>
      <c r="F24" s="24" t="n">
        <v>1229.99</v>
      </c>
      <c r="G24" s="24" t="n">
        <v>0</v>
      </c>
      <c r="H24" s="24" t="n">
        <v>1393.99</v>
      </c>
      <c r="I24" s="24" t="n">
        <f aca="false">G24+H24</f>
        <v>1393.99</v>
      </c>
      <c r="J24" s="24" t="n">
        <f aca="false">D24-I24</f>
        <v>655.99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9029.55</v>
      </c>
      <c r="E25" s="24" t="n">
        <v>0</v>
      </c>
      <c r="F25" s="24" t="n">
        <v>0</v>
      </c>
      <c r="G25" s="24" t="n">
        <v>0</v>
      </c>
      <c r="H25" s="24" t="n">
        <v>150.49</v>
      </c>
      <c r="I25" s="24" t="n">
        <f aca="false">G25+H25</f>
        <v>150.49</v>
      </c>
      <c r="J25" s="24" t="n">
        <f aca="false">D25-I25</f>
        <v>8879.06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39022.5</v>
      </c>
      <c r="E26" s="24" t="n">
        <v>0</v>
      </c>
      <c r="F26" s="24" t="n">
        <v>23413.5</v>
      </c>
      <c r="G26" s="24" t="n">
        <v>0</v>
      </c>
      <c r="H26" s="24" t="n">
        <v>26535.3</v>
      </c>
      <c r="I26" s="24" t="n">
        <f aca="false">G26+H26</f>
        <v>26535.3</v>
      </c>
      <c r="J26" s="24" t="n">
        <f aca="false">D26-I26</f>
        <v>12487.2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171882.34</v>
      </c>
      <c r="E27" s="24" t="n">
        <v>0</v>
      </c>
      <c r="F27" s="24" t="n">
        <v>0</v>
      </c>
      <c r="G27" s="24" t="n">
        <v>0</v>
      </c>
      <c r="H27" s="24" t="n">
        <v>2864.71</v>
      </c>
      <c r="I27" s="24" t="n">
        <f aca="false">G27+H27</f>
        <v>2864.71</v>
      </c>
      <c r="J27" s="24" t="n">
        <f aca="false">D27-I27</f>
        <v>169017.63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5035.16</v>
      </c>
      <c r="E28" s="24" t="n">
        <v>0</v>
      </c>
      <c r="F28" s="24" t="n">
        <v>3021.1</v>
      </c>
      <c r="G28" s="24" t="n">
        <v>0</v>
      </c>
      <c r="H28" s="24" t="n">
        <v>3423.91</v>
      </c>
      <c r="I28" s="24" t="n">
        <f aca="false">G28+H28</f>
        <v>3423.91</v>
      </c>
      <c r="J28" s="24" t="n">
        <f aca="false">D28-I28</f>
        <v>1611.25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22178.36</v>
      </c>
      <c r="E29" s="24" t="n">
        <v>0</v>
      </c>
      <c r="F29" s="24" t="n">
        <v>0</v>
      </c>
      <c r="G29" s="24" t="n">
        <v>0</v>
      </c>
      <c r="H29" s="24" t="n">
        <v>369.64</v>
      </c>
      <c r="I29" s="24" t="n">
        <f aca="false">G29+H29</f>
        <v>369.64</v>
      </c>
      <c r="J29" s="24" t="n">
        <f aca="false">D29-I29</f>
        <v>21808.72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9440.93</v>
      </c>
      <c r="E30" s="24" t="n">
        <v>0</v>
      </c>
      <c r="F30" s="24" t="n">
        <v>5664.56</v>
      </c>
      <c r="G30" s="24" t="n">
        <v>0</v>
      </c>
      <c r="H30" s="24" t="n">
        <v>6419.83</v>
      </c>
      <c r="I30" s="24" t="n">
        <f aca="false">G30+H30</f>
        <v>6419.83</v>
      </c>
      <c r="J30" s="24" t="n">
        <f aca="false">D30-I30</f>
        <v>3021.1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41584.44</v>
      </c>
      <c r="E31" s="24" t="n">
        <v>0</v>
      </c>
      <c r="F31" s="24" t="n">
        <v>0</v>
      </c>
      <c r="G31" s="24" t="n">
        <v>0</v>
      </c>
      <c r="H31" s="24" t="n">
        <v>693.07</v>
      </c>
      <c r="I31" s="24" t="n">
        <f aca="false">G31+H31</f>
        <v>693.07</v>
      </c>
      <c r="J31" s="24" t="n">
        <f aca="false">D31-I31</f>
        <v>40891.37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351927.67</v>
      </c>
      <c r="E32" s="28" t="n">
        <f aca="false">SUM(E20:E31)</f>
        <v>0</v>
      </c>
      <c r="F32" s="28" t="n">
        <f aca="false">SUM(F20:F31)</f>
        <v>39069.09</v>
      </c>
      <c r="G32" s="28" t="n">
        <f aca="false">SUM(G20:G31)</f>
        <v>0</v>
      </c>
      <c r="H32" s="28" t="n">
        <f aca="false">SUM(H20:H31)</f>
        <v>49058.5</v>
      </c>
      <c r="I32" s="28" t="n">
        <f aca="false">SUM(I20:I31)</f>
        <v>49058.5</v>
      </c>
      <c r="J32" s="28" t="n">
        <f aca="false">SUM(J20:J31)</f>
        <v>302869.17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66824.88</v>
      </c>
    </row>
    <row r="36" customFormat="false" ht="15" hidden="false" customHeight="false" outlineLevel="0" collapsed="false">
      <c r="B36" s="5" t="s">
        <v>97</v>
      </c>
      <c r="D36" s="6" t="n">
        <f aca="false">I32</f>
        <v>49058.5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17766.38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45795.35</v>
      </c>
      <c r="E42" s="24" t="n">
        <v>0</v>
      </c>
      <c r="F42" s="24" t="n">
        <v>0</v>
      </c>
      <c r="G42" s="24" t="n">
        <v>0</v>
      </c>
      <c r="H42" s="24" t="n">
        <v>763.27</v>
      </c>
      <c r="I42" s="24" t="n">
        <f aca="false">G42+H42</f>
        <v>763.27</v>
      </c>
      <c r="J42" s="24" t="n">
        <f aca="false">D42-I42</f>
        <v>45032.08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5909.06</v>
      </c>
      <c r="E43" s="24" t="n">
        <v>0</v>
      </c>
      <c r="F43" s="24" t="n">
        <v>3545.44</v>
      </c>
      <c r="G43" s="24" t="n">
        <v>0</v>
      </c>
      <c r="H43" s="24" t="n">
        <v>3624.24</v>
      </c>
      <c r="I43" s="24" t="n">
        <f aca="false">G43+H43</f>
        <v>3624.24</v>
      </c>
      <c r="J43" s="24" t="n">
        <f aca="false">D43-I43</f>
        <v>2284.82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11079.53</v>
      </c>
      <c r="E44" s="24" t="n">
        <v>0</v>
      </c>
      <c r="F44" s="24" t="n">
        <v>6647.72</v>
      </c>
      <c r="G44" s="24" t="n">
        <v>0</v>
      </c>
      <c r="H44" s="24" t="n">
        <v>7534.08</v>
      </c>
      <c r="I44" s="24" t="n">
        <f aca="false">G44+H44</f>
        <v>7534.08</v>
      </c>
      <c r="J44" s="24" t="n">
        <f aca="false">D44-I44</f>
        <v>3545.45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210904.84</v>
      </c>
      <c r="E45" s="24" t="n">
        <v>0</v>
      </c>
      <c r="F45" s="24" t="n">
        <v>0</v>
      </c>
      <c r="G45" s="24" t="n">
        <v>0</v>
      </c>
      <c r="H45" s="24" t="n">
        <v>3515.07</v>
      </c>
      <c r="I45" s="24" t="n">
        <f aca="false">G45+H45</f>
        <v>3515.07</v>
      </c>
      <c r="J45" s="24" t="n">
        <f aca="false">D45-I45</f>
        <v>207389.77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27213.52</v>
      </c>
      <c r="E46" s="24" t="n">
        <v>0</v>
      </c>
      <c r="F46" s="24" t="n">
        <v>16328.11</v>
      </c>
      <c r="G46" s="24" t="n">
        <v>0</v>
      </c>
      <c r="H46" s="24" t="n">
        <v>16690.96</v>
      </c>
      <c r="I46" s="24" t="n">
        <f aca="false">G46+H46</f>
        <v>16690.96</v>
      </c>
      <c r="J46" s="24" t="n">
        <f aca="false">D46-I46</f>
        <v>10522.56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51025.37</v>
      </c>
      <c r="E47" s="24" t="n">
        <v>0</v>
      </c>
      <c r="F47" s="24" t="n">
        <v>30615.22</v>
      </c>
      <c r="G47" s="24" t="n">
        <v>0</v>
      </c>
      <c r="H47" s="24" t="n">
        <v>34697.26</v>
      </c>
      <c r="I47" s="24" t="n">
        <f aca="false">G47+H47</f>
        <v>34697.26</v>
      </c>
      <c r="J47" s="24" t="n">
        <f aca="false">D47-I47</f>
        <v>16328.11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351927.67</v>
      </c>
      <c r="E48" s="28" t="n">
        <f aca="false">SUM(E42:E47)</f>
        <v>0</v>
      </c>
      <c r="F48" s="28" t="n">
        <f aca="false">SUM(F42:F47)</f>
        <v>57136.49</v>
      </c>
      <c r="G48" s="28" t="n">
        <f aca="false">SUM(G42:G47)</f>
        <v>0</v>
      </c>
      <c r="H48" s="28" t="n">
        <f aca="false">SUM(H42:H47)</f>
        <v>66824.88</v>
      </c>
      <c r="I48" s="28" t="n">
        <f aca="false">SUM(I42:I47)</f>
        <v>66824.88</v>
      </c>
      <c r="J48" s="28" t="n">
        <f aca="false">SUM(J42:J47)</f>
        <v>285102.79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8473.25</v>
      </c>
      <c r="E52" s="24" t="n">
        <v>0</v>
      </c>
      <c r="F52" s="24" t="n">
        <v>5083.95</v>
      </c>
      <c r="G52" s="24" t="n">
        <v>0</v>
      </c>
      <c r="H52" s="24" t="n">
        <v>5761.81</v>
      </c>
      <c r="I52" s="24" t="n">
        <f aca="false">G52+H52</f>
        <v>5761.81</v>
      </c>
      <c r="J52" s="24" t="n">
        <f aca="false">D52-I52</f>
        <v>2711.44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37322.1</v>
      </c>
      <c r="E53" s="24" t="n">
        <v>0</v>
      </c>
      <c r="F53" s="24" t="n">
        <v>0</v>
      </c>
      <c r="G53" s="24" t="n">
        <v>0</v>
      </c>
      <c r="H53" s="24" t="n">
        <v>622.03</v>
      </c>
      <c r="I53" s="24" t="n">
        <f aca="false">G53+H53</f>
        <v>622.03</v>
      </c>
      <c r="J53" s="24" t="n">
        <f aca="false">D53-I53</f>
        <v>36700.07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1093.32</v>
      </c>
      <c r="E54" s="24" t="n">
        <v>0</v>
      </c>
      <c r="F54" s="24" t="n">
        <v>655.99</v>
      </c>
      <c r="G54" s="24" t="n">
        <v>0</v>
      </c>
      <c r="H54" s="24" t="n">
        <v>743.46</v>
      </c>
      <c r="I54" s="24" t="n">
        <f aca="false">G54+H54</f>
        <v>743.46</v>
      </c>
      <c r="J54" s="24" t="n">
        <f aca="false">D54-I54</f>
        <v>349.86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4815.74</v>
      </c>
      <c r="E55" s="24" t="n">
        <v>0</v>
      </c>
      <c r="F55" s="24" t="n">
        <v>0</v>
      </c>
      <c r="G55" s="24" t="n">
        <v>0</v>
      </c>
      <c r="H55" s="24" t="n">
        <v>80.26</v>
      </c>
      <c r="I55" s="24" t="n">
        <f aca="false">G55+H55</f>
        <v>80.26</v>
      </c>
      <c r="J55" s="24" t="n">
        <f aca="false">D55-I55</f>
        <v>4735.48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2049.98</v>
      </c>
      <c r="E56" s="24" t="n">
        <v>0</v>
      </c>
      <c r="F56" s="24" t="n">
        <v>1229.99</v>
      </c>
      <c r="G56" s="24" t="n">
        <v>0</v>
      </c>
      <c r="H56" s="24" t="n">
        <v>1393.99</v>
      </c>
      <c r="I56" s="24" t="n">
        <f aca="false">G56+H56</f>
        <v>1393.99</v>
      </c>
      <c r="J56" s="24" t="n">
        <f aca="false">D56-I56</f>
        <v>655.99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9029.55</v>
      </c>
      <c r="E57" s="24" t="n">
        <v>0</v>
      </c>
      <c r="F57" s="24" t="n">
        <v>0</v>
      </c>
      <c r="G57" s="24" t="n">
        <v>0</v>
      </c>
      <c r="H57" s="24" t="n">
        <v>150.49</v>
      </c>
      <c r="I57" s="24" t="n">
        <f aca="false">G57+H57</f>
        <v>150.49</v>
      </c>
      <c r="J57" s="24" t="n">
        <f aca="false">D57-I57</f>
        <v>8879.06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39022.5</v>
      </c>
      <c r="E58" s="24" t="n">
        <v>0</v>
      </c>
      <c r="F58" s="24" t="n">
        <v>23413.5</v>
      </c>
      <c r="G58" s="24" t="n">
        <v>0</v>
      </c>
      <c r="H58" s="24" t="n">
        <v>26535.3</v>
      </c>
      <c r="I58" s="24" t="n">
        <f aca="false">G58+H58</f>
        <v>26535.3</v>
      </c>
      <c r="J58" s="24" t="n">
        <f aca="false">D58-I58</f>
        <v>12487.2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171882.34</v>
      </c>
      <c r="E59" s="24" t="n">
        <v>0</v>
      </c>
      <c r="F59" s="24" t="n">
        <v>0</v>
      </c>
      <c r="G59" s="24" t="n">
        <v>0</v>
      </c>
      <c r="H59" s="24" t="n">
        <v>2864.71</v>
      </c>
      <c r="I59" s="24" t="n">
        <f aca="false">G59+H59</f>
        <v>2864.71</v>
      </c>
      <c r="J59" s="24" t="n">
        <f aca="false">D59-I59</f>
        <v>169017.63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5035.16</v>
      </c>
      <c r="E60" s="24" t="n">
        <v>0</v>
      </c>
      <c r="F60" s="24" t="n">
        <v>3021.1</v>
      </c>
      <c r="G60" s="24" t="n">
        <v>0</v>
      </c>
      <c r="H60" s="24" t="n">
        <v>3423.91</v>
      </c>
      <c r="I60" s="24" t="n">
        <f aca="false">G60+H60</f>
        <v>3423.91</v>
      </c>
      <c r="J60" s="24" t="n">
        <f aca="false">D60-I60</f>
        <v>1611.25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22178.36</v>
      </c>
      <c r="E61" s="24" t="n">
        <v>0</v>
      </c>
      <c r="F61" s="24" t="n">
        <v>0</v>
      </c>
      <c r="G61" s="24" t="n">
        <v>0</v>
      </c>
      <c r="H61" s="24" t="n">
        <v>369.64</v>
      </c>
      <c r="I61" s="24" t="n">
        <f aca="false">G61+H61</f>
        <v>369.64</v>
      </c>
      <c r="J61" s="24" t="n">
        <f aca="false">D61-I61</f>
        <v>21808.72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9440.93</v>
      </c>
      <c r="E62" s="24" t="n">
        <v>0</v>
      </c>
      <c r="F62" s="24" t="n">
        <v>5664.56</v>
      </c>
      <c r="G62" s="24" t="n">
        <v>0</v>
      </c>
      <c r="H62" s="24" t="n">
        <v>6419.83</v>
      </c>
      <c r="I62" s="24" t="n">
        <f aca="false">G62+H62</f>
        <v>6419.83</v>
      </c>
      <c r="J62" s="24" t="n">
        <f aca="false">D62-I62</f>
        <v>3021.1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41584.44</v>
      </c>
      <c r="E63" s="24" t="n">
        <v>0</v>
      </c>
      <c r="F63" s="24" t="n">
        <v>0</v>
      </c>
      <c r="G63" s="24" t="n">
        <v>0</v>
      </c>
      <c r="H63" s="24" t="n">
        <v>693.07</v>
      </c>
      <c r="I63" s="24" t="n">
        <f aca="false">G63+H63</f>
        <v>693.07</v>
      </c>
      <c r="J63" s="24" t="n">
        <f aca="false">D63-I63</f>
        <v>40891.37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351927.67</v>
      </c>
      <c r="E64" s="28" t="n">
        <f aca="false">SUM(E52:E63)</f>
        <v>0</v>
      </c>
      <c r="F64" s="28" t="n">
        <f aca="false">SUM(F52:F63)</f>
        <v>39069.09</v>
      </c>
      <c r="G64" s="28" t="n">
        <f aca="false">SUM(G52:G63)</f>
        <v>0</v>
      </c>
      <c r="H64" s="28" t="n">
        <f aca="false">SUM(H52:H63)</f>
        <v>49058.5</v>
      </c>
      <c r="I64" s="28" t="n">
        <f aca="false">SUM(I52:I63)</f>
        <v>49058.5</v>
      </c>
      <c r="J64" s="28" t="n">
        <f aca="false">SUM(J52:J63)</f>
        <v>302869.17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66824.88</v>
      </c>
    </row>
    <row r="68" customFormat="false" ht="15" hidden="false" customHeight="false" outlineLevel="0" collapsed="false">
      <c r="B68" s="5" t="s">
        <v>97</v>
      </c>
      <c r="D68" s="6" t="n">
        <f aca="false">I64</f>
        <v>49058.5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17766.38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D112</f>
        <v>351927.67</v>
      </c>
    </row>
    <row r="73" customFormat="false" ht="15" hidden="false" customHeight="false" outlineLevel="0" collapsed="false">
      <c r="B73" s="5" t="s">
        <v>106</v>
      </c>
      <c r="D73" s="6" t="n">
        <f aca="false">F112</f>
        <v>65115.14</v>
      </c>
    </row>
    <row r="74" customFormat="false" ht="15" hidden="false" customHeight="false" outlineLevel="0" collapsed="false">
      <c r="B74" s="30" t="s">
        <v>107</v>
      </c>
      <c r="D74" s="31" t="n">
        <f aca="false">F113</f>
        <v>0.185024212503666</v>
      </c>
    </row>
    <row r="75" customFormat="false" ht="15" hidden="false" customHeight="false" outlineLevel="0" collapsed="false">
      <c r="B75" s="5" t="s">
        <v>109</v>
      </c>
      <c r="D75" s="6" t="n">
        <f aca="false">H112</f>
        <v>286812.53</v>
      </c>
    </row>
    <row r="76" customFormat="false" ht="15" hidden="false" customHeight="false" outlineLevel="0" collapsed="false">
      <c r="B76" s="30" t="s">
        <v>107</v>
      </c>
      <c r="D76" s="31" t="n">
        <f aca="false">H113</f>
        <v>0.814975787496334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15635.76</v>
      </c>
      <c r="F81" s="33" t="n">
        <v>15635.76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5165.29</v>
      </c>
      <c r="F82" s="33" t="n">
        <v>5165.29</v>
      </c>
    </row>
    <row r="83" customFormat="false" ht="15" hidden="false" customHeight="false" outlineLevel="0" collapsed="false">
      <c r="B83" s="5" t="s">
        <v>175</v>
      </c>
      <c r="D83" s="33" t="n">
        <f aca="false">SUM(F83:H83)</f>
        <v>2122.05</v>
      </c>
      <c r="F83" s="33" t="n">
        <v>2122.05</v>
      </c>
    </row>
    <row r="84" customFormat="false" ht="15" hidden="false" customHeight="false" outlineLevel="0" collapsed="false">
      <c r="B84" s="5" t="s">
        <v>145</v>
      </c>
      <c r="D84" s="33" t="n">
        <f aca="false">SUM(F84:H84)</f>
        <v>17875.18</v>
      </c>
      <c r="F84" s="33" t="n">
        <v>17875.18</v>
      </c>
    </row>
    <row r="85" customFormat="false" ht="15" hidden="false" customHeight="false" outlineLevel="0" collapsed="false">
      <c r="B85" s="5" t="s">
        <v>176</v>
      </c>
      <c r="D85" s="33" t="n">
        <f aca="false">SUM(F85:H85)</f>
        <v>328.64</v>
      </c>
      <c r="F85" s="33" t="n">
        <v>328.64</v>
      </c>
    </row>
    <row r="86" customFormat="false" ht="15" hidden="false" customHeight="false" outlineLevel="0" collapsed="false">
      <c r="B86" s="5" t="s">
        <v>147</v>
      </c>
      <c r="D86" s="33" t="n">
        <f aca="false">SUM(F86:H86)</f>
        <v>4845.53</v>
      </c>
      <c r="F86" s="33" t="n">
        <v>4845.53</v>
      </c>
    </row>
    <row r="87" customFormat="false" ht="15" hidden="false" customHeight="false" outlineLevel="0" collapsed="false">
      <c r="B87" s="5" t="s">
        <v>148</v>
      </c>
      <c r="D87" s="33" t="n">
        <f aca="false">SUM(F87:H87)</f>
        <v>135.16</v>
      </c>
      <c r="F87" s="33" t="n">
        <v>135.16</v>
      </c>
    </row>
    <row r="88" customFormat="false" ht="15" hidden="false" customHeight="false" outlineLevel="0" collapsed="false">
      <c r="B88" s="5" t="s">
        <v>149</v>
      </c>
      <c r="D88" s="33" t="n">
        <f aca="false">SUM(F88:H88)</f>
        <v>3139.57</v>
      </c>
      <c r="F88" s="33" t="n">
        <v>3139.57</v>
      </c>
    </row>
    <row r="89" customFormat="false" ht="15" hidden="false" customHeight="false" outlineLevel="0" collapsed="false">
      <c r="B89" s="5" t="s">
        <v>150</v>
      </c>
      <c r="D89" s="33" t="n">
        <f aca="false">SUM(F89:H89)</f>
        <v>2475.01</v>
      </c>
      <c r="F89" s="33" t="n">
        <v>2475.01</v>
      </c>
    </row>
    <row r="90" customFormat="false" ht="15" hidden="false" customHeight="false" outlineLevel="0" collapsed="false">
      <c r="B90" s="5" t="s">
        <v>151</v>
      </c>
      <c r="D90" s="33" t="n">
        <f aca="false">SUM(F90:H90)</f>
        <v>5742.77</v>
      </c>
      <c r="F90" s="33" t="n">
        <v>5742.77</v>
      </c>
    </row>
    <row r="91" customFormat="false" ht="15" hidden="false" customHeight="false" outlineLevel="0" collapsed="false">
      <c r="B91" s="5" t="s">
        <v>152</v>
      </c>
      <c r="D91" s="33" t="n">
        <f aca="false">SUM(F91:H91)</f>
        <v>2198.15</v>
      </c>
      <c r="F91" s="33" t="n">
        <v>2198.15</v>
      </c>
    </row>
    <row r="92" customFormat="false" ht="15" hidden="false" customHeight="false" outlineLevel="0" collapsed="false">
      <c r="B92" s="5" t="s">
        <v>116</v>
      </c>
      <c r="D92" s="33" t="n">
        <f aca="false">SUM(F92:H92)</f>
        <v>93.04</v>
      </c>
      <c r="F92" s="33" t="n">
        <v>93.04</v>
      </c>
    </row>
    <row r="93" customFormat="false" ht="15" hidden="false" customHeight="false" outlineLevel="0" collapsed="false">
      <c r="B93" s="5" t="s">
        <v>154</v>
      </c>
      <c r="D93" s="33" t="n">
        <f aca="false">SUM(F93:H93)</f>
        <v>404.54</v>
      </c>
      <c r="F93" s="33" t="n">
        <v>404.54</v>
      </c>
    </row>
    <row r="94" customFormat="false" ht="15" hidden="false" customHeight="false" outlineLevel="0" collapsed="false">
      <c r="B94" s="5" t="s">
        <v>155</v>
      </c>
      <c r="D94" s="33" t="n">
        <f aca="false">SUM(F94:H94)</f>
        <v>4954.45</v>
      </c>
      <c r="F94" s="33" t="n">
        <v>4954.45</v>
      </c>
    </row>
    <row r="95" customFormat="false" ht="15" hidden="false" customHeight="false" outlineLevel="0" collapsed="false">
      <c r="B95" s="32" t="s">
        <v>135</v>
      </c>
    </row>
    <row r="96" customFormat="false" ht="15" hidden="false" customHeight="false" outlineLevel="0" collapsed="false">
      <c r="B96" s="5" t="s">
        <v>156</v>
      </c>
      <c r="D96" s="33" t="n">
        <f aca="false">SUM(F96:H96)</f>
        <v>17550.48</v>
      </c>
      <c r="H96" s="33" t="n">
        <v>17550.48</v>
      </c>
    </row>
    <row r="97" customFormat="false" ht="15" hidden="false" customHeight="false" outlineLevel="0" collapsed="false">
      <c r="B97" s="5" t="s">
        <v>157</v>
      </c>
      <c r="D97" s="33" t="n">
        <f aca="false">SUM(F97:H97)</f>
        <v>18529.28</v>
      </c>
      <c r="H97" s="33" t="n">
        <v>18529.28</v>
      </c>
    </row>
    <row r="98" customFormat="false" ht="15" hidden="false" customHeight="false" outlineLevel="0" collapsed="false">
      <c r="B98" s="5" t="s">
        <v>158</v>
      </c>
      <c r="D98" s="33" t="n">
        <f aca="false">SUM(F98:H98)</f>
        <v>27859.76</v>
      </c>
      <c r="H98" s="33" t="n">
        <v>27859.76</v>
      </c>
    </row>
    <row r="99" customFormat="false" ht="15" hidden="false" customHeight="false" outlineLevel="0" collapsed="false">
      <c r="B99" s="5" t="s">
        <v>159</v>
      </c>
      <c r="D99" s="33" t="n">
        <f aca="false">SUM(F99:H99)</f>
        <v>30109.86</v>
      </c>
      <c r="H99" s="33" t="n">
        <v>30109.86</v>
      </c>
    </row>
    <row r="100" customFormat="false" ht="15" hidden="false" customHeight="false" outlineLevel="0" collapsed="false">
      <c r="B100" s="5" t="s">
        <v>160</v>
      </c>
      <c r="D100" s="33" t="n">
        <f aca="false">SUM(F100:H100)</f>
        <v>24218.34</v>
      </c>
      <c r="H100" s="33" t="n">
        <v>24218.34</v>
      </c>
    </row>
    <row r="101" customFormat="false" ht="15" hidden="false" customHeight="false" outlineLevel="0" collapsed="false">
      <c r="B101" s="5" t="s">
        <v>161</v>
      </c>
      <c r="D101" s="33" t="n">
        <f aca="false">SUM(F101:H101)</f>
        <v>1805.75</v>
      </c>
      <c r="H101" s="33" t="n">
        <v>1805.75</v>
      </c>
    </row>
    <row r="102" customFormat="false" ht="15" hidden="false" customHeight="false" outlineLevel="0" collapsed="false">
      <c r="B102" s="5" t="s">
        <v>162</v>
      </c>
      <c r="D102" s="33" t="n">
        <f aca="false">SUM(F102:H102)</f>
        <v>11417.93</v>
      </c>
      <c r="H102" s="33" t="n">
        <v>11417.93</v>
      </c>
    </row>
    <row r="103" customFormat="false" ht="15" hidden="false" customHeight="false" outlineLevel="0" collapsed="false">
      <c r="B103" s="5" t="s">
        <v>163</v>
      </c>
      <c r="D103" s="33" t="n">
        <f aca="false">SUM(F103:H103)</f>
        <v>25533.93</v>
      </c>
      <c r="H103" s="33" t="n">
        <v>25533.93</v>
      </c>
    </row>
    <row r="104" customFormat="false" ht="15" hidden="false" customHeight="false" outlineLevel="0" collapsed="false">
      <c r="B104" s="5" t="s">
        <v>164</v>
      </c>
      <c r="D104" s="33" t="n">
        <f aca="false">SUM(F104:H104)</f>
        <v>9443.51</v>
      </c>
      <c r="H104" s="33" t="n">
        <v>9443.51</v>
      </c>
    </row>
    <row r="105" customFormat="false" ht="15" hidden="false" customHeight="false" outlineLevel="0" collapsed="false">
      <c r="B105" s="5" t="s">
        <v>165</v>
      </c>
      <c r="D105" s="33" t="n">
        <f aca="false">SUM(F105:H105)</f>
        <v>12814.28</v>
      </c>
      <c r="H105" s="33" t="n">
        <v>12814.28</v>
      </c>
    </row>
    <row r="106" customFormat="false" ht="15" hidden="false" customHeight="false" outlineLevel="0" collapsed="false">
      <c r="B106" s="5" t="s">
        <v>166</v>
      </c>
      <c r="D106" s="33" t="n">
        <f aca="false">SUM(F106:H106)</f>
        <v>31781.74</v>
      </c>
      <c r="H106" s="33" t="n">
        <v>31781.74</v>
      </c>
    </row>
    <row r="107" customFormat="false" ht="15" hidden="false" customHeight="false" outlineLevel="0" collapsed="false">
      <c r="B107" s="5" t="s">
        <v>167</v>
      </c>
      <c r="D107" s="33" t="n">
        <f aca="false">SUM(F107:H107)</f>
        <v>13945.74</v>
      </c>
      <c r="H107" s="33" t="n">
        <v>13945.74</v>
      </c>
    </row>
    <row r="108" customFormat="false" ht="15" hidden="false" customHeight="false" outlineLevel="0" collapsed="false">
      <c r="B108" s="5" t="s">
        <v>168</v>
      </c>
      <c r="D108" s="33" t="n">
        <f aca="false">SUM(F108:H108)</f>
        <v>1665.07</v>
      </c>
      <c r="H108" s="33" t="n">
        <v>1665.07</v>
      </c>
    </row>
    <row r="109" customFormat="false" ht="15" hidden="false" customHeight="false" outlineLevel="0" collapsed="false">
      <c r="B109" s="5" t="s">
        <v>169</v>
      </c>
      <c r="D109" s="33" t="n">
        <f aca="false">SUM(F109:H109)</f>
        <v>36393.16</v>
      </c>
      <c r="H109" s="33" t="n">
        <v>36393.16</v>
      </c>
    </row>
    <row r="110" customFormat="false" ht="15" hidden="false" customHeight="false" outlineLevel="0" collapsed="false">
      <c r="B110" s="5" t="s">
        <v>170</v>
      </c>
      <c r="D110" s="33" t="n">
        <f aca="false">SUM(F110:H110)</f>
        <v>18871.74</v>
      </c>
      <c r="H110" s="33" t="n">
        <v>18871.74</v>
      </c>
    </row>
    <row r="111" customFormat="false" ht="15" hidden="false" customHeight="false" outlineLevel="0" collapsed="false">
      <c r="B111" s="5" t="s">
        <v>171</v>
      </c>
      <c r="D111" s="33" t="n">
        <f aca="false">SUM(F111:H111)</f>
        <v>4871.96</v>
      </c>
      <c r="H111" s="33" t="n">
        <v>4871.96</v>
      </c>
    </row>
    <row r="112" customFormat="false" ht="15" hidden="false" customHeight="false" outlineLevel="0" collapsed="false">
      <c r="B112" s="11" t="s">
        <v>105</v>
      </c>
      <c r="D112" s="34" t="n">
        <f aca="false">SUM(D80:D111)</f>
        <v>351927.67</v>
      </c>
      <c r="F112" s="34" t="n">
        <f aca="false">SUM(F80:F111)</f>
        <v>65115.14</v>
      </c>
      <c r="H112" s="34" t="n">
        <f aca="false">SUM(H80:H111)</f>
        <v>286812.53</v>
      </c>
    </row>
    <row r="113" customFormat="false" ht="15" hidden="false" customHeight="false" outlineLevel="0" collapsed="false">
      <c r="B113" s="30" t="s">
        <v>107</v>
      </c>
      <c r="F113" s="31" t="n">
        <f aca="false">F112/D112</f>
        <v>0.185024212503666</v>
      </c>
      <c r="H113" s="31" t="n">
        <f aca="false">H112/D112</f>
        <v>0.814975787496334</v>
      </c>
    </row>
    <row r="115" customFormat="false" ht="15" hidden="false" customHeight="false" outlineLevel="0" collapsed="false">
      <c r="A115" s="10" t="s">
        <v>137</v>
      </c>
    </row>
    <row r="116" customFormat="false" ht="15" hidden="false" customHeight="false" outlineLevel="0" collapsed="false">
      <c r="B116" s="4" t="s">
        <v>138</v>
      </c>
      <c r="D116" s="4" t="s">
        <v>79</v>
      </c>
      <c r="F116" s="4" t="s">
        <v>112</v>
      </c>
      <c r="H116" s="4" t="s">
        <v>114</v>
      </c>
    </row>
    <row r="117" customFormat="false" ht="15" hidden="false" customHeight="false" outlineLevel="0" collapsed="false">
      <c r="B117" s="5" t="str">
        <f aca="false">'Building 20'!B20</f>
        <v>2-Building-712 Northfield Dr - 5 Year</v>
      </c>
      <c r="D117" s="33" t="n">
        <f aca="false">SUM(F117:H117)</f>
        <v>8473.25</v>
      </c>
      <c r="F117" s="33" t="n">
        <f aca="false">'Building 20'!D20</f>
        <v>8473.25</v>
      </c>
    </row>
    <row r="118" customFormat="false" ht="15" hidden="false" customHeight="false" outlineLevel="0" collapsed="false">
      <c r="B118" s="5" t="str">
        <f aca="false">'Building 20'!B21</f>
        <v>2-Building-712 Northfield Dr - 27.5 Year</v>
      </c>
      <c r="D118" s="33" t="n">
        <f aca="false">SUM(F118:H118)</f>
        <v>37322.1</v>
      </c>
      <c r="H118" s="33" t="n">
        <f aca="false">'Building 20'!D21</f>
        <v>37322.1</v>
      </c>
    </row>
    <row r="119" customFormat="false" ht="15" hidden="false" customHeight="false" outlineLevel="0" collapsed="false">
      <c r="B119" s="5" t="str">
        <f aca="false">'Building 20'!B22</f>
        <v>3-Northfield Dr - 5 Year</v>
      </c>
      <c r="D119" s="33" t="n">
        <f aca="false">SUM(F119:H119)</f>
        <v>1093.32</v>
      </c>
      <c r="F119" s="33" t="n">
        <f aca="false">'Building 20'!D22</f>
        <v>1093.32</v>
      </c>
    </row>
    <row r="120" customFormat="false" ht="15" hidden="false" customHeight="false" outlineLevel="0" collapsed="false">
      <c r="B120" s="5" t="str">
        <f aca="false">'Building 20'!B23</f>
        <v>3-Northfield Dr - 27.5 Year</v>
      </c>
      <c r="D120" s="33" t="n">
        <f aca="false">SUM(F120:H120)</f>
        <v>4815.74</v>
      </c>
      <c r="H120" s="33" t="n">
        <f aca="false">'Building 20'!D23</f>
        <v>4815.74</v>
      </c>
    </row>
    <row r="121" customFormat="false" ht="15" hidden="false" customHeight="false" outlineLevel="0" collapsed="false">
      <c r="B121" s="5" t="str">
        <f aca="false">'Building 20'!B24</f>
        <v>4-Northfield Dr - 5 Year</v>
      </c>
      <c r="D121" s="33" t="n">
        <f aca="false">SUM(F121:H121)</f>
        <v>2049.98</v>
      </c>
      <c r="F121" s="33" t="n">
        <f aca="false">'Building 20'!D24</f>
        <v>2049.98</v>
      </c>
    </row>
    <row r="122" customFormat="false" ht="15" hidden="false" customHeight="false" outlineLevel="0" collapsed="false">
      <c r="B122" s="5" t="str">
        <f aca="false">'Building 20'!B25</f>
        <v>4-Northfield Dr - 27.5 Year</v>
      </c>
      <c r="D122" s="33" t="n">
        <f aca="false">SUM(F122:H122)</f>
        <v>9029.55</v>
      </c>
      <c r="H122" s="33" t="n">
        <f aca="false">'Building 20'!D25</f>
        <v>9029.55</v>
      </c>
    </row>
    <row r="123" customFormat="false" ht="15" hidden="false" customHeight="false" outlineLevel="0" collapsed="false">
      <c r="B123" s="5" t="str">
        <f aca="false">'Building 20'!B26</f>
        <v>7-Building-2202 Northview Dr - 5 Year</v>
      </c>
      <c r="D123" s="33" t="n">
        <f aca="false">SUM(F123:H123)</f>
        <v>39022.5</v>
      </c>
      <c r="F123" s="33" t="n">
        <f aca="false">'Building 20'!D26</f>
        <v>39022.5</v>
      </c>
    </row>
    <row r="124" customFormat="false" ht="15" hidden="false" customHeight="false" outlineLevel="0" collapsed="false">
      <c r="B124" s="5" t="str">
        <f aca="false">'Building 20'!B27</f>
        <v>7-Building-2202 Northview Dr - 27.5 Year</v>
      </c>
      <c r="D124" s="33" t="n">
        <f aca="false">SUM(F124:H124)</f>
        <v>171882.34</v>
      </c>
      <c r="H124" s="33" t="n">
        <f aca="false">'Building 20'!D27</f>
        <v>171882.34</v>
      </c>
    </row>
    <row r="125" customFormat="false" ht="15" hidden="false" customHeight="false" outlineLevel="0" collapsed="false">
      <c r="B125" s="5" t="str">
        <f aca="false">'Building 20'!B28</f>
        <v>8-Northiew Dr - 5 Year</v>
      </c>
      <c r="D125" s="33" t="n">
        <f aca="false">SUM(F125:H125)</f>
        <v>5035.16</v>
      </c>
      <c r="F125" s="33" t="n">
        <f aca="false">'Building 20'!D28</f>
        <v>5035.16</v>
      </c>
    </row>
    <row r="126" customFormat="false" ht="15" hidden="false" customHeight="false" outlineLevel="0" collapsed="false">
      <c r="B126" s="5" t="str">
        <f aca="false">'Building 20'!B29</f>
        <v>8-Northiew Dr - 27.5 Year</v>
      </c>
      <c r="D126" s="33" t="n">
        <f aca="false">SUM(F126:H126)</f>
        <v>22178.36</v>
      </c>
      <c r="H126" s="33" t="n">
        <f aca="false">'Building 20'!D29</f>
        <v>22178.36</v>
      </c>
    </row>
    <row r="127" customFormat="false" ht="15" hidden="false" customHeight="false" outlineLevel="0" collapsed="false">
      <c r="B127" s="5" t="str">
        <f aca="false">'Building 20'!B30</f>
        <v>9-Northview Dr - 5 Year</v>
      </c>
      <c r="D127" s="33" t="n">
        <f aca="false">SUM(F127:H127)</f>
        <v>9440.93</v>
      </c>
      <c r="F127" s="33" t="n">
        <f aca="false">'Building 20'!D30</f>
        <v>9440.93</v>
      </c>
    </row>
    <row r="128" customFormat="false" ht="15" hidden="false" customHeight="false" outlineLevel="0" collapsed="false">
      <c r="B128" s="5" t="str">
        <f aca="false">'Building 20'!B31</f>
        <v>9-Northview Dr - 27.5 Year</v>
      </c>
      <c r="D128" s="33" t="n">
        <f aca="false">SUM(F128:H128)</f>
        <v>41584.44</v>
      </c>
      <c r="H128" s="33" t="n">
        <f aca="false">'Building 20'!D31</f>
        <v>41584.44</v>
      </c>
    </row>
    <row r="129" customFormat="false" ht="15" hidden="false" customHeight="false" outlineLevel="0" collapsed="false">
      <c r="B129" s="11" t="s">
        <v>139</v>
      </c>
      <c r="D129" s="34" t="n">
        <f aca="false">SUM(D117:D128)</f>
        <v>351927.67</v>
      </c>
      <c r="F129" s="34" t="n">
        <f aca="false">SUM(F117:F128)</f>
        <v>65115.14</v>
      </c>
      <c r="H129" s="34" t="n">
        <f aca="false">SUM(H117:H128)</f>
        <v>286812.53</v>
      </c>
    </row>
    <row r="130" customFormat="false" ht="15" hidden="false" customHeight="false" outlineLevel="0" collapsed="false">
      <c r="B130" s="16" t="s">
        <v>140</v>
      </c>
      <c r="D130" s="17" t="n">
        <f aca="false">D129-D112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194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27290.76</v>
      </c>
      <c r="E10" s="24" t="n">
        <v>0</v>
      </c>
      <c r="F10" s="24" t="n">
        <v>0</v>
      </c>
      <c r="G10" s="24" t="n">
        <v>0</v>
      </c>
      <c r="H10" s="24" t="n">
        <v>454.85</v>
      </c>
      <c r="I10" s="24" t="n">
        <f aca="false">G10+H10</f>
        <v>454.85</v>
      </c>
      <c r="J10" s="24" t="n">
        <f aca="false">D10-I10</f>
        <v>26835.91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3521.38</v>
      </c>
      <c r="E11" s="24" t="n">
        <v>0</v>
      </c>
      <c r="F11" s="24" t="n">
        <v>2112.83</v>
      </c>
      <c r="G11" s="24" t="n">
        <v>0</v>
      </c>
      <c r="H11" s="24" t="n">
        <v>2159.79</v>
      </c>
      <c r="I11" s="24" t="n">
        <f aca="false">G11+H11</f>
        <v>2159.79</v>
      </c>
      <c r="J11" s="24" t="n">
        <f aca="false">D11-I11</f>
        <v>1361.59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6602.61</v>
      </c>
      <c r="E12" s="24" t="n">
        <v>0</v>
      </c>
      <c r="F12" s="24" t="n">
        <v>3961.57</v>
      </c>
      <c r="G12" s="24" t="n">
        <v>0</v>
      </c>
      <c r="H12" s="24" t="n">
        <v>4489.77</v>
      </c>
      <c r="I12" s="24" t="n">
        <f aca="false">G12+H12</f>
        <v>4489.77</v>
      </c>
      <c r="J12" s="24" t="n">
        <f aca="false">D12-I12</f>
        <v>2112.84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125684.23</v>
      </c>
      <c r="E13" s="24" t="n">
        <v>0</v>
      </c>
      <c r="F13" s="24" t="n">
        <v>0</v>
      </c>
      <c r="G13" s="24" t="n">
        <v>0</v>
      </c>
      <c r="H13" s="24" t="n">
        <v>2094.73</v>
      </c>
      <c r="I13" s="24" t="n">
        <f aca="false">G13+H13</f>
        <v>2094.73</v>
      </c>
      <c r="J13" s="24" t="n">
        <f aca="false">D13-I13</f>
        <v>123589.5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16217.32</v>
      </c>
      <c r="E14" s="24" t="n">
        <v>0</v>
      </c>
      <c r="F14" s="24" t="n">
        <v>9730.39</v>
      </c>
      <c r="G14" s="24" t="n">
        <v>0</v>
      </c>
      <c r="H14" s="24" t="n">
        <v>9946.62</v>
      </c>
      <c r="I14" s="24" t="n">
        <f aca="false">G14+H14</f>
        <v>9946.62</v>
      </c>
      <c r="J14" s="24" t="n">
        <f aca="false">D14-I14</f>
        <v>6270.7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30407.48</v>
      </c>
      <c r="E15" s="24" t="n">
        <v>0</v>
      </c>
      <c r="F15" s="24" t="n">
        <v>18244.49</v>
      </c>
      <c r="G15" s="24" t="n">
        <v>0</v>
      </c>
      <c r="H15" s="24" t="n">
        <v>20677.09</v>
      </c>
      <c r="I15" s="24" t="n">
        <f aca="false">G15+H15</f>
        <v>20677.09</v>
      </c>
      <c r="J15" s="24" t="n">
        <f aca="false">D15-I15</f>
        <v>9730.39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209723.78</v>
      </c>
      <c r="E16" s="28" t="n">
        <f aca="false">SUM(E10:E15)</f>
        <v>0</v>
      </c>
      <c r="F16" s="28" t="n">
        <f aca="false">SUM(F10:F15)</f>
        <v>34049.28</v>
      </c>
      <c r="G16" s="28" t="n">
        <f aca="false">SUM(G10:G15)</f>
        <v>0</v>
      </c>
      <c r="H16" s="28" t="n">
        <f aca="false">SUM(H10:H15)</f>
        <v>39822.85</v>
      </c>
      <c r="I16" s="28" t="n">
        <f aca="false">SUM(I10:I15)</f>
        <v>39822.85</v>
      </c>
      <c r="J16" s="28" t="n">
        <f aca="false">SUM(J10:J15)</f>
        <v>169900.93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5001.64</v>
      </c>
      <c r="E20" s="24" t="n">
        <v>0</v>
      </c>
      <c r="F20" s="24" t="n">
        <v>3000.98</v>
      </c>
      <c r="G20" s="24" t="n">
        <v>0</v>
      </c>
      <c r="H20" s="24" t="n">
        <v>3401.11</v>
      </c>
      <c r="I20" s="24" t="n">
        <f aca="false">G20+H20</f>
        <v>3401.11</v>
      </c>
      <c r="J20" s="24" t="n">
        <f aca="false">D20-I20</f>
        <v>1600.53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22289.12</v>
      </c>
      <c r="E21" s="24" t="n">
        <v>0</v>
      </c>
      <c r="F21" s="24" t="n">
        <v>0</v>
      </c>
      <c r="G21" s="24" t="n">
        <v>0</v>
      </c>
      <c r="H21" s="24" t="n">
        <v>371.49</v>
      </c>
      <c r="I21" s="24" t="n">
        <f aca="false">G21+H21</f>
        <v>371.49</v>
      </c>
      <c r="J21" s="24" t="n">
        <f aca="false">D21-I21</f>
        <v>21917.63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645.37</v>
      </c>
      <c r="E22" s="24" t="n">
        <v>0</v>
      </c>
      <c r="F22" s="24" t="n">
        <v>387.22</v>
      </c>
      <c r="G22" s="24" t="n">
        <v>0</v>
      </c>
      <c r="H22" s="24" t="n">
        <v>438.85</v>
      </c>
      <c r="I22" s="24" t="n">
        <f aca="false">G22+H22</f>
        <v>438.85</v>
      </c>
      <c r="J22" s="24" t="n">
        <f aca="false">D22-I22</f>
        <v>206.52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2876.01</v>
      </c>
      <c r="E23" s="24" t="n">
        <v>0</v>
      </c>
      <c r="F23" s="24" t="n">
        <v>0</v>
      </c>
      <c r="G23" s="24" t="n">
        <v>0</v>
      </c>
      <c r="H23" s="24" t="n">
        <v>47.93</v>
      </c>
      <c r="I23" s="24" t="n">
        <f aca="false">G23+H23</f>
        <v>47.93</v>
      </c>
      <c r="J23" s="24" t="n">
        <f aca="false">D23-I23</f>
        <v>2828.08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1210.08</v>
      </c>
      <c r="E24" s="24" t="n">
        <v>0</v>
      </c>
      <c r="F24" s="24" t="n">
        <v>726.05</v>
      </c>
      <c r="G24" s="24" t="n">
        <v>0</v>
      </c>
      <c r="H24" s="24" t="n">
        <v>822.86</v>
      </c>
      <c r="I24" s="24" t="n">
        <f aca="false">G24+H24</f>
        <v>822.86</v>
      </c>
      <c r="J24" s="24" t="n">
        <f aca="false">D24-I24</f>
        <v>387.22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5392.53</v>
      </c>
      <c r="E25" s="24" t="n">
        <v>0</v>
      </c>
      <c r="F25" s="24" t="n">
        <v>0</v>
      </c>
      <c r="G25" s="24" t="n">
        <v>0</v>
      </c>
      <c r="H25" s="24" t="n">
        <v>89.88</v>
      </c>
      <c r="I25" s="24" t="n">
        <f aca="false">G25+H25</f>
        <v>89.88</v>
      </c>
      <c r="J25" s="24" t="n">
        <f aca="false">D25-I25</f>
        <v>5302.65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23034.43</v>
      </c>
      <c r="E26" s="24" t="n">
        <v>0</v>
      </c>
      <c r="F26" s="24" t="n">
        <v>13820.66</v>
      </c>
      <c r="G26" s="24" t="n">
        <v>0</v>
      </c>
      <c r="H26" s="24" t="n">
        <v>15663.41</v>
      </c>
      <c r="I26" s="24" t="n">
        <f aca="false">G26+H26</f>
        <v>15663.41</v>
      </c>
      <c r="J26" s="24" t="n">
        <f aca="false">D26-I26</f>
        <v>7371.02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102649.8</v>
      </c>
      <c r="E27" s="24" t="n">
        <v>0</v>
      </c>
      <c r="F27" s="24" t="n">
        <v>0</v>
      </c>
      <c r="G27" s="24" t="n">
        <v>0</v>
      </c>
      <c r="H27" s="24" t="n">
        <v>1710.83</v>
      </c>
      <c r="I27" s="24" t="n">
        <f aca="false">G27+H27</f>
        <v>1710.83</v>
      </c>
      <c r="J27" s="24" t="n">
        <f aca="false">D27-I27</f>
        <v>100938.97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2972.18</v>
      </c>
      <c r="E28" s="24" t="n">
        <v>0</v>
      </c>
      <c r="F28" s="24" t="n">
        <v>1783.31</v>
      </c>
      <c r="G28" s="24" t="n">
        <v>0</v>
      </c>
      <c r="H28" s="24" t="n">
        <v>2021.08</v>
      </c>
      <c r="I28" s="24" t="n">
        <f aca="false">G28+H28</f>
        <v>2021.08</v>
      </c>
      <c r="J28" s="24" t="n">
        <f aca="false">D28-I28</f>
        <v>951.1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13245.14</v>
      </c>
      <c r="E29" s="24" t="n">
        <v>0</v>
      </c>
      <c r="F29" s="24" t="n">
        <v>0</v>
      </c>
      <c r="G29" s="24" t="n">
        <v>0</v>
      </c>
      <c r="H29" s="24" t="n">
        <v>220.75</v>
      </c>
      <c r="I29" s="24" t="n">
        <f aca="false">G29+H29</f>
        <v>220.75</v>
      </c>
      <c r="J29" s="24" t="n">
        <f aca="false">D29-I29</f>
        <v>13024.39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5572.85</v>
      </c>
      <c r="E30" s="24" t="n">
        <v>0</v>
      </c>
      <c r="F30" s="24" t="n">
        <v>3343.71</v>
      </c>
      <c r="G30" s="24" t="n">
        <v>0</v>
      </c>
      <c r="H30" s="24" t="n">
        <v>3789.54</v>
      </c>
      <c r="I30" s="24" t="n">
        <f aca="false">G30+H30</f>
        <v>3789.54</v>
      </c>
      <c r="J30" s="24" t="n">
        <f aca="false">D30-I30</f>
        <v>1783.31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24834.63</v>
      </c>
      <c r="E31" s="24" t="n">
        <v>0</v>
      </c>
      <c r="F31" s="24" t="n">
        <v>0</v>
      </c>
      <c r="G31" s="24" t="n">
        <v>0</v>
      </c>
      <c r="H31" s="24" t="n">
        <v>413.91</v>
      </c>
      <c r="I31" s="24" t="n">
        <f aca="false">G31+H31</f>
        <v>413.91</v>
      </c>
      <c r="J31" s="24" t="n">
        <f aca="false">D31-I31</f>
        <v>24420.72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209723.78</v>
      </c>
      <c r="E32" s="28" t="n">
        <f aca="false">SUM(E20:E31)</f>
        <v>0</v>
      </c>
      <c r="F32" s="28" t="n">
        <f aca="false">SUM(F20:F31)</f>
        <v>23061.93</v>
      </c>
      <c r="G32" s="28" t="n">
        <f aca="false">SUM(G20:G31)</f>
        <v>0</v>
      </c>
      <c r="H32" s="28" t="n">
        <f aca="false">SUM(H20:H31)</f>
        <v>28991.64</v>
      </c>
      <c r="I32" s="28" t="n">
        <f aca="false">SUM(I20:I31)</f>
        <v>28991.64</v>
      </c>
      <c r="J32" s="28" t="n">
        <f aca="false">SUM(J20:J31)</f>
        <v>180732.14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39822.85</v>
      </c>
    </row>
    <row r="36" customFormat="false" ht="15" hidden="false" customHeight="false" outlineLevel="0" collapsed="false">
      <c r="B36" s="5" t="s">
        <v>97</v>
      </c>
      <c r="D36" s="6" t="n">
        <f aca="false">I32</f>
        <v>28991.64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10831.21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27290.76</v>
      </c>
      <c r="E42" s="24" t="n">
        <v>0</v>
      </c>
      <c r="F42" s="24" t="n">
        <v>0</v>
      </c>
      <c r="G42" s="24" t="n">
        <v>0</v>
      </c>
      <c r="H42" s="24" t="n">
        <v>454.85</v>
      </c>
      <c r="I42" s="24" t="n">
        <f aca="false">G42+H42</f>
        <v>454.85</v>
      </c>
      <c r="J42" s="24" t="n">
        <f aca="false">D42-I42</f>
        <v>26835.91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3521.38</v>
      </c>
      <c r="E43" s="24" t="n">
        <v>0</v>
      </c>
      <c r="F43" s="24" t="n">
        <v>2112.83</v>
      </c>
      <c r="G43" s="24" t="n">
        <v>0</v>
      </c>
      <c r="H43" s="24" t="n">
        <v>2159.79</v>
      </c>
      <c r="I43" s="24" t="n">
        <f aca="false">G43+H43</f>
        <v>2159.79</v>
      </c>
      <c r="J43" s="24" t="n">
        <f aca="false">D43-I43</f>
        <v>1361.59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6602.61</v>
      </c>
      <c r="E44" s="24" t="n">
        <v>0</v>
      </c>
      <c r="F44" s="24" t="n">
        <v>3961.57</v>
      </c>
      <c r="G44" s="24" t="n">
        <v>0</v>
      </c>
      <c r="H44" s="24" t="n">
        <v>4489.77</v>
      </c>
      <c r="I44" s="24" t="n">
        <f aca="false">G44+H44</f>
        <v>4489.77</v>
      </c>
      <c r="J44" s="24" t="n">
        <f aca="false">D44-I44</f>
        <v>2112.84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125684.23</v>
      </c>
      <c r="E45" s="24" t="n">
        <v>0</v>
      </c>
      <c r="F45" s="24" t="n">
        <v>0</v>
      </c>
      <c r="G45" s="24" t="n">
        <v>0</v>
      </c>
      <c r="H45" s="24" t="n">
        <v>2094.73</v>
      </c>
      <c r="I45" s="24" t="n">
        <f aca="false">G45+H45</f>
        <v>2094.73</v>
      </c>
      <c r="J45" s="24" t="n">
        <f aca="false">D45-I45</f>
        <v>123589.5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16217.32</v>
      </c>
      <c r="E46" s="24" t="n">
        <v>0</v>
      </c>
      <c r="F46" s="24" t="n">
        <v>9730.39</v>
      </c>
      <c r="G46" s="24" t="n">
        <v>0</v>
      </c>
      <c r="H46" s="24" t="n">
        <v>9946.62</v>
      </c>
      <c r="I46" s="24" t="n">
        <f aca="false">G46+H46</f>
        <v>9946.62</v>
      </c>
      <c r="J46" s="24" t="n">
        <f aca="false">D46-I46</f>
        <v>6270.7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30407.48</v>
      </c>
      <c r="E47" s="24" t="n">
        <v>0</v>
      </c>
      <c r="F47" s="24" t="n">
        <v>18244.49</v>
      </c>
      <c r="G47" s="24" t="n">
        <v>0</v>
      </c>
      <c r="H47" s="24" t="n">
        <v>20677.09</v>
      </c>
      <c r="I47" s="24" t="n">
        <f aca="false">G47+H47</f>
        <v>20677.09</v>
      </c>
      <c r="J47" s="24" t="n">
        <f aca="false">D47-I47</f>
        <v>9730.39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209723.78</v>
      </c>
      <c r="E48" s="28" t="n">
        <f aca="false">SUM(E42:E47)</f>
        <v>0</v>
      </c>
      <c r="F48" s="28" t="n">
        <f aca="false">SUM(F42:F47)</f>
        <v>34049.28</v>
      </c>
      <c r="G48" s="28" t="n">
        <f aca="false">SUM(G42:G47)</f>
        <v>0</v>
      </c>
      <c r="H48" s="28" t="n">
        <f aca="false">SUM(H42:H47)</f>
        <v>39822.85</v>
      </c>
      <c r="I48" s="28" t="n">
        <f aca="false">SUM(I42:I47)</f>
        <v>39822.85</v>
      </c>
      <c r="J48" s="28" t="n">
        <f aca="false">SUM(J42:J47)</f>
        <v>169900.93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5001.64</v>
      </c>
      <c r="E52" s="24" t="n">
        <v>0</v>
      </c>
      <c r="F52" s="24" t="n">
        <v>3000.98</v>
      </c>
      <c r="G52" s="24" t="n">
        <v>0</v>
      </c>
      <c r="H52" s="24" t="n">
        <v>3401.11</v>
      </c>
      <c r="I52" s="24" t="n">
        <f aca="false">G52+H52</f>
        <v>3401.11</v>
      </c>
      <c r="J52" s="24" t="n">
        <f aca="false">D52-I52</f>
        <v>1600.53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22289.12</v>
      </c>
      <c r="E53" s="24" t="n">
        <v>0</v>
      </c>
      <c r="F53" s="24" t="n">
        <v>0</v>
      </c>
      <c r="G53" s="24" t="n">
        <v>0</v>
      </c>
      <c r="H53" s="24" t="n">
        <v>371.49</v>
      </c>
      <c r="I53" s="24" t="n">
        <f aca="false">G53+H53</f>
        <v>371.49</v>
      </c>
      <c r="J53" s="24" t="n">
        <f aca="false">D53-I53</f>
        <v>21917.63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645.37</v>
      </c>
      <c r="E54" s="24" t="n">
        <v>0</v>
      </c>
      <c r="F54" s="24" t="n">
        <v>387.22</v>
      </c>
      <c r="G54" s="24" t="n">
        <v>0</v>
      </c>
      <c r="H54" s="24" t="n">
        <v>438.85</v>
      </c>
      <c r="I54" s="24" t="n">
        <f aca="false">G54+H54</f>
        <v>438.85</v>
      </c>
      <c r="J54" s="24" t="n">
        <f aca="false">D54-I54</f>
        <v>206.52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2876.01</v>
      </c>
      <c r="E55" s="24" t="n">
        <v>0</v>
      </c>
      <c r="F55" s="24" t="n">
        <v>0</v>
      </c>
      <c r="G55" s="24" t="n">
        <v>0</v>
      </c>
      <c r="H55" s="24" t="n">
        <v>47.93</v>
      </c>
      <c r="I55" s="24" t="n">
        <f aca="false">G55+H55</f>
        <v>47.93</v>
      </c>
      <c r="J55" s="24" t="n">
        <f aca="false">D55-I55</f>
        <v>2828.08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1210.08</v>
      </c>
      <c r="E56" s="24" t="n">
        <v>0</v>
      </c>
      <c r="F56" s="24" t="n">
        <v>726.05</v>
      </c>
      <c r="G56" s="24" t="n">
        <v>0</v>
      </c>
      <c r="H56" s="24" t="n">
        <v>822.86</v>
      </c>
      <c r="I56" s="24" t="n">
        <f aca="false">G56+H56</f>
        <v>822.86</v>
      </c>
      <c r="J56" s="24" t="n">
        <f aca="false">D56-I56</f>
        <v>387.22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5392.53</v>
      </c>
      <c r="E57" s="24" t="n">
        <v>0</v>
      </c>
      <c r="F57" s="24" t="n">
        <v>0</v>
      </c>
      <c r="G57" s="24" t="n">
        <v>0</v>
      </c>
      <c r="H57" s="24" t="n">
        <v>89.88</v>
      </c>
      <c r="I57" s="24" t="n">
        <f aca="false">G57+H57</f>
        <v>89.88</v>
      </c>
      <c r="J57" s="24" t="n">
        <f aca="false">D57-I57</f>
        <v>5302.65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23034.43</v>
      </c>
      <c r="E58" s="24" t="n">
        <v>0</v>
      </c>
      <c r="F58" s="24" t="n">
        <v>13820.66</v>
      </c>
      <c r="G58" s="24" t="n">
        <v>0</v>
      </c>
      <c r="H58" s="24" t="n">
        <v>15663.41</v>
      </c>
      <c r="I58" s="24" t="n">
        <f aca="false">G58+H58</f>
        <v>15663.41</v>
      </c>
      <c r="J58" s="24" t="n">
        <f aca="false">D58-I58</f>
        <v>7371.02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102649.8</v>
      </c>
      <c r="E59" s="24" t="n">
        <v>0</v>
      </c>
      <c r="F59" s="24" t="n">
        <v>0</v>
      </c>
      <c r="G59" s="24" t="n">
        <v>0</v>
      </c>
      <c r="H59" s="24" t="n">
        <v>1710.83</v>
      </c>
      <c r="I59" s="24" t="n">
        <f aca="false">G59+H59</f>
        <v>1710.83</v>
      </c>
      <c r="J59" s="24" t="n">
        <f aca="false">D59-I59</f>
        <v>100938.97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2972.18</v>
      </c>
      <c r="E60" s="24" t="n">
        <v>0</v>
      </c>
      <c r="F60" s="24" t="n">
        <v>1783.31</v>
      </c>
      <c r="G60" s="24" t="n">
        <v>0</v>
      </c>
      <c r="H60" s="24" t="n">
        <v>2021.08</v>
      </c>
      <c r="I60" s="24" t="n">
        <f aca="false">G60+H60</f>
        <v>2021.08</v>
      </c>
      <c r="J60" s="24" t="n">
        <f aca="false">D60-I60</f>
        <v>951.1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13245.14</v>
      </c>
      <c r="E61" s="24" t="n">
        <v>0</v>
      </c>
      <c r="F61" s="24" t="n">
        <v>0</v>
      </c>
      <c r="G61" s="24" t="n">
        <v>0</v>
      </c>
      <c r="H61" s="24" t="n">
        <v>220.75</v>
      </c>
      <c r="I61" s="24" t="n">
        <f aca="false">G61+H61</f>
        <v>220.75</v>
      </c>
      <c r="J61" s="24" t="n">
        <f aca="false">D61-I61</f>
        <v>13024.39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5572.85</v>
      </c>
      <c r="E62" s="24" t="n">
        <v>0</v>
      </c>
      <c r="F62" s="24" t="n">
        <v>3343.71</v>
      </c>
      <c r="G62" s="24" t="n">
        <v>0</v>
      </c>
      <c r="H62" s="24" t="n">
        <v>3789.54</v>
      </c>
      <c r="I62" s="24" t="n">
        <f aca="false">G62+H62</f>
        <v>3789.54</v>
      </c>
      <c r="J62" s="24" t="n">
        <f aca="false">D62-I62</f>
        <v>1783.31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24834.63</v>
      </c>
      <c r="E63" s="24" t="n">
        <v>0</v>
      </c>
      <c r="F63" s="24" t="n">
        <v>0</v>
      </c>
      <c r="G63" s="24" t="n">
        <v>0</v>
      </c>
      <c r="H63" s="24" t="n">
        <v>413.91</v>
      </c>
      <c r="I63" s="24" t="n">
        <f aca="false">G63+H63</f>
        <v>413.91</v>
      </c>
      <c r="J63" s="24" t="n">
        <f aca="false">D63-I63</f>
        <v>24420.72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209723.78</v>
      </c>
      <c r="E64" s="28" t="n">
        <f aca="false">SUM(E52:E63)</f>
        <v>0</v>
      </c>
      <c r="F64" s="28" t="n">
        <f aca="false">SUM(F52:F63)</f>
        <v>23061.93</v>
      </c>
      <c r="G64" s="28" t="n">
        <f aca="false">SUM(G52:G63)</f>
        <v>0</v>
      </c>
      <c r="H64" s="28" t="n">
        <f aca="false">SUM(H52:H63)</f>
        <v>28991.64</v>
      </c>
      <c r="I64" s="28" t="n">
        <f aca="false">SUM(I52:I63)</f>
        <v>28991.64</v>
      </c>
      <c r="J64" s="28" t="n">
        <f aca="false">SUM(J52:J63)</f>
        <v>180732.14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39822.85</v>
      </c>
    </row>
    <row r="68" customFormat="false" ht="15" hidden="false" customHeight="false" outlineLevel="0" collapsed="false">
      <c r="B68" s="5" t="s">
        <v>97</v>
      </c>
      <c r="D68" s="6" t="n">
        <f aca="false">I64</f>
        <v>28991.64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10831.21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D110</f>
        <v>209723.78</v>
      </c>
    </row>
    <row r="73" customFormat="false" ht="15" hidden="false" customHeight="false" outlineLevel="0" collapsed="false">
      <c r="B73" s="5" t="s">
        <v>106</v>
      </c>
      <c r="D73" s="6" t="n">
        <f aca="false">F110</f>
        <v>38436.55</v>
      </c>
    </row>
    <row r="74" customFormat="false" ht="15" hidden="false" customHeight="false" outlineLevel="0" collapsed="false">
      <c r="B74" s="30" t="s">
        <v>107</v>
      </c>
      <c r="D74" s="31" t="n">
        <f aca="false">F111</f>
        <v>0.183272254581717</v>
      </c>
    </row>
    <row r="75" customFormat="false" ht="15" hidden="false" customHeight="false" outlineLevel="0" collapsed="false">
      <c r="B75" s="5" t="s">
        <v>109</v>
      </c>
      <c r="D75" s="6" t="n">
        <f aca="false">H110</f>
        <v>171287.23</v>
      </c>
    </row>
    <row r="76" customFormat="false" ht="15" hidden="false" customHeight="false" outlineLevel="0" collapsed="false">
      <c r="B76" s="30" t="s">
        <v>107</v>
      </c>
      <c r="D76" s="31" t="n">
        <f aca="false">H111</f>
        <v>0.816727745418283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8655.83</v>
      </c>
      <c r="F81" s="33" t="n">
        <v>8655.83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3397.22</v>
      </c>
      <c r="F82" s="33" t="n">
        <v>3397.22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12211.66</v>
      </c>
      <c r="F83" s="33" t="n">
        <v>12211.66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2823.29</v>
      </c>
      <c r="F84" s="33" t="n">
        <v>2823.29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90.34</v>
      </c>
      <c r="F85" s="33" t="n">
        <v>90.34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1794.05</v>
      </c>
      <c r="F86" s="33" t="n">
        <v>1794.05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1507.56</v>
      </c>
      <c r="F87" s="33" t="n">
        <v>1507.56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3281.59</v>
      </c>
      <c r="F88" s="33" t="n">
        <v>3281.59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1386.19</v>
      </c>
      <c r="F89" s="33" t="n">
        <v>1386.19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53.16</v>
      </c>
      <c r="F90" s="33" t="n">
        <v>53.16</v>
      </c>
    </row>
    <row r="91" customFormat="false" ht="15" hidden="false" customHeight="false" outlineLevel="0" collapsed="false">
      <c r="B91" s="5" t="s">
        <v>154</v>
      </c>
      <c r="D91" s="33" t="n">
        <f aca="false">SUM(F91:H91)</f>
        <v>404.54</v>
      </c>
      <c r="F91" s="33" t="n">
        <v>404.54</v>
      </c>
    </row>
    <row r="92" customFormat="false" ht="15" hidden="false" customHeight="false" outlineLevel="0" collapsed="false">
      <c r="B92" s="5" t="s">
        <v>155</v>
      </c>
      <c r="D92" s="33" t="n">
        <f aca="false">SUM(F92:H92)</f>
        <v>2831.12</v>
      </c>
      <c r="F92" s="33" t="n">
        <v>2831.12</v>
      </c>
    </row>
    <row r="93" customFormat="false" ht="15" hidden="false" customHeight="false" outlineLevel="0" collapsed="false">
      <c r="B93" s="32" t="s">
        <v>135</v>
      </c>
    </row>
    <row r="94" customFormat="false" ht="15" hidden="false" customHeight="false" outlineLevel="0" collapsed="false">
      <c r="B94" s="5" t="s">
        <v>156</v>
      </c>
      <c r="D94" s="33" t="n">
        <f aca="false">SUM(F94:H94)</f>
        <v>9211.22</v>
      </c>
      <c r="H94" s="33" t="n">
        <v>9211.22</v>
      </c>
    </row>
    <row r="95" customFormat="false" ht="15" hidden="false" customHeight="false" outlineLevel="0" collapsed="false">
      <c r="B95" s="5" t="s">
        <v>157</v>
      </c>
      <c r="D95" s="33" t="n">
        <f aca="false">SUM(F95:H95)</f>
        <v>11470.72</v>
      </c>
      <c r="H95" s="33" t="n">
        <v>11470.72</v>
      </c>
    </row>
    <row r="96" customFormat="false" ht="15" hidden="false" customHeight="false" outlineLevel="0" collapsed="false">
      <c r="B96" s="5" t="s">
        <v>158</v>
      </c>
      <c r="D96" s="33" t="n">
        <f aca="false">SUM(F96:H96)</f>
        <v>16969.73</v>
      </c>
      <c r="H96" s="33" t="n">
        <v>16969.73</v>
      </c>
    </row>
    <row r="97" customFormat="false" ht="15" hidden="false" customHeight="false" outlineLevel="0" collapsed="false">
      <c r="B97" s="5" t="s">
        <v>159</v>
      </c>
      <c r="D97" s="33" t="n">
        <f aca="false">SUM(F97:H97)</f>
        <v>18340.3</v>
      </c>
      <c r="H97" s="33" t="n">
        <v>18340.3</v>
      </c>
    </row>
    <row r="98" customFormat="false" ht="15" hidden="false" customHeight="false" outlineLevel="0" collapsed="false">
      <c r="B98" s="5" t="s">
        <v>160</v>
      </c>
      <c r="D98" s="33" t="n">
        <f aca="false">SUM(F98:H98)</f>
        <v>14751.7</v>
      </c>
      <c r="H98" s="33" t="n">
        <v>14751.7</v>
      </c>
    </row>
    <row r="99" customFormat="false" ht="15" hidden="false" customHeight="false" outlineLevel="0" collapsed="false">
      <c r="B99" s="5" t="s">
        <v>161</v>
      </c>
      <c r="D99" s="33" t="n">
        <f aca="false">SUM(F99:H99)</f>
        <v>1388.53</v>
      </c>
      <c r="H99" s="33" t="n">
        <v>1388.53</v>
      </c>
    </row>
    <row r="100" customFormat="false" ht="15" hidden="false" customHeight="false" outlineLevel="0" collapsed="false">
      <c r="B100" s="5" t="s">
        <v>162</v>
      </c>
      <c r="D100" s="33" t="n">
        <f aca="false">SUM(F100:H100)</f>
        <v>7649.12</v>
      </c>
      <c r="H100" s="33" t="n">
        <v>7649.12</v>
      </c>
    </row>
    <row r="101" customFormat="false" ht="15" hidden="false" customHeight="false" outlineLevel="0" collapsed="false">
      <c r="B101" s="5" t="s">
        <v>163</v>
      </c>
      <c r="D101" s="33" t="n">
        <f aca="false">SUM(F101:H101)</f>
        <v>11108.31</v>
      </c>
      <c r="H101" s="33" t="n">
        <v>11108.31</v>
      </c>
    </row>
    <row r="102" customFormat="false" ht="15" hidden="false" customHeight="false" outlineLevel="0" collapsed="false">
      <c r="B102" s="5" t="s">
        <v>164</v>
      </c>
      <c r="D102" s="33" t="n">
        <f aca="false">SUM(F102:H102)</f>
        <v>5556.95</v>
      </c>
      <c r="H102" s="33" t="n">
        <v>5556.95</v>
      </c>
    </row>
    <row r="103" customFormat="false" ht="15" hidden="false" customHeight="false" outlineLevel="0" collapsed="false">
      <c r="B103" s="5" t="s">
        <v>165</v>
      </c>
      <c r="D103" s="33" t="n">
        <f aca="false">SUM(F103:H103)</f>
        <v>7805.36</v>
      </c>
      <c r="H103" s="33" t="n">
        <v>7805.36</v>
      </c>
    </row>
    <row r="104" customFormat="false" ht="15" hidden="false" customHeight="false" outlineLevel="0" collapsed="false">
      <c r="B104" s="5" t="s">
        <v>166</v>
      </c>
      <c r="D104" s="33" t="n">
        <f aca="false">SUM(F104:H104)</f>
        <v>21030.97</v>
      </c>
      <c r="H104" s="33" t="n">
        <v>21030.97</v>
      </c>
    </row>
    <row r="105" customFormat="false" ht="15" hidden="false" customHeight="false" outlineLevel="0" collapsed="false">
      <c r="B105" s="5" t="s">
        <v>167</v>
      </c>
      <c r="D105" s="33" t="n">
        <f aca="false">SUM(F105:H105)</f>
        <v>9062.11</v>
      </c>
      <c r="H105" s="33" t="n">
        <v>9062.11</v>
      </c>
    </row>
    <row r="106" customFormat="false" ht="15" hidden="false" customHeight="false" outlineLevel="0" collapsed="false">
      <c r="B106" s="5" t="s">
        <v>168</v>
      </c>
      <c r="D106" s="33" t="n">
        <f aca="false">SUM(F106:H106)</f>
        <v>1169.97</v>
      </c>
      <c r="H106" s="33" t="n">
        <v>1169.97</v>
      </c>
    </row>
    <row r="107" customFormat="false" ht="15" hidden="false" customHeight="false" outlineLevel="0" collapsed="false">
      <c r="B107" s="5" t="s">
        <v>169</v>
      </c>
      <c r="D107" s="33" t="n">
        <f aca="false">SUM(F107:H107)</f>
        <v>22012.51</v>
      </c>
      <c r="H107" s="33" t="n">
        <v>22012.51</v>
      </c>
    </row>
    <row r="108" customFormat="false" ht="15" hidden="false" customHeight="false" outlineLevel="0" collapsed="false">
      <c r="B108" s="5" t="s">
        <v>170</v>
      </c>
      <c r="D108" s="33" t="n">
        <f aca="false">SUM(F108:H108)</f>
        <v>10783.85</v>
      </c>
      <c r="H108" s="33" t="n">
        <v>10783.85</v>
      </c>
    </row>
    <row r="109" customFormat="false" ht="15" hidden="false" customHeight="false" outlineLevel="0" collapsed="false">
      <c r="B109" s="5" t="s">
        <v>171</v>
      </c>
      <c r="D109" s="33" t="n">
        <f aca="false">SUM(F109:H109)</f>
        <v>2975.88</v>
      </c>
      <c r="H109" s="33" t="n">
        <v>2975.88</v>
      </c>
    </row>
    <row r="110" customFormat="false" ht="15" hidden="false" customHeight="false" outlineLevel="0" collapsed="false">
      <c r="B110" s="11" t="s">
        <v>105</v>
      </c>
      <c r="D110" s="34" t="n">
        <f aca="false">SUM(D80:D109)</f>
        <v>209723.78</v>
      </c>
      <c r="F110" s="34" t="n">
        <f aca="false">SUM(F80:F109)</f>
        <v>38436.55</v>
      </c>
      <c r="H110" s="34" t="n">
        <f aca="false">SUM(H80:H109)</f>
        <v>171287.23</v>
      </c>
    </row>
    <row r="111" customFormat="false" ht="15" hidden="false" customHeight="false" outlineLevel="0" collapsed="false">
      <c r="B111" s="30" t="s">
        <v>107</v>
      </c>
      <c r="F111" s="31" t="n">
        <f aca="false">F110/D110</f>
        <v>0.183272254581717</v>
      </c>
      <c r="H111" s="31" t="n">
        <f aca="false">H110/D110</f>
        <v>0.816727745418283</v>
      </c>
    </row>
    <row r="113" customFormat="false" ht="15" hidden="false" customHeight="false" outlineLevel="0" collapsed="false">
      <c r="A113" s="10" t="s">
        <v>137</v>
      </c>
    </row>
    <row r="114" customFormat="false" ht="15" hidden="false" customHeight="false" outlineLevel="0" collapsed="false">
      <c r="B114" s="4" t="s">
        <v>138</v>
      </c>
      <c r="D114" s="4" t="s">
        <v>79</v>
      </c>
      <c r="F114" s="4" t="s">
        <v>112</v>
      </c>
      <c r="H114" s="4" t="s">
        <v>114</v>
      </c>
    </row>
    <row r="115" customFormat="false" ht="15" hidden="false" customHeight="false" outlineLevel="0" collapsed="false">
      <c r="B115" s="5" t="str">
        <f aca="false">'Building 21'!B20</f>
        <v>2-Building-712 Northfield Dr - 5 Year</v>
      </c>
      <c r="D115" s="33" t="n">
        <f aca="false">SUM(F115:H115)</f>
        <v>5001.64</v>
      </c>
      <c r="F115" s="33" t="n">
        <f aca="false">'Building 21'!D20</f>
        <v>5001.64</v>
      </c>
    </row>
    <row r="116" customFormat="false" ht="15" hidden="false" customHeight="false" outlineLevel="0" collapsed="false">
      <c r="B116" s="5" t="str">
        <f aca="false">'Building 21'!B21</f>
        <v>2-Building-712 Northfield Dr - 27.5 Year</v>
      </c>
      <c r="D116" s="33" t="n">
        <f aca="false">SUM(F116:H116)</f>
        <v>22289.12</v>
      </c>
      <c r="H116" s="33" t="n">
        <f aca="false">'Building 21'!D21</f>
        <v>22289.12</v>
      </c>
    </row>
    <row r="117" customFormat="false" ht="15" hidden="false" customHeight="false" outlineLevel="0" collapsed="false">
      <c r="B117" s="5" t="str">
        <f aca="false">'Building 21'!B22</f>
        <v>3-Northfield Dr - 5 Year</v>
      </c>
      <c r="D117" s="33" t="n">
        <f aca="false">SUM(F117:H117)</f>
        <v>645.37</v>
      </c>
      <c r="F117" s="33" t="n">
        <f aca="false">'Building 21'!D22</f>
        <v>645.37</v>
      </c>
    </row>
    <row r="118" customFormat="false" ht="15" hidden="false" customHeight="false" outlineLevel="0" collapsed="false">
      <c r="B118" s="5" t="str">
        <f aca="false">'Building 21'!B23</f>
        <v>3-Northfield Dr - 27.5 Year</v>
      </c>
      <c r="D118" s="33" t="n">
        <f aca="false">SUM(F118:H118)</f>
        <v>2876.01</v>
      </c>
      <c r="H118" s="33" t="n">
        <f aca="false">'Building 21'!D23</f>
        <v>2876.01</v>
      </c>
    </row>
    <row r="119" customFormat="false" ht="15" hidden="false" customHeight="false" outlineLevel="0" collapsed="false">
      <c r="B119" s="5" t="str">
        <f aca="false">'Building 21'!B24</f>
        <v>4-Northfield Dr - 5 Year</v>
      </c>
      <c r="D119" s="33" t="n">
        <f aca="false">SUM(F119:H119)</f>
        <v>1210.08</v>
      </c>
      <c r="F119" s="33" t="n">
        <f aca="false">'Building 21'!D24</f>
        <v>1210.08</v>
      </c>
    </row>
    <row r="120" customFormat="false" ht="15" hidden="false" customHeight="false" outlineLevel="0" collapsed="false">
      <c r="B120" s="5" t="str">
        <f aca="false">'Building 21'!B25</f>
        <v>4-Northfield Dr - 27.5 Year</v>
      </c>
      <c r="D120" s="33" t="n">
        <f aca="false">SUM(F120:H120)</f>
        <v>5392.53</v>
      </c>
      <c r="H120" s="33" t="n">
        <f aca="false">'Building 21'!D25</f>
        <v>5392.53</v>
      </c>
    </row>
    <row r="121" customFormat="false" ht="15" hidden="false" customHeight="false" outlineLevel="0" collapsed="false">
      <c r="B121" s="5" t="str">
        <f aca="false">'Building 21'!B26</f>
        <v>7-Building-2202 Northview Dr - 5 Year</v>
      </c>
      <c r="D121" s="33" t="n">
        <f aca="false">SUM(F121:H121)</f>
        <v>23034.43</v>
      </c>
      <c r="F121" s="33" t="n">
        <f aca="false">'Building 21'!D26</f>
        <v>23034.43</v>
      </c>
    </row>
    <row r="122" customFormat="false" ht="15" hidden="false" customHeight="false" outlineLevel="0" collapsed="false">
      <c r="B122" s="5" t="str">
        <f aca="false">'Building 21'!B27</f>
        <v>7-Building-2202 Northview Dr - 27.5 Year</v>
      </c>
      <c r="D122" s="33" t="n">
        <f aca="false">SUM(F122:H122)</f>
        <v>102649.8</v>
      </c>
      <c r="H122" s="33" t="n">
        <f aca="false">'Building 21'!D27</f>
        <v>102649.8</v>
      </c>
    </row>
    <row r="123" customFormat="false" ht="15" hidden="false" customHeight="false" outlineLevel="0" collapsed="false">
      <c r="B123" s="5" t="str">
        <f aca="false">'Building 21'!B28</f>
        <v>8-Northiew Dr - 5 Year</v>
      </c>
      <c r="D123" s="33" t="n">
        <f aca="false">SUM(F123:H123)</f>
        <v>2972.18</v>
      </c>
      <c r="F123" s="33" t="n">
        <f aca="false">'Building 21'!D28</f>
        <v>2972.18</v>
      </c>
    </row>
    <row r="124" customFormat="false" ht="15" hidden="false" customHeight="false" outlineLevel="0" collapsed="false">
      <c r="B124" s="5" t="str">
        <f aca="false">'Building 21'!B29</f>
        <v>8-Northiew Dr - 27.5 Year</v>
      </c>
      <c r="D124" s="33" t="n">
        <f aca="false">SUM(F124:H124)</f>
        <v>13245.14</v>
      </c>
      <c r="H124" s="33" t="n">
        <f aca="false">'Building 21'!D29</f>
        <v>13245.14</v>
      </c>
    </row>
    <row r="125" customFormat="false" ht="15" hidden="false" customHeight="false" outlineLevel="0" collapsed="false">
      <c r="B125" s="5" t="str">
        <f aca="false">'Building 21'!B30</f>
        <v>9-Northview Dr - 5 Year</v>
      </c>
      <c r="D125" s="33" t="n">
        <f aca="false">SUM(F125:H125)</f>
        <v>5572.85</v>
      </c>
      <c r="F125" s="33" t="n">
        <f aca="false">'Building 21'!D30</f>
        <v>5572.85</v>
      </c>
    </row>
    <row r="126" customFormat="false" ht="15" hidden="false" customHeight="false" outlineLevel="0" collapsed="false">
      <c r="B126" s="5" t="str">
        <f aca="false">'Building 21'!B31</f>
        <v>9-Northview Dr - 27.5 Year</v>
      </c>
      <c r="D126" s="33" t="n">
        <f aca="false">SUM(F126:H126)</f>
        <v>24834.63</v>
      </c>
      <c r="H126" s="33" t="n">
        <f aca="false">'Building 21'!D31</f>
        <v>24834.63</v>
      </c>
    </row>
    <row r="127" customFormat="false" ht="15" hidden="false" customHeight="false" outlineLevel="0" collapsed="false">
      <c r="B127" s="11" t="s">
        <v>139</v>
      </c>
      <c r="D127" s="34" t="n">
        <f aca="false">SUM(D115:D126)</f>
        <v>209723.78</v>
      </c>
      <c r="F127" s="34" t="n">
        <f aca="false">SUM(F115:F126)</f>
        <v>38436.55</v>
      </c>
      <c r="H127" s="34" t="n">
        <f aca="false">SUM(H115:H126)</f>
        <v>171287.23</v>
      </c>
    </row>
    <row r="128" customFormat="false" ht="15" hidden="false" customHeight="false" outlineLevel="0" collapsed="false">
      <c r="B128" s="16" t="s">
        <v>140</v>
      </c>
      <c r="D128" s="17" t="n">
        <f aca="false">D127-D110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195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34211.45</v>
      </c>
      <c r="E10" s="24" t="n">
        <v>0</v>
      </c>
      <c r="F10" s="24" t="n">
        <v>0</v>
      </c>
      <c r="G10" s="24" t="n">
        <v>0</v>
      </c>
      <c r="H10" s="24" t="n">
        <v>570.2</v>
      </c>
      <c r="I10" s="24" t="n">
        <f aca="false">G10+H10</f>
        <v>570.2</v>
      </c>
      <c r="J10" s="24" t="n">
        <f aca="false">D10-I10</f>
        <v>33641.25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4414.37</v>
      </c>
      <c r="E11" s="24" t="n">
        <v>0</v>
      </c>
      <c r="F11" s="24" t="n">
        <v>2648.62</v>
      </c>
      <c r="G11" s="24" t="n">
        <v>0</v>
      </c>
      <c r="H11" s="24" t="n">
        <v>2707.5</v>
      </c>
      <c r="I11" s="24" t="n">
        <f aca="false">G11+H11</f>
        <v>2707.5</v>
      </c>
      <c r="J11" s="24" t="n">
        <f aca="false">D11-I11</f>
        <v>1706.87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8276.98</v>
      </c>
      <c r="E12" s="24" t="n">
        <v>0</v>
      </c>
      <c r="F12" s="24" t="n">
        <v>4966.19</v>
      </c>
      <c r="G12" s="24" t="n">
        <v>0</v>
      </c>
      <c r="H12" s="24" t="n">
        <v>5628.34</v>
      </c>
      <c r="I12" s="24" t="n">
        <f aca="false">G12+H12</f>
        <v>5628.34</v>
      </c>
      <c r="J12" s="24" t="n">
        <f aca="false">D12-I12</f>
        <v>2648.64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157556.61</v>
      </c>
      <c r="E13" s="24" t="n">
        <v>0</v>
      </c>
      <c r="F13" s="24" t="n">
        <v>0</v>
      </c>
      <c r="G13" s="24" t="n">
        <v>0</v>
      </c>
      <c r="H13" s="24" t="n">
        <v>2625.94</v>
      </c>
      <c r="I13" s="24" t="n">
        <f aca="false">G13+H13</f>
        <v>2625.94</v>
      </c>
      <c r="J13" s="24" t="n">
        <f aca="false">D13-I13</f>
        <v>154930.67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20329.88</v>
      </c>
      <c r="E14" s="24" t="n">
        <v>0</v>
      </c>
      <c r="F14" s="24" t="n">
        <v>12197.93</v>
      </c>
      <c r="G14" s="24" t="n">
        <v>0</v>
      </c>
      <c r="H14" s="24" t="n">
        <v>12468.99</v>
      </c>
      <c r="I14" s="24" t="n">
        <f aca="false">G14+H14</f>
        <v>12468.99</v>
      </c>
      <c r="J14" s="24" t="n">
        <f aca="false">D14-I14</f>
        <v>7860.89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38118.54</v>
      </c>
      <c r="E15" s="24" t="n">
        <v>0</v>
      </c>
      <c r="F15" s="24" t="n">
        <v>22871.12</v>
      </c>
      <c r="G15" s="24" t="n">
        <v>0</v>
      </c>
      <c r="H15" s="24" t="n">
        <v>25920.61</v>
      </c>
      <c r="I15" s="24" t="n">
        <f aca="false">G15+H15</f>
        <v>25920.61</v>
      </c>
      <c r="J15" s="24" t="n">
        <f aca="false">D15-I15</f>
        <v>12197.93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262907.83</v>
      </c>
      <c r="E16" s="28" t="n">
        <f aca="false">SUM(E10:E15)</f>
        <v>0</v>
      </c>
      <c r="F16" s="28" t="n">
        <f aca="false">SUM(F10:F15)</f>
        <v>42683.86</v>
      </c>
      <c r="G16" s="28" t="n">
        <f aca="false">SUM(G10:G15)</f>
        <v>0</v>
      </c>
      <c r="H16" s="28" t="n">
        <f aca="false">SUM(H10:H15)</f>
        <v>49921.58</v>
      </c>
      <c r="I16" s="28" t="n">
        <f aca="false">SUM(I10:I15)</f>
        <v>49921.58</v>
      </c>
      <c r="J16" s="28" t="n">
        <f aca="false">SUM(J10:J15)</f>
        <v>212986.25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6184.29</v>
      </c>
      <c r="E20" s="24" t="n">
        <v>0</v>
      </c>
      <c r="F20" s="24" t="n">
        <v>3710.57</v>
      </c>
      <c r="G20" s="24" t="n">
        <v>0</v>
      </c>
      <c r="H20" s="24" t="n">
        <v>4205.31</v>
      </c>
      <c r="I20" s="24" t="n">
        <f aca="false">G20+H20</f>
        <v>4205.31</v>
      </c>
      <c r="J20" s="24" t="n">
        <f aca="false">D20-I20</f>
        <v>1978.98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28027.16</v>
      </c>
      <c r="E21" s="24" t="n">
        <v>0</v>
      </c>
      <c r="F21" s="24" t="n">
        <v>0</v>
      </c>
      <c r="G21" s="24" t="n">
        <v>0</v>
      </c>
      <c r="H21" s="24" t="n">
        <v>467.12</v>
      </c>
      <c r="I21" s="24" t="n">
        <f aca="false">G21+H21</f>
        <v>467.12</v>
      </c>
      <c r="J21" s="24" t="n">
        <f aca="false">D21-I21</f>
        <v>27560.04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797.97</v>
      </c>
      <c r="E22" s="24" t="n">
        <v>0</v>
      </c>
      <c r="F22" s="24" t="n">
        <v>478.78</v>
      </c>
      <c r="G22" s="24" t="n">
        <v>0</v>
      </c>
      <c r="H22" s="24" t="n">
        <v>542.62</v>
      </c>
      <c r="I22" s="24" t="n">
        <f aca="false">G22+H22</f>
        <v>542.62</v>
      </c>
      <c r="J22" s="24" t="n">
        <f aca="false">D22-I22</f>
        <v>255.35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3616.4</v>
      </c>
      <c r="E23" s="24" t="n">
        <v>0</v>
      </c>
      <c r="F23" s="24" t="n">
        <v>0</v>
      </c>
      <c r="G23" s="24" t="n">
        <v>0</v>
      </c>
      <c r="H23" s="24" t="n">
        <v>60.27</v>
      </c>
      <c r="I23" s="24" t="n">
        <f aca="false">G23+H23</f>
        <v>60.27</v>
      </c>
      <c r="J23" s="24" t="n">
        <f aca="false">D23-I23</f>
        <v>3556.13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1496.2</v>
      </c>
      <c r="E24" s="24" t="n">
        <v>0</v>
      </c>
      <c r="F24" s="24" t="n">
        <v>897.72</v>
      </c>
      <c r="G24" s="24" t="n">
        <v>0</v>
      </c>
      <c r="H24" s="24" t="n">
        <v>1017.42</v>
      </c>
      <c r="I24" s="24" t="n">
        <f aca="false">G24+H24</f>
        <v>1017.42</v>
      </c>
      <c r="J24" s="24" t="n">
        <f aca="false">D24-I24</f>
        <v>478.78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6780.78</v>
      </c>
      <c r="E25" s="24" t="n">
        <v>0</v>
      </c>
      <c r="F25" s="24" t="n">
        <v>0</v>
      </c>
      <c r="G25" s="24" t="n">
        <v>0</v>
      </c>
      <c r="H25" s="24" t="n">
        <v>113.01</v>
      </c>
      <c r="I25" s="24" t="n">
        <f aca="false">G25+H25</f>
        <v>113.01</v>
      </c>
      <c r="J25" s="24" t="n">
        <f aca="false">D25-I25</f>
        <v>6667.77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28481.01</v>
      </c>
      <c r="E26" s="24" t="n">
        <v>0</v>
      </c>
      <c r="F26" s="24" t="n">
        <v>17088.61</v>
      </c>
      <c r="G26" s="24" t="n">
        <v>0</v>
      </c>
      <c r="H26" s="24" t="n">
        <v>19367.09</v>
      </c>
      <c r="I26" s="24" t="n">
        <f aca="false">G26+H26</f>
        <v>19367.09</v>
      </c>
      <c r="J26" s="24" t="n">
        <f aca="false">D26-I26</f>
        <v>9113.92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129075.6</v>
      </c>
      <c r="E27" s="24" t="n">
        <v>0</v>
      </c>
      <c r="F27" s="24" t="n">
        <v>0</v>
      </c>
      <c r="G27" s="24" t="n">
        <v>0</v>
      </c>
      <c r="H27" s="24" t="n">
        <v>2151.26</v>
      </c>
      <c r="I27" s="24" t="n">
        <f aca="false">G27+H27</f>
        <v>2151.26</v>
      </c>
      <c r="J27" s="24" t="n">
        <f aca="false">D27-I27</f>
        <v>126924.34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3674.97</v>
      </c>
      <c r="E28" s="24" t="n">
        <v>0</v>
      </c>
      <c r="F28" s="24" t="n">
        <v>2204.98</v>
      </c>
      <c r="G28" s="24" t="n">
        <v>0</v>
      </c>
      <c r="H28" s="24" t="n">
        <v>2498.98</v>
      </c>
      <c r="I28" s="24" t="n">
        <f aca="false">G28+H28</f>
        <v>2498.98</v>
      </c>
      <c r="J28" s="24" t="n">
        <f aca="false">D28-I28</f>
        <v>1175.99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16654.91</v>
      </c>
      <c r="E29" s="24" t="n">
        <v>0</v>
      </c>
      <c r="F29" s="24" t="n">
        <v>0</v>
      </c>
      <c r="G29" s="24" t="n">
        <v>0</v>
      </c>
      <c r="H29" s="24" t="n">
        <v>277.58</v>
      </c>
      <c r="I29" s="24" t="n">
        <f aca="false">G29+H29</f>
        <v>277.58</v>
      </c>
      <c r="J29" s="24" t="n">
        <f aca="false">D29-I29</f>
        <v>16377.33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6890.57</v>
      </c>
      <c r="E30" s="24" t="n">
        <v>0</v>
      </c>
      <c r="F30" s="24" t="n">
        <v>4134.34</v>
      </c>
      <c r="G30" s="24" t="n">
        <v>0</v>
      </c>
      <c r="H30" s="24" t="n">
        <v>4685.59</v>
      </c>
      <c r="I30" s="24" t="n">
        <f aca="false">G30+H30</f>
        <v>4685.59</v>
      </c>
      <c r="J30" s="24" t="n">
        <f aca="false">D30-I30</f>
        <v>2204.98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31227.97</v>
      </c>
      <c r="E31" s="24" t="n">
        <v>0</v>
      </c>
      <c r="F31" s="24" t="n">
        <v>0</v>
      </c>
      <c r="G31" s="24" t="n">
        <v>0</v>
      </c>
      <c r="H31" s="24" t="n">
        <v>520.47</v>
      </c>
      <c r="I31" s="24" t="n">
        <f aca="false">G31+H31</f>
        <v>520.47</v>
      </c>
      <c r="J31" s="24" t="n">
        <f aca="false">D31-I31</f>
        <v>30707.5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262907.83</v>
      </c>
      <c r="E32" s="28" t="n">
        <f aca="false">SUM(E20:E31)</f>
        <v>0</v>
      </c>
      <c r="F32" s="28" t="n">
        <f aca="false">SUM(F20:F31)</f>
        <v>28515</v>
      </c>
      <c r="G32" s="28" t="n">
        <f aca="false">SUM(G20:G31)</f>
        <v>0</v>
      </c>
      <c r="H32" s="28" t="n">
        <f aca="false">SUM(H20:H31)</f>
        <v>35906.72</v>
      </c>
      <c r="I32" s="28" t="n">
        <f aca="false">SUM(I20:I31)</f>
        <v>35906.72</v>
      </c>
      <c r="J32" s="28" t="n">
        <f aca="false">SUM(J20:J31)</f>
        <v>227001.11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49921.58</v>
      </c>
    </row>
    <row r="36" customFormat="false" ht="15" hidden="false" customHeight="false" outlineLevel="0" collapsed="false">
      <c r="B36" s="5" t="s">
        <v>97</v>
      </c>
      <c r="D36" s="6" t="n">
        <f aca="false">I32</f>
        <v>35906.72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14014.86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34211.45</v>
      </c>
      <c r="E42" s="24" t="n">
        <v>0</v>
      </c>
      <c r="F42" s="24" t="n">
        <v>0</v>
      </c>
      <c r="G42" s="24" t="n">
        <v>0</v>
      </c>
      <c r="H42" s="24" t="n">
        <v>570.2</v>
      </c>
      <c r="I42" s="24" t="n">
        <f aca="false">G42+H42</f>
        <v>570.2</v>
      </c>
      <c r="J42" s="24" t="n">
        <f aca="false">D42-I42</f>
        <v>33641.25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4414.37</v>
      </c>
      <c r="E43" s="24" t="n">
        <v>0</v>
      </c>
      <c r="F43" s="24" t="n">
        <v>2648.62</v>
      </c>
      <c r="G43" s="24" t="n">
        <v>0</v>
      </c>
      <c r="H43" s="24" t="n">
        <v>2707.5</v>
      </c>
      <c r="I43" s="24" t="n">
        <f aca="false">G43+H43</f>
        <v>2707.5</v>
      </c>
      <c r="J43" s="24" t="n">
        <f aca="false">D43-I43</f>
        <v>1706.87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8276.98</v>
      </c>
      <c r="E44" s="24" t="n">
        <v>0</v>
      </c>
      <c r="F44" s="24" t="n">
        <v>4966.19</v>
      </c>
      <c r="G44" s="24" t="n">
        <v>0</v>
      </c>
      <c r="H44" s="24" t="n">
        <v>5628.34</v>
      </c>
      <c r="I44" s="24" t="n">
        <f aca="false">G44+H44</f>
        <v>5628.34</v>
      </c>
      <c r="J44" s="24" t="n">
        <f aca="false">D44-I44</f>
        <v>2648.64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157556.61</v>
      </c>
      <c r="E45" s="24" t="n">
        <v>0</v>
      </c>
      <c r="F45" s="24" t="n">
        <v>0</v>
      </c>
      <c r="G45" s="24" t="n">
        <v>0</v>
      </c>
      <c r="H45" s="24" t="n">
        <v>2625.94</v>
      </c>
      <c r="I45" s="24" t="n">
        <f aca="false">G45+H45</f>
        <v>2625.94</v>
      </c>
      <c r="J45" s="24" t="n">
        <f aca="false">D45-I45</f>
        <v>154930.67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20329.88</v>
      </c>
      <c r="E46" s="24" t="n">
        <v>0</v>
      </c>
      <c r="F46" s="24" t="n">
        <v>12197.93</v>
      </c>
      <c r="G46" s="24" t="n">
        <v>0</v>
      </c>
      <c r="H46" s="24" t="n">
        <v>12468.99</v>
      </c>
      <c r="I46" s="24" t="n">
        <f aca="false">G46+H46</f>
        <v>12468.99</v>
      </c>
      <c r="J46" s="24" t="n">
        <f aca="false">D46-I46</f>
        <v>7860.89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38118.54</v>
      </c>
      <c r="E47" s="24" t="n">
        <v>0</v>
      </c>
      <c r="F47" s="24" t="n">
        <v>22871.12</v>
      </c>
      <c r="G47" s="24" t="n">
        <v>0</v>
      </c>
      <c r="H47" s="24" t="n">
        <v>25920.61</v>
      </c>
      <c r="I47" s="24" t="n">
        <f aca="false">G47+H47</f>
        <v>25920.61</v>
      </c>
      <c r="J47" s="24" t="n">
        <f aca="false">D47-I47</f>
        <v>12197.93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262907.83</v>
      </c>
      <c r="E48" s="28" t="n">
        <f aca="false">SUM(E42:E47)</f>
        <v>0</v>
      </c>
      <c r="F48" s="28" t="n">
        <f aca="false">SUM(F42:F47)</f>
        <v>42683.86</v>
      </c>
      <c r="G48" s="28" t="n">
        <f aca="false">SUM(G42:G47)</f>
        <v>0</v>
      </c>
      <c r="H48" s="28" t="n">
        <f aca="false">SUM(H42:H47)</f>
        <v>49921.58</v>
      </c>
      <c r="I48" s="28" t="n">
        <f aca="false">SUM(I42:I47)</f>
        <v>49921.58</v>
      </c>
      <c r="J48" s="28" t="n">
        <f aca="false">SUM(J42:J47)</f>
        <v>212986.25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6184.29</v>
      </c>
      <c r="E52" s="24" t="n">
        <v>0</v>
      </c>
      <c r="F52" s="24" t="n">
        <v>3710.57</v>
      </c>
      <c r="G52" s="24" t="n">
        <v>0</v>
      </c>
      <c r="H52" s="24" t="n">
        <v>4205.31</v>
      </c>
      <c r="I52" s="24" t="n">
        <f aca="false">G52+H52</f>
        <v>4205.31</v>
      </c>
      <c r="J52" s="24" t="n">
        <f aca="false">D52-I52</f>
        <v>1978.98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28027.16</v>
      </c>
      <c r="E53" s="24" t="n">
        <v>0</v>
      </c>
      <c r="F53" s="24" t="n">
        <v>0</v>
      </c>
      <c r="G53" s="24" t="n">
        <v>0</v>
      </c>
      <c r="H53" s="24" t="n">
        <v>467.12</v>
      </c>
      <c r="I53" s="24" t="n">
        <f aca="false">G53+H53</f>
        <v>467.12</v>
      </c>
      <c r="J53" s="24" t="n">
        <f aca="false">D53-I53</f>
        <v>27560.04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797.97</v>
      </c>
      <c r="E54" s="24" t="n">
        <v>0</v>
      </c>
      <c r="F54" s="24" t="n">
        <v>478.78</v>
      </c>
      <c r="G54" s="24" t="n">
        <v>0</v>
      </c>
      <c r="H54" s="24" t="n">
        <v>542.62</v>
      </c>
      <c r="I54" s="24" t="n">
        <f aca="false">G54+H54</f>
        <v>542.62</v>
      </c>
      <c r="J54" s="24" t="n">
        <f aca="false">D54-I54</f>
        <v>255.35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3616.4</v>
      </c>
      <c r="E55" s="24" t="n">
        <v>0</v>
      </c>
      <c r="F55" s="24" t="n">
        <v>0</v>
      </c>
      <c r="G55" s="24" t="n">
        <v>0</v>
      </c>
      <c r="H55" s="24" t="n">
        <v>60.27</v>
      </c>
      <c r="I55" s="24" t="n">
        <f aca="false">G55+H55</f>
        <v>60.27</v>
      </c>
      <c r="J55" s="24" t="n">
        <f aca="false">D55-I55</f>
        <v>3556.13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1496.2</v>
      </c>
      <c r="E56" s="24" t="n">
        <v>0</v>
      </c>
      <c r="F56" s="24" t="n">
        <v>897.72</v>
      </c>
      <c r="G56" s="24" t="n">
        <v>0</v>
      </c>
      <c r="H56" s="24" t="n">
        <v>1017.42</v>
      </c>
      <c r="I56" s="24" t="n">
        <f aca="false">G56+H56</f>
        <v>1017.42</v>
      </c>
      <c r="J56" s="24" t="n">
        <f aca="false">D56-I56</f>
        <v>478.78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6780.78</v>
      </c>
      <c r="E57" s="24" t="n">
        <v>0</v>
      </c>
      <c r="F57" s="24" t="n">
        <v>0</v>
      </c>
      <c r="G57" s="24" t="n">
        <v>0</v>
      </c>
      <c r="H57" s="24" t="n">
        <v>113.01</v>
      </c>
      <c r="I57" s="24" t="n">
        <f aca="false">G57+H57</f>
        <v>113.01</v>
      </c>
      <c r="J57" s="24" t="n">
        <f aca="false">D57-I57</f>
        <v>6667.77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28481.01</v>
      </c>
      <c r="E58" s="24" t="n">
        <v>0</v>
      </c>
      <c r="F58" s="24" t="n">
        <v>17088.61</v>
      </c>
      <c r="G58" s="24" t="n">
        <v>0</v>
      </c>
      <c r="H58" s="24" t="n">
        <v>19367.09</v>
      </c>
      <c r="I58" s="24" t="n">
        <f aca="false">G58+H58</f>
        <v>19367.09</v>
      </c>
      <c r="J58" s="24" t="n">
        <f aca="false">D58-I58</f>
        <v>9113.92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129075.6</v>
      </c>
      <c r="E59" s="24" t="n">
        <v>0</v>
      </c>
      <c r="F59" s="24" t="n">
        <v>0</v>
      </c>
      <c r="G59" s="24" t="n">
        <v>0</v>
      </c>
      <c r="H59" s="24" t="n">
        <v>2151.26</v>
      </c>
      <c r="I59" s="24" t="n">
        <f aca="false">G59+H59</f>
        <v>2151.26</v>
      </c>
      <c r="J59" s="24" t="n">
        <f aca="false">D59-I59</f>
        <v>126924.34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3674.97</v>
      </c>
      <c r="E60" s="24" t="n">
        <v>0</v>
      </c>
      <c r="F60" s="24" t="n">
        <v>2204.98</v>
      </c>
      <c r="G60" s="24" t="n">
        <v>0</v>
      </c>
      <c r="H60" s="24" t="n">
        <v>2498.98</v>
      </c>
      <c r="I60" s="24" t="n">
        <f aca="false">G60+H60</f>
        <v>2498.98</v>
      </c>
      <c r="J60" s="24" t="n">
        <f aca="false">D60-I60</f>
        <v>1175.99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16654.91</v>
      </c>
      <c r="E61" s="24" t="n">
        <v>0</v>
      </c>
      <c r="F61" s="24" t="n">
        <v>0</v>
      </c>
      <c r="G61" s="24" t="n">
        <v>0</v>
      </c>
      <c r="H61" s="24" t="n">
        <v>277.58</v>
      </c>
      <c r="I61" s="24" t="n">
        <f aca="false">G61+H61</f>
        <v>277.58</v>
      </c>
      <c r="J61" s="24" t="n">
        <f aca="false">D61-I61</f>
        <v>16377.33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6890.57</v>
      </c>
      <c r="E62" s="24" t="n">
        <v>0</v>
      </c>
      <c r="F62" s="24" t="n">
        <v>4134.34</v>
      </c>
      <c r="G62" s="24" t="n">
        <v>0</v>
      </c>
      <c r="H62" s="24" t="n">
        <v>4685.59</v>
      </c>
      <c r="I62" s="24" t="n">
        <f aca="false">G62+H62</f>
        <v>4685.59</v>
      </c>
      <c r="J62" s="24" t="n">
        <f aca="false">D62-I62</f>
        <v>2204.98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31227.97</v>
      </c>
      <c r="E63" s="24" t="n">
        <v>0</v>
      </c>
      <c r="F63" s="24" t="n">
        <v>0</v>
      </c>
      <c r="G63" s="24" t="n">
        <v>0</v>
      </c>
      <c r="H63" s="24" t="n">
        <v>520.47</v>
      </c>
      <c r="I63" s="24" t="n">
        <f aca="false">G63+H63</f>
        <v>520.47</v>
      </c>
      <c r="J63" s="24" t="n">
        <f aca="false">D63-I63</f>
        <v>30707.5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262907.83</v>
      </c>
      <c r="E64" s="28" t="n">
        <f aca="false">SUM(E52:E63)</f>
        <v>0</v>
      </c>
      <c r="F64" s="28" t="n">
        <f aca="false">SUM(F52:F63)</f>
        <v>28515</v>
      </c>
      <c r="G64" s="28" t="n">
        <f aca="false">SUM(G52:G63)</f>
        <v>0</v>
      </c>
      <c r="H64" s="28" t="n">
        <f aca="false">SUM(H52:H63)</f>
        <v>35906.72</v>
      </c>
      <c r="I64" s="28" t="n">
        <f aca="false">SUM(I52:I63)</f>
        <v>35906.72</v>
      </c>
      <c r="J64" s="28" t="n">
        <f aca="false">SUM(J52:J63)</f>
        <v>227001.11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49921.58</v>
      </c>
    </row>
    <row r="68" customFormat="false" ht="15" hidden="false" customHeight="false" outlineLevel="0" collapsed="false">
      <c r="B68" s="5" t="s">
        <v>97</v>
      </c>
      <c r="D68" s="6" t="n">
        <f aca="false">I64</f>
        <v>35906.72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14014.86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D109</f>
        <v>262907.83</v>
      </c>
    </row>
    <row r="73" customFormat="false" ht="15" hidden="false" customHeight="false" outlineLevel="0" collapsed="false">
      <c r="B73" s="5" t="s">
        <v>106</v>
      </c>
      <c r="D73" s="6" t="n">
        <f aca="false">F109</f>
        <v>47525.01</v>
      </c>
    </row>
    <row r="74" customFormat="false" ht="15" hidden="false" customHeight="false" outlineLevel="0" collapsed="false">
      <c r="B74" s="30" t="s">
        <v>107</v>
      </c>
      <c r="D74" s="31" t="n">
        <f aca="false">F110</f>
        <v>0.180766810939028</v>
      </c>
    </row>
    <row r="75" customFormat="false" ht="15" hidden="false" customHeight="false" outlineLevel="0" collapsed="false">
      <c r="B75" s="5" t="s">
        <v>109</v>
      </c>
      <c r="D75" s="6" t="n">
        <f aca="false">H109</f>
        <v>215382.82</v>
      </c>
    </row>
    <row r="76" customFormat="false" ht="15" hidden="false" customHeight="false" outlineLevel="0" collapsed="false">
      <c r="B76" s="30" t="s">
        <v>107</v>
      </c>
      <c r="D76" s="31" t="n">
        <f aca="false">H110</f>
        <v>0.819233189060973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142</v>
      </c>
      <c r="D81" s="33" t="n">
        <f aca="false">SUM(F81:H81)</f>
        <v>11397.61</v>
      </c>
      <c r="F81" s="33" t="n">
        <v>11397.61</v>
      </c>
    </row>
    <row r="82" customFormat="false" ht="15" hidden="false" customHeight="false" outlineLevel="0" collapsed="false">
      <c r="B82" s="5" t="s">
        <v>143</v>
      </c>
      <c r="D82" s="33" t="n">
        <f aca="false">SUM(F82:H82)</f>
        <v>3908.69</v>
      </c>
      <c r="F82" s="33" t="n">
        <v>3908.69</v>
      </c>
    </row>
    <row r="83" customFormat="false" ht="15" hidden="false" customHeight="false" outlineLevel="0" collapsed="false">
      <c r="B83" s="5" t="s">
        <v>145</v>
      </c>
      <c r="D83" s="33" t="n">
        <f aca="false">SUM(F83:H83)</f>
        <v>15016.98</v>
      </c>
      <c r="F83" s="33" t="n">
        <v>15016.98</v>
      </c>
    </row>
    <row r="84" customFormat="false" ht="15" hidden="false" customHeight="false" outlineLevel="0" collapsed="false">
      <c r="B84" s="5" t="s">
        <v>147</v>
      </c>
      <c r="D84" s="33" t="n">
        <f aca="false">SUM(F84:H84)</f>
        <v>3545.92</v>
      </c>
      <c r="F84" s="33" t="n">
        <v>3545.92</v>
      </c>
    </row>
    <row r="85" customFormat="false" ht="15" hidden="false" customHeight="false" outlineLevel="0" collapsed="false">
      <c r="B85" s="5" t="s">
        <v>148</v>
      </c>
      <c r="D85" s="33" t="n">
        <f aca="false">SUM(F85:H85)</f>
        <v>105.28</v>
      </c>
      <c r="F85" s="33" t="n">
        <v>105.28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2242.57</v>
      </c>
      <c r="F86" s="33" t="n">
        <v>2242.57</v>
      </c>
    </row>
    <row r="87" customFormat="false" ht="15" hidden="false" customHeight="false" outlineLevel="0" collapsed="false">
      <c r="B87" s="5" t="s">
        <v>150</v>
      </c>
      <c r="D87" s="33" t="n">
        <f aca="false">SUM(F87:H87)</f>
        <v>1853.89</v>
      </c>
      <c r="F87" s="33" t="n">
        <v>1853.89</v>
      </c>
    </row>
    <row r="88" customFormat="false" ht="15" hidden="false" customHeight="false" outlineLevel="0" collapsed="false">
      <c r="B88" s="5" t="s">
        <v>151</v>
      </c>
      <c r="D88" s="33" t="n">
        <f aca="false">SUM(F88:H88)</f>
        <v>4101.99</v>
      </c>
      <c r="F88" s="33" t="n">
        <v>4101.99</v>
      </c>
    </row>
    <row r="89" customFormat="false" ht="15" hidden="false" customHeight="false" outlineLevel="0" collapsed="false">
      <c r="B89" s="5" t="s">
        <v>152</v>
      </c>
      <c r="D89" s="33" t="n">
        <f aca="false">SUM(F89:H89)</f>
        <v>1746.74</v>
      </c>
      <c r="F89" s="33" t="n">
        <v>1746.74</v>
      </c>
    </row>
    <row r="90" customFormat="false" ht="15" hidden="false" customHeight="false" outlineLevel="0" collapsed="false">
      <c r="B90" s="5" t="s">
        <v>116</v>
      </c>
      <c r="D90" s="33" t="n">
        <f aca="false">SUM(F90:H90)</f>
        <v>66.45</v>
      </c>
      <c r="F90" s="33" t="n">
        <v>66.45</v>
      </c>
    </row>
    <row r="91" customFormat="false" ht="15" hidden="false" customHeight="false" outlineLevel="0" collapsed="false">
      <c r="B91" s="5" t="s">
        <v>155</v>
      </c>
      <c r="D91" s="33" t="n">
        <f aca="false">SUM(F91:H91)</f>
        <v>3538.89</v>
      </c>
      <c r="F91" s="33" t="n">
        <v>3538.89</v>
      </c>
    </row>
    <row r="92" customFormat="false" ht="15" hidden="false" customHeight="false" outlineLevel="0" collapsed="false">
      <c r="B92" s="32" t="s">
        <v>135</v>
      </c>
    </row>
    <row r="93" customFormat="false" ht="15" hidden="false" customHeight="false" outlineLevel="0" collapsed="false">
      <c r="B93" s="5" t="s">
        <v>156</v>
      </c>
      <c r="D93" s="33" t="n">
        <f aca="false">SUM(F93:H93)</f>
        <v>12325.25</v>
      </c>
      <c r="H93" s="33" t="n">
        <v>12325.25</v>
      </c>
    </row>
    <row r="94" customFormat="false" ht="15" hidden="false" customHeight="false" outlineLevel="0" collapsed="false">
      <c r="B94" s="5" t="s">
        <v>157</v>
      </c>
      <c r="D94" s="33" t="n">
        <f aca="false">SUM(F94:H94)</f>
        <v>14003.8</v>
      </c>
      <c r="H94" s="33" t="n">
        <v>14003.8</v>
      </c>
    </row>
    <row r="95" customFormat="false" ht="15" hidden="false" customHeight="false" outlineLevel="0" collapsed="false">
      <c r="B95" s="5" t="s">
        <v>158</v>
      </c>
      <c r="D95" s="33" t="n">
        <f aca="false">SUM(F95:H95)</f>
        <v>20868.1</v>
      </c>
      <c r="H95" s="33" t="n">
        <v>20868.1</v>
      </c>
    </row>
    <row r="96" customFormat="false" ht="15" hidden="false" customHeight="false" outlineLevel="0" collapsed="false">
      <c r="B96" s="5" t="s">
        <v>159</v>
      </c>
      <c r="D96" s="33" t="n">
        <f aca="false">SUM(F96:H96)</f>
        <v>22553.51</v>
      </c>
      <c r="H96" s="33" t="n">
        <v>22553.51</v>
      </c>
    </row>
    <row r="97" customFormat="false" ht="15" hidden="false" customHeight="false" outlineLevel="0" collapsed="false">
      <c r="B97" s="5" t="s">
        <v>160</v>
      </c>
      <c r="D97" s="33" t="n">
        <f aca="false">SUM(F97:H97)</f>
        <v>18140.53</v>
      </c>
      <c r="H97" s="33" t="n">
        <v>18140.53</v>
      </c>
    </row>
    <row r="98" customFormat="false" ht="15" hidden="false" customHeight="false" outlineLevel="0" collapsed="false">
      <c r="B98" s="5" t="s">
        <v>161</v>
      </c>
      <c r="D98" s="33" t="n">
        <f aca="false">SUM(F98:H98)</f>
        <v>1545</v>
      </c>
      <c r="H98" s="33" t="n">
        <v>1545</v>
      </c>
    </row>
    <row r="99" customFormat="false" ht="15" hidden="false" customHeight="false" outlineLevel="0" collapsed="false">
      <c r="B99" s="5" t="s">
        <v>162</v>
      </c>
      <c r="D99" s="33" t="n">
        <f aca="false">SUM(F99:H99)</f>
        <v>8652.46</v>
      </c>
      <c r="H99" s="33" t="n">
        <v>8652.46</v>
      </c>
    </row>
    <row r="100" customFormat="false" ht="15" hidden="false" customHeight="false" outlineLevel="0" collapsed="false">
      <c r="B100" s="5" t="s">
        <v>163</v>
      </c>
      <c r="D100" s="33" t="n">
        <f aca="false">SUM(F100:H100)</f>
        <v>20467.79</v>
      </c>
      <c r="H100" s="33" t="n">
        <v>20467.79</v>
      </c>
    </row>
    <row r="101" customFormat="false" ht="15" hidden="false" customHeight="false" outlineLevel="0" collapsed="false">
      <c r="B101" s="5" t="s">
        <v>164</v>
      </c>
      <c r="D101" s="33" t="n">
        <f aca="false">SUM(F101:H101)</f>
        <v>6995.81</v>
      </c>
      <c r="H101" s="33" t="n">
        <v>6995.81</v>
      </c>
    </row>
    <row r="102" customFormat="false" ht="15" hidden="false" customHeight="false" outlineLevel="0" collapsed="false">
      <c r="B102" s="5" t="s">
        <v>165</v>
      </c>
      <c r="D102" s="33" t="n">
        <f aca="false">SUM(F102:H102)</f>
        <v>9598.43</v>
      </c>
      <c r="H102" s="33" t="n">
        <v>9598.43</v>
      </c>
    </row>
    <row r="103" customFormat="false" ht="15" hidden="false" customHeight="false" outlineLevel="0" collapsed="false">
      <c r="B103" s="5" t="s">
        <v>166</v>
      </c>
      <c r="D103" s="33" t="n">
        <f aca="false">SUM(F103:H103)</f>
        <v>24061.24</v>
      </c>
      <c r="H103" s="33" t="n">
        <v>24061.24</v>
      </c>
    </row>
    <row r="104" customFormat="false" ht="15" hidden="false" customHeight="false" outlineLevel="0" collapsed="false">
      <c r="B104" s="5" t="s">
        <v>167</v>
      </c>
      <c r="D104" s="33" t="n">
        <f aca="false">SUM(F104:H104)</f>
        <v>10531.24</v>
      </c>
      <c r="H104" s="33" t="n">
        <v>10531.24</v>
      </c>
    </row>
    <row r="105" customFormat="false" ht="15" hidden="false" customHeight="false" outlineLevel="0" collapsed="false">
      <c r="B105" s="5" t="s">
        <v>168</v>
      </c>
      <c r="D105" s="33" t="n">
        <f aca="false">SUM(F105:H105)</f>
        <v>1296.94</v>
      </c>
      <c r="H105" s="33" t="n">
        <v>1296.94</v>
      </c>
    </row>
    <row r="106" customFormat="false" ht="15" hidden="false" customHeight="false" outlineLevel="0" collapsed="false">
      <c r="B106" s="5" t="s">
        <v>169</v>
      </c>
      <c r="D106" s="33" t="n">
        <f aca="false">SUM(F106:H106)</f>
        <v>26893.66</v>
      </c>
      <c r="H106" s="33" t="n">
        <v>26893.66</v>
      </c>
    </row>
    <row r="107" customFormat="false" ht="15" hidden="false" customHeight="false" outlineLevel="0" collapsed="false">
      <c r="B107" s="5" t="s">
        <v>170</v>
      </c>
      <c r="D107" s="33" t="n">
        <f aca="false">SUM(F107:H107)</f>
        <v>13479.81</v>
      </c>
      <c r="H107" s="33" t="n">
        <v>13479.81</v>
      </c>
    </row>
    <row r="108" customFormat="false" ht="15" hidden="false" customHeight="false" outlineLevel="0" collapsed="false">
      <c r="B108" s="5" t="s">
        <v>171</v>
      </c>
      <c r="D108" s="33" t="n">
        <f aca="false">SUM(F108:H108)</f>
        <v>3969.25</v>
      </c>
      <c r="H108" s="33" t="n">
        <v>3969.25</v>
      </c>
    </row>
    <row r="109" customFormat="false" ht="15" hidden="false" customHeight="false" outlineLevel="0" collapsed="false">
      <c r="B109" s="11" t="s">
        <v>105</v>
      </c>
      <c r="D109" s="34" t="n">
        <f aca="false">SUM(D80:D108)</f>
        <v>262907.83</v>
      </c>
      <c r="F109" s="34" t="n">
        <f aca="false">SUM(F80:F108)</f>
        <v>47525.01</v>
      </c>
      <c r="H109" s="34" t="n">
        <f aca="false">SUM(H80:H108)</f>
        <v>215382.82</v>
      </c>
    </row>
    <row r="110" customFormat="false" ht="15" hidden="false" customHeight="false" outlineLevel="0" collapsed="false">
      <c r="B110" s="30" t="s">
        <v>107</v>
      </c>
      <c r="F110" s="31" t="n">
        <f aca="false">F109/D109</f>
        <v>0.180766810939028</v>
      </c>
      <c r="H110" s="31" t="n">
        <f aca="false">H109/D109</f>
        <v>0.819233189060973</v>
      </c>
    </row>
    <row r="112" customFormat="false" ht="15" hidden="false" customHeight="false" outlineLevel="0" collapsed="false">
      <c r="A112" s="10" t="s">
        <v>137</v>
      </c>
    </row>
    <row r="113" customFormat="false" ht="15" hidden="false" customHeight="false" outlineLevel="0" collapsed="false">
      <c r="B113" s="4" t="s">
        <v>138</v>
      </c>
      <c r="D113" s="4" t="s">
        <v>79</v>
      </c>
      <c r="F113" s="4" t="s">
        <v>112</v>
      </c>
      <c r="H113" s="4" t="s">
        <v>114</v>
      </c>
    </row>
    <row r="114" customFormat="false" ht="15" hidden="false" customHeight="false" outlineLevel="0" collapsed="false">
      <c r="B114" s="5" t="str">
        <f aca="false">'Building 22'!B20</f>
        <v>2-Building-712 Northfield Dr - 5 Year</v>
      </c>
      <c r="D114" s="33" t="n">
        <f aca="false">SUM(F114:H114)</f>
        <v>6184.29</v>
      </c>
      <c r="F114" s="33" t="n">
        <f aca="false">'Building 22'!D20</f>
        <v>6184.29</v>
      </c>
    </row>
    <row r="115" customFormat="false" ht="15" hidden="false" customHeight="false" outlineLevel="0" collapsed="false">
      <c r="B115" s="5" t="str">
        <f aca="false">'Building 22'!B21</f>
        <v>2-Building-712 Northfield Dr - 27.5 Year</v>
      </c>
      <c r="D115" s="33" t="n">
        <f aca="false">SUM(F115:H115)</f>
        <v>28027.16</v>
      </c>
      <c r="H115" s="33" t="n">
        <f aca="false">'Building 22'!D21</f>
        <v>28027.16</v>
      </c>
    </row>
    <row r="116" customFormat="false" ht="15" hidden="false" customHeight="false" outlineLevel="0" collapsed="false">
      <c r="B116" s="5" t="str">
        <f aca="false">'Building 22'!B22</f>
        <v>3-Northfield Dr - 5 Year</v>
      </c>
      <c r="D116" s="33" t="n">
        <f aca="false">SUM(F116:H116)</f>
        <v>797.97</v>
      </c>
      <c r="F116" s="33" t="n">
        <f aca="false">'Building 22'!D22</f>
        <v>797.97</v>
      </c>
    </row>
    <row r="117" customFormat="false" ht="15" hidden="false" customHeight="false" outlineLevel="0" collapsed="false">
      <c r="B117" s="5" t="str">
        <f aca="false">'Building 22'!B23</f>
        <v>3-Northfield Dr - 27.5 Year</v>
      </c>
      <c r="D117" s="33" t="n">
        <f aca="false">SUM(F117:H117)</f>
        <v>3616.4</v>
      </c>
      <c r="H117" s="33" t="n">
        <f aca="false">'Building 22'!D23</f>
        <v>3616.4</v>
      </c>
    </row>
    <row r="118" customFormat="false" ht="15" hidden="false" customHeight="false" outlineLevel="0" collapsed="false">
      <c r="B118" s="5" t="str">
        <f aca="false">'Building 22'!B24</f>
        <v>4-Northfield Dr - 5 Year</v>
      </c>
      <c r="D118" s="33" t="n">
        <f aca="false">SUM(F118:H118)</f>
        <v>1496.2</v>
      </c>
      <c r="F118" s="33" t="n">
        <f aca="false">'Building 22'!D24</f>
        <v>1496.2</v>
      </c>
    </row>
    <row r="119" customFormat="false" ht="15" hidden="false" customHeight="false" outlineLevel="0" collapsed="false">
      <c r="B119" s="5" t="str">
        <f aca="false">'Building 22'!B25</f>
        <v>4-Northfield Dr - 27.5 Year</v>
      </c>
      <c r="D119" s="33" t="n">
        <f aca="false">SUM(F119:H119)</f>
        <v>6780.78</v>
      </c>
      <c r="H119" s="33" t="n">
        <f aca="false">'Building 22'!D25</f>
        <v>6780.78</v>
      </c>
    </row>
    <row r="120" customFormat="false" ht="15" hidden="false" customHeight="false" outlineLevel="0" collapsed="false">
      <c r="B120" s="5" t="str">
        <f aca="false">'Building 22'!B26</f>
        <v>7-Building-2202 Northview Dr - 5 Year</v>
      </c>
      <c r="D120" s="33" t="n">
        <f aca="false">SUM(F120:H120)</f>
        <v>28481.01</v>
      </c>
      <c r="F120" s="33" t="n">
        <f aca="false">'Building 22'!D26</f>
        <v>28481.01</v>
      </c>
    </row>
    <row r="121" customFormat="false" ht="15" hidden="false" customHeight="false" outlineLevel="0" collapsed="false">
      <c r="B121" s="5" t="str">
        <f aca="false">'Building 22'!B27</f>
        <v>7-Building-2202 Northview Dr - 27.5 Year</v>
      </c>
      <c r="D121" s="33" t="n">
        <f aca="false">SUM(F121:H121)</f>
        <v>129075.6</v>
      </c>
      <c r="H121" s="33" t="n">
        <f aca="false">'Building 22'!D27</f>
        <v>129075.6</v>
      </c>
    </row>
    <row r="122" customFormat="false" ht="15" hidden="false" customHeight="false" outlineLevel="0" collapsed="false">
      <c r="B122" s="5" t="str">
        <f aca="false">'Building 22'!B28</f>
        <v>8-Northiew Dr - 5 Year</v>
      </c>
      <c r="D122" s="33" t="n">
        <f aca="false">SUM(F122:H122)</f>
        <v>3674.97</v>
      </c>
      <c r="F122" s="33" t="n">
        <f aca="false">'Building 22'!D28</f>
        <v>3674.97</v>
      </c>
    </row>
    <row r="123" customFormat="false" ht="15" hidden="false" customHeight="false" outlineLevel="0" collapsed="false">
      <c r="B123" s="5" t="str">
        <f aca="false">'Building 22'!B29</f>
        <v>8-Northiew Dr - 27.5 Year</v>
      </c>
      <c r="D123" s="33" t="n">
        <f aca="false">SUM(F123:H123)</f>
        <v>16654.91</v>
      </c>
      <c r="H123" s="33" t="n">
        <f aca="false">'Building 22'!D29</f>
        <v>16654.91</v>
      </c>
    </row>
    <row r="124" customFormat="false" ht="15" hidden="false" customHeight="false" outlineLevel="0" collapsed="false">
      <c r="B124" s="5" t="str">
        <f aca="false">'Building 22'!B30</f>
        <v>9-Northview Dr - 5 Year</v>
      </c>
      <c r="D124" s="33" t="n">
        <f aca="false">SUM(F124:H124)</f>
        <v>6890.57</v>
      </c>
      <c r="F124" s="33" t="n">
        <f aca="false">'Building 22'!D30</f>
        <v>6890.57</v>
      </c>
    </row>
    <row r="125" customFormat="false" ht="15" hidden="false" customHeight="false" outlineLevel="0" collapsed="false">
      <c r="B125" s="5" t="str">
        <f aca="false">'Building 22'!B31</f>
        <v>9-Northview Dr - 27.5 Year</v>
      </c>
      <c r="D125" s="33" t="n">
        <f aca="false">SUM(F125:H125)</f>
        <v>31227.97</v>
      </c>
      <c r="H125" s="33" t="n">
        <f aca="false">'Building 22'!D31</f>
        <v>31227.97</v>
      </c>
    </row>
    <row r="126" customFormat="false" ht="15" hidden="false" customHeight="false" outlineLevel="0" collapsed="false">
      <c r="B126" s="11" t="s">
        <v>139</v>
      </c>
      <c r="D126" s="34" t="n">
        <f aca="false">SUM(D114:D125)</f>
        <v>262907.83</v>
      </c>
      <c r="F126" s="34" t="n">
        <f aca="false">SUM(F114:F125)</f>
        <v>47525.01</v>
      </c>
      <c r="H126" s="34" t="n">
        <f aca="false">SUM(H114:H125)</f>
        <v>215382.82</v>
      </c>
    </row>
    <row r="127" customFormat="false" ht="15" hidden="false" customHeight="false" outlineLevel="0" collapsed="false">
      <c r="B127" s="16" t="s">
        <v>140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196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1082.72</v>
      </c>
      <c r="E10" s="24" t="n">
        <v>0</v>
      </c>
      <c r="F10" s="24" t="n">
        <v>0</v>
      </c>
      <c r="G10" s="24" t="n">
        <v>0</v>
      </c>
      <c r="H10" s="24" t="n">
        <v>18.05</v>
      </c>
      <c r="I10" s="24" t="n">
        <f aca="false">G10+H10</f>
        <v>18.05</v>
      </c>
      <c r="J10" s="24" t="n">
        <f aca="false">D10-I10</f>
        <v>1064.67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139.71</v>
      </c>
      <c r="E11" s="24" t="n">
        <v>0</v>
      </c>
      <c r="F11" s="24" t="n">
        <v>83.83</v>
      </c>
      <c r="G11" s="24" t="n">
        <v>0</v>
      </c>
      <c r="H11" s="24" t="n">
        <v>85.68</v>
      </c>
      <c r="I11" s="24" t="n">
        <f aca="false">G11+H11</f>
        <v>85.68</v>
      </c>
      <c r="J11" s="24" t="n">
        <f aca="false">D11-I11</f>
        <v>54.03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261.95</v>
      </c>
      <c r="E12" s="24" t="n">
        <v>0</v>
      </c>
      <c r="F12" s="24" t="n">
        <v>157.17</v>
      </c>
      <c r="G12" s="24" t="n">
        <v>0</v>
      </c>
      <c r="H12" s="24" t="n">
        <v>178.13</v>
      </c>
      <c r="I12" s="24" t="n">
        <f aca="false">G12+H12</f>
        <v>178.13</v>
      </c>
      <c r="J12" s="24" t="n">
        <f aca="false">D12-I12</f>
        <v>83.82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4986.32</v>
      </c>
      <c r="E13" s="24" t="n">
        <v>0</v>
      </c>
      <c r="F13" s="24" t="n">
        <v>0</v>
      </c>
      <c r="G13" s="24" t="n">
        <v>0</v>
      </c>
      <c r="H13" s="24" t="n">
        <v>83.11</v>
      </c>
      <c r="I13" s="24" t="n">
        <f aca="false">G13+H13</f>
        <v>83.11</v>
      </c>
      <c r="J13" s="24" t="n">
        <f aca="false">D13-I13</f>
        <v>4903.21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643.4</v>
      </c>
      <c r="E14" s="24" t="n">
        <v>0</v>
      </c>
      <c r="F14" s="24" t="n">
        <v>386.04</v>
      </c>
      <c r="G14" s="24" t="n">
        <v>0</v>
      </c>
      <c r="H14" s="24" t="n">
        <v>394.62</v>
      </c>
      <c r="I14" s="24" t="n">
        <f aca="false">G14+H14</f>
        <v>394.62</v>
      </c>
      <c r="J14" s="24" t="n">
        <f aca="false">D14-I14</f>
        <v>248.78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1206.36</v>
      </c>
      <c r="E15" s="24" t="n">
        <v>0</v>
      </c>
      <c r="F15" s="24" t="n">
        <v>723.82</v>
      </c>
      <c r="G15" s="24" t="n">
        <v>0</v>
      </c>
      <c r="H15" s="24" t="n">
        <v>820.32</v>
      </c>
      <c r="I15" s="24" t="n">
        <f aca="false">G15+H15</f>
        <v>820.32</v>
      </c>
      <c r="J15" s="24" t="n">
        <f aca="false">D15-I15</f>
        <v>386.04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8320.46</v>
      </c>
      <c r="E16" s="28" t="n">
        <f aca="false">SUM(E10:E15)</f>
        <v>0</v>
      </c>
      <c r="F16" s="28" t="n">
        <f aca="false">SUM(F10:F15)</f>
        <v>1350.86</v>
      </c>
      <c r="G16" s="28" t="n">
        <f aca="false">SUM(G10:G15)</f>
        <v>0</v>
      </c>
      <c r="H16" s="28" t="n">
        <f aca="false">SUM(H10:H15)</f>
        <v>1579.91</v>
      </c>
      <c r="I16" s="28" t="n">
        <f aca="false">SUM(I10:I15)</f>
        <v>1579.91</v>
      </c>
      <c r="J16" s="28" t="n">
        <f aca="false">SUM(J10:J15)</f>
        <v>6740.55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44</v>
      </c>
      <c r="C20" s="23" t="s">
        <v>33</v>
      </c>
      <c r="D20" s="24" t="n">
        <v>1082.72</v>
      </c>
      <c r="E20" s="24" t="n">
        <v>0</v>
      </c>
      <c r="F20" s="24" t="n">
        <v>0</v>
      </c>
      <c r="G20" s="24" t="n">
        <v>0</v>
      </c>
      <c r="H20" s="24" t="n">
        <v>18.05</v>
      </c>
      <c r="I20" s="24" t="n">
        <f aca="false">G20+H20</f>
        <v>18.05</v>
      </c>
      <c r="J20" s="24" t="n">
        <f aca="false">D20-I20</f>
        <v>1064.67</v>
      </c>
      <c r="K20" s="25" t="s">
        <v>88</v>
      </c>
      <c r="L20" s="25" t="s">
        <v>89</v>
      </c>
    </row>
    <row r="21" customFormat="false" ht="15" hidden="false" customHeight="false" outlineLevel="0" collapsed="false">
      <c r="A21" s="23" t="n">
        <v>2</v>
      </c>
      <c r="B21" s="23" t="s">
        <v>47</v>
      </c>
      <c r="C21" s="23" t="s">
        <v>33</v>
      </c>
      <c r="D21" s="24" t="n">
        <v>139.71</v>
      </c>
      <c r="E21" s="24" t="n">
        <v>0</v>
      </c>
      <c r="F21" s="24" t="n">
        <v>0</v>
      </c>
      <c r="G21" s="24" t="n">
        <v>0</v>
      </c>
      <c r="H21" s="24" t="n">
        <v>2.33</v>
      </c>
      <c r="I21" s="24" t="n">
        <f aca="false">G21+H21</f>
        <v>2.33</v>
      </c>
      <c r="J21" s="24" t="n">
        <f aca="false">D21-I21</f>
        <v>137.38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50</v>
      </c>
      <c r="C22" s="23" t="s">
        <v>33</v>
      </c>
      <c r="D22" s="24" t="n">
        <v>261.95</v>
      </c>
      <c r="E22" s="24" t="n">
        <v>0</v>
      </c>
      <c r="F22" s="24" t="n">
        <v>0</v>
      </c>
      <c r="G22" s="24" t="n">
        <v>0</v>
      </c>
      <c r="H22" s="24" t="n">
        <v>4.37</v>
      </c>
      <c r="I22" s="24" t="n">
        <f aca="false">G22+H22</f>
        <v>4.37</v>
      </c>
      <c r="J22" s="24" t="n">
        <f aca="false">D22-I22</f>
        <v>257.58</v>
      </c>
      <c r="K22" s="25" t="s">
        <v>88</v>
      </c>
      <c r="L22" s="25" t="s">
        <v>89</v>
      </c>
    </row>
    <row r="23" customFormat="false" ht="15" hidden="false" customHeight="false" outlineLevel="0" collapsed="false">
      <c r="A23" s="23" t="n">
        <v>4</v>
      </c>
      <c r="B23" s="23" t="s">
        <v>53</v>
      </c>
      <c r="C23" s="23" t="s">
        <v>33</v>
      </c>
      <c r="D23" s="24" t="n">
        <v>4986.32</v>
      </c>
      <c r="E23" s="24" t="n">
        <v>0</v>
      </c>
      <c r="F23" s="24" t="n">
        <v>0</v>
      </c>
      <c r="G23" s="24" t="n">
        <v>0</v>
      </c>
      <c r="H23" s="24" t="n">
        <v>83.11</v>
      </c>
      <c r="I23" s="24" t="n">
        <f aca="false">G23+H23</f>
        <v>83.11</v>
      </c>
      <c r="J23" s="24" t="n">
        <f aca="false">D23-I23</f>
        <v>4903.21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56</v>
      </c>
      <c r="C24" s="23" t="s">
        <v>33</v>
      </c>
      <c r="D24" s="24" t="n">
        <v>643.4</v>
      </c>
      <c r="E24" s="24" t="n">
        <v>0</v>
      </c>
      <c r="F24" s="24" t="n">
        <v>0</v>
      </c>
      <c r="G24" s="24" t="n">
        <v>0</v>
      </c>
      <c r="H24" s="24" t="n">
        <v>10.72</v>
      </c>
      <c r="I24" s="24" t="n">
        <f aca="false">G24+H24</f>
        <v>10.72</v>
      </c>
      <c r="J24" s="24" t="n">
        <f aca="false">D24-I24</f>
        <v>632.68</v>
      </c>
      <c r="K24" s="25" t="s">
        <v>88</v>
      </c>
      <c r="L24" s="25" t="s">
        <v>89</v>
      </c>
    </row>
    <row r="25" customFormat="false" ht="15" hidden="false" customHeight="false" outlineLevel="0" collapsed="false">
      <c r="A25" s="23" t="n">
        <v>6</v>
      </c>
      <c r="B25" s="23" t="s">
        <v>59</v>
      </c>
      <c r="C25" s="23" t="s">
        <v>33</v>
      </c>
      <c r="D25" s="24" t="n">
        <v>1206.36</v>
      </c>
      <c r="E25" s="24" t="n">
        <v>0</v>
      </c>
      <c r="F25" s="24" t="n">
        <v>0</v>
      </c>
      <c r="G25" s="24" t="n">
        <v>0</v>
      </c>
      <c r="H25" s="24" t="n">
        <v>20.11</v>
      </c>
      <c r="I25" s="24" t="n">
        <f aca="false">G25+H25</f>
        <v>20.11</v>
      </c>
      <c r="J25" s="24" t="n">
        <f aca="false">D25-I25</f>
        <v>1186.25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6"/>
      <c r="B26" s="27" t="s">
        <v>40</v>
      </c>
      <c r="C26" s="26"/>
      <c r="D26" s="28" t="n">
        <f aca="false">SUM(D20:D25)</f>
        <v>8320.46</v>
      </c>
      <c r="E26" s="28" t="n">
        <f aca="false">SUM(E20:E25)</f>
        <v>0</v>
      </c>
      <c r="F26" s="28" t="n">
        <f aca="false">SUM(F20:F25)</f>
        <v>0</v>
      </c>
      <c r="G26" s="28" t="n">
        <f aca="false">SUM(G20:G25)</f>
        <v>0</v>
      </c>
      <c r="H26" s="28" t="n">
        <f aca="false">SUM(H20:H25)</f>
        <v>138.69</v>
      </c>
      <c r="I26" s="28" t="n">
        <f aca="false">SUM(I20:I25)</f>
        <v>138.69</v>
      </c>
      <c r="J26" s="28" t="n">
        <f aca="false">SUM(J20:J25)</f>
        <v>8181.77</v>
      </c>
      <c r="K26" s="26"/>
      <c r="L26" s="26"/>
    </row>
    <row r="28" customFormat="false" ht="15" hidden="false" customHeight="false" outlineLevel="0" collapsed="false">
      <c r="B28" s="18" t="s">
        <v>95</v>
      </c>
    </row>
    <row r="29" customFormat="false" ht="15" hidden="false" customHeight="false" outlineLevel="0" collapsed="false">
      <c r="B29" s="5" t="s">
        <v>96</v>
      </c>
      <c r="D29" s="6" t="n">
        <f aca="false">I16</f>
        <v>1579.91</v>
      </c>
    </row>
    <row r="30" customFormat="false" ht="15" hidden="false" customHeight="false" outlineLevel="0" collapsed="false">
      <c r="B30" s="5" t="s">
        <v>97</v>
      </c>
      <c r="D30" s="6" t="n">
        <f aca="false">I26</f>
        <v>138.69</v>
      </c>
    </row>
    <row r="31" customFormat="false" ht="15" hidden="false" customHeight="false" outlineLevel="0" collapsed="false">
      <c r="B31" s="11" t="s">
        <v>95</v>
      </c>
      <c r="D31" s="29" t="n">
        <f aca="false">D29-D30</f>
        <v>1441.22</v>
      </c>
    </row>
    <row r="33" customFormat="false" ht="15" hidden="false" customHeight="false" outlineLevel="0" collapsed="false">
      <c r="A33" s="10" t="s">
        <v>98</v>
      </c>
    </row>
    <row r="34" customFormat="false" ht="15" hidden="false" customHeight="false" outlineLevel="0" collapsed="false">
      <c r="A34" s="21" t="s">
        <v>99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76</v>
      </c>
      <c r="B35" s="4" t="s">
        <v>77</v>
      </c>
      <c r="C35" s="4" t="s">
        <v>78</v>
      </c>
      <c r="D35" s="4" t="s">
        <v>79</v>
      </c>
      <c r="E35" s="4" t="s">
        <v>80</v>
      </c>
      <c r="F35" s="4" t="s">
        <v>81</v>
      </c>
      <c r="G35" s="4" t="s">
        <v>100</v>
      </c>
      <c r="H35" s="4" t="s">
        <v>101</v>
      </c>
      <c r="I35" s="4" t="s">
        <v>84</v>
      </c>
      <c r="J35" s="4" t="s">
        <v>85</v>
      </c>
      <c r="K35" s="4" t="s">
        <v>86</v>
      </c>
      <c r="L35" s="4" t="s">
        <v>87</v>
      </c>
    </row>
    <row r="36" customFormat="false" ht="15" hidden="false" customHeight="false" outlineLevel="0" collapsed="false">
      <c r="A36" s="23" t="n">
        <v>1</v>
      </c>
      <c r="B36" s="23" t="s">
        <v>34</v>
      </c>
      <c r="C36" s="23" t="s">
        <v>33</v>
      </c>
      <c r="D36" s="24" t="n">
        <v>1082.72</v>
      </c>
      <c r="E36" s="24" t="n">
        <v>0</v>
      </c>
      <c r="F36" s="24" t="n">
        <v>0</v>
      </c>
      <c r="G36" s="24" t="n">
        <v>0</v>
      </c>
      <c r="H36" s="24" t="n">
        <v>18.05</v>
      </c>
      <c r="I36" s="24" t="n">
        <f aca="false">G36+H36</f>
        <v>18.05</v>
      </c>
      <c r="J36" s="24" t="n">
        <f aca="false">D36-I36</f>
        <v>1064.67</v>
      </c>
      <c r="K36" s="25" t="s">
        <v>88</v>
      </c>
      <c r="L36" s="25" t="s">
        <v>89</v>
      </c>
    </row>
    <row r="37" customFormat="false" ht="15" hidden="false" customHeight="false" outlineLevel="0" collapsed="false">
      <c r="A37" s="23" t="n">
        <v>2</v>
      </c>
      <c r="B37" s="23" t="s">
        <v>35</v>
      </c>
      <c r="C37" s="23" t="s">
        <v>33</v>
      </c>
      <c r="D37" s="24" t="n">
        <v>139.71</v>
      </c>
      <c r="E37" s="24" t="n">
        <v>0</v>
      </c>
      <c r="F37" s="24" t="n">
        <v>83.83</v>
      </c>
      <c r="G37" s="24" t="n">
        <v>0</v>
      </c>
      <c r="H37" s="24" t="n">
        <v>85.68</v>
      </c>
      <c r="I37" s="24" t="n">
        <f aca="false">G37+H37</f>
        <v>85.68</v>
      </c>
      <c r="J37" s="24" t="n">
        <f aca="false">D37-I37</f>
        <v>54.03</v>
      </c>
      <c r="K37" s="25" t="s">
        <v>90</v>
      </c>
      <c r="L37" s="25" t="s">
        <v>91</v>
      </c>
    </row>
    <row r="38" customFormat="false" ht="15" hidden="false" customHeight="false" outlineLevel="0" collapsed="false">
      <c r="A38" s="23" t="n">
        <v>3</v>
      </c>
      <c r="B38" s="23" t="s">
        <v>36</v>
      </c>
      <c r="C38" s="23" t="s">
        <v>33</v>
      </c>
      <c r="D38" s="24" t="n">
        <v>261.95</v>
      </c>
      <c r="E38" s="24" t="n">
        <v>0</v>
      </c>
      <c r="F38" s="24" t="n">
        <v>157.17</v>
      </c>
      <c r="G38" s="24" t="n">
        <v>0</v>
      </c>
      <c r="H38" s="24" t="n">
        <v>178.13</v>
      </c>
      <c r="I38" s="24" t="n">
        <f aca="false">G38+H38</f>
        <v>178.13</v>
      </c>
      <c r="J38" s="24" t="n">
        <f aca="false">D38-I38</f>
        <v>83.82</v>
      </c>
      <c r="K38" s="25" t="s">
        <v>92</v>
      </c>
      <c r="L38" s="25" t="s">
        <v>93</v>
      </c>
    </row>
    <row r="39" customFormat="false" ht="15" hidden="false" customHeight="false" outlineLevel="0" collapsed="false">
      <c r="A39" s="23" t="n">
        <v>4</v>
      </c>
      <c r="B39" s="23" t="s">
        <v>37</v>
      </c>
      <c r="C39" s="23" t="s">
        <v>33</v>
      </c>
      <c r="D39" s="24" t="n">
        <v>4986.32</v>
      </c>
      <c r="E39" s="24" t="n">
        <v>0</v>
      </c>
      <c r="F39" s="24" t="n">
        <v>0</v>
      </c>
      <c r="G39" s="24" t="n">
        <v>0</v>
      </c>
      <c r="H39" s="24" t="n">
        <v>83.11</v>
      </c>
      <c r="I39" s="24" t="n">
        <f aca="false">G39+H39</f>
        <v>83.11</v>
      </c>
      <c r="J39" s="24" t="n">
        <f aca="false">D39-I39</f>
        <v>4903.21</v>
      </c>
      <c r="K39" s="25" t="s">
        <v>88</v>
      </c>
      <c r="L39" s="25" t="s">
        <v>89</v>
      </c>
    </row>
    <row r="40" customFormat="false" ht="15" hidden="false" customHeight="false" outlineLevel="0" collapsed="false">
      <c r="A40" s="23" t="n">
        <v>5</v>
      </c>
      <c r="B40" s="23" t="s">
        <v>38</v>
      </c>
      <c r="C40" s="23" t="s">
        <v>33</v>
      </c>
      <c r="D40" s="24" t="n">
        <v>643.4</v>
      </c>
      <c r="E40" s="24" t="n">
        <v>0</v>
      </c>
      <c r="F40" s="24" t="n">
        <v>386.04</v>
      </c>
      <c r="G40" s="24" t="n">
        <v>0</v>
      </c>
      <c r="H40" s="24" t="n">
        <v>394.62</v>
      </c>
      <c r="I40" s="24" t="n">
        <f aca="false">G40+H40</f>
        <v>394.62</v>
      </c>
      <c r="J40" s="24" t="n">
        <f aca="false">D40-I40</f>
        <v>248.78</v>
      </c>
      <c r="K40" s="25" t="s">
        <v>90</v>
      </c>
      <c r="L40" s="25" t="s">
        <v>91</v>
      </c>
    </row>
    <row r="41" customFormat="false" ht="15" hidden="false" customHeight="false" outlineLevel="0" collapsed="false">
      <c r="A41" s="23" t="n">
        <v>6</v>
      </c>
      <c r="B41" s="23" t="s">
        <v>39</v>
      </c>
      <c r="C41" s="23" t="s">
        <v>33</v>
      </c>
      <c r="D41" s="24" t="n">
        <v>1206.36</v>
      </c>
      <c r="E41" s="24" t="n">
        <v>0</v>
      </c>
      <c r="F41" s="24" t="n">
        <v>723.82</v>
      </c>
      <c r="G41" s="24" t="n">
        <v>0</v>
      </c>
      <c r="H41" s="24" t="n">
        <v>820.32</v>
      </c>
      <c r="I41" s="24" t="n">
        <f aca="false">G41+H41</f>
        <v>820.32</v>
      </c>
      <c r="J41" s="24" t="n">
        <f aca="false">D41-I41</f>
        <v>386.04</v>
      </c>
      <c r="K41" s="25" t="s">
        <v>92</v>
      </c>
      <c r="L41" s="25" t="s">
        <v>93</v>
      </c>
    </row>
    <row r="42" customFormat="false" ht="15" hidden="false" customHeight="false" outlineLevel="0" collapsed="false">
      <c r="A42" s="26"/>
      <c r="B42" s="27" t="s">
        <v>40</v>
      </c>
      <c r="C42" s="26"/>
      <c r="D42" s="28" t="n">
        <f aca="false">SUM(D36:D41)</f>
        <v>8320.46</v>
      </c>
      <c r="E42" s="28" t="n">
        <f aca="false">SUM(E36:E41)</f>
        <v>0</v>
      </c>
      <c r="F42" s="28" t="n">
        <f aca="false">SUM(F36:F41)</f>
        <v>1350.86</v>
      </c>
      <c r="G42" s="28" t="n">
        <f aca="false">SUM(G36:G41)</f>
        <v>0</v>
      </c>
      <c r="H42" s="28" t="n">
        <f aca="false">SUM(H36:H41)</f>
        <v>1579.91</v>
      </c>
      <c r="I42" s="28" t="n">
        <f aca="false">SUM(I36:I41)</f>
        <v>1579.91</v>
      </c>
      <c r="J42" s="28" t="n">
        <f aca="false">SUM(J36:J41)</f>
        <v>6740.55</v>
      </c>
      <c r="K42" s="26"/>
      <c r="L42" s="26"/>
    </row>
    <row r="44" customFormat="false" ht="15" hidden="false" customHeight="false" outlineLevel="0" collapsed="false">
      <c r="A44" s="21" t="s">
        <v>102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customFormat="false" ht="22.35" hidden="false" customHeight="false" outlineLevel="0" collapsed="false">
      <c r="A45" s="4" t="s">
        <v>76</v>
      </c>
      <c r="B45" s="4" t="s">
        <v>77</v>
      </c>
      <c r="C45" s="4" t="s">
        <v>78</v>
      </c>
      <c r="D45" s="4" t="s">
        <v>79</v>
      </c>
      <c r="E45" s="4" t="s">
        <v>80</v>
      </c>
      <c r="F45" s="4" t="s">
        <v>81</v>
      </c>
      <c r="G45" s="4" t="s">
        <v>100</v>
      </c>
      <c r="H45" s="4" t="s">
        <v>101</v>
      </c>
      <c r="I45" s="4" t="s">
        <v>84</v>
      </c>
      <c r="J45" s="4" t="s">
        <v>85</v>
      </c>
      <c r="K45" s="4" t="s">
        <v>86</v>
      </c>
      <c r="L45" s="4" t="s">
        <v>87</v>
      </c>
    </row>
    <row r="46" customFormat="false" ht="15" hidden="false" customHeight="false" outlineLevel="0" collapsed="false">
      <c r="A46" s="23" t="n">
        <v>1</v>
      </c>
      <c r="B46" s="23" t="s">
        <v>44</v>
      </c>
      <c r="C46" s="23" t="s">
        <v>33</v>
      </c>
      <c r="D46" s="24" t="n">
        <v>1082.72</v>
      </c>
      <c r="E46" s="24" t="n">
        <v>0</v>
      </c>
      <c r="F46" s="24" t="n">
        <v>0</v>
      </c>
      <c r="G46" s="24" t="n">
        <v>0</v>
      </c>
      <c r="H46" s="24" t="n">
        <v>18.05</v>
      </c>
      <c r="I46" s="24" t="n">
        <f aca="false">G46+H46</f>
        <v>18.05</v>
      </c>
      <c r="J46" s="24" t="n">
        <f aca="false">D46-I46</f>
        <v>1064.67</v>
      </c>
      <c r="K46" s="25" t="s">
        <v>88</v>
      </c>
      <c r="L46" s="25" t="s">
        <v>89</v>
      </c>
    </row>
    <row r="47" customFormat="false" ht="15" hidden="false" customHeight="false" outlineLevel="0" collapsed="false">
      <c r="A47" s="23" t="n">
        <v>2</v>
      </c>
      <c r="B47" s="23" t="s">
        <v>47</v>
      </c>
      <c r="C47" s="23" t="s">
        <v>33</v>
      </c>
      <c r="D47" s="24" t="n">
        <v>139.71</v>
      </c>
      <c r="E47" s="24" t="n">
        <v>0</v>
      </c>
      <c r="F47" s="24" t="n">
        <v>0</v>
      </c>
      <c r="G47" s="24" t="n">
        <v>0</v>
      </c>
      <c r="H47" s="24" t="n">
        <v>2.33</v>
      </c>
      <c r="I47" s="24" t="n">
        <f aca="false">G47+H47</f>
        <v>2.33</v>
      </c>
      <c r="J47" s="24" t="n">
        <f aca="false">D47-I47</f>
        <v>137.38</v>
      </c>
      <c r="K47" s="25" t="s">
        <v>88</v>
      </c>
      <c r="L47" s="25" t="s">
        <v>89</v>
      </c>
    </row>
    <row r="48" customFormat="false" ht="15" hidden="false" customHeight="false" outlineLevel="0" collapsed="false">
      <c r="A48" s="23" t="n">
        <v>3</v>
      </c>
      <c r="B48" s="23" t="s">
        <v>50</v>
      </c>
      <c r="C48" s="23" t="s">
        <v>33</v>
      </c>
      <c r="D48" s="24" t="n">
        <v>261.95</v>
      </c>
      <c r="E48" s="24" t="n">
        <v>0</v>
      </c>
      <c r="F48" s="24" t="n">
        <v>0</v>
      </c>
      <c r="G48" s="24" t="n">
        <v>0</v>
      </c>
      <c r="H48" s="24" t="n">
        <v>4.37</v>
      </c>
      <c r="I48" s="24" t="n">
        <f aca="false">G48+H48</f>
        <v>4.37</v>
      </c>
      <c r="J48" s="24" t="n">
        <f aca="false">D48-I48</f>
        <v>257.58</v>
      </c>
      <c r="K48" s="25" t="s">
        <v>88</v>
      </c>
      <c r="L48" s="25" t="s">
        <v>89</v>
      </c>
    </row>
    <row r="49" customFormat="false" ht="15" hidden="false" customHeight="false" outlineLevel="0" collapsed="false">
      <c r="A49" s="23" t="n">
        <v>4</v>
      </c>
      <c r="B49" s="23" t="s">
        <v>53</v>
      </c>
      <c r="C49" s="23" t="s">
        <v>33</v>
      </c>
      <c r="D49" s="24" t="n">
        <v>4986.32</v>
      </c>
      <c r="E49" s="24" t="n">
        <v>0</v>
      </c>
      <c r="F49" s="24" t="n">
        <v>0</v>
      </c>
      <c r="G49" s="24" t="n">
        <v>0</v>
      </c>
      <c r="H49" s="24" t="n">
        <v>83.11</v>
      </c>
      <c r="I49" s="24" t="n">
        <f aca="false">G49+H49</f>
        <v>83.11</v>
      </c>
      <c r="J49" s="24" t="n">
        <f aca="false">D49-I49</f>
        <v>4903.21</v>
      </c>
      <c r="K49" s="25" t="s">
        <v>88</v>
      </c>
      <c r="L49" s="25" t="s">
        <v>89</v>
      </c>
    </row>
    <row r="50" customFormat="false" ht="15" hidden="false" customHeight="false" outlineLevel="0" collapsed="false">
      <c r="A50" s="23" t="n">
        <v>5</v>
      </c>
      <c r="B50" s="23" t="s">
        <v>56</v>
      </c>
      <c r="C50" s="23" t="s">
        <v>33</v>
      </c>
      <c r="D50" s="24" t="n">
        <v>643.4</v>
      </c>
      <c r="E50" s="24" t="n">
        <v>0</v>
      </c>
      <c r="F50" s="24" t="n">
        <v>0</v>
      </c>
      <c r="G50" s="24" t="n">
        <v>0</v>
      </c>
      <c r="H50" s="24" t="n">
        <v>10.72</v>
      </c>
      <c r="I50" s="24" t="n">
        <f aca="false">G50+H50</f>
        <v>10.72</v>
      </c>
      <c r="J50" s="24" t="n">
        <f aca="false">D50-I50</f>
        <v>632.68</v>
      </c>
      <c r="K50" s="25" t="s">
        <v>88</v>
      </c>
      <c r="L50" s="25" t="s">
        <v>89</v>
      </c>
    </row>
    <row r="51" customFormat="false" ht="15" hidden="false" customHeight="false" outlineLevel="0" collapsed="false">
      <c r="A51" s="23" t="n">
        <v>6</v>
      </c>
      <c r="B51" s="23" t="s">
        <v>59</v>
      </c>
      <c r="C51" s="23" t="s">
        <v>33</v>
      </c>
      <c r="D51" s="24" t="n">
        <v>1206.36</v>
      </c>
      <c r="E51" s="24" t="n">
        <v>0</v>
      </c>
      <c r="F51" s="24" t="n">
        <v>0</v>
      </c>
      <c r="G51" s="24" t="n">
        <v>0</v>
      </c>
      <c r="H51" s="24" t="n">
        <v>20.11</v>
      </c>
      <c r="I51" s="24" t="n">
        <f aca="false">G51+H51</f>
        <v>20.11</v>
      </c>
      <c r="J51" s="24" t="n">
        <f aca="false">D51-I51</f>
        <v>1186.25</v>
      </c>
      <c r="K51" s="25" t="s">
        <v>88</v>
      </c>
      <c r="L51" s="25" t="s">
        <v>89</v>
      </c>
    </row>
    <row r="52" customFormat="false" ht="15" hidden="false" customHeight="false" outlineLevel="0" collapsed="false">
      <c r="A52" s="26"/>
      <c r="B52" s="27" t="s">
        <v>40</v>
      </c>
      <c r="C52" s="26"/>
      <c r="D52" s="28" t="n">
        <f aca="false">SUM(D46:D51)</f>
        <v>8320.46</v>
      </c>
      <c r="E52" s="28" t="n">
        <f aca="false">SUM(E46:E51)</f>
        <v>0</v>
      </c>
      <c r="F52" s="28" t="n">
        <f aca="false">SUM(F46:F51)</f>
        <v>0</v>
      </c>
      <c r="G52" s="28" t="n">
        <f aca="false">SUM(G46:G51)</f>
        <v>0</v>
      </c>
      <c r="H52" s="28" t="n">
        <f aca="false">SUM(H46:H51)</f>
        <v>138.69</v>
      </c>
      <c r="I52" s="28" t="n">
        <f aca="false">SUM(I46:I51)</f>
        <v>138.69</v>
      </c>
      <c r="J52" s="28" t="n">
        <f aca="false">SUM(J46:J51)</f>
        <v>8181.77</v>
      </c>
      <c r="K52" s="26"/>
      <c r="L52" s="26"/>
    </row>
    <row r="54" customFormat="false" ht="15" hidden="false" customHeight="false" outlineLevel="0" collapsed="false">
      <c r="B54" s="18" t="s">
        <v>103</v>
      </c>
    </row>
    <row r="55" customFormat="false" ht="15" hidden="false" customHeight="false" outlineLevel="0" collapsed="false">
      <c r="B55" s="5" t="s">
        <v>96</v>
      </c>
      <c r="D55" s="6" t="n">
        <f aca="false">I42</f>
        <v>1579.91</v>
      </c>
    </row>
    <row r="56" customFormat="false" ht="15" hidden="false" customHeight="false" outlineLevel="0" collapsed="false">
      <c r="B56" s="5" t="s">
        <v>97</v>
      </c>
      <c r="D56" s="6" t="n">
        <f aca="false">I52</f>
        <v>138.69</v>
      </c>
    </row>
    <row r="57" customFormat="false" ht="15" hidden="false" customHeight="false" outlineLevel="0" collapsed="false">
      <c r="B57" s="11" t="s">
        <v>103</v>
      </c>
      <c r="D57" s="29" t="n">
        <f aca="false">D55-D56</f>
        <v>1441.22</v>
      </c>
    </row>
    <row r="59" customFormat="false" ht="15" hidden="false" customHeight="false" outlineLevel="0" collapsed="false">
      <c r="A59" s="10" t="s">
        <v>104</v>
      </c>
    </row>
    <row r="60" customFormat="false" ht="15" hidden="false" customHeight="false" outlineLevel="0" collapsed="false">
      <c r="B60" s="11" t="s">
        <v>105</v>
      </c>
      <c r="D60" s="12" t="n">
        <f aca="false">D76</f>
        <v>8320.46</v>
      </c>
    </row>
    <row r="61" customFormat="false" ht="15" hidden="false" customHeight="false" outlineLevel="0" collapsed="false">
      <c r="B61" s="5" t="s">
        <v>109</v>
      </c>
      <c r="D61" s="6" t="n">
        <f aca="false">F76</f>
        <v>8320.46</v>
      </c>
    </row>
    <row r="62" customFormat="false" ht="15" hidden="false" customHeight="false" outlineLevel="0" collapsed="false">
      <c r="B62" s="30" t="s">
        <v>107</v>
      </c>
      <c r="D62" s="31" t="n">
        <f aca="false">F77</f>
        <v>1</v>
      </c>
    </row>
    <row r="64" customFormat="false" ht="15" hidden="false" customHeight="false" outlineLevel="0" collapsed="false">
      <c r="A64" s="10" t="s">
        <v>110</v>
      </c>
    </row>
    <row r="65" customFormat="false" ht="15" hidden="false" customHeight="false" outlineLevel="0" collapsed="false">
      <c r="B65" s="4" t="s">
        <v>111</v>
      </c>
      <c r="D65" s="4" t="s">
        <v>79</v>
      </c>
      <c r="F65" s="4" t="s">
        <v>114</v>
      </c>
    </row>
    <row r="66" customFormat="false" ht="15" hidden="false" customHeight="false" outlineLevel="0" collapsed="false">
      <c r="B66" s="32" t="s">
        <v>135</v>
      </c>
    </row>
    <row r="67" customFormat="false" ht="15" hidden="false" customHeight="false" outlineLevel="0" collapsed="false">
      <c r="B67" s="5" t="s">
        <v>156</v>
      </c>
      <c r="D67" s="33" t="n">
        <f aca="false">SUM(F67:F67)</f>
        <v>1125.08</v>
      </c>
      <c r="F67" s="33" t="n">
        <v>1125.08</v>
      </c>
    </row>
    <row r="68" customFormat="false" ht="15" hidden="false" customHeight="false" outlineLevel="0" collapsed="false">
      <c r="B68" s="5" t="s">
        <v>157</v>
      </c>
      <c r="D68" s="33" t="n">
        <f aca="false">SUM(F68:F68)</f>
        <v>2033.38</v>
      </c>
      <c r="F68" s="33" t="n">
        <v>2033.38</v>
      </c>
    </row>
    <row r="69" customFormat="false" ht="15" hidden="false" customHeight="false" outlineLevel="0" collapsed="false">
      <c r="B69" s="5" t="s">
        <v>159</v>
      </c>
      <c r="D69" s="33" t="n">
        <f aca="false">SUM(F69:F69)</f>
        <v>620.34</v>
      </c>
      <c r="F69" s="33" t="n">
        <v>620.34</v>
      </c>
    </row>
    <row r="70" customFormat="false" ht="15" hidden="false" customHeight="false" outlineLevel="0" collapsed="false">
      <c r="B70" s="5" t="s">
        <v>162</v>
      </c>
      <c r="D70" s="33" t="n">
        <f aca="false">SUM(F70:F70)</f>
        <v>1053.69</v>
      </c>
      <c r="F70" s="33" t="n">
        <v>1053.69</v>
      </c>
    </row>
    <row r="71" customFormat="false" ht="15" hidden="false" customHeight="false" outlineLevel="0" collapsed="false">
      <c r="B71" s="5" t="s">
        <v>163</v>
      </c>
      <c r="D71" s="33" t="n">
        <f aca="false">SUM(F71:F71)</f>
        <v>465.56</v>
      </c>
      <c r="F71" s="33" t="n">
        <v>465.56</v>
      </c>
    </row>
    <row r="72" customFormat="false" ht="15" hidden="false" customHeight="false" outlineLevel="0" collapsed="false">
      <c r="B72" s="5" t="s">
        <v>167</v>
      </c>
      <c r="D72" s="33" t="n">
        <f aca="false">SUM(F72:F72)</f>
        <v>225.1</v>
      </c>
      <c r="F72" s="33" t="n">
        <v>225.1</v>
      </c>
    </row>
    <row r="73" customFormat="false" ht="15" hidden="false" customHeight="false" outlineLevel="0" collapsed="false">
      <c r="B73" s="5" t="s">
        <v>169</v>
      </c>
      <c r="D73" s="33" t="n">
        <f aca="false">SUM(F73:F73)</f>
        <v>2361.63</v>
      </c>
      <c r="F73" s="33" t="n">
        <v>2361.63</v>
      </c>
    </row>
    <row r="74" customFormat="false" ht="15" hidden="false" customHeight="false" outlineLevel="0" collapsed="false">
      <c r="B74" s="5" t="s">
        <v>197</v>
      </c>
      <c r="D74" s="33" t="n">
        <f aca="false">SUM(F74:F74)</f>
        <v>294.32</v>
      </c>
      <c r="F74" s="33" t="n">
        <v>294.32</v>
      </c>
    </row>
    <row r="75" customFormat="false" ht="15" hidden="false" customHeight="false" outlineLevel="0" collapsed="false">
      <c r="B75" s="5" t="s">
        <v>198</v>
      </c>
      <c r="D75" s="33" t="n">
        <f aca="false">SUM(F75:F75)</f>
        <v>141.36</v>
      </c>
      <c r="F75" s="33" t="n">
        <v>141.36</v>
      </c>
    </row>
    <row r="76" customFormat="false" ht="15" hidden="false" customHeight="false" outlineLevel="0" collapsed="false">
      <c r="B76" s="11" t="s">
        <v>105</v>
      </c>
      <c r="D76" s="34" t="n">
        <f aca="false">SUM(D66:D75)</f>
        <v>8320.46</v>
      </c>
      <c r="F76" s="34" t="n">
        <f aca="false">SUM(F66:F75)</f>
        <v>8320.46</v>
      </c>
    </row>
    <row r="77" customFormat="false" ht="15" hidden="false" customHeight="false" outlineLevel="0" collapsed="false">
      <c r="B77" s="30" t="s">
        <v>107</v>
      </c>
      <c r="F77" s="31" t="n">
        <f aca="false">F76/D76</f>
        <v>1</v>
      </c>
    </row>
    <row r="79" customFormat="false" ht="15" hidden="false" customHeight="false" outlineLevel="0" collapsed="false">
      <c r="A79" s="10" t="s">
        <v>137</v>
      </c>
    </row>
    <row r="80" customFormat="false" ht="15" hidden="false" customHeight="false" outlineLevel="0" collapsed="false">
      <c r="B80" s="4" t="s">
        <v>138</v>
      </c>
      <c r="D80" s="4" t="s">
        <v>79</v>
      </c>
      <c r="F80" s="4" t="s">
        <v>114</v>
      </c>
    </row>
    <row r="81" customFormat="false" ht="15" hidden="false" customHeight="false" outlineLevel="0" collapsed="false">
      <c r="B81" s="5" t="str">
        <f aca="false">'Shed A'!B20</f>
        <v>2-Building-712 Northfield Dr - 27.5 Year</v>
      </c>
      <c r="D81" s="33" t="n">
        <f aca="false">SUM(F81:F81)</f>
        <v>1082.72</v>
      </c>
      <c r="F81" s="33" t="n">
        <f aca="false">'Shed A'!D20</f>
        <v>1082.72</v>
      </c>
    </row>
    <row r="82" customFormat="false" ht="15" hidden="false" customHeight="false" outlineLevel="0" collapsed="false">
      <c r="B82" s="5" t="str">
        <f aca="false">'Shed A'!B21</f>
        <v>3-Northfield Dr - 27.5 Year</v>
      </c>
      <c r="D82" s="33" t="n">
        <f aca="false">SUM(F82:F82)</f>
        <v>139.71</v>
      </c>
      <c r="F82" s="33" t="n">
        <f aca="false">'Shed A'!D21</f>
        <v>139.71</v>
      </c>
    </row>
    <row r="83" customFormat="false" ht="15" hidden="false" customHeight="false" outlineLevel="0" collapsed="false">
      <c r="B83" s="5" t="str">
        <f aca="false">'Shed A'!B22</f>
        <v>4-Northfield Dr - 27.5 Year</v>
      </c>
      <c r="D83" s="33" t="n">
        <f aca="false">SUM(F83:F83)</f>
        <v>261.95</v>
      </c>
      <c r="F83" s="33" t="n">
        <f aca="false">'Shed A'!D22</f>
        <v>261.95</v>
      </c>
    </row>
    <row r="84" customFormat="false" ht="15" hidden="false" customHeight="false" outlineLevel="0" collapsed="false">
      <c r="B84" s="5" t="str">
        <f aca="false">'Shed A'!B23</f>
        <v>7-Building-2202 Northview Dr - 27.5 Year</v>
      </c>
      <c r="D84" s="33" t="n">
        <f aca="false">SUM(F84:F84)</f>
        <v>4986.32</v>
      </c>
      <c r="F84" s="33" t="n">
        <f aca="false">'Shed A'!D23</f>
        <v>4986.32</v>
      </c>
    </row>
    <row r="85" customFormat="false" ht="15" hidden="false" customHeight="false" outlineLevel="0" collapsed="false">
      <c r="B85" s="5" t="str">
        <f aca="false">'Shed A'!B24</f>
        <v>8-Northiew Dr - 27.5 Year</v>
      </c>
      <c r="D85" s="33" t="n">
        <f aca="false">SUM(F85:F85)</f>
        <v>643.4</v>
      </c>
      <c r="F85" s="33" t="n">
        <f aca="false">'Shed A'!D24</f>
        <v>643.4</v>
      </c>
    </row>
    <row r="86" customFormat="false" ht="15" hidden="false" customHeight="false" outlineLevel="0" collapsed="false">
      <c r="B86" s="5" t="str">
        <f aca="false">'Shed A'!B25</f>
        <v>9-Northview Dr - 27.5 Year</v>
      </c>
      <c r="D86" s="33" t="n">
        <f aca="false">SUM(F86:F86)</f>
        <v>1206.36</v>
      </c>
      <c r="F86" s="33" t="n">
        <f aca="false">'Shed A'!D25</f>
        <v>1206.36</v>
      </c>
    </row>
    <row r="87" customFormat="false" ht="15" hidden="false" customHeight="false" outlineLevel="0" collapsed="false">
      <c r="B87" s="11" t="s">
        <v>139</v>
      </c>
      <c r="D87" s="34" t="n">
        <f aca="false">SUM(D81:D86)</f>
        <v>8320.46</v>
      </c>
      <c r="F87" s="34" t="n">
        <f aca="false">SUM(F81:F86)</f>
        <v>8320.46</v>
      </c>
    </row>
    <row r="88" customFormat="false" ht="15" hidden="false" customHeight="false" outlineLevel="0" collapsed="false">
      <c r="B88" s="16" t="s">
        <v>140</v>
      </c>
      <c r="D88" s="17" t="n">
        <f aca="false">D87-D76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199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1082.23</v>
      </c>
      <c r="E10" s="24" t="n">
        <v>0</v>
      </c>
      <c r="F10" s="24" t="n">
        <v>0</v>
      </c>
      <c r="G10" s="24" t="n">
        <v>0</v>
      </c>
      <c r="H10" s="24" t="n">
        <v>18.04</v>
      </c>
      <c r="I10" s="24" t="n">
        <f aca="false">G10+H10</f>
        <v>18.04</v>
      </c>
      <c r="J10" s="24" t="n">
        <f aca="false">D10-I10</f>
        <v>1064.19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139.64</v>
      </c>
      <c r="E11" s="24" t="n">
        <v>0</v>
      </c>
      <c r="F11" s="24" t="n">
        <v>83.78</v>
      </c>
      <c r="G11" s="24" t="n">
        <v>0</v>
      </c>
      <c r="H11" s="24" t="n">
        <v>85.64</v>
      </c>
      <c r="I11" s="24" t="n">
        <f aca="false">G11+H11</f>
        <v>85.64</v>
      </c>
      <c r="J11" s="24" t="n">
        <f aca="false">D11-I11</f>
        <v>54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261.83</v>
      </c>
      <c r="E12" s="24" t="n">
        <v>0</v>
      </c>
      <c r="F12" s="24" t="n">
        <v>157.1</v>
      </c>
      <c r="G12" s="24" t="n">
        <v>0</v>
      </c>
      <c r="H12" s="24" t="n">
        <v>178.04</v>
      </c>
      <c r="I12" s="24" t="n">
        <f aca="false">G12+H12</f>
        <v>178.04</v>
      </c>
      <c r="J12" s="24" t="n">
        <f aca="false">D12-I12</f>
        <v>83.79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4984.09</v>
      </c>
      <c r="E13" s="24" t="n">
        <v>0</v>
      </c>
      <c r="F13" s="24" t="n">
        <v>0</v>
      </c>
      <c r="G13" s="24" t="n">
        <v>0</v>
      </c>
      <c r="H13" s="24" t="n">
        <v>83.07</v>
      </c>
      <c r="I13" s="24" t="n">
        <f aca="false">G13+H13</f>
        <v>83.07</v>
      </c>
      <c r="J13" s="24" t="n">
        <f aca="false">D13-I13</f>
        <v>4901.02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643.11</v>
      </c>
      <c r="E14" s="24" t="n">
        <v>0</v>
      </c>
      <c r="F14" s="24" t="n">
        <v>385.87</v>
      </c>
      <c r="G14" s="24" t="n">
        <v>0</v>
      </c>
      <c r="H14" s="24" t="n">
        <v>394.44</v>
      </c>
      <c r="I14" s="24" t="n">
        <f aca="false">G14+H14</f>
        <v>394.44</v>
      </c>
      <c r="J14" s="24" t="n">
        <f aca="false">D14-I14</f>
        <v>248.67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1205.83</v>
      </c>
      <c r="E15" s="24" t="n">
        <v>0</v>
      </c>
      <c r="F15" s="24" t="n">
        <v>723.5</v>
      </c>
      <c r="G15" s="24" t="n">
        <v>0</v>
      </c>
      <c r="H15" s="24" t="n">
        <v>819.96</v>
      </c>
      <c r="I15" s="24" t="n">
        <f aca="false">G15+H15</f>
        <v>819.96</v>
      </c>
      <c r="J15" s="24" t="n">
        <f aca="false">D15-I15</f>
        <v>385.87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8316.73</v>
      </c>
      <c r="E16" s="28" t="n">
        <f aca="false">SUM(E10:E15)</f>
        <v>0</v>
      </c>
      <c r="F16" s="28" t="n">
        <f aca="false">SUM(F10:F15)</f>
        <v>1350.25</v>
      </c>
      <c r="G16" s="28" t="n">
        <f aca="false">SUM(G10:G15)</f>
        <v>0</v>
      </c>
      <c r="H16" s="28" t="n">
        <f aca="false">SUM(H10:H15)</f>
        <v>1579.19</v>
      </c>
      <c r="I16" s="28" t="n">
        <f aca="false">SUM(I10:I15)</f>
        <v>1579.19</v>
      </c>
      <c r="J16" s="28" t="n">
        <f aca="false">SUM(J10:J15)</f>
        <v>6737.54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21.89</v>
      </c>
      <c r="E20" s="24" t="n">
        <v>0</v>
      </c>
      <c r="F20" s="24" t="n">
        <v>13.13</v>
      </c>
      <c r="G20" s="24" t="n">
        <v>0</v>
      </c>
      <c r="H20" s="24" t="n">
        <v>14.88</v>
      </c>
      <c r="I20" s="24" t="n">
        <f aca="false">G20+H20</f>
        <v>14.88</v>
      </c>
      <c r="J20" s="24" t="n">
        <f aca="false">D20-I20</f>
        <v>7.01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1060.34</v>
      </c>
      <c r="E21" s="24" t="n">
        <v>0</v>
      </c>
      <c r="F21" s="24" t="n">
        <v>0</v>
      </c>
      <c r="G21" s="24" t="n">
        <v>0</v>
      </c>
      <c r="H21" s="24" t="n">
        <v>17.67</v>
      </c>
      <c r="I21" s="24" t="n">
        <f aca="false">G21+H21</f>
        <v>17.67</v>
      </c>
      <c r="J21" s="24" t="n">
        <f aca="false">D21-I21</f>
        <v>1042.67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2.82</v>
      </c>
      <c r="E22" s="24" t="n">
        <v>0</v>
      </c>
      <c r="F22" s="24" t="n">
        <v>1.69</v>
      </c>
      <c r="G22" s="24" t="n">
        <v>0</v>
      </c>
      <c r="H22" s="24" t="n">
        <v>2.82</v>
      </c>
      <c r="I22" s="24" t="n">
        <f aca="false">G22+H22</f>
        <v>2.82</v>
      </c>
      <c r="J22" s="24" t="n">
        <f aca="false">D22-I22</f>
        <v>0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136.82</v>
      </c>
      <c r="E23" s="24" t="n">
        <v>0</v>
      </c>
      <c r="F23" s="24" t="n">
        <v>0</v>
      </c>
      <c r="G23" s="24" t="n">
        <v>0</v>
      </c>
      <c r="H23" s="24" t="n">
        <v>2.28</v>
      </c>
      <c r="I23" s="24" t="n">
        <f aca="false">G23+H23</f>
        <v>2.28</v>
      </c>
      <c r="J23" s="24" t="n">
        <f aca="false">D23-I23</f>
        <v>134.54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5.3</v>
      </c>
      <c r="E24" s="24" t="n">
        <v>0</v>
      </c>
      <c r="F24" s="24" t="n">
        <v>3.18</v>
      </c>
      <c r="G24" s="24" t="n">
        <v>0</v>
      </c>
      <c r="H24" s="24" t="n">
        <v>3.6</v>
      </c>
      <c r="I24" s="24" t="n">
        <f aca="false">G24+H24</f>
        <v>3.6</v>
      </c>
      <c r="J24" s="24" t="n">
        <f aca="false">D24-I24</f>
        <v>1.7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256.53</v>
      </c>
      <c r="E25" s="24" t="n">
        <v>0</v>
      </c>
      <c r="F25" s="24" t="n">
        <v>0</v>
      </c>
      <c r="G25" s="24" t="n">
        <v>0</v>
      </c>
      <c r="H25" s="24" t="n">
        <v>4.28</v>
      </c>
      <c r="I25" s="24" t="n">
        <f aca="false">G25+H25</f>
        <v>4.28</v>
      </c>
      <c r="J25" s="24" t="n">
        <f aca="false">D25-I25</f>
        <v>252.25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100.82</v>
      </c>
      <c r="E26" s="24" t="n">
        <v>0</v>
      </c>
      <c r="F26" s="24" t="n">
        <v>60.49</v>
      </c>
      <c r="G26" s="24" t="n">
        <v>0</v>
      </c>
      <c r="H26" s="24" t="n">
        <v>68.56</v>
      </c>
      <c r="I26" s="24" t="n">
        <f aca="false">G26+H26</f>
        <v>68.56</v>
      </c>
      <c r="J26" s="24" t="n">
        <f aca="false">D26-I26</f>
        <v>32.26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4883.27</v>
      </c>
      <c r="E27" s="24" t="n">
        <v>0</v>
      </c>
      <c r="F27" s="24" t="n">
        <v>0</v>
      </c>
      <c r="G27" s="24" t="n">
        <v>0</v>
      </c>
      <c r="H27" s="24" t="n">
        <v>81.39</v>
      </c>
      <c r="I27" s="24" t="n">
        <f aca="false">G27+H27</f>
        <v>81.39</v>
      </c>
      <c r="J27" s="24" t="n">
        <f aca="false">D27-I27</f>
        <v>4801.88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13.01</v>
      </c>
      <c r="E28" s="24" t="n">
        <v>0</v>
      </c>
      <c r="F28" s="24" t="n">
        <v>7.81</v>
      </c>
      <c r="G28" s="24" t="n">
        <v>0</v>
      </c>
      <c r="H28" s="24" t="n">
        <v>8.85</v>
      </c>
      <c r="I28" s="24" t="n">
        <f aca="false">G28+H28</f>
        <v>8.85</v>
      </c>
      <c r="J28" s="24" t="n">
        <f aca="false">D28-I28</f>
        <v>4.16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630.1</v>
      </c>
      <c r="E29" s="24" t="n">
        <v>0</v>
      </c>
      <c r="F29" s="24" t="n">
        <v>0</v>
      </c>
      <c r="G29" s="24" t="n">
        <v>0</v>
      </c>
      <c r="H29" s="24" t="n">
        <v>10.5</v>
      </c>
      <c r="I29" s="24" t="n">
        <f aca="false">G29+H29</f>
        <v>10.5</v>
      </c>
      <c r="J29" s="24" t="n">
        <f aca="false">D29-I29</f>
        <v>619.6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24.39</v>
      </c>
      <c r="E30" s="24" t="n">
        <v>0</v>
      </c>
      <c r="F30" s="24" t="n">
        <v>14.63</v>
      </c>
      <c r="G30" s="24" t="n">
        <v>0</v>
      </c>
      <c r="H30" s="24" t="n">
        <v>16.58</v>
      </c>
      <c r="I30" s="24" t="n">
        <f aca="false">G30+H30</f>
        <v>16.58</v>
      </c>
      <c r="J30" s="24" t="n">
        <f aca="false">D30-I30</f>
        <v>7.81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1181.44</v>
      </c>
      <c r="E31" s="24" t="n">
        <v>0</v>
      </c>
      <c r="F31" s="24" t="n">
        <v>0</v>
      </c>
      <c r="G31" s="24" t="n">
        <v>0</v>
      </c>
      <c r="H31" s="24" t="n">
        <v>19.69</v>
      </c>
      <c r="I31" s="24" t="n">
        <f aca="false">G31+H31</f>
        <v>19.69</v>
      </c>
      <c r="J31" s="24" t="n">
        <f aca="false">D31-I31</f>
        <v>1161.75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8316.73</v>
      </c>
      <c r="E32" s="28" t="n">
        <f aca="false">SUM(E20:E31)</f>
        <v>0</v>
      </c>
      <c r="F32" s="28" t="n">
        <f aca="false">SUM(F20:F31)</f>
        <v>100.93</v>
      </c>
      <c r="G32" s="28" t="n">
        <f aca="false">SUM(G20:G31)</f>
        <v>0</v>
      </c>
      <c r="H32" s="28" t="n">
        <f aca="false">SUM(H20:H31)</f>
        <v>251.1</v>
      </c>
      <c r="I32" s="28" t="n">
        <f aca="false">SUM(I20:I31)</f>
        <v>251.1</v>
      </c>
      <c r="J32" s="28" t="n">
        <f aca="false">SUM(J20:J31)</f>
        <v>8065.63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1579.19</v>
      </c>
    </row>
    <row r="36" customFormat="false" ht="15" hidden="false" customHeight="false" outlineLevel="0" collapsed="false">
      <c r="B36" s="5" t="s">
        <v>97</v>
      </c>
      <c r="D36" s="6" t="n">
        <f aca="false">I32</f>
        <v>251.1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1328.09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1082.23</v>
      </c>
      <c r="E42" s="24" t="n">
        <v>0</v>
      </c>
      <c r="F42" s="24" t="n">
        <v>0</v>
      </c>
      <c r="G42" s="24" t="n">
        <v>0</v>
      </c>
      <c r="H42" s="24" t="n">
        <v>18.04</v>
      </c>
      <c r="I42" s="24" t="n">
        <f aca="false">G42+H42</f>
        <v>18.04</v>
      </c>
      <c r="J42" s="24" t="n">
        <f aca="false">D42-I42</f>
        <v>1064.19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139.64</v>
      </c>
      <c r="E43" s="24" t="n">
        <v>0</v>
      </c>
      <c r="F43" s="24" t="n">
        <v>83.78</v>
      </c>
      <c r="G43" s="24" t="n">
        <v>0</v>
      </c>
      <c r="H43" s="24" t="n">
        <v>85.64</v>
      </c>
      <c r="I43" s="24" t="n">
        <f aca="false">G43+H43</f>
        <v>85.64</v>
      </c>
      <c r="J43" s="24" t="n">
        <f aca="false">D43-I43</f>
        <v>54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261.83</v>
      </c>
      <c r="E44" s="24" t="n">
        <v>0</v>
      </c>
      <c r="F44" s="24" t="n">
        <v>157.1</v>
      </c>
      <c r="G44" s="24" t="n">
        <v>0</v>
      </c>
      <c r="H44" s="24" t="n">
        <v>178.04</v>
      </c>
      <c r="I44" s="24" t="n">
        <f aca="false">G44+H44</f>
        <v>178.04</v>
      </c>
      <c r="J44" s="24" t="n">
        <f aca="false">D44-I44</f>
        <v>83.79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4984.09</v>
      </c>
      <c r="E45" s="24" t="n">
        <v>0</v>
      </c>
      <c r="F45" s="24" t="n">
        <v>0</v>
      </c>
      <c r="G45" s="24" t="n">
        <v>0</v>
      </c>
      <c r="H45" s="24" t="n">
        <v>83.07</v>
      </c>
      <c r="I45" s="24" t="n">
        <f aca="false">G45+H45</f>
        <v>83.07</v>
      </c>
      <c r="J45" s="24" t="n">
        <f aca="false">D45-I45</f>
        <v>4901.02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643.11</v>
      </c>
      <c r="E46" s="24" t="n">
        <v>0</v>
      </c>
      <c r="F46" s="24" t="n">
        <v>385.87</v>
      </c>
      <c r="G46" s="24" t="n">
        <v>0</v>
      </c>
      <c r="H46" s="24" t="n">
        <v>394.44</v>
      </c>
      <c r="I46" s="24" t="n">
        <f aca="false">G46+H46</f>
        <v>394.44</v>
      </c>
      <c r="J46" s="24" t="n">
        <f aca="false">D46-I46</f>
        <v>248.67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1205.83</v>
      </c>
      <c r="E47" s="24" t="n">
        <v>0</v>
      </c>
      <c r="F47" s="24" t="n">
        <v>723.5</v>
      </c>
      <c r="G47" s="24" t="n">
        <v>0</v>
      </c>
      <c r="H47" s="24" t="n">
        <v>819.96</v>
      </c>
      <c r="I47" s="24" t="n">
        <f aca="false">G47+H47</f>
        <v>819.96</v>
      </c>
      <c r="J47" s="24" t="n">
        <f aca="false">D47-I47</f>
        <v>385.87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8316.73</v>
      </c>
      <c r="E48" s="28" t="n">
        <f aca="false">SUM(E42:E47)</f>
        <v>0</v>
      </c>
      <c r="F48" s="28" t="n">
        <f aca="false">SUM(F42:F47)</f>
        <v>1350.25</v>
      </c>
      <c r="G48" s="28" t="n">
        <f aca="false">SUM(G42:G47)</f>
        <v>0</v>
      </c>
      <c r="H48" s="28" t="n">
        <f aca="false">SUM(H42:H47)</f>
        <v>1579.19</v>
      </c>
      <c r="I48" s="28" t="n">
        <f aca="false">SUM(I42:I47)</f>
        <v>1579.19</v>
      </c>
      <c r="J48" s="28" t="n">
        <f aca="false">SUM(J42:J47)</f>
        <v>6737.54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21.89</v>
      </c>
      <c r="E52" s="24" t="n">
        <v>0</v>
      </c>
      <c r="F52" s="24" t="n">
        <v>13.13</v>
      </c>
      <c r="G52" s="24" t="n">
        <v>0</v>
      </c>
      <c r="H52" s="24" t="n">
        <v>14.88</v>
      </c>
      <c r="I52" s="24" t="n">
        <f aca="false">G52+H52</f>
        <v>14.88</v>
      </c>
      <c r="J52" s="24" t="n">
        <f aca="false">D52-I52</f>
        <v>7.01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1060.34</v>
      </c>
      <c r="E53" s="24" t="n">
        <v>0</v>
      </c>
      <c r="F53" s="24" t="n">
        <v>0</v>
      </c>
      <c r="G53" s="24" t="n">
        <v>0</v>
      </c>
      <c r="H53" s="24" t="n">
        <v>17.67</v>
      </c>
      <c r="I53" s="24" t="n">
        <f aca="false">G53+H53</f>
        <v>17.67</v>
      </c>
      <c r="J53" s="24" t="n">
        <f aca="false">D53-I53</f>
        <v>1042.67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2.82</v>
      </c>
      <c r="E54" s="24" t="n">
        <v>0</v>
      </c>
      <c r="F54" s="24" t="n">
        <v>1.69</v>
      </c>
      <c r="G54" s="24" t="n">
        <v>0</v>
      </c>
      <c r="H54" s="24" t="n">
        <v>2.82</v>
      </c>
      <c r="I54" s="24" t="n">
        <f aca="false">G54+H54</f>
        <v>2.82</v>
      </c>
      <c r="J54" s="24" t="n">
        <f aca="false">D54-I54</f>
        <v>0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136.82</v>
      </c>
      <c r="E55" s="24" t="n">
        <v>0</v>
      </c>
      <c r="F55" s="24" t="n">
        <v>0</v>
      </c>
      <c r="G55" s="24" t="n">
        <v>0</v>
      </c>
      <c r="H55" s="24" t="n">
        <v>2.28</v>
      </c>
      <c r="I55" s="24" t="n">
        <f aca="false">G55+H55</f>
        <v>2.28</v>
      </c>
      <c r="J55" s="24" t="n">
        <f aca="false">D55-I55</f>
        <v>134.54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5.3</v>
      </c>
      <c r="E56" s="24" t="n">
        <v>0</v>
      </c>
      <c r="F56" s="24" t="n">
        <v>3.18</v>
      </c>
      <c r="G56" s="24" t="n">
        <v>0</v>
      </c>
      <c r="H56" s="24" t="n">
        <v>3.6</v>
      </c>
      <c r="I56" s="24" t="n">
        <f aca="false">G56+H56</f>
        <v>3.6</v>
      </c>
      <c r="J56" s="24" t="n">
        <f aca="false">D56-I56</f>
        <v>1.7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256.53</v>
      </c>
      <c r="E57" s="24" t="n">
        <v>0</v>
      </c>
      <c r="F57" s="24" t="n">
        <v>0</v>
      </c>
      <c r="G57" s="24" t="n">
        <v>0</v>
      </c>
      <c r="H57" s="24" t="n">
        <v>4.28</v>
      </c>
      <c r="I57" s="24" t="n">
        <f aca="false">G57+H57</f>
        <v>4.28</v>
      </c>
      <c r="J57" s="24" t="n">
        <f aca="false">D57-I57</f>
        <v>252.25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100.82</v>
      </c>
      <c r="E58" s="24" t="n">
        <v>0</v>
      </c>
      <c r="F58" s="24" t="n">
        <v>60.49</v>
      </c>
      <c r="G58" s="24" t="n">
        <v>0</v>
      </c>
      <c r="H58" s="24" t="n">
        <v>68.56</v>
      </c>
      <c r="I58" s="24" t="n">
        <f aca="false">G58+H58</f>
        <v>68.56</v>
      </c>
      <c r="J58" s="24" t="n">
        <f aca="false">D58-I58</f>
        <v>32.26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4883.27</v>
      </c>
      <c r="E59" s="24" t="n">
        <v>0</v>
      </c>
      <c r="F59" s="24" t="n">
        <v>0</v>
      </c>
      <c r="G59" s="24" t="n">
        <v>0</v>
      </c>
      <c r="H59" s="24" t="n">
        <v>81.39</v>
      </c>
      <c r="I59" s="24" t="n">
        <f aca="false">G59+H59</f>
        <v>81.39</v>
      </c>
      <c r="J59" s="24" t="n">
        <f aca="false">D59-I59</f>
        <v>4801.88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13.01</v>
      </c>
      <c r="E60" s="24" t="n">
        <v>0</v>
      </c>
      <c r="F60" s="24" t="n">
        <v>7.81</v>
      </c>
      <c r="G60" s="24" t="n">
        <v>0</v>
      </c>
      <c r="H60" s="24" t="n">
        <v>8.85</v>
      </c>
      <c r="I60" s="24" t="n">
        <f aca="false">G60+H60</f>
        <v>8.85</v>
      </c>
      <c r="J60" s="24" t="n">
        <f aca="false">D60-I60</f>
        <v>4.16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630.1</v>
      </c>
      <c r="E61" s="24" t="n">
        <v>0</v>
      </c>
      <c r="F61" s="24" t="n">
        <v>0</v>
      </c>
      <c r="G61" s="24" t="n">
        <v>0</v>
      </c>
      <c r="H61" s="24" t="n">
        <v>10.5</v>
      </c>
      <c r="I61" s="24" t="n">
        <f aca="false">G61+H61</f>
        <v>10.5</v>
      </c>
      <c r="J61" s="24" t="n">
        <f aca="false">D61-I61</f>
        <v>619.6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24.39</v>
      </c>
      <c r="E62" s="24" t="n">
        <v>0</v>
      </c>
      <c r="F62" s="24" t="n">
        <v>14.63</v>
      </c>
      <c r="G62" s="24" t="n">
        <v>0</v>
      </c>
      <c r="H62" s="24" t="n">
        <v>16.58</v>
      </c>
      <c r="I62" s="24" t="n">
        <f aca="false">G62+H62</f>
        <v>16.58</v>
      </c>
      <c r="J62" s="24" t="n">
        <f aca="false">D62-I62</f>
        <v>7.81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1181.44</v>
      </c>
      <c r="E63" s="24" t="n">
        <v>0</v>
      </c>
      <c r="F63" s="24" t="n">
        <v>0</v>
      </c>
      <c r="G63" s="24" t="n">
        <v>0</v>
      </c>
      <c r="H63" s="24" t="n">
        <v>19.69</v>
      </c>
      <c r="I63" s="24" t="n">
        <f aca="false">G63+H63</f>
        <v>19.69</v>
      </c>
      <c r="J63" s="24" t="n">
        <f aca="false">D63-I63</f>
        <v>1161.75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8316.73</v>
      </c>
      <c r="E64" s="28" t="n">
        <f aca="false">SUM(E52:E63)</f>
        <v>0</v>
      </c>
      <c r="F64" s="28" t="n">
        <f aca="false">SUM(F52:F63)</f>
        <v>100.93</v>
      </c>
      <c r="G64" s="28" t="n">
        <f aca="false">SUM(G52:G63)</f>
        <v>0</v>
      </c>
      <c r="H64" s="28" t="n">
        <f aca="false">SUM(H52:H63)</f>
        <v>251.1</v>
      </c>
      <c r="I64" s="28" t="n">
        <f aca="false">SUM(I52:I63)</f>
        <v>251.1</v>
      </c>
      <c r="J64" s="28" t="n">
        <f aca="false">SUM(J52:J63)</f>
        <v>8065.63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1579.19</v>
      </c>
    </row>
    <row r="68" customFormat="false" ht="15" hidden="false" customHeight="false" outlineLevel="0" collapsed="false">
      <c r="B68" s="5" t="s">
        <v>97</v>
      </c>
      <c r="D68" s="6" t="n">
        <f aca="false">I64</f>
        <v>251.1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1328.09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D92</f>
        <v>8316.73</v>
      </c>
    </row>
    <row r="73" customFormat="false" ht="15" hidden="false" customHeight="false" outlineLevel="0" collapsed="false">
      <c r="B73" s="5" t="s">
        <v>106</v>
      </c>
      <c r="D73" s="6" t="n">
        <f aca="false">F92</f>
        <v>168.23</v>
      </c>
    </row>
    <row r="74" customFormat="false" ht="15" hidden="false" customHeight="false" outlineLevel="0" collapsed="false">
      <c r="B74" s="30" t="s">
        <v>107</v>
      </c>
      <c r="D74" s="31" t="n">
        <f aca="false">F93</f>
        <v>0.0202279020720884</v>
      </c>
    </row>
    <row r="75" customFormat="false" ht="15" hidden="false" customHeight="false" outlineLevel="0" collapsed="false">
      <c r="B75" s="5" t="s">
        <v>109</v>
      </c>
      <c r="D75" s="6" t="n">
        <f aca="false">H92</f>
        <v>8148.5</v>
      </c>
    </row>
    <row r="76" customFormat="false" ht="15" hidden="false" customHeight="false" outlineLevel="0" collapsed="false">
      <c r="B76" s="30" t="s">
        <v>107</v>
      </c>
      <c r="D76" s="31" t="n">
        <f aca="false">H93</f>
        <v>0.979772097927912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152</v>
      </c>
      <c r="D81" s="33" t="n">
        <f aca="false">SUM(F81:H81)</f>
        <v>168.23</v>
      </c>
      <c r="F81" s="33" t="n">
        <v>168.23</v>
      </c>
    </row>
    <row r="82" customFormat="false" ht="15" hidden="false" customHeight="false" outlineLevel="0" collapsed="false">
      <c r="B82" s="32" t="s">
        <v>135</v>
      </c>
    </row>
    <row r="83" customFormat="false" ht="15" hidden="false" customHeight="false" outlineLevel="0" collapsed="false">
      <c r="B83" s="5" t="s">
        <v>156</v>
      </c>
      <c r="D83" s="33" t="n">
        <f aca="false">SUM(F83:H83)</f>
        <v>1056.13</v>
      </c>
      <c r="H83" s="33" t="n">
        <v>1056.13</v>
      </c>
    </row>
    <row r="84" customFormat="false" ht="15" hidden="false" customHeight="false" outlineLevel="0" collapsed="false">
      <c r="B84" s="5" t="s">
        <v>157</v>
      </c>
      <c r="D84" s="33" t="n">
        <f aca="false">SUM(F84:H84)</f>
        <v>1982.21</v>
      </c>
      <c r="H84" s="33" t="n">
        <v>1982.21</v>
      </c>
    </row>
    <row r="85" customFormat="false" ht="15" hidden="false" customHeight="false" outlineLevel="0" collapsed="false">
      <c r="B85" s="5" t="s">
        <v>159</v>
      </c>
      <c r="D85" s="33" t="n">
        <f aca="false">SUM(F85:H85)</f>
        <v>586.63</v>
      </c>
      <c r="H85" s="33" t="n">
        <v>586.63</v>
      </c>
    </row>
    <row r="86" customFormat="false" ht="15" hidden="false" customHeight="false" outlineLevel="0" collapsed="false">
      <c r="B86" s="5" t="s">
        <v>162</v>
      </c>
      <c r="D86" s="33" t="n">
        <f aca="false">SUM(F86:H86)</f>
        <v>1096.84</v>
      </c>
      <c r="H86" s="33" t="n">
        <v>1096.84</v>
      </c>
    </row>
    <row r="87" customFormat="false" ht="15" hidden="false" customHeight="false" outlineLevel="0" collapsed="false">
      <c r="B87" s="5" t="s">
        <v>163</v>
      </c>
      <c r="D87" s="33" t="n">
        <f aca="false">SUM(F87:H87)</f>
        <v>465.56</v>
      </c>
      <c r="H87" s="33" t="n">
        <v>465.56</v>
      </c>
    </row>
    <row r="88" customFormat="false" ht="15" hidden="false" customHeight="false" outlineLevel="0" collapsed="false">
      <c r="B88" s="5" t="s">
        <v>167</v>
      </c>
      <c r="D88" s="33" t="n">
        <f aca="false">SUM(F88:H88)</f>
        <v>234.32</v>
      </c>
      <c r="H88" s="33" t="n">
        <v>234.32</v>
      </c>
    </row>
    <row r="89" customFormat="false" ht="15" hidden="false" customHeight="false" outlineLevel="0" collapsed="false">
      <c r="B89" s="5" t="s">
        <v>169</v>
      </c>
      <c r="D89" s="33" t="n">
        <f aca="false">SUM(F89:H89)</f>
        <v>2298.81</v>
      </c>
      <c r="H89" s="33" t="n">
        <v>2298.81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294.32</v>
      </c>
      <c r="H90" s="33" t="n">
        <v>294.32</v>
      </c>
    </row>
    <row r="91" customFormat="false" ht="15" hidden="false" customHeight="false" outlineLevel="0" collapsed="false">
      <c r="B91" s="5" t="s">
        <v>198</v>
      </c>
      <c r="D91" s="33" t="n">
        <f aca="false">SUM(F91:H91)</f>
        <v>133.68</v>
      </c>
      <c r="H91" s="33" t="n">
        <v>133.68</v>
      </c>
    </row>
    <row r="92" customFormat="false" ht="15" hidden="false" customHeight="false" outlineLevel="0" collapsed="false">
      <c r="B92" s="11" t="s">
        <v>105</v>
      </c>
      <c r="D92" s="34" t="n">
        <f aca="false">SUM(D80:D91)</f>
        <v>8316.73</v>
      </c>
      <c r="F92" s="34" t="n">
        <f aca="false">SUM(F80:F91)</f>
        <v>168.23</v>
      </c>
      <c r="H92" s="34" t="n">
        <f aca="false">SUM(H80:H91)</f>
        <v>8148.5</v>
      </c>
    </row>
    <row r="93" customFormat="false" ht="15" hidden="false" customHeight="false" outlineLevel="0" collapsed="false">
      <c r="B93" s="30" t="s">
        <v>107</v>
      </c>
      <c r="F93" s="31" t="n">
        <f aca="false">F92/D92</f>
        <v>0.0202279020720884</v>
      </c>
      <c r="H93" s="31" t="n">
        <f aca="false">H92/D92</f>
        <v>0.979772097927912</v>
      </c>
    </row>
    <row r="95" customFormat="false" ht="15" hidden="false" customHeight="false" outlineLevel="0" collapsed="false">
      <c r="A95" s="10" t="s">
        <v>137</v>
      </c>
    </row>
    <row r="96" customFormat="false" ht="15" hidden="false" customHeight="false" outlineLevel="0" collapsed="false">
      <c r="B96" s="4" t="s">
        <v>138</v>
      </c>
      <c r="D96" s="4" t="s">
        <v>79</v>
      </c>
      <c r="F96" s="4" t="s">
        <v>112</v>
      </c>
      <c r="H96" s="4" t="s">
        <v>114</v>
      </c>
    </row>
    <row r="97" customFormat="false" ht="15" hidden="false" customHeight="false" outlineLevel="0" collapsed="false">
      <c r="B97" s="5" t="str">
        <f aca="false">'Shed B'!B20</f>
        <v>2-Building-712 Northfield Dr - 5 Year</v>
      </c>
      <c r="D97" s="33" t="n">
        <f aca="false">SUM(F97:H97)</f>
        <v>21.89</v>
      </c>
      <c r="F97" s="33" t="n">
        <f aca="false">'Shed B'!D20</f>
        <v>21.89</v>
      </c>
    </row>
    <row r="98" customFormat="false" ht="15" hidden="false" customHeight="false" outlineLevel="0" collapsed="false">
      <c r="B98" s="5" t="str">
        <f aca="false">'Shed B'!B21</f>
        <v>2-Building-712 Northfield Dr - 27.5 Year</v>
      </c>
      <c r="D98" s="33" t="n">
        <f aca="false">SUM(F98:H98)</f>
        <v>1060.34</v>
      </c>
      <c r="H98" s="33" t="n">
        <f aca="false">'Shed B'!D21</f>
        <v>1060.34</v>
      </c>
    </row>
    <row r="99" customFormat="false" ht="15" hidden="false" customHeight="false" outlineLevel="0" collapsed="false">
      <c r="B99" s="5" t="str">
        <f aca="false">'Shed B'!B22</f>
        <v>3-Northfield Dr - 5 Year</v>
      </c>
      <c r="D99" s="33" t="n">
        <f aca="false">SUM(F99:H99)</f>
        <v>2.82</v>
      </c>
      <c r="F99" s="33" t="n">
        <f aca="false">'Shed B'!D22</f>
        <v>2.82</v>
      </c>
    </row>
    <row r="100" customFormat="false" ht="15" hidden="false" customHeight="false" outlineLevel="0" collapsed="false">
      <c r="B100" s="5" t="str">
        <f aca="false">'Shed B'!B23</f>
        <v>3-Northfield Dr - 27.5 Year</v>
      </c>
      <c r="D100" s="33" t="n">
        <f aca="false">SUM(F100:H100)</f>
        <v>136.82</v>
      </c>
      <c r="H100" s="33" t="n">
        <f aca="false">'Shed B'!D23</f>
        <v>136.82</v>
      </c>
    </row>
    <row r="101" customFormat="false" ht="15" hidden="false" customHeight="false" outlineLevel="0" collapsed="false">
      <c r="B101" s="5" t="str">
        <f aca="false">'Shed B'!B24</f>
        <v>4-Northfield Dr - 5 Year</v>
      </c>
      <c r="D101" s="33" t="n">
        <f aca="false">SUM(F101:H101)</f>
        <v>5.3</v>
      </c>
      <c r="F101" s="33" t="n">
        <f aca="false">'Shed B'!D24</f>
        <v>5.3</v>
      </c>
    </row>
    <row r="102" customFormat="false" ht="15" hidden="false" customHeight="false" outlineLevel="0" collapsed="false">
      <c r="B102" s="5" t="str">
        <f aca="false">'Shed B'!B25</f>
        <v>4-Northfield Dr - 27.5 Year</v>
      </c>
      <c r="D102" s="33" t="n">
        <f aca="false">SUM(F102:H102)</f>
        <v>256.53</v>
      </c>
      <c r="H102" s="33" t="n">
        <f aca="false">'Shed B'!D25</f>
        <v>256.53</v>
      </c>
    </row>
    <row r="103" customFormat="false" ht="15" hidden="false" customHeight="false" outlineLevel="0" collapsed="false">
      <c r="B103" s="5" t="str">
        <f aca="false">'Shed B'!B26</f>
        <v>7-Building-2202 Northview Dr - 5 Year</v>
      </c>
      <c r="D103" s="33" t="n">
        <f aca="false">SUM(F103:H103)</f>
        <v>100.82</v>
      </c>
      <c r="F103" s="33" t="n">
        <f aca="false">'Shed B'!D26</f>
        <v>100.82</v>
      </c>
    </row>
    <row r="104" customFormat="false" ht="15" hidden="false" customHeight="false" outlineLevel="0" collapsed="false">
      <c r="B104" s="5" t="str">
        <f aca="false">'Shed B'!B27</f>
        <v>7-Building-2202 Northview Dr - 27.5 Year</v>
      </c>
      <c r="D104" s="33" t="n">
        <f aca="false">SUM(F104:H104)</f>
        <v>4883.27</v>
      </c>
      <c r="H104" s="33" t="n">
        <f aca="false">'Shed B'!D27</f>
        <v>4883.27</v>
      </c>
    </row>
    <row r="105" customFormat="false" ht="15" hidden="false" customHeight="false" outlineLevel="0" collapsed="false">
      <c r="B105" s="5" t="str">
        <f aca="false">'Shed B'!B28</f>
        <v>8-Northiew Dr - 5 Year</v>
      </c>
      <c r="D105" s="33" t="n">
        <f aca="false">SUM(F105:H105)</f>
        <v>13.01</v>
      </c>
      <c r="F105" s="33" t="n">
        <f aca="false">'Shed B'!D28</f>
        <v>13.01</v>
      </c>
    </row>
    <row r="106" customFormat="false" ht="15" hidden="false" customHeight="false" outlineLevel="0" collapsed="false">
      <c r="B106" s="5" t="str">
        <f aca="false">'Shed B'!B29</f>
        <v>8-Northiew Dr - 27.5 Year</v>
      </c>
      <c r="D106" s="33" t="n">
        <f aca="false">SUM(F106:H106)</f>
        <v>630.1</v>
      </c>
      <c r="H106" s="33" t="n">
        <f aca="false">'Shed B'!D29</f>
        <v>630.1</v>
      </c>
    </row>
    <row r="107" customFormat="false" ht="15" hidden="false" customHeight="false" outlineLevel="0" collapsed="false">
      <c r="B107" s="5" t="str">
        <f aca="false">'Shed B'!B30</f>
        <v>9-Northview Dr - 5 Year</v>
      </c>
      <c r="D107" s="33" t="n">
        <f aca="false">SUM(F107:H107)</f>
        <v>24.39</v>
      </c>
      <c r="F107" s="33" t="n">
        <f aca="false">'Shed B'!D30</f>
        <v>24.39</v>
      </c>
    </row>
    <row r="108" customFormat="false" ht="15" hidden="false" customHeight="false" outlineLevel="0" collapsed="false">
      <c r="B108" s="5" t="str">
        <f aca="false">'Shed B'!B31</f>
        <v>9-Northview Dr - 27.5 Year</v>
      </c>
      <c r="D108" s="33" t="n">
        <f aca="false">SUM(F108:H108)</f>
        <v>1181.44</v>
      </c>
      <c r="H108" s="33" t="n">
        <f aca="false">'Shed B'!D31</f>
        <v>1181.44</v>
      </c>
    </row>
    <row r="109" customFormat="false" ht="15" hidden="false" customHeight="false" outlineLevel="0" collapsed="false">
      <c r="B109" s="11" t="s">
        <v>139</v>
      </c>
      <c r="D109" s="34" t="n">
        <f aca="false">SUM(D97:D108)</f>
        <v>8316.73</v>
      </c>
      <c r="F109" s="34" t="n">
        <f aca="false">SUM(F97:F108)</f>
        <v>168.23</v>
      </c>
      <c r="H109" s="34" t="n">
        <f aca="false">SUM(H97:H108)</f>
        <v>8148.5</v>
      </c>
    </row>
    <row r="110" customFormat="false" ht="15" hidden="false" customHeight="false" outlineLevel="0" collapsed="false">
      <c r="B110" s="16" t="s">
        <v>140</v>
      </c>
      <c r="D110" s="17" t="n">
        <f aca="false">D109-D92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200</v>
      </c>
    </row>
    <row r="5" customFormat="false" ht="15" hidden="false" customHeight="false" outlineLevel="0" collapsed="false">
      <c r="A5" s="16" t="s">
        <v>73</v>
      </c>
    </row>
    <row r="7" customFormat="false" ht="15" hidden="false" customHeight="false" outlineLevel="0" collapsed="false">
      <c r="A7" s="10" t="s">
        <v>74</v>
      </c>
    </row>
    <row r="8" customFormat="false" ht="15" hidden="false" customHeight="false" outlineLevel="0" collapsed="false">
      <c r="A8" s="2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33</v>
      </c>
      <c r="D10" s="24" t="n">
        <v>3581</v>
      </c>
      <c r="E10" s="24" t="n">
        <v>0</v>
      </c>
      <c r="F10" s="24" t="n">
        <v>0</v>
      </c>
      <c r="G10" s="24" t="n">
        <v>0</v>
      </c>
      <c r="H10" s="24" t="n">
        <v>59.67</v>
      </c>
      <c r="I10" s="24" t="n">
        <f aca="false">G10+H10</f>
        <v>59.67</v>
      </c>
      <c r="J10" s="24" t="n">
        <f aca="false">D10-I10</f>
        <v>3521.33</v>
      </c>
      <c r="K10" s="25" t="s">
        <v>88</v>
      </c>
      <c r="L10" s="25" t="s">
        <v>89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33</v>
      </c>
      <c r="D11" s="24" t="n">
        <v>462.04</v>
      </c>
      <c r="E11" s="24" t="n">
        <v>0</v>
      </c>
      <c r="F11" s="24" t="n">
        <v>277.22</v>
      </c>
      <c r="G11" s="24" t="n">
        <v>0</v>
      </c>
      <c r="H11" s="24" t="n">
        <v>283.38</v>
      </c>
      <c r="I11" s="24" t="n">
        <f aca="false">G11+H11</f>
        <v>283.38</v>
      </c>
      <c r="J11" s="24" t="n">
        <f aca="false">D11-I11</f>
        <v>178.66</v>
      </c>
      <c r="K11" s="25" t="s">
        <v>90</v>
      </c>
      <c r="L11" s="25" t="s">
        <v>91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33</v>
      </c>
      <c r="D12" s="24" t="n">
        <v>866.37</v>
      </c>
      <c r="E12" s="24" t="n">
        <v>0</v>
      </c>
      <c r="F12" s="24" t="n">
        <v>519.82</v>
      </c>
      <c r="G12" s="24" t="n">
        <v>0</v>
      </c>
      <c r="H12" s="24" t="n">
        <v>589.16</v>
      </c>
      <c r="I12" s="24" t="n">
        <f aca="false">G12+H12</f>
        <v>589.16</v>
      </c>
      <c r="J12" s="24" t="n">
        <f aca="false">D12-I12</f>
        <v>277.21</v>
      </c>
      <c r="K12" s="25" t="s">
        <v>92</v>
      </c>
      <c r="L12" s="25" t="s">
        <v>93</v>
      </c>
    </row>
    <row r="13" customFormat="false" ht="15" hidden="false" customHeight="false" outlineLevel="0" collapsed="false">
      <c r="A13" s="23" t="n">
        <v>4</v>
      </c>
      <c r="B13" s="23" t="s">
        <v>37</v>
      </c>
      <c r="C13" s="23" t="s">
        <v>33</v>
      </c>
      <c r="D13" s="24" t="n">
        <v>16491.88</v>
      </c>
      <c r="E13" s="24" t="n">
        <v>0</v>
      </c>
      <c r="F13" s="24" t="n">
        <v>0</v>
      </c>
      <c r="G13" s="24" t="n">
        <v>0</v>
      </c>
      <c r="H13" s="24" t="n">
        <v>274.86</v>
      </c>
      <c r="I13" s="24" t="n">
        <f aca="false">G13+H13</f>
        <v>274.86</v>
      </c>
      <c r="J13" s="24" t="n">
        <f aca="false">D13-I13</f>
        <v>16217.02</v>
      </c>
      <c r="K13" s="25" t="s">
        <v>88</v>
      </c>
      <c r="L13" s="25" t="s">
        <v>89</v>
      </c>
    </row>
    <row r="14" customFormat="false" ht="15" hidden="false" customHeight="false" outlineLevel="0" collapsed="false">
      <c r="A14" s="23" t="n">
        <v>5</v>
      </c>
      <c r="B14" s="23" t="s">
        <v>38</v>
      </c>
      <c r="C14" s="23" t="s">
        <v>33</v>
      </c>
      <c r="D14" s="24" t="n">
        <v>2127.98</v>
      </c>
      <c r="E14" s="24" t="n">
        <v>0</v>
      </c>
      <c r="F14" s="24" t="n">
        <v>1276.79</v>
      </c>
      <c r="G14" s="24" t="n">
        <v>0</v>
      </c>
      <c r="H14" s="24" t="n">
        <v>1305.18</v>
      </c>
      <c r="I14" s="24" t="n">
        <f aca="false">G14+H14</f>
        <v>1305.18</v>
      </c>
      <c r="J14" s="24" t="n">
        <f aca="false">D14-I14</f>
        <v>822.8</v>
      </c>
      <c r="K14" s="25" t="s">
        <v>90</v>
      </c>
      <c r="L14" s="25" t="s">
        <v>91</v>
      </c>
    </row>
    <row r="15" customFormat="false" ht="15" hidden="false" customHeight="false" outlineLevel="0" collapsed="false">
      <c r="A15" s="23" t="n">
        <v>6</v>
      </c>
      <c r="B15" s="23" t="s">
        <v>39</v>
      </c>
      <c r="C15" s="23" t="s">
        <v>33</v>
      </c>
      <c r="D15" s="24" t="n">
        <v>3989.96</v>
      </c>
      <c r="E15" s="24" t="n">
        <v>0</v>
      </c>
      <c r="F15" s="24" t="n">
        <v>2393.98</v>
      </c>
      <c r="G15" s="24" t="n">
        <v>0</v>
      </c>
      <c r="H15" s="24" t="n">
        <v>2713.18</v>
      </c>
      <c r="I15" s="24" t="n">
        <f aca="false">G15+H15</f>
        <v>2713.18</v>
      </c>
      <c r="J15" s="24" t="n">
        <f aca="false">D15-I15</f>
        <v>1276.78</v>
      </c>
      <c r="K15" s="25" t="s">
        <v>92</v>
      </c>
      <c r="L15" s="25" t="s">
        <v>93</v>
      </c>
    </row>
    <row r="16" customFormat="false" ht="15" hidden="false" customHeight="false" outlineLevel="0" collapsed="false">
      <c r="A16" s="26"/>
      <c r="B16" s="27" t="s">
        <v>40</v>
      </c>
      <c r="C16" s="26"/>
      <c r="D16" s="28" t="n">
        <f aca="false">SUM(D10:D15)</f>
        <v>27519.23</v>
      </c>
      <c r="E16" s="28" t="n">
        <f aca="false">SUM(E10:E15)</f>
        <v>0</v>
      </c>
      <c r="F16" s="28" t="n">
        <f aca="false">SUM(F10:F15)</f>
        <v>4467.81</v>
      </c>
      <c r="G16" s="28" t="n">
        <f aca="false">SUM(G10:G15)</f>
        <v>0</v>
      </c>
      <c r="H16" s="28" t="n">
        <f aca="false">SUM(H10:H15)</f>
        <v>5225.43</v>
      </c>
      <c r="I16" s="28" t="n">
        <f aca="false">SUM(I10:I15)</f>
        <v>5225.43</v>
      </c>
      <c r="J16" s="28" t="n">
        <f aca="false">SUM(J10:J15)</f>
        <v>22293.8</v>
      </c>
      <c r="K16" s="26"/>
      <c r="L16" s="26"/>
    </row>
    <row r="18" customFormat="false" ht="15" hidden="false" customHeight="false" outlineLevel="0" collapsed="false">
      <c r="A18" s="21" t="s">
        <v>94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87</v>
      </c>
    </row>
    <row r="20" customFormat="false" ht="15" hidden="false" customHeight="false" outlineLevel="0" collapsed="false">
      <c r="A20" s="23" t="n">
        <v>1</v>
      </c>
      <c r="B20" s="23" t="s">
        <v>42</v>
      </c>
      <c r="C20" s="23" t="s">
        <v>33</v>
      </c>
      <c r="D20" s="24" t="n">
        <v>2272.18</v>
      </c>
      <c r="E20" s="24" t="n">
        <v>0</v>
      </c>
      <c r="F20" s="24" t="n">
        <v>1363.31</v>
      </c>
      <c r="G20" s="24" t="n">
        <v>0</v>
      </c>
      <c r="H20" s="24" t="n">
        <v>1545.08</v>
      </c>
      <c r="I20" s="24" t="n">
        <f aca="false">G20+H20</f>
        <v>1545.08</v>
      </c>
      <c r="J20" s="24" t="n">
        <f aca="false">D20-I20</f>
        <v>727.1</v>
      </c>
      <c r="K20" s="25" t="s">
        <v>92</v>
      </c>
      <c r="L20" s="25" t="s">
        <v>93</v>
      </c>
    </row>
    <row r="21" customFormat="false" ht="15" hidden="false" customHeight="false" outlineLevel="0" collapsed="false">
      <c r="A21" s="23" t="n">
        <v>2</v>
      </c>
      <c r="B21" s="23" t="s">
        <v>44</v>
      </c>
      <c r="C21" s="23" t="s">
        <v>33</v>
      </c>
      <c r="D21" s="24" t="n">
        <v>1308.82</v>
      </c>
      <c r="E21" s="24" t="n">
        <v>0</v>
      </c>
      <c r="F21" s="24" t="n">
        <v>0</v>
      </c>
      <c r="G21" s="24" t="n">
        <v>0</v>
      </c>
      <c r="H21" s="24" t="n">
        <v>21.81</v>
      </c>
      <c r="I21" s="24" t="n">
        <f aca="false">G21+H21</f>
        <v>21.81</v>
      </c>
      <c r="J21" s="24" t="n">
        <f aca="false">D21-I21</f>
        <v>1287.01</v>
      </c>
      <c r="K21" s="25" t="s">
        <v>88</v>
      </c>
      <c r="L21" s="25" t="s">
        <v>89</v>
      </c>
    </row>
    <row r="22" customFormat="false" ht="15" hidden="false" customHeight="false" outlineLevel="0" collapsed="false">
      <c r="A22" s="23" t="n">
        <v>3</v>
      </c>
      <c r="B22" s="23" t="s">
        <v>45</v>
      </c>
      <c r="C22" s="23" t="s">
        <v>33</v>
      </c>
      <c r="D22" s="24" t="n">
        <v>293.17</v>
      </c>
      <c r="E22" s="24" t="n">
        <v>0</v>
      </c>
      <c r="F22" s="24" t="n">
        <v>175.9</v>
      </c>
      <c r="G22" s="24" t="n">
        <v>0</v>
      </c>
      <c r="H22" s="24" t="n">
        <v>199.35</v>
      </c>
      <c r="I22" s="24" t="n">
        <f aca="false">G22+H22</f>
        <v>199.35</v>
      </c>
      <c r="J22" s="24" t="n">
        <f aca="false">D22-I22</f>
        <v>93.82</v>
      </c>
      <c r="K22" s="25" t="s">
        <v>92</v>
      </c>
      <c r="L22" s="25" t="s">
        <v>93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33</v>
      </c>
      <c r="D23" s="24" t="n">
        <v>168.87</v>
      </c>
      <c r="E23" s="24" t="n">
        <v>0</v>
      </c>
      <c r="F23" s="24" t="n">
        <v>0</v>
      </c>
      <c r="G23" s="24" t="n">
        <v>0</v>
      </c>
      <c r="H23" s="24" t="n">
        <v>2.81</v>
      </c>
      <c r="I23" s="24" t="n">
        <f aca="false">G23+H23</f>
        <v>2.81</v>
      </c>
      <c r="J23" s="24" t="n">
        <f aca="false">D23-I23</f>
        <v>166.06</v>
      </c>
      <c r="K23" s="25" t="s">
        <v>88</v>
      </c>
      <c r="L23" s="25" t="s">
        <v>89</v>
      </c>
    </row>
    <row r="24" customFormat="false" ht="15" hidden="false" customHeight="false" outlineLevel="0" collapsed="false">
      <c r="A24" s="23" t="n">
        <v>5</v>
      </c>
      <c r="B24" s="23" t="s">
        <v>48</v>
      </c>
      <c r="C24" s="23" t="s">
        <v>33</v>
      </c>
      <c r="D24" s="24" t="n">
        <v>549.72</v>
      </c>
      <c r="E24" s="24" t="n">
        <v>0</v>
      </c>
      <c r="F24" s="24" t="n">
        <v>329.83</v>
      </c>
      <c r="G24" s="24" t="n">
        <v>0</v>
      </c>
      <c r="H24" s="24" t="n">
        <v>373.81</v>
      </c>
      <c r="I24" s="24" t="n">
        <f aca="false">G24+H24</f>
        <v>373.81</v>
      </c>
      <c r="J24" s="24" t="n">
        <f aca="false">D24-I24</f>
        <v>175.91</v>
      </c>
      <c r="K24" s="25" t="s">
        <v>92</v>
      </c>
      <c r="L24" s="25" t="s">
        <v>93</v>
      </c>
    </row>
    <row r="25" customFormat="false" ht="15" hidden="false" customHeight="false" outlineLevel="0" collapsed="false">
      <c r="A25" s="23" t="n">
        <v>6</v>
      </c>
      <c r="B25" s="23" t="s">
        <v>50</v>
      </c>
      <c r="C25" s="23" t="s">
        <v>33</v>
      </c>
      <c r="D25" s="24" t="n">
        <v>316.65</v>
      </c>
      <c r="E25" s="24" t="n">
        <v>0</v>
      </c>
      <c r="F25" s="24" t="n">
        <v>0</v>
      </c>
      <c r="G25" s="24" t="n">
        <v>0</v>
      </c>
      <c r="H25" s="24" t="n">
        <v>5.28</v>
      </c>
      <c r="I25" s="24" t="n">
        <f aca="false">G25+H25</f>
        <v>5.28</v>
      </c>
      <c r="J25" s="24" t="n">
        <f aca="false">D25-I25</f>
        <v>311.37</v>
      </c>
      <c r="K25" s="25" t="s">
        <v>88</v>
      </c>
      <c r="L25" s="25" t="s">
        <v>89</v>
      </c>
    </row>
    <row r="26" customFormat="false" ht="15" hidden="false" customHeight="false" outlineLevel="0" collapsed="false">
      <c r="A26" s="23" t="n">
        <v>7</v>
      </c>
      <c r="B26" s="23" t="s">
        <v>51</v>
      </c>
      <c r="C26" s="23" t="s">
        <v>33</v>
      </c>
      <c r="D26" s="24" t="n">
        <v>10464.28</v>
      </c>
      <c r="E26" s="24" t="n">
        <v>0</v>
      </c>
      <c r="F26" s="24" t="n">
        <v>6278.57</v>
      </c>
      <c r="G26" s="24" t="n">
        <v>0</v>
      </c>
      <c r="H26" s="24" t="n">
        <v>7115.71</v>
      </c>
      <c r="I26" s="24" t="n">
        <f aca="false">G26+H26</f>
        <v>7115.71</v>
      </c>
      <c r="J26" s="24" t="n">
        <f aca="false">D26-I26</f>
        <v>3348.57</v>
      </c>
      <c r="K26" s="25" t="s">
        <v>92</v>
      </c>
      <c r="L26" s="25" t="s">
        <v>93</v>
      </c>
    </row>
    <row r="27" customFormat="false" ht="15" hidden="false" customHeight="false" outlineLevel="0" collapsed="false">
      <c r="A27" s="23" t="n">
        <v>8</v>
      </c>
      <c r="B27" s="23" t="s">
        <v>53</v>
      </c>
      <c r="C27" s="23" t="s">
        <v>33</v>
      </c>
      <c r="D27" s="24" t="n">
        <v>6027.6</v>
      </c>
      <c r="E27" s="24" t="n">
        <v>0</v>
      </c>
      <c r="F27" s="24" t="n">
        <v>0</v>
      </c>
      <c r="G27" s="24" t="n">
        <v>0</v>
      </c>
      <c r="H27" s="24" t="n">
        <v>100.46</v>
      </c>
      <c r="I27" s="24" t="n">
        <f aca="false">G27+H27</f>
        <v>100.46</v>
      </c>
      <c r="J27" s="24" t="n">
        <f aca="false">D27-I27</f>
        <v>5927.14</v>
      </c>
      <c r="K27" s="25" t="s">
        <v>88</v>
      </c>
      <c r="L27" s="25" t="s">
        <v>89</v>
      </c>
    </row>
    <row r="28" customFormat="false" ht="15" hidden="false" customHeight="false" outlineLevel="0" collapsed="false">
      <c r="A28" s="23" t="n">
        <v>9</v>
      </c>
      <c r="B28" s="23" t="s">
        <v>54</v>
      </c>
      <c r="C28" s="23" t="s">
        <v>33</v>
      </c>
      <c r="D28" s="24" t="n">
        <v>1350.23</v>
      </c>
      <c r="E28" s="24" t="n">
        <v>0</v>
      </c>
      <c r="F28" s="24" t="n">
        <v>810.14</v>
      </c>
      <c r="G28" s="24" t="n">
        <v>0</v>
      </c>
      <c r="H28" s="24" t="n">
        <v>918.16</v>
      </c>
      <c r="I28" s="24" t="n">
        <f aca="false">G28+H28</f>
        <v>918.16</v>
      </c>
      <c r="J28" s="24" t="n">
        <f aca="false">D28-I28</f>
        <v>432.07</v>
      </c>
      <c r="K28" s="25" t="s">
        <v>92</v>
      </c>
      <c r="L28" s="25" t="s">
        <v>93</v>
      </c>
    </row>
    <row r="29" customFormat="false" ht="15" hidden="false" customHeight="false" outlineLevel="0" collapsed="false">
      <c r="A29" s="23" t="n">
        <v>10</v>
      </c>
      <c r="B29" s="23" t="s">
        <v>56</v>
      </c>
      <c r="C29" s="23" t="s">
        <v>33</v>
      </c>
      <c r="D29" s="24" t="n">
        <v>777.75</v>
      </c>
      <c r="E29" s="24" t="n">
        <v>0</v>
      </c>
      <c r="F29" s="24" t="n">
        <v>0</v>
      </c>
      <c r="G29" s="24" t="n">
        <v>0</v>
      </c>
      <c r="H29" s="24" t="n">
        <v>12.96</v>
      </c>
      <c r="I29" s="24" t="n">
        <f aca="false">G29+H29</f>
        <v>12.96</v>
      </c>
      <c r="J29" s="24" t="n">
        <f aca="false">D29-I29</f>
        <v>764.79</v>
      </c>
      <c r="K29" s="25" t="s">
        <v>88</v>
      </c>
      <c r="L29" s="25" t="s">
        <v>89</v>
      </c>
    </row>
    <row r="30" customFormat="false" ht="15" hidden="false" customHeight="false" outlineLevel="0" collapsed="false">
      <c r="A30" s="23" t="n">
        <v>11</v>
      </c>
      <c r="B30" s="23" t="s">
        <v>57</v>
      </c>
      <c r="C30" s="23" t="s">
        <v>33</v>
      </c>
      <c r="D30" s="24" t="n">
        <v>2531.67</v>
      </c>
      <c r="E30" s="24" t="n">
        <v>0</v>
      </c>
      <c r="F30" s="24" t="n">
        <v>1519</v>
      </c>
      <c r="G30" s="24" t="n">
        <v>0</v>
      </c>
      <c r="H30" s="24" t="n">
        <v>1721.53</v>
      </c>
      <c r="I30" s="24" t="n">
        <f aca="false">G30+H30</f>
        <v>1721.53</v>
      </c>
      <c r="J30" s="24" t="n">
        <f aca="false">D30-I30</f>
        <v>810.14</v>
      </c>
      <c r="K30" s="25" t="s">
        <v>92</v>
      </c>
      <c r="L30" s="25" t="s">
        <v>93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33</v>
      </c>
      <c r="D31" s="24" t="n">
        <v>1458.29</v>
      </c>
      <c r="E31" s="24" t="n">
        <v>0</v>
      </c>
      <c r="F31" s="24" t="n">
        <v>0</v>
      </c>
      <c r="G31" s="24" t="n">
        <v>0</v>
      </c>
      <c r="H31" s="24" t="n">
        <v>24.3</v>
      </c>
      <c r="I31" s="24" t="n">
        <f aca="false">G31+H31</f>
        <v>24.3</v>
      </c>
      <c r="J31" s="24" t="n">
        <f aca="false">D31-I31</f>
        <v>1433.99</v>
      </c>
      <c r="K31" s="25" t="s">
        <v>88</v>
      </c>
      <c r="L31" s="25" t="s">
        <v>89</v>
      </c>
    </row>
    <row r="32" customFormat="false" ht="15" hidden="false" customHeight="false" outlineLevel="0" collapsed="false">
      <c r="A32" s="26"/>
      <c r="B32" s="27" t="s">
        <v>40</v>
      </c>
      <c r="C32" s="26"/>
      <c r="D32" s="28" t="n">
        <f aca="false">SUM(D20:D31)</f>
        <v>27519.23</v>
      </c>
      <c r="E32" s="28" t="n">
        <f aca="false">SUM(E20:E31)</f>
        <v>0</v>
      </c>
      <c r="F32" s="28" t="n">
        <f aca="false">SUM(F20:F31)</f>
        <v>10476.75</v>
      </c>
      <c r="G32" s="28" t="n">
        <f aca="false">SUM(G20:G31)</f>
        <v>0</v>
      </c>
      <c r="H32" s="28" t="n">
        <f aca="false">SUM(H20:H31)</f>
        <v>12041.26</v>
      </c>
      <c r="I32" s="28" t="n">
        <f aca="false">SUM(I20:I31)</f>
        <v>12041.26</v>
      </c>
      <c r="J32" s="28" t="n">
        <f aca="false">SUM(J20:J31)</f>
        <v>15477.97</v>
      </c>
      <c r="K32" s="26"/>
      <c r="L32" s="26"/>
    </row>
    <row r="34" customFormat="false" ht="15" hidden="false" customHeight="false" outlineLevel="0" collapsed="false">
      <c r="B34" s="18" t="s">
        <v>95</v>
      </c>
    </row>
    <row r="35" customFormat="false" ht="15" hidden="false" customHeight="false" outlineLevel="0" collapsed="false">
      <c r="B35" s="5" t="s">
        <v>96</v>
      </c>
      <c r="D35" s="6" t="n">
        <f aca="false">I16</f>
        <v>5225.43</v>
      </c>
    </row>
    <row r="36" customFormat="false" ht="15" hidden="false" customHeight="false" outlineLevel="0" collapsed="false">
      <c r="B36" s="5" t="s">
        <v>97</v>
      </c>
      <c r="D36" s="6" t="n">
        <f aca="false">I32</f>
        <v>12041.26</v>
      </c>
    </row>
    <row r="37" customFormat="false" ht="15" hidden="false" customHeight="false" outlineLevel="0" collapsed="false">
      <c r="B37" s="11" t="s">
        <v>95</v>
      </c>
      <c r="D37" s="29" t="n">
        <f aca="false">D35-D36</f>
        <v>-6815.83</v>
      </c>
    </row>
    <row r="39" customFormat="false" ht="15" hidden="false" customHeight="false" outlineLevel="0" collapsed="false">
      <c r="A39" s="10" t="s">
        <v>98</v>
      </c>
    </row>
    <row r="40" customFormat="false" ht="15" hidden="false" customHeight="false" outlineLevel="0" collapsed="false">
      <c r="A40" s="21" t="s">
        <v>99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80</v>
      </c>
      <c r="F41" s="4" t="s">
        <v>81</v>
      </c>
      <c r="G41" s="4" t="s">
        <v>100</v>
      </c>
      <c r="H41" s="4" t="s">
        <v>101</v>
      </c>
      <c r="I41" s="4" t="s">
        <v>84</v>
      </c>
      <c r="J41" s="4" t="s">
        <v>85</v>
      </c>
      <c r="K41" s="4" t="s">
        <v>86</v>
      </c>
      <c r="L41" s="4" t="s">
        <v>87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33</v>
      </c>
      <c r="D42" s="24" t="n">
        <v>3581</v>
      </c>
      <c r="E42" s="24" t="n">
        <v>0</v>
      </c>
      <c r="F42" s="24" t="n">
        <v>0</v>
      </c>
      <c r="G42" s="24" t="n">
        <v>0</v>
      </c>
      <c r="H42" s="24" t="n">
        <v>59.67</v>
      </c>
      <c r="I42" s="24" t="n">
        <f aca="false">G42+H42</f>
        <v>59.67</v>
      </c>
      <c r="J42" s="24" t="n">
        <f aca="false">D42-I42</f>
        <v>3521.33</v>
      </c>
      <c r="K42" s="25" t="s">
        <v>88</v>
      </c>
      <c r="L42" s="25" t="s">
        <v>89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33</v>
      </c>
      <c r="D43" s="24" t="n">
        <v>462.04</v>
      </c>
      <c r="E43" s="24" t="n">
        <v>0</v>
      </c>
      <c r="F43" s="24" t="n">
        <v>277.22</v>
      </c>
      <c r="G43" s="24" t="n">
        <v>0</v>
      </c>
      <c r="H43" s="24" t="n">
        <v>283.38</v>
      </c>
      <c r="I43" s="24" t="n">
        <f aca="false">G43+H43</f>
        <v>283.38</v>
      </c>
      <c r="J43" s="24" t="n">
        <f aca="false">D43-I43</f>
        <v>178.66</v>
      </c>
      <c r="K43" s="25" t="s">
        <v>90</v>
      </c>
      <c r="L43" s="25" t="s">
        <v>91</v>
      </c>
    </row>
    <row r="44" customFormat="false" ht="15" hidden="false" customHeight="false" outlineLevel="0" collapsed="false">
      <c r="A44" s="23" t="n">
        <v>3</v>
      </c>
      <c r="B44" s="23" t="s">
        <v>36</v>
      </c>
      <c r="C44" s="23" t="s">
        <v>33</v>
      </c>
      <c r="D44" s="24" t="n">
        <v>866.37</v>
      </c>
      <c r="E44" s="24" t="n">
        <v>0</v>
      </c>
      <c r="F44" s="24" t="n">
        <v>519.82</v>
      </c>
      <c r="G44" s="24" t="n">
        <v>0</v>
      </c>
      <c r="H44" s="24" t="n">
        <v>589.16</v>
      </c>
      <c r="I44" s="24" t="n">
        <f aca="false">G44+H44</f>
        <v>589.16</v>
      </c>
      <c r="J44" s="24" t="n">
        <f aca="false">D44-I44</f>
        <v>277.21</v>
      </c>
      <c r="K44" s="25" t="s">
        <v>92</v>
      </c>
      <c r="L44" s="25" t="s">
        <v>93</v>
      </c>
    </row>
    <row r="45" customFormat="false" ht="15" hidden="false" customHeight="false" outlineLevel="0" collapsed="false">
      <c r="A45" s="23" t="n">
        <v>4</v>
      </c>
      <c r="B45" s="23" t="s">
        <v>37</v>
      </c>
      <c r="C45" s="23" t="s">
        <v>33</v>
      </c>
      <c r="D45" s="24" t="n">
        <v>16491.88</v>
      </c>
      <c r="E45" s="24" t="n">
        <v>0</v>
      </c>
      <c r="F45" s="24" t="n">
        <v>0</v>
      </c>
      <c r="G45" s="24" t="n">
        <v>0</v>
      </c>
      <c r="H45" s="24" t="n">
        <v>274.86</v>
      </c>
      <c r="I45" s="24" t="n">
        <f aca="false">G45+H45</f>
        <v>274.86</v>
      </c>
      <c r="J45" s="24" t="n">
        <f aca="false">D45-I45</f>
        <v>16217.02</v>
      </c>
      <c r="K45" s="25" t="s">
        <v>88</v>
      </c>
      <c r="L45" s="25" t="s">
        <v>89</v>
      </c>
    </row>
    <row r="46" customFormat="false" ht="15" hidden="false" customHeight="false" outlineLevel="0" collapsed="false">
      <c r="A46" s="23" t="n">
        <v>5</v>
      </c>
      <c r="B46" s="23" t="s">
        <v>38</v>
      </c>
      <c r="C46" s="23" t="s">
        <v>33</v>
      </c>
      <c r="D46" s="24" t="n">
        <v>2127.98</v>
      </c>
      <c r="E46" s="24" t="n">
        <v>0</v>
      </c>
      <c r="F46" s="24" t="n">
        <v>1276.79</v>
      </c>
      <c r="G46" s="24" t="n">
        <v>0</v>
      </c>
      <c r="H46" s="24" t="n">
        <v>1305.18</v>
      </c>
      <c r="I46" s="24" t="n">
        <f aca="false">G46+H46</f>
        <v>1305.18</v>
      </c>
      <c r="J46" s="24" t="n">
        <f aca="false">D46-I46</f>
        <v>822.8</v>
      </c>
      <c r="K46" s="25" t="s">
        <v>90</v>
      </c>
      <c r="L46" s="25" t="s">
        <v>91</v>
      </c>
    </row>
    <row r="47" customFormat="false" ht="15" hidden="false" customHeight="false" outlineLevel="0" collapsed="false">
      <c r="A47" s="23" t="n">
        <v>6</v>
      </c>
      <c r="B47" s="23" t="s">
        <v>39</v>
      </c>
      <c r="C47" s="23" t="s">
        <v>33</v>
      </c>
      <c r="D47" s="24" t="n">
        <v>3989.96</v>
      </c>
      <c r="E47" s="24" t="n">
        <v>0</v>
      </c>
      <c r="F47" s="24" t="n">
        <v>2393.98</v>
      </c>
      <c r="G47" s="24" t="n">
        <v>0</v>
      </c>
      <c r="H47" s="24" t="n">
        <v>2713.18</v>
      </c>
      <c r="I47" s="24" t="n">
        <f aca="false">G47+H47</f>
        <v>2713.18</v>
      </c>
      <c r="J47" s="24" t="n">
        <f aca="false">D47-I47</f>
        <v>1276.78</v>
      </c>
      <c r="K47" s="25" t="s">
        <v>92</v>
      </c>
      <c r="L47" s="25" t="s">
        <v>93</v>
      </c>
    </row>
    <row r="48" customFormat="false" ht="15" hidden="false" customHeight="false" outlineLevel="0" collapsed="false">
      <c r="A48" s="26"/>
      <c r="B48" s="27" t="s">
        <v>40</v>
      </c>
      <c r="C48" s="26"/>
      <c r="D48" s="28" t="n">
        <f aca="false">SUM(D42:D47)</f>
        <v>27519.23</v>
      </c>
      <c r="E48" s="28" t="n">
        <f aca="false">SUM(E42:E47)</f>
        <v>0</v>
      </c>
      <c r="F48" s="28" t="n">
        <f aca="false">SUM(F42:F47)</f>
        <v>4467.81</v>
      </c>
      <c r="G48" s="28" t="n">
        <f aca="false">SUM(G42:G47)</f>
        <v>0</v>
      </c>
      <c r="H48" s="28" t="n">
        <f aca="false">SUM(H42:H47)</f>
        <v>5225.43</v>
      </c>
      <c r="I48" s="28" t="n">
        <f aca="false">SUM(I42:I47)</f>
        <v>5225.43</v>
      </c>
      <c r="J48" s="28" t="n">
        <f aca="false">SUM(J42:J47)</f>
        <v>22293.8</v>
      </c>
      <c r="K48" s="26"/>
      <c r="L48" s="26"/>
    </row>
    <row r="50" customFormat="false" ht="15" hidden="false" customHeight="false" outlineLevel="0" collapsed="false">
      <c r="A50" s="21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76</v>
      </c>
      <c r="B51" s="4" t="s">
        <v>77</v>
      </c>
      <c r="C51" s="4" t="s">
        <v>78</v>
      </c>
      <c r="D51" s="4" t="s">
        <v>79</v>
      </c>
      <c r="E51" s="4" t="s">
        <v>80</v>
      </c>
      <c r="F51" s="4" t="s">
        <v>81</v>
      </c>
      <c r="G51" s="4" t="s">
        <v>100</v>
      </c>
      <c r="H51" s="4" t="s">
        <v>101</v>
      </c>
      <c r="I51" s="4" t="s">
        <v>84</v>
      </c>
      <c r="J51" s="4" t="s">
        <v>85</v>
      </c>
      <c r="K51" s="4" t="s">
        <v>86</v>
      </c>
      <c r="L51" s="4" t="s">
        <v>87</v>
      </c>
    </row>
    <row r="52" customFormat="false" ht="15" hidden="false" customHeight="false" outlineLevel="0" collapsed="false">
      <c r="A52" s="23" t="n">
        <v>1</v>
      </c>
      <c r="B52" s="23" t="s">
        <v>42</v>
      </c>
      <c r="C52" s="23" t="s">
        <v>33</v>
      </c>
      <c r="D52" s="24" t="n">
        <v>2272.18</v>
      </c>
      <c r="E52" s="24" t="n">
        <v>0</v>
      </c>
      <c r="F52" s="24" t="n">
        <v>1363.31</v>
      </c>
      <c r="G52" s="24" t="n">
        <v>0</v>
      </c>
      <c r="H52" s="24" t="n">
        <v>1545.08</v>
      </c>
      <c r="I52" s="24" t="n">
        <f aca="false">G52+H52</f>
        <v>1545.08</v>
      </c>
      <c r="J52" s="24" t="n">
        <f aca="false">D52-I52</f>
        <v>727.1</v>
      </c>
      <c r="K52" s="25" t="s">
        <v>92</v>
      </c>
      <c r="L52" s="25" t="s">
        <v>93</v>
      </c>
    </row>
    <row r="53" customFormat="false" ht="15" hidden="false" customHeight="false" outlineLevel="0" collapsed="false">
      <c r="A53" s="23" t="n">
        <v>2</v>
      </c>
      <c r="B53" s="23" t="s">
        <v>44</v>
      </c>
      <c r="C53" s="23" t="s">
        <v>33</v>
      </c>
      <c r="D53" s="24" t="n">
        <v>1308.82</v>
      </c>
      <c r="E53" s="24" t="n">
        <v>0</v>
      </c>
      <c r="F53" s="24" t="n">
        <v>0</v>
      </c>
      <c r="G53" s="24" t="n">
        <v>0</v>
      </c>
      <c r="H53" s="24" t="n">
        <v>21.81</v>
      </c>
      <c r="I53" s="24" t="n">
        <f aca="false">G53+H53</f>
        <v>21.81</v>
      </c>
      <c r="J53" s="24" t="n">
        <f aca="false">D53-I53</f>
        <v>1287.01</v>
      </c>
      <c r="K53" s="25" t="s">
        <v>88</v>
      </c>
      <c r="L53" s="25" t="s">
        <v>89</v>
      </c>
    </row>
    <row r="54" customFormat="false" ht="15" hidden="false" customHeight="false" outlineLevel="0" collapsed="false">
      <c r="A54" s="23" t="n">
        <v>3</v>
      </c>
      <c r="B54" s="23" t="s">
        <v>45</v>
      </c>
      <c r="C54" s="23" t="s">
        <v>33</v>
      </c>
      <c r="D54" s="24" t="n">
        <v>293.17</v>
      </c>
      <c r="E54" s="24" t="n">
        <v>0</v>
      </c>
      <c r="F54" s="24" t="n">
        <v>175.9</v>
      </c>
      <c r="G54" s="24" t="n">
        <v>0</v>
      </c>
      <c r="H54" s="24" t="n">
        <v>199.35</v>
      </c>
      <c r="I54" s="24" t="n">
        <f aca="false">G54+H54</f>
        <v>199.35</v>
      </c>
      <c r="J54" s="24" t="n">
        <f aca="false">D54-I54</f>
        <v>93.82</v>
      </c>
      <c r="K54" s="25" t="s">
        <v>92</v>
      </c>
      <c r="L54" s="25" t="s">
        <v>93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33</v>
      </c>
      <c r="D55" s="24" t="n">
        <v>168.87</v>
      </c>
      <c r="E55" s="24" t="n">
        <v>0</v>
      </c>
      <c r="F55" s="24" t="n">
        <v>0</v>
      </c>
      <c r="G55" s="24" t="n">
        <v>0</v>
      </c>
      <c r="H55" s="24" t="n">
        <v>2.81</v>
      </c>
      <c r="I55" s="24" t="n">
        <f aca="false">G55+H55</f>
        <v>2.81</v>
      </c>
      <c r="J55" s="24" t="n">
        <f aca="false">D55-I55</f>
        <v>166.06</v>
      </c>
      <c r="K55" s="25" t="s">
        <v>88</v>
      </c>
      <c r="L55" s="25" t="s">
        <v>89</v>
      </c>
    </row>
    <row r="56" customFormat="false" ht="15" hidden="false" customHeight="false" outlineLevel="0" collapsed="false">
      <c r="A56" s="23" t="n">
        <v>5</v>
      </c>
      <c r="B56" s="23" t="s">
        <v>48</v>
      </c>
      <c r="C56" s="23" t="s">
        <v>33</v>
      </c>
      <c r="D56" s="24" t="n">
        <v>549.72</v>
      </c>
      <c r="E56" s="24" t="n">
        <v>0</v>
      </c>
      <c r="F56" s="24" t="n">
        <v>329.83</v>
      </c>
      <c r="G56" s="24" t="n">
        <v>0</v>
      </c>
      <c r="H56" s="24" t="n">
        <v>373.81</v>
      </c>
      <c r="I56" s="24" t="n">
        <f aca="false">G56+H56</f>
        <v>373.81</v>
      </c>
      <c r="J56" s="24" t="n">
        <f aca="false">D56-I56</f>
        <v>175.91</v>
      </c>
      <c r="K56" s="25" t="s">
        <v>92</v>
      </c>
      <c r="L56" s="25" t="s">
        <v>93</v>
      </c>
    </row>
    <row r="57" customFormat="false" ht="15" hidden="false" customHeight="false" outlineLevel="0" collapsed="false">
      <c r="A57" s="23" t="n">
        <v>6</v>
      </c>
      <c r="B57" s="23" t="s">
        <v>50</v>
      </c>
      <c r="C57" s="23" t="s">
        <v>33</v>
      </c>
      <c r="D57" s="24" t="n">
        <v>316.65</v>
      </c>
      <c r="E57" s="24" t="n">
        <v>0</v>
      </c>
      <c r="F57" s="24" t="n">
        <v>0</v>
      </c>
      <c r="G57" s="24" t="n">
        <v>0</v>
      </c>
      <c r="H57" s="24" t="n">
        <v>5.28</v>
      </c>
      <c r="I57" s="24" t="n">
        <f aca="false">G57+H57</f>
        <v>5.28</v>
      </c>
      <c r="J57" s="24" t="n">
        <f aca="false">D57-I57</f>
        <v>311.37</v>
      </c>
      <c r="K57" s="25" t="s">
        <v>88</v>
      </c>
      <c r="L57" s="25" t="s">
        <v>89</v>
      </c>
    </row>
    <row r="58" customFormat="false" ht="15" hidden="false" customHeight="false" outlineLevel="0" collapsed="false">
      <c r="A58" s="23" t="n">
        <v>7</v>
      </c>
      <c r="B58" s="23" t="s">
        <v>51</v>
      </c>
      <c r="C58" s="23" t="s">
        <v>33</v>
      </c>
      <c r="D58" s="24" t="n">
        <v>10464.28</v>
      </c>
      <c r="E58" s="24" t="n">
        <v>0</v>
      </c>
      <c r="F58" s="24" t="n">
        <v>6278.57</v>
      </c>
      <c r="G58" s="24" t="n">
        <v>0</v>
      </c>
      <c r="H58" s="24" t="n">
        <v>7115.71</v>
      </c>
      <c r="I58" s="24" t="n">
        <f aca="false">G58+H58</f>
        <v>7115.71</v>
      </c>
      <c r="J58" s="24" t="n">
        <f aca="false">D58-I58</f>
        <v>3348.57</v>
      </c>
      <c r="K58" s="25" t="s">
        <v>92</v>
      </c>
      <c r="L58" s="25" t="s">
        <v>93</v>
      </c>
    </row>
    <row r="59" customFormat="false" ht="15" hidden="false" customHeight="false" outlineLevel="0" collapsed="false">
      <c r="A59" s="23" t="n">
        <v>8</v>
      </c>
      <c r="B59" s="23" t="s">
        <v>53</v>
      </c>
      <c r="C59" s="23" t="s">
        <v>33</v>
      </c>
      <c r="D59" s="24" t="n">
        <v>6027.6</v>
      </c>
      <c r="E59" s="24" t="n">
        <v>0</v>
      </c>
      <c r="F59" s="24" t="n">
        <v>0</v>
      </c>
      <c r="G59" s="24" t="n">
        <v>0</v>
      </c>
      <c r="H59" s="24" t="n">
        <v>100.46</v>
      </c>
      <c r="I59" s="24" t="n">
        <f aca="false">G59+H59</f>
        <v>100.46</v>
      </c>
      <c r="J59" s="24" t="n">
        <f aca="false">D59-I59</f>
        <v>5927.14</v>
      </c>
      <c r="K59" s="25" t="s">
        <v>88</v>
      </c>
      <c r="L59" s="25" t="s">
        <v>89</v>
      </c>
    </row>
    <row r="60" customFormat="false" ht="15" hidden="false" customHeight="false" outlineLevel="0" collapsed="false">
      <c r="A60" s="23" t="n">
        <v>9</v>
      </c>
      <c r="B60" s="23" t="s">
        <v>54</v>
      </c>
      <c r="C60" s="23" t="s">
        <v>33</v>
      </c>
      <c r="D60" s="24" t="n">
        <v>1350.23</v>
      </c>
      <c r="E60" s="24" t="n">
        <v>0</v>
      </c>
      <c r="F60" s="24" t="n">
        <v>810.14</v>
      </c>
      <c r="G60" s="24" t="n">
        <v>0</v>
      </c>
      <c r="H60" s="24" t="n">
        <v>918.16</v>
      </c>
      <c r="I60" s="24" t="n">
        <f aca="false">G60+H60</f>
        <v>918.16</v>
      </c>
      <c r="J60" s="24" t="n">
        <f aca="false">D60-I60</f>
        <v>432.07</v>
      </c>
      <c r="K60" s="25" t="s">
        <v>92</v>
      </c>
      <c r="L60" s="25" t="s">
        <v>93</v>
      </c>
    </row>
    <row r="61" customFormat="false" ht="15" hidden="false" customHeight="false" outlineLevel="0" collapsed="false">
      <c r="A61" s="23" t="n">
        <v>10</v>
      </c>
      <c r="B61" s="23" t="s">
        <v>56</v>
      </c>
      <c r="C61" s="23" t="s">
        <v>33</v>
      </c>
      <c r="D61" s="24" t="n">
        <v>777.75</v>
      </c>
      <c r="E61" s="24" t="n">
        <v>0</v>
      </c>
      <c r="F61" s="24" t="n">
        <v>0</v>
      </c>
      <c r="G61" s="24" t="n">
        <v>0</v>
      </c>
      <c r="H61" s="24" t="n">
        <v>12.96</v>
      </c>
      <c r="I61" s="24" t="n">
        <f aca="false">G61+H61</f>
        <v>12.96</v>
      </c>
      <c r="J61" s="24" t="n">
        <f aca="false">D61-I61</f>
        <v>764.79</v>
      </c>
      <c r="K61" s="25" t="s">
        <v>88</v>
      </c>
      <c r="L61" s="25" t="s">
        <v>89</v>
      </c>
    </row>
    <row r="62" customFormat="false" ht="15" hidden="false" customHeight="false" outlineLevel="0" collapsed="false">
      <c r="A62" s="23" t="n">
        <v>11</v>
      </c>
      <c r="B62" s="23" t="s">
        <v>57</v>
      </c>
      <c r="C62" s="23" t="s">
        <v>33</v>
      </c>
      <c r="D62" s="24" t="n">
        <v>2531.67</v>
      </c>
      <c r="E62" s="24" t="n">
        <v>0</v>
      </c>
      <c r="F62" s="24" t="n">
        <v>1519</v>
      </c>
      <c r="G62" s="24" t="n">
        <v>0</v>
      </c>
      <c r="H62" s="24" t="n">
        <v>1721.53</v>
      </c>
      <c r="I62" s="24" t="n">
        <f aca="false">G62+H62</f>
        <v>1721.53</v>
      </c>
      <c r="J62" s="24" t="n">
        <f aca="false">D62-I62</f>
        <v>810.14</v>
      </c>
      <c r="K62" s="25" t="s">
        <v>92</v>
      </c>
      <c r="L62" s="25" t="s">
        <v>93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33</v>
      </c>
      <c r="D63" s="24" t="n">
        <v>1458.29</v>
      </c>
      <c r="E63" s="24" t="n">
        <v>0</v>
      </c>
      <c r="F63" s="24" t="n">
        <v>0</v>
      </c>
      <c r="G63" s="24" t="n">
        <v>0</v>
      </c>
      <c r="H63" s="24" t="n">
        <v>24.3</v>
      </c>
      <c r="I63" s="24" t="n">
        <f aca="false">G63+H63</f>
        <v>24.3</v>
      </c>
      <c r="J63" s="24" t="n">
        <f aca="false">D63-I63</f>
        <v>1433.99</v>
      </c>
      <c r="K63" s="25" t="s">
        <v>88</v>
      </c>
      <c r="L63" s="25" t="s">
        <v>89</v>
      </c>
    </row>
    <row r="64" customFormat="false" ht="15" hidden="false" customHeight="false" outlineLevel="0" collapsed="false">
      <c r="A64" s="26"/>
      <c r="B64" s="27" t="s">
        <v>40</v>
      </c>
      <c r="C64" s="26"/>
      <c r="D64" s="28" t="n">
        <f aca="false">SUM(D52:D63)</f>
        <v>27519.23</v>
      </c>
      <c r="E64" s="28" t="n">
        <f aca="false">SUM(E52:E63)</f>
        <v>0</v>
      </c>
      <c r="F64" s="28" t="n">
        <f aca="false">SUM(F52:F63)</f>
        <v>10476.75</v>
      </c>
      <c r="G64" s="28" t="n">
        <f aca="false">SUM(G52:G63)</f>
        <v>0</v>
      </c>
      <c r="H64" s="28" t="n">
        <f aca="false">SUM(H52:H63)</f>
        <v>12041.26</v>
      </c>
      <c r="I64" s="28" t="n">
        <f aca="false">SUM(I52:I63)</f>
        <v>12041.26</v>
      </c>
      <c r="J64" s="28" t="n">
        <f aca="false">SUM(J52:J63)</f>
        <v>15477.97</v>
      </c>
      <c r="K64" s="26"/>
      <c r="L64" s="26"/>
    </row>
    <row r="66" customFormat="false" ht="15" hidden="false" customHeight="false" outlineLevel="0" collapsed="false">
      <c r="B66" s="18" t="s">
        <v>103</v>
      </c>
    </row>
    <row r="67" customFormat="false" ht="15" hidden="false" customHeight="false" outlineLevel="0" collapsed="false">
      <c r="B67" s="5" t="s">
        <v>96</v>
      </c>
      <c r="D67" s="6" t="n">
        <f aca="false">I48</f>
        <v>5225.43</v>
      </c>
    </row>
    <row r="68" customFormat="false" ht="15" hidden="false" customHeight="false" outlineLevel="0" collapsed="false">
      <c r="B68" s="5" t="s">
        <v>97</v>
      </c>
      <c r="D68" s="6" t="n">
        <f aca="false">I64</f>
        <v>12041.26</v>
      </c>
    </row>
    <row r="69" customFormat="false" ht="15" hidden="false" customHeight="false" outlineLevel="0" collapsed="false">
      <c r="B69" s="11" t="s">
        <v>103</v>
      </c>
      <c r="D69" s="29" t="n">
        <f aca="false">D67-D68</f>
        <v>-6815.83</v>
      </c>
    </row>
    <row r="71" customFormat="false" ht="15" hidden="false" customHeight="false" outlineLevel="0" collapsed="false">
      <c r="A71" s="10" t="s">
        <v>104</v>
      </c>
    </row>
    <row r="72" customFormat="false" ht="15" hidden="false" customHeight="false" outlineLevel="0" collapsed="false">
      <c r="B72" s="11" t="s">
        <v>105</v>
      </c>
      <c r="D72" s="12" t="n">
        <f aca="false">D102</f>
        <v>27519.23</v>
      </c>
    </row>
    <row r="73" customFormat="false" ht="15" hidden="false" customHeight="false" outlineLevel="0" collapsed="false">
      <c r="B73" s="5" t="s">
        <v>106</v>
      </c>
      <c r="D73" s="6" t="n">
        <f aca="false">F102</f>
        <v>17461.25</v>
      </c>
    </row>
    <row r="74" customFormat="false" ht="15" hidden="false" customHeight="false" outlineLevel="0" collapsed="false">
      <c r="B74" s="30" t="s">
        <v>107</v>
      </c>
      <c r="D74" s="31" t="n">
        <f aca="false">F103</f>
        <v>0.634510849322456</v>
      </c>
    </row>
    <row r="75" customFormat="false" ht="15" hidden="false" customHeight="false" outlineLevel="0" collapsed="false">
      <c r="B75" s="5" t="s">
        <v>109</v>
      </c>
      <c r="D75" s="6" t="n">
        <f aca="false">H102</f>
        <v>10057.98</v>
      </c>
    </row>
    <row r="76" customFormat="false" ht="15" hidden="false" customHeight="false" outlineLevel="0" collapsed="false">
      <c r="B76" s="30" t="s">
        <v>107</v>
      </c>
      <c r="D76" s="31" t="n">
        <f aca="false">H103</f>
        <v>0.365489150677544</v>
      </c>
    </row>
    <row r="78" customFormat="false" ht="15" hidden="false" customHeight="false" outlineLevel="0" collapsed="false">
      <c r="A78" s="10" t="s">
        <v>110</v>
      </c>
    </row>
    <row r="79" customFormat="false" ht="15" hidden="false" customHeight="false" outlineLevel="0" collapsed="false">
      <c r="B79" s="4" t="s">
        <v>111</v>
      </c>
      <c r="D79" s="4" t="s">
        <v>79</v>
      </c>
      <c r="F79" s="4" t="s">
        <v>112</v>
      </c>
      <c r="H79" s="4" t="s">
        <v>114</v>
      </c>
    </row>
    <row r="80" customFormat="false" ht="15" hidden="false" customHeight="false" outlineLevel="0" collapsed="false">
      <c r="B80" s="32" t="s">
        <v>115</v>
      </c>
    </row>
    <row r="81" customFormat="false" ht="15" hidden="false" customHeight="false" outlineLevel="0" collapsed="false">
      <c r="B81" s="5" t="s">
        <v>143</v>
      </c>
      <c r="D81" s="33" t="n">
        <f aca="false">SUM(F81:H81)</f>
        <v>114.97</v>
      </c>
      <c r="F81" s="33" t="n">
        <v>114.97</v>
      </c>
    </row>
    <row r="82" customFormat="false" ht="15" hidden="false" customHeight="false" outlineLevel="0" collapsed="false">
      <c r="B82" s="5" t="s">
        <v>144</v>
      </c>
      <c r="D82" s="33" t="n">
        <f aca="false">SUM(F82:H82)</f>
        <v>399.48</v>
      </c>
      <c r="F82" s="33" t="n">
        <v>399.48</v>
      </c>
    </row>
    <row r="83" customFormat="false" ht="15" hidden="false" customHeight="false" outlineLevel="0" collapsed="false">
      <c r="B83" s="5" t="s">
        <v>146</v>
      </c>
      <c r="D83" s="33" t="n">
        <f aca="false">SUM(F83:H83)</f>
        <v>355.5</v>
      </c>
      <c r="F83" s="33" t="n">
        <v>355.5</v>
      </c>
    </row>
    <row r="84" customFormat="false" ht="15" hidden="false" customHeight="false" outlineLevel="0" collapsed="false">
      <c r="B84" s="5" t="s">
        <v>201</v>
      </c>
      <c r="D84" s="33" t="n">
        <f aca="false">SUM(F84:H84)</f>
        <v>71.7</v>
      </c>
      <c r="F84" s="33" t="n">
        <v>71.7</v>
      </c>
    </row>
    <row r="85" customFormat="false" ht="15" hidden="false" customHeight="false" outlineLevel="0" collapsed="false">
      <c r="B85" s="5" t="s">
        <v>202</v>
      </c>
      <c r="D85" s="33" t="n">
        <f aca="false">SUM(F85:H85)</f>
        <v>621.32</v>
      </c>
      <c r="F85" s="33" t="n">
        <v>621.32</v>
      </c>
    </row>
    <row r="86" customFormat="false" ht="15" hidden="false" customHeight="false" outlineLevel="0" collapsed="false">
      <c r="B86" s="5" t="s">
        <v>149</v>
      </c>
      <c r="D86" s="33" t="n">
        <f aca="false">SUM(F86:H86)</f>
        <v>5971.76</v>
      </c>
      <c r="F86" s="33" t="n">
        <v>5971.76</v>
      </c>
    </row>
    <row r="87" customFormat="false" ht="15" hidden="false" customHeight="false" outlineLevel="0" collapsed="false">
      <c r="B87" s="5" t="s">
        <v>203</v>
      </c>
      <c r="D87" s="33" t="n">
        <f aca="false">SUM(F87:H87)</f>
        <v>1886.64</v>
      </c>
      <c r="F87" s="33" t="n">
        <v>1886.64</v>
      </c>
    </row>
    <row r="88" customFormat="false" ht="15" hidden="false" customHeight="false" outlineLevel="0" collapsed="false">
      <c r="B88" s="5" t="s">
        <v>155</v>
      </c>
      <c r="D88" s="33" t="n">
        <f aca="false">SUM(F88:H88)</f>
        <v>8039.88</v>
      </c>
      <c r="F88" s="33" t="n">
        <v>8039.88</v>
      </c>
    </row>
    <row r="89" customFormat="false" ht="15" hidden="false" customHeight="false" outlineLevel="0" collapsed="false">
      <c r="B89" s="32" t="s">
        <v>135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1672.5</v>
      </c>
      <c r="H90" s="33" t="n">
        <v>1672.5</v>
      </c>
    </row>
    <row r="91" customFormat="false" ht="15" hidden="false" customHeight="false" outlineLevel="0" collapsed="false">
      <c r="B91" s="5" t="s">
        <v>157</v>
      </c>
      <c r="D91" s="33" t="n">
        <f aca="false">SUM(F91:H91)</f>
        <v>1798.24</v>
      </c>
      <c r="H91" s="33" t="n">
        <v>1798.24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80.74</v>
      </c>
      <c r="H92" s="33" t="n">
        <v>80.74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1155.29</v>
      </c>
      <c r="H93" s="33" t="n">
        <v>1155.29</v>
      </c>
    </row>
    <row r="94" customFormat="false" ht="15" hidden="false" customHeight="false" outlineLevel="0" collapsed="false">
      <c r="B94" s="5" t="s">
        <v>161</v>
      </c>
      <c r="D94" s="33" t="n">
        <f aca="false">SUM(F94:H94)</f>
        <v>44.11</v>
      </c>
      <c r="H94" s="33" t="n">
        <v>44.11</v>
      </c>
    </row>
    <row r="95" customFormat="false" ht="15" hidden="false" customHeight="false" outlineLevel="0" collapsed="false">
      <c r="B95" s="5" t="s">
        <v>162</v>
      </c>
      <c r="D95" s="33" t="n">
        <f aca="false">SUM(F95:H95)</f>
        <v>976.37</v>
      </c>
      <c r="H95" s="33" t="n">
        <v>976.37</v>
      </c>
    </row>
    <row r="96" customFormat="false" ht="15" hidden="false" customHeight="false" outlineLevel="0" collapsed="false">
      <c r="B96" s="5" t="s">
        <v>163</v>
      </c>
      <c r="D96" s="33" t="n">
        <f aca="false">SUM(F96:H96)</f>
        <v>465.56</v>
      </c>
      <c r="H96" s="33" t="n">
        <v>465.56</v>
      </c>
    </row>
    <row r="97" customFormat="false" ht="15" hidden="false" customHeight="false" outlineLevel="0" collapsed="false">
      <c r="B97" s="5" t="s">
        <v>164</v>
      </c>
      <c r="D97" s="33" t="n">
        <f aca="false">SUM(F97:H97)</f>
        <v>198.46</v>
      </c>
      <c r="H97" s="33" t="n">
        <v>198.46</v>
      </c>
    </row>
    <row r="98" customFormat="false" ht="15" hidden="false" customHeight="false" outlineLevel="0" collapsed="false">
      <c r="B98" s="5" t="s">
        <v>165</v>
      </c>
      <c r="D98" s="33" t="n">
        <f aca="false">SUM(F98:H98)</f>
        <v>491.68</v>
      </c>
      <c r="H98" s="33" t="n">
        <v>491.68</v>
      </c>
    </row>
    <row r="99" customFormat="false" ht="15" hidden="false" customHeight="false" outlineLevel="0" collapsed="false">
      <c r="B99" s="5" t="s">
        <v>166</v>
      </c>
      <c r="D99" s="33" t="n">
        <f aca="false">SUM(F99:H99)</f>
        <v>896.1</v>
      </c>
      <c r="H99" s="33" t="n">
        <v>896.1</v>
      </c>
    </row>
    <row r="100" customFormat="false" ht="15" hidden="false" customHeight="false" outlineLevel="0" collapsed="false">
      <c r="B100" s="5" t="s">
        <v>167</v>
      </c>
      <c r="D100" s="33" t="n">
        <f aca="false">SUM(F100:H100)</f>
        <v>576.91</v>
      </c>
      <c r="H100" s="33" t="n">
        <v>576.91</v>
      </c>
    </row>
    <row r="101" customFormat="false" ht="15" hidden="false" customHeight="false" outlineLevel="0" collapsed="false">
      <c r="B101" s="5" t="s">
        <v>169</v>
      </c>
      <c r="D101" s="33" t="n">
        <f aca="false">SUM(F101:H101)</f>
        <v>1702.02</v>
      </c>
      <c r="H101" s="33" t="n">
        <v>1702.02</v>
      </c>
    </row>
    <row r="102" customFormat="false" ht="15" hidden="false" customHeight="false" outlineLevel="0" collapsed="false">
      <c r="B102" s="11" t="s">
        <v>105</v>
      </c>
      <c r="D102" s="34" t="n">
        <f aca="false">SUM(D80:D101)</f>
        <v>27519.23</v>
      </c>
      <c r="F102" s="34" t="n">
        <f aca="false">SUM(F80:F101)</f>
        <v>17461.25</v>
      </c>
      <c r="H102" s="34" t="n">
        <f aca="false">SUM(H80:H101)</f>
        <v>10057.98</v>
      </c>
    </row>
    <row r="103" customFormat="false" ht="15" hidden="false" customHeight="false" outlineLevel="0" collapsed="false">
      <c r="B103" s="30" t="s">
        <v>107</v>
      </c>
      <c r="F103" s="31" t="n">
        <f aca="false">F102/D102</f>
        <v>0.634510849322456</v>
      </c>
      <c r="H103" s="31" t="n">
        <f aca="false">H102/D102</f>
        <v>0.365489150677544</v>
      </c>
    </row>
    <row r="105" customFormat="false" ht="15" hidden="false" customHeight="false" outlineLevel="0" collapsed="false">
      <c r="A105" s="10" t="s">
        <v>137</v>
      </c>
    </row>
    <row r="106" customFormat="false" ht="15" hidden="false" customHeight="false" outlineLevel="0" collapsed="false">
      <c r="B106" s="4" t="s">
        <v>138</v>
      </c>
      <c r="D106" s="4" t="s">
        <v>79</v>
      </c>
      <c r="F106" s="4" t="s">
        <v>112</v>
      </c>
      <c r="H106" s="4" t="s">
        <v>114</v>
      </c>
    </row>
    <row r="107" customFormat="false" ht="15" hidden="false" customHeight="false" outlineLevel="0" collapsed="false">
      <c r="B107" s="5" t="str">
        <f aca="false">Laundry!B20</f>
        <v>2-Building-712 Northfield Dr - 5 Year</v>
      </c>
      <c r="D107" s="33" t="n">
        <f aca="false">SUM(F107:H107)</f>
        <v>2272.18</v>
      </c>
      <c r="F107" s="33" t="n">
        <f aca="false">Laundry!D20</f>
        <v>2272.18</v>
      </c>
    </row>
    <row r="108" customFormat="false" ht="15" hidden="false" customHeight="false" outlineLevel="0" collapsed="false">
      <c r="B108" s="5" t="str">
        <f aca="false">Laundry!B21</f>
        <v>2-Building-712 Northfield Dr - 27.5 Year</v>
      </c>
      <c r="D108" s="33" t="n">
        <f aca="false">SUM(F108:H108)</f>
        <v>1308.82</v>
      </c>
      <c r="H108" s="33" t="n">
        <f aca="false">Laundry!D21</f>
        <v>1308.82</v>
      </c>
    </row>
    <row r="109" customFormat="false" ht="15" hidden="false" customHeight="false" outlineLevel="0" collapsed="false">
      <c r="B109" s="5" t="str">
        <f aca="false">Laundry!B22</f>
        <v>3-Northfield Dr - 5 Year</v>
      </c>
      <c r="D109" s="33" t="n">
        <f aca="false">SUM(F109:H109)</f>
        <v>293.17</v>
      </c>
      <c r="F109" s="33" t="n">
        <f aca="false">Laundry!D22</f>
        <v>293.17</v>
      </c>
    </row>
    <row r="110" customFormat="false" ht="15" hidden="false" customHeight="false" outlineLevel="0" collapsed="false">
      <c r="B110" s="5" t="str">
        <f aca="false">Laundry!B23</f>
        <v>3-Northfield Dr - 27.5 Year</v>
      </c>
      <c r="D110" s="33" t="n">
        <f aca="false">SUM(F110:H110)</f>
        <v>168.87</v>
      </c>
      <c r="H110" s="33" t="n">
        <f aca="false">Laundry!D23</f>
        <v>168.87</v>
      </c>
    </row>
    <row r="111" customFormat="false" ht="15" hidden="false" customHeight="false" outlineLevel="0" collapsed="false">
      <c r="B111" s="5" t="str">
        <f aca="false">Laundry!B24</f>
        <v>4-Northfield Dr - 5 Year</v>
      </c>
      <c r="D111" s="33" t="n">
        <f aca="false">SUM(F111:H111)</f>
        <v>549.72</v>
      </c>
      <c r="F111" s="33" t="n">
        <f aca="false">Laundry!D24</f>
        <v>549.72</v>
      </c>
    </row>
    <row r="112" customFormat="false" ht="15" hidden="false" customHeight="false" outlineLevel="0" collapsed="false">
      <c r="B112" s="5" t="str">
        <f aca="false">Laundry!B25</f>
        <v>4-Northfield Dr - 27.5 Year</v>
      </c>
      <c r="D112" s="33" t="n">
        <f aca="false">SUM(F112:H112)</f>
        <v>316.65</v>
      </c>
      <c r="H112" s="33" t="n">
        <f aca="false">Laundry!D25</f>
        <v>316.65</v>
      </c>
    </row>
    <row r="113" customFormat="false" ht="15" hidden="false" customHeight="false" outlineLevel="0" collapsed="false">
      <c r="B113" s="5" t="str">
        <f aca="false">Laundry!B26</f>
        <v>7-Building-2202 Northview Dr - 5 Year</v>
      </c>
      <c r="D113" s="33" t="n">
        <f aca="false">SUM(F113:H113)</f>
        <v>10464.28</v>
      </c>
      <c r="F113" s="33" t="n">
        <f aca="false">Laundry!D26</f>
        <v>10464.28</v>
      </c>
    </row>
    <row r="114" customFormat="false" ht="15" hidden="false" customHeight="false" outlineLevel="0" collapsed="false">
      <c r="B114" s="5" t="str">
        <f aca="false">Laundry!B27</f>
        <v>7-Building-2202 Northview Dr - 27.5 Year</v>
      </c>
      <c r="D114" s="33" t="n">
        <f aca="false">SUM(F114:H114)</f>
        <v>6027.6</v>
      </c>
      <c r="H114" s="33" t="n">
        <f aca="false">Laundry!D27</f>
        <v>6027.6</v>
      </c>
    </row>
    <row r="115" customFormat="false" ht="15" hidden="false" customHeight="false" outlineLevel="0" collapsed="false">
      <c r="B115" s="5" t="str">
        <f aca="false">Laundry!B28</f>
        <v>8-Northiew Dr - 5 Year</v>
      </c>
      <c r="D115" s="33" t="n">
        <f aca="false">SUM(F115:H115)</f>
        <v>1350.23</v>
      </c>
      <c r="F115" s="33" t="n">
        <f aca="false">Laundry!D28</f>
        <v>1350.23</v>
      </c>
    </row>
    <row r="116" customFormat="false" ht="15" hidden="false" customHeight="false" outlineLevel="0" collapsed="false">
      <c r="B116" s="5" t="str">
        <f aca="false">Laundry!B29</f>
        <v>8-Northiew Dr - 27.5 Year</v>
      </c>
      <c r="D116" s="33" t="n">
        <f aca="false">SUM(F116:H116)</f>
        <v>777.75</v>
      </c>
      <c r="H116" s="33" t="n">
        <f aca="false">Laundry!D29</f>
        <v>777.75</v>
      </c>
    </row>
    <row r="117" customFormat="false" ht="15" hidden="false" customHeight="false" outlineLevel="0" collapsed="false">
      <c r="B117" s="5" t="str">
        <f aca="false">Laundry!B30</f>
        <v>9-Northview Dr - 5 Year</v>
      </c>
      <c r="D117" s="33" t="n">
        <f aca="false">SUM(F117:H117)</f>
        <v>2531.67</v>
      </c>
      <c r="F117" s="33" t="n">
        <f aca="false">Laundry!D30</f>
        <v>2531.67</v>
      </c>
    </row>
    <row r="118" customFormat="false" ht="15" hidden="false" customHeight="false" outlineLevel="0" collapsed="false">
      <c r="B118" s="5" t="str">
        <f aca="false">Laundry!B31</f>
        <v>9-Northview Dr - 27.5 Year</v>
      </c>
      <c r="D118" s="33" t="n">
        <f aca="false">SUM(F118:H118)</f>
        <v>1458.29</v>
      </c>
      <c r="H118" s="33" t="n">
        <f aca="false">Laundry!D31</f>
        <v>1458.29</v>
      </c>
    </row>
    <row r="119" customFormat="false" ht="15" hidden="false" customHeight="false" outlineLevel="0" collapsed="false">
      <c r="B119" s="11" t="s">
        <v>139</v>
      </c>
      <c r="D119" s="34" t="n">
        <f aca="false">SUM(D107:D118)</f>
        <v>27519.23</v>
      </c>
      <c r="F119" s="34" t="n">
        <f aca="false">SUM(F107:F118)</f>
        <v>17461.25</v>
      </c>
      <c r="H119" s="34" t="n">
        <f aca="false">SUM(H107:H118)</f>
        <v>10057.98</v>
      </c>
    </row>
    <row r="120" customFormat="false" ht="15" hidden="false" customHeight="false" outlineLevel="0" collapsed="false">
      <c r="B120" s="16" t="s">
        <v>140</v>
      </c>
      <c r="D120" s="17" t="n">
        <f aca="false">D119-D102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2026-07-17T19:11:08Z</dcterms:created>
  <dc:creator>openpyxl</dc:creator>
  <dc:description/>
  <dc:language>en-US</dc:language>
  <cp:lastModifiedBy/>
  <dcterms:modified xsi:type="dcterms:W3CDTF">2026-07-17T19:11:09Z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