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uilding 1" sheetId="3" state="visible" r:id="rId5"/>
    <sheet name="Building 2" sheetId="4" state="visible" r:id="rId6"/>
    <sheet name="Building 3" sheetId="5" state="visible" r:id="rId7"/>
    <sheet name="Building 4" sheetId="6" state="visible" r:id="rId8"/>
    <sheet name="Building 5" sheetId="7" state="visible" r:id="rId9"/>
    <sheet name="Building 6" sheetId="8" state="visible" r:id="rId10"/>
    <sheet name="Building 7" sheetId="9" state="visible" r:id="rId11"/>
    <sheet name="Building 8" sheetId="10" state="visible" r:id="rId12"/>
    <sheet name="Building 9" sheetId="11" state="visible" r:id="rId13"/>
    <sheet name="Building 10" sheetId="12" state="visible" r:id="rId14"/>
    <sheet name="Building 11" sheetId="13" state="visible" r:id="rId15"/>
    <sheet name="Building 12" sheetId="14" state="visible" r:id="rId16"/>
    <sheet name="Building 13" sheetId="15" state="visible" r:id="rId17"/>
    <sheet name="Building 14" sheetId="16" state="visible" r:id="rId18"/>
    <sheet name="Building 15" sheetId="17" state="visible" r:id="rId19"/>
    <sheet name="Building 16" sheetId="18" state="visible" r:id="rId20"/>
    <sheet name="Office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<sst xmlns="http://schemas.openxmlformats.org/spreadsheetml/2006/main" count="5919" uniqueCount="503">
  <si>
    <t xml:space="preserve">St Charles Housing LP</t>
  </si>
  <si>
    <t xml:space="preserve">St. Charles — 1011 W 18th St, Lake Charles, LA 70607</t>
  </si>
  <si>
    <t xml:space="preserve">EIN: 82-5349206    ·    FYE: December 31, 2024    ·    Year of Change: 1/1/2024</t>
  </si>
  <si>
    <t xml:space="preserve">Summary of Cost Segregation Adjustments — CSSI Report #107752-24 (CAM — DCN #7)</t>
  </si>
  <si>
    <t xml:space="preserve">Acq Date</t>
  </si>
  <si>
    <t xml:space="preserve">Asset Description</t>
  </si>
  <si>
    <t xml:space="preserve">Total</t>
  </si>
  <si>
    <t xml:space="preserve">Site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</si>
  <si>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</si>
  <si>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</si>
  <si>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</si>
  <si>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</si>
  <si>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</si>
  <si>
    <t xml:space="preserve">Building 6</t>
  </si>
  <si>
    <t xml:space="preserve">Building 7</t>
  </si>
  <si>
    <t xml:space="preserve">Building 8</t>
  </si>
  <si>
    <t xml:space="preserve">Building 9</t>
  </si>
  <si>
    <t xml:space="preserve">Building 10</t>
  </si>
  <si>
    <t xml:space="preserve">Building 11</t>
  </si>
  <si>
    <t xml:space="preserve">Building 12</t>
  </si>
  <si>
    <t xml:space="preserve">Building 13</t>
  </si>
  <si>
    <t xml:space="preserve">Building 14</t>
  </si>
  <si>
    <t xml:space="preserve">Building 15</t>
  </si>
  <si>
    <t xml:space="preserve">Building 16</t>
  </si>
  <si>
    <t xml:space="preserve">Office</t>
  </si>
  <si>
    <t xml:space="preserve">8/15/18</t>
  </si>
  <si>
    <t xml:space="preserve">10-Building(Post Casualty Loss Basis)-site</t>
  </si>
  <si>
    <t xml:space="preserve">12/20/22</t>
  </si>
  <si>
    <t xml:space="preserve">12-New Buildings(16 units)-site</t>
  </si>
  <si>
    <t xml:space="preserve">4/01/23</t>
  </si>
  <si>
    <t xml:space="preserve">14-New Buildings(105 units)-site</t>
  </si>
  <si>
    <t xml:space="preserve">9/02/20</t>
  </si>
  <si>
    <t xml:space="preserve">11-Building Imp)Post-Casulty Loss Basis)-site</t>
  </si>
  <si>
    <t xml:space="preserve">2-Land Improvements-site</t>
  </si>
  <si>
    <t xml:space="preserve">13-New Equipment(16 units)-site</t>
  </si>
  <si>
    <t xml:space="preserve">15-New Equipment(105 units)-site</t>
  </si>
  <si>
    <t xml:space="preserve">10-Building(Post Casualty Loss Basis)-bldg 1</t>
  </si>
  <si>
    <t xml:space="preserve">12-New Buildings(16 units)-bldg 1</t>
  </si>
  <si>
    <t xml:space="preserve">14-New Buildings(105 units)-bldg 1</t>
  </si>
  <si>
    <t xml:space="preserve">11-Building Imp)Post-Casulty Loss Basis)-bldg</t>
  </si>
  <si>
    <t xml:space="preserve">2-Land Improvements-bldg 1</t>
  </si>
  <si>
    <t xml:space="preserve">13-New Equipment(16 units)-bldg 1</t>
  </si>
  <si>
    <t xml:space="preserve">15-New Equipment(105 units)-bldg 1</t>
  </si>
  <si>
    <t xml:space="preserve">10-Building(Post Casualty Loss Basis)-bldg 2</t>
  </si>
  <si>
    <t xml:space="preserve">12-New Buildings(16 units)-bldg 2</t>
  </si>
  <si>
    <t xml:space="preserve">14-New Buildings(105 units)-bldg 2</t>
  </si>
  <si>
    <t xml:space="preserve">2-Land Improvements-bldg 2</t>
  </si>
  <si>
    <t xml:space="preserve">13-New Equipment(16 units)-bldg 2</t>
  </si>
  <si>
    <t xml:space="preserve">15-New Equipment(105 units)-bldg 2</t>
  </si>
  <si>
    <t xml:space="preserve">10-Building(Post Casualty Loss Basis)-bldg 3</t>
  </si>
  <si>
    <t xml:space="preserve">12-New Buildings(16 units)-bldg 3</t>
  </si>
  <si>
    <t xml:space="preserve">14-New Buildings(105 units)-bldg 3</t>
  </si>
  <si>
    <t xml:space="preserve">2-Land Improvements-bldg 3</t>
  </si>
  <si>
    <t xml:space="preserve">13-New Equipment(16 units)-bldg 3</t>
  </si>
  <si>
    <t xml:space="preserve">15-New Equipment(105 units)-bldg 3</t>
  </si>
  <si>
    <t xml:space="preserve">10-Building(Post Casualty Loss Basis)-bldg 4</t>
  </si>
  <si>
    <t xml:space="preserve">12-New Buildings(16 units)-bldg 4</t>
  </si>
  <si>
    <t xml:space="preserve">14-New Buildings(105 units)-bldg 4</t>
  </si>
  <si>
    <t xml:space="preserve">2-Land Improvements-bldg 4</t>
  </si>
  <si>
    <t xml:space="preserve">13-New Equipment(16 units)-bldg 4</t>
  </si>
  <si>
    <t xml:space="preserve">15-New Equipment(105 units)-bldg 4</t>
  </si>
  <si>
    <t xml:space="preserve">10-Building(Post Casualty Loss Basis)-bldg 5</t>
  </si>
  <si>
    <t xml:space="preserve">12-New Buildings(16 units)-bldg 5</t>
  </si>
  <si>
    <t xml:space="preserve">14-New Buildings(105 units)-bldg 5</t>
  </si>
  <si>
    <t xml:space="preserve">2-Land Improvements-bldg 5</t>
  </si>
  <si>
    <t xml:space="preserve">13-New Equipment(16 units)-bldg 5</t>
  </si>
  <si>
    <t xml:space="preserve">15-New Equipment(105 units)-bldg 5</t>
  </si>
  <si>
    <t xml:space="preserve">10-Building(Post Casualty Loss Basis)-bldg 6</t>
  </si>
  <si>
    <t xml:space="preserve">12-New Buildings(16 units)-bldg 6</t>
  </si>
  <si>
    <t xml:space="preserve">14-New Buildings(105 units)-bldg 6</t>
  </si>
  <si>
    <t xml:space="preserve">2-Land Improvements-bldg 6</t>
  </si>
  <si>
    <t xml:space="preserve">13-New Equipment(16 units)-bldg 6</t>
  </si>
  <si>
    <t xml:space="preserve">15-New Equipment(105 units)-bldg 6</t>
  </si>
  <si>
    <t xml:space="preserve">10-Building(Post Casualty Loss Basis)-bldg 7</t>
  </si>
  <si>
    <t xml:space="preserve">12-New Buildings(16 units)-bldg 7</t>
  </si>
  <si>
    <t xml:space="preserve">14-New Buildings(105 units)-bldg 7</t>
  </si>
  <si>
    <t xml:space="preserve">2-Land Improvements-bldg 7</t>
  </si>
  <si>
    <t xml:space="preserve">13-New Equipment(16 units)-bldg 7</t>
  </si>
  <si>
    <t xml:space="preserve">15-New Equipment(105 units)-bldg 7</t>
  </si>
  <si>
    <t xml:space="preserve">10-Building(Post Casualty Loss Basis)-bldg 8</t>
  </si>
  <si>
    <t xml:space="preserve">12-New Buildings(16 units)-bldg 8</t>
  </si>
  <si>
    <t xml:space="preserve">14-New Buildings(105 units)-bldg 8</t>
  </si>
  <si>
    <t xml:space="preserve">2-Land Improvements-bldg 8</t>
  </si>
  <si>
    <t xml:space="preserve">13-New Equipment(16 units)-bldg 8</t>
  </si>
  <si>
    <t xml:space="preserve">15-New Equipment(105 units)-bldg 8</t>
  </si>
  <si>
    <t xml:space="preserve">10-Building(Post Casualty Loss Basis)-bldg 9</t>
  </si>
  <si>
    <t xml:space="preserve">12-New Buildings(16 units)-bldg 9</t>
  </si>
  <si>
    <t xml:space="preserve">14-New Buildings(105 units)-bldg 9</t>
  </si>
  <si>
    <t xml:space="preserve">2-Land Improvements-bldg 9</t>
  </si>
  <si>
    <t xml:space="preserve">13-New Equipment(16 units)-bldg 9</t>
  </si>
  <si>
    <t xml:space="preserve">15-New Equipment(105 units)-bldg 9</t>
  </si>
  <si>
    <t xml:space="preserve">10-Building(Post Casualty Loss Basis)-bldg 10</t>
  </si>
  <si>
    <t xml:space="preserve">12-New Buildings(16 units)-bldg 10</t>
  </si>
  <si>
    <t xml:space="preserve">14-New Buildings(105 units)-bldg 10</t>
  </si>
  <si>
    <t xml:space="preserve">2-Land Improvements-bldg 10</t>
  </si>
  <si>
    <t xml:space="preserve">13-New Equipment(16 units)-bldg 10</t>
  </si>
  <si>
    <t xml:space="preserve">15-New Equipment(105 units)-bldg 10</t>
  </si>
  <si>
    <t xml:space="preserve">10-Building(Post Casualty Loss Basis)-bldg 11</t>
  </si>
  <si>
    <t xml:space="preserve">12-New Buildings(16 units)-bldg 11</t>
  </si>
  <si>
    <t xml:space="preserve">14-New Buildings(105 units)-bldg 11</t>
  </si>
  <si>
    <t xml:space="preserve">2-Land Improvements-bldg 11</t>
  </si>
  <si>
    <t xml:space="preserve">13-New Equipment(16 units)-bldg 11</t>
  </si>
  <si>
    <t xml:space="preserve">15-New Equipment(105 units)-bldg 11</t>
  </si>
  <si>
    <t xml:space="preserve">10-Building(Post Casualty Loss Basis)-bldg 12</t>
  </si>
  <si>
    <t xml:space="preserve">12-New Buildings(16 units)-bldg 12</t>
  </si>
  <si>
    <t xml:space="preserve">14-New Buildings(105 units)-bldg 12</t>
  </si>
  <si>
    <t xml:space="preserve">2-Land Improvements-bldg 12</t>
  </si>
  <si>
    <t xml:space="preserve">13-New Equipment(16 units)-bldg 12</t>
  </si>
  <si>
    <t xml:space="preserve">15-New Equipment(105 units)-bldg 12</t>
  </si>
  <si>
    <t xml:space="preserve">10-Building(Post Casualty Loss Basis)-bldg 13</t>
  </si>
  <si>
    <t xml:space="preserve">12-New Buildings(16 units)-bldg 13</t>
  </si>
  <si>
    <t xml:space="preserve">14-New Buildings(105 units)-bldg 13</t>
  </si>
  <si>
    <t xml:space="preserve">2-Land Improvements-bldg 13</t>
  </si>
  <si>
    <t xml:space="preserve">13-New Equipment(16 units)-bldg 13</t>
  </si>
  <si>
    <t xml:space="preserve">15-New Equipment(105 units)-bldg 13</t>
  </si>
  <si>
    <t xml:space="preserve">10-Building(Post Casualty Loss Basis)-bldg 14</t>
  </si>
  <si>
    <t xml:space="preserve">12-New Buildings(16 units)-bldg 14</t>
  </si>
  <si>
    <t xml:space="preserve">14-New Buildings(105 units)-bldg 14</t>
  </si>
  <si>
    <t xml:space="preserve">2-Land Improvements-bldg 14</t>
  </si>
  <si>
    <t xml:space="preserve">13-New Equipment(16 units)-bldg 14</t>
  </si>
  <si>
    <t xml:space="preserve">15-New Equipment(105 units)-bldg 14</t>
  </si>
  <si>
    <t xml:space="preserve">10-Building(Post Casualty Loss Basis)-bldg 15</t>
  </si>
  <si>
    <t xml:space="preserve">12-New Buildings(16 units)-bldg 15</t>
  </si>
  <si>
    <t xml:space="preserve">14-New Buildings(105 units)-bldg 15</t>
  </si>
  <si>
    <t xml:space="preserve">2-Land Improvements-bldg 15</t>
  </si>
  <si>
    <t xml:space="preserve">13-New Equipment(16 units)-bldg 15</t>
  </si>
  <si>
    <t xml:space="preserve">15-New Equipment(105 units)-bldg 15</t>
  </si>
  <si>
    <t xml:space="preserve">10-Building(Post Casualty Loss Basis)-bldg 16</t>
  </si>
  <si>
    <t xml:space="preserve">12-New Buildings(16 units)-bldg 16</t>
  </si>
  <si>
    <t xml:space="preserve">14-New Buildings(105 units)-bldg 16</t>
  </si>
  <si>
    <t xml:space="preserve">2-Land Improvements-bldg 16</t>
  </si>
  <si>
    <t xml:space="preserve">13-New Equipment(16 units)-bldg 16</t>
  </si>
  <si>
    <t xml:space="preserve">15-New Equipment(105 units)-bldg 16</t>
  </si>
  <si>
    <t xml:space="preserve">10-Building(Post Casualty Loss Basis)-office</t>
  </si>
  <si>
    <t xml:space="preserve">12-New Buildings(16 units)-office</t>
  </si>
  <si>
    <t xml:space="preserve">14-New Buildings(105 units)-office</t>
  </si>
  <si>
    <t xml:space="preserve">11-Building Imp)Post-Casulty Loss Basis)-offi</t>
  </si>
  <si>
    <t xml:space="preserve">2-Land Improvements-office</t>
  </si>
  <si>
    <t xml:space="preserve">13-New Equipment(16 units)-office</t>
  </si>
  <si>
    <t xml:space="preserve">15-New Equipment(105 units)-office</t>
  </si>
  <si>
    <t xml:space="preserve">Grand Total</t>
  </si>
  <si>
    <t xml:space="preserve">MACRS Reclassification</t>
  </si>
  <si>
    <t xml:space="preserve">10-Building-Post Casualty Loss Basis-site-15yr</t>
  </si>
  <si>
    <t xml:space="preserve">10-Building-Post Casualty Loss Basis-site-30yr</t>
  </si>
  <si>
    <t xml:space="preserve">12-New Buildings(16 units)-site-15yr</t>
  </si>
  <si>
    <t xml:space="preserve">12-New Buildings(16 units)-site-30yr</t>
  </si>
  <si>
    <t xml:space="preserve">14-New Buildings(105 units)-site-15yr</t>
  </si>
  <si>
    <t xml:space="preserve">14-New Buildings(105 units)-site-30yr</t>
  </si>
  <si>
    <t xml:space="preserve">11-Building Imp-Post-Casulty Loss Basis-site-15yr</t>
  </si>
  <si>
    <t xml:space="preserve">11-Building Imp-Post-Casulty Loss Basis-site-30yr</t>
  </si>
  <si>
    <t xml:space="preserve">2-Land Improvements-site-15yr</t>
  </si>
  <si>
    <t xml:space="preserve">2-Land Improvements-site-30yr</t>
  </si>
  <si>
    <t xml:space="preserve">13-New Equipment(16 units)-site-15yr</t>
  </si>
  <si>
    <t xml:space="preserve">13-New Equipment(16 units)-site-30yr</t>
  </si>
  <si>
    <t xml:space="preserve">15-New Equipment(105 units)-site-15yr</t>
  </si>
  <si>
    <t xml:space="preserve">15-New Equipment(105 units)-site-30yr</t>
  </si>
  <si>
    <t xml:space="preserve">10-Building-Post Casualty Loss Basis-bldg1-5yr</t>
  </si>
  <si>
    <t xml:space="preserve">10-Building-Post Casualty Loss Basis-bldg1-30yr</t>
  </si>
  <si>
    <t xml:space="preserve">12-New Buildings(16 units)-bldg1-5yr</t>
  </si>
  <si>
    <t xml:space="preserve">12-New Buildings(16 units)-bldg1-30yr</t>
  </si>
  <si>
    <t xml:space="preserve">14-New Buildings(105 units)-bldg1-5yr</t>
  </si>
  <si>
    <t xml:space="preserve">14-New Buildings(105 units)-bldg1-30yr</t>
  </si>
  <si>
    <t xml:space="preserve">11-Building Imp-Post-Casulty Loss Basis-bldg1-5yr</t>
  </si>
  <si>
    <t xml:space="preserve">11-Building Imp-Post-Casulty Loss Basis-bldg1-30yr</t>
  </si>
  <si>
    <t xml:space="preserve">2-Land Improvements-bldg1-5yr</t>
  </si>
  <si>
    <t xml:space="preserve">2-Land Improvements-bldg1-30yr</t>
  </si>
  <si>
    <t xml:space="preserve">13-New Equipment(16 units)-bldg1-5yr</t>
  </si>
  <si>
    <t xml:space="preserve">13-New Equipment(16 units)-bldg1-30yr</t>
  </si>
  <si>
    <t xml:space="preserve">15-New Equipment(105 units)-bldg1-5yr</t>
  </si>
  <si>
    <t xml:space="preserve">15-New Equipment(105 units)-bldg1-30yr</t>
  </si>
  <si>
    <t xml:space="preserve">10-Building-Post Casualty Loss Basis-bldg2-5y</t>
  </si>
  <si>
    <t xml:space="preserve">10-Building-Post Casualty Loss Basis-bldg2-30</t>
  </si>
  <si>
    <t xml:space="preserve">12-New Buildings(16 units)-bldg2-5yr</t>
  </si>
  <si>
    <t xml:space="preserve">12-New Buildings(16 units)-bldg2-30yr</t>
  </si>
  <si>
    <t xml:space="preserve">14-New Buildings(105 units)-bldg2-5yr</t>
  </si>
  <si>
    <t xml:space="preserve">14-New Buildings(105 units)-bldg2-30yr</t>
  </si>
  <si>
    <t xml:space="preserve">11-Building Imp-Post-Casulty Loss Basis-bldg2</t>
  </si>
  <si>
    <t xml:space="preserve">2-Land Improvements-bldg2-5yr</t>
  </si>
  <si>
    <t xml:space="preserve">2-Land Improvements-bldg2-30yr</t>
  </si>
  <si>
    <t xml:space="preserve">13-New Equipment(16 units)-bldg2-5yr</t>
  </si>
  <si>
    <t xml:space="preserve">13-New Equipment(16 units)-bldg2-30yr</t>
  </si>
  <si>
    <t xml:space="preserve">15-New Equipment(105 units)-bldg2-5yr</t>
  </si>
  <si>
    <t xml:space="preserve">15-New Equipment(105 units)-bldg2-30yr</t>
  </si>
  <si>
    <t xml:space="preserve">10-Building-Post Casualty Loss Basis-bldg3-5y</t>
  </si>
  <si>
    <t xml:space="preserve">10-Building-Post Casualty Loss Basis-bldg3-30</t>
  </si>
  <si>
    <t xml:space="preserve">12-New Buildings(16 units)-bldg3-5yr</t>
  </si>
  <si>
    <t xml:space="preserve">12-New Buildings(16 units)-bldg3-30yr</t>
  </si>
  <si>
    <t xml:space="preserve">14-New Buildings(105 units)-bldg3-5yr</t>
  </si>
  <si>
    <t xml:space="preserve">14-New Buildings(105 units)-bldg3-30yr</t>
  </si>
  <si>
    <t xml:space="preserve">11-Building Imp-Post-Casulty Loss Basis-bldg3</t>
  </si>
  <si>
    <t xml:space="preserve">2-Land Improvements-bldg3-5yr</t>
  </si>
  <si>
    <t xml:space="preserve">2-Land Improvements-bldg3-30yr</t>
  </si>
  <si>
    <t xml:space="preserve">13-New Equipment(16 units)-bldg3-5yr</t>
  </si>
  <si>
    <t xml:space="preserve">13-New Equipment(16 units)-bldg3-30yr</t>
  </si>
  <si>
    <t xml:space="preserve">15-New Equipment(105 units)-bldg3-5yr</t>
  </si>
  <si>
    <t xml:space="preserve">15-New Equipment(105 units)-bldg3-30yr</t>
  </si>
  <si>
    <t xml:space="preserve">10-Building-Post Casualty Loss Basis-bldg4-5y</t>
  </si>
  <si>
    <t xml:space="preserve">10-Building-Post Casualty Loss Basis-bldg4-30</t>
  </si>
  <si>
    <t xml:space="preserve">12-New Buildings(16 units)-bldg4-5yr</t>
  </si>
  <si>
    <t xml:space="preserve">12-New Buildings(16 units)-bldg4-30yr</t>
  </si>
  <si>
    <t xml:space="preserve">14-New Buildings(105 units)-bldg4-5yr</t>
  </si>
  <si>
    <t xml:space="preserve">14-New Buildings(105 units)-bldg4-30yr</t>
  </si>
  <si>
    <t xml:space="preserve">11-Building Imp-Post-Casulty Loss Basis-bldg4</t>
  </si>
  <si>
    <t xml:space="preserve">2-Land Improvements-bldg4-5yr</t>
  </si>
  <si>
    <t xml:space="preserve">2-Land Improvements-bldg4-30yr</t>
  </si>
  <si>
    <t xml:space="preserve">13-New Equipment(16 units)-bldg4-5yr</t>
  </si>
  <si>
    <t xml:space="preserve">13-New Equipment(16 units)-bldg4-30yr</t>
  </si>
  <si>
    <t xml:space="preserve">15-New Equipment(105 units)-bldg4-5yr</t>
  </si>
  <si>
    <t xml:space="preserve">15-New Equipment(105 units)-bldg4-30yr</t>
  </si>
  <si>
    <t xml:space="preserve">10-Building-Post Casualty Loss Basis-bldg5-5y</t>
  </si>
  <si>
    <t xml:space="preserve">10-Building-Post Casualty Loss Basis-bldg5-30</t>
  </si>
  <si>
    <t xml:space="preserve">12-New Buildings(16 units)-bldg5-5yr</t>
  </si>
  <si>
    <t xml:space="preserve">12-New Buildings(16 units)-bldg5-30yr</t>
  </si>
  <si>
    <t xml:space="preserve">14-New Buildings(105 units)-bldg5-5yr</t>
  </si>
  <si>
    <t xml:space="preserve">14-New Buildings(105 units)-bldg5-30yr</t>
  </si>
  <si>
    <t xml:space="preserve">11-Building Imp-Post-Casulty Loss Basis-bldg5</t>
  </si>
  <si>
    <t xml:space="preserve">2-Land Improvements-bldg5-5yr</t>
  </si>
  <si>
    <t xml:space="preserve">2-Land Improvements-bldg5-30yr</t>
  </si>
  <si>
    <t xml:space="preserve">13-New Equipment(16 units)-bldg5-5yr</t>
  </si>
  <si>
    <t xml:space="preserve">13-New Equipment(16 units)-bldg5-30yr</t>
  </si>
  <si>
    <t xml:space="preserve">15-New Equipment(105 units)-bldg5-5yr</t>
  </si>
  <si>
    <t xml:space="preserve">15-New Equipment(105 units)-bldg5-30yr</t>
  </si>
  <si>
    <t xml:space="preserve">10-Building-Post Casualty Loss Basis-bldg6-5y</t>
  </si>
  <si>
    <t xml:space="preserve">10-Building-Post Casualty Loss Basis-bldg6-30</t>
  </si>
  <si>
    <t xml:space="preserve">12-New Buildings(16 units)-bldg6-5yr</t>
  </si>
  <si>
    <t xml:space="preserve">12-New Buildings(16 units)-bldg6-30yr</t>
  </si>
  <si>
    <t xml:space="preserve">14-New Buildings(105 units)-bldg6-5yr</t>
  </si>
  <si>
    <t xml:space="preserve">14-New Buildings(105 units)-bldg6-30yr</t>
  </si>
  <si>
    <t xml:space="preserve">11-Building Imp-Post-Casulty Loss Basis-bldg6</t>
  </si>
  <si>
    <t xml:space="preserve">2-Land Improvements-bldg6-5yr</t>
  </si>
  <si>
    <t xml:space="preserve">2-Land Improvements-bldg6-30yr</t>
  </si>
  <si>
    <t xml:space="preserve">13-New Equipment(16 units)-bldg6-5yr</t>
  </si>
  <si>
    <t xml:space="preserve">13-New Equipment(16 units)-bldg6-30yr</t>
  </si>
  <si>
    <t xml:space="preserve">15-New Equipment(105 units)-bldg6-5yr</t>
  </si>
  <si>
    <t xml:space="preserve">15-New Equipment(105 units)-bldg6-30yr</t>
  </si>
  <si>
    <t xml:space="preserve">10-Building-Post Casualty Loss Basis-bldg7-5y</t>
  </si>
  <si>
    <t xml:space="preserve">10-Building-Post Casualty Loss Basis-bldg7-30</t>
  </si>
  <si>
    <t xml:space="preserve">12-New Buildings(16 units)-bldg7-5yr</t>
  </si>
  <si>
    <t xml:space="preserve">12-New Buildings(16 units)-bldg7-30yr</t>
  </si>
  <si>
    <t xml:space="preserve">14-New Buildings(105 units)-bldg7-5yr</t>
  </si>
  <si>
    <t xml:space="preserve">14-New Buildings(105 units)-bldg7-30yr</t>
  </si>
  <si>
    <t xml:space="preserve">11-Building Imp-Post-Casulty Loss Basis-bldg7</t>
  </si>
  <si>
    <t xml:space="preserve">2-Land Improvements-bldg7-5yr</t>
  </si>
  <si>
    <t xml:space="preserve">2-Land Improvements-bldg7-30yr</t>
  </si>
  <si>
    <t xml:space="preserve">13-New Equipment(16 units)-bldg7-5yr</t>
  </si>
  <si>
    <t xml:space="preserve">13-New Equipment(16 units)-bldg7-30yr</t>
  </si>
  <si>
    <t xml:space="preserve">15-New Equipment(105 units)-bldg7-5yr</t>
  </si>
  <si>
    <t xml:space="preserve">15-New Equipment(105 units)-bldg7-30yr</t>
  </si>
  <si>
    <t xml:space="preserve">10-Building-Post Casualty Loss Basis-bldg8-5y</t>
  </si>
  <si>
    <t xml:space="preserve">10-Building-Post Casualty Loss Basis-bldg8-30</t>
  </si>
  <si>
    <t xml:space="preserve">12-New Buildings(16 units)-bldg8-5yr</t>
  </si>
  <si>
    <t xml:space="preserve">12-New Buildings(16 units)-bldg8-30yr</t>
  </si>
  <si>
    <t xml:space="preserve">14-New Buildings(105 units)-bldg8-5yr</t>
  </si>
  <si>
    <t xml:space="preserve">14-New Buildings(105 units)-bldg8-30yr</t>
  </si>
  <si>
    <t xml:space="preserve">11-Building Imp-Post-Casulty Loss Basis-bldg8</t>
  </si>
  <si>
    <t xml:space="preserve">2-Land Improvements-bldg8-5yr</t>
  </si>
  <si>
    <t xml:space="preserve">2-Land Improvements-bldg8-30yr</t>
  </si>
  <si>
    <t xml:space="preserve">13-New Equipment(16 units)-bldg8-5yr</t>
  </si>
  <si>
    <t xml:space="preserve">13-New Equipment(16 units)-bldg8-30yr</t>
  </si>
  <si>
    <t xml:space="preserve">15-New Equipment(105 units)-bldg8-5yr</t>
  </si>
  <si>
    <t xml:space="preserve">15-New Equipment(105 units)-bldg8-30yr</t>
  </si>
  <si>
    <t xml:space="preserve">10-Building-Post Casualty Loss Basis-bldg9-5</t>
  </si>
  <si>
    <t xml:space="preserve">10-Building-Post Casualty Loss Basis-bldg9-30</t>
  </si>
  <si>
    <t xml:space="preserve">12-New Buildings(16 units)-bldg9-5yr</t>
  </si>
  <si>
    <t xml:space="preserve">12-New Buildings(16 units)-bldg9-30yr</t>
  </si>
  <si>
    <t xml:space="preserve">14-New Buildings(105 units)-bldg9-5yr</t>
  </si>
  <si>
    <t xml:space="preserve">14-New Buildings(105 units)-bldg9-30yr</t>
  </si>
  <si>
    <t xml:space="preserve">11-Building Imp-Post-Casulty Loss Basis-bldg9</t>
  </si>
  <si>
    <t xml:space="preserve">2-Land Improvements-bldg9-5yr</t>
  </si>
  <si>
    <t xml:space="preserve">2-Land Improvements-bldg9-30yr</t>
  </si>
  <si>
    <t xml:space="preserve">13-New Equipment(16 units)-bldg9-5yr</t>
  </si>
  <si>
    <t xml:space="preserve">13-New Equipment(16 units)-bldg9-30yr</t>
  </si>
  <si>
    <t xml:space="preserve">15-New Equipment(105 units)-bldg9-5yr</t>
  </si>
  <si>
    <t xml:space="preserve">15-New Equipment(105 units)-bldg9-30yr</t>
  </si>
  <si>
    <t xml:space="preserve">10-Building-Post Casualty Loss Basis-bldg10-</t>
  </si>
  <si>
    <t xml:space="preserve">10-Building-Post Casualty Loss Basis-bldg10-3</t>
  </si>
  <si>
    <t xml:space="preserve">12-New Buildings(16 units)-bldg10-5yr</t>
  </si>
  <si>
    <t xml:space="preserve">12-New Buildings(16 units)-bldg10-30yr</t>
  </si>
  <si>
    <t xml:space="preserve">14-New Buildings(105 units)-bldg10-5yr</t>
  </si>
  <si>
    <t xml:space="preserve">14-New Buildings(105 units)-bldg10-30yr</t>
  </si>
  <si>
    <t xml:space="preserve">11-Building Imp-Post-Casulty Loss Basis-bld10</t>
  </si>
  <si>
    <t xml:space="preserve">2-Land Improvements-bldg10-5yr</t>
  </si>
  <si>
    <t xml:space="preserve">2-Land Improvements-bldg10-30yr</t>
  </si>
  <si>
    <t xml:space="preserve">13-New Equipment(16 units)-bldg10-5yr</t>
  </si>
  <si>
    <t xml:space="preserve">13-New Equipment(16 units)-bldg10-30yr</t>
  </si>
  <si>
    <t xml:space="preserve">15-New Equipment(105 units)-bldg10-5yr</t>
  </si>
  <si>
    <t xml:space="preserve">15-New Equipment(105 units)-bldg10-30yr</t>
  </si>
  <si>
    <t xml:space="preserve">10-Building-Post Casualty Loss Basis-bldg11-5</t>
  </si>
  <si>
    <t xml:space="preserve">10-Building-Post Casualty Loss Basis-bldg11-</t>
  </si>
  <si>
    <t xml:space="preserve">12-New Buildings(16 units)-bldg11-5yr</t>
  </si>
  <si>
    <t xml:space="preserve">12-New Buildings(16 units)-bldg11-30yr</t>
  </si>
  <si>
    <t xml:space="preserve">14-New Buildings(105 units)-bldg11-5yr</t>
  </si>
  <si>
    <t xml:space="preserve">14-New Buildings(105 units)-bldg11-30yr</t>
  </si>
  <si>
    <t xml:space="preserve">11-Building Imp-Post-Casulty Loss Basis-bld11</t>
  </si>
  <si>
    <t xml:space="preserve">2-Land Improvements-bldg11-5yr</t>
  </si>
  <si>
    <t xml:space="preserve">2-Land Improvements-bldg11-30yr</t>
  </si>
  <si>
    <t xml:space="preserve">13-New Equipment(16 units)-bldg11-5yr</t>
  </si>
  <si>
    <t xml:space="preserve">13-New Equipment(16 units)-bldg11-30yr</t>
  </si>
  <si>
    <t xml:space="preserve">15-New Equipment(105 units)-bldg11-5yr</t>
  </si>
  <si>
    <t xml:space="preserve">15-New Equipment(105 units)-bldg11-30yr</t>
  </si>
  <si>
    <t xml:space="preserve">10-Building-Post Casualty Loss Basis-bldg12-5</t>
  </si>
  <si>
    <t xml:space="preserve">10-Building-Post Casualty Loss Basis-bldg12-3</t>
  </si>
  <si>
    <t xml:space="preserve">12-New Buildings(16 units)-bldg12-5yr</t>
  </si>
  <si>
    <t xml:space="preserve">12-New Buildings(16 units)-bldg12-30yr</t>
  </si>
  <si>
    <t xml:space="preserve">14-New Buildings(105 units)-bldg12-5yr</t>
  </si>
  <si>
    <t xml:space="preserve">14-New Buildings(105 units)-bldg12-30yr</t>
  </si>
  <si>
    <t xml:space="preserve">11-Building Imp-Post-Casulty Loss Basis-bld12</t>
  </si>
  <si>
    <t xml:space="preserve">2-Land Improvements-bldg12-5yr</t>
  </si>
  <si>
    <t xml:space="preserve">2-Land Improvements-bldg12-30yr</t>
  </si>
  <si>
    <t xml:space="preserve">13-New Equipment(16 units)-bldg12-5yr</t>
  </si>
  <si>
    <t xml:space="preserve">13-New Equipment(16 units)-bldg12-30yr</t>
  </si>
  <si>
    <t xml:space="preserve">15-New Equipment(105 units)-bldg12-5yr</t>
  </si>
  <si>
    <t xml:space="preserve">15-New Equipment(105 units)-bldg12-30yr</t>
  </si>
  <si>
    <t xml:space="preserve">10-Building-Post Casualty Loss Basis-bldg13-5</t>
  </si>
  <si>
    <t xml:space="preserve">10-Building-Post Casualty Loss Basis-bldg13-</t>
  </si>
  <si>
    <t xml:space="preserve">12-New Buildings(16 units)-bldg13-5yr</t>
  </si>
  <si>
    <t xml:space="preserve">12-New Buildings(16 units)-bldg13-30yr</t>
  </si>
  <si>
    <t xml:space="preserve">14-New Buildings(105 units)-bldg13-5yr</t>
  </si>
  <si>
    <t xml:space="preserve">14-New Buildings(105 units)-bldg13-30yr</t>
  </si>
  <si>
    <t xml:space="preserve">11-Building Imp-Post-Casulty Loss Basis-bld13</t>
  </si>
  <si>
    <t xml:space="preserve">2-Land Improvements-bldg13-5yr</t>
  </si>
  <si>
    <t xml:space="preserve">2-Land Improvements-bldg13-30yr</t>
  </si>
  <si>
    <t xml:space="preserve">13-New Equipment(16 units)-bldg13-5yr</t>
  </si>
  <si>
    <t xml:space="preserve">13-New Equipment(16 units)-bldg13-30yr</t>
  </si>
  <si>
    <t xml:space="preserve">15-New Equipment(105 units)-bldg13-5yr</t>
  </si>
  <si>
    <t xml:space="preserve">15-New Equipment(105 units)-bldg13-30yr</t>
  </si>
  <si>
    <t xml:space="preserve">10-Building-Post Casualty Loss Basis-bldg14-</t>
  </si>
  <si>
    <t xml:space="preserve">10-Building-Post Casualty Loss Basis-bldg14-3</t>
  </si>
  <si>
    <t xml:space="preserve">12-New Buildings(16 units)-bldg14-5yr</t>
  </si>
  <si>
    <t xml:space="preserve">12-New Buildings(16 units)-bldg14-30yr</t>
  </si>
  <si>
    <t xml:space="preserve">14-New Buildings(105 units)-bldg14-5yr</t>
  </si>
  <si>
    <t xml:space="preserve">14-New Buildings(105 units)-bldg14-30yr</t>
  </si>
  <si>
    <t xml:space="preserve">11-Building Imp-Post-Casulty Loss Basis-bld14</t>
  </si>
  <si>
    <t xml:space="preserve">2-Land Improvements-bldg14-5yr</t>
  </si>
  <si>
    <t xml:space="preserve">2-Land Improvements-bldg14-30yr</t>
  </si>
  <si>
    <t xml:space="preserve">13-New Equipment(16 units)-bldg14-5yr</t>
  </si>
  <si>
    <t xml:space="preserve">13-New Equipment(16 units)-bldg14-30yr</t>
  </si>
  <si>
    <t xml:space="preserve">15-New Equipment(105 units)-bldg14-5yr</t>
  </si>
  <si>
    <t xml:space="preserve">15-New Equipment(105 units)-bldg14-30yr</t>
  </si>
  <si>
    <t xml:space="preserve">10-Building-Post Casualty Loss Basis-bldg15-5</t>
  </si>
  <si>
    <t xml:space="preserve">10-Building-Post Casualty Loss Basis-bldg15-3</t>
  </si>
  <si>
    <t xml:space="preserve">12-New Buildings(16 units)-bldg15-5yr</t>
  </si>
  <si>
    <t xml:space="preserve">12-New Buildings(16 units)-bldg15-30yr</t>
  </si>
  <si>
    <t xml:space="preserve">14-New Buildings(105 units)-bldg15-5yr</t>
  </si>
  <si>
    <t xml:space="preserve">14-New Buildings(105 units)-bldg15-30yr</t>
  </si>
  <si>
    <t xml:space="preserve">11-Building Imp-Post-Casulty Loss Basis-bldg1</t>
  </si>
  <si>
    <t xml:space="preserve">2-Land Improvements-bldg15-5yr</t>
  </si>
  <si>
    <t xml:space="preserve">2-Land Improvements-bldg15-30yr</t>
  </si>
  <si>
    <t xml:space="preserve">13-New Equipment(16 units)-bldg15-5yr</t>
  </si>
  <si>
    <t xml:space="preserve">13-New Equipment(16 units)-bldg15-30yr</t>
  </si>
  <si>
    <t xml:space="preserve">15-New Equipment(105 units)-bldg15-5yr</t>
  </si>
  <si>
    <t xml:space="preserve">15-New Equipment(105 units)-bldg15-30yr</t>
  </si>
  <si>
    <t xml:space="preserve">10-Building-Post Casualty Loss Basis-bldg16-5</t>
  </si>
  <si>
    <t xml:space="preserve">10-Building-Post Casualty Loss Basis-bldg16-</t>
  </si>
  <si>
    <t xml:space="preserve">12-New Buildings(16 units)-bldg16-5yr</t>
  </si>
  <si>
    <t xml:space="preserve">12-New Buildings(16 units)-bldg16-30yr</t>
  </si>
  <si>
    <t xml:space="preserve">14-New Buildings(105 units)-bldg16-5yr</t>
  </si>
  <si>
    <t xml:space="preserve">14-New Buildings(105 units)-bldg16-30yr</t>
  </si>
  <si>
    <t xml:space="preserve">11-Building Imp-Post-Casulty Loss Basis-bld16</t>
  </si>
  <si>
    <t xml:space="preserve">2-Land Improvements-bldg16-5yr</t>
  </si>
  <si>
    <t xml:space="preserve">2-Land Improvements-bldg16-30yr</t>
  </si>
  <si>
    <t xml:space="preserve">13-New Equipment(16 units)-bldg16-5yr</t>
  </si>
  <si>
    <t xml:space="preserve">13-New Equipment(16 units)-bldg16-30yr</t>
  </si>
  <si>
    <t xml:space="preserve">15-New Equipment(105 units)-bldg16-5yr</t>
  </si>
  <si>
    <t xml:space="preserve">15-New Equipment(105 units)-bldg16-30yr</t>
  </si>
  <si>
    <t xml:space="preserve">10-Building-Post Casualty Loss Basis-office-5</t>
  </si>
  <si>
    <t xml:space="preserve">10-Building-Post Casualty Loss Basis-office-</t>
  </si>
  <si>
    <t xml:space="preserve">12-New Buildings(16 units)-office-5yr</t>
  </si>
  <si>
    <t xml:space="preserve">12-New Buildings(16 units)-office-30yr</t>
  </si>
  <si>
    <t xml:space="preserve">14-New Buildings(105 units)-office-5yr</t>
  </si>
  <si>
    <t xml:space="preserve">14-New Buildings(105 units)-office-30yr</t>
  </si>
  <si>
    <t xml:space="preserve">11-Building Imp-Post-Casulty Loss Basis-offic</t>
  </si>
  <si>
    <t xml:space="preserve">2-Land Improvements-office-5yr</t>
  </si>
  <si>
    <t xml:space="preserve">2-Land Improvements-office-30yr</t>
  </si>
  <si>
    <t xml:space="preserve">13-New Equipment(16 units)-office-5yr</t>
  </si>
  <si>
    <t xml:space="preserve">13-New Equipment(16 units)-office-30yr</t>
  </si>
  <si>
    <t xml:space="preserve">15-New Equipment(105 units)-office-5yr</t>
  </si>
  <si>
    <t xml:space="preserve">15-New Equipment(105 units)-office-30yr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</si>
  <si>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</si>
  <si>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</si>
  <si>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</si>
  <si>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</si>
  <si>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</si>
  <si>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</si>
  <si>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</si>
  <si>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</si>
  <si>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-1,762,893.13 (Regular Tax; AMT equals Regular Tax on every unit in this report).</t>
  </si>
  <si>
    <t xml:space="preserve">2. DISCREPANCY: the CSSI Summary Sheet prints a total of -1,101,219.87, but its own line items sum to -1,762,893.13. Unit schedules are internally consistent; the printed total does not foot. Refer to CSSI for correction.</t>
  </si>
  <si>
    <t xml:space="preserve">3.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</si>
  <si>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4. All End Depreciation, Net Book Value, totals, and 481(a) cells are live formulas; asset-level inputs are transcribed from the CSSI PDF. The Difference and Check rows must remain zero after any edit.</t>
  </si>
  <si>
    <t xml:space="preserve">Site — Attachment to Form 3115 (DCN #7, Rev. Proc. 2024-23 §6.01)</t>
  </si>
  <si>
    <t xml:space="preserve">Source: CSSI Report #107752-24, "St. Charles Housing LP_107752-24_3115_Combined.pdf"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</si>
  <si>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</si>
  <si>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</si>
  <si>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</si>
  <si>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</si>
  <si>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</si>
  <si>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</si>
  <si>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</si>
  <si>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</si>
  <si>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</si>
  <si>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</si>
  <si>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</si>
  <si>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</si>
  <si>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</si>
  <si>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</si>
  <si>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S/L</t>
  </si>
  <si>
    <t xml:space="preserve">30.00</t>
  </si>
  <si>
    <t xml:space="preserve">150DB</t>
  </si>
  <si>
    <t xml:space="preserve">15.0</t>
  </si>
  <si>
    <t xml:space="preserve">200DB</t>
  </si>
  <si>
    <t xml:space="preserve">5.0</t>
  </si>
  <si>
    <t xml:space="preserve">After Cost Segregation Correction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</si>
  <si>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</si>
  <si>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</si>
  <si>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</si>
  <si>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</si>
  <si>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</si>
  <si>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</si>
  <si>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</si>
  <si>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</si>
  <si>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</si>
  <si>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</si>
  <si>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Site Cost</t>
  </si>
  <si>
    <t xml:space="preserve">Site Improvements: 15 Year</t>
  </si>
  <si>
    <t xml:space="preserve">% of Cost</t>
  </si>
  <si>
    <t xml:space="preserve">Site Utilities: 30 Year</t>
  </si>
  <si>
    <t xml:space="preserve">COST SEGREGATION STUDY — COST DETAIL</t>
  </si>
  <si>
    <t xml:space="preserve">Property Category</t>
  </si>
  <si>
    <t xml:space="preserve">15 Year</t>
  </si>
  <si>
    <t xml:space="preserve">30 Year</t>
  </si>
  <si>
    <t xml:space="preserve">Site Work / Improvements</t>
  </si>
  <si>
    <t xml:space="preserve">Parking Lot</t>
  </si>
  <si>
    <t xml:space="preserve">Parking Lot Striping / Barriers</t>
  </si>
  <si>
    <t xml:space="preserve">Sidewalks / Curbs</t>
  </si>
  <si>
    <t xml:space="preserve">Landscaping</t>
  </si>
  <si>
    <t xml:space="preserve">Exterior Fencing</t>
  </si>
  <si>
    <t xml:space="preserve">Exterior Equipment Concrete Pads</t>
  </si>
  <si>
    <t xml:space="preserve">Playground</t>
  </si>
  <si>
    <t xml:space="preserve">Site Utilities</t>
  </si>
  <si>
    <t xml:space="preserve">ASSET ALLOCATION (per After Cost Segregation schedule)</t>
  </si>
  <si>
    <t xml:space="preserve">Asset (as reclassified)</t>
  </si>
  <si>
    <t xml:space="preserve">Total Allocation</t>
  </si>
  <si>
    <t xml:space="preserve">Check: Allocation vs. Cost Detail (should be zero)</t>
  </si>
  <si>
    <t xml:space="preserve">Building 1 — Attachment to Form 3115 (DCN #7, Rev. Proc. 2024-23 §6.01)</t>
  </si>
  <si>
    <t xml:space="preserve">Total Building Cost</t>
  </si>
  <si>
    <t xml:space="preserve">Building Components: 5 Year</t>
  </si>
  <si>
    <t xml:space="preserve">Building Structure: 30 Year</t>
  </si>
  <si>
    <t xml:space="preserve">5 Year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</si>
  <si>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</si>
  <si>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</si>
  <si>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</si>
  <si>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</si>
  <si>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</si>
  <si>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</si>
  <si>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</si>
  <si>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</si>
  <si>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</si>
  <si>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</si>
  <si>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Canopies / Awnings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</si>
  <si>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</si>
  <si>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</si>
  <si>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</si>
  <si>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</si>
  <si>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</si>
  <si>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</si>
  <si>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</si>
  <si>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</si>
  <si>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</si>
  <si>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</si>
  <si>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</si>
  <si>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</si>
  <si>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</si>
  <si>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</si>
  <si>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Structural Framing</t>
  </si>
  <si>
    <t xml:space="preserve">Stairs / Balconies</t>
  </si>
  <si>
    <t xml:space="preserve">Bathroom Accessories</t>
  </si>
  <si>
    <t xml:space="preserve">Cabinets / Millwork - Restrooms</t>
  </si>
  <si>
    <t xml:space="preserve">Building 2 — Attachment to Form 3115 (DCN #7, Rev. Proc. 2024-23 §6.01)</t>
  </si>
  <si>
    <t xml:space="preserve">Building 3 — Attachment to Form 3115 (DCN #7, Rev. Proc. 2024-23 §6.01)</t>
  </si>
  <si>
    <t xml:space="preserve">Building 4 — Attachment to Form 3115 (DCN #7, Rev. Proc. 2024-23 §6.01)</t>
  </si>
  <si>
    <t xml:space="preserve">Building 5 — Attachment to Form 3115 (DCN #7, Rev. Proc. 2024-23 §6.01)</t>
  </si>
  <si>
    <t xml:space="preserve">Building 6 — Attachment to Form 3115 (DCN #7, Rev. Proc. 2024-23 §6.01)</t>
  </si>
  <si>
    <t xml:space="preserve">Building 7 — Attachment to Form 3115 (DCN #7, Rev. Proc. 2024-23 §6.01)</t>
  </si>
  <si>
    <t xml:space="preserve">Building 8 — Attachment to Form 3115 (DCN #7, Rev. Proc. 2024-23 §6.01)</t>
  </si>
  <si>
    <t xml:space="preserve">Building 9 — Attachment to Form 3115 (DCN #7, Rev. Proc. 2024-23 §6.01)</t>
  </si>
  <si>
    <t xml:space="preserve">Flooring - Vinyl Tile</t>
  </si>
  <si>
    <t xml:space="preserve">Specialty HVAC - Dryer Vents</t>
  </si>
  <si>
    <t xml:space="preserve">Specialty Plumbing - Kitchen Sink / Laundry</t>
  </si>
  <si>
    <t xml:space="preserve">Mailboxes</t>
  </si>
  <si>
    <t xml:space="preserve">Emergency Lighting</t>
  </si>
  <si>
    <t xml:space="preserve">Building 10 — Attachment to Form 3115 (DCN #7, Rev. Proc. 2024-23 §6.01)</t>
  </si>
  <si>
    <t xml:space="preserve">Building 11 — Attachment to Form 3115 (DCN #7, Rev. Proc. 2024-23 §6.01)</t>
  </si>
  <si>
    <t xml:space="preserve">Building 12 — Attachment to Form 3115 (DCN #7, Rev. Proc. 2024-23 §6.01)</t>
  </si>
  <si>
    <t xml:space="preserve">Building 13 — Attachment to Form 3115 (DCN #7, Rev. Proc. 2024-23 §6.01)</t>
  </si>
  <si>
    <t xml:space="preserve">Building 14 — Attachment to Form 3115 (DCN #7, Rev. Proc. 2024-23 §6.01)</t>
  </si>
  <si>
    <t xml:space="preserve">Building 15 — Attachment to Form 3115 (DCN #7, Rev. Proc. 2024-23 §6.01)</t>
  </si>
  <si>
    <t xml:space="preserve">Building 16 — Attachment to Form 3115 (DCN #7, Rev. Proc. 2024-23 §6.01)</t>
  </si>
  <si>
    <t xml:space="preserve">Office — Attachment to Form 3115 (DCN #7, Rev. Proc. 2024-23 §6.01)</t>
  </si>
  <si>
    <t xml:space="preserve">Security System</t>
  </si>
  <si>
    <t xml:space="preserve">Specialty Plumbing - Breakroom Sink</t>
  </si>
  <si>
    <t xml:space="preserve">Interior Windows</t>
  </si>
  <si>
    <t xml:space="preserve">Flooring - Sealed Concrete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</si>
</sst>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21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</row>
    <row r="8" customFormat="false" ht="15" hidden="false" customHeight="false" outlineLevel="0" collapsed="false">
      <c r="A8" s="5" t="s">
        <v>25</v>
      </c>
      <c r="B8" s="5" t="s">
        <v>26</v>
      </c>
      <c r="C8" s="6" t="n">
        <f aca="false">SUM(D8:U8)</f>
        <v>116091.65</v>
      </c>
      <c r="D8" s="6" t="n">
        <f aca="false">Site!$D$10</f>
        <v>116091.65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customFormat="false" ht="15" hidden="false" customHeight="false" outlineLevel="0" collapsed="false">
      <c r="A9" s="5" t="s">
        <v>27</v>
      </c>
      <c r="B9" s="5" t="s">
        <v>28</v>
      </c>
      <c r="C9" s="6" t="n">
        <f aca="false">SUM(D9:U9)</f>
        <v>62263.6</v>
      </c>
      <c r="D9" s="6" t="n">
        <f aca="false">Site!$D$11</f>
        <v>62263.6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customFormat="false" ht="15" hidden="false" customHeight="false" outlineLevel="0" collapsed="false">
      <c r="A10" s="5" t="s">
        <v>29</v>
      </c>
      <c r="B10" s="5" t="s">
        <v>30</v>
      </c>
      <c r="C10" s="6" t="n">
        <f aca="false">SUM(D10:U10)</f>
        <v>417320.48</v>
      </c>
      <c r="D10" s="6" t="n">
        <f aca="false">Site!$D$12</f>
        <v>417320.48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5" hidden="false" customHeight="false" outlineLevel="0" collapsed="false">
      <c r="A11" s="5" t="s">
        <v>31</v>
      </c>
      <c r="B11" s="5" t="s">
        <v>32</v>
      </c>
      <c r="C11" s="6" t="n">
        <f aca="false">SUM(D11:U11)</f>
        <v>2917.69</v>
      </c>
      <c r="D11" s="6" t="n">
        <f aca="false">Site!$D$13</f>
        <v>2917.69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customFormat="false" ht="15" hidden="false" customHeight="false" outlineLevel="0" collapsed="false">
      <c r="A12" s="5" t="s">
        <v>25</v>
      </c>
      <c r="B12" s="5" t="s">
        <v>33</v>
      </c>
      <c r="C12" s="6" t="n">
        <f aca="false">SUM(D12:U12)</f>
        <v>15876.41</v>
      </c>
      <c r="D12" s="6" t="n">
        <f aca="false">Site!$D$14</f>
        <v>15876.41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customFormat="false" ht="15" hidden="false" customHeight="false" outlineLevel="0" collapsed="false">
      <c r="A13" s="5" t="s">
        <v>27</v>
      </c>
      <c r="B13" s="5" t="s">
        <v>34</v>
      </c>
      <c r="C13" s="6" t="n">
        <f aca="false">SUM(D13:U13)</f>
        <v>13667.6</v>
      </c>
      <c r="D13" s="6" t="n">
        <f aca="false">Site!$D$15</f>
        <v>13667.6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customFormat="false" ht="15" hidden="false" customHeight="false" outlineLevel="0" collapsed="false">
      <c r="A14" s="5" t="s">
        <v>29</v>
      </c>
      <c r="B14" s="5" t="s">
        <v>35</v>
      </c>
      <c r="C14" s="6" t="n">
        <f aca="false">SUM(D14:U14)</f>
        <v>91606.97</v>
      </c>
      <c r="D14" s="6" t="n">
        <f aca="false">Site!$D$16</f>
        <v>91606.97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customFormat="false" ht="15" hidden="false" customHeight="false" outlineLevel="0" collapsed="false">
      <c r="A15" s="5" t="s">
        <v>25</v>
      </c>
      <c r="B15" s="5" t="s">
        <v>36</v>
      </c>
      <c r="C15" s="6" t="n">
        <f aca="false">SUM(D15:U15)</f>
        <v>64257.99</v>
      </c>
      <c r="D15" s="6"/>
      <c r="E15" s="6" t="n">
        <f aca="false">'Building 1'!$D$10</f>
        <v>64257.99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customFormat="false" ht="15" hidden="false" customHeight="false" outlineLevel="0" collapsed="false">
      <c r="A16" s="5" t="s">
        <v>27</v>
      </c>
      <c r="B16" s="5" t="s">
        <v>37</v>
      </c>
      <c r="C16" s="6" t="n">
        <f aca="false">SUM(D16:U16)</f>
        <v>34463.6</v>
      </c>
      <c r="D16" s="6"/>
      <c r="E16" s="6" t="n">
        <f aca="false">'Building 1'!$D$11</f>
        <v>34463.6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customFormat="false" ht="15" hidden="false" customHeight="false" outlineLevel="0" collapsed="false">
      <c r="A17" s="5" t="s">
        <v>29</v>
      </c>
      <c r="B17" s="5" t="s">
        <v>38</v>
      </c>
      <c r="C17" s="6" t="n">
        <f aca="false">SUM(D17:U17)</f>
        <v>230991.49</v>
      </c>
      <c r="D17" s="6"/>
      <c r="E17" s="6" t="n">
        <f aca="false">'Building 1'!$D$12</f>
        <v>230991.49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customFormat="false" ht="15" hidden="false" customHeight="false" outlineLevel="0" collapsed="false">
      <c r="A18" s="5" t="s">
        <v>31</v>
      </c>
      <c r="B18" s="5" t="s">
        <v>39</v>
      </c>
      <c r="C18" s="6" t="n">
        <f aca="false">SUM(D18:U18)</f>
        <v>25941.71</v>
      </c>
      <c r="D18" s="6"/>
      <c r="E18" s="6" t="n">
        <f aca="false">'Building 1'!$D$13</f>
        <v>1614.97</v>
      </c>
      <c r="F18" s="6" t="n">
        <f aca="false">'Building 2'!$D$13</f>
        <v>1615.35</v>
      </c>
      <c r="G18" s="6" t="n">
        <f aca="false">'Building 3'!$D$13</f>
        <v>1615.41</v>
      </c>
      <c r="H18" s="6" t="n">
        <f aca="false">'Building 4'!$D$13</f>
        <v>1607.95</v>
      </c>
      <c r="I18" s="6" t="n">
        <f aca="false">'Building 5'!$D$13</f>
        <v>1809.19</v>
      </c>
      <c r="J18" s="6" t="n">
        <f aca="false">'Building 6'!$D$13</f>
        <v>1616.48</v>
      </c>
      <c r="K18" s="6" t="n">
        <f aca="false">'Building 7'!$D$13</f>
        <v>1817.72</v>
      </c>
      <c r="L18" s="6" t="n">
        <f aca="false">'Building 8'!$D$13</f>
        <v>1616.48</v>
      </c>
      <c r="M18" s="6" t="n">
        <f aca="false">'Building 9'!$D$13</f>
        <v>719.75</v>
      </c>
      <c r="N18" s="6" t="n">
        <f aca="false">'Building 10'!$D$13</f>
        <v>1816.65</v>
      </c>
      <c r="O18" s="6" t="n">
        <f aca="false">'Building 11'!$D$13</f>
        <v>1616.48</v>
      </c>
      <c r="P18" s="6" t="n">
        <f aca="false">'Building 12'!$D$13</f>
        <v>1817.72</v>
      </c>
      <c r="Q18" s="6" t="n">
        <f aca="false">'Building 13'!$D$13</f>
        <v>1616.48</v>
      </c>
      <c r="R18" s="6" t="n">
        <f aca="false">'Building 14'!$D$13</f>
        <v>1816.65</v>
      </c>
      <c r="S18" s="6" t="n">
        <f aca="false">'Building 15'!$D$13</f>
        <v>1607.95</v>
      </c>
      <c r="T18" s="6" t="n">
        <f aca="false">'Building 16'!$D$13</f>
        <v>1616.48</v>
      </c>
      <c r="U18" s="6"/>
    </row>
    <row r="19" customFormat="false" ht="15" hidden="false" customHeight="false" outlineLevel="0" collapsed="false">
      <c r="A19" s="5" t="s">
        <v>25</v>
      </c>
      <c r="B19" s="5" t="s">
        <v>40</v>
      </c>
      <c r="C19" s="6" t="n">
        <f aca="false">SUM(D19:U19)</f>
        <v>8787.77</v>
      </c>
      <c r="D19" s="6"/>
      <c r="E19" s="6" t="n">
        <f aca="false">'Building 1'!$D$14</f>
        <v>8787.77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customFormat="false" ht="15" hidden="false" customHeight="false" outlineLevel="0" collapsed="false">
      <c r="A20" s="5" t="s">
        <v>27</v>
      </c>
      <c r="B20" s="5" t="s">
        <v>41</v>
      </c>
      <c r="C20" s="6" t="n">
        <f aca="false">SUM(D20:U20)</f>
        <v>7565.17</v>
      </c>
      <c r="D20" s="6"/>
      <c r="E20" s="6" t="n">
        <f aca="false">'Building 1'!$D$15</f>
        <v>7565.17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customFormat="false" ht="15" hidden="false" customHeight="false" outlineLevel="0" collapsed="false">
      <c r="A21" s="5" t="s">
        <v>29</v>
      </c>
      <c r="B21" s="5" t="s">
        <v>42</v>
      </c>
      <c r="C21" s="6" t="n">
        <f aca="false">SUM(D21:U21)</f>
        <v>50705.47</v>
      </c>
      <c r="D21" s="6"/>
      <c r="E21" s="6" t="n">
        <f aca="false">'Building 1'!$D$16</f>
        <v>50705.47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customFormat="false" ht="15" hidden="false" customHeight="false" outlineLevel="0" collapsed="false">
      <c r="A22" s="5" t="s">
        <v>25</v>
      </c>
      <c r="B22" s="5" t="s">
        <v>43</v>
      </c>
      <c r="C22" s="6" t="n">
        <f aca="false">SUM(D22:U22)</f>
        <v>64273.15</v>
      </c>
      <c r="D22" s="6"/>
      <c r="E22" s="6"/>
      <c r="F22" s="6" t="n">
        <f aca="false">'Building 2'!$D$10</f>
        <v>64273.15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customFormat="false" ht="15" hidden="false" customHeight="false" outlineLevel="0" collapsed="false">
      <c r="A23" s="5" t="s">
        <v>27</v>
      </c>
      <c r="B23" s="5" t="s">
        <v>44</v>
      </c>
      <c r="C23" s="6" t="n">
        <f aca="false">SUM(D23:U23)</f>
        <v>34471.7</v>
      </c>
      <c r="D23" s="6"/>
      <c r="E23" s="6"/>
      <c r="F23" s="6" t="n">
        <f aca="false">'Building 2'!$D$11</f>
        <v>34471.7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customFormat="false" ht="15" hidden="false" customHeight="false" outlineLevel="0" collapsed="false">
      <c r="A24" s="5" t="s">
        <v>29</v>
      </c>
      <c r="B24" s="5" t="s">
        <v>45</v>
      </c>
      <c r="C24" s="6" t="n">
        <f aca="false">SUM(D24:U24)</f>
        <v>231045.9</v>
      </c>
      <c r="D24" s="6"/>
      <c r="E24" s="6"/>
      <c r="F24" s="6" t="n">
        <f aca="false">'Building 2'!$D$12</f>
        <v>231045.9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customFormat="false" ht="15" hidden="false" customHeight="false" outlineLevel="0" collapsed="false">
      <c r="A25" s="5" t="s">
        <v>25</v>
      </c>
      <c r="B25" s="5" t="s">
        <v>46</v>
      </c>
      <c r="C25" s="6" t="n">
        <f aca="false">SUM(D25:U25)</f>
        <v>8789.84</v>
      </c>
      <c r="D25" s="6"/>
      <c r="E25" s="6"/>
      <c r="F25" s="6" t="n">
        <f aca="false">'Building 2'!$D$14</f>
        <v>8789.84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customFormat="false" ht="15" hidden="false" customHeight="false" outlineLevel="0" collapsed="false">
      <c r="A26" s="5" t="s">
        <v>27</v>
      </c>
      <c r="B26" s="5" t="s">
        <v>47</v>
      </c>
      <c r="C26" s="6" t="n">
        <f aca="false">SUM(D26:U26)</f>
        <v>7566.95</v>
      </c>
      <c r="D26" s="6"/>
      <c r="E26" s="6"/>
      <c r="F26" s="6" t="n">
        <f aca="false">'Building 2'!$D$15</f>
        <v>7566.95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customFormat="false" ht="15" hidden="false" customHeight="false" outlineLevel="0" collapsed="false">
      <c r="A27" s="5" t="s">
        <v>29</v>
      </c>
      <c r="B27" s="5" t="s">
        <v>48</v>
      </c>
      <c r="C27" s="6" t="n">
        <f aca="false">SUM(D27:U27)</f>
        <v>50717.41</v>
      </c>
      <c r="D27" s="6"/>
      <c r="E27" s="6"/>
      <c r="F27" s="6" t="n">
        <f aca="false">'Building 2'!$D$16</f>
        <v>50717.41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customFormat="false" ht="15" hidden="false" customHeight="false" outlineLevel="0" collapsed="false">
      <c r="A28" s="5" t="s">
        <v>25</v>
      </c>
      <c r="B28" s="5" t="s">
        <v>49</v>
      </c>
      <c r="C28" s="6" t="n">
        <f aca="false">SUM(D28:U28)</f>
        <v>64275.31</v>
      </c>
      <c r="D28" s="6"/>
      <c r="E28" s="6"/>
      <c r="F28" s="6"/>
      <c r="G28" s="6" t="n">
        <f aca="false">'Building 3'!$D$10</f>
        <v>64275.31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customFormat="false" ht="15" hidden="false" customHeight="false" outlineLevel="0" collapsed="false">
      <c r="A29" s="5" t="s">
        <v>27</v>
      </c>
      <c r="B29" s="5" t="s">
        <v>50</v>
      </c>
      <c r="C29" s="6" t="n">
        <f aca="false">SUM(D29:U29)</f>
        <v>34472.86</v>
      </c>
      <c r="D29" s="6"/>
      <c r="E29" s="6"/>
      <c r="F29" s="6"/>
      <c r="G29" s="6" t="n">
        <f aca="false">'Building 3'!$D$11</f>
        <v>34472.86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customFormat="false" ht="15" hidden="false" customHeight="false" outlineLevel="0" collapsed="false">
      <c r="A30" s="5" t="s">
        <v>29</v>
      </c>
      <c r="B30" s="5" t="s">
        <v>51</v>
      </c>
      <c r="C30" s="6" t="n">
        <f aca="false">SUM(D30:U30)</f>
        <v>231053.67</v>
      </c>
      <c r="D30" s="6"/>
      <c r="E30" s="6"/>
      <c r="F30" s="6"/>
      <c r="G30" s="6" t="n">
        <f aca="false">'Building 3'!$D$12</f>
        <v>231053.67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customFormat="false" ht="15" hidden="false" customHeight="false" outlineLevel="0" collapsed="false">
      <c r="A31" s="5" t="s">
        <v>25</v>
      </c>
      <c r="B31" s="5" t="s">
        <v>52</v>
      </c>
      <c r="C31" s="6" t="n">
        <f aca="false">SUM(D31:U31)</f>
        <v>8790.13</v>
      </c>
      <c r="D31" s="6"/>
      <c r="E31" s="6"/>
      <c r="F31" s="6"/>
      <c r="G31" s="6" t="n">
        <f aca="false">'Building 3'!$D$14</f>
        <v>8790.13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customFormat="false" ht="15" hidden="false" customHeight="false" outlineLevel="0" collapsed="false">
      <c r="A32" s="5" t="s">
        <v>27</v>
      </c>
      <c r="B32" s="5" t="s">
        <v>53</v>
      </c>
      <c r="C32" s="6" t="n">
        <f aca="false">SUM(D32:U32)</f>
        <v>7567.2</v>
      </c>
      <c r="D32" s="6"/>
      <c r="E32" s="6"/>
      <c r="F32" s="6"/>
      <c r="G32" s="6" t="n">
        <f aca="false">'Building 3'!$D$15</f>
        <v>7567.2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customFormat="false" ht="15" hidden="false" customHeight="false" outlineLevel="0" collapsed="false">
      <c r="A33" s="5" t="s">
        <v>29</v>
      </c>
      <c r="B33" s="5" t="s">
        <v>54</v>
      </c>
      <c r="C33" s="6" t="n">
        <f aca="false">SUM(D33:U33)</f>
        <v>50719.12</v>
      </c>
      <c r="D33" s="6"/>
      <c r="E33" s="6"/>
      <c r="F33" s="6"/>
      <c r="G33" s="6" t="n">
        <f aca="false">'Building 3'!$D$16</f>
        <v>50719.12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customFormat="false" ht="15" hidden="false" customHeight="false" outlineLevel="0" collapsed="false">
      <c r="A34" s="5" t="s">
        <v>25</v>
      </c>
      <c r="B34" s="5" t="s">
        <v>55</v>
      </c>
      <c r="C34" s="6" t="n">
        <f aca="false">SUM(D34:U34)</f>
        <v>63978.69</v>
      </c>
      <c r="D34" s="6"/>
      <c r="E34" s="6"/>
      <c r="F34" s="6"/>
      <c r="G34" s="6"/>
      <c r="H34" s="6" t="n">
        <f aca="false">'Building 4'!$D$10</f>
        <v>63978.69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customFormat="false" ht="15" hidden="false" customHeight="false" outlineLevel="0" collapsed="false">
      <c r="A35" s="5" t="s">
        <v>27</v>
      </c>
      <c r="B35" s="5" t="s">
        <v>56</v>
      </c>
      <c r="C35" s="6" t="n">
        <f aca="false">SUM(D35:U35)</f>
        <v>34313.78</v>
      </c>
      <c r="D35" s="6"/>
      <c r="E35" s="6"/>
      <c r="F35" s="6"/>
      <c r="G35" s="6"/>
      <c r="H35" s="6" t="n">
        <f aca="false">'Building 4'!$D$11</f>
        <v>34313.78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customFormat="false" ht="15" hidden="false" customHeight="false" outlineLevel="0" collapsed="false">
      <c r="A36" s="5" t="s">
        <v>29</v>
      </c>
      <c r="B36" s="5" t="s">
        <v>57</v>
      </c>
      <c r="C36" s="6" t="n">
        <f aca="false">SUM(D36:U36)</f>
        <v>229987.39</v>
      </c>
      <c r="D36" s="6"/>
      <c r="E36" s="6"/>
      <c r="F36" s="6"/>
      <c r="G36" s="6"/>
      <c r="H36" s="6" t="n">
        <f aca="false">'Building 4'!$D$12</f>
        <v>229987.39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customFormat="false" ht="15" hidden="false" customHeight="false" outlineLevel="0" collapsed="false">
      <c r="A37" s="5" t="s">
        <v>25</v>
      </c>
      <c r="B37" s="5" t="s">
        <v>58</v>
      </c>
      <c r="C37" s="6" t="n">
        <f aca="false">SUM(D37:U37)</f>
        <v>8749.57</v>
      </c>
      <c r="D37" s="6"/>
      <c r="E37" s="6"/>
      <c r="F37" s="6"/>
      <c r="G37" s="6"/>
      <c r="H37" s="6" t="n">
        <f aca="false">'Building 4'!$D$14</f>
        <v>8749.57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customFormat="false" ht="15" hidden="false" customHeight="false" outlineLevel="0" collapsed="false">
      <c r="A38" s="5" t="s">
        <v>27</v>
      </c>
      <c r="B38" s="5" t="s">
        <v>59</v>
      </c>
      <c r="C38" s="6" t="n">
        <f aca="false">SUM(D38:U38)</f>
        <v>7532.28</v>
      </c>
      <c r="D38" s="6"/>
      <c r="E38" s="6"/>
      <c r="F38" s="6"/>
      <c r="G38" s="6"/>
      <c r="H38" s="6" t="n">
        <f aca="false">'Building 4'!$D$15</f>
        <v>7532.28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customFormat="false" ht="15" hidden="false" customHeight="false" outlineLevel="0" collapsed="false">
      <c r="A39" s="5" t="s">
        <v>29</v>
      </c>
      <c r="B39" s="5" t="s">
        <v>60</v>
      </c>
      <c r="C39" s="6" t="n">
        <f aca="false">SUM(D39:U39)</f>
        <v>50485.05</v>
      </c>
      <c r="D39" s="6"/>
      <c r="E39" s="6"/>
      <c r="F39" s="6"/>
      <c r="G39" s="6"/>
      <c r="H39" s="6" t="n">
        <f aca="false">'Building 4'!$D$16</f>
        <v>50485.05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customFormat="false" ht="15" hidden="false" customHeight="false" outlineLevel="0" collapsed="false">
      <c r="A40" s="5" t="s">
        <v>25</v>
      </c>
      <c r="B40" s="5" t="s">
        <v>61</v>
      </c>
      <c r="C40" s="6" t="n">
        <f aca="false">SUM(D40:U40)</f>
        <v>71985.95</v>
      </c>
      <c r="D40" s="6"/>
      <c r="E40" s="6"/>
      <c r="F40" s="6"/>
      <c r="G40" s="6"/>
      <c r="H40" s="6"/>
      <c r="I40" s="6" t="n">
        <f aca="false">'Building 5'!$D$10</f>
        <v>71985.95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customFormat="false" ht="15" hidden="false" customHeight="false" outlineLevel="0" collapsed="false">
      <c r="A41" s="5" t="s">
        <v>27</v>
      </c>
      <c r="B41" s="5" t="s">
        <v>62</v>
      </c>
      <c r="C41" s="6" t="n">
        <f aca="false">SUM(D41:U41)</f>
        <v>38608.32</v>
      </c>
      <c r="D41" s="6"/>
      <c r="E41" s="6"/>
      <c r="F41" s="6"/>
      <c r="G41" s="6"/>
      <c r="H41" s="6"/>
      <c r="I41" s="6" t="n">
        <f aca="false">'Building 5'!$D$11</f>
        <v>38608.32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customFormat="false" ht="15" hidden="false" customHeight="false" outlineLevel="0" collapsed="false">
      <c r="A42" s="5" t="s">
        <v>29</v>
      </c>
      <c r="B42" s="5" t="s">
        <v>63</v>
      </c>
      <c r="C42" s="6" t="n">
        <f aca="false">SUM(D42:U42)</f>
        <v>258771.48</v>
      </c>
      <c r="D42" s="6"/>
      <c r="E42" s="6"/>
      <c r="F42" s="6"/>
      <c r="G42" s="6"/>
      <c r="H42" s="6"/>
      <c r="I42" s="6" t="n">
        <f aca="false">'Building 5'!$D$12</f>
        <v>258771.48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customFormat="false" ht="15" hidden="false" customHeight="false" outlineLevel="0" collapsed="false">
      <c r="A43" s="5" t="s">
        <v>25</v>
      </c>
      <c r="B43" s="5" t="s">
        <v>64</v>
      </c>
      <c r="C43" s="6" t="n">
        <f aca="false">SUM(D43:U43)</f>
        <v>9844.62</v>
      </c>
      <c r="D43" s="6"/>
      <c r="E43" s="6"/>
      <c r="F43" s="6"/>
      <c r="G43" s="6"/>
      <c r="H43" s="6"/>
      <c r="I43" s="6" t="n">
        <f aca="false">'Building 5'!$D$14</f>
        <v>9844.62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customFormat="false" ht="15" hidden="false" customHeight="false" outlineLevel="0" collapsed="false">
      <c r="A44" s="5" t="s">
        <v>27</v>
      </c>
      <c r="B44" s="5" t="s">
        <v>65</v>
      </c>
      <c r="C44" s="6" t="n">
        <f aca="false">SUM(D44:U44)</f>
        <v>8474.99</v>
      </c>
      <c r="D44" s="6"/>
      <c r="E44" s="6"/>
      <c r="F44" s="6"/>
      <c r="G44" s="6"/>
      <c r="H44" s="6"/>
      <c r="I44" s="6" t="n">
        <f aca="false">'Building 5'!$D$15</f>
        <v>8474.99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customFormat="false" ht="15" hidden="false" customHeight="false" outlineLevel="0" collapsed="false">
      <c r="A45" s="5" t="s">
        <v>29</v>
      </c>
      <c r="B45" s="5" t="s">
        <v>66</v>
      </c>
      <c r="C45" s="6" t="n">
        <f aca="false">SUM(D45:U45)</f>
        <v>56803.51</v>
      </c>
      <c r="D45" s="6"/>
      <c r="E45" s="6"/>
      <c r="F45" s="6"/>
      <c r="G45" s="6"/>
      <c r="H45" s="6"/>
      <c r="I45" s="6" t="n">
        <f aca="false">'Building 5'!$D$16</f>
        <v>56803.51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customFormat="false" ht="15" hidden="false" customHeight="false" outlineLevel="0" collapsed="false">
      <c r="A46" s="5" t="s">
        <v>25</v>
      </c>
      <c r="B46" s="5" t="s">
        <v>67</v>
      </c>
      <c r="C46" s="6" t="n">
        <f aca="false">SUM(D46:U46)</f>
        <v>64317.98</v>
      </c>
      <c r="D46" s="6"/>
      <c r="E46" s="6"/>
      <c r="F46" s="6"/>
      <c r="G46" s="6"/>
      <c r="H46" s="6"/>
      <c r="I46" s="6"/>
      <c r="J46" s="6" t="n">
        <f aca="false">'Building 6'!$D$10</f>
        <v>64317.98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customFormat="false" ht="15" hidden="false" customHeight="false" outlineLevel="0" collapsed="false">
      <c r="A47" s="5" t="s">
        <v>27</v>
      </c>
      <c r="B47" s="5" t="s">
        <v>68</v>
      </c>
      <c r="C47" s="6" t="n">
        <f aca="false">SUM(D47:U47)</f>
        <v>34495.74</v>
      </c>
      <c r="D47" s="6"/>
      <c r="E47" s="6"/>
      <c r="F47" s="6"/>
      <c r="G47" s="6"/>
      <c r="H47" s="6"/>
      <c r="I47" s="6"/>
      <c r="J47" s="6" t="n">
        <f aca="false">'Building 6'!$D$11</f>
        <v>34495.74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customFormat="false" ht="15" hidden="false" customHeight="false" outlineLevel="0" collapsed="false">
      <c r="A48" s="5" t="s">
        <v>29</v>
      </c>
      <c r="B48" s="5" t="s">
        <v>69</v>
      </c>
      <c r="C48" s="6" t="n">
        <f aca="false">SUM(D48:U48)</f>
        <v>231207.03</v>
      </c>
      <c r="D48" s="6"/>
      <c r="E48" s="6"/>
      <c r="F48" s="6"/>
      <c r="G48" s="6"/>
      <c r="H48" s="6"/>
      <c r="I48" s="6"/>
      <c r="J48" s="6" t="n">
        <f aca="false">'Building 6'!$D$12</f>
        <v>231207.03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customFormat="false" ht="15" hidden="false" customHeight="false" outlineLevel="0" collapsed="false">
      <c r="A49" s="5" t="s">
        <v>25</v>
      </c>
      <c r="B49" s="5" t="s">
        <v>70</v>
      </c>
      <c r="C49" s="6" t="n">
        <f aca="false">SUM(D49:U49)</f>
        <v>8795.97</v>
      </c>
      <c r="D49" s="6"/>
      <c r="E49" s="6"/>
      <c r="F49" s="6"/>
      <c r="G49" s="6"/>
      <c r="H49" s="6"/>
      <c r="I49" s="6"/>
      <c r="J49" s="6" t="n">
        <f aca="false">'Building 6'!$D$14</f>
        <v>8795.97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customFormat="false" ht="15" hidden="false" customHeight="false" outlineLevel="0" collapsed="false">
      <c r="A50" s="5" t="s">
        <v>27</v>
      </c>
      <c r="B50" s="5" t="s">
        <v>71</v>
      </c>
      <c r="C50" s="6" t="n">
        <f aca="false">SUM(D50:U50)</f>
        <v>7572.23</v>
      </c>
      <c r="D50" s="6"/>
      <c r="E50" s="6"/>
      <c r="F50" s="6"/>
      <c r="G50" s="6"/>
      <c r="H50" s="6"/>
      <c r="I50" s="6"/>
      <c r="J50" s="6" t="n">
        <f aca="false">'Building 6'!$D$15</f>
        <v>7572.23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customFormat="false" ht="15" hidden="false" customHeight="false" outlineLevel="0" collapsed="false">
      <c r="A51" s="5" t="s">
        <v>29</v>
      </c>
      <c r="B51" s="5" t="s">
        <v>72</v>
      </c>
      <c r="C51" s="6" t="n">
        <f aca="false">SUM(D51:U51)</f>
        <v>50752.78</v>
      </c>
      <c r="D51" s="6"/>
      <c r="E51" s="6"/>
      <c r="F51" s="6"/>
      <c r="G51" s="6"/>
      <c r="H51" s="6"/>
      <c r="I51" s="6"/>
      <c r="J51" s="6" t="n">
        <f aca="false">'Building 6'!$D$16</f>
        <v>50752.78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customFormat="false" ht="15" hidden="false" customHeight="false" outlineLevel="0" collapsed="false">
      <c r="A52" s="5" t="s">
        <v>25</v>
      </c>
      <c r="B52" s="5" t="s">
        <v>73</v>
      </c>
      <c r="C52" s="6" t="n">
        <f aca="false">SUM(D52:U52)</f>
        <v>72325.23</v>
      </c>
      <c r="D52" s="6"/>
      <c r="E52" s="6"/>
      <c r="F52" s="6"/>
      <c r="G52" s="6"/>
      <c r="H52" s="6"/>
      <c r="I52" s="6"/>
      <c r="J52" s="6"/>
      <c r="K52" s="6" t="n">
        <f aca="false">'Building 7'!$D$10</f>
        <v>72325.23</v>
      </c>
      <c r="L52" s="6"/>
      <c r="M52" s="6"/>
      <c r="N52" s="6"/>
      <c r="O52" s="6"/>
      <c r="P52" s="6"/>
      <c r="Q52" s="6"/>
      <c r="R52" s="6"/>
      <c r="S52" s="6"/>
      <c r="T52" s="6"/>
      <c r="U52" s="6"/>
    </row>
    <row r="53" customFormat="false" ht="15" hidden="false" customHeight="false" outlineLevel="0" collapsed="false">
      <c r="A53" s="5" t="s">
        <v>27</v>
      </c>
      <c r="B53" s="5" t="s">
        <v>74</v>
      </c>
      <c r="C53" s="6" t="n">
        <f aca="false">SUM(D53:U53)</f>
        <v>38790.29</v>
      </c>
      <c r="D53" s="6"/>
      <c r="E53" s="6"/>
      <c r="F53" s="6"/>
      <c r="G53" s="6"/>
      <c r="H53" s="6"/>
      <c r="I53" s="6"/>
      <c r="J53" s="6"/>
      <c r="K53" s="6" t="n">
        <f aca="false">'Building 7'!$D$11</f>
        <v>38790.29</v>
      </c>
      <c r="L53" s="6"/>
      <c r="M53" s="6"/>
      <c r="N53" s="6"/>
      <c r="O53" s="6"/>
      <c r="P53" s="6"/>
      <c r="Q53" s="6"/>
      <c r="R53" s="6"/>
      <c r="S53" s="6"/>
      <c r="T53" s="6"/>
      <c r="U53" s="6"/>
    </row>
    <row r="54" customFormat="false" ht="15" hidden="false" customHeight="false" outlineLevel="0" collapsed="false">
      <c r="A54" s="5" t="s">
        <v>29</v>
      </c>
      <c r="B54" s="5" t="s">
        <v>75</v>
      </c>
      <c r="C54" s="6" t="n">
        <f aca="false">SUM(D54:U54)</f>
        <v>259991.11</v>
      </c>
      <c r="D54" s="6"/>
      <c r="E54" s="6"/>
      <c r="F54" s="6"/>
      <c r="G54" s="6"/>
      <c r="H54" s="6"/>
      <c r="I54" s="6"/>
      <c r="J54" s="6"/>
      <c r="K54" s="6" t="n">
        <f aca="false">'Building 7'!$D$12</f>
        <v>259991.11</v>
      </c>
      <c r="L54" s="6"/>
      <c r="M54" s="6"/>
      <c r="N54" s="6"/>
      <c r="O54" s="6"/>
      <c r="P54" s="6"/>
      <c r="Q54" s="6"/>
      <c r="R54" s="6"/>
      <c r="S54" s="6"/>
      <c r="T54" s="6"/>
      <c r="U54" s="6"/>
    </row>
    <row r="55" customFormat="false" ht="15" hidden="false" customHeight="false" outlineLevel="0" collapsed="false">
      <c r="A55" s="5" t="s">
        <v>25</v>
      </c>
      <c r="B55" s="5" t="s">
        <v>76</v>
      </c>
      <c r="C55" s="6" t="n">
        <f aca="false">SUM(D55:U55)</f>
        <v>9891.01</v>
      </c>
      <c r="D55" s="6"/>
      <c r="E55" s="6"/>
      <c r="F55" s="6"/>
      <c r="G55" s="6"/>
      <c r="H55" s="6"/>
      <c r="I55" s="6"/>
      <c r="J55" s="6"/>
      <c r="K55" s="6" t="n">
        <f aca="false">'Building 7'!$D$14</f>
        <v>9891.01</v>
      </c>
      <c r="L55" s="6"/>
      <c r="M55" s="6"/>
      <c r="N55" s="6"/>
      <c r="O55" s="6"/>
      <c r="P55" s="6"/>
      <c r="Q55" s="6"/>
      <c r="R55" s="6"/>
      <c r="S55" s="6"/>
      <c r="T55" s="6"/>
      <c r="U55" s="6"/>
    </row>
    <row r="56" customFormat="false" ht="15" hidden="false" customHeight="false" outlineLevel="0" collapsed="false">
      <c r="A56" s="5" t="s">
        <v>27</v>
      </c>
      <c r="B56" s="5" t="s">
        <v>77</v>
      </c>
      <c r="C56" s="6" t="n">
        <f aca="false">SUM(D56:U56)</f>
        <v>8514.93</v>
      </c>
      <c r="D56" s="6"/>
      <c r="E56" s="6"/>
      <c r="F56" s="6"/>
      <c r="G56" s="6"/>
      <c r="H56" s="6"/>
      <c r="I56" s="6"/>
      <c r="J56" s="6"/>
      <c r="K56" s="6" t="n">
        <f aca="false">'Building 7'!$D$15</f>
        <v>8514.93</v>
      </c>
      <c r="L56" s="6"/>
      <c r="M56" s="6"/>
      <c r="N56" s="6"/>
      <c r="O56" s="6"/>
      <c r="P56" s="6"/>
      <c r="Q56" s="6"/>
      <c r="R56" s="6"/>
      <c r="S56" s="6"/>
      <c r="T56" s="6"/>
      <c r="U56" s="6"/>
    </row>
    <row r="57" customFormat="false" ht="15" hidden="false" customHeight="false" outlineLevel="0" collapsed="false">
      <c r="A57" s="5" t="s">
        <v>29</v>
      </c>
      <c r="B57" s="5" t="s">
        <v>78</v>
      </c>
      <c r="C57" s="6" t="n">
        <f aca="false">SUM(D57:U57)</f>
        <v>57071.24</v>
      </c>
      <c r="D57" s="6"/>
      <c r="E57" s="6"/>
      <c r="F57" s="6"/>
      <c r="G57" s="6"/>
      <c r="H57" s="6"/>
      <c r="I57" s="6"/>
      <c r="J57" s="6"/>
      <c r="K57" s="6" t="n">
        <f aca="false">'Building 7'!$D$16</f>
        <v>57071.24</v>
      </c>
      <c r="L57" s="6"/>
      <c r="M57" s="6"/>
      <c r="N57" s="6"/>
      <c r="O57" s="6"/>
      <c r="P57" s="6"/>
      <c r="Q57" s="6"/>
      <c r="R57" s="6"/>
      <c r="S57" s="6"/>
      <c r="T57" s="6"/>
      <c r="U57" s="6"/>
    </row>
    <row r="58" customFormat="false" ht="15" hidden="false" customHeight="false" outlineLevel="0" collapsed="false">
      <c r="A58" s="5" t="s">
        <v>25</v>
      </c>
      <c r="B58" s="5" t="s">
        <v>79</v>
      </c>
      <c r="C58" s="6" t="n">
        <f aca="false">SUM(D58:U58)</f>
        <v>64317.98</v>
      </c>
      <c r="D58" s="6"/>
      <c r="E58" s="6"/>
      <c r="F58" s="6"/>
      <c r="G58" s="6"/>
      <c r="H58" s="6"/>
      <c r="I58" s="6"/>
      <c r="J58" s="6"/>
      <c r="K58" s="6"/>
      <c r="L58" s="6" t="n">
        <f aca="false">'Building 8'!$D$10</f>
        <v>64317.98</v>
      </c>
      <c r="M58" s="6"/>
      <c r="N58" s="6"/>
      <c r="O58" s="6"/>
      <c r="P58" s="6"/>
      <c r="Q58" s="6"/>
      <c r="R58" s="6"/>
      <c r="S58" s="6"/>
      <c r="T58" s="6"/>
      <c r="U58" s="6"/>
    </row>
    <row r="59" customFormat="false" ht="15" hidden="false" customHeight="false" outlineLevel="0" collapsed="false">
      <c r="A59" s="5" t="s">
        <v>27</v>
      </c>
      <c r="B59" s="5" t="s">
        <v>80</v>
      </c>
      <c r="C59" s="6" t="n">
        <f aca="false">SUM(D59:U59)</f>
        <v>34495.74</v>
      </c>
      <c r="D59" s="6"/>
      <c r="E59" s="6"/>
      <c r="F59" s="6"/>
      <c r="G59" s="6"/>
      <c r="H59" s="6"/>
      <c r="I59" s="6"/>
      <c r="J59" s="6"/>
      <c r="K59" s="6"/>
      <c r="L59" s="6" t="n">
        <f aca="false">'Building 8'!$D$11</f>
        <v>34495.74</v>
      </c>
      <c r="M59" s="6"/>
      <c r="N59" s="6"/>
      <c r="O59" s="6"/>
      <c r="P59" s="6"/>
      <c r="Q59" s="6"/>
      <c r="R59" s="6"/>
      <c r="S59" s="6"/>
      <c r="T59" s="6"/>
      <c r="U59" s="6"/>
    </row>
    <row r="60" customFormat="false" ht="15" hidden="false" customHeight="false" outlineLevel="0" collapsed="false">
      <c r="A60" s="5" t="s">
        <v>29</v>
      </c>
      <c r="B60" s="5" t="s">
        <v>81</v>
      </c>
      <c r="C60" s="6" t="n">
        <f aca="false">SUM(D60:U60)</f>
        <v>231207.03</v>
      </c>
      <c r="D60" s="6"/>
      <c r="E60" s="6"/>
      <c r="F60" s="6"/>
      <c r="G60" s="6"/>
      <c r="H60" s="6"/>
      <c r="I60" s="6"/>
      <c r="J60" s="6"/>
      <c r="K60" s="6"/>
      <c r="L60" s="6" t="n">
        <f aca="false">'Building 8'!$D$12</f>
        <v>231207.03</v>
      </c>
      <c r="M60" s="6"/>
      <c r="N60" s="6"/>
      <c r="O60" s="6"/>
      <c r="P60" s="6"/>
      <c r="Q60" s="6"/>
      <c r="R60" s="6"/>
      <c r="S60" s="6"/>
      <c r="T60" s="6"/>
      <c r="U60" s="6"/>
    </row>
    <row r="61" customFormat="false" ht="15" hidden="false" customHeight="false" outlineLevel="0" collapsed="false">
      <c r="A61" s="5" t="s">
        <v>25</v>
      </c>
      <c r="B61" s="5" t="s">
        <v>82</v>
      </c>
      <c r="C61" s="6" t="n">
        <f aca="false">SUM(D61:U61)</f>
        <v>8795.97</v>
      </c>
      <c r="D61" s="6"/>
      <c r="E61" s="6"/>
      <c r="F61" s="6"/>
      <c r="G61" s="6"/>
      <c r="H61" s="6"/>
      <c r="I61" s="6"/>
      <c r="J61" s="6"/>
      <c r="K61" s="6"/>
      <c r="L61" s="6" t="n">
        <f aca="false">'Building 8'!$D$14</f>
        <v>8795.97</v>
      </c>
      <c r="M61" s="6"/>
      <c r="N61" s="6"/>
      <c r="O61" s="6"/>
      <c r="P61" s="6"/>
      <c r="Q61" s="6"/>
      <c r="R61" s="6"/>
      <c r="S61" s="6"/>
      <c r="T61" s="6"/>
      <c r="U61" s="6"/>
    </row>
    <row r="62" customFormat="false" ht="15" hidden="false" customHeight="false" outlineLevel="0" collapsed="false">
      <c r="A62" s="5" t="s">
        <v>27</v>
      </c>
      <c r="B62" s="5" t="s">
        <v>83</v>
      </c>
      <c r="C62" s="6" t="n">
        <f aca="false">SUM(D62:U62)</f>
        <v>7572.23</v>
      </c>
      <c r="D62" s="6"/>
      <c r="E62" s="6"/>
      <c r="F62" s="6"/>
      <c r="G62" s="6"/>
      <c r="H62" s="6"/>
      <c r="I62" s="6"/>
      <c r="J62" s="6"/>
      <c r="K62" s="6"/>
      <c r="L62" s="6" t="n">
        <f aca="false">'Building 8'!$D$15</f>
        <v>7572.23</v>
      </c>
      <c r="M62" s="6"/>
      <c r="N62" s="6"/>
      <c r="O62" s="6"/>
      <c r="P62" s="6"/>
      <c r="Q62" s="6"/>
      <c r="R62" s="6"/>
      <c r="S62" s="6"/>
      <c r="T62" s="6"/>
      <c r="U62" s="6"/>
    </row>
    <row r="63" customFormat="false" ht="15" hidden="false" customHeight="false" outlineLevel="0" collapsed="false">
      <c r="A63" s="5" t="s">
        <v>29</v>
      </c>
      <c r="B63" s="5" t="s">
        <v>84</v>
      </c>
      <c r="C63" s="6" t="n">
        <f aca="false">SUM(D63:U63)</f>
        <v>50752.78</v>
      </c>
      <c r="D63" s="6"/>
      <c r="E63" s="6"/>
      <c r="F63" s="6"/>
      <c r="G63" s="6"/>
      <c r="H63" s="6"/>
      <c r="I63" s="6"/>
      <c r="J63" s="6"/>
      <c r="K63" s="6"/>
      <c r="L63" s="6" t="n">
        <f aca="false">'Building 8'!$D$16</f>
        <v>50752.78</v>
      </c>
      <c r="M63" s="6"/>
      <c r="N63" s="6"/>
      <c r="O63" s="6"/>
      <c r="P63" s="6"/>
      <c r="Q63" s="6"/>
      <c r="R63" s="6"/>
      <c r="S63" s="6"/>
      <c r="T63" s="6"/>
      <c r="U63" s="6"/>
    </row>
    <row r="64" customFormat="false" ht="15" hidden="false" customHeight="false" outlineLevel="0" collapsed="false">
      <c r="A64" s="5" t="s">
        <v>25</v>
      </c>
      <c r="B64" s="5" t="s">
        <v>85</v>
      </c>
      <c r="C64" s="6" t="n">
        <f aca="false">SUM(D64:U64)</f>
        <v>28637.97</v>
      </c>
      <c r="D64" s="6"/>
      <c r="E64" s="6"/>
      <c r="F64" s="6"/>
      <c r="G64" s="6"/>
      <c r="H64" s="6"/>
      <c r="I64" s="6"/>
      <c r="J64" s="6"/>
      <c r="K64" s="6"/>
      <c r="L64" s="6"/>
      <c r="M64" s="6" t="n">
        <f aca="false">'Building 9'!$D$10</f>
        <v>28637.97</v>
      </c>
      <c r="N64" s="6"/>
      <c r="O64" s="6"/>
      <c r="P64" s="6"/>
      <c r="Q64" s="6"/>
      <c r="R64" s="6"/>
      <c r="S64" s="6"/>
      <c r="T64" s="6"/>
      <c r="U64" s="6"/>
    </row>
    <row r="65" customFormat="false" ht="15" hidden="false" customHeight="false" outlineLevel="0" collapsed="false">
      <c r="A65" s="5" t="s">
        <v>27</v>
      </c>
      <c r="B65" s="5" t="s">
        <v>86</v>
      </c>
      <c r="C65" s="6" t="n">
        <f aca="false">SUM(D65:U65)</f>
        <v>15359.44</v>
      </c>
      <c r="D65" s="6"/>
      <c r="E65" s="6"/>
      <c r="F65" s="6"/>
      <c r="G65" s="6"/>
      <c r="H65" s="6"/>
      <c r="I65" s="6"/>
      <c r="J65" s="6"/>
      <c r="K65" s="6"/>
      <c r="L65" s="6"/>
      <c r="M65" s="6" t="n">
        <f aca="false">'Building 9'!$D$11</f>
        <v>15359.44</v>
      </c>
      <c r="N65" s="6"/>
      <c r="O65" s="6"/>
      <c r="P65" s="6"/>
      <c r="Q65" s="6"/>
      <c r="R65" s="6"/>
      <c r="S65" s="6"/>
      <c r="T65" s="6"/>
      <c r="U65" s="6"/>
    </row>
    <row r="66" customFormat="false" ht="15" hidden="false" customHeight="false" outlineLevel="0" collapsed="false">
      <c r="A66" s="5" t="s">
        <v>29</v>
      </c>
      <c r="B66" s="5" t="s">
        <v>87</v>
      </c>
      <c r="C66" s="6" t="n">
        <f aca="false">SUM(D66:U66)</f>
        <v>102946.35</v>
      </c>
      <c r="D66" s="6"/>
      <c r="E66" s="6"/>
      <c r="F66" s="6"/>
      <c r="G66" s="6"/>
      <c r="H66" s="6"/>
      <c r="I66" s="6"/>
      <c r="J66" s="6"/>
      <c r="K66" s="6"/>
      <c r="L66" s="6"/>
      <c r="M66" s="6" t="n">
        <f aca="false">'Building 9'!$D$12</f>
        <v>102946.35</v>
      </c>
      <c r="N66" s="6"/>
      <c r="O66" s="6"/>
      <c r="P66" s="6"/>
      <c r="Q66" s="6"/>
      <c r="R66" s="6"/>
      <c r="S66" s="6"/>
      <c r="T66" s="6"/>
      <c r="U66" s="6"/>
    </row>
    <row r="67" customFormat="false" ht="15" hidden="false" customHeight="false" outlineLevel="0" collapsed="false">
      <c r="A67" s="5" t="s">
        <v>25</v>
      </c>
      <c r="B67" s="5" t="s">
        <v>88</v>
      </c>
      <c r="C67" s="6" t="n">
        <f aca="false">SUM(D67:U67)</f>
        <v>3916.46</v>
      </c>
      <c r="D67" s="6"/>
      <c r="E67" s="6"/>
      <c r="F67" s="6"/>
      <c r="G67" s="6"/>
      <c r="H67" s="6"/>
      <c r="I67" s="6"/>
      <c r="J67" s="6"/>
      <c r="K67" s="6"/>
      <c r="L67" s="6"/>
      <c r="M67" s="6" t="n">
        <f aca="false">'Building 9'!$D$14</f>
        <v>3916.46</v>
      </c>
      <c r="N67" s="6"/>
      <c r="O67" s="6"/>
      <c r="P67" s="6"/>
      <c r="Q67" s="6"/>
      <c r="R67" s="6"/>
      <c r="S67" s="6"/>
      <c r="T67" s="6"/>
      <c r="U67" s="6"/>
    </row>
    <row r="68" customFormat="false" ht="15" hidden="false" customHeight="false" outlineLevel="0" collapsed="false">
      <c r="A68" s="5" t="s">
        <v>27</v>
      </c>
      <c r="B68" s="5" t="s">
        <v>89</v>
      </c>
      <c r="C68" s="6" t="n">
        <f aca="false">SUM(D68:U68)</f>
        <v>3371.57</v>
      </c>
      <c r="D68" s="6"/>
      <c r="E68" s="6"/>
      <c r="F68" s="6"/>
      <c r="G68" s="6"/>
      <c r="H68" s="6"/>
      <c r="I68" s="6"/>
      <c r="J68" s="6"/>
      <c r="K68" s="6"/>
      <c r="L68" s="6"/>
      <c r="M68" s="6" t="n">
        <f aca="false">'Building 9'!$D$15</f>
        <v>3371.57</v>
      </c>
      <c r="N68" s="6"/>
      <c r="O68" s="6"/>
      <c r="P68" s="6"/>
      <c r="Q68" s="6"/>
      <c r="R68" s="6"/>
      <c r="S68" s="6"/>
      <c r="T68" s="6"/>
      <c r="U68" s="6"/>
    </row>
    <row r="69" customFormat="false" ht="15" hidden="false" customHeight="false" outlineLevel="0" collapsed="false">
      <c r="A69" s="5" t="s">
        <v>29</v>
      </c>
      <c r="B69" s="5" t="s">
        <v>90</v>
      </c>
      <c r="C69" s="6" t="n">
        <f aca="false">SUM(D69:U69)</f>
        <v>22597.99</v>
      </c>
      <c r="D69" s="6"/>
      <c r="E69" s="6"/>
      <c r="F69" s="6"/>
      <c r="G69" s="6"/>
      <c r="H69" s="6"/>
      <c r="I69" s="6"/>
      <c r="J69" s="6"/>
      <c r="K69" s="6"/>
      <c r="L69" s="6"/>
      <c r="M69" s="6" t="n">
        <f aca="false">'Building 9'!$D$16</f>
        <v>22597.99</v>
      </c>
      <c r="N69" s="6"/>
      <c r="O69" s="6"/>
      <c r="P69" s="6"/>
      <c r="Q69" s="6"/>
      <c r="R69" s="6"/>
      <c r="S69" s="6"/>
      <c r="T69" s="6"/>
      <c r="U69" s="6"/>
    </row>
    <row r="70" customFormat="false" ht="15" hidden="false" customHeight="false" outlineLevel="0" collapsed="false">
      <c r="A70" s="5" t="s">
        <v>25</v>
      </c>
      <c r="B70" s="5" t="s">
        <v>91</v>
      </c>
      <c r="C70" s="6" t="n">
        <f aca="false">SUM(D70:U70)</f>
        <v>72282.57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 t="n">
        <f aca="false">'Building 10'!$D$10</f>
        <v>72282.57</v>
      </c>
      <c r="O70" s="6"/>
      <c r="P70" s="6"/>
      <c r="Q70" s="6"/>
      <c r="R70" s="6"/>
      <c r="S70" s="6"/>
      <c r="T70" s="6"/>
      <c r="U70" s="6"/>
    </row>
    <row r="71" customFormat="false" ht="15" hidden="false" customHeight="false" outlineLevel="0" collapsed="false">
      <c r="A71" s="5" t="s">
        <v>27</v>
      </c>
      <c r="B71" s="5" t="s">
        <v>92</v>
      </c>
      <c r="C71" s="6" t="n">
        <f aca="false">SUM(D71:U71)</f>
        <v>38767.41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 t="n">
        <f aca="false">'Building 10'!$D$11</f>
        <v>38767.41</v>
      </c>
      <c r="O71" s="6"/>
      <c r="P71" s="6"/>
      <c r="Q71" s="6"/>
      <c r="R71" s="6"/>
      <c r="S71" s="6"/>
      <c r="T71" s="6"/>
      <c r="U71" s="6"/>
    </row>
    <row r="72" customFormat="false" ht="15" hidden="false" customHeight="false" outlineLevel="0" collapsed="false">
      <c r="A72" s="5" t="s">
        <v>29</v>
      </c>
      <c r="B72" s="5" t="s">
        <v>93</v>
      </c>
      <c r="C72" s="6" t="n">
        <f aca="false">SUM(D72:U72)</f>
        <v>259837.74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 t="n">
        <f aca="false">'Building 10'!$D$12</f>
        <v>259837.74</v>
      </c>
      <c r="O72" s="6"/>
      <c r="P72" s="6"/>
      <c r="Q72" s="6"/>
      <c r="R72" s="6"/>
      <c r="S72" s="6"/>
      <c r="T72" s="6"/>
      <c r="U72" s="6"/>
    </row>
    <row r="73" customFormat="false" ht="15" hidden="false" customHeight="false" outlineLevel="0" collapsed="false">
      <c r="A73" s="5" t="s">
        <v>25</v>
      </c>
      <c r="B73" s="5" t="s">
        <v>94</v>
      </c>
      <c r="C73" s="6" t="n">
        <f aca="false">SUM(D73:U73)</f>
        <v>9885.18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 t="n">
        <f aca="false">'Building 10'!$D$14</f>
        <v>9885.18</v>
      </c>
      <c r="O73" s="6"/>
      <c r="P73" s="6"/>
      <c r="Q73" s="6"/>
      <c r="R73" s="6"/>
      <c r="S73" s="6"/>
      <c r="T73" s="6"/>
      <c r="U73" s="6"/>
    </row>
    <row r="74" customFormat="false" ht="15" hidden="false" customHeight="false" outlineLevel="0" collapsed="false">
      <c r="A74" s="5" t="s">
        <v>27</v>
      </c>
      <c r="B74" s="5" t="s">
        <v>95</v>
      </c>
      <c r="C74" s="6" t="n">
        <f aca="false">SUM(D74:U74)</f>
        <v>8509.91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 t="n">
        <f aca="false">'Building 10'!$D$15</f>
        <v>8509.91</v>
      </c>
      <c r="O74" s="6"/>
      <c r="P74" s="6"/>
      <c r="Q74" s="6"/>
      <c r="R74" s="6"/>
      <c r="S74" s="6"/>
      <c r="T74" s="6"/>
      <c r="U74" s="6"/>
    </row>
    <row r="75" customFormat="false" ht="15" hidden="false" customHeight="false" outlineLevel="0" collapsed="false">
      <c r="A75" s="5" t="s">
        <v>29</v>
      </c>
      <c r="B75" s="5" t="s">
        <v>96</v>
      </c>
      <c r="C75" s="6" t="n">
        <f aca="false">SUM(D75:U75)</f>
        <v>57037.57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 t="n">
        <f aca="false">'Building 10'!$D$16</f>
        <v>57037.57</v>
      </c>
      <c r="O75" s="6"/>
      <c r="P75" s="6"/>
      <c r="Q75" s="6"/>
      <c r="R75" s="6"/>
      <c r="S75" s="6"/>
      <c r="T75" s="6"/>
      <c r="U75" s="6"/>
    </row>
    <row r="76" customFormat="false" ht="15" hidden="false" customHeight="false" outlineLevel="0" collapsed="false">
      <c r="A76" s="5" t="s">
        <v>25</v>
      </c>
      <c r="B76" s="5" t="s">
        <v>97</v>
      </c>
      <c r="C76" s="6" t="n">
        <f aca="false">SUM(D76:U76)</f>
        <v>64317.98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 t="n">
        <f aca="false">'Building 11'!$D$10</f>
        <v>64317.98</v>
      </c>
      <c r="P76" s="6"/>
      <c r="Q76" s="6"/>
      <c r="R76" s="6"/>
      <c r="S76" s="6"/>
      <c r="T76" s="6"/>
      <c r="U76" s="6"/>
    </row>
    <row r="77" customFormat="false" ht="15" hidden="false" customHeight="false" outlineLevel="0" collapsed="false">
      <c r="A77" s="5" t="s">
        <v>27</v>
      </c>
      <c r="B77" s="5" t="s">
        <v>98</v>
      </c>
      <c r="C77" s="6" t="n">
        <f aca="false">SUM(D77:U77)</f>
        <v>34495.74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 t="n">
        <f aca="false">'Building 11'!$D$11</f>
        <v>34495.74</v>
      </c>
      <c r="P77" s="6"/>
      <c r="Q77" s="6"/>
      <c r="R77" s="6"/>
      <c r="S77" s="6"/>
      <c r="T77" s="6"/>
      <c r="U77" s="6"/>
    </row>
    <row r="78" customFormat="false" ht="15" hidden="false" customHeight="false" outlineLevel="0" collapsed="false">
      <c r="A78" s="5" t="s">
        <v>29</v>
      </c>
      <c r="B78" s="5" t="s">
        <v>99</v>
      </c>
      <c r="C78" s="6" t="n">
        <f aca="false">SUM(D78:U78)</f>
        <v>231207.03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 t="n">
        <f aca="false">'Building 11'!$D$12</f>
        <v>231207.03</v>
      </c>
      <c r="P78" s="6"/>
      <c r="Q78" s="6"/>
      <c r="R78" s="6"/>
      <c r="S78" s="6"/>
      <c r="T78" s="6"/>
      <c r="U78" s="6"/>
    </row>
    <row r="79" customFormat="false" ht="15" hidden="false" customHeight="false" outlineLevel="0" collapsed="false">
      <c r="A79" s="5" t="s">
        <v>25</v>
      </c>
      <c r="B79" s="5" t="s">
        <v>100</v>
      </c>
      <c r="C79" s="6" t="n">
        <f aca="false">SUM(D79:U79)</f>
        <v>8795.97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 t="n">
        <f aca="false">'Building 11'!$D$14</f>
        <v>8795.97</v>
      </c>
      <c r="P79" s="6"/>
      <c r="Q79" s="6"/>
      <c r="R79" s="6"/>
      <c r="S79" s="6"/>
      <c r="T79" s="6"/>
      <c r="U79" s="6"/>
    </row>
    <row r="80" customFormat="false" ht="15" hidden="false" customHeight="false" outlineLevel="0" collapsed="false">
      <c r="A80" s="5" t="s">
        <v>27</v>
      </c>
      <c r="B80" s="5" t="s">
        <v>101</v>
      </c>
      <c r="C80" s="6" t="n">
        <f aca="false">SUM(D80:U80)</f>
        <v>7572.23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 t="n">
        <f aca="false">'Building 11'!$D$15</f>
        <v>7572.23</v>
      </c>
      <c r="P80" s="6"/>
      <c r="Q80" s="6"/>
      <c r="R80" s="6"/>
      <c r="S80" s="6"/>
      <c r="T80" s="6"/>
      <c r="U80" s="6"/>
    </row>
    <row r="81" customFormat="false" ht="15" hidden="false" customHeight="false" outlineLevel="0" collapsed="false">
      <c r="A81" s="5" t="s">
        <v>29</v>
      </c>
      <c r="B81" s="5" t="s">
        <v>102</v>
      </c>
      <c r="C81" s="6" t="n">
        <f aca="false">SUM(D81:U81)</f>
        <v>50752.78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 t="n">
        <f aca="false">'Building 11'!$D$16</f>
        <v>50752.78</v>
      </c>
      <c r="P81" s="6"/>
      <c r="Q81" s="6"/>
      <c r="R81" s="6"/>
      <c r="S81" s="6"/>
      <c r="T81" s="6"/>
      <c r="U81" s="6"/>
    </row>
    <row r="82" customFormat="false" ht="15" hidden="false" customHeight="false" outlineLevel="0" collapsed="false">
      <c r="A82" s="5" t="s">
        <v>25</v>
      </c>
      <c r="B82" s="5" t="s">
        <v>103</v>
      </c>
      <c r="C82" s="6" t="n">
        <f aca="false">SUM(D82:U82)</f>
        <v>72325.23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 t="n">
        <f aca="false">'Building 12'!$D$10</f>
        <v>72325.23</v>
      </c>
      <c r="Q82" s="6"/>
      <c r="R82" s="6"/>
      <c r="S82" s="6"/>
      <c r="T82" s="6"/>
      <c r="U82" s="6"/>
    </row>
    <row r="83" customFormat="false" ht="15" hidden="false" customHeight="false" outlineLevel="0" collapsed="false">
      <c r="A83" s="5" t="s">
        <v>27</v>
      </c>
      <c r="B83" s="5" t="s">
        <v>104</v>
      </c>
      <c r="C83" s="6" t="n">
        <f aca="false">SUM(D83:U83)</f>
        <v>38790.29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 t="n">
        <f aca="false">'Building 12'!$D$11</f>
        <v>38790.29</v>
      </c>
      <c r="Q83" s="6"/>
      <c r="R83" s="6"/>
      <c r="S83" s="6"/>
      <c r="T83" s="6"/>
      <c r="U83" s="6"/>
    </row>
    <row r="84" customFormat="false" ht="15" hidden="false" customHeight="false" outlineLevel="0" collapsed="false">
      <c r="A84" s="5" t="s">
        <v>29</v>
      </c>
      <c r="B84" s="5" t="s">
        <v>105</v>
      </c>
      <c r="C84" s="6" t="n">
        <f aca="false">SUM(D84:U84)</f>
        <v>259991.11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 t="n">
        <f aca="false">'Building 12'!$D$12</f>
        <v>259991.11</v>
      </c>
      <c r="Q84" s="6"/>
      <c r="R84" s="6"/>
      <c r="S84" s="6"/>
      <c r="T84" s="6"/>
      <c r="U84" s="6"/>
    </row>
    <row r="85" customFormat="false" ht="15" hidden="false" customHeight="false" outlineLevel="0" collapsed="false">
      <c r="A85" s="5" t="s">
        <v>25</v>
      </c>
      <c r="B85" s="5" t="s">
        <v>106</v>
      </c>
      <c r="C85" s="6" t="n">
        <f aca="false">SUM(D85:U85)</f>
        <v>9891.01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 t="n">
        <f aca="false">'Building 12'!$D$14</f>
        <v>9891.01</v>
      </c>
      <c r="Q85" s="6"/>
      <c r="R85" s="6"/>
      <c r="S85" s="6"/>
      <c r="T85" s="6"/>
      <c r="U85" s="6"/>
    </row>
    <row r="86" customFormat="false" ht="15" hidden="false" customHeight="false" outlineLevel="0" collapsed="false">
      <c r="A86" s="5" t="s">
        <v>27</v>
      </c>
      <c r="B86" s="5" t="s">
        <v>107</v>
      </c>
      <c r="C86" s="6" t="n">
        <f aca="false">SUM(D86:U86)</f>
        <v>8514.93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 t="n">
        <f aca="false">'Building 12'!$D$15</f>
        <v>8514.93</v>
      </c>
      <c r="Q86" s="6"/>
      <c r="R86" s="6"/>
      <c r="S86" s="6"/>
      <c r="T86" s="6"/>
      <c r="U86" s="6"/>
    </row>
    <row r="87" customFormat="false" ht="15" hidden="false" customHeight="false" outlineLevel="0" collapsed="false">
      <c r="A87" s="5" t="s">
        <v>29</v>
      </c>
      <c r="B87" s="5" t="s">
        <v>108</v>
      </c>
      <c r="C87" s="6" t="n">
        <f aca="false">SUM(D87:U87)</f>
        <v>57071.24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 t="n">
        <f aca="false">'Building 12'!$D$16</f>
        <v>57071.24</v>
      </c>
      <c r="Q87" s="6"/>
      <c r="R87" s="6"/>
      <c r="S87" s="6"/>
      <c r="T87" s="6"/>
      <c r="U87" s="6"/>
    </row>
    <row r="88" customFormat="false" ht="15" hidden="false" customHeight="false" outlineLevel="0" collapsed="false">
      <c r="A88" s="5" t="s">
        <v>25</v>
      </c>
      <c r="B88" s="5" t="s">
        <v>109</v>
      </c>
      <c r="C88" s="6" t="n">
        <f aca="false">SUM(D88:U88)</f>
        <v>64317.98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 t="n">
        <f aca="false">'Building 13'!$D$10</f>
        <v>64317.98</v>
      </c>
      <c r="R88" s="6"/>
      <c r="S88" s="6"/>
      <c r="T88" s="6"/>
      <c r="U88" s="6"/>
    </row>
    <row r="89" customFormat="false" ht="15" hidden="false" customHeight="false" outlineLevel="0" collapsed="false">
      <c r="A89" s="5" t="s">
        <v>27</v>
      </c>
      <c r="B89" s="5" t="s">
        <v>110</v>
      </c>
      <c r="C89" s="6" t="n">
        <f aca="false">SUM(D89:U89)</f>
        <v>34495.74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 t="n">
        <f aca="false">'Building 13'!$D$11</f>
        <v>34495.74</v>
      </c>
      <c r="R89" s="6"/>
      <c r="S89" s="6"/>
      <c r="T89" s="6"/>
      <c r="U89" s="6"/>
    </row>
    <row r="90" customFormat="false" ht="15" hidden="false" customHeight="false" outlineLevel="0" collapsed="false">
      <c r="A90" s="5" t="s">
        <v>29</v>
      </c>
      <c r="B90" s="5" t="s">
        <v>111</v>
      </c>
      <c r="C90" s="6" t="n">
        <f aca="false">SUM(D90:U90)</f>
        <v>231207.03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 t="n">
        <f aca="false">'Building 13'!$D$12</f>
        <v>231207.03</v>
      </c>
      <c r="R90" s="6"/>
      <c r="S90" s="6"/>
      <c r="T90" s="6"/>
      <c r="U90" s="6"/>
    </row>
    <row r="91" customFormat="false" ht="15" hidden="false" customHeight="false" outlineLevel="0" collapsed="false">
      <c r="A91" s="5" t="s">
        <v>25</v>
      </c>
      <c r="B91" s="5" t="s">
        <v>112</v>
      </c>
      <c r="C91" s="6" t="n">
        <f aca="false">SUM(D91:U91)</f>
        <v>8795.97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 t="n">
        <f aca="false">'Building 13'!$D$14</f>
        <v>8795.97</v>
      </c>
      <c r="R91" s="6"/>
      <c r="S91" s="6"/>
      <c r="T91" s="6"/>
      <c r="U91" s="6"/>
    </row>
    <row r="92" customFormat="false" ht="15" hidden="false" customHeight="false" outlineLevel="0" collapsed="false">
      <c r="A92" s="5" t="s">
        <v>27</v>
      </c>
      <c r="B92" s="5" t="s">
        <v>113</v>
      </c>
      <c r="C92" s="6" t="n">
        <f aca="false">SUM(D92:U92)</f>
        <v>7572.23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 t="n">
        <f aca="false">'Building 13'!$D$15</f>
        <v>7572.23</v>
      </c>
      <c r="R92" s="6"/>
      <c r="S92" s="6"/>
      <c r="T92" s="6"/>
      <c r="U92" s="6"/>
    </row>
    <row r="93" customFormat="false" ht="15" hidden="false" customHeight="false" outlineLevel="0" collapsed="false">
      <c r="A93" s="5" t="s">
        <v>29</v>
      </c>
      <c r="B93" s="5" t="s">
        <v>114</v>
      </c>
      <c r="C93" s="6" t="n">
        <f aca="false">SUM(D93:U93)</f>
        <v>50752.78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 t="n">
        <f aca="false">'Building 13'!$D$16</f>
        <v>50752.78</v>
      </c>
      <c r="R93" s="6"/>
      <c r="S93" s="6"/>
      <c r="T93" s="6"/>
      <c r="U93" s="6"/>
    </row>
    <row r="94" customFormat="false" ht="15" hidden="false" customHeight="false" outlineLevel="0" collapsed="false">
      <c r="A94" s="5" t="s">
        <v>25</v>
      </c>
      <c r="B94" s="5" t="s">
        <v>115</v>
      </c>
      <c r="C94" s="6" t="n">
        <f aca="false">SUM(D94:U94)</f>
        <v>72282.57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 t="n">
        <f aca="false">'Building 14'!$D$10</f>
        <v>72282.57</v>
      </c>
      <c r="S94" s="6"/>
      <c r="T94" s="6"/>
      <c r="U94" s="6"/>
    </row>
    <row r="95" customFormat="false" ht="15" hidden="false" customHeight="false" outlineLevel="0" collapsed="false">
      <c r="A95" s="5" t="s">
        <v>27</v>
      </c>
      <c r="B95" s="5" t="s">
        <v>116</v>
      </c>
      <c r="C95" s="6" t="n">
        <f aca="false">SUM(D95:U95)</f>
        <v>38767.41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 t="n">
        <f aca="false">'Building 14'!$D$11</f>
        <v>38767.41</v>
      </c>
      <c r="S95" s="6"/>
      <c r="T95" s="6"/>
      <c r="U95" s="6"/>
    </row>
    <row r="96" customFormat="false" ht="15" hidden="false" customHeight="false" outlineLevel="0" collapsed="false">
      <c r="A96" s="5" t="s">
        <v>29</v>
      </c>
      <c r="B96" s="5" t="s">
        <v>117</v>
      </c>
      <c r="C96" s="6" t="n">
        <f aca="false">SUM(D96:U96)</f>
        <v>259837.74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 t="n">
        <f aca="false">'Building 14'!$D$12</f>
        <v>259837.74</v>
      </c>
      <c r="S96" s="6"/>
      <c r="T96" s="6"/>
      <c r="U96" s="6"/>
    </row>
    <row r="97" customFormat="false" ht="15" hidden="false" customHeight="false" outlineLevel="0" collapsed="false">
      <c r="A97" s="5" t="s">
        <v>25</v>
      </c>
      <c r="B97" s="5" t="s">
        <v>118</v>
      </c>
      <c r="C97" s="6" t="n">
        <f aca="false">SUM(D97:U97)</f>
        <v>9885.18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 t="n">
        <f aca="false">'Building 14'!$D$14</f>
        <v>9885.18</v>
      </c>
      <c r="S97" s="6"/>
      <c r="T97" s="6"/>
      <c r="U97" s="6"/>
    </row>
    <row r="98" customFormat="false" ht="15" hidden="false" customHeight="false" outlineLevel="0" collapsed="false">
      <c r="A98" s="5" t="s">
        <v>27</v>
      </c>
      <c r="B98" s="5" t="s">
        <v>119</v>
      </c>
      <c r="C98" s="6" t="n">
        <f aca="false">SUM(D98:U98)</f>
        <v>8509.91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 t="n">
        <f aca="false">'Building 14'!$D$15</f>
        <v>8509.91</v>
      </c>
      <c r="S98" s="6"/>
      <c r="T98" s="6"/>
      <c r="U98" s="6"/>
    </row>
    <row r="99" customFormat="false" ht="15" hidden="false" customHeight="false" outlineLevel="0" collapsed="false">
      <c r="A99" s="5" t="s">
        <v>29</v>
      </c>
      <c r="B99" s="5" t="s">
        <v>120</v>
      </c>
      <c r="C99" s="6" t="n">
        <f aca="false">SUM(D99:U99)</f>
        <v>57037.57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 t="n">
        <f aca="false">'Building 14'!$D$16</f>
        <v>57037.57</v>
      </c>
      <c r="S99" s="6"/>
      <c r="T99" s="6"/>
      <c r="U99" s="6"/>
    </row>
    <row r="100" customFormat="false" ht="15" hidden="false" customHeight="false" outlineLevel="0" collapsed="false">
      <c r="A100" s="5" t="s">
        <v>25</v>
      </c>
      <c r="B100" s="5" t="s">
        <v>121</v>
      </c>
      <c r="C100" s="6" t="n">
        <f aca="false">SUM(D100:U100)</f>
        <v>63978.69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 t="n">
        <f aca="false">'Building 15'!$D$10</f>
        <v>63978.69</v>
      </c>
      <c r="T100" s="6"/>
      <c r="U100" s="6"/>
    </row>
    <row r="101" customFormat="false" ht="15" hidden="false" customHeight="false" outlineLevel="0" collapsed="false">
      <c r="A101" s="5" t="s">
        <v>27</v>
      </c>
      <c r="B101" s="5" t="s">
        <v>122</v>
      </c>
      <c r="C101" s="6" t="n">
        <f aca="false">SUM(D101:U101)</f>
        <v>34313.78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 t="n">
        <f aca="false">'Building 15'!$D$11</f>
        <v>34313.78</v>
      </c>
      <c r="T101" s="6"/>
      <c r="U101" s="6"/>
    </row>
    <row r="102" customFormat="false" ht="15" hidden="false" customHeight="false" outlineLevel="0" collapsed="false">
      <c r="A102" s="5" t="s">
        <v>29</v>
      </c>
      <c r="B102" s="5" t="s">
        <v>123</v>
      </c>
      <c r="C102" s="6" t="n">
        <f aca="false">SUM(D102:U102)</f>
        <v>229987.39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 t="n">
        <f aca="false">'Building 15'!$D$12</f>
        <v>229987.39</v>
      </c>
      <c r="T102" s="6"/>
      <c r="U102" s="6"/>
    </row>
    <row r="103" customFormat="false" ht="15" hidden="false" customHeight="false" outlineLevel="0" collapsed="false">
      <c r="A103" s="5" t="s">
        <v>25</v>
      </c>
      <c r="B103" s="5" t="s">
        <v>124</v>
      </c>
      <c r="C103" s="6" t="n">
        <f aca="false">SUM(D103:U103)</f>
        <v>8749.57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 t="n">
        <f aca="false">'Building 15'!$D$14</f>
        <v>8749.57</v>
      </c>
      <c r="T103" s="6"/>
      <c r="U103" s="6"/>
    </row>
    <row r="104" customFormat="false" ht="15" hidden="false" customHeight="false" outlineLevel="0" collapsed="false">
      <c r="A104" s="5" t="s">
        <v>27</v>
      </c>
      <c r="B104" s="5" t="s">
        <v>125</v>
      </c>
      <c r="C104" s="6" t="n">
        <f aca="false">SUM(D104:U104)</f>
        <v>7532.28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 t="n">
        <f aca="false">'Building 15'!$D$15</f>
        <v>7532.28</v>
      </c>
      <c r="T104" s="6"/>
      <c r="U104" s="6"/>
    </row>
    <row r="105" customFormat="false" ht="15" hidden="false" customHeight="false" outlineLevel="0" collapsed="false">
      <c r="A105" s="5" t="s">
        <v>29</v>
      </c>
      <c r="B105" s="5" t="s">
        <v>126</v>
      </c>
      <c r="C105" s="6" t="n">
        <f aca="false">SUM(D105:U105)</f>
        <v>50485.05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 t="n">
        <f aca="false">'Building 15'!$D$16</f>
        <v>50485.05</v>
      </c>
      <c r="T105" s="6"/>
      <c r="U105" s="6"/>
    </row>
    <row r="106" customFormat="false" ht="15" hidden="false" customHeight="false" outlineLevel="0" collapsed="false">
      <c r="A106" s="5" t="s">
        <v>25</v>
      </c>
      <c r="B106" s="5" t="s">
        <v>127</v>
      </c>
      <c r="C106" s="6" t="n">
        <f aca="false">SUM(D106:U106)</f>
        <v>64317.98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 t="n">
        <f aca="false">'Building 16'!$D$10</f>
        <v>64317.98</v>
      </c>
      <c r="U106" s="6"/>
    </row>
    <row r="107" customFormat="false" ht="15" hidden="false" customHeight="false" outlineLevel="0" collapsed="false">
      <c r="A107" s="5" t="s">
        <v>27</v>
      </c>
      <c r="B107" s="5" t="s">
        <v>128</v>
      </c>
      <c r="C107" s="6" t="n">
        <f aca="false">SUM(D107:U107)</f>
        <v>34495.74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 t="n">
        <f aca="false">'Building 16'!$D$11</f>
        <v>34495.74</v>
      </c>
      <c r="U107" s="6"/>
    </row>
    <row r="108" customFormat="false" ht="15" hidden="false" customHeight="false" outlineLevel="0" collapsed="false">
      <c r="A108" s="5" t="s">
        <v>29</v>
      </c>
      <c r="B108" s="5" t="s">
        <v>129</v>
      </c>
      <c r="C108" s="6" t="n">
        <f aca="false">SUM(D108:U108)</f>
        <v>231207.03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 t="n">
        <f aca="false">'Building 16'!$D$12</f>
        <v>231207.03</v>
      </c>
      <c r="U108" s="6"/>
    </row>
    <row r="109" customFormat="false" ht="15" hidden="false" customHeight="false" outlineLevel="0" collapsed="false">
      <c r="A109" s="5" t="s">
        <v>25</v>
      </c>
      <c r="B109" s="5" t="s">
        <v>130</v>
      </c>
      <c r="C109" s="6" t="n">
        <f aca="false">SUM(D109:U109)</f>
        <v>8795.97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'Building 16'!$D$14</f>
        <v>8795.97</v>
      </c>
      <c r="U109" s="6"/>
    </row>
    <row r="110" customFormat="false" ht="15" hidden="false" customHeight="false" outlineLevel="0" collapsed="false">
      <c r="A110" s="5" t="s">
        <v>27</v>
      </c>
      <c r="B110" s="5" t="s">
        <v>131</v>
      </c>
      <c r="C110" s="6" t="n">
        <f aca="false">SUM(D110:U110)</f>
        <v>7572.23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'Building 16'!$D$15</f>
        <v>7572.23</v>
      </c>
      <c r="U110" s="6"/>
    </row>
    <row r="111" customFormat="false" ht="15" hidden="false" customHeight="false" outlineLevel="0" collapsed="false">
      <c r="A111" s="5" t="s">
        <v>29</v>
      </c>
      <c r="B111" s="5" t="s">
        <v>132</v>
      </c>
      <c r="C111" s="6" t="n">
        <f aca="false">SUM(D111:U111)</f>
        <v>50752.78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'Building 16'!$D$16</f>
        <v>50752.78</v>
      </c>
      <c r="U111" s="6"/>
    </row>
    <row r="112" customFormat="false" ht="15" hidden="false" customHeight="false" outlineLevel="0" collapsed="false">
      <c r="A112" s="5" t="s">
        <v>25</v>
      </c>
      <c r="B112" s="5" t="s">
        <v>133</v>
      </c>
      <c r="C112" s="6" t="n">
        <f aca="false">SUM(D112:U112)</f>
        <v>21669.1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 t="n">
        <f aca="false">Office!$D$10</f>
        <v>21669.1</v>
      </c>
    </row>
    <row r="113" customFormat="false" ht="15" hidden="false" customHeight="false" outlineLevel="0" collapsed="false">
      <c r="A113" s="5" t="s">
        <v>27</v>
      </c>
      <c r="B113" s="5" t="s">
        <v>134</v>
      </c>
      <c r="C113" s="6" t="n">
        <f aca="false">SUM(D113:U113)</f>
        <v>11621.82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 t="n">
        <f aca="false">Office!$D$11</f>
        <v>11621.82</v>
      </c>
    </row>
    <row r="114" customFormat="false" ht="15" hidden="false" customHeight="false" outlineLevel="0" collapsed="false">
      <c r="A114" s="5" t="s">
        <v>29</v>
      </c>
      <c r="B114" s="5" t="s">
        <v>135</v>
      </c>
      <c r="C114" s="6" t="n">
        <f aca="false">SUM(D114:U114)</f>
        <v>77895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 t="n">
        <f aca="false">Office!$D$12</f>
        <v>77895</v>
      </c>
    </row>
    <row r="115" customFormat="false" ht="15" hidden="false" customHeight="false" outlineLevel="0" collapsed="false">
      <c r="A115" s="5" t="s">
        <v>31</v>
      </c>
      <c r="B115" s="5" t="s">
        <v>136</v>
      </c>
      <c r="C115" s="6" t="n">
        <f aca="false">SUM(D115:U115)</f>
        <v>544.6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 t="n">
        <f aca="false">Office!$D$13</f>
        <v>544.6</v>
      </c>
    </row>
    <row r="116" customFormat="false" ht="15" hidden="false" customHeight="false" outlineLevel="0" collapsed="false">
      <c r="A116" s="5" t="s">
        <v>25</v>
      </c>
      <c r="B116" s="5" t="s">
        <v>137</v>
      </c>
      <c r="C116" s="6" t="n">
        <f aca="false">SUM(D116:U116)</f>
        <v>2963.4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 t="n">
        <f aca="false">Office!$D$14</f>
        <v>2963.4</v>
      </c>
    </row>
    <row r="117" customFormat="false" ht="15" hidden="false" customHeight="false" outlineLevel="0" collapsed="false">
      <c r="A117" s="5" t="s">
        <v>27</v>
      </c>
      <c r="B117" s="5" t="s">
        <v>138</v>
      </c>
      <c r="C117" s="6" t="n">
        <f aca="false">SUM(D117:U117)</f>
        <v>2551.13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 t="n">
        <f aca="false">Office!$D$15</f>
        <v>2551.13</v>
      </c>
    </row>
    <row r="118" customFormat="false" ht="15" hidden="false" customHeight="false" outlineLevel="0" collapsed="false">
      <c r="A118" s="5" t="s">
        <v>29</v>
      </c>
      <c r="B118" s="5" t="s">
        <v>139</v>
      </c>
      <c r="C118" s="6" t="n">
        <f aca="false">SUM(D118:U118)</f>
        <v>17098.91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 t="n">
        <f aca="false">Office!$D$16</f>
        <v>17098.91</v>
      </c>
    </row>
    <row r="119" customFormat="false" ht="15" hidden="false" customHeight="false" outlineLevel="0" collapsed="false">
      <c r="A119" s="7"/>
      <c r="B119" s="8" t="s">
        <v>140</v>
      </c>
      <c r="C119" s="9" t="n">
        <f aca="false">SUM(C8:C118)</f>
        <v>7253474</v>
      </c>
      <c r="D119" s="9" t="n">
        <f aca="false">SUM(D8:D118)</f>
        <v>719744.4</v>
      </c>
      <c r="E119" s="9" t="n">
        <f aca="false">SUM(E8:E118)</f>
        <v>398386.46</v>
      </c>
      <c r="F119" s="9" t="n">
        <f aca="false">SUM(F8:F118)</f>
        <v>398480.3</v>
      </c>
      <c r="G119" s="9" t="n">
        <f aca="false">SUM(G8:G118)</f>
        <v>398493.7</v>
      </c>
      <c r="H119" s="9" t="n">
        <f aca="false">SUM(H8:H118)</f>
        <v>396654.71</v>
      </c>
      <c r="I119" s="9" t="n">
        <f aca="false">SUM(I8:I118)</f>
        <v>446298.06</v>
      </c>
      <c r="J119" s="9" t="n">
        <f aca="false">SUM(J8:J118)</f>
        <v>398758.21</v>
      </c>
      <c r="K119" s="9" t="n">
        <f aca="false">SUM(K8:K118)</f>
        <v>448401.53</v>
      </c>
      <c r="L119" s="9" t="n">
        <f aca="false">SUM(L8:L118)</f>
        <v>398758.21</v>
      </c>
      <c r="M119" s="9" t="n">
        <f aca="false">SUM(M8:M118)</f>
        <v>177549.53</v>
      </c>
      <c r="N119" s="9" t="n">
        <f aca="false">SUM(N8:N118)</f>
        <v>448137.03</v>
      </c>
      <c r="O119" s="9" t="n">
        <f aca="false">SUM(O8:O118)</f>
        <v>398758.21</v>
      </c>
      <c r="P119" s="9" t="n">
        <f aca="false">SUM(P8:P118)</f>
        <v>448401.53</v>
      </c>
      <c r="Q119" s="9" t="n">
        <f aca="false">SUM(Q8:Q118)</f>
        <v>398758.21</v>
      </c>
      <c r="R119" s="9" t="n">
        <f aca="false">SUM(R8:R118)</f>
        <v>448137.03</v>
      </c>
      <c r="S119" s="9" t="n">
        <f aca="false">SUM(S8:S118)</f>
        <v>396654.71</v>
      </c>
      <c r="T119" s="9" t="n">
        <f aca="false">SUM(T8:T118)</f>
        <v>398758.21</v>
      </c>
      <c r="U119" s="9" t="n">
        <f aca="false">SUM(U8:U118)</f>
        <v>134343.96</v>
      </c>
    </row>
    <row r="121" customFormat="false" ht="15" hidden="false" customHeight="false" outlineLevel="0" collapsed="false">
      <c r="B121" s="10" t="s">
        <v>141</v>
      </c>
    </row>
    <row r="122" customFormat="false" ht="15" hidden="false" customHeight="false" outlineLevel="0" collapsed="false">
      <c r="A122" s="5" t="s">
        <v>25</v>
      </c>
      <c r="B122" s="5" t="s">
        <v>142</v>
      </c>
      <c r="C122" s="6" t="n">
        <f aca="false">SUM(D122:U122)</f>
        <v>65091.76</v>
      </c>
      <c r="D122" s="6" t="n">
        <f aca="false">Site!$D$21</f>
        <v>65091.76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customFormat="false" ht="15" hidden="false" customHeight="false" outlineLevel="0" collapsed="false">
      <c r="A123" s="5" t="s">
        <v>25</v>
      </c>
      <c r="B123" s="5" t="s">
        <v>143</v>
      </c>
      <c r="C123" s="6" t="n">
        <f aca="false">SUM(D123:U123)</f>
        <v>50999.89</v>
      </c>
      <c r="D123" s="6" t="n">
        <f aca="false">Site!$D$22</f>
        <v>50999.89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customFormat="false" ht="15" hidden="false" customHeight="false" outlineLevel="0" collapsed="false">
      <c r="A124" s="5" t="s">
        <v>27</v>
      </c>
      <c r="B124" s="5" t="s">
        <v>144</v>
      </c>
      <c r="C124" s="6" t="n">
        <f aca="false">SUM(D124:U124)</f>
        <v>34910.75</v>
      </c>
      <c r="D124" s="6" t="n">
        <f aca="false">Site!$D$23</f>
        <v>34910.75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customFormat="false" ht="15" hidden="false" customHeight="false" outlineLevel="0" collapsed="false">
      <c r="A125" s="5" t="s">
        <v>27</v>
      </c>
      <c r="B125" s="5" t="s">
        <v>145</v>
      </c>
      <c r="C125" s="6" t="n">
        <f aca="false">SUM(D125:U125)</f>
        <v>27352.85</v>
      </c>
      <c r="D125" s="6" t="n">
        <f aca="false">Site!$D$24</f>
        <v>27352.85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customFormat="false" ht="15" hidden="false" customHeight="false" outlineLevel="0" collapsed="false">
      <c r="A126" s="5" t="s">
        <v>29</v>
      </c>
      <c r="B126" s="5" t="s">
        <v>146</v>
      </c>
      <c r="C126" s="6" t="n">
        <f aca="false">SUM(D126:U126)</f>
        <v>233988.6</v>
      </c>
      <c r="D126" s="6" t="n">
        <f aca="false">Site!$D$25</f>
        <v>233988.6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customFormat="false" ht="15" hidden="false" customHeight="false" outlineLevel="0" collapsed="false">
      <c r="A127" s="5" t="s">
        <v>29</v>
      </c>
      <c r="B127" s="5" t="s">
        <v>147</v>
      </c>
      <c r="C127" s="6" t="n">
        <f aca="false">SUM(D127:U127)</f>
        <v>183331.88</v>
      </c>
      <c r="D127" s="6" t="n">
        <f aca="false">Site!$D$26</f>
        <v>183331.88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customFormat="false" ht="15" hidden="false" customHeight="false" outlineLevel="0" collapsed="false">
      <c r="A128" s="5" t="s">
        <v>31</v>
      </c>
      <c r="B128" s="5" t="s">
        <v>148</v>
      </c>
      <c r="C128" s="6" t="n">
        <f aca="false">SUM(D128:U128)</f>
        <v>1635.93</v>
      </c>
      <c r="D128" s="6" t="n">
        <f aca="false">Site!$D$27</f>
        <v>1635.93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customFormat="false" ht="15" hidden="false" customHeight="false" outlineLevel="0" collapsed="false">
      <c r="A129" s="5" t="s">
        <v>31</v>
      </c>
      <c r="B129" s="5" t="s">
        <v>149</v>
      </c>
      <c r="C129" s="6" t="n">
        <f aca="false">SUM(D129:U129)</f>
        <v>1281.76</v>
      </c>
      <c r="D129" s="6" t="n">
        <f aca="false">Site!$D$28</f>
        <v>1281.76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customFormat="false" ht="15" hidden="false" customHeight="false" outlineLevel="0" collapsed="false">
      <c r="A130" s="5" t="s">
        <v>25</v>
      </c>
      <c r="B130" s="5" t="s">
        <v>150</v>
      </c>
      <c r="C130" s="6" t="n">
        <f aca="false">SUM(D130:U130)</f>
        <v>8901.79</v>
      </c>
      <c r="D130" s="6" t="n">
        <f aca="false">Site!$D$29</f>
        <v>8901.79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customFormat="false" ht="15" hidden="false" customHeight="false" outlineLevel="0" collapsed="false">
      <c r="A131" s="5" t="s">
        <v>25</v>
      </c>
      <c r="B131" s="5" t="s">
        <v>151</v>
      </c>
      <c r="C131" s="6" t="n">
        <f aca="false">SUM(D131:U131)</f>
        <v>6974.62</v>
      </c>
      <c r="D131" s="6" t="n">
        <f aca="false">Site!$D$30</f>
        <v>6974.62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customFormat="false" ht="15" hidden="false" customHeight="false" outlineLevel="0" collapsed="false">
      <c r="A132" s="5" t="s">
        <v>27</v>
      </c>
      <c r="B132" s="5" t="s">
        <v>152</v>
      </c>
      <c r="C132" s="6" t="n">
        <f aca="false">SUM(D132:U132)</f>
        <v>7663.33</v>
      </c>
      <c r="D132" s="6" t="n">
        <f aca="false">Site!$D$31</f>
        <v>7663.33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customFormat="false" ht="15" hidden="false" customHeight="false" outlineLevel="0" collapsed="false">
      <c r="A133" s="5" t="s">
        <v>27</v>
      </c>
      <c r="B133" s="5" t="s">
        <v>153</v>
      </c>
      <c r="C133" s="6" t="n">
        <f aca="false">SUM(D133:U133)</f>
        <v>6004.27</v>
      </c>
      <c r="D133" s="6" t="n">
        <f aca="false">Site!$D$32</f>
        <v>6004.27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customFormat="false" ht="15" hidden="false" customHeight="false" outlineLevel="0" collapsed="false">
      <c r="A134" s="5" t="s">
        <v>29</v>
      </c>
      <c r="B134" s="5" t="s">
        <v>154</v>
      </c>
      <c r="C134" s="6" t="n">
        <f aca="false">SUM(D134:U134)</f>
        <v>51363.37</v>
      </c>
      <c r="D134" s="6" t="n">
        <f aca="false">Site!$D$33</f>
        <v>51363.37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customFormat="false" ht="15" hidden="false" customHeight="false" outlineLevel="0" collapsed="false">
      <c r="A135" s="5" t="s">
        <v>29</v>
      </c>
      <c r="B135" s="5" t="s">
        <v>155</v>
      </c>
      <c r="C135" s="6" t="n">
        <f aca="false">SUM(D135:U135)</f>
        <v>40243.6</v>
      </c>
      <c r="D135" s="6" t="n">
        <f aca="false">Site!$D$34</f>
        <v>40243.6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customFormat="false" ht="15" hidden="false" customHeight="false" outlineLevel="0" collapsed="false">
      <c r="A136" s="5" t="s">
        <v>25</v>
      </c>
      <c r="B136" s="5" t="s">
        <v>156</v>
      </c>
      <c r="C136" s="6" t="n">
        <f aca="false">SUM(D136:U136)</f>
        <v>16865.31</v>
      </c>
      <c r="D136" s="6"/>
      <c r="E136" s="6" t="n">
        <f aca="false">'Building 1'!$D$21</f>
        <v>16865.31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customFormat="false" ht="15" hidden="false" customHeight="false" outlineLevel="0" collapsed="false">
      <c r="A137" s="5" t="s">
        <v>25</v>
      </c>
      <c r="B137" s="5" t="s">
        <v>157</v>
      </c>
      <c r="C137" s="6" t="n">
        <f aca="false">SUM(D137:U137)</f>
        <v>47392.68</v>
      </c>
      <c r="D137" s="6"/>
      <c r="E137" s="6" t="n">
        <f aca="false">'Building 1'!$D$22</f>
        <v>47392.68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customFormat="false" ht="15" hidden="false" customHeight="false" outlineLevel="0" collapsed="false">
      <c r="A138" s="5" t="s">
        <v>27</v>
      </c>
      <c r="B138" s="5" t="s">
        <v>158</v>
      </c>
      <c r="C138" s="6" t="n">
        <f aca="false">SUM(D138:U138)</f>
        <v>9045.4</v>
      </c>
      <c r="D138" s="6"/>
      <c r="E138" s="6" t="n">
        <f aca="false">'Building 1'!$D$23</f>
        <v>9045.4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customFormat="false" ht="15" hidden="false" customHeight="false" outlineLevel="0" collapsed="false">
      <c r="A139" s="5" t="s">
        <v>27</v>
      </c>
      <c r="B139" s="5" t="s">
        <v>159</v>
      </c>
      <c r="C139" s="6" t="n">
        <f aca="false">SUM(D139:U139)</f>
        <v>25418.2</v>
      </c>
      <c r="D139" s="6"/>
      <c r="E139" s="6" t="n">
        <f aca="false">'Building 1'!$D$24</f>
        <v>25418.2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customFormat="false" ht="15" hidden="false" customHeight="false" outlineLevel="0" collapsed="false">
      <c r="A140" s="5" t="s">
        <v>29</v>
      </c>
      <c r="B140" s="5" t="s">
        <v>160</v>
      </c>
      <c r="C140" s="6" t="n">
        <f aca="false">SUM(D140:U140)</f>
        <v>60626.59</v>
      </c>
      <c r="D140" s="6"/>
      <c r="E140" s="6" t="n">
        <f aca="false">'Building 1'!$D$25</f>
        <v>60626.59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customFormat="false" ht="15" hidden="false" customHeight="false" outlineLevel="0" collapsed="false">
      <c r="A141" s="5" t="s">
        <v>29</v>
      </c>
      <c r="B141" s="5" t="s">
        <v>161</v>
      </c>
      <c r="C141" s="6" t="n">
        <f aca="false">SUM(D141:U141)</f>
        <v>170364.9</v>
      </c>
      <c r="D141" s="6"/>
      <c r="E141" s="6" t="n">
        <f aca="false">'Building 1'!$D$26</f>
        <v>170364.9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customFormat="false" ht="15" hidden="false" customHeight="false" outlineLevel="0" collapsed="false">
      <c r="A142" s="5" t="s">
        <v>31</v>
      </c>
      <c r="B142" s="5" t="s">
        <v>162</v>
      </c>
      <c r="C142" s="6" t="n">
        <f aca="false">SUM(D142:U142)</f>
        <v>423.87</v>
      </c>
      <c r="D142" s="6"/>
      <c r="E142" s="6" t="n">
        <f aca="false">'Building 1'!$D$27</f>
        <v>423.87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customFormat="false" ht="15" hidden="false" customHeight="false" outlineLevel="0" collapsed="false">
      <c r="A143" s="5" t="s">
        <v>31</v>
      </c>
      <c r="B143" s="5" t="s">
        <v>163</v>
      </c>
      <c r="C143" s="6" t="n">
        <f aca="false">SUM(D143:U143)</f>
        <v>1191.1</v>
      </c>
      <c r="D143" s="6"/>
      <c r="E143" s="6" t="n">
        <f aca="false">'Building 1'!$D$28</f>
        <v>1191.1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customFormat="false" ht="15" hidden="false" customHeight="false" outlineLevel="0" collapsed="false">
      <c r="A144" s="5" t="s">
        <v>25</v>
      </c>
      <c r="B144" s="5" t="s">
        <v>164</v>
      </c>
      <c r="C144" s="6" t="n">
        <f aca="false">SUM(D144:U144)</f>
        <v>2306.46</v>
      </c>
      <c r="D144" s="6"/>
      <c r="E144" s="6" t="n">
        <f aca="false">'Building 1'!$D$29</f>
        <v>2306.46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customFormat="false" ht="15" hidden="false" customHeight="false" outlineLevel="0" collapsed="false">
      <c r="A145" s="5" t="s">
        <v>25</v>
      </c>
      <c r="B145" s="5" t="s">
        <v>165</v>
      </c>
      <c r="C145" s="6" t="n">
        <f aca="false">SUM(D145:U145)</f>
        <v>6481.31</v>
      </c>
      <c r="D145" s="6"/>
      <c r="E145" s="6" t="n">
        <f aca="false">'Building 1'!$D$30</f>
        <v>6481.31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customFormat="false" ht="15" hidden="false" customHeight="false" outlineLevel="0" collapsed="false">
      <c r="A146" s="5" t="s">
        <v>27</v>
      </c>
      <c r="B146" s="5" t="s">
        <v>166</v>
      </c>
      <c r="C146" s="6" t="n">
        <f aca="false">SUM(D146:U146)</f>
        <v>1985.57</v>
      </c>
      <c r="D146" s="6"/>
      <c r="E146" s="6" t="n">
        <f aca="false">'Building 1'!$D$31</f>
        <v>1985.57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customFormat="false" ht="15" hidden="false" customHeight="false" outlineLevel="0" collapsed="false">
      <c r="A147" s="5" t="s">
        <v>27</v>
      </c>
      <c r="B147" s="5" t="s">
        <v>167</v>
      </c>
      <c r="C147" s="6" t="n">
        <f aca="false">SUM(D147:U147)</f>
        <v>5579.6</v>
      </c>
      <c r="D147" s="6"/>
      <c r="E147" s="6" t="n">
        <f aca="false">'Building 1'!$D$32</f>
        <v>5579.6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customFormat="false" ht="15" hidden="false" customHeight="false" outlineLevel="0" collapsed="false">
      <c r="A148" s="5" t="s">
        <v>29</v>
      </c>
      <c r="B148" s="5" t="s">
        <v>168</v>
      </c>
      <c r="C148" s="6" t="n">
        <f aca="false">SUM(D148:U148)</f>
        <v>13308.28</v>
      </c>
      <c r="D148" s="6"/>
      <c r="E148" s="6" t="n">
        <f aca="false">'Building 1'!$D$33</f>
        <v>13308.28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customFormat="false" ht="15" hidden="false" customHeight="false" outlineLevel="0" collapsed="false">
      <c r="A149" s="5" t="s">
        <v>29</v>
      </c>
      <c r="B149" s="5" t="s">
        <v>169</v>
      </c>
      <c r="C149" s="6" t="n">
        <f aca="false">SUM(D149:U149)</f>
        <v>37397.19</v>
      </c>
      <c r="D149" s="6"/>
      <c r="E149" s="6" t="n">
        <f aca="false">'Building 1'!$D$34</f>
        <v>37397.19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customFormat="false" ht="15" hidden="false" customHeight="false" outlineLevel="0" collapsed="false">
      <c r="A150" s="5" t="s">
        <v>25</v>
      </c>
      <c r="B150" s="5" t="s">
        <v>170</v>
      </c>
      <c r="C150" s="6" t="n">
        <f aca="false">SUM(D150:U150)</f>
        <v>16880.45</v>
      </c>
      <c r="D150" s="6"/>
      <c r="E150" s="6"/>
      <c r="F150" s="6" t="n">
        <f aca="false">'Building 2'!$D$21</f>
        <v>16880.45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customFormat="false" ht="15" hidden="false" customHeight="false" outlineLevel="0" collapsed="false">
      <c r="A151" s="5" t="s">
        <v>25</v>
      </c>
      <c r="B151" s="5" t="s">
        <v>171</v>
      </c>
      <c r="C151" s="6" t="n">
        <f aca="false">SUM(D151:U151)</f>
        <v>47392.7</v>
      </c>
      <c r="D151" s="6"/>
      <c r="E151" s="6"/>
      <c r="F151" s="6" t="n">
        <f aca="false">'Building 2'!$D$22</f>
        <v>47392.7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customFormat="false" ht="15" hidden="false" customHeight="false" outlineLevel="0" collapsed="false">
      <c r="A152" s="5" t="s">
        <v>27</v>
      </c>
      <c r="B152" s="5" t="s">
        <v>172</v>
      </c>
      <c r="C152" s="6" t="n">
        <f aca="false">SUM(D152:U152)</f>
        <v>9053.51</v>
      </c>
      <c r="D152" s="6"/>
      <c r="E152" s="6"/>
      <c r="F152" s="6" t="n">
        <f aca="false">'Building 2'!$D$23</f>
        <v>9053.51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customFormat="false" ht="15" hidden="false" customHeight="false" outlineLevel="0" collapsed="false">
      <c r="A153" s="5" t="s">
        <v>27</v>
      </c>
      <c r="B153" s="5" t="s">
        <v>173</v>
      </c>
      <c r="C153" s="6" t="n">
        <f aca="false">SUM(D153:U153)</f>
        <v>25418.19</v>
      </c>
      <c r="D153" s="6"/>
      <c r="E153" s="6"/>
      <c r="F153" s="6" t="n">
        <f aca="false">'Building 2'!$D$24</f>
        <v>25418.19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customFormat="false" ht="15" hidden="false" customHeight="false" outlineLevel="0" collapsed="false">
      <c r="A154" s="5" t="s">
        <v>29</v>
      </c>
      <c r="B154" s="5" t="s">
        <v>174</v>
      </c>
      <c r="C154" s="6" t="n">
        <f aca="false">SUM(D154:U154)</f>
        <v>60681</v>
      </c>
      <c r="D154" s="6"/>
      <c r="E154" s="6"/>
      <c r="F154" s="6" t="n">
        <f aca="false">'Building 2'!$D$25</f>
        <v>60681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customFormat="false" ht="15" hidden="false" customHeight="false" outlineLevel="0" collapsed="false">
      <c r="A155" s="5" t="s">
        <v>29</v>
      </c>
      <c r="B155" s="5" t="s">
        <v>175</v>
      </c>
      <c r="C155" s="6" t="n">
        <f aca="false">SUM(D155:U155)</f>
        <v>170364.9</v>
      </c>
      <c r="D155" s="6"/>
      <c r="E155" s="6"/>
      <c r="F155" s="6" t="n">
        <f aca="false">'Building 2'!$D$26</f>
        <v>170364.9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customFormat="false" ht="15" hidden="false" customHeight="false" outlineLevel="0" collapsed="false">
      <c r="A156" s="5" t="s">
        <v>31</v>
      </c>
      <c r="B156" s="5" t="s">
        <v>176</v>
      </c>
      <c r="C156" s="6" t="n">
        <f aca="false">SUM(D156:U156)</f>
        <v>1615.35</v>
      </c>
      <c r="D156" s="6"/>
      <c r="E156" s="6"/>
      <c r="F156" s="6" t="n">
        <f aca="false">'Building 2'!$D$27+'Building 2'!$D$28</f>
        <v>1615.35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customFormat="false" ht="15" hidden="false" customHeight="false" outlineLevel="0" collapsed="false">
      <c r="A157" s="5" t="s">
        <v>25</v>
      </c>
      <c r="B157" s="5" t="s">
        <v>177</v>
      </c>
      <c r="C157" s="6" t="n">
        <f aca="false">SUM(D157:U157)</f>
        <v>2308.53</v>
      </c>
      <c r="D157" s="6"/>
      <c r="E157" s="6"/>
      <c r="F157" s="6" t="n">
        <f aca="false">'Building 2'!$D$29</f>
        <v>2308.53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customFormat="false" ht="15" hidden="false" customHeight="false" outlineLevel="0" collapsed="false">
      <c r="A158" s="5" t="s">
        <v>25</v>
      </c>
      <c r="B158" s="5" t="s">
        <v>178</v>
      </c>
      <c r="C158" s="6" t="n">
        <f aca="false">SUM(D158:U158)</f>
        <v>6481.31</v>
      </c>
      <c r="D158" s="6"/>
      <c r="E158" s="6"/>
      <c r="F158" s="6" t="n">
        <f aca="false">'Building 2'!$D$30</f>
        <v>6481.31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customFormat="false" ht="15" hidden="false" customHeight="false" outlineLevel="0" collapsed="false">
      <c r="A159" s="5" t="s">
        <v>27</v>
      </c>
      <c r="B159" s="5" t="s">
        <v>179</v>
      </c>
      <c r="C159" s="6" t="n">
        <f aca="false">SUM(D159:U159)</f>
        <v>1987.35</v>
      </c>
      <c r="D159" s="6"/>
      <c r="E159" s="6"/>
      <c r="F159" s="6" t="n">
        <f aca="false">'Building 2'!$D$31</f>
        <v>1987.35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customFormat="false" ht="15" hidden="false" customHeight="false" outlineLevel="0" collapsed="false">
      <c r="A160" s="5" t="s">
        <v>27</v>
      </c>
      <c r="B160" s="5" t="s">
        <v>180</v>
      </c>
      <c r="C160" s="6" t="n">
        <f aca="false">SUM(D160:U160)</f>
        <v>5579.6</v>
      </c>
      <c r="D160" s="6"/>
      <c r="E160" s="6"/>
      <c r="F160" s="6" t="n">
        <f aca="false">'Building 2'!$D$32</f>
        <v>5579.6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customFormat="false" ht="15" hidden="false" customHeight="false" outlineLevel="0" collapsed="false">
      <c r="A161" s="5" t="s">
        <v>29</v>
      </c>
      <c r="B161" s="5" t="s">
        <v>181</v>
      </c>
      <c r="C161" s="6" t="n">
        <f aca="false">SUM(D161:U161)</f>
        <v>13320.23</v>
      </c>
      <c r="D161" s="6"/>
      <c r="E161" s="6"/>
      <c r="F161" s="6" t="n">
        <f aca="false">'Building 2'!$D$33</f>
        <v>13320.23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customFormat="false" ht="15" hidden="false" customHeight="false" outlineLevel="0" collapsed="false">
      <c r="A162" s="5" t="s">
        <v>29</v>
      </c>
      <c r="B162" s="5" t="s">
        <v>182</v>
      </c>
      <c r="C162" s="6" t="n">
        <f aca="false">SUM(D162:U162)</f>
        <v>37397.18</v>
      </c>
      <c r="D162" s="6"/>
      <c r="E162" s="6"/>
      <c r="F162" s="6" t="n">
        <f aca="false">'Building 2'!$D$34</f>
        <v>37397.18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customFormat="false" ht="15" hidden="false" customHeight="false" outlineLevel="0" collapsed="false">
      <c r="A163" s="5" t="s">
        <v>25</v>
      </c>
      <c r="B163" s="5" t="s">
        <v>183</v>
      </c>
      <c r="C163" s="6" t="n">
        <f aca="false">SUM(D163:U163)</f>
        <v>16882.61</v>
      </c>
      <c r="D163" s="6"/>
      <c r="E163" s="6"/>
      <c r="F163" s="6"/>
      <c r="G163" s="6" t="n">
        <f aca="false">'Building 3'!$D$21</f>
        <v>16882.61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customFormat="false" ht="15" hidden="false" customHeight="false" outlineLevel="0" collapsed="false">
      <c r="A164" s="5" t="s">
        <v>25</v>
      </c>
      <c r="B164" s="5" t="s">
        <v>184</v>
      </c>
      <c r="C164" s="6" t="n">
        <f aca="false">SUM(D164:U164)</f>
        <v>47392.7</v>
      </c>
      <c r="D164" s="6"/>
      <c r="E164" s="6"/>
      <c r="F164" s="6"/>
      <c r="G164" s="6" t="n">
        <f aca="false">'Building 3'!$D$22</f>
        <v>47392.7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customFormat="false" ht="15" hidden="false" customHeight="false" outlineLevel="0" collapsed="false">
      <c r="A165" s="5" t="s">
        <v>27</v>
      </c>
      <c r="B165" s="5" t="s">
        <v>185</v>
      </c>
      <c r="C165" s="6" t="n">
        <f aca="false">SUM(D165:U165)</f>
        <v>9054.67</v>
      </c>
      <c r="D165" s="6"/>
      <c r="E165" s="6"/>
      <c r="F165" s="6"/>
      <c r="G165" s="6" t="n">
        <f aca="false">'Building 3'!$D$23</f>
        <v>9054.67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customFormat="false" ht="15" hidden="false" customHeight="false" outlineLevel="0" collapsed="false">
      <c r="A166" s="5" t="s">
        <v>27</v>
      </c>
      <c r="B166" s="5" t="s">
        <v>186</v>
      </c>
      <c r="C166" s="6" t="n">
        <f aca="false">SUM(D166:U166)</f>
        <v>25418.19</v>
      </c>
      <c r="D166" s="6"/>
      <c r="E166" s="6"/>
      <c r="F166" s="6"/>
      <c r="G166" s="6" t="n">
        <f aca="false">'Building 3'!$D$24</f>
        <v>25418.19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customFormat="false" ht="15" hidden="false" customHeight="false" outlineLevel="0" collapsed="false">
      <c r="A167" s="5" t="s">
        <v>29</v>
      </c>
      <c r="B167" s="5" t="s">
        <v>187</v>
      </c>
      <c r="C167" s="6" t="n">
        <f aca="false">SUM(D167:U167)</f>
        <v>60688.77</v>
      </c>
      <c r="D167" s="6"/>
      <c r="E167" s="6"/>
      <c r="F167" s="6"/>
      <c r="G167" s="6" t="n">
        <f aca="false">'Building 3'!$D$25</f>
        <v>60688.77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customFormat="false" ht="15" hidden="false" customHeight="false" outlineLevel="0" collapsed="false">
      <c r="A168" s="5" t="s">
        <v>29</v>
      </c>
      <c r="B168" s="5" t="s">
        <v>188</v>
      </c>
      <c r="C168" s="6" t="n">
        <f aca="false">SUM(D168:U168)</f>
        <v>170364.9</v>
      </c>
      <c r="D168" s="6"/>
      <c r="E168" s="6"/>
      <c r="F168" s="6"/>
      <c r="G168" s="6" t="n">
        <f aca="false">'Building 3'!$D$26</f>
        <v>170364.9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customFormat="false" ht="15" hidden="false" customHeight="false" outlineLevel="0" collapsed="false">
      <c r="A169" s="5" t="s">
        <v>31</v>
      </c>
      <c r="B169" s="5" t="s">
        <v>189</v>
      </c>
      <c r="C169" s="6" t="n">
        <f aca="false">SUM(D169:U169)</f>
        <v>1615.41</v>
      </c>
      <c r="D169" s="6"/>
      <c r="E169" s="6"/>
      <c r="F169" s="6"/>
      <c r="G169" s="6" t="n">
        <f aca="false">'Building 3'!$D$27+'Building 3'!$D$28</f>
        <v>1615.41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customFormat="false" ht="15" hidden="false" customHeight="false" outlineLevel="0" collapsed="false">
      <c r="A170" s="5" t="s">
        <v>25</v>
      </c>
      <c r="B170" s="5" t="s">
        <v>190</v>
      </c>
      <c r="C170" s="6" t="n">
        <f aca="false">SUM(D170:U170)</f>
        <v>2308.82</v>
      </c>
      <c r="D170" s="6"/>
      <c r="E170" s="6"/>
      <c r="F170" s="6"/>
      <c r="G170" s="6" t="n">
        <f aca="false">'Building 3'!$D$29</f>
        <v>2308.82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customFormat="false" ht="15" hidden="false" customHeight="false" outlineLevel="0" collapsed="false">
      <c r="A171" s="5" t="s">
        <v>25</v>
      </c>
      <c r="B171" s="5" t="s">
        <v>191</v>
      </c>
      <c r="C171" s="6" t="n">
        <f aca="false">SUM(D171:U171)</f>
        <v>6481.31</v>
      </c>
      <c r="D171" s="6"/>
      <c r="E171" s="6"/>
      <c r="F171" s="6"/>
      <c r="G171" s="6" t="n">
        <f aca="false">'Building 3'!$D$30</f>
        <v>6481.31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customFormat="false" ht="15" hidden="false" customHeight="false" outlineLevel="0" collapsed="false">
      <c r="A172" s="5" t="s">
        <v>27</v>
      </c>
      <c r="B172" s="5" t="s">
        <v>192</v>
      </c>
      <c r="C172" s="6" t="n">
        <f aca="false">SUM(D172:U172)</f>
        <v>1987.61</v>
      </c>
      <c r="D172" s="6"/>
      <c r="E172" s="6"/>
      <c r="F172" s="6"/>
      <c r="G172" s="6" t="n">
        <f aca="false">'Building 3'!$D$31</f>
        <v>1987.61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customFormat="false" ht="15" hidden="false" customHeight="false" outlineLevel="0" collapsed="false">
      <c r="A173" s="5" t="s">
        <v>27</v>
      </c>
      <c r="B173" s="5" t="s">
        <v>193</v>
      </c>
      <c r="C173" s="6" t="n">
        <f aca="false">SUM(D173:U173)</f>
        <v>5579.59</v>
      </c>
      <c r="D173" s="6"/>
      <c r="E173" s="6"/>
      <c r="F173" s="6"/>
      <c r="G173" s="6" t="n">
        <f aca="false">'Building 3'!$D$32</f>
        <v>5579.59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customFormat="false" ht="15" hidden="false" customHeight="false" outlineLevel="0" collapsed="false">
      <c r="A174" s="5" t="s">
        <v>29</v>
      </c>
      <c r="B174" s="5" t="s">
        <v>194</v>
      </c>
      <c r="C174" s="6" t="n">
        <f aca="false">SUM(D174:U174)</f>
        <v>13321.93</v>
      </c>
      <c r="D174" s="6"/>
      <c r="E174" s="6"/>
      <c r="F174" s="6"/>
      <c r="G174" s="6" t="n">
        <f aca="false">'Building 3'!$D$33</f>
        <v>13321.93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customFormat="false" ht="15" hidden="false" customHeight="false" outlineLevel="0" collapsed="false">
      <c r="A175" s="5" t="s">
        <v>29</v>
      </c>
      <c r="B175" s="5" t="s">
        <v>195</v>
      </c>
      <c r="C175" s="6" t="n">
        <f aca="false">SUM(D175:U175)</f>
        <v>37397.19</v>
      </c>
      <c r="D175" s="6"/>
      <c r="E175" s="6"/>
      <c r="F175" s="6"/>
      <c r="G175" s="6" t="n">
        <f aca="false">'Building 3'!$D$34</f>
        <v>37397.19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customFormat="false" ht="15" hidden="false" customHeight="false" outlineLevel="0" collapsed="false">
      <c r="A176" s="5" t="s">
        <v>25</v>
      </c>
      <c r="B176" s="5" t="s">
        <v>196</v>
      </c>
      <c r="C176" s="6" t="n">
        <f aca="false">SUM(D176:U176)</f>
        <v>16882.61</v>
      </c>
      <c r="D176" s="6"/>
      <c r="E176" s="6"/>
      <c r="F176" s="6"/>
      <c r="G176" s="6"/>
      <c r="H176" s="6" t="n">
        <f aca="false">'Building 4'!$D$21</f>
        <v>16882.61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customFormat="false" ht="15" hidden="false" customHeight="false" outlineLevel="0" collapsed="false">
      <c r="A177" s="5" t="s">
        <v>25</v>
      </c>
      <c r="B177" s="5" t="s">
        <v>197</v>
      </c>
      <c r="C177" s="6" t="n">
        <f aca="false">SUM(D177:U177)</f>
        <v>47096.08</v>
      </c>
      <c r="D177" s="6"/>
      <c r="E177" s="6"/>
      <c r="F177" s="6"/>
      <c r="G177" s="6"/>
      <c r="H177" s="6" t="n">
        <f aca="false">'Building 4'!$D$22</f>
        <v>47096.08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customFormat="false" ht="15" hidden="false" customHeight="false" outlineLevel="0" collapsed="false">
      <c r="A178" s="5" t="s">
        <v>27</v>
      </c>
      <c r="B178" s="5" t="s">
        <v>198</v>
      </c>
      <c r="C178" s="6" t="n">
        <f aca="false">SUM(D178:U178)</f>
        <v>9054.67</v>
      </c>
      <c r="D178" s="6"/>
      <c r="E178" s="6"/>
      <c r="F178" s="6"/>
      <c r="G178" s="6"/>
      <c r="H178" s="6" t="n">
        <f aca="false">'Building 4'!$D$23</f>
        <v>9054.67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customFormat="false" ht="15" hidden="false" customHeight="false" outlineLevel="0" collapsed="false">
      <c r="A179" s="5" t="s">
        <v>27</v>
      </c>
      <c r="B179" s="5" t="s">
        <v>199</v>
      </c>
      <c r="C179" s="6" t="n">
        <f aca="false">SUM(D179:U179)</f>
        <v>25259.11</v>
      </c>
      <c r="D179" s="6"/>
      <c r="E179" s="6"/>
      <c r="F179" s="6"/>
      <c r="G179" s="6"/>
      <c r="H179" s="6" t="n">
        <f aca="false">'Building 4'!$D$24</f>
        <v>25259.11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customFormat="false" ht="15" hidden="false" customHeight="false" outlineLevel="0" collapsed="false">
      <c r="A180" s="5" t="s">
        <v>29</v>
      </c>
      <c r="B180" s="5" t="s">
        <v>200</v>
      </c>
      <c r="C180" s="6" t="n">
        <f aca="false">SUM(D180:U180)</f>
        <v>60688.77</v>
      </c>
      <c r="D180" s="6"/>
      <c r="E180" s="6"/>
      <c r="F180" s="6"/>
      <c r="G180" s="6"/>
      <c r="H180" s="6" t="n">
        <f aca="false">'Building 4'!$D$25</f>
        <v>60688.77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customFormat="false" ht="15" hidden="false" customHeight="false" outlineLevel="0" collapsed="false">
      <c r="A181" s="5" t="s">
        <v>29</v>
      </c>
      <c r="B181" s="5" t="s">
        <v>201</v>
      </c>
      <c r="C181" s="6" t="n">
        <f aca="false">SUM(D181:U181)</f>
        <v>169298.62</v>
      </c>
      <c r="D181" s="6"/>
      <c r="E181" s="6"/>
      <c r="F181" s="6"/>
      <c r="G181" s="6"/>
      <c r="H181" s="6" t="n">
        <f aca="false">'Building 4'!$D$26</f>
        <v>169298.62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customFormat="false" ht="15" hidden="false" customHeight="false" outlineLevel="0" collapsed="false">
      <c r="A182" s="5" t="s">
        <v>31</v>
      </c>
      <c r="B182" s="5" t="s">
        <v>202</v>
      </c>
      <c r="C182" s="6" t="n">
        <f aca="false">SUM(D182:U182)</f>
        <v>1607.95</v>
      </c>
      <c r="D182" s="6"/>
      <c r="E182" s="6"/>
      <c r="F182" s="6"/>
      <c r="G182" s="6"/>
      <c r="H182" s="6" t="n">
        <f aca="false">'Building 4'!$D$27+'Building 4'!$D$28</f>
        <v>1607.95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customFormat="false" ht="15" hidden="false" customHeight="false" outlineLevel="0" collapsed="false">
      <c r="A183" s="5" t="s">
        <v>25</v>
      </c>
      <c r="B183" s="5" t="s">
        <v>203</v>
      </c>
      <c r="C183" s="6" t="n">
        <f aca="false">SUM(D183:U183)</f>
        <v>2308.82</v>
      </c>
      <c r="D183" s="6"/>
      <c r="E183" s="6"/>
      <c r="F183" s="6"/>
      <c r="G183" s="6"/>
      <c r="H183" s="6" t="n">
        <f aca="false">'Building 4'!$D$29</f>
        <v>2308.82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customFormat="false" ht="15" hidden="false" customHeight="false" outlineLevel="0" collapsed="false">
      <c r="A184" s="5" t="s">
        <v>25</v>
      </c>
      <c r="B184" s="5" t="s">
        <v>204</v>
      </c>
      <c r="C184" s="6" t="n">
        <f aca="false">SUM(D184:U184)</f>
        <v>6440.75</v>
      </c>
      <c r="D184" s="6"/>
      <c r="E184" s="6"/>
      <c r="F184" s="6"/>
      <c r="G184" s="6"/>
      <c r="H184" s="6" t="n">
        <f aca="false">'Building 4'!$D$30</f>
        <v>6440.75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customFormat="false" ht="15" hidden="false" customHeight="false" outlineLevel="0" collapsed="false">
      <c r="A185" s="5" t="s">
        <v>27</v>
      </c>
      <c r="B185" s="5" t="s">
        <v>205</v>
      </c>
      <c r="C185" s="6" t="n">
        <f aca="false">SUM(D185:U185)</f>
        <v>1987.61</v>
      </c>
      <c r="D185" s="6"/>
      <c r="E185" s="6"/>
      <c r="F185" s="6"/>
      <c r="G185" s="6"/>
      <c r="H185" s="6" t="n">
        <f aca="false">'Building 4'!$D$31</f>
        <v>1987.61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customFormat="false" ht="15" hidden="false" customHeight="false" outlineLevel="0" collapsed="false">
      <c r="A186" s="5" t="s">
        <v>27</v>
      </c>
      <c r="B186" s="5" t="s">
        <v>206</v>
      </c>
      <c r="C186" s="6" t="n">
        <f aca="false">SUM(D186:U186)</f>
        <v>5544.67</v>
      </c>
      <c r="D186" s="6"/>
      <c r="E186" s="6"/>
      <c r="F186" s="6"/>
      <c r="G186" s="6"/>
      <c r="H186" s="6" t="n">
        <f aca="false">'Building 4'!$D$32</f>
        <v>5544.67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customFormat="false" ht="15" hidden="false" customHeight="false" outlineLevel="0" collapsed="false">
      <c r="A187" s="5" t="s">
        <v>29</v>
      </c>
      <c r="B187" s="5" t="s">
        <v>207</v>
      </c>
      <c r="C187" s="6" t="n">
        <f aca="false">SUM(D187:U187)</f>
        <v>13321.94</v>
      </c>
      <c r="D187" s="6"/>
      <c r="E187" s="6"/>
      <c r="F187" s="6"/>
      <c r="G187" s="6"/>
      <c r="H187" s="6" t="n">
        <f aca="false">'Building 4'!$D$33</f>
        <v>13321.94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customFormat="false" ht="15" hidden="false" customHeight="false" outlineLevel="0" collapsed="false">
      <c r="A188" s="5" t="s">
        <v>29</v>
      </c>
      <c r="B188" s="5" t="s">
        <v>208</v>
      </c>
      <c r="C188" s="6" t="n">
        <f aca="false">SUM(D188:U188)</f>
        <v>37163.11</v>
      </c>
      <c r="D188" s="6"/>
      <c r="E188" s="6"/>
      <c r="F188" s="6"/>
      <c r="G188" s="6"/>
      <c r="H188" s="6" t="n">
        <f aca="false">'Building 4'!$D$34</f>
        <v>37163.11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customFormat="false" ht="15" hidden="false" customHeight="false" outlineLevel="0" collapsed="false">
      <c r="A189" s="5" t="s">
        <v>25</v>
      </c>
      <c r="B189" s="5" t="s">
        <v>209</v>
      </c>
      <c r="C189" s="6" t="n">
        <f aca="false">SUM(D189:U189)</f>
        <v>18042.22</v>
      </c>
      <c r="D189" s="6"/>
      <c r="E189" s="6"/>
      <c r="F189" s="6"/>
      <c r="G189" s="6"/>
      <c r="H189" s="6"/>
      <c r="I189" s="6" t="n">
        <f aca="false">'Building 5'!$D$21</f>
        <v>18042.22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customFormat="false" ht="15" hidden="false" customHeight="false" outlineLevel="0" collapsed="false">
      <c r="A190" s="5" t="s">
        <v>25</v>
      </c>
      <c r="B190" s="5" t="s">
        <v>210</v>
      </c>
      <c r="C190" s="6" t="n">
        <f aca="false">SUM(D190:U190)</f>
        <v>53943.73</v>
      </c>
      <c r="D190" s="6"/>
      <c r="E190" s="6"/>
      <c r="F190" s="6"/>
      <c r="G190" s="6"/>
      <c r="H190" s="6"/>
      <c r="I190" s="6" t="n">
        <f aca="false">'Building 5'!$D$22</f>
        <v>53943.73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customFormat="false" ht="15" hidden="false" customHeight="false" outlineLevel="0" collapsed="false">
      <c r="A191" s="5" t="s">
        <v>27</v>
      </c>
      <c r="B191" s="5" t="s">
        <v>211</v>
      </c>
      <c r="C191" s="6" t="n">
        <f aca="false">SUM(D191:U191)</f>
        <v>9676.61</v>
      </c>
      <c r="D191" s="6"/>
      <c r="E191" s="6"/>
      <c r="F191" s="6"/>
      <c r="G191" s="6"/>
      <c r="H191" s="6"/>
      <c r="I191" s="6" t="n">
        <f aca="false">'Building 5'!$D$23</f>
        <v>9676.61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customFormat="false" ht="15" hidden="false" customHeight="false" outlineLevel="0" collapsed="false">
      <c r="A192" s="5" t="s">
        <v>27</v>
      </c>
      <c r="B192" s="5" t="s">
        <v>212</v>
      </c>
      <c r="C192" s="6" t="n">
        <f aca="false">SUM(D192:U192)</f>
        <v>28931.71</v>
      </c>
      <c r="D192" s="6"/>
      <c r="E192" s="6"/>
      <c r="F192" s="6"/>
      <c r="G192" s="6"/>
      <c r="H192" s="6"/>
      <c r="I192" s="6" t="n">
        <f aca="false">'Building 5'!$D$24</f>
        <v>28931.71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customFormat="false" ht="15" hidden="false" customHeight="false" outlineLevel="0" collapsed="false">
      <c r="A193" s="5" t="s">
        <v>29</v>
      </c>
      <c r="B193" s="5" t="s">
        <v>213</v>
      </c>
      <c r="C193" s="6" t="n">
        <f aca="false">SUM(D193:U193)</f>
        <v>64857.26</v>
      </c>
      <c r="D193" s="6"/>
      <c r="E193" s="6"/>
      <c r="F193" s="6"/>
      <c r="G193" s="6"/>
      <c r="H193" s="6"/>
      <c r="I193" s="6" t="n">
        <f aca="false">'Building 5'!$D$25</f>
        <v>64857.26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customFormat="false" ht="15" hidden="false" customHeight="false" outlineLevel="0" collapsed="false">
      <c r="A194" s="5" t="s">
        <v>29</v>
      </c>
      <c r="B194" s="5" t="s">
        <v>214</v>
      </c>
      <c r="C194" s="6" t="n">
        <f aca="false">SUM(D194:U194)</f>
        <v>193914.22</v>
      </c>
      <c r="D194" s="6"/>
      <c r="E194" s="6"/>
      <c r="F194" s="6"/>
      <c r="G194" s="6"/>
      <c r="H194" s="6"/>
      <c r="I194" s="6" t="n">
        <f aca="false">'Building 5'!$D$26</f>
        <v>193914.22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customFormat="false" ht="15" hidden="false" customHeight="false" outlineLevel="0" collapsed="false">
      <c r="A195" s="5" t="s">
        <v>31</v>
      </c>
      <c r="B195" s="5" t="s">
        <v>215</v>
      </c>
      <c r="C195" s="6" t="n">
        <f aca="false">SUM(D195:U195)</f>
        <v>1809.19</v>
      </c>
      <c r="D195" s="6"/>
      <c r="E195" s="6"/>
      <c r="F195" s="6"/>
      <c r="G195" s="6"/>
      <c r="H195" s="6"/>
      <c r="I195" s="6" t="n">
        <f aca="false">'Building 5'!$D$27+'Building 5'!$D$28</f>
        <v>1809.19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customFormat="false" ht="15" hidden="false" customHeight="false" outlineLevel="0" collapsed="false">
      <c r="A196" s="5" t="s">
        <v>25</v>
      </c>
      <c r="B196" s="5" t="s">
        <v>216</v>
      </c>
      <c r="C196" s="6" t="n">
        <f aca="false">SUM(D196:U196)</f>
        <v>2467.41</v>
      </c>
      <c r="D196" s="6"/>
      <c r="E196" s="6"/>
      <c r="F196" s="6"/>
      <c r="G196" s="6"/>
      <c r="H196" s="6"/>
      <c r="I196" s="6" t="n">
        <f aca="false">'Building 5'!$D$29</f>
        <v>2467.41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customFormat="false" ht="15" hidden="false" customHeight="false" outlineLevel="0" collapsed="false">
      <c r="A197" s="5" t="s">
        <v>25</v>
      </c>
      <c r="B197" s="5" t="s">
        <v>217</v>
      </c>
      <c r="C197" s="6" t="n">
        <f aca="false">SUM(D197:U197)</f>
        <v>7377.21</v>
      </c>
      <c r="D197" s="6"/>
      <c r="E197" s="6"/>
      <c r="F197" s="6"/>
      <c r="G197" s="6"/>
      <c r="H197" s="6"/>
      <c r="I197" s="6" t="n">
        <f aca="false">'Building 5'!$D$30</f>
        <v>7377.21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customFormat="false" ht="15" hidden="false" customHeight="false" outlineLevel="0" collapsed="false">
      <c r="A198" s="5" t="s">
        <v>27</v>
      </c>
      <c r="B198" s="5" t="s">
        <v>218</v>
      </c>
      <c r="C198" s="6" t="n">
        <f aca="false">SUM(D198:U198)</f>
        <v>2124.13</v>
      </c>
      <c r="D198" s="6"/>
      <c r="E198" s="6"/>
      <c r="F198" s="6"/>
      <c r="G198" s="6"/>
      <c r="H198" s="6"/>
      <c r="I198" s="6" t="n">
        <f aca="false">'Building 5'!$D$31</f>
        <v>2124.13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customFormat="false" ht="15" hidden="false" customHeight="false" outlineLevel="0" collapsed="false">
      <c r="A199" s="5" t="s">
        <v>27</v>
      </c>
      <c r="B199" s="5" t="s">
        <v>219</v>
      </c>
      <c r="C199" s="6" t="n">
        <f aca="false">SUM(D199:U199)</f>
        <v>6350.86</v>
      </c>
      <c r="D199" s="6"/>
      <c r="E199" s="6"/>
      <c r="F199" s="6"/>
      <c r="G199" s="6"/>
      <c r="H199" s="6"/>
      <c r="I199" s="6" t="n">
        <f aca="false">'Building 5'!$D$32</f>
        <v>6350.86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customFormat="false" ht="15" hidden="false" customHeight="false" outlineLevel="0" collapsed="false">
      <c r="A200" s="5" t="s">
        <v>29</v>
      </c>
      <c r="B200" s="5" t="s">
        <v>220</v>
      </c>
      <c r="C200" s="6" t="n">
        <f aca="false">SUM(D200:U200)</f>
        <v>14236.95</v>
      </c>
      <c r="D200" s="6"/>
      <c r="E200" s="6"/>
      <c r="F200" s="6"/>
      <c r="G200" s="6"/>
      <c r="H200" s="6"/>
      <c r="I200" s="6" t="n">
        <f aca="false">'Building 5'!$D$33</f>
        <v>14236.95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customFormat="false" ht="15" hidden="false" customHeight="false" outlineLevel="0" collapsed="false">
      <c r="A201" s="5" t="s">
        <v>29</v>
      </c>
      <c r="B201" s="5" t="s">
        <v>221</v>
      </c>
      <c r="C201" s="6" t="n">
        <f aca="false">SUM(D201:U201)</f>
        <v>42566.56</v>
      </c>
      <c r="D201" s="6"/>
      <c r="E201" s="6"/>
      <c r="F201" s="6"/>
      <c r="G201" s="6"/>
      <c r="H201" s="6"/>
      <c r="I201" s="6" t="n">
        <f aca="false">'Building 5'!$D$34</f>
        <v>42566.56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customFormat="false" ht="15" hidden="false" customHeight="false" outlineLevel="0" collapsed="false">
      <c r="A202" s="5" t="s">
        <v>25</v>
      </c>
      <c r="B202" s="5" t="s">
        <v>222</v>
      </c>
      <c r="C202" s="6" t="n">
        <f aca="false">SUM(D202:U202)</f>
        <v>16882.61</v>
      </c>
      <c r="D202" s="6"/>
      <c r="E202" s="6"/>
      <c r="F202" s="6"/>
      <c r="G202" s="6"/>
      <c r="H202" s="6"/>
      <c r="I202" s="6"/>
      <c r="J202" s="6" t="n">
        <f aca="false">'Building 6'!$D$21</f>
        <v>16882.61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customFormat="false" ht="15" hidden="false" customHeight="false" outlineLevel="0" collapsed="false">
      <c r="A203" s="5" t="s">
        <v>25</v>
      </c>
      <c r="B203" s="5" t="s">
        <v>223</v>
      </c>
      <c r="C203" s="6" t="n">
        <f aca="false">SUM(D203:U203)</f>
        <v>47435.37</v>
      </c>
      <c r="D203" s="6"/>
      <c r="E203" s="6"/>
      <c r="F203" s="6"/>
      <c r="G203" s="6"/>
      <c r="H203" s="6"/>
      <c r="I203" s="6"/>
      <c r="J203" s="6" t="n">
        <f aca="false">'Building 6'!$D$22</f>
        <v>47435.37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customFormat="false" ht="15" hidden="false" customHeight="false" outlineLevel="0" collapsed="false">
      <c r="A204" s="5" t="s">
        <v>27</v>
      </c>
      <c r="B204" s="5" t="s">
        <v>224</v>
      </c>
      <c r="C204" s="6" t="n">
        <f aca="false">SUM(D204:U204)</f>
        <v>9054.67</v>
      </c>
      <c r="D204" s="6"/>
      <c r="E204" s="6"/>
      <c r="F204" s="6"/>
      <c r="G204" s="6"/>
      <c r="H204" s="6"/>
      <c r="I204" s="6"/>
      <c r="J204" s="6" t="n">
        <f aca="false">'Building 6'!$D$23</f>
        <v>9054.67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customFormat="false" ht="15" hidden="false" customHeight="false" outlineLevel="0" collapsed="false">
      <c r="A205" s="5" t="s">
        <v>27</v>
      </c>
      <c r="B205" s="5" t="s">
        <v>225</v>
      </c>
      <c r="C205" s="6" t="n">
        <f aca="false">SUM(D205:U205)</f>
        <v>25441.07</v>
      </c>
      <c r="D205" s="6"/>
      <c r="E205" s="6"/>
      <c r="F205" s="6"/>
      <c r="G205" s="6"/>
      <c r="H205" s="6"/>
      <c r="I205" s="6"/>
      <c r="J205" s="6" t="n">
        <f aca="false">'Building 6'!$D$24</f>
        <v>25441.07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customFormat="false" ht="15" hidden="false" customHeight="false" outlineLevel="0" collapsed="false">
      <c r="A206" s="5" t="s">
        <v>29</v>
      </c>
      <c r="B206" s="5" t="s">
        <v>226</v>
      </c>
      <c r="C206" s="6" t="n">
        <f aca="false">SUM(D206:U206)</f>
        <v>60688.77</v>
      </c>
      <c r="D206" s="6"/>
      <c r="E206" s="6"/>
      <c r="F206" s="6"/>
      <c r="G206" s="6"/>
      <c r="H206" s="6"/>
      <c r="I206" s="6"/>
      <c r="J206" s="6" t="n">
        <f aca="false">'Building 6'!$D$25</f>
        <v>60688.77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customFormat="false" ht="15" hidden="false" customHeight="false" outlineLevel="0" collapsed="false">
      <c r="A207" s="5" t="s">
        <v>29</v>
      </c>
      <c r="B207" s="5" t="s">
        <v>227</v>
      </c>
      <c r="C207" s="6" t="n">
        <f aca="false">SUM(D207:U207)</f>
        <v>170518.26</v>
      </c>
      <c r="D207" s="6"/>
      <c r="E207" s="6"/>
      <c r="F207" s="6"/>
      <c r="G207" s="6"/>
      <c r="H207" s="6"/>
      <c r="I207" s="6"/>
      <c r="J207" s="6" t="n">
        <f aca="false">'Building 6'!$D$26</f>
        <v>170518.26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customFormat="false" ht="15" hidden="false" customHeight="false" outlineLevel="0" collapsed="false">
      <c r="A208" s="5" t="s">
        <v>31</v>
      </c>
      <c r="B208" s="5" t="s">
        <v>228</v>
      </c>
      <c r="C208" s="6" t="n">
        <f aca="false">SUM(D208:U208)</f>
        <v>1616.48</v>
      </c>
      <c r="D208" s="6"/>
      <c r="E208" s="6"/>
      <c r="F208" s="6"/>
      <c r="G208" s="6"/>
      <c r="H208" s="6"/>
      <c r="I208" s="6"/>
      <c r="J208" s="6" t="n">
        <f aca="false">'Building 6'!$D$27+'Building 6'!$D$28</f>
        <v>1616.48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customFormat="false" ht="15" hidden="false" customHeight="false" outlineLevel="0" collapsed="false">
      <c r="A209" s="5" t="s">
        <v>25</v>
      </c>
      <c r="B209" s="5" t="s">
        <v>229</v>
      </c>
      <c r="C209" s="6" t="n">
        <f aca="false">SUM(D209:U209)</f>
        <v>2308.83</v>
      </c>
      <c r="D209" s="6"/>
      <c r="E209" s="6"/>
      <c r="F209" s="6"/>
      <c r="G209" s="6"/>
      <c r="H209" s="6"/>
      <c r="I209" s="6"/>
      <c r="J209" s="6" t="n">
        <f aca="false">'Building 6'!$D$29</f>
        <v>2308.83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customFormat="false" ht="15" hidden="false" customHeight="false" outlineLevel="0" collapsed="false">
      <c r="A210" s="5" t="s">
        <v>25</v>
      </c>
      <c r="B210" s="5" t="s">
        <v>230</v>
      </c>
      <c r="C210" s="6" t="n">
        <f aca="false">SUM(D210:U210)</f>
        <v>6487.14</v>
      </c>
      <c r="D210" s="6"/>
      <c r="E210" s="6"/>
      <c r="F210" s="6"/>
      <c r="G210" s="6"/>
      <c r="H210" s="6"/>
      <c r="I210" s="6"/>
      <c r="J210" s="6" t="n">
        <f aca="false">'Building 6'!$D$30</f>
        <v>6487.14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customFormat="false" ht="15" hidden="false" customHeight="false" outlineLevel="0" collapsed="false">
      <c r="A211" s="5" t="s">
        <v>27</v>
      </c>
      <c r="B211" s="5" t="s">
        <v>231</v>
      </c>
      <c r="C211" s="6" t="n">
        <f aca="false">SUM(D211:U211)</f>
        <v>1987.61</v>
      </c>
      <c r="D211" s="6"/>
      <c r="E211" s="6"/>
      <c r="F211" s="6"/>
      <c r="G211" s="6"/>
      <c r="H211" s="6"/>
      <c r="I211" s="6"/>
      <c r="J211" s="6" t="n">
        <f aca="false">'Building 6'!$D$31</f>
        <v>1987.61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customFormat="false" ht="15" hidden="false" customHeight="false" outlineLevel="0" collapsed="false">
      <c r="A212" s="5" t="s">
        <v>27</v>
      </c>
      <c r="B212" s="5" t="s">
        <v>232</v>
      </c>
      <c r="C212" s="6" t="n">
        <f aca="false">SUM(D212:U212)</f>
        <v>5584.62</v>
      </c>
      <c r="D212" s="6"/>
      <c r="E212" s="6"/>
      <c r="F212" s="6"/>
      <c r="G212" s="6"/>
      <c r="H212" s="6"/>
      <c r="I212" s="6"/>
      <c r="J212" s="6" t="n">
        <f aca="false">'Building 6'!$D$32</f>
        <v>5584.62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customFormat="false" ht="15" hidden="false" customHeight="false" outlineLevel="0" collapsed="false">
      <c r="A213" s="5" t="s">
        <v>29</v>
      </c>
      <c r="B213" s="5" t="s">
        <v>233</v>
      </c>
      <c r="C213" s="6" t="n">
        <f aca="false">SUM(D213:U213)</f>
        <v>13321.94</v>
      </c>
      <c r="D213" s="6"/>
      <c r="E213" s="6"/>
      <c r="F213" s="6"/>
      <c r="G213" s="6"/>
      <c r="H213" s="6"/>
      <c r="I213" s="6"/>
      <c r="J213" s="6" t="n">
        <f aca="false">'Building 6'!$D$33</f>
        <v>13321.94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customFormat="false" ht="15" hidden="false" customHeight="false" outlineLevel="0" collapsed="false">
      <c r="A214" s="5" t="s">
        <v>29</v>
      </c>
      <c r="B214" s="5" t="s">
        <v>234</v>
      </c>
      <c r="C214" s="6" t="n">
        <f aca="false">SUM(D214:U214)</f>
        <v>37430.84</v>
      </c>
      <c r="D214" s="6"/>
      <c r="E214" s="6"/>
      <c r="F214" s="6"/>
      <c r="G214" s="6"/>
      <c r="H214" s="6"/>
      <c r="I214" s="6"/>
      <c r="J214" s="6" t="n">
        <f aca="false">'Building 6'!$D$34</f>
        <v>37430.84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customFormat="false" ht="15" hidden="false" customHeight="false" outlineLevel="0" collapsed="false">
      <c r="A215" s="5" t="s">
        <v>25</v>
      </c>
      <c r="B215" s="5" t="s">
        <v>235</v>
      </c>
      <c r="C215" s="6" t="n">
        <f aca="false">SUM(D215:U215)</f>
        <v>18042.22</v>
      </c>
      <c r="D215" s="6"/>
      <c r="E215" s="6"/>
      <c r="F215" s="6"/>
      <c r="G215" s="6"/>
      <c r="H215" s="6"/>
      <c r="I215" s="6"/>
      <c r="J215" s="6"/>
      <c r="K215" s="6" t="n">
        <f aca="false">'Building 7'!$D$21</f>
        <v>18042.22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customFormat="false" ht="15" hidden="false" customHeight="false" outlineLevel="0" collapsed="false">
      <c r="A216" s="5" t="s">
        <v>25</v>
      </c>
      <c r="B216" s="5" t="s">
        <v>236</v>
      </c>
      <c r="C216" s="6" t="n">
        <f aca="false">SUM(D216:U216)</f>
        <v>54283.01</v>
      </c>
      <c r="D216" s="6"/>
      <c r="E216" s="6"/>
      <c r="F216" s="6"/>
      <c r="G216" s="6"/>
      <c r="H216" s="6"/>
      <c r="I216" s="6"/>
      <c r="J216" s="6"/>
      <c r="K216" s="6" t="n">
        <f aca="false">'Building 7'!$D$22</f>
        <v>54283.01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customFormat="false" ht="15" hidden="false" customHeight="false" outlineLevel="0" collapsed="false">
      <c r="A217" s="5" t="s">
        <v>27</v>
      </c>
      <c r="B217" s="5" t="s">
        <v>237</v>
      </c>
      <c r="C217" s="6" t="n">
        <f aca="false">SUM(D217:U217)</f>
        <v>9676.61</v>
      </c>
      <c r="D217" s="6"/>
      <c r="E217" s="6"/>
      <c r="F217" s="6"/>
      <c r="G217" s="6"/>
      <c r="H217" s="6"/>
      <c r="I217" s="6"/>
      <c r="J217" s="6"/>
      <c r="K217" s="6" t="n">
        <f aca="false">'Building 7'!$D$23</f>
        <v>9676.61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customFormat="false" ht="15" hidden="false" customHeight="false" outlineLevel="0" collapsed="false">
      <c r="A218" s="5" t="s">
        <v>27</v>
      </c>
      <c r="B218" s="5" t="s">
        <v>238</v>
      </c>
      <c r="C218" s="6" t="n">
        <f aca="false">SUM(D218:U218)</f>
        <v>29113.68</v>
      </c>
      <c r="D218" s="6"/>
      <c r="E218" s="6"/>
      <c r="F218" s="6"/>
      <c r="G218" s="6"/>
      <c r="H218" s="6"/>
      <c r="I218" s="6"/>
      <c r="J218" s="6"/>
      <c r="K218" s="6" t="n">
        <f aca="false">'Building 7'!$D$24</f>
        <v>29113.68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customFormat="false" ht="15" hidden="false" customHeight="false" outlineLevel="0" collapsed="false">
      <c r="A219" s="5" t="s">
        <v>29</v>
      </c>
      <c r="B219" s="5" t="s">
        <v>239</v>
      </c>
      <c r="C219" s="6" t="n">
        <f aca="false">SUM(D219:U219)</f>
        <v>64857.26</v>
      </c>
      <c r="D219" s="6"/>
      <c r="E219" s="6"/>
      <c r="F219" s="6"/>
      <c r="G219" s="6"/>
      <c r="H219" s="6"/>
      <c r="I219" s="6"/>
      <c r="J219" s="6"/>
      <c r="K219" s="6" t="n">
        <f aca="false">'Building 7'!$D$25</f>
        <v>64857.26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customFormat="false" ht="15" hidden="false" customHeight="false" outlineLevel="0" collapsed="false">
      <c r="A220" s="5" t="s">
        <v>29</v>
      </c>
      <c r="B220" s="5" t="s">
        <v>240</v>
      </c>
      <c r="C220" s="6" t="n">
        <f aca="false">SUM(D220:U220)</f>
        <v>195133.85</v>
      </c>
      <c r="D220" s="6"/>
      <c r="E220" s="6"/>
      <c r="F220" s="6"/>
      <c r="G220" s="6"/>
      <c r="H220" s="6"/>
      <c r="I220" s="6"/>
      <c r="J220" s="6"/>
      <c r="K220" s="6" t="n">
        <f aca="false">'Building 7'!$D$26</f>
        <v>195133.85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customFormat="false" ht="15" hidden="false" customHeight="false" outlineLevel="0" collapsed="false">
      <c r="A221" s="5" t="s">
        <v>31</v>
      </c>
      <c r="B221" s="5" t="s">
        <v>241</v>
      </c>
      <c r="C221" s="6" t="n">
        <f aca="false">SUM(D221:U221)</f>
        <v>1817.72</v>
      </c>
      <c r="D221" s="6"/>
      <c r="E221" s="6"/>
      <c r="F221" s="6"/>
      <c r="G221" s="6"/>
      <c r="H221" s="6"/>
      <c r="I221" s="6"/>
      <c r="J221" s="6"/>
      <c r="K221" s="6" t="n">
        <f aca="false">'Building 7'!$D$27+'Building 7'!$D$28</f>
        <v>1817.72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customFormat="false" ht="15" hidden="false" customHeight="false" outlineLevel="0" collapsed="false">
      <c r="A222" s="5" t="s">
        <v>25</v>
      </c>
      <c r="B222" s="5" t="s">
        <v>242</v>
      </c>
      <c r="C222" s="6" t="n">
        <f aca="false">SUM(D222:U222)</f>
        <v>2467.41</v>
      </c>
      <c r="D222" s="6"/>
      <c r="E222" s="6"/>
      <c r="F222" s="6"/>
      <c r="G222" s="6"/>
      <c r="H222" s="6"/>
      <c r="I222" s="6"/>
      <c r="J222" s="6"/>
      <c r="K222" s="6" t="n">
        <f aca="false">'Building 7'!$D$29</f>
        <v>2467.41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customFormat="false" ht="15" hidden="false" customHeight="false" outlineLevel="0" collapsed="false">
      <c r="A223" s="5" t="s">
        <v>25</v>
      </c>
      <c r="B223" s="5" t="s">
        <v>243</v>
      </c>
      <c r="C223" s="6" t="n">
        <f aca="false">SUM(D223:U223)</f>
        <v>7423.6</v>
      </c>
      <c r="D223" s="6"/>
      <c r="E223" s="6"/>
      <c r="F223" s="6"/>
      <c r="G223" s="6"/>
      <c r="H223" s="6"/>
      <c r="I223" s="6"/>
      <c r="J223" s="6"/>
      <c r="K223" s="6" t="n">
        <f aca="false">'Building 7'!$D$30</f>
        <v>7423.6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customFormat="false" ht="15" hidden="false" customHeight="false" outlineLevel="0" collapsed="false">
      <c r="A224" s="5" t="s">
        <v>27</v>
      </c>
      <c r="B224" s="5" t="s">
        <v>244</v>
      </c>
      <c r="C224" s="6" t="n">
        <f aca="false">SUM(D224:U224)</f>
        <v>2124.13</v>
      </c>
      <c r="D224" s="6"/>
      <c r="E224" s="6"/>
      <c r="F224" s="6"/>
      <c r="G224" s="6"/>
      <c r="H224" s="6"/>
      <c r="I224" s="6"/>
      <c r="J224" s="6"/>
      <c r="K224" s="6" t="n">
        <f aca="false">'Building 7'!$D$31</f>
        <v>2124.13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customFormat="false" ht="15" hidden="false" customHeight="false" outlineLevel="0" collapsed="false">
      <c r="A225" s="5" t="s">
        <v>27</v>
      </c>
      <c r="B225" s="5" t="s">
        <v>245</v>
      </c>
      <c r="C225" s="6" t="n">
        <f aca="false">SUM(D225:U225)</f>
        <v>6390.8</v>
      </c>
      <c r="D225" s="6"/>
      <c r="E225" s="6"/>
      <c r="F225" s="6"/>
      <c r="G225" s="6"/>
      <c r="H225" s="6"/>
      <c r="I225" s="6"/>
      <c r="J225" s="6"/>
      <c r="K225" s="6" t="n">
        <f aca="false">'Building 7'!$D$32</f>
        <v>6390.8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customFormat="false" ht="15" hidden="false" customHeight="false" outlineLevel="0" collapsed="false">
      <c r="A226" s="5" t="s">
        <v>29</v>
      </c>
      <c r="B226" s="5" t="s">
        <v>246</v>
      </c>
      <c r="C226" s="6" t="n">
        <f aca="false">SUM(D226:U226)</f>
        <v>14236.95</v>
      </c>
      <c r="D226" s="6"/>
      <c r="E226" s="6"/>
      <c r="F226" s="6"/>
      <c r="G226" s="6"/>
      <c r="H226" s="6"/>
      <c r="I226" s="6"/>
      <c r="J226" s="6"/>
      <c r="K226" s="6" t="n">
        <f aca="false">'Building 7'!$D$33</f>
        <v>14236.95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customFormat="false" ht="15" hidden="false" customHeight="false" outlineLevel="0" collapsed="false">
      <c r="A227" s="5" t="s">
        <v>29</v>
      </c>
      <c r="B227" s="5" t="s">
        <v>247</v>
      </c>
      <c r="C227" s="6" t="n">
        <f aca="false">SUM(D227:U227)</f>
        <v>42834.29</v>
      </c>
      <c r="D227" s="6"/>
      <c r="E227" s="6"/>
      <c r="F227" s="6"/>
      <c r="G227" s="6"/>
      <c r="H227" s="6"/>
      <c r="I227" s="6"/>
      <c r="J227" s="6"/>
      <c r="K227" s="6" t="n">
        <f aca="false">'Building 7'!$D$34</f>
        <v>42834.29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customFormat="false" ht="15" hidden="false" customHeight="false" outlineLevel="0" collapsed="false">
      <c r="A228" s="5" t="s">
        <v>25</v>
      </c>
      <c r="B228" s="5" t="s">
        <v>248</v>
      </c>
      <c r="C228" s="6" t="n">
        <f aca="false">SUM(D228:U228)</f>
        <v>16882.61</v>
      </c>
      <c r="D228" s="6"/>
      <c r="E228" s="6"/>
      <c r="F228" s="6"/>
      <c r="G228" s="6"/>
      <c r="H228" s="6"/>
      <c r="I228" s="6"/>
      <c r="J228" s="6"/>
      <c r="K228" s="6"/>
      <c r="L228" s="6" t="n">
        <f aca="false">'Building 8'!$D$21</f>
        <v>16882.61</v>
      </c>
      <c r="M228" s="6"/>
      <c r="N228" s="6"/>
      <c r="O228" s="6"/>
      <c r="P228" s="6"/>
      <c r="Q228" s="6"/>
      <c r="R228" s="6"/>
      <c r="S228" s="6"/>
      <c r="T228" s="6"/>
      <c r="U228" s="6"/>
    </row>
    <row r="229" customFormat="false" ht="15" hidden="false" customHeight="false" outlineLevel="0" collapsed="false">
      <c r="A229" s="5" t="s">
        <v>25</v>
      </c>
      <c r="B229" s="5" t="s">
        <v>249</v>
      </c>
      <c r="C229" s="6" t="n">
        <f aca="false">SUM(D229:U229)</f>
        <v>47435.37</v>
      </c>
      <c r="D229" s="6"/>
      <c r="E229" s="6"/>
      <c r="F229" s="6"/>
      <c r="G229" s="6"/>
      <c r="H229" s="6"/>
      <c r="I229" s="6"/>
      <c r="J229" s="6"/>
      <c r="K229" s="6"/>
      <c r="L229" s="6" t="n">
        <f aca="false">'Building 8'!$D$22</f>
        <v>47435.37</v>
      </c>
      <c r="M229" s="6"/>
      <c r="N229" s="6"/>
      <c r="O229" s="6"/>
      <c r="P229" s="6"/>
      <c r="Q229" s="6"/>
      <c r="R229" s="6"/>
      <c r="S229" s="6"/>
      <c r="T229" s="6"/>
      <c r="U229" s="6"/>
    </row>
    <row r="230" customFormat="false" ht="15" hidden="false" customHeight="false" outlineLevel="0" collapsed="false">
      <c r="A230" s="5" t="s">
        <v>27</v>
      </c>
      <c r="B230" s="5" t="s">
        <v>250</v>
      </c>
      <c r="C230" s="6" t="n">
        <f aca="false">SUM(D230:U230)</f>
        <v>9054.67</v>
      </c>
      <c r="D230" s="6"/>
      <c r="E230" s="6"/>
      <c r="F230" s="6"/>
      <c r="G230" s="6"/>
      <c r="H230" s="6"/>
      <c r="I230" s="6"/>
      <c r="J230" s="6"/>
      <c r="K230" s="6"/>
      <c r="L230" s="6" t="n">
        <f aca="false">'Building 8'!$D$23</f>
        <v>9054.67</v>
      </c>
      <c r="M230" s="6"/>
      <c r="N230" s="6"/>
      <c r="O230" s="6"/>
      <c r="P230" s="6"/>
      <c r="Q230" s="6"/>
      <c r="R230" s="6"/>
      <c r="S230" s="6"/>
      <c r="T230" s="6"/>
      <c r="U230" s="6"/>
    </row>
    <row r="231" customFormat="false" ht="15" hidden="false" customHeight="false" outlineLevel="0" collapsed="false">
      <c r="A231" s="5" t="s">
        <v>27</v>
      </c>
      <c r="B231" s="5" t="s">
        <v>251</v>
      </c>
      <c r="C231" s="6" t="n">
        <f aca="false">SUM(D231:U231)</f>
        <v>25441.07</v>
      </c>
      <c r="D231" s="6"/>
      <c r="E231" s="6"/>
      <c r="F231" s="6"/>
      <c r="G231" s="6"/>
      <c r="H231" s="6"/>
      <c r="I231" s="6"/>
      <c r="J231" s="6"/>
      <c r="K231" s="6"/>
      <c r="L231" s="6" t="n">
        <f aca="false">'Building 8'!$D$24</f>
        <v>25441.07</v>
      </c>
      <c r="M231" s="6"/>
      <c r="N231" s="6"/>
      <c r="O231" s="6"/>
      <c r="P231" s="6"/>
      <c r="Q231" s="6"/>
      <c r="R231" s="6"/>
      <c r="S231" s="6"/>
      <c r="T231" s="6"/>
      <c r="U231" s="6"/>
    </row>
    <row r="232" customFormat="false" ht="15" hidden="false" customHeight="false" outlineLevel="0" collapsed="false">
      <c r="A232" s="5" t="s">
        <v>29</v>
      </c>
      <c r="B232" s="5" t="s">
        <v>252</v>
      </c>
      <c r="C232" s="6" t="n">
        <f aca="false">SUM(D232:U232)</f>
        <v>60688.77</v>
      </c>
      <c r="D232" s="6"/>
      <c r="E232" s="6"/>
      <c r="F232" s="6"/>
      <c r="G232" s="6"/>
      <c r="H232" s="6"/>
      <c r="I232" s="6"/>
      <c r="J232" s="6"/>
      <c r="K232" s="6"/>
      <c r="L232" s="6" t="n">
        <f aca="false">'Building 8'!$D$25</f>
        <v>60688.77</v>
      </c>
      <c r="M232" s="6"/>
      <c r="N232" s="6"/>
      <c r="O232" s="6"/>
      <c r="P232" s="6"/>
      <c r="Q232" s="6"/>
      <c r="R232" s="6"/>
      <c r="S232" s="6"/>
      <c r="T232" s="6"/>
      <c r="U232" s="6"/>
    </row>
    <row r="233" customFormat="false" ht="15" hidden="false" customHeight="false" outlineLevel="0" collapsed="false">
      <c r="A233" s="5" t="s">
        <v>29</v>
      </c>
      <c r="B233" s="5" t="s">
        <v>253</v>
      </c>
      <c r="C233" s="6" t="n">
        <f aca="false">SUM(D233:U233)</f>
        <v>170518.26</v>
      </c>
      <c r="D233" s="6"/>
      <c r="E233" s="6"/>
      <c r="F233" s="6"/>
      <c r="G233" s="6"/>
      <c r="H233" s="6"/>
      <c r="I233" s="6"/>
      <c r="J233" s="6"/>
      <c r="K233" s="6"/>
      <c r="L233" s="6" t="n">
        <f aca="false">'Building 8'!$D$26</f>
        <v>170518.26</v>
      </c>
      <c r="M233" s="6"/>
      <c r="N233" s="6"/>
      <c r="O233" s="6"/>
      <c r="P233" s="6"/>
      <c r="Q233" s="6"/>
      <c r="R233" s="6"/>
      <c r="S233" s="6"/>
      <c r="T233" s="6"/>
      <c r="U233" s="6"/>
    </row>
    <row r="234" customFormat="false" ht="15" hidden="false" customHeight="false" outlineLevel="0" collapsed="false">
      <c r="A234" s="5" t="s">
        <v>31</v>
      </c>
      <c r="B234" s="5" t="s">
        <v>254</v>
      </c>
      <c r="C234" s="6" t="n">
        <f aca="false">SUM(D234:U234)</f>
        <v>1616.48</v>
      </c>
      <c r="D234" s="6"/>
      <c r="E234" s="6"/>
      <c r="F234" s="6"/>
      <c r="G234" s="6"/>
      <c r="H234" s="6"/>
      <c r="I234" s="6"/>
      <c r="J234" s="6"/>
      <c r="K234" s="6"/>
      <c r="L234" s="6" t="n">
        <f aca="false">'Building 8'!$D$27+'Building 8'!$D$28</f>
        <v>1616.48</v>
      </c>
      <c r="M234" s="6"/>
      <c r="N234" s="6"/>
      <c r="O234" s="6"/>
      <c r="P234" s="6"/>
      <c r="Q234" s="6"/>
      <c r="R234" s="6"/>
      <c r="S234" s="6"/>
      <c r="T234" s="6"/>
      <c r="U234" s="6"/>
    </row>
    <row r="235" customFormat="false" ht="15" hidden="false" customHeight="false" outlineLevel="0" collapsed="false">
      <c r="A235" s="5" t="s">
        <v>25</v>
      </c>
      <c r="B235" s="5" t="s">
        <v>255</v>
      </c>
      <c r="C235" s="6" t="n">
        <f aca="false">SUM(D235:U235)</f>
        <v>2308.83</v>
      </c>
      <c r="D235" s="6"/>
      <c r="E235" s="6"/>
      <c r="F235" s="6"/>
      <c r="G235" s="6"/>
      <c r="H235" s="6"/>
      <c r="I235" s="6"/>
      <c r="J235" s="6"/>
      <c r="K235" s="6"/>
      <c r="L235" s="6" t="n">
        <f aca="false">'Building 8'!$D$29</f>
        <v>2308.83</v>
      </c>
      <c r="M235" s="6"/>
      <c r="N235" s="6"/>
      <c r="O235" s="6"/>
      <c r="P235" s="6"/>
      <c r="Q235" s="6"/>
      <c r="R235" s="6"/>
      <c r="S235" s="6"/>
      <c r="T235" s="6"/>
      <c r="U235" s="6"/>
    </row>
    <row r="236" customFormat="false" ht="15" hidden="false" customHeight="false" outlineLevel="0" collapsed="false">
      <c r="A236" s="5" t="s">
        <v>25</v>
      </c>
      <c r="B236" s="5" t="s">
        <v>256</v>
      </c>
      <c r="C236" s="6" t="n">
        <f aca="false">SUM(D236:U236)</f>
        <v>6487.14</v>
      </c>
      <c r="D236" s="6"/>
      <c r="E236" s="6"/>
      <c r="F236" s="6"/>
      <c r="G236" s="6"/>
      <c r="H236" s="6"/>
      <c r="I236" s="6"/>
      <c r="J236" s="6"/>
      <c r="K236" s="6"/>
      <c r="L236" s="6" t="n">
        <f aca="false">'Building 8'!$D$30</f>
        <v>6487.14</v>
      </c>
      <c r="M236" s="6"/>
      <c r="N236" s="6"/>
      <c r="O236" s="6"/>
      <c r="P236" s="6"/>
      <c r="Q236" s="6"/>
      <c r="R236" s="6"/>
      <c r="S236" s="6"/>
      <c r="T236" s="6"/>
      <c r="U236" s="6"/>
    </row>
    <row r="237" customFormat="false" ht="15" hidden="false" customHeight="false" outlineLevel="0" collapsed="false">
      <c r="A237" s="5" t="s">
        <v>27</v>
      </c>
      <c r="B237" s="5" t="s">
        <v>257</v>
      </c>
      <c r="C237" s="6" t="n">
        <f aca="false">SUM(D237:U237)</f>
        <v>1987.61</v>
      </c>
      <c r="D237" s="6"/>
      <c r="E237" s="6"/>
      <c r="F237" s="6"/>
      <c r="G237" s="6"/>
      <c r="H237" s="6"/>
      <c r="I237" s="6"/>
      <c r="J237" s="6"/>
      <c r="K237" s="6"/>
      <c r="L237" s="6" t="n">
        <f aca="false">'Building 8'!$D$31</f>
        <v>1987.61</v>
      </c>
      <c r="M237" s="6"/>
      <c r="N237" s="6"/>
      <c r="O237" s="6"/>
      <c r="P237" s="6"/>
      <c r="Q237" s="6"/>
      <c r="R237" s="6"/>
      <c r="S237" s="6"/>
      <c r="T237" s="6"/>
      <c r="U237" s="6"/>
    </row>
    <row r="238" customFormat="false" ht="15" hidden="false" customHeight="false" outlineLevel="0" collapsed="false">
      <c r="A238" s="5" t="s">
        <v>27</v>
      </c>
      <c r="B238" s="5" t="s">
        <v>258</v>
      </c>
      <c r="C238" s="6" t="n">
        <f aca="false">SUM(D238:U238)</f>
        <v>5584.62</v>
      </c>
      <c r="D238" s="6"/>
      <c r="E238" s="6"/>
      <c r="F238" s="6"/>
      <c r="G238" s="6"/>
      <c r="H238" s="6"/>
      <c r="I238" s="6"/>
      <c r="J238" s="6"/>
      <c r="K238" s="6"/>
      <c r="L238" s="6" t="n">
        <f aca="false">'Building 8'!$D$32</f>
        <v>5584.62</v>
      </c>
      <c r="M238" s="6"/>
      <c r="N238" s="6"/>
      <c r="O238" s="6"/>
      <c r="P238" s="6"/>
      <c r="Q238" s="6"/>
      <c r="R238" s="6"/>
      <c r="S238" s="6"/>
      <c r="T238" s="6"/>
      <c r="U238" s="6"/>
    </row>
    <row r="239" customFormat="false" ht="15" hidden="false" customHeight="false" outlineLevel="0" collapsed="false">
      <c r="A239" s="5" t="s">
        <v>29</v>
      </c>
      <c r="B239" s="5" t="s">
        <v>259</v>
      </c>
      <c r="C239" s="6" t="n">
        <f aca="false">SUM(D239:U239)</f>
        <v>13321.94</v>
      </c>
      <c r="D239" s="6"/>
      <c r="E239" s="6"/>
      <c r="F239" s="6"/>
      <c r="G239" s="6"/>
      <c r="H239" s="6"/>
      <c r="I239" s="6"/>
      <c r="J239" s="6"/>
      <c r="K239" s="6"/>
      <c r="L239" s="6" t="n">
        <f aca="false">'Building 8'!$D$33</f>
        <v>13321.94</v>
      </c>
      <c r="M239" s="6"/>
      <c r="N239" s="6"/>
      <c r="O239" s="6"/>
      <c r="P239" s="6"/>
      <c r="Q239" s="6"/>
      <c r="R239" s="6"/>
      <c r="S239" s="6"/>
      <c r="T239" s="6"/>
      <c r="U239" s="6"/>
    </row>
    <row r="240" customFormat="false" ht="15" hidden="false" customHeight="false" outlineLevel="0" collapsed="false">
      <c r="A240" s="5" t="s">
        <v>29</v>
      </c>
      <c r="B240" s="5" t="s">
        <v>260</v>
      </c>
      <c r="C240" s="6" t="n">
        <f aca="false">SUM(D240:U240)</f>
        <v>37430.84</v>
      </c>
      <c r="D240" s="6"/>
      <c r="E240" s="6"/>
      <c r="F240" s="6"/>
      <c r="G240" s="6"/>
      <c r="H240" s="6"/>
      <c r="I240" s="6"/>
      <c r="J240" s="6"/>
      <c r="K240" s="6"/>
      <c r="L240" s="6" t="n">
        <f aca="false">'Building 8'!$D$34</f>
        <v>37430.84</v>
      </c>
      <c r="M240" s="6"/>
      <c r="N240" s="6"/>
      <c r="O240" s="6"/>
      <c r="P240" s="6"/>
      <c r="Q240" s="6"/>
      <c r="R240" s="6"/>
      <c r="S240" s="6"/>
      <c r="T240" s="6"/>
      <c r="U240" s="6"/>
    </row>
    <row r="241" customFormat="false" ht="15" hidden="false" customHeight="false" outlineLevel="0" collapsed="false">
      <c r="A241" s="5" t="s">
        <v>25</v>
      </c>
      <c r="B241" s="5" t="s">
        <v>261</v>
      </c>
      <c r="C241" s="6" t="n">
        <f aca="false">SUM(D241:U241)</f>
        <v>8201.31</v>
      </c>
      <c r="D241" s="6"/>
      <c r="E241" s="6"/>
      <c r="F241" s="6"/>
      <c r="G241" s="6"/>
      <c r="H241" s="6"/>
      <c r="I241" s="6"/>
      <c r="J241" s="6"/>
      <c r="K241" s="6"/>
      <c r="L241" s="6"/>
      <c r="M241" s="6" t="n">
        <f aca="false">'Building 9'!$D$21</f>
        <v>8201.31</v>
      </c>
      <c r="N241" s="6"/>
      <c r="O241" s="6"/>
      <c r="P241" s="6"/>
      <c r="Q241" s="6"/>
      <c r="R241" s="6"/>
      <c r="S241" s="6"/>
      <c r="T241" s="6"/>
      <c r="U241" s="6"/>
    </row>
    <row r="242" customFormat="false" ht="15" hidden="false" customHeight="false" outlineLevel="0" collapsed="false">
      <c r="A242" s="5" t="s">
        <v>25</v>
      </c>
      <c r="B242" s="5" t="s">
        <v>262</v>
      </c>
      <c r="C242" s="6" t="n">
        <f aca="false">SUM(D242:U242)</f>
        <v>20436.66</v>
      </c>
      <c r="D242" s="6"/>
      <c r="E242" s="6"/>
      <c r="F242" s="6"/>
      <c r="G242" s="6"/>
      <c r="H242" s="6"/>
      <c r="I242" s="6"/>
      <c r="J242" s="6"/>
      <c r="K242" s="6"/>
      <c r="L242" s="6"/>
      <c r="M242" s="6" t="n">
        <f aca="false">'Building 9'!$D$22</f>
        <v>20436.66</v>
      </c>
      <c r="N242" s="6"/>
      <c r="O242" s="6"/>
      <c r="P242" s="6"/>
      <c r="Q242" s="6"/>
      <c r="R242" s="6"/>
      <c r="S242" s="6"/>
      <c r="T242" s="6"/>
      <c r="U242" s="6"/>
    </row>
    <row r="243" customFormat="false" ht="15" hidden="false" customHeight="false" outlineLevel="0" collapsed="false">
      <c r="A243" s="5" t="s">
        <v>27</v>
      </c>
      <c r="B243" s="5" t="s">
        <v>263</v>
      </c>
      <c r="C243" s="6" t="n">
        <f aca="false">SUM(D243:U243)</f>
        <v>4398.62</v>
      </c>
      <c r="D243" s="6"/>
      <c r="E243" s="6"/>
      <c r="F243" s="6"/>
      <c r="G243" s="6"/>
      <c r="H243" s="6"/>
      <c r="I243" s="6"/>
      <c r="J243" s="6"/>
      <c r="K243" s="6"/>
      <c r="L243" s="6"/>
      <c r="M243" s="6" t="n">
        <f aca="false">'Building 9'!$D$23</f>
        <v>4398.62</v>
      </c>
      <c r="N243" s="6"/>
      <c r="O243" s="6"/>
      <c r="P243" s="6"/>
      <c r="Q243" s="6"/>
      <c r="R243" s="6"/>
      <c r="S243" s="6"/>
      <c r="T243" s="6"/>
      <c r="U243" s="6"/>
    </row>
    <row r="244" customFormat="false" ht="15" hidden="false" customHeight="false" outlineLevel="0" collapsed="false">
      <c r="A244" s="5" t="s">
        <v>27</v>
      </c>
      <c r="B244" s="5" t="s">
        <v>264</v>
      </c>
      <c r="C244" s="6" t="n">
        <f aca="false">SUM(D244:U244)</f>
        <v>10960.82</v>
      </c>
      <c r="D244" s="6"/>
      <c r="E244" s="6"/>
      <c r="F244" s="6"/>
      <c r="G244" s="6"/>
      <c r="H244" s="6"/>
      <c r="I244" s="6"/>
      <c r="J244" s="6"/>
      <c r="K244" s="6"/>
      <c r="L244" s="6"/>
      <c r="M244" s="6" t="n">
        <f aca="false">'Building 9'!$D$24</f>
        <v>10960.82</v>
      </c>
      <c r="N244" s="6"/>
      <c r="O244" s="6"/>
      <c r="P244" s="6"/>
      <c r="Q244" s="6"/>
      <c r="R244" s="6"/>
      <c r="S244" s="6"/>
      <c r="T244" s="6"/>
      <c r="U244" s="6"/>
    </row>
    <row r="245" customFormat="false" ht="15" hidden="false" customHeight="false" outlineLevel="0" collapsed="false">
      <c r="A245" s="5" t="s">
        <v>29</v>
      </c>
      <c r="B245" s="5" t="s">
        <v>265</v>
      </c>
      <c r="C245" s="6" t="n">
        <f aca="false">SUM(D245:U245)</f>
        <v>29481.65</v>
      </c>
      <c r="D245" s="6"/>
      <c r="E245" s="6"/>
      <c r="F245" s="6"/>
      <c r="G245" s="6"/>
      <c r="H245" s="6"/>
      <c r="I245" s="6"/>
      <c r="J245" s="6"/>
      <c r="K245" s="6"/>
      <c r="L245" s="6"/>
      <c r="M245" s="6" t="n">
        <f aca="false">'Building 9'!$D$25</f>
        <v>29481.65</v>
      </c>
      <c r="N245" s="6"/>
      <c r="O245" s="6"/>
      <c r="P245" s="6"/>
      <c r="Q245" s="6"/>
      <c r="R245" s="6"/>
      <c r="S245" s="6"/>
      <c r="T245" s="6"/>
      <c r="U245" s="6"/>
    </row>
    <row r="246" customFormat="false" ht="15" hidden="false" customHeight="false" outlineLevel="0" collapsed="false">
      <c r="A246" s="5" t="s">
        <v>29</v>
      </c>
      <c r="B246" s="5" t="s">
        <v>266</v>
      </c>
      <c r="C246" s="6" t="n">
        <f aca="false">SUM(D246:U246)</f>
        <v>73464.7</v>
      </c>
      <c r="D246" s="6"/>
      <c r="E246" s="6"/>
      <c r="F246" s="6"/>
      <c r="G246" s="6"/>
      <c r="H246" s="6"/>
      <c r="I246" s="6"/>
      <c r="J246" s="6"/>
      <c r="K246" s="6"/>
      <c r="L246" s="6"/>
      <c r="M246" s="6" t="n">
        <f aca="false">'Building 9'!$D$26</f>
        <v>73464.7</v>
      </c>
      <c r="N246" s="6"/>
      <c r="O246" s="6"/>
      <c r="P246" s="6"/>
      <c r="Q246" s="6"/>
      <c r="R246" s="6"/>
      <c r="S246" s="6"/>
      <c r="T246" s="6"/>
      <c r="U246" s="6"/>
    </row>
    <row r="247" customFormat="false" ht="15" hidden="false" customHeight="false" outlineLevel="0" collapsed="false">
      <c r="A247" s="5" t="s">
        <v>31</v>
      </c>
      <c r="B247" s="5" t="s">
        <v>267</v>
      </c>
      <c r="C247" s="6" t="n">
        <f aca="false">SUM(D247:U247)</f>
        <v>719.75</v>
      </c>
      <c r="D247" s="6"/>
      <c r="E247" s="6"/>
      <c r="F247" s="6"/>
      <c r="G247" s="6"/>
      <c r="H247" s="6"/>
      <c r="I247" s="6"/>
      <c r="J247" s="6"/>
      <c r="K247" s="6"/>
      <c r="L247" s="6"/>
      <c r="M247" s="6" t="n">
        <f aca="false">'Building 9'!$D$27+'Building 9'!$D$28</f>
        <v>719.75</v>
      </c>
      <c r="N247" s="6"/>
      <c r="O247" s="6"/>
      <c r="P247" s="6"/>
      <c r="Q247" s="6"/>
      <c r="R247" s="6"/>
      <c r="S247" s="6"/>
      <c r="T247" s="6"/>
      <c r="U247" s="6"/>
    </row>
    <row r="248" customFormat="false" ht="15" hidden="false" customHeight="false" outlineLevel="0" collapsed="false">
      <c r="A248" s="5" t="s">
        <v>25</v>
      </c>
      <c r="B248" s="5" t="s">
        <v>268</v>
      </c>
      <c r="C248" s="6" t="n">
        <f aca="false">SUM(D248:U248)</f>
        <v>1121.59</v>
      </c>
      <c r="D248" s="6"/>
      <c r="E248" s="6"/>
      <c r="F248" s="6"/>
      <c r="G248" s="6"/>
      <c r="H248" s="6"/>
      <c r="I248" s="6"/>
      <c r="J248" s="6"/>
      <c r="K248" s="6"/>
      <c r="L248" s="6"/>
      <c r="M248" s="6" t="n">
        <f aca="false">'Building 9'!$D$29</f>
        <v>1121.59</v>
      </c>
      <c r="N248" s="6"/>
      <c r="O248" s="6"/>
      <c r="P248" s="6"/>
      <c r="Q248" s="6"/>
      <c r="R248" s="6"/>
      <c r="S248" s="6"/>
      <c r="T248" s="6"/>
      <c r="U248" s="6"/>
    </row>
    <row r="249" customFormat="false" ht="15" hidden="false" customHeight="false" outlineLevel="0" collapsed="false">
      <c r="A249" s="5" t="s">
        <v>25</v>
      </c>
      <c r="B249" s="5" t="s">
        <v>269</v>
      </c>
      <c r="C249" s="6" t="n">
        <f aca="false">SUM(D249:U249)</f>
        <v>2794.87</v>
      </c>
      <c r="D249" s="6"/>
      <c r="E249" s="6"/>
      <c r="F249" s="6"/>
      <c r="G249" s="6"/>
      <c r="H249" s="6"/>
      <c r="I249" s="6"/>
      <c r="J249" s="6"/>
      <c r="K249" s="6"/>
      <c r="L249" s="6"/>
      <c r="M249" s="6" t="n">
        <f aca="false">'Building 9'!$D$30</f>
        <v>2794.87</v>
      </c>
      <c r="N249" s="6"/>
      <c r="O249" s="6"/>
      <c r="P249" s="6"/>
      <c r="Q249" s="6"/>
      <c r="R249" s="6"/>
      <c r="S249" s="6"/>
      <c r="T249" s="6"/>
      <c r="U249" s="6"/>
    </row>
    <row r="250" customFormat="false" ht="15" hidden="false" customHeight="false" outlineLevel="0" collapsed="false">
      <c r="A250" s="5" t="s">
        <v>27</v>
      </c>
      <c r="B250" s="5" t="s">
        <v>270</v>
      </c>
      <c r="C250" s="6" t="n">
        <f aca="false">SUM(D250:U250)</f>
        <v>965.55</v>
      </c>
      <c r="D250" s="6"/>
      <c r="E250" s="6"/>
      <c r="F250" s="6"/>
      <c r="G250" s="6"/>
      <c r="H250" s="6"/>
      <c r="I250" s="6"/>
      <c r="J250" s="6"/>
      <c r="K250" s="6"/>
      <c r="L250" s="6"/>
      <c r="M250" s="6" t="n">
        <f aca="false">'Building 9'!$D$31</f>
        <v>965.55</v>
      </c>
      <c r="N250" s="6"/>
      <c r="O250" s="6"/>
      <c r="P250" s="6"/>
      <c r="Q250" s="6"/>
      <c r="R250" s="6"/>
      <c r="S250" s="6"/>
      <c r="T250" s="6"/>
      <c r="U250" s="6"/>
    </row>
    <row r="251" customFormat="false" ht="15" hidden="false" customHeight="false" outlineLevel="0" collapsed="false">
      <c r="A251" s="5" t="s">
        <v>27</v>
      </c>
      <c r="B251" s="5" t="s">
        <v>271</v>
      </c>
      <c r="C251" s="6" t="n">
        <f aca="false">SUM(D251:U251)</f>
        <v>2406.02</v>
      </c>
      <c r="D251" s="6"/>
      <c r="E251" s="6"/>
      <c r="F251" s="6"/>
      <c r="G251" s="6"/>
      <c r="H251" s="6"/>
      <c r="I251" s="6"/>
      <c r="J251" s="6"/>
      <c r="K251" s="6"/>
      <c r="L251" s="6"/>
      <c r="M251" s="6" t="n">
        <f aca="false">'Building 9'!$D$32</f>
        <v>2406.02</v>
      </c>
      <c r="N251" s="6"/>
      <c r="O251" s="6"/>
      <c r="P251" s="6"/>
      <c r="Q251" s="6"/>
      <c r="R251" s="6"/>
      <c r="S251" s="6"/>
      <c r="T251" s="6"/>
      <c r="U251" s="6"/>
    </row>
    <row r="252" customFormat="false" ht="15" hidden="false" customHeight="false" outlineLevel="0" collapsed="false">
      <c r="A252" s="5" t="s">
        <v>29</v>
      </c>
      <c r="B252" s="5" t="s">
        <v>272</v>
      </c>
      <c r="C252" s="6" t="n">
        <f aca="false">SUM(D252:U252)</f>
        <v>6471.57</v>
      </c>
      <c r="D252" s="6"/>
      <c r="E252" s="6"/>
      <c r="F252" s="6"/>
      <c r="G252" s="6"/>
      <c r="H252" s="6"/>
      <c r="I252" s="6"/>
      <c r="J252" s="6"/>
      <c r="K252" s="6"/>
      <c r="L252" s="6"/>
      <c r="M252" s="6" t="n">
        <f aca="false">'Building 9'!$D$33</f>
        <v>6471.57</v>
      </c>
      <c r="N252" s="6"/>
      <c r="O252" s="6"/>
      <c r="P252" s="6"/>
      <c r="Q252" s="6"/>
      <c r="R252" s="6"/>
      <c r="S252" s="6"/>
      <c r="T252" s="6"/>
      <c r="U252" s="6"/>
    </row>
    <row r="253" customFormat="false" ht="15" hidden="false" customHeight="false" outlineLevel="0" collapsed="false">
      <c r="A253" s="5" t="s">
        <v>29</v>
      </c>
      <c r="B253" s="5" t="s">
        <v>273</v>
      </c>
      <c r="C253" s="6" t="n">
        <f aca="false">SUM(D253:U253)</f>
        <v>16126.42</v>
      </c>
      <c r="D253" s="6"/>
      <c r="E253" s="6"/>
      <c r="F253" s="6"/>
      <c r="G253" s="6"/>
      <c r="H253" s="6"/>
      <c r="I253" s="6"/>
      <c r="J253" s="6"/>
      <c r="K253" s="6"/>
      <c r="L253" s="6"/>
      <c r="M253" s="6" t="n">
        <f aca="false">'Building 9'!$D$34</f>
        <v>16126.42</v>
      </c>
      <c r="N253" s="6"/>
      <c r="O253" s="6"/>
      <c r="P253" s="6"/>
      <c r="Q253" s="6"/>
      <c r="R253" s="6"/>
      <c r="S253" s="6"/>
      <c r="T253" s="6"/>
      <c r="U253" s="6"/>
    </row>
    <row r="254" customFormat="false" ht="15" hidden="false" customHeight="false" outlineLevel="0" collapsed="false">
      <c r="A254" s="5" t="s">
        <v>25</v>
      </c>
      <c r="B254" s="5" t="s">
        <v>274</v>
      </c>
      <c r="C254" s="6" t="n">
        <f aca="false">SUM(D254:U254)</f>
        <v>18042.22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 t="n">
        <f aca="false">'Building 10'!$D$21</f>
        <v>18042.22</v>
      </c>
      <c r="O254" s="6"/>
      <c r="P254" s="6"/>
      <c r="Q254" s="6"/>
      <c r="R254" s="6"/>
      <c r="S254" s="6"/>
      <c r="T254" s="6"/>
      <c r="U254" s="6"/>
    </row>
    <row r="255" customFormat="false" ht="15" hidden="false" customHeight="false" outlineLevel="0" collapsed="false">
      <c r="A255" s="5" t="s">
        <v>25</v>
      </c>
      <c r="B255" s="5" t="s">
        <v>275</v>
      </c>
      <c r="C255" s="6" t="n">
        <f aca="false">SUM(D255:U255)</f>
        <v>54240.35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 t="n">
        <f aca="false">'Building 10'!$D$22</f>
        <v>54240.35</v>
      </c>
      <c r="O255" s="6"/>
      <c r="P255" s="6"/>
      <c r="Q255" s="6"/>
      <c r="R255" s="6"/>
      <c r="S255" s="6"/>
      <c r="T255" s="6"/>
      <c r="U255" s="6"/>
    </row>
    <row r="256" customFormat="false" ht="15" hidden="false" customHeight="false" outlineLevel="0" collapsed="false">
      <c r="A256" s="5" t="s">
        <v>27</v>
      </c>
      <c r="B256" s="5" t="s">
        <v>276</v>
      </c>
      <c r="C256" s="6" t="n">
        <f aca="false">SUM(D256:U256)</f>
        <v>9676.61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 t="n">
        <f aca="false">'Building 10'!$D$23</f>
        <v>9676.61</v>
      </c>
      <c r="O256" s="6"/>
      <c r="P256" s="6"/>
      <c r="Q256" s="6"/>
      <c r="R256" s="6"/>
      <c r="S256" s="6"/>
      <c r="T256" s="6"/>
      <c r="U256" s="6"/>
    </row>
    <row r="257" customFormat="false" ht="15" hidden="false" customHeight="false" outlineLevel="0" collapsed="false">
      <c r="A257" s="5" t="s">
        <v>27</v>
      </c>
      <c r="B257" s="5" t="s">
        <v>277</v>
      </c>
      <c r="C257" s="6" t="n">
        <f aca="false">SUM(D257:U257)</f>
        <v>29090.8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 t="n">
        <f aca="false">'Building 10'!$D$24</f>
        <v>29090.8</v>
      </c>
      <c r="O257" s="6"/>
      <c r="P257" s="6"/>
      <c r="Q257" s="6"/>
      <c r="R257" s="6"/>
      <c r="S257" s="6"/>
      <c r="T257" s="6"/>
      <c r="U257" s="6"/>
    </row>
    <row r="258" customFormat="false" ht="15" hidden="false" customHeight="false" outlineLevel="0" collapsed="false">
      <c r="A258" s="5" t="s">
        <v>29</v>
      </c>
      <c r="B258" s="5" t="s">
        <v>278</v>
      </c>
      <c r="C258" s="6" t="n">
        <f aca="false">SUM(D258:U258)</f>
        <v>64857.26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 t="n">
        <f aca="false">'Building 10'!$D$25</f>
        <v>64857.26</v>
      </c>
      <c r="O258" s="6"/>
      <c r="P258" s="6"/>
      <c r="Q258" s="6"/>
      <c r="R258" s="6"/>
      <c r="S258" s="6"/>
      <c r="T258" s="6"/>
      <c r="U258" s="6"/>
    </row>
    <row r="259" customFormat="false" ht="15" hidden="false" customHeight="false" outlineLevel="0" collapsed="false">
      <c r="A259" s="5" t="s">
        <v>29</v>
      </c>
      <c r="B259" s="5" t="s">
        <v>279</v>
      </c>
      <c r="C259" s="6" t="n">
        <f aca="false">SUM(D259:U259)</f>
        <v>194980.48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 t="n">
        <f aca="false">'Building 10'!$D$26</f>
        <v>194980.48</v>
      </c>
      <c r="O259" s="6"/>
      <c r="P259" s="6"/>
      <c r="Q259" s="6"/>
      <c r="R259" s="6"/>
      <c r="S259" s="6"/>
      <c r="T259" s="6"/>
      <c r="U259" s="6"/>
    </row>
    <row r="260" customFormat="false" ht="15" hidden="false" customHeight="false" outlineLevel="0" collapsed="false">
      <c r="A260" s="5" t="s">
        <v>31</v>
      </c>
      <c r="B260" s="5" t="s">
        <v>280</v>
      </c>
      <c r="C260" s="6" t="n">
        <f aca="false">SUM(D260:U260)</f>
        <v>1816.65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 t="n">
        <f aca="false">'Building 10'!$D$27+'Building 10'!$D$28</f>
        <v>1816.65</v>
      </c>
      <c r="O260" s="6"/>
      <c r="P260" s="6"/>
      <c r="Q260" s="6"/>
      <c r="R260" s="6"/>
      <c r="S260" s="6"/>
      <c r="T260" s="6"/>
      <c r="U260" s="6"/>
    </row>
    <row r="261" customFormat="false" ht="15" hidden="false" customHeight="false" outlineLevel="0" collapsed="false">
      <c r="A261" s="5" t="s">
        <v>25</v>
      </c>
      <c r="B261" s="5" t="s">
        <v>281</v>
      </c>
      <c r="C261" s="6" t="n">
        <f aca="false">SUM(D261:U261)</f>
        <v>2467.41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 t="n">
        <f aca="false">'Building 10'!$D$29</f>
        <v>2467.41</v>
      </c>
      <c r="O261" s="6"/>
      <c r="P261" s="6"/>
      <c r="Q261" s="6"/>
      <c r="R261" s="6"/>
      <c r="S261" s="6"/>
      <c r="T261" s="6"/>
      <c r="U261" s="6"/>
    </row>
    <row r="262" customFormat="false" ht="15" hidden="false" customHeight="false" outlineLevel="0" collapsed="false">
      <c r="A262" s="5" t="s">
        <v>25</v>
      </c>
      <c r="B262" s="5" t="s">
        <v>282</v>
      </c>
      <c r="C262" s="6" t="n">
        <f aca="false">SUM(D262:U262)</f>
        <v>7417.77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 t="n">
        <f aca="false">'Building 10'!$D$30</f>
        <v>7417.77</v>
      </c>
      <c r="O262" s="6"/>
      <c r="P262" s="6"/>
      <c r="Q262" s="6"/>
      <c r="R262" s="6"/>
      <c r="S262" s="6"/>
      <c r="T262" s="6"/>
      <c r="U262" s="6"/>
    </row>
    <row r="263" customFormat="false" ht="15" hidden="false" customHeight="false" outlineLevel="0" collapsed="false">
      <c r="A263" s="5" t="s">
        <v>27</v>
      </c>
      <c r="B263" s="5" t="s">
        <v>283</v>
      </c>
      <c r="C263" s="6" t="n">
        <f aca="false">SUM(D263:U263)</f>
        <v>2124.13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 t="n">
        <f aca="false">'Building 10'!$D$31</f>
        <v>2124.13</v>
      </c>
      <c r="O263" s="6"/>
      <c r="P263" s="6"/>
      <c r="Q263" s="6"/>
      <c r="R263" s="6"/>
      <c r="S263" s="6"/>
      <c r="T263" s="6"/>
      <c r="U263" s="6"/>
    </row>
    <row r="264" customFormat="false" ht="15" hidden="false" customHeight="false" outlineLevel="0" collapsed="false">
      <c r="A264" s="5" t="s">
        <v>27</v>
      </c>
      <c r="B264" s="5" t="s">
        <v>284</v>
      </c>
      <c r="C264" s="6" t="n">
        <f aca="false">SUM(D264:U264)</f>
        <v>6385.78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 t="n">
        <f aca="false">'Building 10'!$D$32</f>
        <v>6385.78</v>
      </c>
      <c r="O264" s="6"/>
      <c r="P264" s="6"/>
      <c r="Q264" s="6"/>
      <c r="R264" s="6"/>
      <c r="S264" s="6"/>
      <c r="T264" s="6"/>
      <c r="U264" s="6"/>
    </row>
    <row r="265" customFormat="false" ht="15" hidden="false" customHeight="false" outlineLevel="0" collapsed="false">
      <c r="A265" s="5" t="s">
        <v>29</v>
      </c>
      <c r="B265" s="5" t="s">
        <v>285</v>
      </c>
      <c r="C265" s="6" t="n">
        <f aca="false">SUM(D265:U265)</f>
        <v>14236.95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 t="n">
        <f aca="false">'Building 10'!$D$33</f>
        <v>14236.95</v>
      </c>
      <c r="O265" s="6"/>
      <c r="P265" s="6"/>
      <c r="Q265" s="6"/>
      <c r="R265" s="6"/>
      <c r="S265" s="6"/>
      <c r="T265" s="6"/>
      <c r="U265" s="6"/>
    </row>
    <row r="266" customFormat="false" ht="15" hidden="false" customHeight="false" outlineLevel="0" collapsed="false">
      <c r="A266" s="5" t="s">
        <v>29</v>
      </c>
      <c r="B266" s="5" t="s">
        <v>286</v>
      </c>
      <c r="C266" s="6" t="n">
        <f aca="false">SUM(D266:U266)</f>
        <v>42800.62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 t="n">
        <f aca="false">'Building 10'!$D$34</f>
        <v>42800.62</v>
      </c>
      <c r="O266" s="6"/>
      <c r="P266" s="6"/>
      <c r="Q266" s="6"/>
      <c r="R266" s="6"/>
      <c r="S266" s="6"/>
      <c r="T266" s="6"/>
      <c r="U266" s="6"/>
    </row>
    <row r="267" customFormat="false" ht="15" hidden="false" customHeight="false" outlineLevel="0" collapsed="false">
      <c r="A267" s="5" t="s">
        <v>25</v>
      </c>
      <c r="B267" s="5" t="s">
        <v>287</v>
      </c>
      <c r="C267" s="6" t="n">
        <f aca="false">SUM(D267:U267)</f>
        <v>16882.61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 t="n">
        <f aca="false">'Building 11'!$D$21</f>
        <v>16882.61</v>
      </c>
      <c r="P267" s="6"/>
      <c r="Q267" s="6"/>
      <c r="R267" s="6"/>
      <c r="S267" s="6"/>
      <c r="T267" s="6"/>
      <c r="U267" s="6"/>
    </row>
    <row r="268" customFormat="false" ht="15" hidden="false" customHeight="false" outlineLevel="0" collapsed="false">
      <c r="A268" s="5" t="s">
        <v>25</v>
      </c>
      <c r="B268" s="5" t="s">
        <v>288</v>
      </c>
      <c r="C268" s="6" t="n">
        <f aca="false">SUM(D268:U268)</f>
        <v>47435.37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 t="n">
        <f aca="false">'Building 11'!$D$22</f>
        <v>47435.37</v>
      </c>
      <c r="P268" s="6"/>
      <c r="Q268" s="6"/>
      <c r="R268" s="6"/>
      <c r="S268" s="6"/>
      <c r="T268" s="6"/>
      <c r="U268" s="6"/>
    </row>
    <row r="269" customFormat="false" ht="15" hidden="false" customHeight="false" outlineLevel="0" collapsed="false">
      <c r="A269" s="5" t="s">
        <v>27</v>
      </c>
      <c r="B269" s="5" t="s">
        <v>289</v>
      </c>
      <c r="C269" s="6" t="n">
        <f aca="false">SUM(D269:U269)</f>
        <v>9054.67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 t="n">
        <f aca="false">'Building 11'!$D$23</f>
        <v>9054.67</v>
      </c>
      <c r="P269" s="6"/>
      <c r="Q269" s="6"/>
      <c r="R269" s="6"/>
      <c r="S269" s="6"/>
      <c r="T269" s="6"/>
      <c r="U269" s="6"/>
    </row>
    <row r="270" customFormat="false" ht="15" hidden="false" customHeight="false" outlineLevel="0" collapsed="false">
      <c r="A270" s="5" t="s">
        <v>27</v>
      </c>
      <c r="B270" s="5" t="s">
        <v>290</v>
      </c>
      <c r="C270" s="6" t="n">
        <f aca="false">SUM(D270:U270)</f>
        <v>25441.07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 t="n">
        <f aca="false">'Building 11'!$D$24</f>
        <v>25441.07</v>
      </c>
      <c r="P270" s="6"/>
      <c r="Q270" s="6"/>
      <c r="R270" s="6"/>
      <c r="S270" s="6"/>
      <c r="T270" s="6"/>
      <c r="U270" s="6"/>
    </row>
    <row r="271" customFormat="false" ht="15" hidden="false" customHeight="false" outlineLevel="0" collapsed="false">
      <c r="A271" s="5" t="s">
        <v>29</v>
      </c>
      <c r="B271" s="5" t="s">
        <v>291</v>
      </c>
      <c r="C271" s="6" t="n">
        <f aca="false">SUM(D271:U271)</f>
        <v>60688.77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 t="n">
        <f aca="false">'Building 11'!$D$25</f>
        <v>60688.77</v>
      </c>
      <c r="P271" s="6"/>
      <c r="Q271" s="6"/>
      <c r="R271" s="6"/>
      <c r="S271" s="6"/>
      <c r="T271" s="6"/>
      <c r="U271" s="6"/>
    </row>
    <row r="272" customFormat="false" ht="15" hidden="false" customHeight="false" outlineLevel="0" collapsed="false">
      <c r="A272" s="5" t="s">
        <v>29</v>
      </c>
      <c r="B272" s="5" t="s">
        <v>292</v>
      </c>
      <c r="C272" s="6" t="n">
        <f aca="false">SUM(D272:U272)</f>
        <v>170518.26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 t="n">
        <f aca="false">'Building 11'!$D$26</f>
        <v>170518.26</v>
      </c>
      <c r="P272" s="6"/>
      <c r="Q272" s="6"/>
      <c r="R272" s="6"/>
      <c r="S272" s="6"/>
      <c r="T272" s="6"/>
      <c r="U272" s="6"/>
    </row>
    <row r="273" customFormat="false" ht="15" hidden="false" customHeight="false" outlineLevel="0" collapsed="false">
      <c r="A273" s="5" t="s">
        <v>31</v>
      </c>
      <c r="B273" s="5" t="s">
        <v>293</v>
      </c>
      <c r="C273" s="6" t="n">
        <f aca="false">SUM(D273:U273)</f>
        <v>1616.48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 t="n">
        <f aca="false">'Building 11'!$D$27+'Building 11'!$D$28</f>
        <v>1616.48</v>
      </c>
      <c r="P273" s="6"/>
      <c r="Q273" s="6"/>
      <c r="R273" s="6"/>
      <c r="S273" s="6"/>
      <c r="T273" s="6"/>
      <c r="U273" s="6"/>
    </row>
    <row r="274" customFormat="false" ht="15" hidden="false" customHeight="false" outlineLevel="0" collapsed="false">
      <c r="A274" s="5" t="s">
        <v>25</v>
      </c>
      <c r="B274" s="5" t="s">
        <v>294</v>
      </c>
      <c r="C274" s="6" t="n">
        <f aca="false">SUM(D274:U274)</f>
        <v>2308.83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 t="n">
        <f aca="false">'Building 11'!$D$29</f>
        <v>2308.83</v>
      </c>
      <c r="P274" s="6"/>
      <c r="Q274" s="6"/>
      <c r="R274" s="6"/>
      <c r="S274" s="6"/>
      <c r="T274" s="6"/>
      <c r="U274" s="6"/>
    </row>
    <row r="275" customFormat="false" ht="15" hidden="false" customHeight="false" outlineLevel="0" collapsed="false">
      <c r="A275" s="5" t="s">
        <v>25</v>
      </c>
      <c r="B275" s="5" t="s">
        <v>295</v>
      </c>
      <c r="C275" s="6" t="n">
        <f aca="false">SUM(D275:U275)</f>
        <v>6487.14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 t="n">
        <f aca="false">'Building 11'!$D$30</f>
        <v>6487.14</v>
      </c>
      <c r="P275" s="6"/>
      <c r="Q275" s="6"/>
      <c r="R275" s="6"/>
      <c r="S275" s="6"/>
      <c r="T275" s="6"/>
      <c r="U275" s="6"/>
    </row>
    <row r="276" customFormat="false" ht="15" hidden="false" customHeight="false" outlineLevel="0" collapsed="false">
      <c r="A276" s="5" t="s">
        <v>27</v>
      </c>
      <c r="B276" s="5" t="s">
        <v>296</v>
      </c>
      <c r="C276" s="6" t="n">
        <f aca="false">SUM(D276:U276)</f>
        <v>1987.61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 t="n">
        <f aca="false">'Building 11'!$D$31</f>
        <v>1987.61</v>
      </c>
      <c r="P276" s="6"/>
      <c r="Q276" s="6"/>
      <c r="R276" s="6"/>
      <c r="S276" s="6"/>
      <c r="T276" s="6"/>
      <c r="U276" s="6"/>
    </row>
    <row r="277" customFormat="false" ht="15" hidden="false" customHeight="false" outlineLevel="0" collapsed="false">
      <c r="A277" s="5" t="s">
        <v>27</v>
      </c>
      <c r="B277" s="5" t="s">
        <v>297</v>
      </c>
      <c r="C277" s="6" t="n">
        <f aca="false">SUM(D277:U277)</f>
        <v>5584.62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 t="n">
        <f aca="false">'Building 11'!$D$32</f>
        <v>5584.62</v>
      </c>
      <c r="P277" s="6"/>
      <c r="Q277" s="6"/>
      <c r="R277" s="6"/>
      <c r="S277" s="6"/>
      <c r="T277" s="6"/>
      <c r="U277" s="6"/>
    </row>
    <row r="278" customFormat="false" ht="15" hidden="false" customHeight="false" outlineLevel="0" collapsed="false">
      <c r="A278" s="5" t="s">
        <v>29</v>
      </c>
      <c r="B278" s="5" t="s">
        <v>298</v>
      </c>
      <c r="C278" s="6" t="n">
        <f aca="false">SUM(D278:U278)</f>
        <v>13321.94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 t="n">
        <f aca="false">'Building 11'!$D$33</f>
        <v>13321.94</v>
      </c>
      <c r="P278" s="6"/>
      <c r="Q278" s="6"/>
      <c r="R278" s="6"/>
      <c r="S278" s="6"/>
      <c r="T278" s="6"/>
      <c r="U278" s="6"/>
    </row>
    <row r="279" customFormat="false" ht="15" hidden="false" customHeight="false" outlineLevel="0" collapsed="false">
      <c r="A279" s="5" t="s">
        <v>29</v>
      </c>
      <c r="B279" s="5" t="s">
        <v>299</v>
      </c>
      <c r="C279" s="6" t="n">
        <f aca="false">SUM(D279:U279)</f>
        <v>37430.84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 t="n">
        <f aca="false">'Building 11'!$D$34</f>
        <v>37430.84</v>
      </c>
      <c r="P279" s="6"/>
      <c r="Q279" s="6"/>
      <c r="R279" s="6"/>
      <c r="S279" s="6"/>
      <c r="T279" s="6"/>
      <c r="U279" s="6"/>
    </row>
    <row r="280" customFormat="false" ht="15" hidden="false" customHeight="false" outlineLevel="0" collapsed="false">
      <c r="A280" s="5" t="s">
        <v>25</v>
      </c>
      <c r="B280" s="5" t="s">
        <v>300</v>
      </c>
      <c r="C280" s="6" t="n">
        <f aca="false">SUM(D280:U280)</f>
        <v>18042.22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 t="n">
        <f aca="false">'Building 12'!$D$21</f>
        <v>18042.22</v>
      </c>
      <c r="Q280" s="6"/>
      <c r="R280" s="6"/>
      <c r="S280" s="6"/>
      <c r="T280" s="6"/>
      <c r="U280" s="6"/>
    </row>
    <row r="281" customFormat="false" ht="15" hidden="false" customHeight="false" outlineLevel="0" collapsed="false">
      <c r="A281" s="5" t="s">
        <v>25</v>
      </c>
      <c r="B281" s="5" t="s">
        <v>301</v>
      </c>
      <c r="C281" s="6" t="n">
        <f aca="false">SUM(D281:U281)</f>
        <v>54283.01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 t="n">
        <f aca="false">'Building 12'!$D$22</f>
        <v>54283.01</v>
      </c>
      <c r="Q281" s="6"/>
      <c r="R281" s="6"/>
      <c r="S281" s="6"/>
      <c r="T281" s="6"/>
      <c r="U281" s="6"/>
    </row>
    <row r="282" customFormat="false" ht="15" hidden="false" customHeight="false" outlineLevel="0" collapsed="false">
      <c r="A282" s="5" t="s">
        <v>27</v>
      </c>
      <c r="B282" s="5" t="s">
        <v>302</v>
      </c>
      <c r="C282" s="6" t="n">
        <f aca="false">SUM(D282:U282)</f>
        <v>9676.61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 t="n">
        <f aca="false">'Building 12'!$D$23</f>
        <v>9676.61</v>
      </c>
      <c r="Q282" s="6"/>
      <c r="R282" s="6"/>
      <c r="S282" s="6"/>
      <c r="T282" s="6"/>
      <c r="U282" s="6"/>
    </row>
    <row r="283" customFormat="false" ht="15" hidden="false" customHeight="false" outlineLevel="0" collapsed="false">
      <c r="A283" s="5" t="s">
        <v>27</v>
      </c>
      <c r="B283" s="5" t="s">
        <v>303</v>
      </c>
      <c r="C283" s="6" t="n">
        <f aca="false">SUM(D283:U283)</f>
        <v>29113.68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 t="n">
        <f aca="false">'Building 12'!$D$24</f>
        <v>29113.68</v>
      </c>
      <c r="Q283" s="6"/>
      <c r="R283" s="6"/>
      <c r="S283" s="6"/>
      <c r="T283" s="6"/>
      <c r="U283" s="6"/>
    </row>
    <row r="284" customFormat="false" ht="15" hidden="false" customHeight="false" outlineLevel="0" collapsed="false">
      <c r="A284" s="5" t="s">
        <v>29</v>
      </c>
      <c r="B284" s="5" t="s">
        <v>304</v>
      </c>
      <c r="C284" s="6" t="n">
        <f aca="false">SUM(D284:U284)</f>
        <v>64857.26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 t="n">
        <f aca="false">'Building 12'!$D$25</f>
        <v>64857.26</v>
      </c>
      <c r="Q284" s="6"/>
      <c r="R284" s="6"/>
      <c r="S284" s="6"/>
      <c r="T284" s="6"/>
      <c r="U284" s="6"/>
    </row>
    <row r="285" customFormat="false" ht="15" hidden="false" customHeight="false" outlineLevel="0" collapsed="false">
      <c r="A285" s="5" t="s">
        <v>29</v>
      </c>
      <c r="B285" s="5" t="s">
        <v>305</v>
      </c>
      <c r="C285" s="6" t="n">
        <f aca="false">SUM(D285:U285)</f>
        <v>195133.85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 t="n">
        <f aca="false">'Building 12'!$D$26</f>
        <v>195133.85</v>
      </c>
      <c r="Q285" s="6"/>
      <c r="R285" s="6"/>
      <c r="S285" s="6"/>
      <c r="T285" s="6"/>
      <c r="U285" s="6"/>
    </row>
    <row r="286" customFormat="false" ht="15" hidden="false" customHeight="false" outlineLevel="0" collapsed="false">
      <c r="A286" s="5" t="s">
        <v>31</v>
      </c>
      <c r="B286" s="5" t="s">
        <v>306</v>
      </c>
      <c r="C286" s="6" t="n">
        <f aca="false">SUM(D286:U286)</f>
        <v>1817.72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 t="n">
        <f aca="false">'Building 12'!$D$27+'Building 12'!$D$28</f>
        <v>1817.72</v>
      </c>
      <c r="Q286" s="6"/>
      <c r="R286" s="6"/>
      <c r="S286" s="6"/>
      <c r="T286" s="6"/>
      <c r="U286" s="6"/>
    </row>
    <row r="287" customFormat="false" ht="15" hidden="false" customHeight="false" outlineLevel="0" collapsed="false">
      <c r="A287" s="5" t="s">
        <v>25</v>
      </c>
      <c r="B287" s="5" t="s">
        <v>307</v>
      </c>
      <c r="C287" s="6" t="n">
        <f aca="false">SUM(D287:U287)</f>
        <v>2467.41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 t="n">
        <f aca="false">'Building 12'!$D$29</f>
        <v>2467.41</v>
      </c>
      <c r="Q287" s="6"/>
      <c r="R287" s="6"/>
      <c r="S287" s="6"/>
      <c r="T287" s="6"/>
      <c r="U287" s="6"/>
    </row>
    <row r="288" customFormat="false" ht="15" hidden="false" customHeight="false" outlineLevel="0" collapsed="false">
      <c r="A288" s="5" t="s">
        <v>25</v>
      </c>
      <c r="B288" s="5" t="s">
        <v>308</v>
      </c>
      <c r="C288" s="6" t="n">
        <f aca="false">SUM(D288:U288)</f>
        <v>7423.6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 t="n">
        <f aca="false">'Building 12'!$D$30</f>
        <v>7423.6</v>
      </c>
      <c r="Q288" s="6"/>
      <c r="R288" s="6"/>
      <c r="S288" s="6"/>
      <c r="T288" s="6"/>
      <c r="U288" s="6"/>
    </row>
    <row r="289" customFormat="false" ht="15" hidden="false" customHeight="false" outlineLevel="0" collapsed="false">
      <c r="A289" s="5" t="s">
        <v>27</v>
      </c>
      <c r="B289" s="5" t="s">
        <v>309</v>
      </c>
      <c r="C289" s="6" t="n">
        <f aca="false">SUM(D289:U289)</f>
        <v>2124.13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 t="n">
        <f aca="false">'Building 12'!$D$31</f>
        <v>2124.13</v>
      </c>
      <c r="Q289" s="6"/>
      <c r="R289" s="6"/>
      <c r="S289" s="6"/>
      <c r="T289" s="6"/>
      <c r="U289" s="6"/>
    </row>
    <row r="290" customFormat="false" ht="15" hidden="false" customHeight="false" outlineLevel="0" collapsed="false">
      <c r="A290" s="5" t="s">
        <v>27</v>
      </c>
      <c r="B290" s="5" t="s">
        <v>310</v>
      </c>
      <c r="C290" s="6" t="n">
        <f aca="false">SUM(D290:U290)</f>
        <v>6390.8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 t="n">
        <f aca="false">'Building 12'!$D$32</f>
        <v>6390.8</v>
      </c>
      <c r="Q290" s="6"/>
      <c r="R290" s="6"/>
      <c r="S290" s="6"/>
      <c r="T290" s="6"/>
      <c r="U290" s="6"/>
    </row>
    <row r="291" customFormat="false" ht="15" hidden="false" customHeight="false" outlineLevel="0" collapsed="false">
      <c r="A291" s="5" t="s">
        <v>29</v>
      </c>
      <c r="B291" s="5" t="s">
        <v>311</v>
      </c>
      <c r="C291" s="6" t="n">
        <f aca="false">SUM(D291:U291)</f>
        <v>14236.95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 t="n">
        <f aca="false">'Building 12'!$D$33</f>
        <v>14236.95</v>
      </c>
      <c r="Q291" s="6"/>
      <c r="R291" s="6"/>
      <c r="S291" s="6"/>
      <c r="T291" s="6"/>
      <c r="U291" s="6"/>
    </row>
    <row r="292" customFormat="false" ht="15" hidden="false" customHeight="false" outlineLevel="0" collapsed="false">
      <c r="A292" s="5" t="s">
        <v>29</v>
      </c>
      <c r="B292" s="5" t="s">
        <v>312</v>
      </c>
      <c r="C292" s="6" t="n">
        <f aca="false">SUM(D292:U292)</f>
        <v>42834.29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 t="n">
        <f aca="false">'Building 12'!$D$34</f>
        <v>42834.29</v>
      </c>
      <c r="Q292" s="6"/>
      <c r="R292" s="6"/>
      <c r="S292" s="6"/>
      <c r="T292" s="6"/>
      <c r="U292" s="6"/>
    </row>
    <row r="293" customFormat="false" ht="15" hidden="false" customHeight="false" outlineLevel="0" collapsed="false">
      <c r="A293" s="5" t="s">
        <v>25</v>
      </c>
      <c r="B293" s="5" t="s">
        <v>313</v>
      </c>
      <c r="C293" s="6" t="n">
        <f aca="false">SUM(D293:U293)</f>
        <v>16882.61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 t="n">
        <f aca="false">'Building 13'!$D$21</f>
        <v>16882.61</v>
      </c>
      <c r="R293" s="6"/>
      <c r="S293" s="6"/>
      <c r="T293" s="6"/>
      <c r="U293" s="6"/>
    </row>
    <row r="294" customFormat="false" ht="15" hidden="false" customHeight="false" outlineLevel="0" collapsed="false">
      <c r="A294" s="5" t="s">
        <v>25</v>
      </c>
      <c r="B294" s="5" t="s">
        <v>314</v>
      </c>
      <c r="C294" s="6" t="n">
        <f aca="false">SUM(D294:U294)</f>
        <v>47435.37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 t="n">
        <f aca="false">'Building 13'!$D$22</f>
        <v>47435.37</v>
      </c>
      <c r="R294" s="6"/>
      <c r="S294" s="6"/>
      <c r="T294" s="6"/>
      <c r="U294" s="6"/>
    </row>
    <row r="295" customFormat="false" ht="15" hidden="false" customHeight="false" outlineLevel="0" collapsed="false">
      <c r="A295" s="5" t="s">
        <v>27</v>
      </c>
      <c r="B295" s="5" t="s">
        <v>315</v>
      </c>
      <c r="C295" s="6" t="n">
        <f aca="false">SUM(D295:U295)</f>
        <v>9054.67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 t="n">
        <f aca="false">'Building 13'!$D$23</f>
        <v>9054.67</v>
      </c>
      <c r="R295" s="6"/>
      <c r="S295" s="6"/>
      <c r="T295" s="6"/>
      <c r="U295" s="6"/>
    </row>
    <row r="296" customFormat="false" ht="15" hidden="false" customHeight="false" outlineLevel="0" collapsed="false">
      <c r="A296" s="5" t="s">
        <v>27</v>
      </c>
      <c r="B296" s="5" t="s">
        <v>316</v>
      </c>
      <c r="C296" s="6" t="n">
        <f aca="false">SUM(D296:U296)</f>
        <v>25441.07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 t="n">
        <f aca="false">'Building 13'!$D$24</f>
        <v>25441.07</v>
      </c>
      <c r="R296" s="6"/>
      <c r="S296" s="6"/>
      <c r="T296" s="6"/>
      <c r="U296" s="6"/>
    </row>
    <row r="297" customFormat="false" ht="15" hidden="false" customHeight="false" outlineLevel="0" collapsed="false">
      <c r="A297" s="5" t="s">
        <v>29</v>
      </c>
      <c r="B297" s="5" t="s">
        <v>317</v>
      </c>
      <c r="C297" s="6" t="n">
        <f aca="false">SUM(D297:U297)</f>
        <v>60688.77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 t="n">
        <f aca="false">'Building 13'!$D$25</f>
        <v>60688.77</v>
      </c>
      <c r="R297" s="6"/>
      <c r="S297" s="6"/>
      <c r="T297" s="6"/>
      <c r="U297" s="6"/>
    </row>
    <row r="298" customFormat="false" ht="15" hidden="false" customHeight="false" outlineLevel="0" collapsed="false">
      <c r="A298" s="5" t="s">
        <v>29</v>
      </c>
      <c r="B298" s="5" t="s">
        <v>318</v>
      </c>
      <c r="C298" s="6" t="n">
        <f aca="false">SUM(D298:U298)</f>
        <v>170518.26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 t="n">
        <f aca="false">'Building 13'!$D$26</f>
        <v>170518.26</v>
      </c>
      <c r="R298" s="6"/>
      <c r="S298" s="6"/>
      <c r="T298" s="6"/>
      <c r="U298" s="6"/>
    </row>
    <row r="299" customFormat="false" ht="15" hidden="false" customHeight="false" outlineLevel="0" collapsed="false">
      <c r="A299" s="5" t="s">
        <v>31</v>
      </c>
      <c r="B299" s="5" t="s">
        <v>319</v>
      </c>
      <c r="C299" s="6" t="n">
        <f aca="false">SUM(D299:U299)</f>
        <v>1616.48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 t="n">
        <f aca="false">'Building 13'!$D$27+'Building 13'!$D$28</f>
        <v>1616.48</v>
      </c>
      <c r="R299" s="6"/>
      <c r="S299" s="6"/>
      <c r="T299" s="6"/>
      <c r="U299" s="6"/>
    </row>
    <row r="300" customFormat="false" ht="15" hidden="false" customHeight="false" outlineLevel="0" collapsed="false">
      <c r="A300" s="5" t="s">
        <v>25</v>
      </c>
      <c r="B300" s="5" t="s">
        <v>320</v>
      </c>
      <c r="C300" s="6" t="n">
        <f aca="false">SUM(D300:U300)</f>
        <v>2308.83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 t="n">
        <f aca="false">'Building 13'!$D$29</f>
        <v>2308.83</v>
      </c>
      <c r="R300" s="6"/>
      <c r="S300" s="6"/>
      <c r="T300" s="6"/>
      <c r="U300" s="6"/>
    </row>
    <row r="301" customFormat="false" ht="15" hidden="false" customHeight="false" outlineLevel="0" collapsed="false">
      <c r="A301" s="5" t="s">
        <v>25</v>
      </c>
      <c r="B301" s="5" t="s">
        <v>321</v>
      </c>
      <c r="C301" s="6" t="n">
        <f aca="false">SUM(D301:U301)</f>
        <v>6487.14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 t="n">
        <f aca="false">'Building 13'!$D$30</f>
        <v>6487.14</v>
      </c>
      <c r="R301" s="6"/>
      <c r="S301" s="6"/>
      <c r="T301" s="6"/>
      <c r="U301" s="6"/>
    </row>
    <row r="302" customFormat="false" ht="15" hidden="false" customHeight="false" outlineLevel="0" collapsed="false">
      <c r="A302" s="5" t="s">
        <v>27</v>
      </c>
      <c r="B302" s="5" t="s">
        <v>322</v>
      </c>
      <c r="C302" s="6" t="n">
        <f aca="false">SUM(D302:U302)</f>
        <v>1987.61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 t="n">
        <f aca="false">'Building 13'!$D$31</f>
        <v>1987.61</v>
      </c>
      <c r="R302" s="6"/>
      <c r="S302" s="6"/>
      <c r="T302" s="6"/>
      <c r="U302" s="6"/>
    </row>
    <row r="303" customFormat="false" ht="15" hidden="false" customHeight="false" outlineLevel="0" collapsed="false">
      <c r="A303" s="5" t="s">
        <v>27</v>
      </c>
      <c r="B303" s="5" t="s">
        <v>323</v>
      </c>
      <c r="C303" s="6" t="n">
        <f aca="false">SUM(D303:U303)</f>
        <v>5584.62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 t="n">
        <f aca="false">'Building 13'!$D$32</f>
        <v>5584.62</v>
      </c>
      <c r="R303" s="6"/>
      <c r="S303" s="6"/>
      <c r="T303" s="6"/>
      <c r="U303" s="6"/>
    </row>
    <row r="304" customFormat="false" ht="15" hidden="false" customHeight="false" outlineLevel="0" collapsed="false">
      <c r="A304" s="5" t="s">
        <v>29</v>
      </c>
      <c r="B304" s="5" t="s">
        <v>324</v>
      </c>
      <c r="C304" s="6" t="n">
        <f aca="false">SUM(D304:U304)</f>
        <v>13321.94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 t="n">
        <f aca="false">'Building 13'!$D$33</f>
        <v>13321.94</v>
      </c>
      <c r="R304" s="6"/>
      <c r="S304" s="6"/>
      <c r="T304" s="6"/>
      <c r="U304" s="6"/>
    </row>
    <row r="305" customFormat="false" ht="15" hidden="false" customHeight="false" outlineLevel="0" collapsed="false">
      <c r="A305" s="5" t="s">
        <v>29</v>
      </c>
      <c r="B305" s="5" t="s">
        <v>325</v>
      </c>
      <c r="C305" s="6" t="n">
        <f aca="false">SUM(D305:U305)</f>
        <v>37430.84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 t="n">
        <f aca="false">'Building 13'!$D$34</f>
        <v>37430.84</v>
      </c>
      <c r="R305" s="6"/>
      <c r="S305" s="6"/>
      <c r="T305" s="6"/>
      <c r="U305" s="6"/>
    </row>
    <row r="306" customFormat="false" ht="15" hidden="false" customHeight="false" outlineLevel="0" collapsed="false">
      <c r="A306" s="5" t="s">
        <v>25</v>
      </c>
      <c r="B306" s="5" t="s">
        <v>326</v>
      </c>
      <c r="C306" s="6" t="n">
        <f aca="false">SUM(D306:U306)</f>
        <v>18042.22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 t="n">
        <f aca="false">'Building 14'!$D$21</f>
        <v>18042.22</v>
      </c>
      <c r="S306" s="6"/>
      <c r="T306" s="6"/>
      <c r="U306" s="6"/>
    </row>
    <row r="307" customFormat="false" ht="15" hidden="false" customHeight="false" outlineLevel="0" collapsed="false">
      <c r="A307" s="5" t="s">
        <v>25</v>
      </c>
      <c r="B307" s="5" t="s">
        <v>327</v>
      </c>
      <c r="C307" s="6" t="n">
        <f aca="false">SUM(D307:U307)</f>
        <v>54240.35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 t="n">
        <f aca="false">'Building 14'!$D$22</f>
        <v>54240.35</v>
      </c>
      <c r="S307" s="6"/>
      <c r="T307" s="6"/>
      <c r="U307" s="6"/>
    </row>
    <row r="308" customFormat="false" ht="15" hidden="false" customHeight="false" outlineLevel="0" collapsed="false">
      <c r="A308" s="5" t="s">
        <v>27</v>
      </c>
      <c r="B308" s="5" t="s">
        <v>328</v>
      </c>
      <c r="C308" s="6" t="n">
        <f aca="false">SUM(D308:U308)</f>
        <v>9676.61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 t="n">
        <f aca="false">'Building 14'!$D$23</f>
        <v>9676.61</v>
      </c>
      <c r="S308" s="6"/>
      <c r="T308" s="6"/>
      <c r="U308" s="6"/>
    </row>
    <row r="309" customFormat="false" ht="15" hidden="false" customHeight="false" outlineLevel="0" collapsed="false">
      <c r="A309" s="5" t="s">
        <v>27</v>
      </c>
      <c r="B309" s="5" t="s">
        <v>329</v>
      </c>
      <c r="C309" s="6" t="n">
        <f aca="false">SUM(D309:U309)</f>
        <v>29090.8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 t="n">
        <f aca="false">'Building 14'!$D$24</f>
        <v>29090.8</v>
      </c>
      <c r="S309" s="6"/>
      <c r="T309" s="6"/>
      <c r="U309" s="6"/>
    </row>
    <row r="310" customFormat="false" ht="15" hidden="false" customHeight="false" outlineLevel="0" collapsed="false">
      <c r="A310" s="5" t="s">
        <v>29</v>
      </c>
      <c r="B310" s="5" t="s">
        <v>330</v>
      </c>
      <c r="C310" s="6" t="n">
        <f aca="false">SUM(D310:U310)</f>
        <v>64857.26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 t="n">
        <f aca="false">'Building 14'!$D$25</f>
        <v>64857.26</v>
      </c>
      <c r="S310" s="6"/>
      <c r="T310" s="6"/>
      <c r="U310" s="6"/>
    </row>
    <row r="311" customFormat="false" ht="15" hidden="false" customHeight="false" outlineLevel="0" collapsed="false">
      <c r="A311" s="5" t="s">
        <v>29</v>
      </c>
      <c r="B311" s="5" t="s">
        <v>331</v>
      </c>
      <c r="C311" s="6" t="n">
        <f aca="false">SUM(D311:U311)</f>
        <v>194980.48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 t="n">
        <f aca="false">'Building 14'!$D$26</f>
        <v>194980.48</v>
      </c>
      <c r="S311" s="6"/>
      <c r="T311" s="6"/>
      <c r="U311" s="6"/>
    </row>
    <row r="312" customFormat="false" ht="15" hidden="false" customHeight="false" outlineLevel="0" collapsed="false">
      <c r="A312" s="5" t="s">
        <v>31</v>
      </c>
      <c r="B312" s="5" t="s">
        <v>332</v>
      </c>
      <c r="C312" s="6" t="n">
        <f aca="false">SUM(D312:U312)</f>
        <v>1816.65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 t="n">
        <f aca="false">'Building 14'!$D$27+'Building 14'!$D$28</f>
        <v>1816.65</v>
      </c>
      <c r="S312" s="6"/>
      <c r="T312" s="6"/>
      <c r="U312" s="6"/>
    </row>
    <row r="313" customFormat="false" ht="15" hidden="false" customHeight="false" outlineLevel="0" collapsed="false">
      <c r="A313" s="5" t="s">
        <v>25</v>
      </c>
      <c r="B313" s="5" t="s">
        <v>333</v>
      </c>
      <c r="C313" s="6" t="n">
        <f aca="false">SUM(D313:U313)</f>
        <v>2467.41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 t="n">
        <f aca="false">'Building 14'!$D$29</f>
        <v>2467.41</v>
      </c>
      <c r="S313" s="6"/>
      <c r="T313" s="6"/>
      <c r="U313" s="6"/>
    </row>
    <row r="314" customFormat="false" ht="15" hidden="false" customHeight="false" outlineLevel="0" collapsed="false">
      <c r="A314" s="5" t="s">
        <v>25</v>
      </c>
      <c r="B314" s="5" t="s">
        <v>334</v>
      </c>
      <c r="C314" s="6" t="n">
        <f aca="false">SUM(D314:U314)</f>
        <v>7417.77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 t="n">
        <f aca="false">'Building 14'!$D$30</f>
        <v>7417.77</v>
      </c>
      <c r="S314" s="6"/>
      <c r="T314" s="6"/>
      <c r="U314" s="6"/>
    </row>
    <row r="315" customFormat="false" ht="15" hidden="false" customHeight="false" outlineLevel="0" collapsed="false">
      <c r="A315" s="5" t="s">
        <v>27</v>
      </c>
      <c r="B315" s="5" t="s">
        <v>335</v>
      </c>
      <c r="C315" s="6" t="n">
        <f aca="false">SUM(D315:U315)</f>
        <v>2124.13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 t="n">
        <f aca="false">'Building 14'!$D$31</f>
        <v>2124.13</v>
      </c>
      <c r="S315" s="6"/>
      <c r="T315" s="6"/>
      <c r="U315" s="6"/>
    </row>
    <row r="316" customFormat="false" ht="15" hidden="false" customHeight="false" outlineLevel="0" collapsed="false">
      <c r="A316" s="5" t="s">
        <v>27</v>
      </c>
      <c r="B316" s="5" t="s">
        <v>336</v>
      </c>
      <c r="C316" s="6" t="n">
        <f aca="false">SUM(D316:U316)</f>
        <v>6385.78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 t="n">
        <f aca="false">'Building 14'!$D$32</f>
        <v>6385.78</v>
      </c>
      <c r="S316" s="6"/>
      <c r="T316" s="6"/>
      <c r="U316" s="6"/>
    </row>
    <row r="317" customFormat="false" ht="15" hidden="false" customHeight="false" outlineLevel="0" collapsed="false">
      <c r="A317" s="5" t="s">
        <v>29</v>
      </c>
      <c r="B317" s="5" t="s">
        <v>337</v>
      </c>
      <c r="C317" s="6" t="n">
        <f aca="false">SUM(D317:U317)</f>
        <v>14236.95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 t="n">
        <f aca="false">'Building 14'!$D$33</f>
        <v>14236.95</v>
      </c>
      <c r="S317" s="6"/>
      <c r="T317" s="6"/>
      <c r="U317" s="6"/>
    </row>
    <row r="318" customFormat="false" ht="15" hidden="false" customHeight="false" outlineLevel="0" collapsed="false">
      <c r="A318" s="5" t="s">
        <v>29</v>
      </c>
      <c r="B318" s="5" t="s">
        <v>338</v>
      </c>
      <c r="C318" s="6" t="n">
        <f aca="false">SUM(D318:U318)</f>
        <v>42800.62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 t="n">
        <f aca="false">'Building 14'!$D$34</f>
        <v>42800.62</v>
      </c>
      <c r="S318" s="6"/>
      <c r="T318" s="6"/>
      <c r="U318" s="6"/>
    </row>
    <row r="319" customFormat="false" ht="15" hidden="false" customHeight="false" outlineLevel="0" collapsed="false">
      <c r="A319" s="5" t="s">
        <v>25</v>
      </c>
      <c r="B319" s="5" t="s">
        <v>339</v>
      </c>
      <c r="C319" s="6" t="n">
        <f aca="false">SUM(D319:U319)</f>
        <v>16882.61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 t="n">
        <f aca="false">'Building 15'!$D$21</f>
        <v>16882.61</v>
      </c>
      <c r="T319" s="6"/>
      <c r="U319" s="6"/>
    </row>
    <row r="320" customFormat="false" ht="15" hidden="false" customHeight="false" outlineLevel="0" collapsed="false">
      <c r="A320" s="5" t="s">
        <v>25</v>
      </c>
      <c r="B320" s="5" t="s">
        <v>340</v>
      </c>
      <c r="C320" s="6" t="n">
        <f aca="false">SUM(D320:U320)</f>
        <v>47096.08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 t="n">
        <f aca="false">'Building 15'!$D$22</f>
        <v>47096.08</v>
      </c>
      <c r="T320" s="6"/>
      <c r="U320" s="6"/>
    </row>
    <row r="321" customFormat="false" ht="15" hidden="false" customHeight="false" outlineLevel="0" collapsed="false">
      <c r="A321" s="5" t="s">
        <v>27</v>
      </c>
      <c r="B321" s="5" t="s">
        <v>341</v>
      </c>
      <c r="C321" s="6" t="n">
        <f aca="false">SUM(D321:U321)</f>
        <v>9054.67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 t="n">
        <f aca="false">'Building 15'!$D$23</f>
        <v>9054.67</v>
      </c>
      <c r="T321" s="6"/>
      <c r="U321" s="6"/>
    </row>
    <row r="322" customFormat="false" ht="15" hidden="false" customHeight="false" outlineLevel="0" collapsed="false">
      <c r="A322" s="5" t="s">
        <v>27</v>
      </c>
      <c r="B322" s="5" t="s">
        <v>342</v>
      </c>
      <c r="C322" s="6" t="n">
        <f aca="false">SUM(D322:U322)</f>
        <v>25259.11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 t="n">
        <f aca="false">'Building 15'!$D$24</f>
        <v>25259.11</v>
      </c>
      <c r="T322" s="6"/>
      <c r="U322" s="6"/>
    </row>
    <row r="323" customFormat="false" ht="15" hidden="false" customHeight="false" outlineLevel="0" collapsed="false">
      <c r="A323" s="5" t="s">
        <v>29</v>
      </c>
      <c r="B323" s="5" t="s">
        <v>343</v>
      </c>
      <c r="C323" s="6" t="n">
        <f aca="false">SUM(D323:U323)</f>
        <v>60688.77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 t="n">
        <f aca="false">'Building 15'!$D$25</f>
        <v>60688.77</v>
      </c>
      <c r="T323" s="6"/>
      <c r="U323" s="6"/>
    </row>
    <row r="324" customFormat="false" ht="15" hidden="false" customHeight="false" outlineLevel="0" collapsed="false">
      <c r="A324" s="5" t="s">
        <v>29</v>
      </c>
      <c r="B324" s="5" t="s">
        <v>344</v>
      </c>
      <c r="C324" s="6" t="n">
        <f aca="false">SUM(D324:U324)</f>
        <v>169298.62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 t="n">
        <f aca="false">'Building 15'!$D$26</f>
        <v>169298.62</v>
      </c>
      <c r="T324" s="6"/>
      <c r="U324" s="6"/>
    </row>
    <row r="325" customFormat="false" ht="15" hidden="false" customHeight="false" outlineLevel="0" collapsed="false">
      <c r="A325" s="5" t="s">
        <v>31</v>
      </c>
      <c r="B325" s="5" t="s">
        <v>345</v>
      </c>
      <c r="C325" s="6" t="n">
        <f aca="false">SUM(D325:U325)</f>
        <v>1607.95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 t="n">
        <f aca="false">'Building 15'!$D$27+'Building 15'!$D$28</f>
        <v>1607.95</v>
      </c>
      <c r="T325" s="6"/>
      <c r="U325" s="6"/>
    </row>
    <row r="326" customFormat="false" ht="15" hidden="false" customHeight="false" outlineLevel="0" collapsed="false">
      <c r="A326" s="5" t="s">
        <v>25</v>
      </c>
      <c r="B326" s="5" t="s">
        <v>346</v>
      </c>
      <c r="C326" s="6" t="n">
        <f aca="false">SUM(D326:U326)</f>
        <v>2308.82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 t="n">
        <f aca="false">'Building 15'!$D$29</f>
        <v>2308.82</v>
      </c>
      <c r="T326" s="6"/>
      <c r="U326" s="6"/>
    </row>
    <row r="327" customFormat="false" ht="15" hidden="false" customHeight="false" outlineLevel="0" collapsed="false">
      <c r="A327" s="5" t="s">
        <v>25</v>
      </c>
      <c r="B327" s="5" t="s">
        <v>347</v>
      </c>
      <c r="C327" s="6" t="n">
        <f aca="false">SUM(D327:U327)</f>
        <v>6440.75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 t="n">
        <f aca="false">'Building 15'!$D$30</f>
        <v>6440.75</v>
      </c>
      <c r="T327" s="6"/>
      <c r="U327" s="6"/>
    </row>
    <row r="328" customFormat="false" ht="15" hidden="false" customHeight="false" outlineLevel="0" collapsed="false">
      <c r="A328" s="5" t="s">
        <v>27</v>
      </c>
      <c r="B328" s="5" t="s">
        <v>348</v>
      </c>
      <c r="C328" s="6" t="n">
        <f aca="false">SUM(D328:U328)</f>
        <v>1987.61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 t="n">
        <f aca="false">'Building 15'!$D$31</f>
        <v>1987.61</v>
      </c>
      <c r="T328" s="6"/>
      <c r="U328" s="6"/>
    </row>
    <row r="329" customFormat="false" ht="15" hidden="false" customHeight="false" outlineLevel="0" collapsed="false">
      <c r="A329" s="5" t="s">
        <v>27</v>
      </c>
      <c r="B329" s="5" t="s">
        <v>349</v>
      </c>
      <c r="C329" s="6" t="n">
        <f aca="false">SUM(D329:U329)</f>
        <v>5544.67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 t="n">
        <f aca="false">'Building 15'!$D$32</f>
        <v>5544.67</v>
      </c>
      <c r="T329" s="6"/>
      <c r="U329" s="6"/>
    </row>
    <row r="330" customFormat="false" ht="15" hidden="false" customHeight="false" outlineLevel="0" collapsed="false">
      <c r="A330" s="5" t="s">
        <v>29</v>
      </c>
      <c r="B330" s="5" t="s">
        <v>350</v>
      </c>
      <c r="C330" s="6" t="n">
        <f aca="false">SUM(D330:U330)</f>
        <v>13321.94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 t="n">
        <f aca="false">'Building 15'!$D$33</f>
        <v>13321.94</v>
      </c>
      <c r="T330" s="6"/>
      <c r="U330" s="6"/>
    </row>
    <row r="331" customFormat="false" ht="15" hidden="false" customHeight="false" outlineLevel="0" collapsed="false">
      <c r="A331" s="5" t="s">
        <v>29</v>
      </c>
      <c r="B331" s="5" t="s">
        <v>351</v>
      </c>
      <c r="C331" s="6" t="n">
        <f aca="false">SUM(D331:U331)</f>
        <v>37163.11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 t="n">
        <f aca="false">'Building 15'!$D$34</f>
        <v>37163.11</v>
      </c>
      <c r="T331" s="6"/>
      <c r="U331" s="6"/>
    </row>
    <row r="332" customFormat="false" ht="15" hidden="false" customHeight="false" outlineLevel="0" collapsed="false">
      <c r="A332" s="5" t="s">
        <v>25</v>
      </c>
      <c r="B332" s="5" t="s">
        <v>352</v>
      </c>
      <c r="C332" s="6" t="n">
        <f aca="false">SUM(D332:U332)</f>
        <v>16882.61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 t="n">
        <f aca="false">'Building 16'!$D$21</f>
        <v>16882.61</v>
      </c>
      <c r="U332" s="6"/>
    </row>
    <row r="333" customFormat="false" ht="15" hidden="false" customHeight="false" outlineLevel="0" collapsed="false">
      <c r="A333" s="5" t="s">
        <v>25</v>
      </c>
      <c r="B333" s="5" t="s">
        <v>353</v>
      </c>
      <c r="C333" s="6" t="n">
        <f aca="false">SUM(D333:U333)</f>
        <v>47435.37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 t="n">
        <f aca="false">'Building 16'!$D$22</f>
        <v>47435.37</v>
      </c>
      <c r="U333" s="6"/>
    </row>
    <row r="334" customFormat="false" ht="15" hidden="false" customHeight="false" outlineLevel="0" collapsed="false">
      <c r="A334" s="5" t="s">
        <v>27</v>
      </c>
      <c r="B334" s="5" t="s">
        <v>354</v>
      </c>
      <c r="C334" s="6" t="n">
        <f aca="false">SUM(D334:U334)</f>
        <v>9054.67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 t="n">
        <f aca="false">'Building 16'!$D$23</f>
        <v>9054.67</v>
      </c>
      <c r="U334" s="6"/>
    </row>
    <row r="335" customFormat="false" ht="15" hidden="false" customHeight="false" outlineLevel="0" collapsed="false">
      <c r="A335" s="5" t="s">
        <v>27</v>
      </c>
      <c r="B335" s="5" t="s">
        <v>355</v>
      </c>
      <c r="C335" s="6" t="n">
        <f aca="false">SUM(D335:U335)</f>
        <v>25441.07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 t="n">
        <f aca="false">'Building 16'!$D$24</f>
        <v>25441.07</v>
      </c>
      <c r="U335" s="6"/>
    </row>
    <row r="336" customFormat="false" ht="15" hidden="false" customHeight="false" outlineLevel="0" collapsed="false">
      <c r="A336" s="5" t="s">
        <v>29</v>
      </c>
      <c r="B336" s="5" t="s">
        <v>356</v>
      </c>
      <c r="C336" s="6" t="n">
        <f aca="false">SUM(D336:U336)</f>
        <v>60688.77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 t="n">
        <f aca="false">'Building 16'!$D$25</f>
        <v>60688.77</v>
      </c>
      <c r="U336" s="6"/>
    </row>
    <row r="337" customFormat="false" ht="15" hidden="false" customHeight="false" outlineLevel="0" collapsed="false">
      <c r="A337" s="5" t="s">
        <v>29</v>
      </c>
      <c r="B337" s="5" t="s">
        <v>357</v>
      </c>
      <c r="C337" s="6" t="n">
        <f aca="false">SUM(D337:U337)</f>
        <v>170518.26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 t="n">
        <f aca="false">'Building 16'!$D$26</f>
        <v>170518.26</v>
      </c>
      <c r="U337" s="6"/>
    </row>
    <row r="338" customFormat="false" ht="15" hidden="false" customHeight="false" outlineLevel="0" collapsed="false">
      <c r="A338" s="5" t="s">
        <v>31</v>
      </c>
      <c r="B338" s="5" t="s">
        <v>358</v>
      </c>
      <c r="C338" s="6" t="n">
        <f aca="false">SUM(D338:U338)</f>
        <v>1616.48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 t="n">
        <f aca="false">'Building 16'!$D$27+'Building 16'!$D$28</f>
        <v>1616.48</v>
      </c>
      <c r="U338" s="6"/>
    </row>
    <row r="339" customFormat="false" ht="15" hidden="false" customHeight="false" outlineLevel="0" collapsed="false">
      <c r="A339" s="5" t="s">
        <v>25</v>
      </c>
      <c r="B339" s="5" t="s">
        <v>359</v>
      </c>
      <c r="C339" s="6" t="n">
        <f aca="false">SUM(D339:U339)</f>
        <v>2308.83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 t="n">
        <f aca="false">'Building 16'!$D$29</f>
        <v>2308.83</v>
      </c>
      <c r="U339" s="6"/>
    </row>
    <row r="340" customFormat="false" ht="15" hidden="false" customHeight="false" outlineLevel="0" collapsed="false">
      <c r="A340" s="5" t="s">
        <v>25</v>
      </c>
      <c r="B340" s="5" t="s">
        <v>360</v>
      </c>
      <c r="C340" s="6" t="n">
        <f aca="false">SUM(D340:U340)</f>
        <v>6487.14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 t="n">
        <f aca="false">'Building 16'!$D$30</f>
        <v>6487.14</v>
      </c>
      <c r="U340" s="6"/>
    </row>
    <row r="341" customFormat="false" ht="15" hidden="false" customHeight="false" outlineLevel="0" collapsed="false">
      <c r="A341" s="5" t="s">
        <v>27</v>
      </c>
      <c r="B341" s="5" t="s">
        <v>361</v>
      </c>
      <c r="C341" s="6" t="n">
        <f aca="false">SUM(D341:U341)</f>
        <v>1987.61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 t="n">
        <f aca="false">'Building 16'!$D$31</f>
        <v>1987.61</v>
      </c>
      <c r="U341" s="6"/>
    </row>
    <row r="342" customFormat="false" ht="15" hidden="false" customHeight="false" outlineLevel="0" collapsed="false">
      <c r="A342" s="5" t="s">
        <v>27</v>
      </c>
      <c r="B342" s="5" t="s">
        <v>362</v>
      </c>
      <c r="C342" s="6" t="n">
        <f aca="false">SUM(D342:U342)</f>
        <v>5584.62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 t="n">
        <f aca="false">'Building 16'!$D$32</f>
        <v>5584.62</v>
      </c>
      <c r="U342" s="6"/>
    </row>
    <row r="343" customFormat="false" ht="15" hidden="false" customHeight="false" outlineLevel="0" collapsed="false">
      <c r="A343" s="5" t="s">
        <v>29</v>
      </c>
      <c r="B343" s="5" t="s">
        <v>363</v>
      </c>
      <c r="C343" s="6" t="n">
        <f aca="false">SUM(D343:U343)</f>
        <v>13321.94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 t="n">
        <f aca="false">'Building 16'!$D$33</f>
        <v>13321.94</v>
      </c>
      <c r="U343" s="6"/>
    </row>
    <row r="344" customFormat="false" ht="15" hidden="false" customHeight="false" outlineLevel="0" collapsed="false">
      <c r="A344" s="5" t="s">
        <v>29</v>
      </c>
      <c r="B344" s="5" t="s">
        <v>364</v>
      </c>
      <c r="C344" s="6" t="n">
        <f aca="false">SUM(D344:U344)</f>
        <v>37430.84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 t="n">
        <f aca="false">'Building 16'!$D$34</f>
        <v>37430.84</v>
      </c>
      <c r="U344" s="6"/>
    </row>
    <row r="345" customFormat="false" ht="15" hidden="false" customHeight="false" outlineLevel="0" collapsed="false">
      <c r="A345" s="5" t="s">
        <v>25</v>
      </c>
      <c r="B345" s="5" t="s">
        <v>365</v>
      </c>
      <c r="C345" s="6" t="n">
        <f aca="false">SUM(D345:U345)</f>
        <v>1979.11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 t="n">
        <f aca="false">Office!$D$21</f>
        <v>1979.11</v>
      </c>
    </row>
    <row r="346" customFormat="false" ht="15" hidden="false" customHeight="false" outlineLevel="0" collapsed="false">
      <c r="A346" s="5" t="s">
        <v>25</v>
      </c>
      <c r="B346" s="5" t="s">
        <v>366</v>
      </c>
      <c r="C346" s="6" t="n">
        <f aca="false">SUM(D346:U346)</f>
        <v>19689.99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 t="n">
        <f aca="false">Office!$D$22</f>
        <v>19689.99</v>
      </c>
    </row>
    <row r="347" customFormat="false" ht="15" hidden="false" customHeight="false" outlineLevel="0" collapsed="false">
      <c r="A347" s="5" t="s">
        <v>27</v>
      </c>
      <c r="B347" s="5" t="s">
        <v>367</v>
      </c>
      <c r="C347" s="6" t="n">
        <f aca="false">SUM(D347:U347)</f>
        <v>1061.46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 t="n">
        <f aca="false">Office!$D$23</f>
        <v>1061.46</v>
      </c>
    </row>
    <row r="348" customFormat="false" ht="15" hidden="false" customHeight="false" outlineLevel="0" collapsed="false">
      <c r="A348" s="5" t="s">
        <v>27</v>
      </c>
      <c r="B348" s="5" t="s">
        <v>368</v>
      </c>
      <c r="C348" s="6" t="n">
        <f aca="false">SUM(D348:U348)</f>
        <v>10560.36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 t="n">
        <f aca="false">Office!$D$24</f>
        <v>10560.36</v>
      </c>
    </row>
    <row r="349" customFormat="false" ht="15" hidden="false" customHeight="false" outlineLevel="0" collapsed="false">
      <c r="A349" s="5" t="s">
        <v>29</v>
      </c>
      <c r="B349" s="5" t="s">
        <v>369</v>
      </c>
      <c r="C349" s="6" t="n">
        <f aca="false">SUM(D349:U349)</f>
        <v>7114.4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 t="n">
        <f aca="false">Office!$D$25</f>
        <v>7114.4</v>
      </c>
    </row>
    <row r="350" customFormat="false" ht="15" hidden="false" customHeight="false" outlineLevel="0" collapsed="false">
      <c r="A350" s="5" t="s">
        <v>29</v>
      </c>
      <c r="B350" s="5" t="s">
        <v>370</v>
      </c>
      <c r="C350" s="6" t="n">
        <f aca="false">SUM(D350:U350)</f>
        <v>70780.6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 t="n">
        <f aca="false">Office!$D$26</f>
        <v>70780.6</v>
      </c>
    </row>
    <row r="351" customFormat="false" ht="15" hidden="false" customHeight="false" outlineLevel="0" collapsed="false">
      <c r="A351" s="5" t="s">
        <v>31</v>
      </c>
      <c r="B351" s="5" t="s">
        <v>371</v>
      </c>
      <c r="C351" s="6" t="n">
        <f aca="false">SUM(D351:U351)</f>
        <v>544.6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 t="n">
        <f aca="false">Office!$D$27+Office!$D$28</f>
        <v>544.6</v>
      </c>
    </row>
    <row r="352" customFormat="false" ht="15" hidden="false" customHeight="false" outlineLevel="0" collapsed="false">
      <c r="A352" s="5" t="s">
        <v>25</v>
      </c>
      <c r="B352" s="5" t="s">
        <v>372</v>
      </c>
      <c r="C352" s="6" t="n">
        <f aca="false">SUM(D352:U352)</f>
        <v>270.66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 t="n">
        <f aca="false">Office!$D$29</f>
        <v>270.66</v>
      </c>
    </row>
    <row r="353" customFormat="false" ht="15" hidden="false" customHeight="false" outlineLevel="0" collapsed="false">
      <c r="A353" s="5" t="s">
        <v>25</v>
      </c>
      <c r="B353" s="5" t="s">
        <v>373</v>
      </c>
      <c r="C353" s="6" t="n">
        <f aca="false">SUM(D353:U353)</f>
        <v>2692.74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 t="n">
        <f aca="false">Office!$D$30</f>
        <v>2692.74</v>
      </c>
    </row>
    <row r="354" customFormat="false" ht="15" hidden="false" customHeight="false" outlineLevel="0" collapsed="false">
      <c r="A354" s="5" t="s">
        <v>27</v>
      </c>
      <c r="B354" s="5" t="s">
        <v>374</v>
      </c>
      <c r="C354" s="6" t="n">
        <f aca="false">SUM(D354:U354)</f>
        <v>233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 t="n">
        <f aca="false">Office!$D$31</f>
        <v>233</v>
      </c>
    </row>
    <row r="355" customFormat="false" ht="15" hidden="false" customHeight="false" outlineLevel="0" collapsed="false">
      <c r="A355" s="5" t="s">
        <v>27</v>
      </c>
      <c r="B355" s="5" t="s">
        <v>375</v>
      </c>
      <c r="C355" s="6" t="n">
        <f aca="false">SUM(D355:U355)</f>
        <v>2318.13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 t="n">
        <f aca="false">Office!$D$32</f>
        <v>2318.13</v>
      </c>
    </row>
    <row r="356" customFormat="false" ht="15" hidden="false" customHeight="false" outlineLevel="0" collapsed="false">
      <c r="A356" s="5" t="s">
        <v>29</v>
      </c>
      <c r="B356" s="5" t="s">
        <v>376</v>
      </c>
      <c r="C356" s="6" t="n">
        <f aca="false">SUM(D356:U356)</f>
        <v>1561.69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 t="n">
        <f aca="false">Office!$D$33</f>
        <v>1561.69</v>
      </c>
    </row>
    <row r="357" customFormat="false" ht="15" hidden="false" customHeight="false" outlineLevel="0" collapsed="false">
      <c r="A357" s="5" t="s">
        <v>29</v>
      </c>
      <c r="B357" s="5" t="s">
        <v>377</v>
      </c>
      <c r="C357" s="6" t="n">
        <f aca="false">SUM(D357:U357)</f>
        <v>15537.22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 t="n">
        <f aca="false">Office!$D$34</f>
        <v>15537.22</v>
      </c>
    </row>
    <row r="358" customFormat="false" ht="15" hidden="false" customHeight="false" outlineLevel="0" collapsed="false">
      <c r="A358" s="7"/>
      <c r="B358" s="8" t="s">
        <v>378</v>
      </c>
      <c r="C358" s="9" t="n">
        <f aca="false">SUM(C122:C357)</f>
        <v>7253474</v>
      </c>
      <c r="D358" s="9" t="n">
        <f aca="false">SUM(D122:D357)</f>
        <v>719744.4</v>
      </c>
      <c r="E358" s="9" t="n">
        <f aca="false">SUM(E122:E357)</f>
        <v>398386.46</v>
      </c>
      <c r="F358" s="9" t="n">
        <f aca="false">SUM(F122:F357)</f>
        <v>398480.3</v>
      </c>
      <c r="G358" s="9" t="n">
        <f aca="false">SUM(G122:G357)</f>
        <v>398493.7</v>
      </c>
      <c r="H358" s="9" t="n">
        <f aca="false">SUM(H122:H357)</f>
        <v>396654.71</v>
      </c>
      <c r="I358" s="9" t="n">
        <f aca="false">SUM(I122:I357)</f>
        <v>446298.06</v>
      </c>
      <c r="J358" s="9" t="n">
        <f aca="false">SUM(J122:J357)</f>
        <v>398758.21</v>
      </c>
      <c r="K358" s="9" t="n">
        <f aca="false">SUM(K122:K357)</f>
        <v>448401.53</v>
      </c>
      <c r="L358" s="9" t="n">
        <f aca="false">SUM(L122:L357)</f>
        <v>398758.21</v>
      </c>
      <c r="M358" s="9" t="n">
        <f aca="false">SUM(M122:M357)</f>
        <v>177549.53</v>
      </c>
      <c r="N358" s="9" t="n">
        <f aca="false">SUM(N122:N357)</f>
        <v>448137.03</v>
      </c>
      <c r="O358" s="9" t="n">
        <f aca="false">SUM(O122:O357)</f>
        <v>398758.21</v>
      </c>
      <c r="P358" s="9" t="n">
        <f aca="false">SUM(P122:P357)</f>
        <v>448401.53</v>
      </c>
      <c r="Q358" s="9" t="n">
        <f aca="false">SUM(Q122:Q357)</f>
        <v>398758.21</v>
      </c>
      <c r="R358" s="9" t="n">
        <f aca="false">SUM(R122:R357)</f>
        <v>448137.03</v>
      </c>
      <c r="S358" s="9" t="n">
        <f aca="false">SUM(S122:S357)</f>
        <v>396654.71</v>
      </c>
      <c r="T358" s="9" t="n">
        <f aca="false">SUM(T122:T357)</f>
        <v>398758.21</v>
      </c>
      <c r="U358" s="9" t="n">
        <f aca="false">SUM(U122:U357)</f>
        <v>134343.96</v>
      </c>
    </row>
    <row r="359" customFormat="false" ht="15" hidden="false" customHeight="false" outlineLevel="0" collapsed="false">
      <c r="B359" s="11" t="s">
        <v>379</v>
      </c>
      <c r="C359" s="12" t="n">
        <f aca="false">C119-C358</f>
        <v>0</v>
      </c>
      <c r="D359" s="12" t="n">
        <f aca="false">D119-D358</f>
        <v>0</v>
      </c>
      <c r="E359" s="12" t="n">
        <f aca="false">E119-E358</f>
        <v>0</v>
      </c>
      <c r="F359" s="12" t="n">
        <f aca="false">F119-F358</f>
        <v>0</v>
      </c>
      <c r="G359" s="12" t="n">
        <f aca="false">G119-G358</f>
        <v>0</v>
      </c>
      <c r="H359" s="12" t="n">
        <f aca="false">H119-H358</f>
        <v>0</v>
      </c>
      <c r="I359" s="12" t="n">
        <f aca="false">I119-I358</f>
        <v>0</v>
      </c>
      <c r="J359" s="12" t="n">
        <f aca="false">J119-J358</f>
        <v>0</v>
      </c>
      <c r="K359" s="12" t="n">
        <f aca="false">K119-K358</f>
        <v>0</v>
      </c>
      <c r="L359" s="12" t="n">
        <f aca="false">L119-L358</f>
        <v>0</v>
      </c>
      <c r="M359" s="12" t="n">
        <f aca="false">M119-M358</f>
        <v>0</v>
      </c>
      <c r="N359" s="12" t="n">
        <f aca="false">N119-N358</f>
        <v>0</v>
      </c>
      <c r="O359" s="12" t="n">
        <f aca="false">O119-O358</f>
        <v>0</v>
      </c>
      <c r="P359" s="12" t="n">
        <f aca="false">P119-P358</f>
        <v>0</v>
      </c>
      <c r="Q359" s="12" t="n">
        <f aca="false">Q119-Q358</f>
        <v>0</v>
      </c>
      <c r="R359" s="12" t="n">
        <f aca="false">R119-R358</f>
        <v>0</v>
      </c>
      <c r="S359" s="12" t="n">
        <f aca="false">S119-S358</f>
        <v>0</v>
      </c>
      <c r="T359" s="12" t="n">
        <f aca="false">T119-T358</f>
        <v>0</v>
      </c>
      <c r="U359" s="12" t="n">
        <f aca="false">U119-U358</f>
        <v>0</v>
      </c>
    </row>
    <row r="361" customFormat="false" ht="15" hidden="false" customHeight="false" outlineLevel="0" collapsed="false">
      <c r="B361" s="10" t="s">
        <v>380</v>
      </c>
    </row>
    <row r="362" customFormat="false" ht="15" hidden="false" customHeight="false" outlineLevel="0" collapsed="false">
      <c r="B362" s="11" t="s">
        <v>381</v>
      </c>
      <c r="C362" s="12" t="n">
        <f aca="false">SUM(D362:U362)</f>
        <v>598225.94</v>
      </c>
      <c r="D362" s="12" t="n">
        <f aca="false">Site!$I$17</f>
        <v>59360.49</v>
      </c>
      <c r="E362" s="12" t="n">
        <f aca="false">'Building 1'!$I$17</f>
        <v>32856.69</v>
      </c>
      <c r="F362" s="12" t="n">
        <f aca="false">'Building 2'!$I$17</f>
        <v>32864.43</v>
      </c>
      <c r="G362" s="12" t="n">
        <f aca="false">'Building 3'!$I$17</f>
        <v>32865.52</v>
      </c>
      <c r="H362" s="12" t="n">
        <f aca="false">'Building 4'!$I$17</f>
        <v>32713.87</v>
      </c>
      <c r="I362" s="12" t="n">
        <f aca="false">'Building 5'!$I$17</f>
        <v>36808.17</v>
      </c>
      <c r="J362" s="12" t="n">
        <f aca="false">'Building 6'!$I$17</f>
        <v>32887.35</v>
      </c>
      <c r="K362" s="12" t="n">
        <f aca="false">'Building 7'!$I$17</f>
        <v>36981.64</v>
      </c>
      <c r="L362" s="12" t="n">
        <f aca="false">'Building 8'!$I$17</f>
        <v>32887.35</v>
      </c>
      <c r="M362" s="12" t="n">
        <f aca="false">'Building 9'!$I$17</f>
        <v>14643.29</v>
      </c>
      <c r="N362" s="12" t="n">
        <f aca="false">'Building 10'!$I$17</f>
        <v>36959.83</v>
      </c>
      <c r="O362" s="12" t="n">
        <f aca="false">'Building 11'!$I$17</f>
        <v>32887.35</v>
      </c>
      <c r="P362" s="12" t="n">
        <f aca="false">'Building 12'!$I$17</f>
        <v>36981.64</v>
      </c>
      <c r="Q362" s="12" t="n">
        <f aca="false">'Building 13'!$I$17</f>
        <v>32887.35</v>
      </c>
      <c r="R362" s="12" t="n">
        <f aca="false">'Building 14'!$I$17</f>
        <v>36959.83</v>
      </c>
      <c r="S362" s="12" t="n">
        <f aca="false">'Building 15'!$I$17</f>
        <v>32713.87</v>
      </c>
      <c r="T362" s="12" t="n">
        <f aca="false">'Building 16'!$I$17</f>
        <v>32887.35</v>
      </c>
      <c r="U362" s="12" t="n">
        <f aca="false">Office!$I$17</f>
        <v>11079.92</v>
      </c>
    </row>
    <row r="363" customFormat="false" ht="15" hidden="false" customHeight="false" outlineLevel="0" collapsed="false">
      <c r="B363" s="5" t="s">
        <v>142</v>
      </c>
      <c r="C363" s="6" t="n">
        <f aca="false">SUM(D363:U363)</f>
        <v>65091.76</v>
      </c>
      <c r="D363" s="6" t="n">
        <f aca="false">Site!$I$21</f>
        <v>65091.76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customFormat="false" ht="15" hidden="false" customHeight="false" outlineLevel="0" collapsed="false">
      <c r="B364" s="5" t="s">
        <v>143</v>
      </c>
      <c r="C364" s="6" t="n">
        <f aca="false">SUM(D364:U364)</f>
        <v>10837.5</v>
      </c>
      <c r="D364" s="6" t="n">
        <f aca="false">Site!$I$22</f>
        <v>10837.5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customFormat="false" ht="15" hidden="false" customHeight="false" outlineLevel="0" collapsed="false">
      <c r="B365" s="5" t="s">
        <v>144</v>
      </c>
      <c r="C365" s="6" t="n">
        <f aca="false">SUM(D365:U365)</f>
        <v>34910.75</v>
      </c>
      <c r="D365" s="6" t="n">
        <f aca="false">Site!$I$23</f>
        <v>34910.75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customFormat="false" ht="15" hidden="false" customHeight="false" outlineLevel="0" collapsed="false">
      <c r="B366" s="5" t="s">
        <v>145</v>
      </c>
      <c r="C366" s="6" t="n">
        <f aca="false">SUM(D366:U366)</f>
        <v>1861.51</v>
      </c>
      <c r="D366" s="6" t="n">
        <f aca="false">Site!$I$24</f>
        <v>1861.51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customFormat="false" ht="15" hidden="false" customHeight="false" outlineLevel="0" collapsed="false">
      <c r="B367" s="5" t="s">
        <v>146</v>
      </c>
      <c r="C367" s="6" t="n">
        <f aca="false">SUM(D367:U367)</f>
        <v>193976.55</v>
      </c>
      <c r="D367" s="6" t="n">
        <f aca="false">Site!$I$25</f>
        <v>193976.55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customFormat="false" ht="15" hidden="false" customHeight="false" outlineLevel="0" collapsed="false">
      <c r="B368" s="5" t="s">
        <v>147</v>
      </c>
      <c r="C368" s="6" t="n">
        <f aca="false">SUM(D368:U368)</f>
        <v>10439.73</v>
      </c>
      <c r="D368" s="6" t="n">
        <f aca="false">Site!$I$26</f>
        <v>10439.73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customFormat="false" ht="15" hidden="false" customHeight="false" outlineLevel="0" collapsed="false">
      <c r="B369" s="5" t="s">
        <v>148</v>
      </c>
      <c r="C369" s="6" t="n">
        <f aca="false">SUM(D369:U369)</f>
        <v>1635.93</v>
      </c>
      <c r="D369" s="6" t="n">
        <f aca="false">Site!$I$27</f>
        <v>1635.93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customFormat="false" ht="15" hidden="false" customHeight="false" outlineLevel="0" collapsed="false">
      <c r="B370" s="5" t="s">
        <v>149</v>
      </c>
      <c r="C370" s="6" t="n">
        <f aca="false">SUM(D370:U370)</f>
        <v>183.38</v>
      </c>
      <c r="D370" s="6" t="n">
        <f aca="false">Site!$I$28</f>
        <v>183.38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customFormat="false" ht="15" hidden="false" customHeight="false" outlineLevel="0" collapsed="false">
      <c r="B371" s="5" t="s">
        <v>150</v>
      </c>
      <c r="C371" s="6" t="n">
        <f aca="false">SUM(D371:U371)</f>
        <v>8901.79</v>
      </c>
      <c r="D371" s="6" t="n">
        <f aca="false">Site!$I$29</f>
        <v>8901.79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customFormat="false" ht="15" hidden="false" customHeight="false" outlineLevel="0" collapsed="false">
      <c r="B372" s="5" t="s">
        <v>151</v>
      </c>
      <c r="C372" s="6" t="n">
        <f aca="false">SUM(D372:U372)</f>
        <v>1482.12</v>
      </c>
      <c r="D372" s="6" t="n">
        <f aca="false">Site!$I$30</f>
        <v>1482.12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customFormat="false" ht="15" hidden="false" customHeight="false" outlineLevel="0" collapsed="false">
      <c r="B373" s="5" t="s">
        <v>152</v>
      </c>
      <c r="C373" s="6" t="n">
        <f aca="false">SUM(D373:U373)</f>
        <v>7663.33</v>
      </c>
      <c r="D373" s="6" t="n">
        <f aca="false">Site!$I$31</f>
        <v>7663.33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customFormat="false" ht="15" hidden="false" customHeight="false" outlineLevel="0" collapsed="false">
      <c r="B374" s="5" t="s">
        <v>153</v>
      </c>
      <c r="C374" s="6" t="n">
        <f aca="false">SUM(D374:U374)</f>
        <v>408.62</v>
      </c>
      <c r="D374" s="6" t="n">
        <f aca="false">Site!$I$32</f>
        <v>408.62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customFormat="false" ht="15" hidden="false" customHeight="false" outlineLevel="0" collapsed="false">
      <c r="B375" s="5" t="s">
        <v>154</v>
      </c>
      <c r="C375" s="6" t="n">
        <f aca="false">SUM(D375:U375)</f>
        <v>42580.23</v>
      </c>
      <c r="D375" s="6" t="n">
        <f aca="false">Site!$I$33</f>
        <v>42580.23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customFormat="false" ht="15" hidden="false" customHeight="false" outlineLevel="0" collapsed="false">
      <c r="B376" s="5" t="s">
        <v>155</v>
      </c>
      <c r="C376" s="6" t="n">
        <f aca="false">SUM(D376:U376)</f>
        <v>2291.65</v>
      </c>
      <c r="D376" s="6" t="n">
        <f aca="false">Site!$I$34</f>
        <v>2291.65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customFormat="false" ht="15" hidden="false" customHeight="false" outlineLevel="0" collapsed="false">
      <c r="B377" s="5" t="s">
        <v>156</v>
      </c>
      <c r="C377" s="6" t="n">
        <f aca="false">SUM(D377:U377)</f>
        <v>16865.31</v>
      </c>
      <c r="D377" s="6"/>
      <c r="E377" s="6" t="n">
        <f aca="false">'Building 1'!$I$21</f>
        <v>16865.31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customFormat="false" ht="15" hidden="false" customHeight="false" outlineLevel="0" collapsed="false">
      <c r="B378" s="5" t="s">
        <v>157</v>
      </c>
      <c r="C378" s="6" t="n">
        <f aca="false">SUM(D378:U378)</f>
        <v>10070.97</v>
      </c>
      <c r="D378" s="6"/>
      <c r="E378" s="6" t="n">
        <f aca="false">'Building 1'!$I$22</f>
        <v>10070.97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customFormat="false" ht="15" hidden="false" customHeight="false" outlineLevel="0" collapsed="false">
      <c r="B379" s="5" t="s">
        <v>158</v>
      </c>
      <c r="C379" s="6" t="n">
        <f aca="false">SUM(D379:U379)</f>
        <v>9045.4</v>
      </c>
      <c r="D379" s="6"/>
      <c r="E379" s="6" t="n">
        <f aca="false">'Building 1'!$I$23</f>
        <v>9045.4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customFormat="false" ht="15" hidden="false" customHeight="false" outlineLevel="0" collapsed="false">
      <c r="B380" s="5" t="s">
        <v>159</v>
      </c>
      <c r="C380" s="6" t="n">
        <f aca="false">SUM(D380:U380)</f>
        <v>1729.84</v>
      </c>
      <c r="D380" s="6"/>
      <c r="E380" s="6" t="n">
        <f aca="false">'Building 1'!$I$24</f>
        <v>1729.84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customFormat="false" ht="15" hidden="false" customHeight="false" outlineLevel="0" collapsed="false">
      <c r="B381" s="5" t="s">
        <v>160</v>
      </c>
      <c r="C381" s="6" t="n">
        <f aca="false">SUM(D381:U381)</f>
        <v>54806.43</v>
      </c>
      <c r="D381" s="6"/>
      <c r="E381" s="6" t="n">
        <f aca="false">'Building 1'!$I$25</f>
        <v>54806.43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customFormat="false" ht="15" hidden="false" customHeight="false" outlineLevel="0" collapsed="false">
      <c r="B382" s="5" t="s">
        <v>161</v>
      </c>
      <c r="C382" s="6" t="n">
        <f aca="false">SUM(D382:U382)</f>
        <v>9701.33</v>
      </c>
      <c r="D382" s="6"/>
      <c r="E382" s="6" t="n">
        <f aca="false">'Building 1'!$I$26</f>
        <v>9701.33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customFormat="false" ht="15" hidden="false" customHeight="false" outlineLevel="0" collapsed="false">
      <c r="B383" s="5" t="s">
        <v>162</v>
      </c>
      <c r="C383" s="6" t="n">
        <f aca="false">SUM(D383:U383)</f>
        <v>423.87</v>
      </c>
      <c r="D383" s="6"/>
      <c r="E383" s="6" t="n">
        <f aca="false">'Building 1'!$I$27</f>
        <v>423.87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customFormat="false" ht="15" hidden="false" customHeight="false" outlineLevel="0" collapsed="false">
      <c r="B384" s="5" t="s">
        <v>163</v>
      </c>
      <c r="C384" s="6" t="n">
        <f aca="false">SUM(D384:U384)</f>
        <v>170.38</v>
      </c>
      <c r="D384" s="6"/>
      <c r="E384" s="6" t="n">
        <f aca="false">'Building 1'!$I$28</f>
        <v>170.38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customFormat="false" ht="15" hidden="false" customHeight="false" outlineLevel="0" collapsed="false">
      <c r="B385" s="5" t="s">
        <v>164</v>
      </c>
      <c r="C385" s="6" t="n">
        <f aca="false">SUM(D385:U385)</f>
        <v>2306.46</v>
      </c>
      <c r="D385" s="6"/>
      <c r="E385" s="6" t="n">
        <f aca="false">'Building 1'!$I$29</f>
        <v>2306.46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customFormat="false" ht="15" hidden="false" customHeight="false" outlineLevel="0" collapsed="false">
      <c r="B386" s="5" t="s">
        <v>165</v>
      </c>
      <c r="C386" s="6" t="n">
        <f aca="false">SUM(D386:U386)</f>
        <v>1377.26</v>
      </c>
      <c r="D386" s="6"/>
      <c r="E386" s="6" t="n">
        <f aca="false">'Building 1'!$I$30</f>
        <v>1377.26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customFormat="false" ht="15" hidden="false" customHeight="false" outlineLevel="0" collapsed="false">
      <c r="B387" s="5" t="s">
        <v>166</v>
      </c>
      <c r="C387" s="6" t="n">
        <f aca="false">SUM(D387:U387)</f>
        <v>1985.57</v>
      </c>
      <c r="D387" s="6"/>
      <c r="E387" s="6" t="n">
        <f aca="false">'Building 1'!$I$31</f>
        <v>1985.57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customFormat="false" ht="15" hidden="false" customHeight="false" outlineLevel="0" collapsed="false">
      <c r="B388" s="5" t="s">
        <v>167</v>
      </c>
      <c r="C388" s="6" t="n">
        <f aca="false">SUM(D388:U388)</f>
        <v>379.73</v>
      </c>
      <c r="D388" s="6"/>
      <c r="E388" s="6" t="n">
        <f aca="false">'Building 1'!$I$32</f>
        <v>379.73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customFormat="false" ht="15" hidden="false" customHeight="false" outlineLevel="0" collapsed="false">
      <c r="B389" s="5" t="s">
        <v>168</v>
      </c>
      <c r="C389" s="6" t="n">
        <f aca="false">SUM(D389:U389)</f>
        <v>12030.68</v>
      </c>
      <c r="D389" s="6"/>
      <c r="E389" s="6" t="n">
        <f aca="false">'Building 1'!$I$33</f>
        <v>12030.68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customFormat="false" ht="15" hidden="false" customHeight="false" outlineLevel="0" collapsed="false">
      <c r="B390" s="5" t="s">
        <v>169</v>
      </c>
      <c r="C390" s="6" t="n">
        <f aca="false">SUM(D390:U390)</f>
        <v>2129.56</v>
      </c>
      <c r="D390" s="6"/>
      <c r="E390" s="6" t="n">
        <f aca="false">'Building 1'!$I$34</f>
        <v>2129.56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customFormat="false" ht="15" hidden="false" customHeight="false" outlineLevel="0" collapsed="false">
      <c r="B391" s="5" t="s">
        <v>170</v>
      </c>
      <c r="C391" s="6" t="n">
        <f aca="false">SUM(D391:U391)</f>
        <v>16880.45</v>
      </c>
      <c r="D391" s="6"/>
      <c r="E391" s="6"/>
      <c r="F391" s="6" t="n">
        <f aca="false">'Building 2'!$I$21</f>
        <v>16880.45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customFormat="false" ht="15" hidden="false" customHeight="false" outlineLevel="0" collapsed="false">
      <c r="B392" s="5" t="s">
        <v>171</v>
      </c>
      <c r="C392" s="6" t="n">
        <f aca="false">SUM(D392:U392)</f>
        <v>10070.97</v>
      </c>
      <c r="D392" s="6"/>
      <c r="E392" s="6"/>
      <c r="F392" s="6" t="n">
        <f aca="false">'Building 2'!$I$22</f>
        <v>10070.97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customFormat="false" ht="15" hidden="false" customHeight="false" outlineLevel="0" collapsed="false">
      <c r="B393" s="5" t="s">
        <v>172</v>
      </c>
      <c r="C393" s="6" t="n">
        <f aca="false">SUM(D393:U393)</f>
        <v>9053.51</v>
      </c>
      <c r="D393" s="6"/>
      <c r="E393" s="6"/>
      <c r="F393" s="6" t="n">
        <f aca="false">'Building 2'!$I$23</f>
        <v>9053.51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customFormat="false" ht="15" hidden="false" customHeight="false" outlineLevel="0" collapsed="false">
      <c r="B394" s="5" t="s">
        <v>173</v>
      </c>
      <c r="C394" s="6" t="n">
        <f aca="false">SUM(D394:U394)</f>
        <v>1729.84</v>
      </c>
      <c r="D394" s="6"/>
      <c r="E394" s="6"/>
      <c r="F394" s="6" t="n">
        <f aca="false">'Building 2'!$I$24</f>
        <v>1729.84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customFormat="false" ht="15" hidden="false" customHeight="false" outlineLevel="0" collapsed="false">
      <c r="B395" s="5" t="s">
        <v>174</v>
      </c>
      <c r="C395" s="6" t="n">
        <f aca="false">SUM(D395:U395)</f>
        <v>54855.62</v>
      </c>
      <c r="D395" s="6"/>
      <c r="E395" s="6"/>
      <c r="F395" s="6" t="n">
        <f aca="false">'Building 2'!$I$25</f>
        <v>54855.62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customFormat="false" ht="15" hidden="false" customHeight="false" outlineLevel="0" collapsed="false">
      <c r="B396" s="5" t="s">
        <v>175</v>
      </c>
      <c r="C396" s="6" t="n">
        <f aca="false">SUM(D396:U396)</f>
        <v>9701.33</v>
      </c>
      <c r="D396" s="6"/>
      <c r="E396" s="6"/>
      <c r="F396" s="6" t="n">
        <f aca="false">'Building 2'!$I$26</f>
        <v>9701.33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customFormat="false" ht="15" hidden="false" customHeight="false" outlineLevel="0" collapsed="false">
      <c r="B397" s="5" t="s">
        <v>176</v>
      </c>
      <c r="C397" s="6" t="n">
        <f aca="false">SUM(D397:U397)</f>
        <v>594.63</v>
      </c>
      <c r="D397" s="6"/>
      <c r="E397" s="6"/>
      <c r="F397" s="6" t="n">
        <f aca="false">'Building 2'!$I$27+'Building 2'!$I$28</f>
        <v>594.63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customFormat="false" ht="15" hidden="false" customHeight="false" outlineLevel="0" collapsed="false">
      <c r="B398" s="5" t="s">
        <v>177</v>
      </c>
      <c r="C398" s="6" t="n">
        <f aca="false">SUM(D398:U398)</f>
        <v>2308.53</v>
      </c>
      <c r="D398" s="6"/>
      <c r="E398" s="6"/>
      <c r="F398" s="6" t="n">
        <f aca="false">'Building 2'!$I$29</f>
        <v>2308.53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customFormat="false" ht="15" hidden="false" customHeight="false" outlineLevel="0" collapsed="false">
      <c r="B399" s="5" t="s">
        <v>178</v>
      </c>
      <c r="C399" s="6" t="n">
        <f aca="false">SUM(D399:U399)</f>
        <v>1377.26</v>
      </c>
      <c r="D399" s="6"/>
      <c r="E399" s="6"/>
      <c r="F399" s="6" t="n">
        <f aca="false">'Building 2'!$I$30</f>
        <v>1377.26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customFormat="false" ht="15" hidden="false" customHeight="false" outlineLevel="0" collapsed="false">
      <c r="B400" s="5" t="s">
        <v>179</v>
      </c>
      <c r="C400" s="6" t="n">
        <f aca="false">SUM(D400:U400)</f>
        <v>1987.35</v>
      </c>
      <c r="D400" s="6"/>
      <c r="E400" s="6"/>
      <c r="F400" s="6" t="n">
        <f aca="false">'Building 2'!$I$31</f>
        <v>1987.35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customFormat="false" ht="15" hidden="false" customHeight="false" outlineLevel="0" collapsed="false">
      <c r="B401" s="5" t="s">
        <v>180</v>
      </c>
      <c r="C401" s="6" t="n">
        <f aca="false">SUM(D401:U401)</f>
        <v>379.73</v>
      </c>
      <c r="D401" s="6"/>
      <c r="E401" s="6"/>
      <c r="F401" s="6" t="n">
        <f aca="false">'Building 2'!$I$32</f>
        <v>379.73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customFormat="false" ht="15" hidden="false" customHeight="false" outlineLevel="0" collapsed="false">
      <c r="B402" s="5" t="s">
        <v>181</v>
      </c>
      <c r="C402" s="6" t="n">
        <f aca="false">SUM(D402:U402)</f>
        <v>12041.49</v>
      </c>
      <c r="D402" s="6"/>
      <c r="E402" s="6"/>
      <c r="F402" s="6" t="n">
        <f aca="false">'Building 2'!$I$33</f>
        <v>12041.49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customFormat="false" ht="15" hidden="false" customHeight="false" outlineLevel="0" collapsed="false">
      <c r="B403" s="5" t="s">
        <v>182</v>
      </c>
      <c r="C403" s="6" t="n">
        <f aca="false">SUM(D403:U403)</f>
        <v>2129.56</v>
      </c>
      <c r="D403" s="6"/>
      <c r="E403" s="6"/>
      <c r="F403" s="6" t="n">
        <f aca="false">'Building 2'!$I$34</f>
        <v>2129.56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customFormat="false" ht="15" hidden="false" customHeight="false" outlineLevel="0" collapsed="false">
      <c r="B404" s="5" t="s">
        <v>183</v>
      </c>
      <c r="C404" s="6" t="n">
        <f aca="false">SUM(D404:U404)</f>
        <v>16882.61</v>
      </c>
      <c r="D404" s="6"/>
      <c r="E404" s="6"/>
      <c r="F404" s="6"/>
      <c r="G404" s="6" t="n">
        <f aca="false">'Building 3'!$I$21</f>
        <v>16882.61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customFormat="false" ht="15" hidden="false" customHeight="false" outlineLevel="0" collapsed="false">
      <c r="B405" s="5" t="s">
        <v>184</v>
      </c>
      <c r="C405" s="6" t="n">
        <f aca="false">SUM(D405:U405)</f>
        <v>10070.97</v>
      </c>
      <c r="D405" s="6"/>
      <c r="E405" s="6"/>
      <c r="F405" s="6"/>
      <c r="G405" s="6" t="n">
        <f aca="false">'Building 3'!$I$22</f>
        <v>10070.97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customFormat="false" ht="15" hidden="false" customHeight="false" outlineLevel="0" collapsed="false">
      <c r="B406" s="5" t="s">
        <v>185</v>
      </c>
      <c r="C406" s="6" t="n">
        <f aca="false">SUM(D406:U406)</f>
        <v>9054.67</v>
      </c>
      <c r="D406" s="6"/>
      <c r="E406" s="6"/>
      <c r="F406" s="6"/>
      <c r="G406" s="6" t="n">
        <f aca="false">'Building 3'!$I$23</f>
        <v>9054.67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customFormat="false" ht="15" hidden="false" customHeight="false" outlineLevel="0" collapsed="false">
      <c r="B407" s="5" t="s">
        <v>186</v>
      </c>
      <c r="C407" s="6" t="n">
        <f aca="false">SUM(D407:U407)</f>
        <v>1729.84</v>
      </c>
      <c r="D407" s="6"/>
      <c r="E407" s="6"/>
      <c r="F407" s="6"/>
      <c r="G407" s="6" t="n">
        <f aca="false">'Building 3'!$I$24</f>
        <v>1729.84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customFormat="false" ht="15" hidden="false" customHeight="false" outlineLevel="0" collapsed="false">
      <c r="B408" s="5" t="s">
        <v>187</v>
      </c>
      <c r="C408" s="6" t="n">
        <f aca="false">SUM(D408:U408)</f>
        <v>54862.65</v>
      </c>
      <c r="D408" s="6"/>
      <c r="E408" s="6"/>
      <c r="F408" s="6"/>
      <c r="G408" s="6" t="n">
        <f aca="false">'Building 3'!$I$25</f>
        <v>54862.65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customFormat="false" ht="15" hidden="false" customHeight="false" outlineLevel="0" collapsed="false">
      <c r="B409" s="5" t="s">
        <v>188</v>
      </c>
      <c r="C409" s="6" t="n">
        <f aca="false">SUM(D409:U409)</f>
        <v>9701.33</v>
      </c>
      <c r="D409" s="6"/>
      <c r="E409" s="6"/>
      <c r="F409" s="6"/>
      <c r="G409" s="6" t="n">
        <f aca="false">'Building 3'!$I$26</f>
        <v>9701.33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customFormat="false" ht="15" hidden="false" customHeight="false" outlineLevel="0" collapsed="false">
      <c r="B410" s="5" t="s">
        <v>189</v>
      </c>
      <c r="C410" s="6" t="n">
        <f aca="false">SUM(D410:U410)</f>
        <v>594.69</v>
      </c>
      <c r="D410" s="6"/>
      <c r="E410" s="6"/>
      <c r="F410" s="6"/>
      <c r="G410" s="6" t="n">
        <f aca="false">'Building 3'!$I$27+'Building 3'!$I$28</f>
        <v>594.69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customFormat="false" ht="15" hidden="false" customHeight="false" outlineLevel="0" collapsed="false">
      <c r="B411" s="5" t="s">
        <v>190</v>
      </c>
      <c r="C411" s="6" t="n">
        <f aca="false">SUM(D411:U411)</f>
        <v>2308.82</v>
      </c>
      <c r="D411" s="6"/>
      <c r="E411" s="6"/>
      <c r="F411" s="6"/>
      <c r="G411" s="6" t="n">
        <f aca="false">'Building 3'!$I$29</f>
        <v>2308.82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customFormat="false" ht="15" hidden="false" customHeight="false" outlineLevel="0" collapsed="false">
      <c r="B412" s="5" t="s">
        <v>191</v>
      </c>
      <c r="C412" s="6" t="n">
        <f aca="false">SUM(D412:U412)</f>
        <v>1377.26</v>
      </c>
      <c r="D412" s="6"/>
      <c r="E412" s="6"/>
      <c r="F412" s="6"/>
      <c r="G412" s="6" t="n">
        <f aca="false">'Building 3'!$I$30</f>
        <v>1377.26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customFormat="false" ht="15" hidden="false" customHeight="false" outlineLevel="0" collapsed="false">
      <c r="B413" s="5" t="s">
        <v>192</v>
      </c>
      <c r="C413" s="6" t="n">
        <f aca="false">SUM(D413:U413)</f>
        <v>1987.61</v>
      </c>
      <c r="D413" s="6"/>
      <c r="E413" s="6"/>
      <c r="F413" s="6"/>
      <c r="G413" s="6" t="n">
        <f aca="false">'Building 3'!$I$31</f>
        <v>1987.61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customFormat="false" ht="15" hidden="false" customHeight="false" outlineLevel="0" collapsed="false">
      <c r="B414" s="5" t="s">
        <v>193</v>
      </c>
      <c r="C414" s="6" t="n">
        <f aca="false">SUM(D414:U414)</f>
        <v>379.73</v>
      </c>
      <c r="D414" s="6"/>
      <c r="E414" s="6"/>
      <c r="F414" s="6"/>
      <c r="G414" s="6" t="n">
        <f aca="false">'Building 3'!$I$32</f>
        <v>379.73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customFormat="false" ht="15" hidden="false" customHeight="false" outlineLevel="0" collapsed="false">
      <c r="B415" s="5" t="s">
        <v>194</v>
      </c>
      <c r="C415" s="6" t="n">
        <f aca="false">SUM(D415:U415)</f>
        <v>12043.02</v>
      </c>
      <c r="D415" s="6"/>
      <c r="E415" s="6"/>
      <c r="F415" s="6"/>
      <c r="G415" s="6" t="n">
        <f aca="false">'Building 3'!$I$33</f>
        <v>12043.02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customFormat="false" ht="15" hidden="false" customHeight="false" outlineLevel="0" collapsed="false">
      <c r="B416" s="5" t="s">
        <v>195</v>
      </c>
      <c r="C416" s="6" t="n">
        <f aca="false">SUM(D416:U416)</f>
        <v>2129.56</v>
      </c>
      <c r="D416" s="6"/>
      <c r="E416" s="6"/>
      <c r="F416" s="6"/>
      <c r="G416" s="6" t="n">
        <f aca="false">'Building 3'!$I$34</f>
        <v>2129.56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customFormat="false" ht="15" hidden="false" customHeight="false" outlineLevel="0" collapsed="false">
      <c r="B417" s="5" t="s">
        <v>196</v>
      </c>
      <c r="C417" s="6" t="n">
        <f aca="false">SUM(D417:U417)</f>
        <v>16882.61</v>
      </c>
      <c r="D417" s="6"/>
      <c r="E417" s="6"/>
      <c r="F417" s="6"/>
      <c r="G417" s="6"/>
      <c r="H417" s="6" t="n">
        <f aca="false">'Building 4'!$I$21</f>
        <v>16882.61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customFormat="false" ht="15" hidden="false" customHeight="false" outlineLevel="0" collapsed="false">
      <c r="B418" s="5" t="s">
        <v>197</v>
      </c>
      <c r="C418" s="6" t="n">
        <f aca="false">SUM(D418:U418)</f>
        <v>10007.92</v>
      </c>
      <c r="D418" s="6"/>
      <c r="E418" s="6"/>
      <c r="F418" s="6"/>
      <c r="G418" s="6"/>
      <c r="H418" s="6" t="n">
        <f aca="false">'Building 4'!$I$22</f>
        <v>10007.92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customFormat="false" ht="15" hidden="false" customHeight="false" outlineLevel="0" collapsed="false">
      <c r="B419" s="5" t="s">
        <v>198</v>
      </c>
      <c r="C419" s="6" t="n">
        <f aca="false">SUM(D419:U419)</f>
        <v>9054.67</v>
      </c>
      <c r="D419" s="6"/>
      <c r="E419" s="6"/>
      <c r="F419" s="6"/>
      <c r="G419" s="6"/>
      <c r="H419" s="6" t="n">
        <f aca="false">'Building 4'!$I$23</f>
        <v>9054.67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customFormat="false" ht="15" hidden="false" customHeight="false" outlineLevel="0" collapsed="false">
      <c r="B420" s="5" t="s">
        <v>199</v>
      </c>
      <c r="C420" s="6" t="n">
        <f aca="false">SUM(D420:U420)</f>
        <v>1719.02</v>
      </c>
      <c r="D420" s="6"/>
      <c r="E420" s="6"/>
      <c r="F420" s="6"/>
      <c r="G420" s="6"/>
      <c r="H420" s="6" t="n">
        <f aca="false">'Building 4'!$I$24</f>
        <v>1719.02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customFormat="false" ht="15" hidden="false" customHeight="false" outlineLevel="0" collapsed="false">
      <c r="B421" s="5" t="s">
        <v>200</v>
      </c>
      <c r="C421" s="6" t="n">
        <f aca="false">SUM(D421:U421)</f>
        <v>54862.65</v>
      </c>
      <c r="D421" s="6"/>
      <c r="E421" s="6"/>
      <c r="F421" s="6"/>
      <c r="G421" s="6"/>
      <c r="H421" s="6" t="n">
        <f aca="false">'Building 4'!$I$25</f>
        <v>54862.65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customFormat="false" ht="15" hidden="false" customHeight="false" outlineLevel="0" collapsed="false">
      <c r="B422" s="5" t="s">
        <v>201</v>
      </c>
      <c r="C422" s="6" t="n">
        <f aca="false">SUM(D422:U422)</f>
        <v>9640.62</v>
      </c>
      <c r="D422" s="6"/>
      <c r="E422" s="6"/>
      <c r="F422" s="6"/>
      <c r="G422" s="6"/>
      <c r="H422" s="6" t="n">
        <f aca="false">'Building 4'!$I$26</f>
        <v>9640.62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customFormat="false" ht="15" hidden="false" customHeight="false" outlineLevel="0" collapsed="false">
      <c r="B423" s="5" t="s">
        <v>202</v>
      </c>
      <c r="C423" s="6" t="n">
        <f aca="false">SUM(D423:U423)</f>
        <v>593.65</v>
      </c>
      <c r="D423" s="6"/>
      <c r="E423" s="6"/>
      <c r="F423" s="6"/>
      <c r="G423" s="6"/>
      <c r="H423" s="6" t="n">
        <f aca="false">'Building 4'!$I$27+'Building 4'!$I$28</f>
        <v>593.65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customFormat="false" ht="15" hidden="false" customHeight="false" outlineLevel="0" collapsed="false">
      <c r="B424" s="5" t="s">
        <v>203</v>
      </c>
      <c r="C424" s="6" t="n">
        <f aca="false">SUM(D424:U424)</f>
        <v>2308.82</v>
      </c>
      <c r="D424" s="6"/>
      <c r="E424" s="6"/>
      <c r="F424" s="6"/>
      <c r="G424" s="6"/>
      <c r="H424" s="6" t="n">
        <f aca="false">'Building 4'!$I$29</f>
        <v>2308.82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customFormat="false" ht="15" hidden="false" customHeight="false" outlineLevel="0" collapsed="false">
      <c r="B425" s="5" t="s">
        <v>204</v>
      </c>
      <c r="C425" s="6" t="n">
        <f aca="false">SUM(D425:U425)</f>
        <v>1368.65</v>
      </c>
      <c r="D425" s="6"/>
      <c r="E425" s="6"/>
      <c r="F425" s="6"/>
      <c r="G425" s="6"/>
      <c r="H425" s="6" t="n">
        <f aca="false">'Building 4'!$I$30</f>
        <v>1368.65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customFormat="false" ht="15" hidden="false" customHeight="false" outlineLevel="0" collapsed="false">
      <c r="B426" s="5" t="s">
        <v>205</v>
      </c>
      <c r="C426" s="6" t="n">
        <f aca="false">SUM(D426:U426)</f>
        <v>1987.61</v>
      </c>
      <c r="D426" s="6"/>
      <c r="E426" s="6"/>
      <c r="F426" s="6"/>
      <c r="G426" s="6"/>
      <c r="H426" s="6" t="n">
        <f aca="false">'Building 4'!$I$31</f>
        <v>1987.61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customFormat="false" ht="15" hidden="false" customHeight="false" outlineLevel="0" collapsed="false">
      <c r="B427" s="5" t="s">
        <v>206</v>
      </c>
      <c r="C427" s="6" t="n">
        <f aca="false">SUM(D427:U427)</f>
        <v>377.34</v>
      </c>
      <c r="D427" s="6"/>
      <c r="E427" s="6"/>
      <c r="F427" s="6"/>
      <c r="G427" s="6"/>
      <c r="H427" s="6" t="n">
        <f aca="false">'Building 4'!$I$32</f>
        <v>377.34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customFormat="false" ht="15" hidden="false" customHeight="false" outlineLevel="0" collapsed="false">
      <c r="B428" s="5" t="s">
        <v>207</v>
      </c>
      <c r="C428" s="6" t="n">
        <f aca="false">SUM(D428:U428)</f>
        <v>12043.03</v>
      </c>
      <c r="D428" s="6"/>
      <c r="E428" s="6"/>
      <c r="F428" s="6"/>
      <c r="G428" s="6"/>
      <c r="H428" s="6" t="n">
        <f aca="false">'Building 4'!$I$33</f>
        <v>12043.03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customFormat="false" ht="15" hidden="false" customHeight="false" outlineLevel="0" collapsed="false">
      <c r="B429" s="5" t="s">
        <v>208</v>
      </c>
      <c r="C429" s="6" t="n">
        <f aca="false">SUM(D429:U429)</f>
        <v>2116.23</v>
      </c>
      <c r="D429" s="6"/>
      <c r="E429" s="6"/>
      <c r="F429" s="6"/>
      <c r="G429" s="6"/>
      <c r="H429" s="6" t="n">
        <f aca="false">'Building 4'!$I$34</f>
        <v>2116.23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customFormat="false" ht="15" hidden="false" customHeight="false" outlineLevel="0" collapsed="false">
      <c r="B430" s="5" t="s">
        <v>209</v>
      </c>
      <c r="C430" s="6" t="n">
        <f aca="false">SUM(D430:U430)</f>
        <v>18042.22</v>
      </c>
      <c r="D430" s="6"/>
      <c r="E430" s="6"/>
      <c r="F430" s="6"/>
      <c r="G430" s="6"/>
      <c r="H430" s="6"/>
      <c r="I430" s="6" t="n">
        <f aca="false">'Building 5'!$I$21</f>
        <v>18042.22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customFormat="false" ht="15" hidden="false" customHeight="false" outlineLevel="0" collapsed="false">
      <c r="B431" s="5" t="s">
        <v>210</v>
      </c>
      <c r="C431" s="6" t="n">
        <f aca="false">SUM(D431:U431)</f>
        <v>11463.02</v>
      </c>
      <c r="D431" s="6"/>
      <c r="E431" s="6"/>
      <c r="F431" s="6"/>
      <c r="G431" s="6"/>
      <c r="H431" s="6"/>
      <c r="I431" s="6" t="n">
        <f aca="false">'Building 5'!$I$22</f>
        <v>11463.02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customFormat="false" ht="15" hidden="false" customHeight="false" outlineLevel="0" collapsed="false">
      <c r="B432" s="5" t="s">
        <v>211</v>
      </c>
      <c r="C432" s="6" t="n">
        <f aca="false">SUM(D432:U432)</f>
        <v>9676.61</v>
      </c>
      <c r="D432" s="6"/>
      <c r="E432" s="6"/>
      <c r="F432" s="6"/>
      <c r="G432" s="6"/>
      <c r="H432" s="6"/>
      <c r="I432" s="6" t="n">
        <f aca="false">'Building 5'!$I$23</f>
        <v>9676.61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customFormat="false" ht="15" hidden="false" customHeight="false" outlineLevel="0" collapsed="false">
      <c r="B433" s="5" t="s">
        <v>212</v>
      </c>
      <c r="C433" s="6" t="n">
        <f aca="false">SUM(D433:U433)</f>
        <v>1968.96</v>
      </c>
      <c r="D433" s="6"/>
      <c r="E433" s="6"/>
      <c r="F433" s="6"/>
      <c r="G433" s="6"/>
      <c r="H433" s="6"/>
      <c r="I433" s="6" t="n">
        <f aca="false">'Building 5'!$I$24</f>
        <v>1968.96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customFormat="false" ht="15" hidden="false" customHeight="false" outlineLevel="0" collapsed="false">
      <c r="B434" s="5" t="s">
        <v>213</v>
      </c>
      <c r="C434" s="6" t="n">
        <f aca="false">SUM(D434:U434)</f>
        <v>58630.96</v>
      </c>
      <c r="D434" s="6"/>
      <c r="E434" s="6"/>
      <c r="F434" s="6"/>
      <c r="G434" s="6"/>
      <c r="H434" s="6"/>
      <c r="I434" s="6" t="n">
        <f aca="false">'Building 5'!$I$25</f>
        <v>58630.96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customFormat="false" ht="15" hidden="false" customHeight="false" outlineLevel="0" collapsed="false">
      <c r="B435" s="5" t="s">
        <v>214</v>
      </c>
      <c r="C435" s="6" t="n">
        <f aca="false">SUM(D435:U435)</f>
        <v>11042.34</v>
      </c>
      <c r="D435" s="6"/>
      <c r="E435" s="6"/>
      <c r="F435" s="6"/>
      <c r="G435" s="6"/>
      <c r="H435" s="6"/>
      <c r="I435" s="6" t="n">
        <f aca="false">'Building 5'!$I$26</f>
        <v>11042.34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customFormat="false" ht="15" hidden="false" customHeight="false" outlineLevel="0" collapsed="false">
      <c r="B436" s="5" t="s">
        <v>215</v>
      </c>
      <c r="C436" s="6" t="n">
        <f aca="false">SUM(D436:U436)</f>
        <v>647.39</v>
      </c>
      <c r="D436" s="6"/>
      <c r="E436" s="6"/>
      <c r="F436" s="6"/>
      <c r="G436" s="6"/>
      <c r="H436" s="6"/>
      <c r="I436" s="6" t="n">
        <f aca="false">'Building 5'!$I$27+'Building 5'!$I$28</f>
        <v>647.39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customFormat="false" ht="15" hidden="false" customHeight="false" outlineLevel="0" collapsed="false">
      <c r="B437" s="5" t="s">
        <v>216</v>
      </c>
      <c r="C437" s="6" t="n">
        <f aca="false">SUM(D437:U437)</f>
        <v>2467.41</v>
      </c>
      <c r="D437" s="6"/>
      <c r="E437" s="6"/>
      <c r="F437" s="6"/>
      <c r="G437" s="6"/>
      <c r="H437" s="6"/>
      <c r="I437" s="6" t="n">
        <f aca="false">'Building 5'!$I$29</f>
        <v>2467.41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customFormat="false" ht="15" hidden="false" customHeight="false" outlineLevel="0" collapsed="false">
      <c r="B438" s="5" t="s">
        <v>217</v>
      </c>
      <c r="C438" s="6" t="n">
        <f aca="false">SUM(D438:U438)</f>
        <v>1567.68</v>
      </c>
      <c r="D438" s="6"/>
      <c r="E438" s="6"/>
      <c r="F438" s="6"/>
      <c r="G438" s="6"/>
      <c r="H438" s="6"/>
      <c r="I438" s="6" t="n">
        <f aca="false">'Building 5'!$I$30</f>
        <v>1567.68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customFormat="false" ht="15" hidden="false" customHeight="false" outlineLevel="0" collapsed="false">
      <c r="B439" s="5" t="s">
        <v>218</v>
      </c>
      <c r="C439" s="6" t="n">
        <f aca="false">SUM(D439:U439)</f>
        <v>2124.13</v>
      </c>
      <c r="D439" s="6"/>
      <c r="E439" s="6"/>
      <c r="F439" s="6"/>
      <c r="G439" s="6"/>
      <c r="H439" s="6"/>
      <c r="I439" s="6" t="n">
        <f aca="false">'Building 5'!$I$31</f>
        <v>2124.13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customFormat="false" ht="15" hidden="false" customHeight="false" outlineLevel="0" collapsed="false">
      <c r="B440" s="5" t="s">
        <v>219</v>
      </c>
      <c r="C440" s="6" t="n">
        <f aca="false">SUM(D440:U440)</f>
        <v>432.22</v>
      </c>
      <c r="D440" s="6"/>
      <c r="E440" s="6"/>
      <c r="F440" s="6"/>
      <c r="G440" s="6"/>
      <c r="H440" s="6"/>
      <c r="I440" s="6" t="n">
        <f aca="false">'Building 5'!$I$32</f>
        <v>432.22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customFormat="false" ht="15" hidden="false" customHeight="false" outlineLevel="0" collapsed="false">
      <c r="B441" s="5" t="s">
        <v>220</v>
      </c>
      <c r="C441" s="6" t="n">
        <f aca="false">SUM(D441:U441)</f>
        <v>12870.2</v>
      </c>
      <c r="D441" s="6"/>
      <c r="E441" s="6"/>
      <c r="F441" s="6"/>
      <c r="G441" s="6"/>
      <c r="H441" s="6"/>
      <c r="I441" s="6" t="n">
        <f aca="false">'Building 5'!$I$33</f>
        <v>12870.2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customFormat="false" ht="15" hidden="false" customHeight="false" outlineLevel="0" collapsed="false">
      <c r="B442" s="5" t="s">
        <v>221</v>
      </c>
      <c r="C442" s="6" t="n">
        <f aca="false">SUM(D442:U442)</f>
        <v>2423.93</v>
      </c>
      <c r="D442" s="6"/>
      <c r="E442" s="6"/>
      <c r="F442" s="6"/>
      <c r="G442" s="6"/>
      <c r="H442" s="6"/>
      <c r="I442" s="6" t="n">
        <f aca="false">'Building 5'!$I$34</f>
        <v>2423.93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customFormat="false" ht="15" hidden="false" customHeight="false" outlineLevel="0" collapsed="false">
      <c r="B443" s="5" t="s">
        <v>222</v>
      </c>
      <c r="C443" s="6" t="n">
        <f aca="false">SUM(D443:U443)</f>
        <v>16882.61</v>
      </c>
      <c r="D443" s="6"/>
      <c r="E443" s="6"/>
      <c r="F443" s="6"/>
      <c r="G443" s="6"/>
      <c r="H443" s="6"/>
      <c r="I443" s="6"/>
      <c r="J443" s="6" t="n">
        <f aca="false">'Building 6'!$I$21</f>
        <v>16882.61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customFormat="false" ht="15" hidden="false" customHeight="false" outlineLevel="0" collapsed="false">
      <c r="B444" s="5" t="s">
        <v>223</v>
      </c>
      <c r="C444" s="6" t="n">
        <f aca="false">SUM(D444:U444)</f>
        <v>10080.02</v>
      </c>
      <c r="D444" s="6"/>
      <c r="E444" s="6"/>
      <c r="F444" s="6"/>
      <c r="G444" s="6"/>
      <c r="H444" s="6"/>
      <c r="I444" s="6"/>
      <c r="J444" s="6" t="n">
        <f aca="false">'Building 6'!$I$22</f>
        <v>10080.02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customFormat="false" ht="15" hidden="false" customHeight="false" outlineLevel="0" collapsed="false">
      <c r="B445" s="5" t="s">
        <v>224</v>
      </c>
      <c r="C445" s="6" t="n">
        <f aca="false">SUM(D445:U445)</f>
        <v>9054.67</v>
      </c>
      <c r="D445" s="6"/>
      <c r="E445" s="6"/>
      <c r="F445" s="6"/>
      <c r="G445" s="6"/>
      <c r="H445" s="6"/>
      <c r="I445" s="6"/>
      <c r="J445" s="6" t="n">
        <f aca="false">'Building 6'!$I$23</f>
        <v>9054.67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customFormat="false" ht="15" hidden="false" customHeight="false" outlineLevel="0" collapsed="false">
      <c r="B446" s="5" t="s">
        <v>225</v>
      </c>
      <c r="C446" s="6" t="n">
        <f aca="false">SUM(D446:U446)</f>
        <v>1731.41</v>
      </c>
      <c r="D446" s="6"/>
      <c r="E446" s="6"/>
      <c r="F446" s="6"/>
      <c r="G446" s="6"/>
      <c r="H446" s="6"/>
      <c r="I446" s="6"/>
      <c r="J446" s="6" t="n">
        <f aca="false">'Building 6'!$I$24</f>
        <v>1731.41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customFormat="false" ht="15" hidden="false" customHeight="false" outlineLevel="0" collapsed="false">
      <c r="B447" s="5" t="s">
        <v>226</v>
      </c>
      <c r="C447" s="6" t="n">
        <f aca="false">SUM(D447:U447)</f>
        <v>54862.65</v>
      </c>
      <c r="D447" s="6"/>
      <c r="E447" s="6"/>
      <c r="F447" s="6"/>
      <c r="G447" s="6"/>
      <c r="H447" s="6"/>
      <c r="I447" s="6"/>
      <c r="J447" s="6" t="n">
        <f aca="false">'Building 6'!$I$25</f>
        <v>54862.65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customFormat="false" ht="15" hidden="false" customHeight="false" outlineLevel="0" collapsed="false">
      <c r="B448" s="5" t="s">
        <v>227</v>
      </c>
      <c r="C448" s="6" t="n">
        <f aca="false">SUM(D448:U448)</f>
        <v>9710.07</v>
      </c>
      <c r="D448" s="6"/>
      <c r="E448" s="6"/>
      <c r="F448" s="6"/>
      <c r="G448" s="6"/>
      <c r="H448" s="6"/>
      <c r="I448" s="6"/>
      <c r="J448" s="6" t="n">
        <f aca="false">'Building 6'!$I$26</f>
        <v>9710.07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customFormat="false" ht="15" hidden="false" customHeight="false" outlineLevel="0" collapsed="false">
      <c r="B449" s="5" t="s">
        <v>228</v>
      </c>
      <c r="C449" s="6" t="n">
        <f aca="false">SUM(D449:U449)</f>
        <v>594.85</v>
      </c>
      <c r="D449" s="6"/>
      <c r="E449" s="6"/>
      <c r="F449" s="6"/>
      <c r="G449" s="6"/>
      <c r="H449" s="6"/>
      <c r="I449" s="6"/>
      <c r="J449" s="6" t="n">
        <f aca="false">'Building 6'!$I$27+'Building 6'!$I$28</f>
        <v>594.85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customFormat="false" ht="15" hidden="false" customHeight="false" outlineLevel="0" collapsed="false">
      <c r="B450" s="5" t="s">
        <v>229</v>
      </c>
      <c r="C450" s="6" t="n">
        <f aca="false">SUM(D450:U450)</f>
        <v>2308.83</v>
      </c>
      <c r="D450" s="6"/>
      <c r="E450" s="6"/>
      <c r="F450" s="6"/>
      <c r="G450" s="6"/>
      <c r="H450" s="6"/>
      <c r="I450" s="6"/>
      <c r="J450" s="6" t="n">
        <f aca="false">'Building 6'!$I$29</f>
        <v>2308.83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customFormat="false" ht="15" hidden="false" customHeight="false" outlineLevel="0" collapsed="false">
      <c r="B451" s="5" t="s">
        <v>230</v>
      </c>
      <c r="C451" s="6" t="n">
        <f aca="false">SUM(D451:U451)</f>
        <v>1378.53</v>
      </c>
      <c r="D451" s="6"/>
      <c r="E451" s="6"/>
      <c r="F451" s="6"/>
      <c r="G451" s="6"/>
      <c r="H451" s="6"/>
      <c r="I451" s="6"/>
      <c r="J451" s="6" t="n">
        <f aca="false">'Building 6'!$I$30</f>
        <v>1378.53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customFormat="false" ht="15" hidden="false" customHeight="false" outlineLevel="0" collapsed="false">
      <c r="B452" s="5" t="s">
        <v>231</v>
      </c>
      <c r="C452" s="6" t="n">
        <f aca="false">SUM(D452:U452)</f>
        <v>1987.61</v>
      </c>
      <c r="D452" s="6"/>
      <c r="E452" s="6"/>
      <c r="F452" s="6"/>
      <c r="G452" s="6"/>
      <c r="H452" s="6"/>
      <c r="I452" s="6"/>
      <c r="J452" s="6" t="n">
        <f aca="false">'Building 6'!$I$31</f>
        <v>1987.61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customFormat="false" ht="15" hidden="false" customHeight="false" outlineLevel="0" collapsed="false">
      <c r="B453" s="5" t="s">
        <v>232</v>
      </c>
      <c r="C453" s="6" t="n">
        <f aca="false">SUM(D453:U453)</f>
        <v>380.06</v>
      </c>
      <c r="D453" s="6"/>
      <c r="E453" s="6"/>
      <c r="F453" s="6"/>
      <c r="G453" s="6"/>
      <c r="H453" s="6"/>
      <c r="I453" s="6"/>
      <c r="J453" s="6" t="n">
        <f aca="false">'Building 6'!$I$32</f>
        <v>380.06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customFormat="false" ht="15" hidden="false" customHeight="false" outlineLevel="0" collapsed="false">
      <c r="B454" s="5" t="s">
        <v>233</v>
      </c>
      <c r="C454" s="6" t="n">
        <f aca="false">SUM(D454:U454)</f>
        <v>12043.03</v>
      </c>
      <c r="D454" s="6"/>
      <c r="E454" s="6"/>
      <c r="F454" s="6"/>
      <c r="G454" s="6"/>
      <c r="H454" s="6"/>
      <c r="I454" s="6"/>
      <c r="J454" s="6" t="n">
        <f aca="false">'Building 6'!$I$33</f>
        <v>12043.03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customFormat="false" ht="15" hidden="false" customHeight="false" outlineLevel="0" collapsed="false">
      <c r="B455" s="5" t="s">
        <v>234</v>
      </c>
      <c r="C455" s="6" t="n">
        <f aca="false">SUM(D455:U455)</f>
        <v>2131.47</v>
      </c>
      <c r="D455" s="6"/>
      <c r="E455" s="6"/>
      <c r="F455" s="6"/>
      <c r="G455" s="6"/>
      <c r="H455" s="6"/>
      <c r="I455" s="6"/>
      <c r="J455" s="6" t="n">
        <f aca="false">'Building 6'!$I$34</f>
        <v>2131.47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customFormat="false" ht="15" hidden="false" customHeight="false" outlineLevel="0" collapsed="false">
      <c r="B456" s="5" t="s">
        <v>235</v>
      </c>
      <c r="C456" s="6" t="n">
        <f aca="false">SUM(D456:U456)</f>
        <v>18042.22</v>
      </c>
      <c r="D456" s="6"/>
      <c r="E456" s="6"/>
      <c r="F456" s="6"/>
      <c r="G456" s="6"/>
      <c r="H456" s="6"/>
      <c r="I456" s="6"/>
      <c r="J456" s="6"/>
      <c r="K456" s="6" t="n">
        <f aca="false">'Building 7'!$I$21</f>
        <v>18042.22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customFormat="false" ht="15" hidden="false" customHeight="false" outlineLevel="0" collapsed="false">
      <c r="B457" s="5" t="s">
        <v>236</v>
      </c>
      <c r="C457" s="6" t="n">
        <f aca="false">SUM(D457:U457)</f>
        <v>11535.12</v>
      </c>
      <c r="D457" s="6"/>
      <c r="E457" s="6"/>
      <c r="F457" s="6"/>
      <c r="G457" s="6"/>
      <c r="H457" s="6"/>
      <c r="I457" s="6"/>
      <c r="J457" s="6"/>
      <c r="K457" s="6" t="n">
        <f aca="false">'Building 7'!$I$22</f>
        <v>11535.12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customFormat="false" ht="15" hidden="false" customHeight="false" outlineLevel="0" collapsed="false">
      <c r="B458" s="5" t="s">
        <v>237</v>
      </c>
      <c r="C458" s="6" t="n">
        <f aca="false">SUM(D458:U458)</f>
        <v>9676.61</v>
      </c>
      <c r="D458" s="6"/>
      <c r="E458" s="6"/>
      <c r="F458" s="6"/>
      <c r="G458" s="6"/>
      <c r="H458" s="6"/>
      <c r="I458" s="6"/>
      <c r="J458" s="6"/>
      <c r="K458" s="6" t="n">
        <f aca="false">'Building 7'!$I$23</f>
        <v>9676.61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customFormat="false" ht="15" hidden="false" customHeight="false" outlineLevel="0" collapsed="false">
      <c r="B459" s="5" t="s">
        <v>238</v>
      </c>
      <c r="C459" s="6" t="n">
        <f aca="false">SUM(D459:U459)</f>
        <v>1981.36</v>
      </c>
      <c r="D459" s="6"/>
      <c r="E459" s="6"/>
      <c r="F459" s="6"/>
      <c r="G459" s="6"/>
      <c r="H459" s="6"/>
      <c r="I459" s="6"/>
      <c r="J459" s="6"/>
      <c r="K459" s="6" t="n">
        <f aca="false">'Building 7'!$I$24</f>
        <v>1981.36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customFormat="false" ht="15" hidden="false" customHeight="false" outlineLevel="0" collapsed="false">
      <c r="B460" s="5" t="s">
        <v>239</v>
      </c>
      <c r="C460" s="6" t="n">
        <f aca="false">SUM(D460:U460)</f>
        <v>58630.96</v>
      </c>
      <c r="D460" s="6"/>
      <c r="E460" s="6"/>
      <c r="F460" s="6"/>
      <c r="G460" s="6"/>
      <c r="H460" s="6"/>
      <c r="I460" s="6"/>
      <c r="J460" s="6"/>
      <c r="K460" s="6" t="n">
        <f aca="false">'Building 7'!$I$25</f>
        <v>58630.96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customFormat="false" ht="15" hidden="false" customHeight="false" outlineLevel="0" collapsed="false">
      <c r="B461" s="5" t="s">
        <v>240</v>
      </c>
      <c r="C461" s="6" t="n">
        <f aca="false">SUM(D461:U461)</f>
        <v>11111.79</v>
      </c>
      <c r="D461" s="6"/>
      <c r="E461" s="6"/>
      <c r="F461" s="6"/>
      <c r="G461" s="6"/>
      <c r="H461" s="6"/>
      <c r="I461" s="6"/>
      <c r="J461" s="6"/>
      <c r="K461" s="6" t="n">
        <f aca="false">'Building 7'!$I$26</f>
        <v>11111.79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customFormat="false" ht="15" hidden="false" customHeight="false" outlineLevel="0" collapsed="false">
      <c r="B462" s="5" t="s">
        <v>241</v>
      </c>
      <c r="C462" s="6" t="n">
        <f aca="false">SUM(D462:U462)</f>
        <v>648.63</v>
      </c>
      <c r="D462" s="6"/>
      <c r="E462" s="6"/>
      <c r="F462" s="6"/>
      <c r="G462" s="6"/>
      <c r="H462" s="6"/>
      <c r="I462" s="6"/>
      <c r="J462" s="6"/>
      <c r="K462" s="6" t="n">
        <f aca="false">'Building 7'!$I$27+'Building 7'!$I$28</f>
        <v>648.63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customFormat="false" ht="15" hidden="false" customHeight="false" outlineLevel="0" collapsed="false">
      <c r="B463" s="5" t="s">
        <v>242</v>
      </c>
      <c r="C463" s="6" t="n">
        <f aca="false">SUM(D463:U463)</f>
        <v>2467.41</v>
      </c>
      <c r="D463" s="6"/>
      <c r="E463" s="6"/>
      <c r="F463" s="6"/>
      <c r="G463" s="6"/>
      <c r="H463" s="6"/>
      <c r="I463" s="6"/>
      <c r="J463" s="6"/>
      <c r="K463" s="6" t="n">
        <f aca="false">'Building 7'!$I$29</f>
        <v>2467.41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customFormat="false" ht="15" hidden="false" customHeight="false" outlineLevel="0" collapsed="false">
      <c r="B464" s="5" t="s">
        <v>243</v>
      </c>
      <c r="C464" s="6" t="n">
        <f aca="false">SUM(D464:U464)</f>
        <v>1577.5</v>
      </c>
      <c r="D464" s="6"/>
      <c r="E464" s="6"/>
      <c r="F464" s="6"/>
      <c r="G464" s="6"/>
      <c r="H464" s="6"/>
      <c r="I464" s="6"/>
      <c r="J464" s="6"/>
      <c r="K464" s="6" t="n">
        <f aca="false">'Building 7'!$I$30</f>
        <v>1577.5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customFormat="false" ht="15" hidden="false" customHeight="false" outlineLevel="0" collapsed="false">
      <c r="B465" s="5" t="s">
        <v>244</v>
      </c>
      <c r="C465" s="6" t="n">
        <f aca="false">SUM(D465:U465)</f>
        <v>2124.13</v>
      </c>
      <c r="D465" s="6"/>
      <c r="E465" s="6"/>
      <c r="F465" s="6"/>
      <c r="G465" s="6"/>
      <c r="H465" s="6"/>
      <c r="I465" s="6"/>
      <c r="J465" s="6"/>
      <c r="K465" s="6" t="n">
        <f aca="false">'Building 7'!$I$31</f>
        <v>2124.13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customFormat="false" ht="15" hidden="false" customHeight="false" outlineLevel="0" collapsed="false">
      <c r="B466" s="5" t="s">
        <v>245</v>
      </c>
      <c r="C466" s="6" t="n">
        <f aca="false">SUM(D466:U466)</f>
        <v>434.94</v>
      </c>
      <c r="D466" s="6"/>
      <c r="E466" s="6"/>
      <c r="F466" s="6"/>
      <c r="G466" s="6"/>
      <c r="H466" s="6"/>
      <c r="I466" s="6"/>
      <c r="J466" s="6"/>
      <c r="K466" s="6" t="n">
        <f aca="false">'Building 7'!$I$32</f>
        <v>434.94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customFormat="false" ht="15" hidden="false" customHeight="false" outlineLevel="0" collapsed="false">
      <c r="B467" s="5" t="s">
        <v>246</v>
      </c>
      <c r="C467" s="6" t="n">
        <f aca="false">SUM(D467:U467)</f>
        <v>12870.2</v>
      </c>
      <c r="D467" s="6"/>
      <c r="E467" s="6"/>
      <c r="F467" s="6"/>
      <c r="G467" s="6"/>
      <c r="H467" s="6"/>
      <c r="I467" s="6"/>
      <c r="J467" s="6"/>
      <c r="K467" s="6" t="n">
        <f aca="false">'Building 7'!$I$33</f>
        <v>12870.2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customFormat="false" ht="15" hidden="false" customHeight="false" outlineLevel="0" collapsed="false">
      <c r="B468" s="5" t="s">
        <v>247</v>
      </c>
      <c r="C468" s="6" t="n">
        <f aca="false">SUM(D468:U468)</f>
        <v>2439.18</v>
      </c>
      <c r="D468" s="6"/>
      <c r="E468" s="6"/>
      <c r="F468" s="6"/>
      <c r="G468" s="6"/>
      <c r="H468" s="6"/>
      <c r="I468" s="6"/>
      <c r="J468" s="6"/>
      <c r="K468" s="6" t="n">
        <f aca="false">'Building 7'!$I$34</f>
        <v>2439.18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customFormat="false" ht="15" hidden="false" customHeight="false" outlineLevel="0" collapsed="false">
      <c r="B469" s="5" t="s">
        <v>248</v>
      </c>
      <c r="C469" s="6" t="n">
        <f aca="false">SUM(D469:U469)</f>
        <v>16882.61</v>
      </c>
      <c r="D469" s="6"/>
      <c r="E469" s="6"/>
      <c r="F469" s="6"/>
      <c r="G469" s="6"/>
      <c r="H469" s="6"/>
      <c r="I469" s="6"/>
      <c r="J469" s="6"/>
      <c r="K469" s="6"/>
      <c r="L469" s="6" t="n">
        <f aca="false">'Building 8'!$I$21</f>
        <v>16882.61</v>
      </c>
      <c r="M469" s="6"/>
      <c r="N469" s="6"/>
      <c r="O469" s="6"/>
      <c r="P469" s="6"/>
      <c r="Q469" s="6"/>
      <c r="R469" s="6"/>
      <c r="S469" s="6"/>
      <c r="T469" s="6"/>
      <c r="U469" s="6"/>
    </row>
    <row r="470" customFormat="false" ht="15" hidden="false" customHeight="false" outlineLevel="0" collapsed="false">
      <c r="B470" s="5" t="s">
        <v>249</v>
      </c>
      <c r="C470" s="6" t="n">
        <f aca="false">SUM(D470:U470)</f>
        <v>10080.02</v>
      </c>
      <c r="D470" s="6"/>
      <c r="E470" s="6"/>
      <c r="F470" s="6"/>
      <c r="G470" s="6"/>
      <c r="H470" s="6"/>
      <c r="I470" s="6"/>
      <c r="J470" s="6"/>
      <c r="K470" s="6"/>
      <c r="L470" s="6" t="n">
        <f aca="false">'Building 8'!$I$22</f>
        <v>10080.02</v>
      </c>
      <c r="M470" s="6"/>
      <c r="N470" s="6"/>
      <c r="O470" s="6"/>
      <c r="P470" s="6"/>
      <c r="Q470" s="6"/>
      <c r="R470" s="6"/>
      <c r="S470" s="6"/>
      <c r="T470" s="6"/>
      <c r="U470" s="6"/>
    </row>
    <row r="471" customFormat="false" ht="15" hidden="false" customHeight="false" outlineLevel="0" collapsed="false">
      <c r="B471" s="5" t="s">
        <v>250</v>
      </c>
      <c r="C471" s="6" t="n">
        <f aca="false">SUM(D471:U471)</f>
        <v>9054.67</v>
      </c>
      <c r="D471" s="6"/>
      <c r="E471" s="6"/>
      <c r="F471" s="6"/>
      <c r="G471" s="6"/>
      <c r="H471" s="6"/>
      <c r="I471" s="6"/>
      <c r="J471" s="6"/>
      <c r="K471" s="6"/>
      <c r="L471" s="6" t="n">
        <f aca="false">'Building 8'!$I$23</f>
        <v>9054.67</v>
      </c>
      <c r="M471" s="6"/>
      <c r="N471" s="6"/>
      <c r="O471" s="6"/>
      <c r="P471" s="6"/>
      <c r="Q471" s="6"/>
      <c r="R471" s="6"/>
      <c r="S471" s="6"/>
      <c r="T471" s="6"/>
      <c r="U471" s="6"/>
    </row>
    <row r="472" customFormat="false" ht="15" hidden="false" customHeight="false" outlineLevel="0" collapsed="false">
      <c r="B472" s="5" t="s">
        <v>251</v>
      </c>
      <c r="C472" s="6" t="n">
        <f aca="false">SUM(D472:U472)</f>
        <v>1731.41</v>
      </c>
      <c r="D472" s="6"/>
      <c r="E472" s="6"/>
      <c r="F472" s="6"/>
      <c r="G472" s="6"/>
      <c r="H472" s="6"/>
      <c r="I472" s="6"/>
      <c r="J472" s="6"/>
      <c r="K472" s="6"/>
      <c r="L472" s="6" t="n">
        <f aca="false">'Building 8'!$I$24</f>
        <v>1731.41</v>
      </c>
      <c r="M472" s="6"/>
      <c r="N472" s="6"/>
      <c r="O472" s="6"/>
      <c r="P472" s="6"/>
      <c r="Q472" s="6"/>
      <c r="R472" s="6"/>
      <c r="S472" s="6"/>
      <c r="T472" s="6"/>
      <c r="U472" s="6"/>
    </row>
    <row r="473" customFormat="false" ht="15" hidden="false" customHeight="false" outlineLevel="0" collapsed="false">
      <c r="B473" s="5" t="s">
        <v>252</v>
      </c>
      <c r="C473" s="6" t="n">
        <f aca="false">SUM(D473:U473)</f>
        <v>54862.65</v>
      </c>
      <c r="D473" s="6"/>
      <c r="E473" s="6"/>
      <c r="F473" s="6"/>
      <c r="G473" s="6"/>
      <c r="H473" s="6"/>
      <c r="I473" s="6"/>
      <c r="J473" s="6"/>
      <c r="K473" s="6"/>
      <c r="L473" s="6" t="n">
        <f aca="false">'Building 8'!$I$25</f>
        <v>54862.65</v>
      </c>
      <c r="M473" s="6"/>
      <c r="N473" s="6"/>
      <c r="O473" s="6"/>
      <c r="P473" s="6"/>
      <c r="Q473" s="6"/>
      <c r="R473" s="6"/>
      <c r="S473" s="6"/>
      <c r="T473" s="6"/>
      <c r="U473" s="6"/>
    </row>
    <row r="474" customFormat="false" ht="15" hidden="false" customHeight="false" outlineLevel="0" collapsed="false">
      <c r="B474" s="5" t="s">
        <v>253</v>
      </c>
      <c r="C474" s="6" t="n">
        <f aca="false">SUM(D474:U474)</f>
        <v>9710.07</v>
      </c>
      <c r="D474" s="6"/>
      <c r="E474" s="6"/>
      <c r="F474" s="6"/>
      <c r="G474" s="6"/>
      <c r="H474" s="6"/>
      <c r="I474" s="6"/>
      <c r="J474" s="6"/>
      <c r="K474" s="6"/>
      <c r="L474" s="6" t="n">
        <f aca="false">'Building 8'!$I$26</f>
        <v>9710.07</v>
      </c>
      <c r="M474" s="6"/>
      <c r="N474" s="6"/>
      <c r="O474" s="6"/>
      <c r="P474" s="6"/>
      <c r="Q474" s="6"/>
      <c r="R474" s="6"/>
      <c r="S474" s="6"/>
      <c r="T474" s="6"/>
      <c r="U474" s="6"/>
    </row>
    <row r="475" customFormat="false" ht="15" hidden="false" customHeight="false" outlineLevel="0" collapsed="false">
      <c r="B475" s="5" t="s">
        <v>254</v>
      </c>
      <c r="C475" s="6" t="n">
        <f aca="false">SUM(D475:U475)</f>
        <v>594.85</v>
      </c>
      <c r="D475" s="6"/>
      <c r="E475" s="6"/>
      <c r="F475" s="6"/>
      <c r="G475" s="6"/>
      <c r="H475" s="6"/>
      <c r="I475" s="6"/>
      <c r="J475" s="6"/>
      <c r="K475" s="6"/>
      <c r="L475" s="6" t="n">
        <f aca="false">'Building 8'!$I$27+'Building 8'!$I$28</f>
        <v>594.85</v>
      </c>
      <c r="M475" s="6"/>
      <c r="N475" s="6"/>
      <c r="O475" s="6"/>
      <c r="P475" s="6"/>
      <c r="Q475" s="6"/>
      <c r="R475" s="6"/>
      <c r="S475" s="6"/>
      <c r="T475" s="6"/>
      <c r="U475" s="6"/>
    </row>
    <row r="476" customFormat="false" ht="15" hidden="false" customHeight="false" outlineLevel="0" collapsed="false">
      <c r="B476" s="5" t="s">
        <v>255</v>
      </c>
      <c r="C476" s="6" t="n">
        <f aca="false">SUM(D476:U476)</f>
        <v>2308.83</v>
      </c>
      <c r="D476" s="6"/>
      <c r="E476" s="6"/>
      <c r="F476" s="6"/>
      <c r="G476" s="6"/>
      <c r="H476" s="6"/>
      <c r="I476" s="6"/>
      <c r="J476" s="6"/>
      <c r="K476" s="6"/>
      <c r="L476" s="6" t="n">
        <f aca="false">'Building 8'!$I$29</f>
        <v>2308.83</v>
      </c>
      <c r="M476" s="6"/>
      <c r="N476" s="6"/>
      <c r="O476" s="6"/>
      <c r="P476" s="6"/>
      <c r="Q476" s="6"/>
      <c r="R476" s="6"/>
      <c r="S476" s="6"/>
      <c r="T476" s="6"/>
      <c r="U476" s="6"/>
    </row>
    <row r="477" customFormat="false" ht="15" hidden="false" customHeight="false" outlineLevel="0" collapsed="false">
      <c r="B477" s="5" t="s">
        <v>256</v>
      </c>
      <c r="C477" s="6" t="n">
        <f aca="false">SUM(D477:U477)</f>
        <v>1378.53</v>
      </c>
      <c r="D477" s="6"/>
      <c r="E477" s="6"/>
      <c r="F477" s="6"/>
      <c r="G477" s="6"/>
      <c r="H477" s="6"/>
      <c r="I477" s="6"/>
      <c r="J477" s="6"/>
      <c r="K477" s="6"/>
      <c r="L477" s="6" t="n">
        <f aca="false">'Building 8'!$I$30</f>
        <v>1378.53</v>
      </c>
      <c r="M477" s="6"/>
      <c r="N477" s="6"/>
      <c r="O477" s="6"/>
      <c r="P477" s="6"/>
      <c r="Q477" s="6"/>
      <c r="R477" s="6"/>
      <c r="S477" s="6"/>
      <c r="T477" s="6"/>
      <c r="U477" s="6"/>
    </row>
    <row r="478" customFormat="false" ht="15" hidden="false" customHeight="false" outlineLevel="0" collapsed="false">
      <c r="B478" s="5" t="s">
        <v>257</v>
      </c>
      <c r="C478" s="6" t="n">
        <f aca="false">SUM(D478:U478)</f>
        <v>1987.61</v>
      </c>
      <c r="D478" s="6"/>
      <c r="E478" s="6"/>
      <c r="F478" s="6"/>
      <c r="G478" s="6"/>
      <c r="H478" s="6"/>
      <c r="I478" s="6"/>
      <c r="J478" s="6"/>
      <c r="K478" s="6"/>
      <c r="L478" s="6" t="n">
        <f aca="false">'Building 8'!$I$31</f>
        <v>1987.61</v>
      </c>
      <c r="M478" s="6"/>
      <c r="N478" s="6"/>
      <c r="O478" s="6"/>
      <c r="P478" s="6"/>
      <c r="Q478" s="6"/>
      <c r="R478" s="6"/>
      <c r="S478" s="6"/>
      <c r="T478" s="6"/>
      <c r="U478" s="6"/>
    </row>
    <row r="479" customFormat="false" ht="15" hidden="false" customHeight="false" outlineLevel="0" collapsed="false">
      <c r="B479" s="5" t="s">
        <v>258</v>
      </c>
      <c r="C479" s="6" t="n">
        <f aca="false">SUM(D479:U479)</f>
        <v>380.06</v>
      </c>
      <c r="D479" s="6"/>
      <c r="E479" s="6"/>
      <c r="F479" s="6"/>
      <c r="G479" s="6"/>
      <c r="H479" s="6"/>
      <c r="I479" s="6"/>
      <c r="J479" s="6"/>
      <c r="K479" s="6"/>
      <c r="L479" s="6" t="n">
        <f aca="false">'Building 8'!$I$32</f>
        <v>380.06</v>
      </c>
      <c r="M479" s="6"/>
      <c r="N479" s="6"/>
      <c r="O479" s="6"/>
      <c r="P479" s="6"/>
      <c r="Q479" s="6"/>
      <c r="R479" s="6"/>
      <c r="S479" s="6"/>
      <c r="T479" s="6"/>
      <c r="U479" s="6"/>
    </row>
    <row r="480" customFormat="false" ht="15" hidden="false" customHeight="false" outlineLevel="0" collapsed="false">
      <c r="B480" s="5" t="s">
        <v>259</v>
      </c>
      <c r="C480" s="6" t="n">
        <f aca="false">SUM(D480:U480)</f>
        <v>12043.03</v>
      </c>
      <c r="D480" s="6"/>
      <c r="E480" s="6"/>
      <c r="F480" s="6"/>
      <c r="G480" s="6"/>
      <c r="H480" s="6"/>
      <c r="I480" s="6"/>
      <c r="J480" s="6"/>
      <c r="K480" s="6"/>
      <c r="L480" s="6" t="n">
        <f aca="false">'Building 8'!$I$33</f>
        <v>12043.03</v>
      </c>
      <c r="M480" s="6"/>
      <c r="N480" s="6"/>
      <c r="O480" s="6"/>
      <c r="P480" s="6"/>
      <c r="Q480" s="6"/>
      <c r="R480" s="6"/>
      <c r="S480" s="6"/>
      <c r="T480" s="6"/>
      <c r="U480" s="6"/>
    </row>
    <row r="481" customFormat="false" ht="15" hidden="false" customHeight="false" outlineLevel="0" collapsed="false">
      <c r="B481" s="5" t="s">
        <v>260</v>
      </c>
      <c r="C481" s="6" t="n">
        <f aca="false">SUM(D481:U481)</f>
        <v>2131.47</v>
      </c>
      <c r="D481" s="6"/>
      <c r="E481" s="6"/>
      <c r="F481" s="6"/>
      <c r="G481" s="6"/>
      <c r="H481" s="6"/>
      <c r="I481" s="6"/>
      <c r="J481" s="6"/>
      <c r="K481" s="6"/>
      <c r="L481" s="6" t="n">
        <f aca="false">'Building 8'!$I$34</f>
        <v>2131.47</v>
      </c>
      <c r="M481" s="6"/>
      <c r="N481" s="6"/>
      <c r="O481" s="6"/>
      <c r="P481" s="6"/>
      <c r="Q481" s="6"/>
      <c r="R481" s="6"/>
      <c r="S481" s="6"/>
      <c r="T481" s="6"/>
      <c r="U481" s="6"/>
    </row>
    <row r="482" customFormat="false" ht="15" hidden="false" customHeight="false" outlineLevel="0" collapsed="false">
      <c r="B482" s="5" t="s">
        <v>261</v>
      </c>
      <c r="C482" s="6" t="n">
        <f aca="false">SUM(D482:U482)</f>
        <v>8201.31</v>
      </c>
      <c r="D482" s="6"/>
      <c r="E482" s="6"/>
      <c r="F482" s="6"/>
      <c r="G482" s="6"/>
      <c r="H482" s="6"/>
      <c r="I482" s="6"/>
      <c r="J482" s="6"/>
      <c r="K482" s="6"/>
      <c r="L482" s="6"/>
      <c r="M482" s="6" t="n">
        <f aca="false">'Building 9'!$I$21</f>
        <v>8201.31</v>
      </c>
      <c r="N482" s="6"/>
      <c r="O482" s="6"/>
      <c r="P482" s="6"/>
      <c r="Q482" s="6"/>
      <c r="R482" s="6"/>
      <c r="S482" s="6"/>
      <c r="T482" s="6"/>
      <c r="U482" s="6"/>
    </row>
    <row r="483" customFormat="false" ht="15" hidden="false" customHeight="false" outlineLevel="0" collapsed="false">
      <c r="B483" s="5" t="s">
        <v>262</v>
      </c>
      <c r="C483" s="6" t="n">
        <f aca="false">SUM(D483:U483)</f>
        <v>4342.78</v>
      </c>
      <c r="D483" s="6"/>
      <c r="E483" s="6"/>
      <c r="F483" s="6"/>
      <c r="G483" s="6"/>
      <c r="H483" s="6"/>
      <c r="I483" s="6"/>
      <c r="J483" s="6"/>
      <c r="K483" s="6"/>
      <c r="L483" s="6"/>
      <c r="M483" s="6" t="n">
        <f aca="false">'Building 9'!$I$22</f>
        <v>4342.78</v>
      </c>
      <c r="N483" s="6"/>
      <c r="O483" s="6"/>
      <c r="P483" s="6"/>
      <c r="Q483" s="6"/>
      <c r="R483" s="6"/>
      <c r="S483" s="6"/>
      <c r="T483" s="6"/>
      <c r="U483" s="6"/>
    </row>
    <row r="484" customFormat="false" ht="15" hidden="false" customHeight="false" outlineLevel="0" collapsed="false">
      <c r="B484" s="5" t="s">
        <v>263</v>
      </c>
      <c r="C484" s="6" t="n">
        <f aca="false">SUM(D484:U484)</f>
        <v>4398.62</v>
      </c>
      <c r="D484" s="6"/>
      <c r="E484" s="6"/>
      <c r="F484" s="6"/>
      <c r="G484" s="6"/>
      <c r="H484" s="6"/>
      <c r="I484" s="6"/>
      <c r="J484" s="6"/>
      <c r="K484" s="6"/>
      <c r="L484" s="6"/>
      <c r="M484" s="6" t="n">
        <f aca="false">'Building 9'!$I$23</f>
        <v>4398.62</v>
      </c>
      <c r="N484" s="6"/>
      <c r="O484" s="6"/>
      <c r="P484" s="6"/>
      <c r="Q484" s="6"/>
      <c r="R484" s="6"/>
      <c r="S484" s="6"/>
      <c r="T484" s="6"/>
      <c r="U484" s="6"/>
    </row>
    <row r="485" customFormat="false" ht="15" hidden="false" customHeight="false" outlineLevel="0" collapsed="false">
      <c r="B485" s="5" t="s">
        <v>264</v>
      </c>
      <c r="C485" s="6" t="n">
        <f aca="false">SUM(D485:U485)</f>
        <v>745.94</v>
      </c>
      <c r="D485" s="6"/>
      <c r="E485" s="6"/>
      <c r="F485" s="6"/>
      <c r="G485" s="6"/>
      <c r="H485" s="6"/>
      <c r="I485" s="6"/>
      <c r="J485" s="6"/>
      <c r="K485" s="6"/>
      <c r="L485" s="6"/>
      <c r="M485" s="6" t="n">
        <f aca="false">'Building 9'!$I$24</f>
        <v>745.94</v>
      </c>
      <c r="N485" s="6"/>
      <c r="O485" s="6"/>
      <c r="P485" s="6"/>
      <c r="Q485" s="6"/>
      <c r="R485" s="6"/>
      <c r="S485" s="6"/>
      <c r="T485" s="6"/>
      <c r="U485" s="6"/>
    </row>
    <row r="486" customFormat="false" ht="15" hidden="false" customHeight="false" outlineLevel="0" collapsed="false">
      <c r="B486" s="5" t="s">
        <v>265</v>
      </c>
      <c r="C486" s="6" t="n">
        <f aca="false">SUM(D486:U486)</f>
        <v>26651.41</v>
      </c>
      <c r="D486" s="6"/>
      <c r="E486" s="6"/>
      <c r="F486" s="6"/>
      <c r="G486" s="6"/>
      <c r="H486" s="6"/>
      <c r="I486" s="6"/>
      <c r="J486" s="6"/>
      <c r="K486" s="6"/>
      <c r="L486" s="6"/>
      <c r="M486" s="6" t="n">
        <f aca="false">'Building 9'!$I$25</f>
        <v>26651.41</v>
      </c>
      <c r="N486" s="6"/>
      <c r="O486" s="6"/>
      <c r="P486" s="6"/>
      <c r="Q486" s="6"/>
      <c r="R486" s="6"/>
      <c r="S486" s="6"/>
      <c r="T486" s="6"/>
      <c r="U486" s="6"/>
    </row>
    <row r="487" customFormat="false" ht="15" hidden="false" customHeight="false" outlineLevel="0" collapsed="false">
      <c r="B487" s="5" t="s">
        <v>266</v>
      </c>
      <c r="C487" s="6" t="n">
        <f aca="false">SUM(D487:U487)</f>
        <v>4183.4</v>
      </c>
      <c r="D487" s="6"/>
      <c r="E487" s="6"/>
      <c r="F487" s="6"/>
      <c r="G487" s="6"/>
      <c r="H487" s="6"/>
      <c r="I487" s="6"/>
      <c r="J487" s="6"/>
      <c r="K487" s="6"/>
      <c r="L487" s="6"/>
      <c r="M487" s="6" t="n">
        <f aca="false">'Building 9'!$I$26</f>
        <v>4183.4</v>
      </c>
      <c r="N487" s="6"/>
      <c r="O487" s="6"/>
      <c r="P487" s="6"/>
      <c r="Q487" s="6"/>
      <c r="R487" s="6"/>
      <c r="S487" s="6"/>
      <c r="T487" s="6"/>
      <c r="U487" s="6"/>
    </row>
    <row r="488" customFormat="false" ht="15" hidden="false" customHeight="false" outlineLevel="0" collapsed="false">
      <c r="B488" s="5" t="s">
        <v>267</v>
      </c>
      <c r="C488" s="6" t="n">
        <f aca="false">SUM(D488:U488)</f>
        <v>279.59</v>
      </c>
      <c r="D488" s="6"/>
      <c r="E488" s="6"/>
      <c r="F488" s="6"/>
      <c r="G488" s="6"/>
      <c r="H488" s="6"/>
      <c r="I488" s="6"/>
      <c r="J488" s="6"/>
      <c r="K488" s="6"/>
      <c r="L488" s="6"/>
      <c r="M488" s="6" t="n">
        <f aca="false">'Building 9'!$I$27+'Building 9'!$I$28</f>
        <v>279.59</v>
      </c>
      <c r="N488" s="6"/>
      <c r="O488" s="6"/>
      <c r="P488" s="6"/>
      <c r="Q488" s="6"/>
      <c r="R488" s="6"/>
      <c r="S488" s="6"/>
      <c r="T488" s="6"/>
      <c r="U488" s="6"/>
    </row>
    <row r="489" customFormat="false" ht="15" hidden="false" customHeight="false" outlineLevel="0" collapsed="false">
      <c r="B489" s="5" t="s">
        <v>268</v>
      </c>
      <c r="C489" s="6" t="n">
        <f aca="false">SUM(D489:U489)</f>
        <v>1121.59</v>
      </c>
      <c r="D489" s="6"/>
      <c r="E489" s="6"/>
      <c r="F489" s="6"/>
      <c r="G489" s="6"/>
      <c r="H489" s="6"/>
      <c r="I489" s="6"/>
      <c r="J489" s="6"/>
      <c r="K489" s="6"/>
      <c r="L489" s="6"/>
      <c r="M489" s="6" t="n">
        <f aca="false">'Building 9'!$I$29</f>
        <v>1121.59</v>
      </c>
      <c r="N489" s="6"/>
      <c r="O489" s="6"/>
      <c r="P489" s="6"/>
      <c r="Q489" s="6"/>
      <c r="R489" s="6"/>
      <c r="S489" s="6"/>
      <c r="T489" s="6"/>
      <c r="U489" s="6"/>
    </row>
    <row r="490" customFormat="false" ht="15" hidden="false" customHeight="false" outlineLevel="0" collapsed="false">
      <c r="B490" s="5" t="s">
        <v>269</v>
      </c>
      <c r="C490" s="6" t="n">
        <f aca="false">SUM(D490:U490)</f>
        <v>593.9</v>
      </c>
      <c r="D490" s="6"/>
      <c r="E490" s="6"/>
      <c r="F490" s="6"/>
      <c r="G490" s="6"/>
      <c r="H490" s="6"/>
      <c r="I490" s="6"/>
      <c r="J490" s="6"/>
      <c r="K490" s="6"/>
      <c r="L490" s="6"/>
      <c r="M490" s="6" t="n">
        <f aca="false">'Building 9'!$I$30</f>
        <v>593.9</v>
      </c>
      <c r="N490" s="6"/>
      <c r="O490" s="6"/>
      <c r="P490" s="6"/>
      <c r="Q490" s="6"/>
      <c r="R490" s="6"/>
      <c r="S490" s="6"/>
      <c r="T490" s="6"/>
      <c r="U490" s="6"/>
    </row>
    <row r="491" customFormat="false" ht="15" hidden="false" customHeight="false" outlineLevel="0" collapsed="false">
      <c r="B491" s="5" t="s">
        <v>270</v>
      </c>
      <c r="C491" s="6" t="n">
        <f aca="false">SUM(D491:U491)</f>
        <v>965.55</v>
      </c>
      <c r="D491" s="6"/>
      <c r="E491" s="6"/>
      <c r="F491" s="6"/>
      <c r="G491" s="6"/>
      <c r="H491" s="6"/>
      <c r="I491" s="6"/>
      <c r="J491" s="6"/>
      <c r="K491" s="6"/>
      <c r="L491" s="6"/>
      <c r="M491" s="6" t="n">
        <f aca="false">'Building 9'!$I$31</f>
        <v>965.55</v>
      </c>
      <c r="N491" s="6"/>
      <c r="O491" s="6"/>
      <c r="P491" s="6"/>
      <c r="Q491" s="6"/>
      <c r="R491" s="6"/>
      <c r="S491" s="6"/>
      <c r="T491" s="6"/>
      <c r="U491" s="6"/>
    </row>
    <row r="492" customFormat="false" ht="15" hidden="false" customHeight="false" outlineLevel="0" collapsed="false">
      <c r="B492" s="5" t="s">
        <v>271</v>
      </c>
      <c r="C492" s="6" t="n">
        <f aca="false">SUM(D492:U492)</f>
        <v>163.74</v>
      </c>
      <c r="D492" s="6"/>
      <c r="E492" s="6"/>
      <c r="F492" s="6"/>
      <c r="G492" s="6"/>
      <c r="H492" s="6"/>
      <c r="I492" s="6"/>
      <c r="J492" s="6"/>
      <c r="K492" s="6"/>
      <c r="L492" s="6"/>
      <c r="M492" s="6" t="n">
        <f aca="false">'Building 9'!$I$32</f>
        <v>163.74</v>
      </c>
      <c r="N492" s="6"/>
      <c r="O492" s="6"/>
      <c r="P492" s="6"/>
      <c r="Q492" s="6"/>
      <c r="R492" s="6"/>
      <c r="S492" s="6"/>
      <c r="T492" s="6"/>
      <c r="U492" s="6"/>
    </row>
    <row r="493" customFormat="false" ht="15" hidden="false" customHeight="false" outlineLevel="0" collapsed="false">
      <c r="B493" s="5" t="s">
        <v>272</v>
      </c>
      <c r="C493" s="6" t="n">
        <f aca="false">SUM(D493:U493)</f>
        <v>5850.3</v>
      </c>
      <c r="D493" s="6"/>
      <c r="E493" s="6"/>
      <c r="F493" s="6"/>
      <c r="G493" s="6"/>
      <c r="H493" s="6"/>
      <c r="I493" s="6"/>
      <c r="J493" s="6"/>
      <c r="K493" s="6"/>
      <c r="L493" s="6"/>
      <c r="M493" s="6" t="n">
        <f aca="false">'Building 9'!$I$33</f>
        <v>5850.3</v>
      </c>
      <c r="N493" s="6"/>
      <c r="O493" s="6"/>
      <c r="P493" s="6"/>
      <c r="Q493" s="6"/>
      <c r="R493" s="6"/>
      <c r="S493" s="6"/>
      <c r="T493" s="6"/>
      <c r="U493" s="6"/>
    </row>
    <row r="494" customFormat="false" ht="15" hidden="false" customHeight="false" outlineLevel="0" collapsed="false">
      <c r="B494" s="5" t="s">
        <v>273</v>
      </c>
      <c r="C494" s="6" t="n">
        <f aca="false">SUM(D494:U494)</f>
        <v>918.31</v>
      </c>
      <c r="D494" s="6"/>
      <c r="E494" s="6"/>
      <c r="F494" s="6"/>
      <c r="G494" s="6"/>
      <c r="H494" s="6"/>
      <c r="I494" s="6"/>
      <c r="J494" s="6"/>
      <c r="K494" s="6"/>
      <c r="L494" s="6"/>
      <c r="M494" s="6" t="n">
        <f aca="false">'Building 9'!$I$34</f>
        <v>918.31</v>
      </c>
      <c r="N494" s="6"/>
      <c r="O494" s="6"/>
      <c r="P494" s="6"/>
      <c r="Q494" s="6"/>
      <c r="R494" s="6"/>
      <c r="S494" s="6"/>
      <c r="T494" s="6"/>
      <c r="U494" s="6"/>
    </row>
    <row r="495" customFormat="false" ht="15" hidden="false" customHeight="false" outlineLevel="0" collapsed="false">
      <c r="B495" s="5" t="s">
        <v>274</v>
      </c>
      <c r="C495" s="6" t="n">
        <f aca="false">SUM(D495:U495)</f>
        <v>18042.22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 t="n">
        <f aca="false">'Building 10'!$I$21</f>
        <v>18042.22</v>
      </c>
      <c r="O495" s="6"/>
      <c r="P495" s="6"/>
      <c r="Q495" s="6"/>
      <c r="R495" s="6"/>
      <c r="S495" s="6"/>
      <c r="T495" s="6"/>
      <c r="U495" s="6"/>
    </row>
    <row r="496" customFormat="false" ht="15" hidden="false" customHeight="false" outlineLevel="0" collapsed="false">
      <c r="B496" s="5" t="s">
        <v>275</v>
      </c>
      <c r="C496" s="6" t="n">
        <f aca="false">SUM(D496:U496)</f>
        <v>11526.06</v>
      </c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 t="n">
        <f aca="false">'Building 10'!$I$22</f>
        <v>11526.06</v>
      </c>
      <c r="O496" s="6"/>
      <c r="P496" s="6"/>
      <c r="Q496" s="6"/>
      <c r="R496" s="6"/>
      <c r="S496" s="6"/>
      <c r="T496" s="6"/>
      <c r="U496" s="6"/>
    </row>
    <row r="497" customFormat="false" ht="15" hidden="false" customHeight="false" outlineLevel="0" collapsed="false">
      <c r="B497" s="5" t="s">
        <v>276</v>
      </c>
      <c r="C497" s="6" t="n">
        <f aca="false">SUM(D497:U497)</f>
        <v>9676.61</v>
      </c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 t="n">
        <f aca="false">'Building 10'!$I$23</f>
        <v>9676.61</v>
      </c>
      <c r="O497" s="6"/>
      <c r="P497" s="6"/>
      <c r="Q497" s="6"/>
      <c r="R497" s="6"/>
      <c r="S497" s="6"/>
      <c r="T497" s="6"/>
      <c r="U497" s="6"/>
    </row>
    <row r="498" customFormat="false" ht="15" hidden="false" customHeight="false" outlineLevel="0" collapsed="false">
      <c r="B498" s="5" t="s">
        <v>277</v>
      </c>
      <c r="C498" s="6" t="n">
        <f aca="false">SUM(D498:U498)</f>
        <v>1979.78</v>
      </c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 t="n">
        <f aca="false">'Building 10'!$I$24</f>
        <v>1979.78</v>
      </c>
      <c r="O498" s="6"/>
      <c r="P498" s="6"/>
      <c r="Q498" s="6"/>
      <c r="R498" s="6"/>
      <c r="S498" s="6"/>
      <c r="T498" s="6"/>
      <c r="U498" s="6"/>
    </row>
    <row r="499" customFormat="false" ht="15" hidden="false" customHeight="false" outlineLevel="0" collapsed="false">
      <c r="B499" s="5" t="s">
        <v>278</v>
      </c>
      <c r="C499" s="6" t="n">
        <f aca="false">SUM(D499:U499)</f>
        <v>58630.96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 t="n">
        <f aca="false">'Building 10'!$I$25</f>
        <v>58630.96</v>
      </c>
      <c r="O499" s="6"/>
      <c r="P499" s="6"/>
      <c r="Q499" s="6"/>
      <c r="R499" s="6"/>
      <c r="S499" s="6"/>
      <c r="T499" s="6"/>
      <c r="U499" s="6"/>
    </row>
    <row r="500" customFormat="false" ht="15" hidden="false" customHeight="false" outlineLevel="0" collapsed="false">
      <c r="B500" s="5" t="s">
        <v>279</v>
      </c>
      <c r="C500" s="6" t="n">
        <f aca="false">SUM(D500:U500)</f>
        <v>11103.06</v>
      </c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 t="n">
        <f aca="false">'Building 10'!$I$26</f>
        <v>11103.06</v>
      </c>
      <c r="O500" s="6"/>
      <c r="P500" s="6"/>
      <c r="Q500" s="6"/>
      <c r="R500" s="6"/>
      <c r="S500" s="6"/>
      <c r="T500" s="6"/>
      <c r="U500" s="6"/>
    </row>
    <row r="501" customFormat="false" ht="15" hidden="false" customHeight="false" outlineLevel="0" collapsed="false">
      <c r="B501" s="5" t="s">
        <v>280</v>
      </c>
      <c r="C501" s="6" t="n">
        <f aca="false">SUM(D501:U501)</f>
        <v>648.46</v>
      </c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 t="n">
        <f aca="false">'Building 10'!$I$27+'Building 10'!$I$28</f>
        <v>648.46</v>
      </c>
      <c r="O501" s="6"/>
      <c r="P501" s="6"/>
      <c r="Q501" s="6"/>
      <c r="R501" s="6"/>
      <c r="S501" s="6"/>
      <c r="T501" s="6"/>
      <c r="U501" s="6"/>
    </row>
    <row r="502" customFormat="false" ht="15" hidden="false" customHeight="false" outlineLevel="0" collapsed="false">
      <c r="B502" s="5" t="s">
        <v>281</v>
      </c>
      <c r="C502" s="6" t="n">
        <f aca="false">SUM(D502:U502)</f>
        <v>2467.41</v>
      </c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 t="n">
        <f aca="false">'Building 10'!$I$29</f>
        <v>2467.41</v>
      </c>
      <c r="O502" s="6"/>
      <c r="P502" s="6"/>
      <c r="Q502" s="6"/>
      <c r="R502" s="6"/>
      <c r="S502" s="6"/>
      <c r="T502" s="6"/>
      <c r="U502" s="6"/>
    </row>
    <row r="503" customFormat="false" ht="15" hidden="false" customHeight="false" outlineLevel="0" collapsed="false">
      <c r="B503" s="5" t="s">
        <v>282</v>
      </c>
      <c r="C503" s="6" t="n">
        <f aca="false">SUM(D503:U503)</f>
        <v>1576.28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 t="n">
        <f aca="false">'Building 10'!$I$30</f>
        <v>1576.28</v>
      </c>
      <c r="O503" s="6"/>
      <c r="P503" s="6"/>
      <c r="Q503" s="6"/>
      <c r="R503" s="6"/>
      <c r="S503" s="6"/>
      <c r="T503" s="6"/>
      <c r="U503" s="6"/>
    </row>
    <row r="504" customFormat="false" ht="15" hidden="false" customHeight="false" outlineLevel="0" collapsed="false">
      <c r="B504" s="5" t="s">
        <v>283</v>
      </c>
      <c r="C504" s="6" t="n">
        <f aca="false">SUM(D504:U504)</f>
        <v>2124.13</v>
      </c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 t="n">
        <f aca="false">'Building 10'!$I$31</f>
        <v>2124.13</v>
      </c>
      <c r="O504" s="6"/>
      <c r="P504" s="6"/>
      <c r="Q504" s="6"/>
      <c r="R504" s="6"/>
      <c r="S504" s="6"/>
      <c r="T504" s="6"/>
      <c r="U504" s="6"/>
    </row>
    <row r="505" customFormat="false" ht="15" hidden="false" customHeight="false" outlineLevel="0" collapsed="false">
      <c r="B505" s="5" t="s">
        <v>284</v>
      </c>
      <c r="C505" s="6" t="n">
        <f aca="false">SUM(D505:U505)</f>
        <v>434.59</v>
      </c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 t="n">
        <f aca="false">'Building 10'!$I$32</f>
        <v>434.59</v>
      </c>
      <c r="O505" s="6"/>
      <c r="P505" s="6"/>
      <c r="Q505" s="6"/>
      <c r="R505" s="6"/>
      <c r="S505" s="6"/>
      <c r="T505" s="6"/>
      <c r="U505" s="6"/>
    </row>
    <row r="506" customFormat="false" ht="15" hidden="false" customHeight="false" outlineLevel="0" collapsed="false">
      <c r="B506" s="5" t="s">
        <v>285</v>
      </c>
      <c r="C506" s="6" t="n">
        <f aca="false">SUM(D506:U506)</f>
        <v>12870.2</v>
      </c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 t="n">
        <f aca="false">'Building 10'!$I$33</f>
        <v>12870.2</v>
      </c>
      <c r="O506" s="6"/>
      <c r="P506" s="6"/>
      <c r="Q506" s="6"/>
      <c r="R506" s="6"/>
      <c r="S506" s="6"/>
      <c r="T506" s="6"/>
      <c r="U506" s="6"/>
    </row>
    <row r="507" customFormat="false" ht="15" hidden="false" customHeight="false" outlineLevel="0" collapsed="false">
      <c r="B507" s="5" t="s">
        <v>286</v>
      </c>
      <c r="C507" s="6" t="n">
        <f aca="false">SUM(D507:U507)</f>
        <v>2437.26</v>
      </c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 t="n">
        <f aca="false">'Building 10'!$I$34</f>
        <v>2437.26</v>
      </c>
      <c r="O507" s="6"/>
      <c r="P507" s="6"/>
      <c r="Q507" s="6"/>
      <c r="R507" s="6"/>
      <c r="S507" s="6"/>
      <c r="T507" s="6"/>
      <c r="U507" s="6"/>
    </row>
    <row r="508" customFormat="false" ht="15" hidden="false" customHeight="false" outlineLevel="0" collapsed="false">
      <c r="B508" s="5" t="s">
        <v>287</v>
      </c>
      <c r="C508" s="6" t="n">
        <f aca="false">SUM(D508:U508)</f>
        <v>16882.61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 t="n">
        <f aca="false">'Building 11'!$I$21</f>
        <v>16882.61</v>
      </c>
      <c r="P508" s="6"/>
      <c r="Q508" s="6"/>
      <c r="R508" s="6"/>
      <c r="S508" s="6"/>
      <c r="T508" s="6"/>
      <c r="U508" s="6"/>
    </row>
    <row r="509" customFormat="false" ht="15" hidden="false" customHeight="false" outlineLevel="0" collapsed="false">
      <c r="B509" s="5" t="s">
        <v>288</v>
      </c>
      <c r="C509" s="6" t="n">
        <f aca="false">SUM(D509:U509)</f>
        <v>10080.02</v>
      </c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 t="n">
        <f aca="false">'Building 11'!$I$22</f>
        <v>10080.02</v>
      </c>
      <c r="P509" s="6"/>
      <c r="Q509" s="6"/>
      <c r="R509" s="6"/>
      <c r="S509" s="6"/>
      <c r="T509" s="6"/>
      <c r="U509" s="6"/>
    </row>
    <row r="510" customFormat="false" ht="15" hidden="false" customHeight="false" outlineLevel="0" collapsed="false">
      <c r="B510" s="5" t="s">
        <v>289</v>
      </c>
      <c r="C510" s="6" t="n">
        <f aca="false">SUM(D510:U510)</f>
        <v>9054.67</v>
      </c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 t="n">
        <f aca="false">'Building 11'!$I$23</f>
        <v>9054.67</v>
      </c>
      <c r="P510" s="6"/>
      <c r="Q510" s="6"/>
      <c r="R510" s="6"/>
      <c r="S510" s="6"/>
      <c r="T510" s="6"/>
      <c r="U510" s="6"/>
    </row>
    <row r="511" customFormat="false" ht="15" hidden="false" customHeight="false" outlineLevel="0" collapsed="false">
      <c r="B511" s="5" t="s">
        <v>290</v>
      </c>
      <c r="C511" s="6" t="n">
        <f aca="false">SUM(D511:U511)</f>
        <v>1731.41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 t="n">
        <f aca="false">'Building 11'!$I$24</f>
        <v>1731.41</v>
      </c>
      <c r="P511" s="6"/>
      <c r="Q511" s="6"/>
      <c r="R511" s="6"/>
      <c r="S511" s="6"/>
      <c r="T511" s="6"/>
      <c r="U511" s="6"/>
    </row>
    <row r="512" customFormat="false" ht="15" hidden="false" customHeight="false" outlineLevel="0" collapsed="false">
      <c r="B512" s="5" t="s">
        <v>291</v>
      </c>
      <c r="C512" s="6" t="n">
        <f aca="false">SUM(D512:U512)</f>
        <v>54862.65</v>
      </c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 t="n">
        <f aca="false">'Building 11'!$I$25</f>
        <v>54862.65</v>
      </c>
      <c r="P512" s="6"/>
      <c r="Q512" s="6"/>
      <c r="R512" s="6"/>
      <c r="S512" s="6"/>
      <c r="T512" s="6"/>
      <c r="U512" s="6"/>
    </row>
    <row r="513" customFormat="false" ht="15" hidden="false" customHeight="false" outlineLevel="0" collapsed="false">
      <c r="B513" s="5" t="s">
        <v>292</v>
      </c>
      <c r="C513" s="6" t="n">
        <f aca="false">SUM(D513:U513)</f>
        <v>9710.07</v>
      </c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 t="n">
        <f aca="false">'Building 11'!$I$26</f>
        <v>9710.07</v>
      </c>
      <c r="P513" s="6"/>
      <c r="Q513" s="6"/>
      <c r="R513" s="6"/>
      <c r="S513" s="6"/>
      <c r="T513" s="6"/>
      <c r="U513" s="6"/>
    </row>
    <row r="514" customFormat="false" ht="15" hidden="false" customHeight="false" outlineLevel="0" collapsed="false">
      <c r="B514" s="5" t="s">
        <v>293</v>
      </c>
      <c r="C514" s="6" t="n">
        <f aca="false">SUM(D514:U514)</f>
        <v>594.85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 t="n">
        <f aca="false">'Building 11'!$I$27+'Building 11'!$I$28</f>
        <v>594.85</v>
      </c>
      <c r="P514" s="6"/>
      <c r="Q514" s="6"/>
      <c r="R514" s="6"/>
      <c r="S514" s="6"/>
      <c r="T514" s="6"/>
      <c r="U514" s="6"/>
    </row>
    <row r="515" customFormat="false" ht="15" hidden="false" customHeight="false" outlineLevel="0" collapsed="false">
      <c r="B515" s="5" t="s">
        <v>294</v>
      </c>
      <c r="C515" s="6" t="n">
        <f aca="false">SUM(D515:U515)</f>
        <v>2308.83</v>
      </c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 t="n">
        <f aca="false">'Building 11'!$I$29</f>
        <v>2308.83</v>
      </c>
      <c r="P515" s="6"/>
      <c r="Q515" s="6"/>
      <c r="R515" s="6"/>
      <c r="S515" s="6"/>
      <c r="T515" s="6"/>
      <c r="U515" s="6"/>
    </row>
    <row r="516" customFormat="false" ht="15" hidden="false" customHeight="false" outlineLevel="0" collapsed="false">
      <c r="B516" s="5" t="s">
        <v>295</v>
      </c>
      <c r="C516" s="6" t="n">
        <f aca="false">SUM(D516:U516)</f>
        <v>1378.53</v>
      </c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 t="n">
        <f aca="false">'Building 11'!$I$30</f>
        <v>1378.53</v>
      </c>
      <c r="P516" s="6"/>
      <c r="Q516" s="6"/>
      <c r="R516" s="6"/>
      <c r="S516" s="6"/>
      <c r="T516" s="6"/>
      <c r="U516" s="6"/>
    </row>
    <row r="517" customFormat="false" ht="15" hidden="false" customHeight="false" outlineLevel="0" collapsed="false">
      <c r="B517" s="5" t="s">
        <v>296</v>
      </c>
      <c r="C517" s="6" t="n">
        <f aca="false">SUM(D517:U517)</f>
        <v>1987.61</v>
      </c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 t="n">
        <f aca="false">'Building 11'!$I$31</f>
        <v>1987.61</v>
      </c>
      <c r="P517" s="6"/>
      <c r="Q517" s="6"/>
      <c r="R517" s="6"/>
      <c r="S517" s="6"/>
      <c r="T517" s="6"/>
      <c r="U517" s="6"/>
    </row>
    <row r="518" customFormat="false" ht="15" hidden="false" customHeight="false" outlineLevel="0" collapsed="false">
      <c r="B518" s="5" t="s">
        <v>297</v>
      </c>
      <c r="C518" s="6" t="n">
        <f aca="false">SUM(D518:U518)</f>
        <v>380.06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 t="n">
        <f aca="false">'Building 11'!$I$32</f>
        <v>380.06</v>
      </c>
      <c r="P518" s="6"/>
      <c r="Q518" s="6"/>
      <c r="R518" s="6"/>
      <c r="S518" s="6"/>
      <c r="T518" s="6"/>
      <c r="U518" s="6"/>
    </row>
    <row r="519" customFormat="false" ht="15" hidden="false" customHeight="false" outlineLevel="0" collapsed="false">
      <c r="B519" s="5" t="s">
        <v>298</v>
      </c>
      <c r="C519" s="6" t="n">
        <f aca="false">SUM(D519:U519)</f>
        <v>12043.03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 t="n">
        <f aca="false">'Building 11'!$I$33</f>
        <v>12043.03</v>
      </c>
      <c r="P519" s="6"/>
      <c r="Q519" s="6"/>
      <c r="R519" s="6"/>
      <c r="S519" s="6"/>
      <c r="T519" s="6"/>
      <c r="U519" s="6"/>
    </row>
    <row r="520" customFormat="false" ht="15" hidden="false" customHeight="false" outlineLevel="0" collapsed="false">
      <c r="B520" s="5" t="s">
        <v>299</v>
      </c>
      <c r="C520" s="6" t="n">
        <f aca="false">SUM(D520:U520)</f>
        <v>2131.47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 t="n">
        <f aca="false">'Building 11'!$I$34</f>
        <v>2131.47</v>
      </c>
      <c r="P520" s="6"/>
      <c r="Q520" s="6"/>
      <c r="R520" s="6"/>
      <c r="S520" s="6"/>
      <c r="T520" s="6"/>
      <c r="U520" s="6"/>
    </row>
    <row r="521" customFormat="false" ht="15" hidden="false" customHeight="false" outlineLevel="0" collapsed="false">
      <c r="B521" s="5" t="s">
        <v>300</v>
      </c>
      <c r="C521" s="6" t="n">
        <f aca="false">SUM(D521:U521)</f>
        <v>18042.22</v>
      </c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 t="n">
        <f aca="false">'Building 12'!$I$21</f>
        <v>18042.22</v>
      </c>
      <c r="Q521" s="6"/>
      <c r="R521" s="6"/>
      <c r="S521" s="6"/>
      <c r="T521" s="6"/>
      <c r="U521" s="6"/>
    </row>
    <row r="522" customFormat="false" ht="15" hidden="false" customHeight="false" outlineLevel="0" collapsed="false">
      <c r="B522" s="5" t="s">
        <v>301</v>
      </c>
      <c r="C522" s="6" t="n">
        <f aca="false">SUM(D522:U522)</f>
        <v>11535.12</v>
      </c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 t="n">
        <f aca="false">'Building 12'!$I$22</f>
        <v>11535.12</v>
      </c>
      <c r="Q522" s="6"/>
      <c r="R522" s="6"/>
      <c r="S522" s="6"/>
      <c r="T522" s="6"/>
      <c r="U522" s="6"/>
    </row>
    <row r="523" customFormat="false" ht="15" hidden="false" customHeight="false" outlineLevel="0" collapsed="false">
      <c r="B523" s="5" t="s">
        <v>302</v>
      </c>
      <c r="C523" s="6" t="n">
        <f aca="false">SUM(D523:U523)</f>
        <v>9676.61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 t="n">
        <f aca="false">'Building 12'!$I$23</f>
        <v>9676.61</v>
      </c>
      <c r="Q523" s="6"/>
      <c r="R523" s="6"/>
      <c r="S523" s="6"/>
      <c r="T523" s="6"/>
      <c r="U523" s="6"/>
    </row>
    <row r="524" customFormat="false" ht="15" hidden="false" customHeight="false" outlineLevel="0" collapsed="false">
      <c r="B524" s="5" t="s">
        <v>303</v>
      </c>
      <c r="C524" s="6" t="n">
        <f aca="false">SUM(D524:U524)</f>
        <v>1981.36</v>
      </c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 t="n">
        <f aca="false">'Building 12'!$I$24</f>
        <v>1981.36</v>
      </c>
      <c r="Q524" s="6"/>
      <c r="R524" s="6"/>
      <c r="S524" s="6"/>
      <c r="T524" s="6"/>
      <c r="U524" s="6"/>
    </row>
    <row r="525" customFormat="false" ht="15" hidden="false" customHeight="false" outlineLevel="0" collapsed="false">
      <c r="B525" s="5" t="s">
        <v>304</v>
      </c>
      <c r="C525" s="6" t="n">
        <f aca="false">SUM(D525:U525)</f>
        <v>58630.96</v>
      </c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 t="n">
        <f aca="false">'Building 12'!$I$25</f>
        <v>58630.96</v>
      </c>
      <c r="Q525" s="6"/>
      <c r="R525" s="6"/>
      <c r="S525" s="6"/>
      <c r="T525" s="6"/>
      <c r="U525" s="6"/>
    </row>
    <row r="526" customFormat="false" ht="15" hidden="false" customHeight="false" outlineLevel="0" collapsed="false">
      <c r="B526" s="5" t="s">
        <v>305</v>
      </c>
      <c r="C526" s="6" t="n">
        <f aca="false">SUM(D526:U526)</f>
        <v>11111.79</v>
      </c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 t="n">
        <f aca="false">'Building 12'!$I$26</f>
        <v>11111.79</v>
      </c>
      <c r="Q526" s="6"/>
      <c r="R526" s="6"/>
      <c r="S526" s="6"/>
      <c r="T526" s="6"/>
      <c r="U526" s="6"/>
    </row>
    <row r="527" customFormat="false" ht="15" hidden="false" customHeight="false" outlineLevel="0" collapsed="false">
      <c r="B527" s="5" t="s">
        <v>306</v>
      </c>
      <c r="C527" s="6" t="n">
        <f aca="false">SUM(D527:U527)</f>
        <v>648.63</v>
      </c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 t="n">
        <f aca="false">'Building 12'!$I$27+'Building 12'!$I$28</f>
        <v>648.63</v>
      </c>
      <c r="Q527" s="6"/>
      <c r="R527" s="6"/>
      <c r="S527" s="6"/>
      <c r="T527" s="6"/>
      <c r="U527" s="6"/>
    </row>
    <row r="528" customFormat="false" ht="15" hidden="false" customHeight="false" outlineLevel="0" collapsed="false">
      <c r="B528" s="5" t="s">
        <v>307</v>
      </c>
      <c r="C528" s="6" t="n">
        <f aca="false">SUM(D528:U528)</f>
        <v>2467.41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 t="n">
        <f aca="false">'Building 12'!$I$29</f>
        <v>2467.41</v>
      </c>
      <c r="Q528" s="6"/>
      <c r="R528" s="6"/>
      <c r="S528" s="6"/>
      <c r="T528" s="6"/>
      <c r="U528" s="6"/>
    </row>
    <row r="529" customFormat="false" ht="15" hidden="false" customHeight="false" outlineLevel="0" collapsed="false">
      <c r="B529" s="5" t="s">
        <v>308</v>
      </c>
      <c r="C529" s="6" t="n">
        <f aca="false">SUM(D529:U529)</f>
        <v>1577.5</v>
      </c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 t="n">
        <f aca="false">'Building 12'!$I$30</f>
        <v>1577.5</v>
      </c>
      <c r="Q529" s="6"/>
      <c r="R529" s="6"/>
      <c r="S529" s="6"/>
      <c r="T529" s="6"/>
      <c r="U529" s="6"/>
    </row>
    <row r="530" customFormat="false" ht="15" hidden="false" customHeight="false" outlineLevel="0" collapsed="false">
      <c r="B530" s="5" t="s">
        <v>309</v>
      </c>
      <c r="C530" s="6" t="n">
        <f aca="false">SUM(D530:U530)</f>
        <v>2124.13</v>
      </c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 t="n">
        <f aca="false">'Building 12'!$I$31</f>
        <v>2124.13</v>
      </c>
      <c r="Q530" s="6"/>
      <c r="R530" s="6"/>
      <c r="S530" s="6"/>
      <c r="T530" s="6"/>
      <c r="U530" s="6"/>
    </row>
    <row r="531" customFormat="false" ht="15" hidden="false" customHeight="false" outlineLevel="0" collapsed="false">
      <c r="B531" s="5" t="s">
        <v>310</v>
      </c>
      <c r="C531" s="6" t="n">
        <f aca="false">SUM(D531:U531)</f>
        <v>434.94</v>
      </c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 t="n">
        <f aca="false">'Building 12'!$I$32</f>
        <v>434.94</v>
      </c>
      <c r="Q531" s="6"/>
      <c r="R531" s="6"/>
      <c r="S531" s="6"/>
      <c r="T531" s="6"/>
      <c r="U531" s="6"/>
    </row>
    <row r="532" customFormat="false" ht="15" hidden="false" customHeight="false" outlineLevel="0" collapsed="false">
      <c r="B532" s="5" t="s">
        <v>311</v>
      </c>
      <c r="C532" s="6" t="n">
        <f aca="false">SUM(D532:U532)</f>
        <v>12870.2</v>
      </c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 t="n">
        <f aca="false">'Building 12'!$I$33</f>
        <v>12870.2</v>
      </c>
      <c r="Q532" s="6"/>
      <c r="R532" s="6"/>
      <c r="S532" s="6"/>
      <c r="T532" s="6"/>
      <c r="U532" s="6"/>
    </row>
    <row r="533" customFormat="false" ht="15" hidden="false" customHeight="false" outlineLevel="0" collapsed="false">
      <c r="B533" s="5" t="s">
        <v>312</v>
      </c>
      <c r="C533" s="6" t="n">
        <f aca="false">SUM(D533:U533)</f>
        <v>2439.18</v>
      </c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 t="n">
        <f aca="false">'Building 12'!$I$34</f>
        <v>2439.18</v>
      </c>
      <c r="Q533" s="6"/>
      <c r="R533" s="6"/>
      <c r="S533" s="6"/>
      <c r="T533" s="6"/>
      <c r="U533" s="6"/>
    </row>
    <row r="534" customFormat="false" ht="15" hidden="false" customHeight="false" outlineLevel="0" collapsed="false">
      <c r="B534" s="5" t="s">
        <v>313</v>
      </c>
      <c r="C534" s="6" t="n">
        <f aca="false">SUM(D534:U534)</f>
        <v>16882.61</v>
      </c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 t="n">
        <f aca="false">'Building 13'!$I$21</f>
        <v>16882.61</v>
      </c>
      <c r="R534" s="6"/>
      <c r="S534" s="6"/>
      <c r="T534" s="6"/>
      <c r="U534" s="6"/>
    </row>
    <row r="535" customFormat="false" ht="15" hidden="false" customHeight="false" outlineLevel="0" collapsed="false">
      <c r="B535" s="5" t="s">
        <v>314</v>
      </c>
      <c r="C535" s="6" t="n">
        <f aca="false">SUM(D535:U535)</f>
        <v>10080.02</v>
      </c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 t="n">
        <f aca="false">'Building 13'!$I$22</f>
        <v>10080.02</v>
      </c>
      <c r="R535" s="6"/>
      <c r="S535" s="6"/>
      <c r="T535" s="6"/>
      <c r="U535" s="6"/>
    </row>
    <row r="536" customFormat="false" ht="15" hidden="false" customHeight="false" outlineLevel="0" collapsed="false">
      <c r="B536" s="5" t="s">
        <v>315</v>
      </c>
      <c r="C536" s="6" t="n">
        <f aca="false">SUM(D536:U536)</f>
        <v>9054.67</v>
      </c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 t="n">
        <f aca="false">'Building 13'!$I$23</f>
        <v>9054.67</v>
      </c>
      <c r="R536" s="6"/>
      <c r="S536" s="6"/>
      <c r="T536" s="6"/>
      <c r="U536" s="6"/>
    </row>
    <row r="537" customFormat="false" ht="15" hidden="false" customHeight="false" outlineLevel="0" collapsed="false">
      <c r="B537" s="5" t="s">
        <v>316</v>
      </c>
      <c r="C537" s="6" t="n">
        <f aca="false">SUM(D537:U537)</f>
        <v>1731.41</v>
      </c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 t="n">
        <f aca="false">'Building 13'!$I$24</f>
        <v>1731.41</v>
      </c>
      <c r="R537" s="6"/>
      <c r="S537" s="6"/>
      <c r="T537" s="6"/>
      <c r="U537" s="6"/>
    </row>
    <row r="538" customFormat="false" ht="15" hidden="false" customHeight="false" outlineLevel="0" collapsed="false">
      <c r="B538" s="5" t="s">
        <v>317</v>
      </c>
      <c r="C538" s="6" t="n">
        <f aca="false">SUM(D538:U538)</f>
        <v>54862.65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 t="n">
        <f aca="false">'Building 13'!$I$25</f>
        <v>54862.65</v>
      </c>
      <c r="R538" s="6"/>
      <c r="S538" s="6"/>
      <c r="T538" s="6"/>
      <c r="U538" s="6"/>
    </row>
    <row r="539" customFormat="false" ht="15" hidden="false" customHeight="false" outlineLevel="0" collapsed="false">
      <c r="B539" s="5" t="s">
        <v>318</v>
      </c>
      <c r="C539" s="6" t="n">
        <f aca="false">SUM(D539:U539)</f>
        <v>9710.07</v>
      </c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 t="n">
        <f aca="false">'Building 13'!$I$26</f>
        <v>9710.07</v>
      </c>
      <c r="R539" s="6"/>
      <c r="S539" s="6"/>
      <c r="T539" s="6"/>
      <c r="U539" s="6"/>
    </row>
    <row r="540" customFormat="false" ht="15" hidden="false" customHeight="false" outlineLevel="0" collapsed="false">
      <c r="B540" s="5" t="s">
        <v>319</v>
      </c>
      <c r="C540" s="6" t="n">
        <f aca="false">SUM(D540:U540)</f>
        <v>594.85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 t="n">
        <f aca="false">'Building 13'!$I$27+'Building 13'!$I$28</f>
        <v>594.85</v>
      </c>
      <c r="R540" s="6"/>
      <c r="S540" s="6"/>
      <c r="T540" s="6"/>
      <c r="U540" s="6"/>
    </row>
    <row r="541" customFormat="false" ht="15" hidden="false" customHeight="false" outlineLevel="0" collapsed="false">
      <c r="B541" s="5" t="s">
        <v>320</v>
      </c>
      <c r="C541" s="6" t="n">
        <f aca="false">SUM(D541:U541)</f>
        <v>2308.83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 t="n">
        <f aca="false">'Building 13'!$I$29</f>
        <v>2308.83</v>
      </c>
      <c r="R541" s="6"/>
      <c r="S541" s="6"/>
      <c r="T541" s="6"/>
      <c r="U541" s="6"/>
    </row>
    <row r="542" customFormat="false" ht="15" hidden="false" customHeight="false" outlineLevel="0" collapsed="false">
      <c r="B542" s="5" t="s">
        <v>321</v>
      </c>
      <c r="C542" s="6" t="n">
        <f aca="false">SUM(D542:U542)</f>
        <v>1378.53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 t="n">
        <f aca="false">'Building 13'!$I$30</f>
        <v>1378.53</v>
      </c>
      <c r="R542" s="6"/>
      <c r="S542" s="6"/>
      <c r="T542" s="6"/>
      <c r="U542" s="6"/>
    </row>
    <row r="543" customFormat="false" ht="15" hidden="false" customHeight="false" outlineLevel="0" collapsed="false">
      <c r="B543" s="5" t="s">
        <v>322</v>
      </c>
      <c r="C543" s="6" t="n">
        <f aca="false">SUM(D543:U543)</f>
        <v>1987.61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 t="n">
        <f aca="false">'Building 13'!$I$31</f>
        <v>1987.61</v>
      </c>
      <c r="R543" s="6"/>
      <c r="S543" s="6"/>
      <c r="T543" s="6"/>
      <c r="U543" s="6"/>
    </row>
    <row r="544" customFormat="false" ht="15" hidden="false" customHeight="false" outlineLevel="0" collapsed="false">
      <c r="B544" s="5" t="s">
        <v>323</v>
      </c>
      <c r="C544" s="6" t="n">
        <f aca="false">SUM(D544:U544)</f>
        <v>380.06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 t="n">
        <f aca="false">'Building 13'!$I$32</f>
        <v>380.06</v>
      </c>
      <c r="R544" s="6"/>
      <c r="S544" s="6"/>
      <c r="T544" s="6"/>
      <c r="U544" s="6"/>
    </row>
    <row r="545" customFormat="false" ht="15" hidden="false" customHeight="false" outlineLevel="0" collapsed="false">
      <c r="B545" s="5" t="s">
        <v>324</v>
      </c>
      <c r="C545" s="6" t="n">
        <f aca="false">SUM(D545:U545)</f>
        <v>12043.03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 t="n">
        <f aca="false">'Building 13'!$I$33</f>
        <v>12043.03</v>
      </c>
      <c r="R545" s="6"/>
      <c r="S545" s="6"/>
      <c r="T545" s="6"/>
      <c r="U545" s="6"/>
    </row>
    <row r="546" customFormat="false" ht="15" hidden="false" customHeight="false" outlineLevel="0" collapsed="false">
      <c r="B546" s="5" t="s">
        <v>325</v>
      </c>
      <c r="C546" s="6" t="n">
        <f aca="false">SUM(D546:U546)</f>
        <v>2131.47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 t="n">
        <f aca="false">'Building 13'!$I$34</f>
        <v>2131.47</v>
      </c>
      <c r="R546" s="6"/>
      <c r="S546" s="6"/>
      <c r="T546" s="6"/>
      <c r="U546" s="6"/>
    </row>
    <row r="547" customFormat="false" ht="15" hidden="false" customHeight="false" outlineLevel="0" collapsed="false">
      <c r="B547" s="5" t="s">
        <v>326</v>
      </c>
      <c r="C547" s="6" t="n">
        <f aca="false">SUM(D547:U547)</f>
        <v>18042.22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 t="n">
        <f aca="false">'Building 14'!$I$21</f>
        <v>18042.22</v>
      </c>
      <c r="S547" s="6"/>
      <c r="T547" s="6"/>
      <c r="U547" s="6"/>
    </row>
    <row r="548" customFormat="false" ht="15" hidden="false" customHeight="false" outlineLevel="0" collapsed="false">
      <c r="B548" s="5" t="s">
        <v>327</v>
      </c>
      <c r="C548" s="6" t="n">
        <f aca="false">SUM(D548:U548)</f>
        <v>11526.06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 t="n">
        <f aca="false">'Building 14'!$I$22</f>
        <v>11526.06</v>
      </c>
      <c r="S548" s="6"/>
      <c r="T548" s="6"/>
      <c r="U548" s="6"/>
    </row>
    <row r="549" customFormat="false" ht="15" hidden="false" customHeight="false" outlineLevel="0" collapsed="false">
      <c r="B549" s="5" t="s">
        <v>328</v>
      </c>
      <c r="C549" s="6" t="n">
        <f aca="false">SUM(D549:U549)</f>
        <v>9676.61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 t="n">
        <f aca="false">'Building 14'!$I$23</f>
        <v>9676.61</v>
      </c>
      <c r="S549" s="6"/>
      <c r="T549" s="6"/>
      <c r="U549" s="6"/>
    </row>
    <row r="550" customFormat="false" ht="15" hidden="false" customHeight="false" outlineLevel="0" collapsed="false">
      <c r="B550" s="5" t="s">
        <v>329</v>
      </c>
      <c r="C550" s="6" t="n">
        <f aca="false">SUM(D550:U550)</f>
        <v>1979.78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 t="n">
        <f aca="false">'Building 14'!$I$24</f>
        <v>1979.78</v>
      </c>
      <c r="S550" s="6"/>
      <c r="T550" s="6"/>
      <c r="U550" s="6"/>
    </row>
    <row r="551" customFormat="false" ht="15" hidden="false" customHeight="false" outlineLevel="0" collapsed="false">
      <c r="B551" s="5" t="s">
        <v>330</v>
      </c>
      <c r="C551" s="6" t="n">
        <f aca="false">SUM(D551:U551)</f>
        <v>58630.96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 t="n">
        <f aca="false">'Building 14'!$I$25</f>
        <v>58630.96</v>
      </c>
      <c r="S551" s="6"/>
      <c r="T551" s="6"/>
      <c r="U551" s="6"/>
    </row>
    <row r="552" customFormat="false" ht="15" hidden="false" customHeight="false" outlineLevel="0" collapsed="false">
      <c r="B552" s="5" t="s">
        <v>331</v>
      </c>
      <c r="C552" s="6" t="n">
        <f aca="false">SUM(D552:U552)</f>
        <v>11103.06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 t="n">
        <f aca="false">'Building 14'!$I$26</f>
        <v>11103.06</v>
      </c>
      <c r="S552" s="6"/>
      <c r="T552" s="6"/>
      <c r="U552" s="6"/>
    </row>
    <row r="553" customFormat="false" ht="15" hidden="false" customHeight="false" outlineLevel="0" collapsed="false">
      <c r="B553" s="5" t="s">
        <v>332</v>
      </c>
      <c r="C553" s="6" t="n">
        <f aca="false">SUM(D553:U553)</f>
        <v>648.46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 t="n">
        <f aca="false">'Building 14'!$I$27+'Building 14'!$I$28</f>
        <v>648.46</v>
      </c>
      <c r="S553" s="6"/>
      <c r="T553" s="6"/>
      <c r="U553" s="6"/>
    </row>
    <row r="554" customFormat="false" ht="15" hidden="false" customHeight="false" outlineLevel="0" collapsed="false">
      <c r="B554" s="5" t="s">
        <v>333</v>
      </c>
      <c r="C554" s="6" t="n">
        <f aca="false">SUM(D554:U554)</f>
        <v>2467.41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 t="n">
        <f aca="false">'Building 14'!$I$29</f>
        <v>2467.41</v>
      </c>
      <c r="S554" s="6"/>
      <c r="T554" s="6"/>
      <c r="U554" s="6"/>
    </row>
    <row r="555" customFormat="false" ht="15" hidden="false" customHeight="false" outlineLevel="0" collapsed="false">
      <c r="B555" s="5" t="s">
        <v>334</v>
      </c>
      <c r="C555" s="6" t="n">
        <f aca="false">SUM(D555:U555)</f>
        <v>1576.28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 t="n">
        <f aca="false">'Building 14'!$I$30</f>
        <v>1576.28</v>
      </c>
      <c r="S555" s="6"/>
      <c r="T555" s="6"/>
      <c r="U555" s="6"/>
    </row>
    <row r="556" customFormat="false" ht="15" hidden="false" customHeight="false" outlineLevel="0" collapsed="false">
      <c r="B556" s="5" t="s">
        <v>335</v>
      </c>
      <c r="C556" s="6" t="n">
        <f aca="false">SUM(D556:U556)</f>
        <v>2124.13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 t="n">
        <f aca="false">'Building 14'!$I$31</f>
        <v>2124.13</v>
      </c>
      <c r="S556" s="6"/>
      <c r="T556" s="6"/>
      <c r="U556" s="6"/>
    </row>
    <row r="557" customFormat="false" ht="15" hidden="false" customHeight="false" outlineLevel="0" collapsed="false">
      <c r="B557" s="5" t="s">
        <v>336</v>
      </c>
      <c r="C557" s="6" t="n">
        <f aca="false">SUM(D557:U557)</f>
        <v>434.59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 t="n">
        <f aca="false">'Building 14'!$I$32</f>
        <v>434.59</v>
      </c>
      <c r="S557" s="6"/>
      <c r="T557" s="6"/>
      <c r="U557" s="6"/>
    </row>
    <row r="558" customFormat="false" ht="15" hidden="false" customHeight="false" outlineLevel="0" collapsed="false">
      <c r="B558" s="5" t="s">
        <v>337</v>
      </c>
      <c r="C558" s="6" t="n">
        <f aca="false">SUM(D558:U558)</f>
        <v>12870.2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 t="n">
        <f aca="false">'Building 14'!$I$33</f>
        <v>12870.2</v>
      </c>
      <c r="S558" s="6"/>
      <c r="T558" s="6"/>
      <c r="U558" s="6"/>
    </row>
    <row r="559" customFormat="false" ht="15" hidden="false" customHeight="false" outlineLevel="0" collapsed="false">
      <c r="B559" s="5" t="s">
        <v>338</v>
      </c>
      <c r="C559" s="6" t="n">
        <f aca="false">SUM(D559:U559)</f>
        <v>2437.26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 t="n">
        <f aca="false">'Building 14'!$I$34</f>
        <v>2437.26</v>
      </c>
      <c r="S559" s="6"/>
      <c r="T559" s="6"/>
      <c r="U559" s="6"/>
    </row>
    <row r="560" customFormat="false" ht="15" hidden="false" customHeight="false" outlineLevel="0" collapsed="false">
      <c r="B560" s="5" t="s">
        <v>339</v>
      </c>
      <c r="C560" s="6" t="n">
        <f aca="false">SUM(D560:U560)</f>
        <v>16882.61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 t="n">
        <f aca="false">'Building 15'!$I$21</f>
        <v>16882.61</v>
      </c>
      <c r="T560" s="6"/>
      <c r="U560" s="6"/>
    </row>
    <row r="561" customFormat="false" ht="15" hidden="false" customHeight="false" outlineLevel="0" collapsed="false">
      <c r="B561" s="5" t="s">
        <v>340</v>
      </c>
      <c r="C561" s="6" t="n">
        <f aca="false">SUM(D561:U561)</f>
        <v>10007.92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 t="n">
        <f aca="false">'Building 15'!$I$22</f>
        <v>10007.92</v>
      </c>
      <c r="T561" s="6"/>
      <c r="U561" s="6"/>
    </row>
    <row r="562" customFormat="false" ht="15" hidden="false" customHeight="false" outlineLevel="0" collapsed="false">
      <c r="B562" s="5" t="s">
        <v>341</v>
      </c>
      <c r="C562" s="6" t="n">
        <f aca="false">SUM(D562:U562)</f>
        <v>9054.67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 t="n">
        <f aca="false">'Building 15'!$I$23</f>
        <v>9054.67</v>
      </c>
      <c r="T562" s="6"/>
      <c r="U562" s="6"/>
    </row>
    <row r="563" customFormat="false" ht="15" hidden="false" customHeight="false" outlineLevel="0" collapsed="false">
      <c r="B563" s="5" t="s">
        <v>342</v>
      </c>
      <c r="C563" s="6" t="n">
        <f aca="false">SUM(D563:U563)</f>
        <v>1719.02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 t="n">
        <f aca="false">'Building 15'!$I$24</f>
        <v>1719.02</v>
      </c>
      <c r="T563" s="6"/>
      <c r="U563" s="6"/>
    </row>
    <row r="564" customFormat="false" ht="15" hidden="false" customHeight="false" outlineLevel="0" collapsed="false">
      <c r="B564" s="5" t="s">
        <v>343</v>
      </c>
      <c r="C564" s="6" t="n">
        <f aca="false">SUM(D564:U564)</f>
        <v>54862.65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 t="n">
        <f aca="false">'Building 15'!$I$25</f>
        <v>54862.65</v>
      </c>
      <c r="T564" s="6"/>
      <c r="U564" s="6"/>
    </row>
    <row r="565" customFormat="false" ht="15" hidden="false" customHeight="false" outlineLevel="0" collapsed="false">
      <c r="B565" s="5" t="s">
        <v>344</v>
      </c>
      <c r="C565" s="6" t="n">
        <f aca="false">SUM(D565:U565)</f>
        <v>9640.62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 t="n">
        <f aca="false">'Building 15'!$I$26</f>
        <v>9640.62</v>
      </c>
      <c r="T565" s="6"/>
      <c r="U565" s="6"/>
    </row>
    <row r="566" customFormat="false" ht="15" hidden="false" customHeight="false" outlineLevel="0" collapsed="false">
      <c r="B566" s="5" t="s">
        <v>345</v>
      </c>
      <c r="C566" s="6" t="n">
        <f aca="false">SUM(D566:U566)</f>
        <v>593.65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 t="n">
        <f aca="false">'Building 15'!$I$27+'Building 15'!$I$28</f>
        <v>593.65</v>
      </c>
      <c r="T566" s="6"/>
      <c r="U566" s="6"/>
    </row>
    <row r="567" customFormat="false" ht="15" hidden="false" customHeight="false" outlineLevel="0" collapsed="false">
      <c r="B567" s="5" t="s">
        <v>346</v>
      </c>
      <c r="C567" s="6" t="n">
        <f aca="false">SUM(D567:U567)</f>
        <v>2308.82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 t="n">
        <f aca="false">'Building 15'!$I$29</f>
        <v>2308.82</v>
      </c>
      <c r="T567" s="6"/>
      <c r="U567" s="6"/>
    </row>
    <row r="568" customFormat="false" ht="15" hidden="false" customHeight="false" outlineLevel="0" collapsed="false">
      <c r="B568" s="5" t="s">
        <v>347</v>
      </c>
      <c r="C568" s="6" t="n">
        <f aca="false">SUM(D568:U568)</f>
        <v>1368.65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 t="n">
        <f aca="false">'Building 15'!$I$30</f>
        <v>1368.65</v>
      </c>
      <c r="T568" s="6"/>
      <c r="U568" s="6"/>
    </row>
    <row r="569" customFormat="false" ht="15" hidden="false" customHeight="false" outlineLevel="0" collapsed="false">
      <c r="B569" s="5" t="s">
        <v>348</v>
      </c>
      <c r="C569" s="6" t="n">
        <f aca="false">SUM(D569:U569)</f>
        <v>1987.61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 t="n">
        <f aca="false">'Building 15'!$I$31</f>
        <v>1987.61</v>
      </c>
      <c r="T569" s="6"/>
      <c r="U569" s="6"/>
    </row>
    <row r="570" customFormat="false" ht="15" hidden="false" customHeight="false" outlineLevel="0" collapsed="false">
      <c r="B570" s="5" t="s">
        <v>349</v>
      </c>
      <c r="C570" s="6" t="n">
        <f aca="false">SUM(D570:U570)</f>
        <v>377.34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 t="n">
        <f aca="false">'Building 15'!$I$32</f>
        <v>377.34</v>
      </c>
      <c r="T570" s="6"/>
      <c r="U570" s="6"/>
    </row>
    <row r="571" customFormat="false" ht="15" hidden="false" customHeight="false" outlineLevel="0" collapsed="false">
      <c r="B571" s="5" t="s">
        <v>350</v>
      </c>
      <c r="C571" s="6" t="n">
        <f aca="false">SUM(D571:U571)</f>
        <v>12043.03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 t="n">
        <f aca="false">'Building 15'!$I$33</f>
        <v>12043.03</v>
      </c>
      <c r="T571" s="6"/>
      <c r="U571" s="6"/>
    </row>
    <row r="572" customFormat="false" ht="15" hidden="false" customHeight="false" outlineLevel="0" collapsed="false">
      <c r="B572" s="5" t="s">
        <v>351</v>
      </c>
      <c r="C572" s="6" t="n">
        <f aca="false">SUM(D572:U572)</f>
        <v>2116.23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 t="n">
        <f aca="false">'Building 15'!$I$34</f>
        <v>2116.23</v>
      </c>
      <c r="T572" s="6"/>
      <c r="U572" s="6"/>
    </row>
    <row r="573" customFormat="false" ht="15" hidden="false" customHeight="false" outlineLevel="0" collapsed="false">
      <c r="B573" s="5" t="s">
        <v>352</v>
      </c>
      <c r="C573" s="6" t="n">
        <f aca="false">SUM(D573:U573)</f>
        <v>16882.61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 t="n">
        <f aca="false">'Building 16'!$I$21</f>
        <v>16882.61</v>
      </c>
      <c r="U573" s="6"/>
    </row>
    <row r="574" customFormat="false" ht="15" hidden="false" customHeight="false" outlineLevel="0" collapsed="false">
      <c r="B574" s="5" t="s">
        <v>353</v>
      </c>
      <c r="C574" s="6" t="n">
        <f aca="false">SUM(D574:U574)</f>
        <v>10080.02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 t="n">
        <f aca="false">'Building 16'!$I$22</f>
        <v>10080.02</v>
      </c>
      <c r="U574" s="6"/>
    </row>
    <row r="575" customFormat="false" ht="15" hidden="false" customHeight="false" outlineLevel="0" collapsed="false">
      <c r="B575" s="5" t="s">
        <v>354</v>
      </c>
      <c r="C575" s="6" t="n">
        <f aca="false">SUM(D575:U575)</f>
        <v>9054.67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 t="n">
        <f aca="false">'Building 16'!$I$23</f>
        <v>9054.67</v>
      </c>
      <c r="U575" s="6"/>
    </row>
    <row r="576" customFormat="false" ht="15" hidden="false" customHeight="false" outlineLevel="0" collapsed="false">
      <c r="B576" s="5" t="s">
        <v>355</v>
      </c>
      <c r="C576" s="6" t="n">
        <f aca="false">SUM(D576:U576)</f>
        <v>1731.41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 t="n">
        <f aca="false">'Building 16'!$I$24</f>
        <v>1731.41</v>
      </c>
      <c r="U576" s="6"/>
    </row>
    <row r="577" customFormat="false" ht="15" hidden="false" customHeight="false" outlineLevel="0" collapsed="false">
      <c r="B577" s="5" t="s">
        <v>356</v>
      </c>
      <c r="C577" s="6" t="n">
        <f aca="false">SUM(D577:U577)</f>
        <v>54862.65</v>
      </c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 t="n">
        <f aca="false">'Building 16'!$I$25</f>
        <v>54862.65</v>
      </c>
      <c r="U577" s="6"/>
    </row>
    <row r="578" customFormat="false" ht="15" hidden="false" customHeight="false" outlineLevel="0" collapsed="false">
      <c r="B578" s="5" t="s">
        <v>357</v>
      </c>
      <c r="C578" s="6" t="n">
        <f aca="false">SUM(D578:U578)</f>
        <v>9710.07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 t="n">
        <f aca="false">'Building 16'!$I$26</f>
        <v>9710.07</v>
      </c>
      <c r="U578" s="6"/>
    </row>
    <row r="579" customFormat="false" ht="15" hidden="false" customHeight="false" outlineLevel="0" collapsed="false">
      <c r="B579" s="5" t="s">
        <v>358</v>
      </c>
      <c r="C579" s="6" t="n">
        <f aca="false">SUM(D579:U579)</f>
        <v>594.85</v>
      </c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 t="n">
        <f aca="false">'Building 16'!$I$27+'Building 16'!$I$28</f>
        <v>594.85</v>
      </c>
      <c r="U579" s="6"/>
    </row>
    <row r="580" customFormat="false" ht="15" hidden="false" customHeight="false" outlineLevel="0" collapsed="false">
      <c r="B580" s="5" t="s">
        <v>359</v>
      </c>
      <c r="C580" s="6" t="n">
        <f aca="false">SUM(D580:U580)</f>
        <v>2308.83</v>
      </c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 t="n">
        <f aca="false">'Building 16'!$I$29</f>
        <v>2308.83</v>
      </c>
      <c r="U580" s="6"/>
    </row>
    <row r="581" customFormat="false" ht="15" hidden="false" customHeight="false" outlineLevel="0" collapsed="false">
      <c r="B581" s="5" t="s">
        <v>360</v>
      </c>
      <c r="C581" s="6" t="n">
        <f aca="false">SUM(D581:U581)</f>
        <v>1378.53</v>
      </c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 t="n">
        <f aca="false">'Building 16'!$I$30</f>
        <v>1378.53</v>
      </c>
      <c r="U581" s="6"/>
    </row>
    <row r="582" customFormat="false" ht="15" hidden="false" customHeight="false" outlineLevel="0" collapsed="false">
      <c r="B582" s="5" t="s">
        <v>361</v>
      </c>
      <c r="C582" s="6" t="n">
        <f aca="false">SUM(D582:U582)</f>
        <v>1987.61</v>
      </c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 t="n">
        <f aca="false">'Building 16'!$I$31</f>
        <v>1987.61</v>
      </c>
      <c r="U582" s="6"/>
    </row>
    <row r="583" customFormat="false" ht="15" hidden="false" customHeight="false" outlineLevel="0" collapsed="false">
      <c r="B583" s="5" t="s">
        <v>362</v>
      </c>
      <c r="C583" s="6" t="n">
        <f aca="false">SUM(D583:U583)</f>
        <v>380.06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 t="n">
        <f aca="false">'Building 16'!$I$32</f>
        <v>380.06</v>
      </c>
      <c r="U583" s="6"/>
    </row>
    <row r="584" customFormat="false" ht="15" hidden="false" customHeight="false" outlineLevel="0" collapsed="false">
      <c r="B584" s="5" t="s">
        <v>363</v>
      </c>
      <c r="C584" s="6" t="n">
        <f aca="false">SUM(D584:U584)</f>
        <v>12043.03</v>
      </c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 t="n">
        <f aca="false">'Building 16'!$I$33</f>
        <v>12043.03</v>
      </c>
      <c r="U584" s="6"/>
    </row>
    <row r="585" customFormat="false" ht="15" hidden="false" customHeight="false" outlineLevel="0" collapsed="false">
      <c r="B585" s="5" t="s">
        <v>364</v>
      </c>
      <c r="C585" s="6" t="n">
        <f aca="false">SUM(D585:U585)</f>
        <v>2131.47</v>
      </c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 t="n">
        <f aca="false">'Building 16'!$I$34</f>
        <v>2131.47</v>
      </c>
      <c r="U585" s="6"/>
    </row>
    <row r="586" customFormat="false" ht="15" hidden="false" customHeight="false" outlineLevel="0" collapsed="false">
      <c r="B586" s="5" t="s">
        <v>365</v>
      </c>
      <c r="C586" s="6" t="n">
        <f aca="false">SUM(D586:U586)</f>
        <v>1979.11</v>
      </c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 t="n">
        <f aca="false">Office!$I$21</f>
        <v>1979.11</v>
      </c>
    </row>
    <row r="587" customFormat="false" ht="15" hidden="false" customHeight="false" outlineLevel="0" collapsed="false">
      <c r="B587" s="5" t="s">
        <v>366</v>
      </c>
      <c r="C587" s="6" t="n">
        <f aca="false">SUM(D587:U587)</f>
        <v>4184.1</v>
      </c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 t="n">
        <f aca="false">Office!$I$22</f>
        <v>4184.1</v>
      </c>
    </row>
    <row r="588" customFormat="false" ht="15" hidden="false" customHeight="false" outlineLevel="0" collapsed="false">
      <c r="B588" s="5" t="s">
        <v>367</v>
      </c>
      <c r="C588" s="6" t="n">
        <f aca="false">SUM(D588:U588)</f>
        <v>1061.46</v>
      </c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 t="n">
        <f aca="false">Office!$I$23</f>
        <v>1061.46</v>
      </c>
    </row>
    <row r="589" customFormat="false" ht="15" hidden="false" customHeight="false" outlineLevel="0" collapsed="false">
      <c r="B589" s="5" t="s">
        <v>368</v>
      </c>
      <c r="C589" s="6" t="n">
        <f aca="false">SUM(D589:U589)</f>
        <v>718.69</v>
      </c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 t="n">
        <f aca="false">Office!$I$24</f>
        <v>718.69</v>
      </c>
    </row>
    <row r="590" customFormat="false" ht="15" hidden="false" customHeight="false" outlineLevel="0" collapsed="false">
      <c r="B590" s="5" t="s">
        <v>369</v>
      </c>
      <c r="C590" s="6" t="n">
        <f aca="false">SUM(D590:U590)</f>
        <v>6431.42</v>
      </c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 t="n">
        <f aca="false">Office!$I$25</f>
        <v>6431.42</v>
      </c>
    </row>
    <row r="591" customFormat="false" ht="15" hidden="false" customHeight="false" outlineLevel="0" collapsed="false">
      <c r="B591" s="5" t="s">
        <v>370</v>
      </c>
      <c r="C591" s="6" t="n">
        <f aca="false">SUM(D591:U591)</f>
        <v>4030.56</v>
      </c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 t="n">
        <f aca="false">Office!$I$26</f>
        <v>4030.56</v>
      </c>
    </row>
    <row r="592" customFormat="false" ht="15" hidden="false" customHeight="false" outlineLevel="0" collapsed="false">
      <c r="B592" s="5" t="s">
        <v>371</v>
      </c>
      <c r="C592" s="6" t="n">
        <f aca="false">SUM(D592:U592)</f>
        <v>120.55</v>
      </c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 t="n">
        <f aca="false">Office!$I$27+Office!$I$28</f>
        <v>120.55</v>
      </c>
    </row>
    <row r="593" customFormat="false" ht="15" hidden="false" customHeight="false" outlineLevel="0" collapsed="false">
      <c r="B593" s="5" t="s">
        <v>372</v>
      </c>
      <c r="C593" s="6" t="n">
        <f aca="false">SUM(D593:U593)</f>
        <v>270.66</v>
      </c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 t="n">
        <f aca="false">Office!$I$29</f>
        <v>270.66</v>
      </c>
    </row>
    <row r="594" customFormat="false" ht="15" hidden="false" customHeight="false" outlineLevel="0" collapsed="false">
      <c r="B594" s="5" t="s">
        <v>373</v>
      </c>
      <c r="C594" s="6" t="n">
        <f aca="false">SUM(D594:U594)</f>
        <v>572.22</v>
      </c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 t="n">
        <f aca="false">Office!$I$30</f>
        <v>572.22</v>
      </c>
    </row>
    <row r="595" customFormat="false" ht="15" hidden="false" customHeight="false" outlineLevel="0" collapsed="false">
      <c r="B595" s="5" t="s">
        <v>374</v>
      </c>
      <c r="C595" s="6" t="n">
        <f aca="false">SUM(D595:U595)</f>
        <v>233</v>
      </c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 t="n">
        <f aca="false">Office!$I$31</f>
        <v>233</v>
      </c>
    </row>
    <row r="596" customFormat="false" ht="15" hidden="false" customHeight="false" outlineLevel="0" collapsed="false">
      <c r="B596" s="5" t="s">
        <v>375</v>
      </c>
      <c r="C596" s="6" t="n">
        <f aca="false">SUM(D596:U596)</f>
        <v>157.76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 t="n">
        <f aca="false">Office!$I$32</f>
        <v>157.76</v>
      </c>
    </row>
    <row r="597" customFormat="false" ht="15" hidden="false" customHeight="false" outlineLevel="0" collapsed="false">
      <c r="B597" s="5" t="s">
        <v>376</v>
      </c>
      <c r="C597" s="6" t="n">
        <f aca="false">SUM(D597:U597)</f>
        <v>1411.77</v>
      </c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 t="n">
        <f aca="false">Office!$I$33</f>
        <v>1411.77</v>
      </c>
    </row>
    <row r="598" customFormat="false" ht="15" hidden="false" customHeight="false" outlineLevel="0" collapsed="false">
      <c r="B598" s="5" t="s">
        <v>377</v>
      </c>
      <c r="C598" s="6" t="n">
        <f aca="false">SUM(D598:U598)</f>
        <v>884.76</v>
      </c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 t="n">
        <f aca="false">Office!$I$34</f>
        <v>884.76</v>
      </c>
    </row>
    <row r="599" customFormat="false" ht="15" hidden="false" customHeight="false" outlineLevel="0" collapsed="false">
      <c r="A599" s="7"/>
      <c r="B599" s="8" t="s">
        <v>382</v>
      </c>
      <c r="C599" s="9" t="n">
        <f aca="false">SUM(C363:C598)</f>
        <v>2361119.07</v>
      </c>
      <c r="D599" s="9" t="n">
        <f aca="false">SUM(D363:D598)</f>
        <v>382264.85</v>
      </c>
      <c r="E599" s="9" t="n">
        <f aca="false">SUM(E363:E598)</f>
        <v>123022.79</v>
      </c>
      <c r="F599" s="9" t="n">
        <f aca="false">SUM(F363:F598)</f>
        <v>123110.27</v>
      </c>
      <c r="G599" s="9" t="n">
        <f aca="false">SUM(G363:G598)</f>
        <v>123122.76</v>
      </c>
      <c r="H599" s="9" t="n">
        <f aca="false">SUM(H363:H598)</f>
        <v>122962.82</v>
      </c>
      <c r="I599" s="9" t="n">
        <f aca="false">SUM(I363:I598)</f>
        <v>133357.07</v>
      </c>
      <c r="J599" s="9" t="n">
        <f aca="false">SUM(J363:J598)</f>
        <v>123145.81</v>
      </c>
      <c r="K599" s="9" t="n">
        <f aca="false">SUM(K363:K598)</f>
        <v>133540.05</v>
      </c>
      <c r="L599" s="9" t="n">
        <f aca="false">SUM(L363:L598)</f>
        <v>123145.81</v>
      </c>
      <c r="M599" s="9" t="n">
        <f aca="false">SUM(M363:M598)</f>
        <v>58416.44</v>
      </c>
      <c r="N599" s="9" t="n">
        <f aca="false">SUM(N363:N598)</f>
        <v>133517.02</v>
      </c>
      <c r="O599" s="9" t="n">
        <f aca="false">SUM(O363:O598)</f>
        <v>123145.81</v>
      </c>
      <c r="P599" s="9" t="n">
        <f aca="false">SUM(P363:P598)</f>
        <v>133540.05</v>
      </c>
      <c r="Q599" s="9" t="n">
        <f aca="false">SUM(Q363:Q598)</f>
        <v>123145.81</v>
      </c>
      <c r="R599" s="9" t="n">
        <f aca="false">SUM(R363:R598)</f>
        <v>133517.02</v>
      </c>
      <c r="S599" s="9" t="n">
        <f aca="false">SUM(S363:S598)</f>
        <v>122962.82</v>
      </c>
      <c r="T599" s="9" t="n">
        <f aca="false">SUM(T363:T598)</f>
        <v>123145.81</v>
      </c>
      <c r="U599" s="9" t="n">
        <f aca="false">SUM(U363:U598)</f>
        <v>22056.06</v>
      </c>
    </row>
    <row r="600" customFormat="false" ht="15" hidden="false" customHeight="false" outlineLevel="0" collapsed="false">
      <c r="A600" s="13"/>
      <c r="B600" s="14" t="s">
        <v>383</v>
      </c>
      <c r="C600" s="15" t="n">
        <f aca="false">C362-C599</f>
        <v>-1762893.13</v>
      </c>
      <c r="D600" s="15" t="n">
        <f aca="false">D362-D599</f>
        <v>-322904.36</v>
      </c>
      <c r="E600" s="15" t="n">
        <f aca="false">E362-E599</f>
        <v>-90166.1</v>
      </c>
      <c r="F600" s="15" t="n">
        <f aca="false">F362-F599</f>
        <v>-90245.84</v>
      </c>
      <c r="G600" s="15" t="n">
        <f aca="false">G362-G599</f>
        <v>-90257.24</v>
      </c>
      <c r="H600" s="15" t="n">
        <f aca="false">H362-H599</f>
        <v>-90248.95</v>
      </c>
      <c r="I600" s="15" t="n">
        <f aca="false">I362-I599</f>
        <v>-96548.9</v>
      </c>
      <c r="J600" s="15" t="n">
        <f aca="false">J362-J599</f>
        <v>-90258.46</v>
      </c>
      <c r="K600" s="15" t="n">
        <f aca="false">K362-K599</f>
        <v>-96558.41</v>
      </c>
      <c r="L600" s="15" t="n">
        <f aca="false">L362-L599</f>
        <v>-90258.46</v>
      </c>
      <c r="M600" s="15" t="n">
        <f aca="false">M362-M599</f>
        <v>-43773.15</v>
      </c>
      <c r="N600" s="15" t="n">
        <f aca="false">N362-N599</f>
        <v>-96557.19</v>
      </c>
      <c r="O600" s="15" t="n">
        <f aca="false">O362-O599</f>
        <v>-90258.46</v>
      </c>
      <c r="P600" s="15" t="n">
        <f aca="false">P362-P599</f>
        <v>-96558.41</v>
      </c>
      <c r="Q600" s="15" t="n">
        <f aca="false">Q362-Q599</f>
        <v>-90258.46</v>
      </c>
      <c r="R600" s="15" t="n">
        <f aca="false">R362-R599</f>
        <v>-96557.19</v>
      </c>
      <c r="S600" s="15" t="n">
        <f aca="false">S362-S599</f>
        <v>-90248.95</v>
      </c>
      <c r="T600" s="15" t="n">
        <f aca="false">T362-T599</f>
        <v>-90258.46</v>
      </c>
      <c r="U600" s="15" t="n">
        <f aca="false">U362-U599</f>
        <v>-10976.14</v>
      </c>
    </row>
    <row r="601" customFormat="false" ht="15" hidden="false" customHeight="false" outlineLevel="0" collapsed="false">
      <c r="B601" s="16" t="s">
        <v>384</v>
      </c>
      <c r="C601" s="17" t="n">
        <f aca="false">C600-(-1762893.13)</f>
        <v>0</v>
      </c>
      <c r="D601" s="17" t="n">
        <f aca="false">D600-Site!$D$40</f>
        <v>0</v>
      </c>
      <c r="E601" s="17" t="n">
        <f aca="false">E600-'Building 1'!$D$40</f>
        <v>0</v>
      </c>
      <c r="F601" s="17" t="n">
        <f aca="false">F600-'Building 2'!$D$40</f>
        <v>0</v>
      </c>
      <c r="G601" s="17" t="n">
        <f aca="false">G600-'Building 3'!$D$40</f>
        <v>0</v>
      </c>
      <c r="H601" s="17" t="n">
        <f aca="false">H600-'Building 4'!$D$40</f>
        <v>0</v>
      </c>
      <c r="I601" s="17" t="n">
        <f aca="false">I600-'Building 5'!$D$40</f>
        <v>0</v>
      </c>
      <c r="J601" s="17" t="n">
        <f aca="false">J600-'Building 6'!$D$40</f>
        <v>0</v>
      </c>
      <c r="K601" s="17" t="n">
        <f aca="false">K600-'Building 7'!$D$40</f>
        <v>0</v>
      </c>
      <c r="L601" s="17" t="n">
        <f aca="false">L600-'Building 8'!$D$40</f>
        <v>0</v>
      </c>
      <c r="M601" s="17" t="n">
        <f aca="false">M600-'Building 9'!$D$40</f>
        <v>0</v>
      </c>
      <c r="N601" s="17" t="n">
        <f aca="false">N600-'Building 10'!$D$40</f>
        <v>0</v>
      </c>
      <c r="O601" s="17" t="n">
        <f aca="false">O600-'Building 11'!$D$40</f>
        <v>0</v>
      </c>
      <c r="P601" s="17" t="n">
        <f aca="false">P600-'Building 12'!$D$40</f>
        <v>0</v>
      </c>
      <c r="Q601" s="17" t="n">
        <f aca="false">Q600-'Building 13'!$D$40</f>
        <v>0</v>
      </c>
      <c r="R601" s="17" t="n">
        <f aca="false">R600-'Building 14'!$D$40</f>
        <v>0</v>
      </c>
      <c r="S601" s="17" t="n">
        <f aca="false">S600-'Building 15'!$D$40</f>
        <v>0</v>
      </c>
      <c r="T601" s="17" t="n">
        <f aca="false">T600-'Building 16'!$D$40</f>
        <v>0</v>
      </c>
      <c r="U601" s="17" t="n">
        <f aca="false">U600-Office!$D$40</f>
        <v>0</v>
      </c>
    </row>
    <row r="603" customFormat="false" ht="15" hidden="false" customHeight="false" outlineLevel="0" collapsed="false">
      <c r="B603" s="18" t="s">
        <v>385</v>
      </c>
    </row>
    <row r="604" customFormat="false" ht="15" hidden="false" customHeight="false" outlineLevel="0" collapsed="false">
      <c r="B604" s="19" t="s">
        <v>386</v>
      </c>
    </row>
    <row r="605" customFormat="false" ht="15" hidden="false" customHeight="false" outlineLevel="0" collapsed="false">
      <c r="B605" s="19" t="s">
        <v>387</v>
      </c>
    </row>
    <row r="606" customFormat="false" ht="15" hidden="false" customHeight="false" outlineLevel="0" collapsed="false">
      <c r="B606" s="19" t="s">
        <v>388</v>
      </c>
    </row>
    <row r="607" customFormat="false" ht="15" hidden="false" customHeight="false" outlineLevel="0" collapsed="false">
      <c r="B607" s="19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390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26</v>
      </c>
      <c r="C10" s="23" t="s">
        <v>25</v>
      </c>
      <c r="D10" s="24" t="n">
        <v>116091.65</v>
      </c>
      <c r="E10" s="24" t="n">
        <v>0</v>
      </c>
      <c r="F10" s="24" t="n">
        <v>0</v>
      </c>
      <c r="G10" s="24" t="n">
        <v>11989.37</v>
      </c>
      <c r="H10" s="24" t="n">
        <v>4227.49</v>
      </c>
      <c r="I10" s="24" t="n">
        <f aca="false">G10+H10</f>
        <v>16216.86</v>
      </c>
      <c r="J10" s="24" t="n">
        <f aca="false">D10-I10</f>
        <v>99874.79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28</v>
      </c>
      <c r="C11" s="23" t="s">
        <v>27</v>
      </c>
      <c r="D11" s="24" t="n">
        <v>62263.6</v>
      </c>
      <c r="E11" s="24" t="n">
        <v>0</v>
      </c>
      <c r="F11" s="24" t="n">
        <v>0</v>
      </c>
      <c r="G11" s="24" t="n">
        <v>2161.97</v>
      </c>
      <c r="H11" s="24" t="n">
        <v>2075.44</v>
      </c>
      <c r="I11" s="24" t="n">
        <f aca="false">G11+H11</f>
        <v>4237.41</v>
      </c>
      <c r="J11" s="24" t="n">
        <f aca="false">D11-I11</f>
        <v>58026.19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30</v>
      </c>
      <c r="C12" s="23" t="s">
        <v>29</v>
      </c>
      <c r="D12" s="24" t="n">
        <v>417320.48</v>
      </c>
      <c r="E12" s="24" t="n">
        <v>0</v>
      </c>
      <c r="F12" s="24" t="n">
        <v>0</v>
      </c>
      <c r="G12" s="24" t="n">
        <v>9853.39</v>
      </c>
      <c r="H12" s="24" t="n">
        <v>13910.71</v>
      </c>
      <c r="I12" s="24" t="n">
        <f aca="false">G12+H12</f>
        <v>23764.1</v>
      </c>
      <c r="J12" s="24" t="n">
        <f aca="false">D12-I12</f>
        <v>393556.38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32</v>
      </c>
      <c r="C13" s="23" t="s">
        <v>31</v>
      </c>
      <c r="D13" s="24" t="n">
        <v>2917.69</v>
      </c>
      <c r="E13" s="24" t="n">
        <v>0</v>
      </c>
      <c r="F13" s="24" t="n">
        <v>0</v>
      </c>
      <c r="G13" s="24" t="n">
        <v>219.69</v>
      </c>
      <c r="H13" s="24" t="n">
        <v>101.01</v>
      </c>
      <c r="I13" s="24" t="n">
        <f aca="false">G13+H13</f>
        <v>320.7</v>
      </c>
      <c r="J13" s="24" t="n">
        <f aca="false">D13-I13</f>
        <v>2596.99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33</v>
      </c>
      <c r="C14" s="23" t="s">
        <v>25</v>
      </c>
      <c r="D14" s="24" t="n">
        <v>15876.41</v>
      </c>
      <c r="E14" s="24" t="n">
        <v>0</v>
      </c>
      <c r="F14" s="24" t="n">
        <v>4073.29</v>
      </c>
      <c r="G14" s="24" t="n">
        <v>4073.29</v>
      </c>
      <c r="H14" s="24" t="n">
        <v>1221</v>
      </c>
      <c r="I14" s="24" t="n">
        <f aca="false">G14+H14</f>
        <v>5294.29</v>
      </c>
      <c r="J14" s="24" t="n">
        <f aca="false">D14-I14</f>
        <v>10582.12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34</v>
      </c>
      <c r="C15" s="23" t="s">
        <v>27</v>
      </c>
      <c r="D15" s="24" t="n">
        <v>13667.6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13667.6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35</v>
      </c>
      <c r="C16" s="23" t="s">
        <v>29</v>
      </c>
      <c r="D16" s="24" t="n">
        <v>91606.97</v>
      </c>
      <c r="E16" s="24" t="n">
        <v>0</v>
      </c>
      <c r="F16" s="24" t="n">
        <v>0</v>
      </c>
      <c r="G16" s="24" t="n">
        <v>3664.27</v>
      </c>
      <c r="H16" s="24" t="n">
        <v>5862.86</v>
      </c>
      <c r="I16" s="24" t="n">
        <f aca="false">G16+H16</f>
        <v>9527.13</v>
      </c>
      <c r="J16" s="24" t="n">
        <f aca="false">D16-I16</f>
        <v>82079.84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719744.4</v>
      </c>
      <c r="E17" s="28" t="n">
        <f aca="false">SUM(E10:E16)</f>
        <v>0</v>
      </c>
      <c r="F17" s="28" t="n">
        <f aca="false">SUM(F10:F16)</f>
        <v>4073.29</v>
      </c>
      <c r="G17" s="28" t="n">
        <f aca="false">SUM(G10:G16)</f>
        <v>31961.98</v>
      </c>
      <c r="H17" s="28" t="n">
        <f aca="false">SUM(H10:H16)</f>
        <v>27398.51</v>
      </c>
      <c r="I17" s="28" t="n">
        <f aca="false">SUM(I10:I16)</f>
        <v>59360.49</v>
      </c>
      <c r="J17" s="28" t="n">
        <f aca="false">SUM(J10:J16)</f>
        <v>660383.91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142</v>
      </c>
      <c r="C21" s="23" t="s">
        <v>25</v>
      </c>
      <c r="D21" s="24" t="n">
        <v>65091.76</v>
      </c>
      <c r="E21" s="24" t="n">
        <v>0</v>
      </c>
      <c r="F21" s="24" t="n">
        <v>65091.76</v>
      </c>
      <c r="G21" s="24" t="n">
        <v>65091.76</v>
      </c>
      <c r="H21" s="24" t="n">
        <v>0</v>
      </c>
      <c r="I21" s="24" t="n">
        <f aca="false">G21+H21</f>
        <v>65091.76</v>
      </c>
      <c r="J21" s="24" t="n">
        <f aca="false">D21-I21</f>
        <v>0</v>
      </c>
      <c r="K21" s="25" t="s">
        <v>408</v>
      </c>
      <c r="L21" s="25" t="s">
        <v>409</v>
      </c>
    </row>
    <row r="22" customFormat="false" ht="15" hidden="false" customHeight="false" outlineLevel="0" collapsed="false">
      <c r="A22" s="23" t="n">
        <v>2</v>
      </c>
      <c r="B22" s="23" t="s">
        <v>143</v>
      </c>
      <c r="C22" s="23" t="s">
        <v>25</v>
      </c>
      <c r="D22" s="24" t="n">
        <v>50999.89</v>
      </c>
      <c r="E22" s="24" t="n">
        <v>0</v>
      </c>
      <c r="F22" s="24" t="n">
        <v>0</v>
      </c>
      <c r="G22" s="24" t="n">
        <v>9137.5</v>
      </c>
      <c r="H22" s="24" t="n">
        <v>1700</v>
      </c>
      <c r="I22" s="24" t="n">
        <f aca="false">G22+H22</f>
        <v>10837.5</v>
      </c>
      <c r="J22" s="24" t="n">
        <f aca="false">D22-I22</f>
        <v>40162.39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144</v>
      </c>
      <c r="C23" s="23" t="s">
        <v>27</v>
      </c>
      <c r="D23" s="24" t="n">
        <v>34910.75</v>
      </c>
      <c r="E23" s="24" t="n">
        <v>0</v>
      </c>
      <c r="F23" s="24" t="n">
        <v>34910.75</v>
      </c>
      <c r="G23" s="24" t="n">
        <v>34910.75</v>
      </c>
      <c r="H23" s="24" t="n">
        <v>0</v>
      </c>
      <c r="I23" s="24" t="n">
        <f aca="false">G23+H23</f>
        <v>34910.75</v>
      </c>
      <c r="J23" s="24" t="n">
        <f aca="false">D23-I23</f>
        <v>0</v>
      </c>
      <c r="K23" s="25" t="s">
        <v>408</v>
      </c>
      <c r="L23" s="25" t="s">
        <v>409</v>
      </c>
    </row>
    <row r="24" customFormat="false" ht="15" hidden="false" customHeight="false" outlineLevel="0" collapsed="false">
      <c r="A24" s="23" t="n">
        <v>4</v>
      </c>
      <c r="B24" s="23" t="s">
        <v>145</v>
      </c>
      <c r="C24" s="23" t="s">
        <v>27</v>
      </c>
      <c r="D24" s="24" t="n">
        <v>27352.85</v>
      </c>
      <c r="E24" s="24" t="n">
        <v>0</v>
      </c>
      <c r="F24" s="24" t="n">
        <v>0</v>
      </c>
      <c r="G24" s="24" t="n">
        <v>949.75</v>
      </c>
      <c r="H24" s="24" t="n">
        <v>911.76</v>
      </c>
      <c r="I24" s="24" t="n">
        <f aca="false">G24+H24</f>
        <v>1861.51</v>
      </c>
      <c r="J24" s="24" t="n">
        <f aca="false">D24-I24</f>
        <v>25491.34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146</v>
      </c>
      <c r="C25" s="23" t="s">
        <v>29</v>
      </c>
      <c r="D25" s="24" t="n">
        <v>233988.6</v>
      </c>
      <c r="E25" s="24" t="n">
        <v>0</v>
      </c>
      <c r="F25" s="24" t="n">
        <v>187190.88</v>
      </c>
      <c r="G25" s="24" t="n">
        <v>189530.77</v>
      </c>
      <c r="H25" s="24" t="n">
        <v>4445.78</v>
      </c>
      <c r="I25" s="24" t="n">
        <f aca="false">G25+H25</f>
        <v>193976.55</v>
      </c>
      <c r="J25" s="24" t="n">
        <f aca="false">D25-I25</f>
        <v>40012.05</v>
      </c>
      <c r="K25" s="25" t="s">
        <v>408</v>
      </c>
      <c r="L25" s="25" t="s">
        <v>409</v>
      </c>
    </row>
    <row r="26" customFormat="false" ht="15" hidden="false" customHeight="false" outlineLevel="0" collapsed="false">
      <c r="A26" s="23" t="n">
        <v>6</v>
      </c>
      <c r="B26" s="23" t="s">
        <v>147</v>
      </c>
      <c r="C26" s="23" t="s">
        <v>29</v>
      </c>
      <c r="D26" s="24" t="n">
        <v>183331.88</v>
      </c>
      <c r="E26" s="24" t="n">
        <v>0</v>
      </c>
      <c r="F26" s="24" t="n">
        <v>0</v>
      </c>
      <c r="G26" s="24" t="n">
        <v>4328.67</v>
      </c>
      <c r="H26" s="24" t="n">
        <v>6111.06</v>
      </c>
      <c r="I26" s="24" t="n">
        <f aca="false">G26+H26</f>
        <v>10439.73</v>
      </c>
      <c r="J26" s="24" t="n">
        <f aca="false">D26-I26</f>
        <v>172892.15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148</v>
      </c>
      <c r="C27" s="23" t="s">
        <v>31</v>
      </c>
      <c r="D27" s="24" t="n">
        <v>1635.93</v>
      </c>
      <c r="E27" s="24" t="n">
        <v>0</v>
      </c>
      <c r="F27" s="24" t="n">
        <v>1635.93</v>
      </c>
      <c r="G27" s="24" t="n">
        <v>1635.93</v>
      </c>
      <c r="H27" s="24" t="n">
        <v>0</v>
      </c>
      <c r="I27" s="24" t="n">
        <f aca="false">G27+H27</f>
        <v>1635.93</v>
      </c>
      <c r="J27" s="24" t="n">
        <f aca="false">D27-I27</f>
        <v>0</v>
      </c>
      <c r="K27" s="25" t="s">
        <v>408</v>
      </c>
      <c r="L27" s="25" t="s">
        <v>409</v>
      </c>
    </row>
    <row r="28" customFormat="false" ht="15" hidden="false" customHeight="false" outlineLevel="0" collapsed="false">
      <c r="A28" s="23" t="n">
        <v>8</v>
      </c>
      <c r="B28" s="23" t="s">
        <v>149</v>
      </c>
      <c r="C28" s="23" t="s">
        <v>31</v>
      </c>
      <c r="D28" s="24" t="n">
        <v>1281.76</v>
      </c>
      <c r="E28" s="24" t="n">
        <v>0</v>
      </c>
      <c r="F28" s="24" t="n">
        <v>0</v>
      </c>
      <c r="G28" s="24" t="n">
        <v>140.65</v>
      </c>
      <c r="H28" s="24" t="n">
        <v>42.73</v>
      </c>
      <c r="I28" s="24" t="n">
        <f aca="false">G28+H28</f>
        <v>183.38</v>
      </c>
      <c r="J28" s="24" t="n">
        <f aca="false">D28-I28</f>
        <v>1098.38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150</v>
      </c>
      <c r="C29" s="23" t="s">
        <v>25</v>
      </c>
      <c r="D29" s="24" t="n">
        <v>8901.79</v>
      </c>
      <c r="E29" s="24" t="n">
        <v>0</v>
      </c>
      <c r="F29" s="24" t="n">
        <v>8901.79</v>
      </c>
      <c r="G29" s="24" t="n">
        <v>8901.79</v>
      </c>
      <c r="H29" s="24" t="n">
        <v>0</v>
      </c>
      <c r="I29" s="24" t="n">
        <f aca="false">G29+H29</f>
        <v>8901.79</v>
      </c>
      <c r="J29" s="24" t="n">
        <f aca="false">D29-I29</f>
        <v>0</v>
      </c>
      <c r="K29" s="25" t="s">
        <v>408</v>
      </c>
      <c r="L29" s="25" t="s">
        <v>409</v>
      </c>
    </row>
    <row r="30" customFormat="false" ht="15" hidden="false" customHeight="false" outlineLevel="0" collapsed="false">
      <c r="A30" s="23" t="n">
        <v>10</v>
      </c>
      <c r="B30" s="23" t="s">
        <v>151</v>
      </c>
      <c r="C30" s="23" t="s">
        <v>25</v>
      </c>
      <c r="D30" s="24" t="n">
        <v>6974.62</v>
      </c>
      <c r="E30" s="24" t="n">
        <v>0</v>
      </c>
      <c r="F30" s="24" t="n">
        <v>0</v>
      </c>
      <c r="G30" s="24" t="n">
        <v>1249.63</v>
      </c>
      <c r="H30" s="24" t="n">
        <v>232.49</v>
      </c>
      <c r="I30" s="24" t="n">
        <f aca="false">G30+H30</f>
        <v>1482.12</v>
      </c>
      <c r="J30" s="24" t="n">
        <f aca="false">D30-I30</f>
        <v>5492.5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152</v>
      </c>
      <c r="C31" s="23" t="s">
        <v>27</v>
      </c>
      <c r="D31" s="24" t="n">
        <v>7663.33</v>
      </c>
      <c r="E31" s="24" t="n">
        <v>0</v>
      </c>
      <c r="F31" s="24" t="n">
        <v>7663.33</v>
      </c>
      <c r="G31" s="24" t="n">
        <v>7663.33</v>
      </c>
      <c r="H31" s="24" t="n">
        <v>0</v>
      </c>
      <c r="I31" s="24" t="n">
        <f aca="false">G31+H31</f>
        <v>7663.33</v>
      </c>
      <c r="J31" s="24" t="n">
        <f aca="false">D31-I31</f>
        <v>0</v>
      </c>
      <c r="K31" s="25" t="s">
        <v>408</v>
      </c>
      <c r="L31" s="25" t="s">
        <v>409</v>
      </c>
    </row>
    <row r="32" customFormat="false" ht="15" hidden="false" customHeight="false" outlineLevel="0" collapsed="false">
      <c r="A32" s="23" t="n">
        <v>12</v>
      </c>
      <c r="B32" s="23" t="s">
        <v>153</v>
      </c>
      <c r="C32" s="23" t="s">
        <v>27</v>
      </c>
      <c r="D32" s="24" t="n">
        <v>6004.27</v>
      </c>
      <c r="E32" s="24" t="n">
        <v>0</v>
      </c>
      <c r="F32" s="24" t="n">
        <v>0</v>
      </c>
      <c r="G32" s="24" t="n">
        <v>208.48</v>
      </c>
      <c r="H32" s="24" t="n">
        <v>200.14</v>
      </c>
      <c r="I32" s="24" t="n">
        <f aca="false">G32+H32</f>
        <v>408.62</v>
      </c>
      <c r="J32" s="24" t="n">
        <f aca="false">D32-I32</f>
        <v>5595.65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154</v>
      </c>
      <c r="C33" s="23" t="s">
        <v>29</v>
      </c>
      <c r="D33" s="24" t="n">
        <v>51363.37</v>
      </c>
      <c r="E33" s="24" t="n">
        <v>0</v>
      </c>
      <c r="F33" s="24" t="n">
        <v>41090.7</v>
      </c>
      <c r="G33" s="24" t="n">
        <v>41604.33</v>
      </c>
      <c r="H33" s="24" t="n">
        <v>975.9</v>
      </c>
      <c r="I33" s="24" t="n">
        <f aca="false">G33+H33</f>
        <v>42580.23</v>
      </c>
      <c r="J33" s="24" t="n">
        <f aca="false">D33-I33</f>
        <v>8783.14</v>
      </c>
      <c r="K33" s="25" t="s">
        <v>408</v>
      </c>
      <c r="L33" s="25" t="s">
        <v>409</v>
      </c>
    </row>
    <row r="34" customFormat="false" ht="15" hidden="false" customHeight="false" outlineLevel="0" collapsed="false">
      <c r="A34" s="23" t="n">
        <v>14</v>
      </c>
      <c r="B34" s="23" t="s">
        <v>155</v>
      </c>
      <c r="C34" s="23" t="s">
        <v>29</v>
      </c>
      <c r="D34" s="24" t="n">
        <v>40243.6</v>
      </c>
      <c r="E34" s="24" t="n">
        <v>0</v>
      </c>
      <c r="F34" s="24" t="n">
        <v>0</v>
      </c>
      <c r="G34" s="24" t="n">
        <v>950.2</v>
      </c>
      <c r="H34" s="24" t="n">
        <v>1341.45</v>
      </c>
      <c r="I34" s="24" t="n">
        <f aca="false">G34+H34</f>
        <v>2291.65</v>
      </c>
      <c r="J34" s="24" t="n">
        <f aca="false">D34-I34</f>
        <v>37951.95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719744.4</v>
      </c>
      <c r="E35" s="28" t="n">
        <f aca="false">SUM(E21:E34)</f>
        <v>0</v>
      </c>
      <c r="F35" s="28" t="n">
        <f aca="false">SUM(F21:F34)</f>
        <v>346485.14</v>
      </c>
      <c r="G35" s="28" t="n">
        <f aca="false">SUM(G21:G34)</f>
        <v>366303.54</v>
      </c>
      <c r="H35" s="28" t="n">
        <f aca="false">SUM(H21:H34)</f>
        <v>15961.31</v>
      </c>
      <c r="I35" s="28" t="n">
        <f aca="false">SUM(I21:I34)</f>
        <v>382264.85</v>
      </c>
      <c r="J35" s="28" t="n">
        <f aca="false">SUM(J21:J34)</f>
        <v>337479.55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59360.49</v>
      </c>
    </row>
    <row r="39" customFormat="false" ht="15" hidden="false" customHeight="false" outlineLevel="0" collapsed="false">
      <c r="B39" s="5" t="s">
        <v>415</v>
      </c>
      <c r="D39" s="6" t="n">
        <f aca="false">I35</f>
        <v>382264.85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-322904.36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26</v>
      </c>
      <c r="C45" s="23" t="s">
        <v>25</v>
      </c>
      <c r="D45" s="24" t="n">
        <v>116091.65</v>
      </c>
      <c r="E45" s="24" t="n">
        <v>0</v>
      </c>
      <c r="F45" s="24" t="n">
        <v>0</v>
      </c>
      <c r="G45" s="24" t="n">
        <v>11989.37</v>
      </c>
      <c r="H45" s="24" t="n">
        <v>4227.49</v>
      </c>
      <c r="I45" s="24" t="n">
        <f aca="false">G45+H45</f>
        <v>16216.86</v>
      </c>
      <c r="J45" s="24" t="n">
        <f aca="false">D45-I45</f>
        <v>99874.79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28</v>
      </c>
      <c r="C46" s="23" t="s">
        <v>27</v>
      </c>
      <c r="D46" s="24" t="n">
        <v>62263.6</v>
      </c>
      <c r="E46" s="24" t="n">
        <v>0</v>
      </c>
      <c r="F46" s="24" t="n">
        <v>0</v>
      </c>
      <c r="G46" s="24" t="n">
        <v>2161.97</v>
      </c>
      <c r="H46" s="24" t="n">
        <v>2075.44</v>
      </c>
      <c r="I46" s="24" t="n">
        <f aca="false">G46+H46</f>
        <v>4237.41</v>
      </c>
      <c r="J46" s="24" t="n">
        <f aca="false">D46-I46</f>
        <v>58026.19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30</v>
      </c>
      <c r="C47" s="23" t="s">
        <v>29</v>
      </c>
      <c r="D47" s="24" t="n">
        <v>417320.48</v>
      </c>
      <c r="E47" s="24" t="n">
        <v>0</v>
      </c>
      <c r="F47" s="24" t="n">
        <v>0</v>
      </c>
      <c r="G47" s="24" t="n">
        <v>9853.39</v>
      </c>
      <c r="H47" s="24" t="n">
        <v>13910.71</v>
      </c>
      <c r="I47" s="24" t="n">
        <f aca="false">G47+H47</f>
        <v>23764.1</v>
      </c>
      <c r="J47" s="24" t="n">
        <f aca="false">D47-I47</f>
        <v>393556.38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32</v>
      </c>
      <c r="C48" s="23" t="s">
        <v>31</v>
      </c>
      <c r="D48" s="24" t="n">
        <v>2917.69</v>
      </c>
      <c r="E48" s="24" t="n">
        <v>0</v>
      </c>
      <c r="F48" s="24" t="n">
        <v>0</v>
      </c>
      <c r="G48" s="24" t="n">
        <v>219.69</v>
      </c>
      <c r="H48" s="24" t="n">
        <v>101.01</v>
      </c>
      <c r="I48" s="24" t="n">
        <f aca="false">G48+H48</f>
        <v>320.7</v>
      </c>
      <c r="J48" s="24" t="n">
        <f aca="false">D48-I48</f>
        <v>2596.99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33</v>
      </c>
      <c r="C49" s="23" t="s">
        <v>25</v>
      </c>
      <c r="D49" s="24" t="n">
        <v>15876.41</v>
      </c>
      <c r="E49" s="24" t="n">
        <v>0</v>
      </c>
      <c r="F49" s="24" t="n">
        <v>4073.29</v>
      </c>
      <c r="G49" s="24" t="n">
        <v>4073.29</v>
      </c>
      <c r="H49" s="24" t="n">
        <v>1221</v>
      </c>
      <c r="I49" s="24" t="n">
        <f aca="false">G49+H49</f>
        <v>5294.29</v>
      </c>
      <c r="J49" s="24" t="n">
        <f aca="false">D49-I49</f>
        <v>10582.12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34</v>
      </c>
      <c r="C50" s="23" t="s">
        <v>27</v>
      </c>
      <c r="D50" s="24" t="n">
        <v>13667.6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13667.6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35</v>
      </c>
      <c r="C51" s="23" t="s">
        <v>29</v>
      </c>
      <c r="D51" s="24" t="n">
        <v>91606.97</v>
      </c>
      <c r="E51" s="24" t="n">
        <v>0</v>
      </c>
      <c r="F51" s="24" t="n">
        <v>0</v>
      </c>
      <c r="G51" s="24" t="n">
        <v>3664.27</v>
      </c>
      <c r="H51" s="24" t="n">
        <v>5862.86</v>
      </c>
      <c r="I51" s="24" t="n">
        <f aca="false">G51+H51</f>
        <v>9527.13</v>
      </c>
      <c r="J51" s="24" t="n">
        <f aca="false">D51-I51</f>
        <v>82079.84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719744.4</v>
      </c>
      <c r="E52" s="28" t="n">
        <f aca="false">SUM(E45:E51)</f>
        <v>0</v>
      </c>
      <c r="F52" s="28" t="n">
        <f aca="false">SUM(F45:F51)</f>
        <v>4073.29</v>
      </c>
      <c r="G52" s="28" t="n">
        <f aca="false">SUM(G45:G51)</f>
        <v>31961.98</v>
      </c>
      <c r="H52" s="28" t="n">
        <f aca="false">SUM(H45:H51)</f>
        <v>27398.51</v>
      </c>
      <c r="I52" s="28" t="n">
        <f aca="false">SUM(I45:I51)</f>
        <v>59360.49</v>
      </c>
      <c r="J52" s="28" t="n">
        <f aca="false">SUM(J45:J51)</f>
        <v>660383.91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142</v>
      </c>
      <c r="C56" s="23" t="s">
        <v>25</v>
      </c>
      <c r="D56" s="24" t="n">
        <v>65091.76</v>
      </c>
      <c r="E56" s="24" t="n">
        <v>0</v>
      </c>
      <c r="F56" s="24" t="n">
        <v>65091.76</v>
      </c>
      <c r="G56" s="24" t="n">
        <v>65091.76</v>
      </c>
      <c r="H56" s="24" t="n">
        <v>0</v>
      </c>
      <c r="I56" s="24" t="n">
        <f aca="false">G56+H56</f>
        <v>65091.76</v>
      </c>
      <c r="J56" s="24" t="n">
        <f aca="false">D56-I56</f>
        <v>0</v>
      </c>
      <c r="K56" s="25" t="s">
        <v>408</v>
      </c>
      <c r="L56" s="25" t="s">
        <v>409</v>
      </c>
    </row>
    <row r="57" customFormat="false" ht="15" hidden="false" customHeight="false" outlineLevel="0" collapsed="false">
      <c r="A57" s="23" t="n">
        <v>2</v>
      </c>
      <c r="B57" s="23" t="s">
        <v>143</v>
      </c>
      <c r="C57" s="23" t="s">
        <v>25</v>
      </c>
      <c r="D57" s="24" t="n">
        <v>50999.89</v>
      </c>
      <c r="E57" s="24" t="n">
        <v>0</v>
      </c>
      <c r="F57" s="24" t="n">
        <v>0</v>
      </c>
      <c r="G57" s="24" t="n">
        <v>9137.5</v>
      </c>
      <c r="H57" s="24" t="n">
        <v>1700</v>
      </c>
      <c r="I57" s="24" t="n">
        <f aca="false">G57+H57</f>
        <v>10837.5</v>
      </c>
      <c r="J57" s="24" t="n">
        <f aca="false">D57-I57</f>
        <v>40162.39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144</v>
      </c>
      <c r="C58" s="23" t="s">
        <v>27</v>
      </c>
      <c r="D58" s="24" t="n">
        <v>34910.75</v>
      </c>
      <c r="E58" s="24" t="n">
        <v>0</v>
      </c>
      <c r="F58" s="24" t="n">
        <v>34910.75</v>
      </c>
      <c r="G58" s="24" t="n">
        <v>34910.75</v>
      </c>
      <c r="H58" s="24" t="n">
        <v>0</v>
      </c>
      <c r="I58" s="24" t="n">
        <f aca="false">G58+H58</f>
        <v>34910.75</v>
      </c>
      <c r="J58" s="24" t="n">
        <f aca="false">D58-I58</f>
        <v>0</v>
      </c>
      <c r="K58" s="25" t="s">
        <v>408</v>
      </c>
      <c r="L58" s="25" t="s">
        <v>409</v>
      </c>
    </row>
    <row r="59" customFormat="false" ht="15" hidden="false" customHeight="false" outlineLevel="0" collapsed="false">
      <c r="A59" s="23" t="n">
        <v>4</v>
      </c>
      <c r="B59" s="23" t="s">
        <v>145</v>
      </c>
      <c r="C59" s="23" t="s">
        <v>27</v>
      </c>
      <c r="D59" s="24" t="n">
        <v>27352.85</v>
      </c>
      <c r="E59" s="24" t="n">
        <v>0</v>
      </c>
      <c r="F59" s="24" t="n">
        <v>0</v>
      </c>
      <c r="G59" s="24" t="n">
        <v>949.75</v>
      </c>
      <c r="H59" s="24" t="n">
        <v>911.76</v>
      </c>
      <c r="I59" s="24" t="n">
        <f aca="false">G59+H59</f>
        <v>1861.51</v>
      </c>
      <c r="J59" s="24" t="n">
        <f aca="false">D59-I59</f>
        <v>25491.34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146</v>
      </c>
      <c r="C60" s="23" t="s">
        <v>29</v>
      </c>
      <c r="D60" s="24" t="n">
        <v>233988.6</v>
      </c>
      <c r="E60" s="24" t="n">
        <v>0</v>
      </c>
      <c r="F60" s="24" t="n">
        <v>187190.88</v>
      </c>
      <c r="G60" s="24" t="n">
        <v>189530.77</v>
      </c>
      <c r="H60" s="24" t="n">
        <v>4445.78</v>
      </c>
      <c r="I60" s="24" t="n">
        <f aca="false">G60+H60</f>
        <v>193976.55</v>
      </c>
      <c r="J60" s="24" t="n">
        <f aca="false">D60-I60</f>
        <v>40012.05</v>
      </c>
      <c r="K60" s="25" t="s">
        <v>408</v>
      </c>
      <c r="L60" s="25" t="s">
        <v>409</v>
      </c>
    </row>
    <row r="61" customFormat="false" ht="15" hidden="false" customHeight="false" outlineLevel="0" collapsed="false">
      <c r="A61" s="23" t="n">
        <v>6</v>
      </c>
      <c r="B61" s="23" t="s">
        <v>147</v>
      </c>
      <c r="C61" s="23" t="s">
        <v>29</v>
      </c>
      <c r="D61" s="24" t="n">
        <v>183331.88</v>
      </c>
      <c r="E61" s="24" t="n">
        <v>0</v>
      </c>
      <c r="F61" s="24" t="n">
        <v>0</v>
      </c>
      <c r="G61" s="24" t="n">
        <v>4328.67</v>
      </c>
      <c r="H61" s="24" t="n">
        <v>6111.06</v>
      </c>
      <c r="I61" s="24" t="n">
        <f aca="false">G61+H61</f>
        <v>10439.73</v>
      </c>
      <c r="J61" s="24" t="n">
        <f aca="false">D61-I61</f>
        <v>172892.15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148</v>
      </c>
      <c r="C62" s="23" t="s">
        <v>31</v>
      </c>
      <c r="D62" s="24" t="n">
        <v>1635.93</v>
      </c>
      <c r="E62" s="24" t="n">
        <v>0</v>
      </c>
      <c r="F62" s="24" t="n">
        <v>1635.93</v>
      </c>
      <c r="G62" s="24" t="n">
        <v>1635.93</v>
      </c>
      <c r="H62" s="24" t="n">
        <v>0</v>
      </c>
      <c r="I62" s="24" t="n">
        <f aca="false">G62+H62</f>
        <v>1635.93</v>
      </c>
      <c r="J62" s="24" t="n">
        <f aca="false">D62-I62</f>
        <v>0</v>
      </c>
      <c r="K62" s="25" t="s">
        <v>408</v>
      </c>
      <c r="L62" s="25" t="s">
        <v>409</v>
      </c>
    </row>
    <row r="63" customFormat="false" ht="15" hidden="false" customHeight="false" outlineLevel="0" collapsed="false">
      <c r="A63" s="23" t="n">
        <v>8</v>
      </c>
      <c r="B63" s="23" t="s">
        <v>149</v>
      </c>
      <c r="C63" s="23" t="s">
        <v>31</v>
      </c>
      <c r="D63" s="24" t="n">
        <v>1281.76</v>
      </c>
      <c r="E63" s="24" t="n">
        <v>0</v>
      </c>
      <c r="F63" s="24" t="n">
        <v>0</v>
      </c>
      <c r="G63" s="24" t="n">
        <v>140.65</v>
      </c>
      <c r="H63" s="24" t="n">
        <v>42.73</v>
      </c>
      <c r="I63" s="24" t="n">
        <f aca="false">G63+H63</f>
        <v>183.38</v>
      </c>
      <c r="J63" s="24" t="n">
        <f aca="false">D63-I63</f>
        <v>1098.38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150</v>
      </c>
      <c r="C64" s="23" t="s">
        <v>25</v>
      </c>
      <c r="D64" s="24" t="n">
        <v>8901.79</v>
      </c>
      <c r="E64" s="24" t="n">
        <v>0</v>
      </c>
      <c r="F64" s="24" t="n">
        <v>8901.79</v>
      </c>
      <c r="G64" s="24" t="n">
        <v>8901.79</v>
      </c>
      <c r="H64" s="24" t="n">
        <v>0</v>
      </c>
      <c r="I64" s="24" t="n">
        <f aca="false">G64+H64</f>
        <v>8901.79</v>
      </c>
      <c r="J64" s="24" t="n">
        <f aca="false">D64-I64</f>
        <v>0</v>
      </c>
      <c r="K64" s="25" t="s">
        <v>408</v>
      </c>
      <c r="L64" s="25" t="s">
        <v>409</v>
      </c>
    </row>
    <row r="65" customFormat="false" ht="15" hidden="false" customHeight="false" outlineLevel="0" collapsed="false">
      <c r="A65" s="23" t="n">
        <v>10</v>
      </c>
      <c r="B65" s="23" t="s">
        <v>151</v>
      </c>
      <c r="C65" s="23" t="s">
        <v>25</v>
      </c>
      <c r="D65" s="24" t="n">
        <v>6974.62</v>
      </c>
      <c r="E65" s="24" t="n">
        <v>0</v>
      </c>
      <c r="F65" s="24" t="n">
        <v>0</v>
      </c>
      <c r="G65" s="24" t="n">
        <v>1249.63</v>
      </c>
      <c r="H65" s="24" t="n">
        <v>232.49</v>
      </c>
      <c r="I65" s="24" t="n">
        <f aca="false">G65+H65</f>
        <v>1482.12</v>
      </c>
      <c r="J65" s="24" t="n">
        <f aca="false">D65-I65</f>
        <v>5492.5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3" t="n">
        <v>11</v>
      </c>
      <c r="B66" s="23" t="s">
        <v>152</v>
      </c>
      <c r="C66" s="23" t="s">
        <v>27</v>
      </c>
      <c r="D66" s="24" t="n">
        <v>7663.33</v>
      </c>
      <c r="E66" s="24" t="n">
        <v>0</v>
      </c>
      <c r="F66" s="24" t="n">
        <v>7663.33</v>
      </c>
      <c r="G66" s="24" t="n">
        <v>7663.33</v>
      </c>
      <c r="H66" s="24" t="n">
        <v>0</v>
      </c>
      <c r="I66" s="24" t="n">
        <f aca="false">G66+H66</f>
        <v>7663.33</v>
      </c>
      <c r="J66" s="24" t="n">
        <f aca="false">D66-I66</f>
        <v>0</v>
      </c>
      <c r="K66" s="25" t="s">
        <v>408</v>
      </c>
      <c r="L66" s="25" t="s">
        <v>409</v>
      </c>
    </row>
    <row r="67" customFormat="false" ht="15" hidden="false" customHeight="false" outlineLevel="0" collapsed="false">
      <c r="A67" s="23" t="n">
        <v>12</v>
      </c>
      <c r="B67" s="23" t="s">
        <v>153</v>
      </c>
      <c r="C67" s="23" t="s">
        <v>27</v>
      </c>
      <c r="D67" s="24" t="n">
        <v>6004.27</v>
      </c>
      <c r="E67" s="24" t="n">
        <v>0</v>
      </c>
      <c r="F67" s="24" t="n">
        <v>0</v>
      </c>
      <c r="G67" s="24" t="n">
        <v>208.48</v>
      </c>
      <c r="H67" s="24" t="n">
        <v>200.14</v>
      </c>
      <c r="I67" s="24" t="n">
        <f aca="false">G67+H67</f>
        <v>408.62</v>
      </c>
      <c r="J67" s="24" t="n">
        <f aca="false">D67-I67</f>
        <v>5595.65</v>
      </c>
      <c r="K67" s="25" t="s">
        <v>406</v>
      </c>
      <c r="L67" s="25" t="s">
        <v>407</v>
      </c>
    </row>
    <row r="68" customFormat="false" ht="15" hidden="false" customHeight="false" outlineLevel="0" collapsed="false">
      <c r="A68" s="23" t="n">
        <v>13</v>
      </c>
      <c r="B68" s="23" t="s">
        <v>154</v>
      </c>
      <c r="C68" s="23" t="s">
        <v>29</v>
      </c>
      <c r="D68" s="24" t="n">
        <v>51363.37</v>
      </c>
      <c r="E68" s="24" t="n">
        <v>0</v>
      </c>
      <c r="F68" s="24" t="n">
        <v>41090.7</v>
      </c>
      <c r="G68" s="24" t="n">
        <v>41604.33</v>
      </c>
      <c r="H68" s="24" t="n">
        <v>975.9</v>
      </c>
      <c r="I68" s="24" t="n">
        <f aca="false">G68+H68</f>
        <v>42580.23</v>
      </c>
      <c r="J68" s="24" t="n">
        <f aca="false">D68-I68</f>
        <v>8783.14</v>
      </c>
      <c r="K68" s="25" t="s">
        <v>408</v>
      </c>
      <c r="L68" s="25" t="s">
        <v>409</v>
      </c>
    </row>
    <row r="69" customFormat="false" ht="15" hidden="false" customHeight="false" outlineLevel="0" collapsed="false">
      <c r="A69" s="23" t="n">
        <v>14</v>
      </c>
      <c r="B69" s="23" t="s">
        <v>155</v>
      </c>
      <c r="C69" s="23" t="s">
        <v>29</v>
      </c>
      <c r="D69" s="24" t="n">
        <v>40243.6</v>
      </c>
      <c r="E69" s="24" t="n">
        <v>0</v>
      </c>
      <c r="F69" s="24" t="n">
        <v>0</v>
      </c>
      <c r="G69" s="24" t="n">
        <v>950.2</v>
      </c>
      <c r="H69" s="24" t="n">
        <v>1341.45</v>
      </c>
      <c r="I69" s="24" t="n">
        <f aca="false">G69+H69</f>
        <v>2291.65</v>
      </c>
      <c r="J69" s="24" t="n">
        <f aca="false">D69-I69</f>
        <v>37951.95</v>
      </c>
      <c r="K69" s="25" t="s">
        <v>406</v>
      </c>
      <c r="L69" s="25" t="s">
        <v>407</v>
      </c>
    </row>
    <row r="70" customFormat="false" ht="15" hidden="false" customHeight="false" outlineLevel="0" collapsed="false">
      <c r="A70" s="26"/>
      <c r="B70" s="27" t="s">
        <v>140</v>
      </c>
      <c r="C70" s="26"/>
      <c r="D70" s="28" t="n">
        <f aca="false">SUM(D56:D69)</f>
        <v>719744.4</v>
      </c>
      <c r="E70" s="28" t="n">
        <f aca="false">SUM(E56:E69)</f>
        <v>0</v>
      </c>
      <c r="F70" s="28" t="n">
        <f aca="false">SUM(F56:F69)</f>
        <v>346485.14</v>
      </c>
      <c r="G70" s="28" t="n">
        <f aca="false">SUM(G56:G69)</f>
        <v>366303.54</v>
      </c>
      <c r="H70" s="28" t="n">
        <f aca="false">SUM(H56:H69)</f>
        <v>15961.31</v>
      </c>
      <c r="I70" s="28" t="n">
        <f aca="false">SUM(I56:I69)</f>
        <v>382264.85</v>
      </c>
      <c r="J70" s="28" t="n">
        <f aca="false">SUM(J56:J69)</f>
        <v>337479.55</v>
      </c>
      <c r="K70" s="26"/>
      <c r="L70" s="26"/>
    </row>
    <row r="72" customFormat="false" ht="15" hidden="false" customHeight="false" outlineLevel="0" collapsed="false">
      <c r="B72" s="18" t="s">
        <v>421</v>
      </c>
    </row>
    <row r="73" customFormat="false" ht="15" hidden="false" customHeight="false" outlineLevel="0" collapsed="false">
      <c r="B73" s="5" t="s">
        <v>414</v>
      </c>
      <c r="D73" s="6" t="n">
        <f aca="false">I52</f>
        <v>59360.49</v>
      </c>
    </row>
    <row r="74" customFormat="false" ht="15" hidden="false" customHeight="false" outlineLevel="0" collapsed="false">
      <c r="B74" s="5" t="s">
        <v>415</v>
      </c>
      <c r="D74" s="6" t="n">
        <f aca="false">I70</f>
        <v>382264.85</v>
      </c>
    </row>
    <row r="75" customFormat="false" ht="15" hidden="false" customHeight="false" outlineLevel="0" collapsed="false">
      <c r="B75" s="11" t="s">
        <v>421</v>
      </c>
      <c r="D75" s="29" t="n">
        <f aca="false">D73-D74</f>
        <v>-322904.36</v>
      </c>
    </row>
    <row r="77" customFormat="false" ht="15" hidden="false" customHeight="false" outlineLevel="0" collapsed="false">
      <c r="A77" s="10" t="s">
        <v>422</v>
      </c>
    </row>
    <row r="78" customFormat="false" ht="15" hidden="false" customHeight="false" outlineLevel="0" collapsed="false">
      <c r="B78" s="11" t="s">
        <v>423</v>
      </c>
      <c r="D78" s="12" t="n">
        <f aca="false">D96</f>
        <v>719744.4</v>
      </c>
    </row>
    <row r="79" customFormat="false" ht="15" hidden="false" customHeight="false" outlineLevel="0" collapsed="false">
      <c r="B79" s="5" t="s">
        <v>424</v>
      </c>
      <c r="D79" s="6" t="n">
        <f aca="false">F96</f>
        <v>403555.53</v>
      </c>
    </row>
    <row r="80" customFormat="false" ht="15" hidden="false" customHeight="false" outlineLevel="0" collapsed="false">
      <c r="B80" s="30" t="s">
        <v>425</v>
      </c>
      <c r="D80" s="31" t="n">
        <f aca="false">F97</f>
        <v>0.560692837624023</v>
      </c>
    </row>
    <row r="81" customFormat="false" ht="15" hidden="false" customHeight="false" outlineLevel="0" collapsed="false">
      <c r="B81" s="5" t="s">
        <v>426</v>
      </c>
      <c r="D81" s="6" t="n">
        <f aca="false">H96</f>
        <v>316188.87</v>
      </c>
    </row>
    <row r="82" customFormat="false" ht="15" hidden="false" customHeight="false" outlineLevel="0" collapsed="false">
      <c r="B82" s="30" t="s">
        <v>425</v>
      </c>
      <c r="D82" s="31" t="n">
        <f aca="false">H97</f>
        <v>0.439307162375977</v>
      </c>
    </row>
    <row r="84" customFormat="false" ht="15" hidden="false" customHeight="false" outlineLevel="0" collapsed="false">
      <c r="A84" s="10" t="s">
        <v>427</v>
      </c>
    </row>
    <row r="85" customFormat="false" ht="15" hidden="false" customHeight="false" outlineLevel="0" collapsed="false">
      <c r="B85" s="4" t="s">
        <v>428</v>
      </c>
      <c r="D85" s="4" t="s">
        <v>397</v>
      </c>
      <c r="F85" s="4" t="s">
        <v>429</v>
      </c>
      <c r="H85" s="4" t="s">
        <v>430</v>
      </c>
    </row>
    <row r="86" customFormat="false" ht="15" hidden="false" customHeight="false" outlineLevel="0" collapsed="false">
      <c r="B86" s="32" t="s">
        <v>431</v>
      </c>
    </row>
    <row r="87" customFormat="false" ht="15" hidden="false" customHeight="false" outlineLevel="0" collapsed="false">
      <c r="B87" s="5" t="s">
        <v>432</v>
      </c>
      <c r="D87" s="33" t="n">
        <f aca="false">SUM(F87:H87)</f>
        <v>195356.18</v>
      </c>
      <c r="F87" s="33" t="n">
        <v>195356.18</v>
      </c>
    </row>
    <row r="88" customFormat="false" ht="15" hidden="false" customHeight="false" outlineLevel="0" collapsed="false">
      <c r="B88" s="5" t="s">
        <v>433</v>
      </c>
      <c r="D88" s="33" t="n">
        <f aca="false">SUM(F88:H88)</f>
        <v>4120.58</v>
      </c>
      <c r="F88" s="33" t="n">
        <v>4120.58</v>
      </c>
    </row>
    <row r="89" customFormat="false" ht="15" hidden="false" customHeight="false" outlineLevel="0" collapsed="false">
      <c r="B89" s="5" t="s">
        <v>434</v>
      </c>
      <c r="D89" s="33" t="n">
        <f aca="false">SUM(F89:H89)</f>
        <v>136600.91</v>
      </c>
      <c r="F89" s="33" t="n">
        <v>136600.91</v>
      </c>
    </row>
    <row r="90" customFormat="false" ht="15" hidden="false" customHeight="false" outlineLevel="0" collapsed="false">
      <c r="B90" s="5" t="s">
        <v>435</v>
      </c>
      <c r="D90" s="33" t="n">
        <f aca="false">SUM(F90:H90)</f>
        <v>4236.31</v>
      </c>
      <c r="F90" s="33" t="n">
        <v>4236.31</v>
      </c>
    </row>
    <row r="91" customFormat="false" ht="15" hidden="false" customHeight="false" outlineLevel="0" collapsed="false">
      <c r="B91" s="5" t="s">
        <v>436</v>
      </c>
      <c r="D91" s="33" t="n">
        <f aca="false">SUM(F91:H91)</f>
        <v>53960.1</v>
      </c>
      <c r="F91" s="33" t="n">
        <v>53960.1</v>
      </c>
    </row>
    <row r="92" customFormat="false" ht="15" hidden="false" customHeight="false" outlineLevel="0" collapsed="false">
      <c r="B92" s="5" t="s">
        <v>437</v>
      </c>
      <c r="D92" s="33" t="n">
        <f aca="false">SUM(F92:H92)</f>
        <v>6941.9</v>
      </c>
      <c r="F92" s="33" t="n">
        <v>6941.9</v>
      </c>
    </row>
    <row r="93" customFormat="false" ht="15" hidden="false" customHeight="false" outlineLevel="0" collapsed="false">
      <c r="B93" s="5" t="s">
        <v>438</v>
      </c>
      <c r="D93" s="33" t="n">
        <f aca="false">SUM(F93:H93)</f>
        <v>2339.55</v>
      </c>
      <c r="F93" s="33" t="n">
        <v>2339.55</v>
      </c>
    </row>
    <row r="94" customFormat="false" ht="15" hidden="false" customHeight="false" outlineLevel="0" collapsed="false">
      <c r="B94" s="32" t="s">
        <v>439</v>
      </c>
    </row>
    <row r="95" customFormat="false" ht="15" hidden="false" customHeight="false" outlineLevel="0" collapsed="false">
      <c r="B95" s="5" t="s">
        <v>439</v>
      </c>
      <c r="D95" s="33" t="n">
        <f aca="false">SUM(F95:H95)</f>
        <v>316188.87</v>
      </c>
      <c r="H95" s="33" t="n">
        <v>316188.87</v>
      </c>
    </row>
    <row r="96" customFormat="false" ht="15" hidden="false" customHeight="false" outlineLevel="0" collapsed="false">
      <c r="B96" s="11" t="s">
        <v>423</v>
      </c>
      <c r="D96" s="34" t="n">
        <f aca="false">SUM(D86:D95)</f>
        <v>719744.4</v>
      </c>
      <c r="F96" s="34" t="n">
        <f aca="false">SUM(F86:F95)</f>
        <v>403555.53</v>
      </c>
      <c r="H96" s="34" t="n">
        <f aca="false">SUM(H86:H95)</f>
        <v>316188.87</v>
      </c>
    </row>
    <row r="97" customFormat="false" ht="15" hidden="false" customHeight="false" outlineLevel="0" collapsed="false">
      <c r="B97" s="30" t="s">
        <v>425</v>
      </c>
      <c r="F97" s="31" t="n">
        <f aca="false">F96/D96</f>
        <v>0.560692837624023</v>
      </c>
      <c r="H97" s="31" t="n">
        <f aca="false">H96/D96</f>
        <v>0.439307162375977</v>
      </c>
    </row>
    <row r="99" customFormat="false" ht="15" hidden="false" customHeight="false" outlineLevel="0" collapsed="false">
      <c r="A99" s="10" t="s">
        <v>440</v>
      </c>
    </row>
    <row r="100" customFormat="false" ht="15" hidden="false" customHeight="false" outlineLevel="0" collapsed="false">
      <c r="B100" s="4" t="s">
        <v>441</v>
      </c>
      <c r="D100" s="4" t="s">
        <v>397</v>
      </c>
      <c r="F100" s="4" t="s">
        <v>429</v>
      </c>
      <c r="H100" s="4" t="s">
        <v>430</v>
      </c>
    </row>
    <row r="101" customFormat="false" ht="15" hidden="false" customHeight="false" outlineLevel="0" collapsed="false">
      <c r="B101" s="5" t="str">
        <f aca="false">Site!B21</f>
        <v>10-Building-Post Casualty Loss Basis-site-15yr</v>
      </c>
      <c r="D101" s="33" t="n">
        <f aca="false">SUM(F101:H101)</f>
        <v>65091.76</v>
      </c>
      <c r="F101" s="33" t="n">
        <f aca="false">Site!D21</f>
        <v>65091.76</v>
      </c>
    </row>
    <row r="102" customFormat="false" ht="15" hidden="false" customHeight="false" outlineLevel="0" collapsed="false">
      <c r="B102" s="5" t="str">
        <f aca="false">Site!B22</f>
        <v>10-Building-Post Casualty Loss Basis-site-30yr</v>
      </c>
      <c r="D102" s="33" t="n">
        <f aca="false">SUM(F102:H102)</f>
        <v>50999.89</v>
      </c>
      <c r="H102" s="33" t="n">
        <f aca="false">Site!D22</f>
        <v>50999.89</v>
      </c>
    </row>
    <row r="103" customFormat="false" ht="15" hidden="false" customHeight="false" outlineLevel="0" collapsed="false">
      <c r="B103" s="5" t="str">
        <f aca="false">Site!B23</f>
        <v>12-New Buildings(16 units)-site-15yr</v>
      </c>
      <c r="D103" s="33" t="n">
        <f aca="false">SUM(F103:H103)</f>
        <v>34910.75</v>
      </c>
      <c r="F103" s="33" t="n">
        <f aca="false">Site!D23</f>
        <v>34910.75</v>
      </c>
    </row>
    <row r="104" customFormat="false" ht="15" hidden="false" customHeight="false" outlineLevel="0" collapsed="false">
      <c r="B104" s="5" t="str">
        <f aca="false">Site!B24</f>
        <v>12-New Buildings(16 units)-site-30yr</v>
      </c>
      <c r="D104" s="33" t="n">
        <f aca="false">SUM(F104:H104)</f>
        <v>27352.85</v>
      </c>
      <c r="H104" s="33" t="n">
        <f aca="false">Site!D24</f>
        <v>27352.85</v>
      </c>
    </row>
    <row r="105" customFormat="false" ht="15" hidden="false" customHeight="false" outlineLevel="0" collapsed="false">
      <c r="B105" s="5" t="str">
        <f aca="false">Site!B25</f>
        <v>14-New Buildings(105 units)-site-15yr</v>
      </c>
      <c r="D105" s="33" t="n">
        <f aca="false">SUM(F105:H105)</f>
        <v>233988.6</v>
      </c>
      <c r="F105" s="33" t="n">
        <f aca="false">Site!D25</f>
        <v>233988.6</v>
      </c>
    </row>
    <row r="106" customFormat="false" ht="15" hidden="false" customHeight="false" outlineLevel="0" collapsed="false">
      <c r="B106" s="5" t="str">
        <f aca="false">Site!B26</f>
        <v>14-New Buildings(105 units)-site-30yr</v>
      </c>
      <c r="D106" s="33" t="n">
        <f aca="false">SUM(F106:H106)</f>
        <v>183331.88</v>
      </c>
      <c r="H106" s="33" t="n">
        <f aca="false">Site!D26</f>
        <v>183331.88</v>
      </c>
    </row>
    <row r="107" customFormat="false" ht="15" hidden="false" customHeight="false" outlineLevel="0" collapsed="false">
      <c r="B107" s="5" t="str">
        <f aca="false">Site!B27</f>
        <v>11-Building Imp-Post-Casulty Loss Basis-site-15yr</v>
      </c>
      <c r="D107" s="33" t="n">
        <f aca="false">SUM(F107:H107)</f>
        <v>1635.93</v>
      </c>
      <c r="F107" s="33" t="n">
        <f aca="false">Site!D27</f>
        <v>1635.93</v>
      </c>
    </row>
    <row r="108" customFormat="false" ht="15" hidden="false" customHeight="false" outlineLevel="0" collapsed="false">
      <c r="B108" s="5" t="str">
        <f aca="false">Site!B28</f>
        <v>11-Building Imp-Post-Casulty Loss Basis-site-30yr</v>
      </c>
      <c r="D108" s="33" t="n">
        <f aca="false">SUM(F108:H108)</f>
        <v>1281.76</v>
      </c>
      <c r="H108" s="33" t="n">
        <f aca="false">Site!D28</f>
        <v>1281.76</v>
      </c>
    </row>
    <row r="109" customFormat="false" ht="15" hidden="false" customHeight="false" outlineLevel="0" collapsed="false">
      <c r="B109" s="5" t="str">
        <f aca="false">Site!B29</f>
        <v>2-Land Improvements-site-15yr</v>
      </c>
      <c r="D109" s="33" t="n">
        <f aca="false">SUM(F109:H109)</f>
        <v>8901.79</v>
      </c>
      <c r="F109" s="33" t="n">
        <f aca="false">Site!D29</f>
        <v>8901.79</v>
      </c>
    </row>
    <row r="110" customFormat="false" ht="15" hidden="false" customHeight="false" outlineLevel="0" collapsed="false">
      <c r="B110" s="5" t="str">
        <f aca="false">Site!B30</f>
        <v>2-Land Improvements-site-30yr</v>
      </c>
      <c r="D110" s="33" t="n">
        <f aca="false">SUM(F110:H110)</f>
        <v>6974.62</v>
      </c>
      <c r="H110" s="33" t="n">
        <f aca="false">Site!D30</f>
        <v>6974.62</v>
      </c>
    </row>
    <row r="111" customFormat="false" ht="15" hidden="false" customHeight="false" outlineLevel="0" collapsed="false">
      <c r="B111" s="5" t="str">
        <f aca="false">Site!B31</f>
        <v>13-New Equipment(16 units)-site-15yr</v>
      </c>
      <c r="D111" s="33" t="n">
        <f aca="false">SUM(F111:H111)</f>
        <v>7663.33</v>
      </c>
      <c r="F111" s="33" t="n">
        <f aca="false">Site!D31</f>
        <v>7663.33</v>
      </c>
    </row>
    <row r="112" customFormat="false" ht="15" hidden="false" customHeight="false" outlineLevel="0" collapsed="false">
      <c r="B112" s="5" t="str">
        <f aca="false">Site!B32</f>
        <v>13-New Equipment(16 units)-site-30yr</v>
      </c>
      <c r="D112" s="33" t="n">
        <f aca="false">SUM(F112:H112)</f>
        <v>6004.27</v>
      </c>
      <c r="H112" s="33" t="n">
        <f aca="false">Site!D32</f>
        <v>6004.27</v>
      </c>
    </row>
    <row r="113" customFormat="false" ht="15" hidden="false" customHeight="false" outlineLevel="0" collapsed="false">
      <c r="B113" s="5" t="str">
        <f aca="false">Site!B33</f>
        <v>15-New Equipment(105 units)-site-15yr</v>
      </c>
      <c r="D113" s="33" t="n">
        <f aca="false">SUM(F113:H113)</f>
        <v>51363.37</v>
      </c>
      <c r="F113" s="33" t="n">
        <f aca="false">Site!D33</f>
        <v>51363.37</v>
      </c>
    </row>
    <row r="114" customFormat="false" ht="15" hidden="false" customHeight="false" outlineLevel="0" collapsed="false">
      <c r="B114" s="5" t="str">
        <f aca="false">Site!B34</f>
        <v>15-New Equipment(105 units)-site-30yr</v>
      </c>
      <c r="D114" s="33" t="n">
        <f aca="false">SUM(F114:H114)</f>
        <v>40243.6</v>
      </c>
      <c r="H114" s="33" t="n">
        <f aca="false">Site!D34</f>
        <v>40243.6</v>
      </c>
    </row>
    <row r="115" customFormat="false" ht="15" hidden="false" customHeight="false" outlineLevel="0" collapsed="false">
      <c r="B115" s="11" t="s">
        <v>442</v>
      </c>
      <c r="D115" s="34" t="n">
        <f aca="false">SUM(D101:D114)</f>
        <v>719744.4</v>
      </c>
      <c r="F115" s="34" t="n">
        <f aca="false">SUM(F101:F114)</f>
        <v>403555.53</v>
      </c>
      <c r="H115" s="34" t="n">
        <f aca="false">SUM(H101:H114)</f>
        <v>316188.87</v>
      </c>
    </row>
    <row r="116" customFormat="false" ht="15" hidden="false" customHeight="false" outlineLevel="0" collapsed="false">
      <c r="B116" s="16" t="s">
        <v>443</v>
      </c>
      <c r="D116" s="17" t="n">
        <f aca="false">D115-D96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444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36</v>
      </c>
      <c r="C10" s="23" t="s">
        <v>25</v>
      </c>
      <c r="D10" s="24" t="n">
        <v>64257.99</v>
      </c>
      <c r="E10" s="24" t="n">
        <v>0</v>
      </c>
      <c r="F10" s="24" t="n">
        <v>0</v>
      </c>
      <c r="G10" s="24" t="n">
        <v>6636.24</v>
      </c>
      <c r="H10" s="24" t="n">
        <v>2339.95</v>
      </c>
      <c r="I10" s="24" t="n">
        <f aca="false">G10+H10</f>
        <v>8976.19</v>
      </c>
      <c r="J10" s="24" t="n">
        <f aca="false">D10-I10</f>
        <v>55281.8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37</v>
      </c>
      <c r="C11" s="23" t="s">
        <v>27</v>
      </c>
      <c r="D11" s="24" t="n">
        <v>34463.6</v>
      </c>
      <c r="E11" s="24" t="n">
        <v>0</v>
      </c>
      <c r="F11" s="24" t="n">
        <v>0</v>
      </c>
      <c r="G11" s="24" t="n">
        <v>1196.67</v>
      </c>
      <c r="H11" s="24" t="n">
        <v>1148.8</v>
      </c>
      <c r="I11" s="24" t="n">
        <f aca="false">G11+H11</f>
        <v>2345.47</v>
      </c>
      <c r="J11" s="24" t="n">
        <f aca="false">D11-I11</f>
        <v>32118.13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38</v>
      </c>
      <c r="C12" s="23" t="s">
        <v>29</v>
      </c>
      <c r="D12" s="24" t="n">
        <v>230991.49</v>
      </c>
      <c r="E12" s="24" t="n">
        <v>0</v>
      </c>
      <c r="F12" s="24" t="n">
        <v>0</v>
      </c>
      <c r="G12" s="24" t="n">
        <v>5453.96</v>
      </c>
      <c r="H12" s="24" t="n">
        <v>7699.73</v>
      </c>
      <c r="I12" s="24" t="n">
        <f aca="false">G12+H12</f>
        <v>13153.69</v>
      </c>
      <c r="J12" s="24" t="n">
        <f aca="false">D12-I12</f>
        <v>217837.8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1614.97</v>
      </c>
      <c r="E13" s="24" t="n">
        <v>0</v>
      </c>
      <c r="F13" s="24" t="n">
        <v>0</v>
      </c>
      <c r="G13" s="24" t="n">
        <v>121.6</v>
      </c>
      <c r="H13" s="24" t="n">
        <v>55.91</v>
      </c>
      <c r="I13" s="24" t="n">
        <f aca="false">G13+H13</f>
        <v>177.51</v>
      </c>
      <c r="J13" s="24" t="n">
        <f aca="false">D13-I13</f>
        <v>1437.46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40</v>
      </c>
      <c r="C14" s="23" t="s">
        <v>25</v>
      </c>
      <c r="D14" s="24" t="n">
        <v>8787.77</v>
      </c>
      <c r="E14" s="24" t="n">
        <v>0</v>
      </c>
      <c r="F14" s="24" t="n">
        <v>2254.61</v>
      </c>
      <c r="G14" s="24" t="n">
        <v>2254.61</v>
      </c>
      <c r="H14" s="24" t="n">
        <v>675.84</v>
      </c>
      <c r="I14" s="24" t="n">
        <f aca="false">G14+H14</f>
        <v>2930.45</v>
      </c>
      <c r="J14" s="24" t="n">
        <f aca="false">D14-I14</f>
        <v>5857.32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41</v>
      </c>
      <c r="C15" s="23" t="s">
        <v>27</v>
      </c>
      <c r="D15" s="24" t="n">
        <v>7565.17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7565.17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42</v>
      </c>
      <c r="C16" s="23" t="s">
        <v>29</v>
      </c>
      <c r="D16" s="24" t="n">
        <v>50705.47</v>
      </c>
      <c r="E16" s="24" t="n">
        <v>0</v>
      </c>
      <c r="F16" s="24" t="n">
        <v>0</v>
      </c>
      <c r="G16" s="24" t="n">
        <v>2028.22</v>
      </c>
      <c r="H16" s="24" t="n">
        <v>3245.16</v>
      </c>
      <c r="I16" s="24" t="n">
        <f aca="false">G16+H16</f>
        <v>5273.38</v>
      </c>
      <c r="J16" s="24" t="n">
        <f aca="false">D16-I16</f>
        <v>45432.09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398386.46</v>
      </c>
      <c r="E17" s="28" t="n">
        <f aca="false">SUM(E10:E16)</f>
        <v>0</v>
      </c>
      <c r="F17" s="28" t="n">
        <f aca="false">SUM(F10:F16)</f>
        <v>2254.61</v>
      </c>
      <c r="G17" s="28" t="n">
        <f aca="false">SUM(G10:G16)</f>
        <v>17691.3</v>
      </c>
      <c r="H17" s="28" t="n">
        <f aca="false">SUM(H10:H16)</f>
        <v>15165.39</v>
      </c>
      <c r="I17" s="28" t="n">
        <f aca="false">SUM(I10:I16)</f>
        <v>32856.69</v>
      </c>
      <c r="J17" s="28" t="n">
        <f aca="false">SUM(J10:J16)</f>
        <v>365529.77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156</v>
      </c>
      <c r="C21" s="23" t="s">
        <v>25</v>
      </c>
      <c r="D21" s="24" t="n">
        <v>16865.31</v>
      </c>
      <c r="E21" s="24" t="n">
        <v>0</v>
      </c>
      <c r="F21" s="24" t="n">
        <v>16865.31</v>
      </c>
      <c r="G21" s="24" t="n">
        <v>16865.31</v>
      </c>
      <c r="H21" s="24" t="n">
        <v>0</v>
      </c>
      <c r="I21" s="24" t="n">
        <f aca="false">G21+H21</f>
        <v>16865.31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157</v>
      </c>
      <c r="C22" s="23" t="s">
        <v>25</v>
      </c>
      <c r="D22" s="24" t="n">
        <v>47392.68</v>
      </c>
      <c r="E22" s="24" t="n">
        <v>0</v>
      </c>
      <c r="F22" s="24" t="n">
        <v>0</v>
      </c>
      <c r="G22" s="24" t="n">
        <v>8491.21</v>
      </c>
      <c r="H22" s="24" t="n">
        <v>1579.76</v>
      </c>
      <c r="I22" s="24" t="n">
        <f aca="false">G22+H22</f>
        <v>10070.97</v>
      </c>
      <c r="J22" s="24" t="n">
        <f aca="false">D22-I22</f>
        <v>37321.71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158</v>
      </c>
      <c r="C23" s="23" t="s">
        <v>27</v>
      </c>
      <c r="D23" s="24" t="n">
        <v>9045.4</v>
      </c>
      <c r="E23" s="24" t="n">
        <v>0</v>
      </c>
      <c r="F23" s="24" t="n">
        <v>9045.4</v>
      </c>
      <c r="G23" s="24" t="n">
        <v>9045.4</v>
      </c>
      <c r="H23" s="24" t="n">
        <v>0</v>
      </c>
      <c r="I23" s="24" t="n">
        <f aca="false">G23+H23</f>
        <v>9045.4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159</v>
      </c>
      <c r="C24" s="23" t="s">
        <v>27</v>
      </c>
      <c r="D24" s="24" t="n">
        <v>25418.2</v>
      </c>
      <c r="E24" s="24" t="n">
        <v>0</v>
      </c>
      <c r="F24" s="24" t="n">
        <v>0</v>
      </c>
      <c r="G24" s="24" t="n">
        <v>882.57</v>
      </c>
      <c r="H24" s="24" t="n">
        <v>847.27</v>
      </c>
      <c r="I24" s="24" t="n">
        <f aca="false">G24+H24</f>
        <v>1729.84</v>
      </c>
      <c r="J24" s="24" t="n">
        <f aca="false">D24-I24</f>
        <v>23688.36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160</v>
      </c>
      <c r="C25" s="23" t="s">
        <v>29</v>
      </c>
      <c r="D25" s="24" t="n">
        <v>60626.59</v>
      </c>
      <c r="E25" s="24" t="n">
        <v>0</v>
      </c>
      <c r="F25" s="24" t="n">
        <v>48501.27</v>
      </c>
      <c r="G25" s="24" t="n">
        <v>50926.33</v>
      </c>
      <c r="H25" s="24" t="n">
        <v>3880.1</v>
      </c>
      <c r="I25" s="24" t="n">
        <f aca="false">G25+H25</f>
        <v>54806.43</v>
      </c>
      <c r="J25" s="24" t="n">
        <f aca="false">D25-I25</f>
        <v>5820.16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161</v>
      </c>
      <c r="C26" s="23" t="s">
        <v>29</v>
      </c>
      <c r="D26" s="24" t="n">
        <v>170364.9</v>
      </c>
      <c r="E26" s="24" t="n">
        <v>0</v>
      </c>
      <c r="F26" s="24" t="n">
        <v>0</v>
      </c>
      <c r="G26" s="24" t="n">
        <v>4022.5</v>
      </c>
      <c r="H26" s="24" t="n">
        <v>5678.83</v>
      </c>
      <c r="I26" s="24" t="n">
        <f aca="false">G26+H26</f>
        <v>9701.33</v>
      </c>
      <c r="J26" s="24" t="n">
        <f aca="false">D26-I26</f>
        <v>160663.57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162</v>
      </c>
      <c r="C27" s="23" t="s">
        <v>31</v>
      </c>
      <c r="D27" s="24" t="n">
        <v>423.87</v>
      </c>
      <c r="E27" s="24" t="n">
        <v>0</v>
      </c>
      <c r="F27" s="24" t="n">
        <v>423.87</v>
      </c>
      <c r="G27" s="24" t="n">
        <v>423.87</v>
      </c>
      <c r="H27" s="24" t="n">
        <v>0</v>
      </c>
      <c r="I27" s="24" t="n">
        <f aca="false">G27+H27</f>
        <v>423.87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163</v>
      </c>
      <c r="C28" s="23" t="s">
        <v>31</v>
      </c>
      <c r="D28" s="24" t="n">
        <v>1191.1</v>
      </c>
      <c r="E28" s="24" t="n">
        <v>0</v>
      </c>
      <c r="F28" s="24" t="n">
        <v>0</v>
      </c>
      <c r="G28" s="24" t="n">
        <v>130.68</v>
      </c>
      <c r="H28" s="24" t="n">
        <v>39.7</v>
      </c>
      <c r="I28" s="24" t="n">
        <f aca="false">G28+H28</f>
        <v>170.38</v>
      </c>
      <c r="J28" s="24" t="n">
        <f aca="false">D28-I28</f>
        <v>1020.72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164</v>
      </c>
      <c r="C29" s="23" t="s">
        <v>25</v>
      </c>
      <c r="D29" s="24" t="n">
        <v>2306.46</v>
      </c>
      <c r="E29" s="24" t="n">
        <v>0</v>
      </c>
      <c r="F29" s="24" t="n">
        <v>2306.46</v>
      </c>
      <c r="G29" s="24" t="n">
        <v>2306.46</v>
      </c>
      <c r="H29" s="24" t="n">
        <v>0</v>
      </c>
      <c r="I29" s="24" t="n">
        <f aca="false">G29+H29</f>
        <v>2306.46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165</v>
      </c>
      <c r="C30" s="23" t="s">
        <v>25</v>
      </c>
      <c r="D30" s="24" t="n">
        <v>6481.31</v>
      </c>
      <c r="E30" s="24" t="n">
        <v>0</v>
      </c>
      <c r="F30" s="24" t="n">
        <v>0</v>
      </c>
      <c r="G30" s="24" t="n">
        <v>1161.22</v>
      </c>
      <c r="H30" s="24" t="n">
        <v>216.04</v>
      </c>
      <c r="I30" s="24" t="n">
        <f aca="false">G30+H30</f>
        <v>1377.26</v>
      </c>
      <c r="J30" s="24" t="n">
        <f aca="false">D30-I30</f>
        <v>5104.05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166</v>
      </c>
      <c r="C31" s="23" t="s">
        <v>27</v>
      </c>
      <c r="D31" s="24" t="n">
        <v>1985.57</v>
      </c>
      <c r="E31" s="24" t="n">
        <v>0</v>
      </c>
      <c r="F31" s="24" t="n">
        <v>1985.57</v>
      </c>
      <c r="G31" s="24" t="n">
        <v>1985.57</v>
      </c>
      <c r="H31" s="24" t="n">
        <v>0</v>
      </c>
      <c r="I31" s="24" t="n">
        <f aca="false">G31+H31</f>
        <v>1985.57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167</v>
      </c>
      <c r="C32" s="23" t="s">
        <v>27</v>
      </c>
      <c r="D32" s="24" t="n">
        <v>5579.6</v>
      </c>
      <c r="E32" s="24" t="n">
        <v>0</v>
      </c>
      <c r="F32" s="24" t="n">
        <v>0</v>
      </c>
      <c r="G32" s="24" t="n">
        <v>193.74</v>
      </c>
      <c r="H32" s="24" t="n">
        <v>185.99</v>
      </c>
      <c r="I32" s="24" t="n">
        <f aca="false">G32+H32</f>
        <v>379.73</v>
      </c>
      <c r="J32" s="24" t="n">
        <f aca="false">D32-I32</f>
        <v>5199.87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168</v>
      </c>
      <c r="C33" s="23" t="s">
        <v>29</v>
      </c>
      <c r="D33" s="24" t="n">
        <v>13308.28</v>
      </c>
      <c r="E33" s="24" t="n">
        <v>0</v>
      </c>
      <c r="F33" s="24" t="n">
        <v>10646.62</v>
      </c>
      <c r="G33" s="24" t="n">
        <v>11178.95</v>
      </c>
      <c r="H33" s="24" t="n">
        <v>851.73</v>
      </c>
      <c r="I33" s="24" t="n">
        <f aca="false">G33+H33</f>
        <v>12030.68</v>
      </c>
      <c r="J33" s="24" t="n">
        <f aca="false">D33-I33</f>
        <v>1277.6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169</v>
      </c>
      <c r="C34" s="23" t="s">
        <v>29</v>
      </c>
      <c r="D34" s="24" t="n">
        <v>37397.19</v>
      </c>
      <c r="E34" s="24" t="n">
        <v>0</v>
      </c>
      <c r="F34" s="24" t="n">
        <v>0</v>
      </c>
      <c r="G34" s="24" t="n">
        <v>882.99</v>
      </c>
      <c r="H34" s="24" t="n">
        <v>1246.57</v>
      </c>
      <c r="I34" s="24" t="n">
        <f aca="false">G34+H34</f>
        <v>2129.56</v>
      </c>
      <c r="J34" s="24" t="n">
        <f aca="false">D34-I34</f>
        <v>35267.63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398386.46</v>
      </c>
      <c r="E35" s="28" t="n">
        <f aca="false">SUM(E21:E34)</f>
        <v>0</v>
      </c>
      <c r="F35" s="28" t="n">
        <f aca="false">SUM(F21:F34)</f>
        <v>89774.5</v>
      </c>
      <c r="G35" s="28" t="n">
        <f aca="false">SUM(G21:G34)</f>
        <v>108496.8</v>
      </c>
      <c r="H35" s="28" t="n">
        <f aca="false">SUM(H21:H34)</f>
        <v>14525.99</v>
      </c>
      <c r="I35" s="28" t="n">
        <f aca="false">SUM(I21:I34)</f>
        <v>123022.79</v>
      </c>
      <c r="J35" s="28" t="n">
        <f aca="false">SUM(J21:J34)</f>
        <v>275363.67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32856.69</v>
      </c>
    </row>
    <row r="39" customFormat="false" ht="15" hidden="false" customHeight="false" outlineLevel="0" collapsed="false">
      <c r="B39" s="5" t="s">
        <v>415</v>
      </c>
      <c r="D39" s="6" t="n">
        <f aca="false">I35</f>
        <v>123022.79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-90166.1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36</v>
      </c>
      <c r="C45" s="23" t="s">
        <v>25</v>
      </c>
      <c r="D45" s="24" t="n">
        <v>64257.99</v>
      </c>
      <c r="E45" s="24" t="n">
        <v>0</v>
      </c>
      <c r="F45" s="24" t="n">
        <v>0</v>
      </c>
      <c r="G45" s="24" t="n">
        <v>6636.24</v>
      </c>
      <c r="H45" s="24" t="n">
        <v>2339.95</v>
      </c>
      <c r="I45" s="24" t="n">
        <f aca="false">G45+H45</f>
        <v>8976.19</v>
      </c>
      <c r="J45" s="24" t="n">
        <f aca="false">D45-I45</f>
        <v>55281.8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37</v>
      </c>
      <c r="C46" s="23" t="s">
        <v>27</v>
      </c>
      <c r="D46" s="24" t="n">
        <v>34463.6</v>
      </c>
      <c r="E46" s="24" t="n">
        <v>0</v>
      </c>
      <c r="F46" s="24" t="n">
        <v>0</v>
      </c>
      <c r="G46" s="24" t="n">
        <v>1196.67</v>
      </c>
      <c r="H46" s="24" t="n">
        <v>1148.8</v>
      </c>
      <c r="I46" s="24" t="n">
        <f aca="false">G46+H46</f>
        <v>2345.47</v>
      </c>
      <c r="J46" s="24" t="n">
        <f aca="false">D46-I46</f>
        <v>32118.13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38</v>
      </c>
      <c r="C47" s="23" t="s">
        <v>29</v>
      </c>
      <c r="D47" s="24" t="n">
        <v>230991.49</v>
      </c>
      <c r="E47" s="24" t="n">
        <v>0</v>
      </c>
      <c r="F47" s="24" t="n">
        <v>0</v>
      </c>
      <c r="G47" s="24" t="n">
        <v>5453.96</v>
      </c>
      <c r="H47" s="24" t="n">
        <v>7699.73</v>
      </c>
      <c r="I47" s="24" t="n">
        <f aca="false">G47+H47</f>
        <v>13153.69</v>
      </c>
      <c r="J47" s="24" t="n">
        <f aca="false">D47-I47</f>
        <v>217837.8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1614.97</v>
      </c>
      <c r="E48" s="24" t="n">
        <v>0</v>
      </c>
      <c r="F48" s="24" t="n">
        <v>0</v>
      </c>
      <c r="G48" s="24" t="n">
        <v>121.6</v>
      </c>
      <c r="H48" s="24" t="n">
        <v>55.91</v>
      </c>
      <c r="I48" s="24" t="n">
        <f aca="false">G48+H48</f>
        <v>177.51</v>
      </c>
      <c r="J48" s="24" t="n">
        <f aca="false">D48-I48</f>
        <v>1437.46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40</v>
      </c>
      <c r="C49" s="23" t="s">
        <v>25</v>
      </c>
      <c r="D49" s="24" t="n">
        <v>8787.77</v>
      </c>
      <c r="E49" s="24" t="n">
        <v>0</v>
      </c>
      <c r="F49" s="24" t="n">
        <v>2254.61</v>
      </c>
      <c r="G49" s="24" t="n">
        <v>2254.61</v>
      </c>
      <c r="H49" s="24" t="n">
        <v>675.84</v>
      </c>
      <c r="I49" s="24" t="n">
        <f aca="false">G49+H49</f>
        <v>2930.45</v>
      </c>
      <c r="J49" s="24" t="n">
        <f aca="false">D49-I49</f>
        <v>5857.32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41</v>
      </c>
      <c r="C50" s="23" t="s">
        <v>27</v>
      </c>
      <c r="D50" s="24" t="n">
        <v>7565.17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7565.17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42</v>
      </c>
      <c r="C51" s="23" t="s">
        <v>29</v>
      </c>
      <c r="D51" s="24" t="n">
        <v>50705.47</v>
      </c>
      <c r="E51" s="24" t="n">
        <v>0</v>
      </c>
      <c r="F51" s="24" t="n">
        <v>0</v>
      </c>
      <c r="G51" s="24" t="n">
        <v>2028.22</v>
      </c>
      <c r="H51" s="24" t="n">
        <v>3245.16</v>
      </c>
      <c r="I51" s="24" t="n">
        <f aca="false">G51+H51</f>
        <v>5273.38</v>
      </c>
      <c r="J51" s="24" t="n">
        <f aca="false">D51-I51</f>
        <v>45432.09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398386.46</v>
      </c>
      <c r="E52" s="28" t="n">
        <f aca="false">SUM(E45:E51)</f>
        <v>0</v>
      </c>
      <c r="F52" s="28" t="n">
        <f aca="false">SUM(F45:F51)</f>
        <v>2254.61</v>
      </c>
      <c r="G52" s="28" t="n">
        <f aca="false">SUM(G45:G51)</f>
        <v>17691.3</v>
      </c>
      <c r="H52" s="28" t="n">
        <f aca="false">SUM(H45:H51)</f>
        <v>15165.39</v>
      </c>
      <c r="I52" s="28" t="n">
        <f aca="false">SUM(I45:I51)</f>
        <v>32856.69</v>
      </c>
      <c r="J52" s="28" t="n">
        <f aca="false">SUM(J45:J51)</f>
        <v>365529.77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156</v>
      </c>
      <c r="C56" s="23" t="s">
        <v>25</v>
      </c>
      <c r="D56" s="24" t="n">
        <v>16865.31</v>
      </c>
      <c r="E56" s="24" t="n">
        <v>0</v>
      </c>
      <c r="F56" s="24" t="n">
        <v>16865.31</v>
      </c>
      <c r="G56" s="24" t="n">
        <v>16865.31</v>
      </c>
      <c r="H56" s="24" t="n">
        <v>0</v>
      </c>
      <c r="I56" s="24" t="n">
        <f aca="false">G56+H56</f>
        <v>16865.31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157</v>
      </c>
      <c r="C57" s="23" t="s">
        <v>25</v>
      </c>
      <c r="D57" s="24" t="n">
        <v>47392.68</v>
      </c>
      <c r="E57" s="24" t="n">
        <v>0</v>
      </c>
      <c r="F57" s="24" t="n">
        <v>0</v>
      </c>
      <c r="G57" s="24" t="n">
        <v>8491.21</v>
      </c>
      <c r="H57" s="24" t="n">
        <v>1579.76</v>
      </c>
      <c r="I57" s="24" t="n">
        <f aca="false">G57+H57</f>
        <v>10070.97</v>
      </c>
      <c r="J57" s="24" t="n">
        <f aca="false">D57-I57</f>
        <v>37321.71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158</v>
      </c>
      <c r="C58" s="23" t="s">
        <v>27</v>
      </c>
      <c r="D58" s="24" t="n">
        <v>9045.4</v>
      </c>
      <c r="E58" s="24" t="n">
        <v>0</v>
      </c>
      <c r="F58" s="24" t="n">
        <v>9045.4</v>
      </c>
      <c r="G58" s="24" t="n">
        <v>9045.4</v>
      </c>
      <c r="H58" s="24" t="n">
        <v>0</v>
      </c>
      <c r="I58" s="24" t="n">
        <f aca="false">G58+H58</f>
        <v>9045.4</v>
      </c>
      <c r="J58" s="24" t="n">
        <f aca="false">D58-I58</f>
        <v>0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159</v>
      </c>
      <c r="C59" s="23" t="s">
        <v>27</v>
      </c>
      <c r="D59" s="24" t="n">
        <v>25418.2</v>
      </c>
      <c r="E59" s="24" t="n">
        <v>0</v>
      </c>
      <c r="F59" s="24" t="n">
        <v>0</v>
      </c>
      <c r="G59" s="24" t="n">
        <v>882.57</v>
      </c>
      <c r="H59" s="24" t="n">
        <v>847.27</v>
      </c>
      <c r="I59" s="24" t="n">
        <f aca="false">G59+H59</f>
        <v>1729.84</v>
      </c>
      <c r="J59" s="24" t="n">
        <f aca="false">D59-I59</f>
        <v>23688.36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160</v>
      </c>
      <c r="C60" s="23" t="s">
        <v>29</v>
      </c>
      <c r="D60" s="24" t="n">
        <v>60626.59</v>
      </c>
      <c r="E60" s="24" t="n">
        <v>0</v>
      </c>
      <c r="F60" s="24" t="n">
        <v>48501.27</v>
      </c>
      <c r="G60" s="24" t="n">
        <v>50926.33</v>
      </c>
      <c r="H60" s="24" t="n">
        <v>3880.1</v>
      </c>
      <c r="I60" s="24" t="n">
        <f aca="false">G60+H60</f>
        <v>54806.43</v>
      </c>
      <c r="J60" s="24" t="n">
        <f aca="false">D60-I60</f>
        <v>5820.16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161</v>
      </c>
      <c r="C61" s="23" t="s">
        <v>29</v>
      </c>
      <c r="D61" s="24" t="n">
        <v>170364.9</v>
      </c>
      <c r="E61" s="24" t="n">
        <v>0</v>
      </c>
      <c r="F61" s="24" t="n">
        <v>0</v>
      </c>
      <c r="G61" s="24" t="n">
        <v>4022.5</v>
      </c>
      <c r="H61" s="24" t="n">
        <v>5678.83</v>
      </c>
      <c r="I61" s="24" t="n">
        <f aca="false">G61+H61</f>
        <v>9701.33</v>
      </c>
      <c r="J61" s="24" t="n">
        <f aca="false">D61-I61</f>
        <v>160663.57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162</v>
      </c>
      <c r="C62" s="23" t="s">
        <v>31</v>
      </c>
      <c r="D62" s="24" t="n">
        <v>423.87</v>
      </c>
      <c r="E62" s="24" t="n">
        <v>0</v>
      </c>
      <c r="F62" s="24" t="n">
        <v>423.87</v>
      </c>
      <c r="G62" s="24" t="n">
        <v>423.87</v>
      </c>
      <c r="H62" s="24" t="n">
        <v>0</v>
      </c>
      <c r="I62" s="24" t="n">
        <f aca="false">G62+H62</f>
        <v>423.87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163</v>
      </c>
      <c r="C63" s="23" t="s">
        <v>31</v>
      </c>
      <c r="D63" s="24" t="n">
        <v>1191.1</v>
      </c>
      <c r="E63" s="24" t="n">
        <v>0</v>
      </c>
      <c r="F63" s="24" t="n">
        <v>0</v>
      </c>
      <c r="G63" s="24" t="n">
        <v>130.68</v>
      </c>
      <c r="H63" s="24" t="n">
        <v>39.7</v>
      </c>
      <c r="I63" s="24" t="n">
        <f aca="false">G63+H63</f>
        <v>170.38</v>
      </c>
      <c r="J63" s="24" t="n">
        <f aca="false">D63-I63</f>
        <v>1020.72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164</v>
      </c>
      <c r="C64" s="23" t="s">
        <v>25</v>
      </c>
      <c r="D64" s="24" t="n">
        <v>2306.46</v>
      </c>
      <c r="E64" s="24" t="n">
        <v>0</v>
      </c>
      <c r="F64" s="24" t="n">
        <v>2306.46</v>
      </c>
      <c r="G64" s="24" t="n">
        <v>2306.46</v>
      </c>
      <c r="H64" s="24" t="n">
        <v>0</v>
      </c>
      <c r="I64" s="24" t="n">
        <f aca="false">G64+H64</f>
        <v>2306.46</v>
      </c>
      <c r="J64" s="24" t="n">
        <f aca="false">D64-I64</f>
        <v>0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165</v>
      </c>
      <c r="C65" s="23" t="s">
        <v>25</v>
      </c>
      <c r="D65" s="24" t="n">
        <v>6481.31</v>
      </c>
      <c r="E65" s="24" t="n">
        <v>0</v>
      </c>
      <c r="F65" s="24" t="n">
        <v>0</v>
      </c>
      <c r="G65" s="24" t="n">
        <v>1161.22</v>
      </c>
      <c r="H65" s="24" t="n">
        <v>216.04</v>
      </c>
      <c r="I65" s="24" t="n">
        <f aca="false">G65+H65</f>
        <v>1377.26</v>
      </c>
      <c r="J65" s="24" t="n">
        <f aca="false">D65-I65</f>
        <v>5104.05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3" t="n">
        <v>11</v>
      </c>
      <c r="B66" s="23" t="s">
        <v>166</v>
      </c>
      <c r="C66" s="23" t="s">
        <v>27</v>
      </c>
      <c r="D66" s="24" t="n">
        <v>1985.57</v>
      </c>
      <c r="E66" s="24" t="n">
        <v>0</v>
      </c>
      <c r="F66" s="24" t="n">
        <v>1985.57</v>
      </c>
      <c r="G66" s="24" t="n">
        <v>1985.57</v>
      </c>
      <c r="H66" s="24" t="n">
        <v>0</v>
      </c>
      <c r="I66" s="24" t="n">
        <f aca="false">G66+H66</f>
        <v>1985.57</v>
      </c>
      <c r="J66" s="24" t="n">
        <f aca="false">D66-I66</f>
        <v>0</v>
      </c>
      <c r="K66" s="25" t="s">
        <v>410</v>
      </c>
      <c r="L66" s="25" t="s">
        <v>411</v>
      </c>
    </row>
    <row r="67" customFormat="false" ht="15" hidden="false" customHeight="false" outlineLevel="0" collapsed="false">
      <c r="A67" s="23" t="n">
        <v>12</v>
      </c>
      <c r="B67" s="23" t="s">
        <v>167</v>
      </c>
      <c r="C67" s="23" t="s">
        <v>27</v>
      </c>
      <c r="D67" s="24" t="n">
        <v>5579.6</v>
      </c>
      <c r="E67" s="24" t="n">
        <v>0</v>
      </c>
      <c r="F67" s="24" t="n">
        <v>0</v>
      </c>
      <c r="G67" s="24" t="n">
        <v>193.74</v>
      </c>
      <c r="H67" s="24" t="n">
        <v>185.99</v>
      </c>
      <c r="I67" s="24" t="n">
        <f aca="false">G67+H67</f>
        <v>379.73</v>
      </c>
      <c r="J67" s="24" t="n">
        <f aca="false">D67-I67</f>
        <v>5199.87</v>
      </c>
      <c r="K67" s="25" t="s">
        <v>406</v>
      </c>
      <c r="L67" s="25" t="s">
        <v>407</v>
      </c>
    </row>
    <row r="68" customFormat="false" ht="15" hidden="false" customHeight="false" outlineLevel="0" collapsed="false">
      <c r="A68" s="23" t="n">
        <v>13</v>
      </c>
      <c r="B68" s="23" t="s">
        <v>168</v>
      </c>
      <c r="C68" s="23" t="s">
        <v>29</v>
      </c>
      <c r="D68" s="24" t="n">
        <v>13308.28</v>
      </c>
      <c r="E68" s="24" t="n">
        <v>0</v>
      </c>
      <c r="F68" s="24" t="n">
        <v>10646.62</v>
      </c>
      <c r="G68" s="24" t="n">
        <v>11178.95</v>
      </c>
      <c r="H68" s="24" t="n">
        <v>851.73</v>
      </c>
      <c r="I68" s="24" t="n">
        <f aca="false">G68+H68</f>
        <v>12030.68</v>
      </c>
      <c r="J68" s="24" t="n">
        <f aca="false">D68-I68</f>
        <v>1277.6</v>
      </c>
      <c r="K68" s="25" t="s">
        <v>410</v>
      </c>
      <c r="L68" s="25" t="s">
        <v>411</v>
      </c>
    </row>
    <row r="69" customFormat="false" ht="15" hidden="false" customHeight="false" outlineLevel="0" collapsed="false">
      <c r="A69" s="23" t="n">
        <v>14</v>
      </c>
      <c r="B69" s="23" t="s">
        <v>169</v>
      </c>
      <c r="C69" s="23" t="s">
        <v>29</v>
      </c>
      <c r="D69" s="24" t="n">
        <v>37397.19</v>
      </c>
      <c r="E69" s="24" t="n">
        <v>0</v>
      </c>
      <c r="F69" s="24" t="n">
        <v>0</v>
      </c>
      <c r="G69" s="24" t="n">
        <v>882.99</v>
      </c>
      <c r="H69" s="24" t="n">
        <v>1246.57</v>
      </c>
      <c r="I69" s="24" t="n">
        <f aca="false">G69+H69</f>
        <v>2129.56</v>
      </c>
      <c r="J69" s="24" t="n">
        <f aca="false">D69-I69</f>
        <v>35267.63</v>
      </c>
      <c r="K69" s="25" t="s">
        <v>406</v>
      </c>
      <c r="L69" s="25" t="s">
        <v>407</v>
      </c>
    </row>
    <row r="70" customFormat="false" ht="15" hidden="false" customHeight="false" outlineLevel="0" collapsed="false">
      <c r="A70" s="26"/>
      <c r="B70" s="27" t="s">
        <v>140</v>
      </c>
      <c r="C70" s="26"/>
      <c r="D70" s="28" t="n">
        <f aca="false">SUM(D56:D69)</f>
        <v>398386.46</v>
      </c>
      <c r="E70" s="28" t="n">
        <f aca="false">SUM(E56:E69)</f>
        <v>0</v>
      </c>
      <c r="F70" s="28" t="n">
        <f aca="false">SUM(F56:F69)</f>
        <v>89774.5</v>
      </c>
      <c r="G70" s="28" t="n">
        <f aca="false">SUM(G56:G69)</f>
        <v>108496.8</v>
      </c>
      <c r="H70" s="28" t="n">
        <f aca="false">SUM(H56:H69)</f>
        <v>14525.99</v>
      </c>
      <c r="I70" s="28" t="n">
        <f aca="false">SUM(I56:I69)</f>
        <v>123022.79</v>
      </c>
      <c r="J70" s="28" t="n">
        <f aca="false">SUM(J56:J69)</f>
        <v>275363.67</v>
      </c>
      <c r="K70" s="26"/>
      <c r="L70" s="26"/>
    </row>
    <row r="72" customFormat="false" ht="15" hidden="false" customHeight="false" outlineLevel="0" collapsed="false">
      <c r="B72" s="18" t="s">
        <v>421</v>
      </c>
    </row>
    <row r="73" customFormat="false" ht="15" hidden="false" customHeight="false" outlineLevel="0" collapsed="false">
      <c r="B73" s="5" t="s">
        <v>414</v>
      </c>
      <c r="D73" s="6" t="n">
        <f aca="false">I52</f>
        <v>32856.69</v>
      </c>
    </row>
    <row r="74" customFormat="false" ht="15" hidden="false" customHeight="false" outlineLevel="0" collapsed="false">
      <c r="B74" s="5" t="s">
        <v>415</v>
      </c>
      <c r="D74" s="6" t="n">
        <f aca="false">I70</f>
        <v>123022.79</v>
      </c>
    </row>
    <row r="75" customFormat="false" ht="15" hidden="false" customHeight="false" outlineLevel="0" collapsed="false">
      <c r="B75" s="11" t="s">
        <v>421</v>
      </c>
      <c r="D75" s="29" t="n">
        <f aca="false">D73-D74</f>
        <v>-90166.1</v>
      </c>
    </row>
    <row r="77" customFormat="false" ht="15" hidden="false" customHeight="false" outlineLevel="0" collapsed="false">
      <c r="A77" s="10" t="s">
        <v>422</v>
      </c>
    </row>
    <row r="78" customFormat="false" ht="15" hidden="false" customHeight="false" outlineLevel="0" collapsed="false">
      <c r="B78" s="11" t="s">
        <v>445</v>
      </c>
      <c r="D78" s="12" t="n">
        <f aca="false">D115</f>
        <v>398386.46</v>
      </c>
    </row>
    <row r="79" customFormat="false" ht="15" hidden="false" customHeight="false" outlineLevel="0" collapsed="false">
      <c r="B79" s="5" t="s">
        <v>446</v>
      </c>
      <c r="D79" s="6" t="n">
        <f aca="false">F115</f>
        <v>104561.48</v>
      </c>
    </row>
    <row r="80" customFormat="false" ht="15" hidden="false" customHeight="false" outlineLevel="0" collapsed="false">
      <c r="B80" s="30" t="s">
        <v>425</v>
      </c>
      <c r="D80" s="31" t="n">
        <f aca="false">F116</f>
        <v>0.262462434089753</v>
      </c>
    </row>
    <row r="81" customFormat="false" ht="15" hidden="false" customHeight="false" outlineLevel="0" collapsed="false">
      <c r="B81" s="5" t="s">
        <v>447</v>
      </c>
      <c r="D81" s="6" t="n">
        <f aca="false">H115</f>
        <v>293824.98</v>
      </c>
    </row>
    <row r="82" customFormat="false" ht="15" hidden="false" customHeight="false" outlineLevel="0" collapsed="false">
      <c r="B82" s="30" t="s">
        <v>425</v>
      </c>
      <c r="D82" s="31" t="n">
        <f aca="false">H116</f>
        <v>0.737537565910247</v>
      </c>
    </row>
    <row r="84" customFormat="false" ht="15" hidden="false" customHeight="false" outlineLevel="0" collapsed="false">
      <c r="A84" s="10" t="s">
        <v>427</v>
      </c>
    </row>
    <row r="85" customFormat="false" ht="15" hidden="false" customHeight="false" outlineLevel="0" collapsed="false">
      <c r="B85" s="4" t="s">
        <v>428</v>
      </c>
      <c r="D85" s="4" t="s">
        <v>397</v>
      </c>
      <c r="F85" s="4" t="s">
        <v>448</v>
      </c>
      <c r="H85" s="4" t="s">
        <v>430</v>
      </c>
    </row>
    <row r="86" customFormat="false" ht="15" hidden="false" customHeight="false" outlineLevel="0" collapsed="false">
      <c r="B86" s="32" t="s">
        <v>449</v>
      </c>
    </row>
    <row r="87" customFormat="false" ht="15" hidden="false" customHeight="false" outlineLevel="0" collapsed="false">
      <c r="B87" s="5" t="s">
        <v>450</v>
      </c>
      <c r="D87" s="33" t="n">
        <f aca="false">SUM(F87:H87)</f>
        <v>31452.73</v>
      </c>
      <c r="F87" s="33" t="n">
        <v>31452.73</v>
      </c>
    </row>
    <row r="88" customFormat="false" ht="15" hidden="false" customHeight="false" outlineLevel="0" collapsed="false">
      <c r="B88" s="5" t="s">
        <v>451</v>
      </c>
      <c r="D88" s="33" t="n">
        <f aca="false">SUM(F88:H88)</f>
        <v>8394.17</v>
      </c>
      <c r="F88" s="33" t="n">
        <v>8394.17</v>
      </c>
    </row>
    <row r="89" customFormat="false" ht="15" hidden="false" customHeight="false" outlineLevel="0" collapsed="false">
      <c r="B89" s="5" t="s">
        <v>452</v>
      </c>
      <c r="D89" s="33" t="n">
        <f aca="false">SUM(F89:H89)</f>
        <v>32815.89</v>
      </c>
      <c r="F89" s="33" t="n">
        <v>32815.89</v>
      </c>
    </row>
    <row r="90" customFormat="false" ht="15" hidden="false" customHeight="false" outlineLevel="0" collapsed="false">
      <c r="B90" s="5" t="s">
        <v>453</v>
      </c>
      <c r="D90" s="33" t="n">
        <f aca="false">SUM(F90:H90)</f>
        <v>2648.72</v>
      </c>
      <c r="F90" s="33" t="n">
        <v>2648.72</v>
      </c>
    </row>
    <row r="91" customFormat="false" ht="15" hidden="false" customHeight="false" outlineLevel="0" collapsed="false">
      <c r="B91" s="5" t="s">
        <v>454</v>
      </c>
      <c r="D91" s="33" t="n">
        <f aca="false">SUM(F91:H91)</f>
        <v>287.16</v>
      </c>
      <c r="F91" s="33" t="n">
        <v>287.16</v>
      </c>
    </row>
    <row r="92" customFormat="false" ht="15" hidden="false" customHeight="false" outlineLevel="0" collapsed="false">
      <c r="B92" s="5" t="s">
        <v>455</v>
      </c>
      <c r="D92" s="33" t="n">
        <f aca="false">SUM(F92:H92)</f>
        <v>5344.3</v>
      </c>
      <c r="F92" s="33" t="n">
        <v>5344.3</v>
      </c>
    </row>
    <row r="93" customFormat="false" ht="15" hidden="false" customHeight="false" outlineLevel="0" collapsed="false">
      <c r="B93" s="5" t="s">
        <v>456</v>
      </c>
      <c r="D93" s="33" t="n">
        <f aca="false">SUM(F93:H93)</f>
        <v>2858.97</v>
      </c>
      <c r="F93" s="33" t="n">
        <v>2858.97</v>
      </c>
    </row>
    <row r="94" customFormat="false" ht="15" hidden="false" customHeight="false" outlineLevel="0" collapsed="false">
      <c r="B94" s="5" t="s">
        <v>457</v>
      </c>
      <c r="D94" s="33" t="n">
        <f aca="false">SUM(F94:H94)</f>
        <v>9687.68</v>
      </c>
      <c r="F94" s="33" t="n">
        <v>9687.68</v>
      </c>
    </row>
    <row r="95" customFormat="false" ht="15" hidden="false" customHeight="false" outlineLevel="0" collapsed="false">
      <c r="B95" s="5" t="s">
        <v>458</v>
      </c>
      <c r="D95" s="33" t="n">
        <f aca="false">SUM(F95:H95)</f>
        <v>2139.23</v>
      </c>
      <c r="F95" s="33" t="n">
        <v>2139.23</v>
      </c>
    </row>
    <row r="96" customFormat="false" ht="15" hidden="false" customHeight="false" outlineLevel="0" collapsed="false">
      <c r="B96" s="5" t="s">
        <v>459</v>
      </c>
      <c r="D96" s="33" t="n">
        <f aca="false">SUM(F96:H96)</f>
        <v>605.69</v>
      </c>
      <c r="F96" s="33" t="n">
        <v>605.69</v>
      </c>
    </row>
    <row r="97" customFormat="false" ht="15" hidden="false" customHeight="false" outlineLevel="0" collapsed="false">
      <c r="B97" s="5" t="s">
        <v>460</v>
      </c>
      <c r="D97" s="33" t="n">
        <f aca="false">SUM(F97:H97)</f>
        <v>8326.94</v>
      </c>
      <c r="F97" s="33" t="n">
        <v>8326.94</v>
      </c>
    </row>
    <row r="98" customFormat="false" ht="15" hidden="false" customHeight="false" outlineLevel="0" collapsed="false">
      <c r="B98" s="32" t="s">
        <v>461</v>
      </c>
    </row>
    <row r="99" customFormat="false" ht="15" hidden="false" customHeight="false" outlineLevel="0" collapsed="false">
      <c r="B99" s="5" t="s">
        <v>462</v>
      </c>
      <c r="D99" s="33" t="n">
        <f aca="false">SUM(F99:H99)</f>
        <v>16256.27</v>
      </c>
      <c r="H99" s="33" t="n">
        <v>16256.27</v>
      </c>
    </row>
    <row r="100" customFormat="false" ht="15" hidden="false" customHeight="false" outlineLevel="0" collapsed="false">
      <c r="B100" s="5" t="s">
        <v>463</v>
      </c>
      <c r="D100" s="33" t="n">
        <f aca="false">SUM(F100:H100)</f>
        <v>21691.78</v>
      </c>
      <c r="H100" s="33" t="n">
        <v>21691.78</v>
      </c>
    </row>
    <row r="101" customFormat="false" ht="15" hidden="false" customHeight="false" outlineLevel="0" collapsed="false">
      <c r="B101" s="5" t="s">
        <v>464</v>
      </c>
      <c r="D101" s="33" t="n">
        <f aca="false">SUM(F101:H101)</f>
        <v>31892.38</v>
      </c>
      <c r="H101" s="33" t="n">
        <v>31892.38</v>
      </c>
    </row>
    <row r="102" customFormat="false" ht="15" hidden="false" customHeight="false" outlineLevel="0" collapsed="false">
      <c r="B102" s="5" t="s">
        <v>465</v>
      </c>
      <c r="D102" s="33" t="n">
        <f aca="false">SUM(F102:H102)</f>
        <v>29436.62</v>
      </c>
      <c r="H102" s="33" t="n">
        <v>29436.62</v>
      </c>
    </row>
    <row r="103" customFormat="false" ht="15" hidden="false" customHeight="false" outlineLevel="0" collapsed="false">
      <c r="B103" s="5" t="s">
        <v>466</v>
      </c>
      <c r="D103" s="33" t="n">
        <f aca="false">SUM(F103:H103)</f>
        <v>27723.88</v>
      </c>
      <c r="H103" s="33" t="n">
        <v>27723.88</v>
      </c>
    </row>
    <row r="104" customFormat="false" ht="15" hidden="false" customHeight="false" outlineLevel="0" collapsed="false">
      <c r="B104" s="5" t="s">
        <v>467</v>
      </c>
      <c r="D104" s="33" t="n">
        <f aca="false">SUM(F104:H104)</f>
        <v>1864.29</v>
      </c>
      <c r="H104" s="33" t="n">
        <v>1864.29</v>
      </c>
    </row>
    <row r="105" customFormat="false" ht="15" hidden="false" customHeight="false" outlineLevel="0" collapsed="false">
      <c r="B105" s="5" t="s">
        <v>468</v>
      </c>
      <c r="D105" s="33" t="n">
        <f aca="false">SUM(F105:H105)</f>
        <v>21001.52</v>
      </c>
      <c r="H105" s="33" t="n">
        <v>21001.52</v>
      </c>
    </row>
    <row r="106" customFormat="false" ht="15" hidden="false" customHeight="false" outlineLevel="0" collapsed="false">
      <c r="B106" s="5" t="s">
        <v>469</v>
      </c>
      <c r="D106" s="33" t="n">
        <f aca="false">SUM(F106:H106)</f>
        <v>16292.68</v>
      </c>
      <c r="H106" s="33" t="n">
        <v>16292.68</v>
      </c>
    </row>
    <row r="107" customFormat="false" ht="15" hidden="false" customHeight="false" outlineLevel="0" collapsed="false">
      <c r="B107" s="5" t="s">
        <v>470</v>
      </c>
      <c r="D107" s="33" t="n">
        <f aca="false">SUM(F107:H107)</f>
        <v>12258.17</v>
      </c>
      <c r="H107" s="33" t="n">
        <v>12258.17</v>
      </c>
    </row>
    <row r="108" customFormat="false" ht="15" hidden="false" customHeight="false" outlineLevel="0" collapsed="false">
      <c r="B108" s="5" t="s">
        <v>471</v>
      </c>
      <c r="D108" s="33" t="n">
        <f aca="false">SUM(F108:H108)</f>
        <v>14614.91</v>
      </c>
      <c r="H108" s="33" t="n">
        <v>14614.91</v>
      </c>
    </row>
    <row r="109" customFormat="false" ht="15" hidden="false" customHeight="false" outlineLevel="0" collapsed="false">
      <c r="B109" s="5" t="s">
        <v>472</v>
      </c>
      <c r="D109" s="33" t="n">
        <f aca="false">SUM(F109:H109)</f>
        <v>38542.73</v>
      </c>
      <c r="H109" s="33" t="n">
        <v>38542.73</v>
      </c>
    </row>
    <row r="110" customFormat="false" ht="15" hidden="false" customHeight="false" outlineLevel="0" collapsed="false">
      <c r="B110" s="5" t="s">
        <v>473</v>
      </c>
      <c r="D110" s="33" t="n">
        <f aca="false">SUM(F110:H110)</f>
        <v>15289.77</v>
      </c>
      <c r="H110" s="33" t="n">
        <v>15289.77</v>
      </c>
    </row>
    <row r="111" customFormat="false" ht="15" hidden="false" customHeight="false" outlineLevel="0" collapsed="false">
      <c r="B111" s="5" t="s">
        <v>474</v>
      </c>
      <c r="D111" s="33" t="n">
        <f aca="false">SUM(F111:H111)</f>
        <v>37823.34</v>
      </c>
      <c r="H111" s="33" t="n">
        <v>37823.34</v>
      </c>
    </row>
    <row r="112" customFormat="false" ht="15" hidden="false" customHeight="false" outlineLevel="0" collapsed="false">
      <c r="B112" s="5" t="s">
        <v>475</v>
      </c>
      <c r="D112" s="33" t="n">
        <f aca="false">SUM(F112:H112)</f>
        <v>3514.89</v>
      </c>
      <c r="H112" s="33" t="n">
        <v>3514.89</v>
      </c>
    </row>
    <row r="113" customFormat="false" ht="15" hidden="false" customHeight="false" outlineLevel="0" collapsed="false">
      <c r="B113" s="5" t="s">
        <v>476</v>
      </c>
      <c r="D113" s="33" t="n">
        <f aca="false">SUM(F113:H113)</f>
        <v>3740.86</v>
      </c>
      <c r="H113" s="33" t="n">
        <v>3740.86</v>
      </c>
    </row>
    <row r="114" customFormat="false" ht="15" hidden="false" customHeight="false" outlineLevel="0" collapsed="false">
      <c r="B114" s="5" t="s">
        <v>477</v>
      </c>
      <c r="D114" s="33" t="n">
        <f aca="false">SUM(F114:H114)</f>
        <v>1880.89</v>
      </c>
      <c r="H114" s="33" t="n">
        <v>1880.89</v>
      </c>
    </row>
    <row r="115" customFormat="false" ht="15" hidden="false" customHeight="false" outlineLevel="0" collapsed="false">
      <c r="B115" s="11" t="s">
        <v>445</v>
      </c>
      <c r="D115" s="34" t="n">
        <f aca="false">SUM(D86:D114)</f>
        <v>398386.46</v>
      </c>
      <c r="F115" s="34" t="n">
        <f aca="false">SUM(F86:F114)</f>
        <v>104561.48</v>
      </c>
      <c r="H115" s="34" t="n">
        <f aca="false">SUM(H86:H114)</f>
        <v>293824.98</v>
      </c>
    </row>
    <row r="116" customFormat="false" ht="15" hidden="false" customHeight="false" outlineLevel="0" collapsed="false">
      <c r="B116" s="30" t="s">
        <v>425</v>
      </c>
      <c r="F116" s="31" t="n">
        <f aca="false">F115/D115</f>
        <v>0.262462434089753</v>
      </c>
      <c r="H116" s="31" t="n">
        <f aca="false">H115/D115</f>
        <v>0.737537565910247</v>
      </c>
    </row>
    <row r="118" customFormat="false" ht="15" hidden="false" customHeight="false" outlineLevel="0" collapsed="false">
      <c r="A118" s="10" t="s">
        <v>440</v>
      </c>
    </row>
    <row r="119" customFormat="false" ht="15" hidden="false" customHeight="false" outlineLevel="0" collapsed="false">
      <c r="B119" s="4" t="s">
        <v>441</v>
      </c>
      <c r="D119" s="4" t="s">
        <v>397</v>
      </c>
      <c r="F119" s="4" t="s">
        <v>448</v>
      </c>
      <c r="H119" s="4" t="s">
        <v>430</v>
      </c>
    </row>
    <row r="120" customFormat="false" ht="15" hidden="false" customHeight="false" outlineLevel="0" collapsed="false">
      <c r="B120" s="5" t="str">
        <f aca="false">'Building 1'!B21</f>
        <v>10-Building-Post Casualty Loss Basis-bldg1-5yr</v>
      </c>
      <c r="D120" s="33" t="n">
        <f aca="false">SUM(F120:H120)</f>
        <v>16865.31</v>
      </c>
      <c r="F120" s="33" t="n">
        <f aca="false">'Building 1'!D21</f>
        <v>16865.31</v>
      </c>
    </row>
    <row r="121" customFormat="false" ht="15" hidden="false" customHeight="false" outlineLevel="0" collapsed="false">
      <c r="B121" s="5" t="str">
        <f aca="false">'Building 1'!B22</f>
        <v>10-Building-Post Casualty Loss Basis-bldg1-30yr</v>
      </c>
      <c r="D121" s="33" t="n">
        <f aca="false">SUM(F121:H121)</f>
        <v>47392.68</v>
      </c>
      <c r="H121" s="33" t="n">
        <f aca="false">'Building 1'!D22</f>
        <v>47392.68</v>
      </c>
    </row>
    <row r="122" customFormat="false" ht="15" hidden="false" customHeight="false" outlineLevel="0" collapsed="false">
      <c r="B122" s="5" t="str">
        <f aca="false">'Building 1'!B23</f>
        <v>12-New Buildings(16 units)-bldg1-5yr</v>
      </c>
      <c r="D122" s="33" t="n">
        <f aca="false">SUM(F122:H122)</f>
        <v>9045.4</v>
      </c>
      <c r="F122" s="33" t="n">
        <f aca="false">'Building 1'!D23</f>
        <v>9045.4</v>
      </c>
    </row>
    <row r="123" customFormat="false" ht="15" hidden="false" customHeight="false" outlineLevel="0" collapsed="false">
      <c r="B123" s="5" t="str">
        <f aca="false">'Building 1'!B24</f>
        <v>12-New Buildings(16 units)-bldg1-30yr</v>
      </c>
      <c r="D123" s="33" t="n">
        <f aca="false">SUM(F123:H123)</f>
        <v>25418.2</v>
      </c>
      <c r="H123" s="33" t="n">
        <f aca="false">'Building 1'!D24</f>
        <v>25418.2</v>
      </c>
    </row>
    <row r="124" customFormat="false" ht="15" hidden="false" customHeight="false" outlineLevel="0" collapsed="false">
      <c r="B124" s="5" t="str">
        <f aca="false">'Building 1'!B25</f>
        <v>14-New Buildings(105 units)-bldg1-5yr</v>
      </c>
      <c r="D124" s="33" t="n">
        <f aca="false">SUM(F124:H124)</f>
        <v>60626.59</v>
      </c>
      <c r="F124" s="33" t="n">
        <f aca="false">'Building 1'!D25</f>
        <v>60626.59</v>
      </c>
    </row>
    <row r="125" customFormat="false" ht="15" hidden="false" customHeight="false" outlineLevel="0" collapsed="false">
      <c r="B125" s="5" t="str">
        <f aca="false">'Building 1'!B26</f>
        <v>14-New Buildings(105 units)-bldg1-30yr</v>
      </c>
      <c r="D125" s="33" t="n">
        <f aca="false">SUM(F125:H125)</f>
        <v>170364.9</v>
      </c>
      <c r="H125" s="33" t="n">
        <f aca="false">'Building 1'!D26</f>
        <v>170364.9</v>
      </c>
    </row>
    <row r="126" customFormat="false" ht="15" hidden="false" customHeight="false" outlineLevel="0" collapsed="false">
      <c r="B126" s="5" t="str">
        <f aca="false">'Building 1'!B27</f>
        <v>11-Building Imp-Post-Casulty Loss Basis-bldg1-5yr</v>
      </c>
      <c r="D126" s="33" t="n">
        <f aca="false">SUM(F126:H126)</f>
        <v>423.87</v>
      </c>
      <c r="F126" s="33" t="n">
        <f aca="false">'Building 1'!D27</f>
        <v>423.87</v>
      </c>
    </row>
    <row r="127" customFormat="false" ht="15" hidden="false" customHeight="false" outlineLevel="0" collapsed="false">
      <c r="B127" s="5" t="str">
        <f aca="false">'Building 1'!B28</f>
        <v>11-Building Imp-Post-Casulty Loss Basis-bldg1-30yr</v>
      </c>
      <c r="D127" s="33" t="n">
        <f aca="false">SUM(F127:H127)</f>
        <v>1191.1</v>
      </c>
      <c r="H127" s="33" t="n">
        <f aca="false">'Building 1'!D28</f>
        <v>1191.1</v>
      </c>
    </row>
    <row r="128" customFormat="false" ht="15" hidden="false" customHeight="false" outlineLevel="0" collapsed="false">
      <c r="B128" s="5" t="str">
        <f aca="false">'Building 1'!B29</f>
        <v>2-Land Improvements-bldg1-5yr</v>
      </c>
      <c r="D128" s="33" t="n">
        <f aca="false">SUM(F128:H128)</f>
        <v>2306.46</v>
      </c>
      <c r="F128" s="33" t="n">
        <f aca="false">'Building 1'!D29</f>
        <v>2306.46</v>
      </c>
    </row>
    <row r="129" customFormat="false" ht="15" hidden="false" customHeight="false" outlineLevel="0" collapsed="false">
      <c r="B129" s="5" t="str">
        <f aca="false">'Building 1'!B30</f>
        <v>2-Land Improvements-bldg1-30yr</v>
      </c>
      <c r="D129" s="33" t="n">
        <f aca="false">SUM(F129:H129)</f>
        <v>6481.31</v>
      </c>
      <c r="H129" s="33" t="n">
        <f aca="false">'Building 1'!D30</f>
        <v>6481.31</v>
      </c>
    </row>
    <row r="130" customFormat="false" ht="15" hidden="false" customHeight="false" outlineLevel="0" collapsed="false">
      <c r="B130" s="5" t="str">
        <f aca="false">'Building 1'!B31</f>
        <v>13-New Equipment(16 units)-bldg1-5yr</v>
      </c>
      <c r="D130" s="33" t="n">
        <f aca="false">SUM(F130:H130)</f>
        <v>1985.57</v>
      </c>
      <c r="F130" s="33" t="n">
        <f aca="false">'Building 1'!D31</f>
        <v>1985.57</v>
      </c>
    </row>
    <row r="131" customFormat="false" ht="15" hidden="false" customHeight="false" outlineLevel="0" collapsed="false">
      <c r="B131" s="5" t="str">
        <f aca="false">'Building 1'!B32</f>
        <v>13-New Equipment(16 units)-bldg1-30yr</v>
      </c>
      <c r="D131" s="33" t="n">
        <f aca="false">SUM(F131:H131)</f>
        <v>5579.6</v>
      </c>
      <c r="H131" s="33" t="n">
        <f aca="false">'Building 1'!D32</f>
        <v>5579.6</v>
      </c>
    </row>
    <row r="132" customFormat="false" ht="15" hidden="false" customHeight="false" outlineLevel="0" collapsed="false">
      <c r="B132" s="5" t="str">
        <f aca="false">'Building 1'!B33</f>
        <v>15-New Equipment(105 units)-bldg1-5yr</v>
      </c>
      <c r="D132" s="33" t="n">
        <f aca="false">SUM(F132:H132)</f>
        <v>13308.28</v>
      </c>
      <c r="F132" s="33" t="n">
        <f aca="false">'Building 1'!D33</f>
        <v>13308.28</v>
      </c>
    </row>
    <row r="133" customFormat="false" ht="15" hidden="false" customHeight="false" outlineLevel="0" collapsed="false">
      <c r="B133" s="5" t="str">
        <f aca="false">'Building 1'!B34</f>
        <v>15-New Equipment(105 units)-bldg1-30yr</v>
      </c>
      <c r="D133" s="33" t="n">
        <f aca="false">SUM(F133:H133)</f>
        <v>37397.19</v>
      </c>
      <c r="H133" s="33" t="n">
        <f aca="false">'Building 1'!D34</f>
        <v>37397.19</v>
      </c>
    </row>
    <row r="134" customFormat="false" ht="15" hidden="false" customHeight="false" outlineLevel="0" collapsed="false">
      <c r="B134" s="11" t="s">
        <v>442</v>
      </c>
      <c r="D134" s="34" t="n">
        <f aca="false">SUM(D120:D133)</f>
        <v>398386.46</v>
      </c>
      <c r="F134" s="34" t="n">
        <f aca="false">SUM(F120:F133)</f>
        <v>104561.48</v>
      </c>
      <c r="H134" s="34" t="n">
        <f aca="false">SUM(H120:H133)</f>
        <v>293824.98</v>
      </c>
    </row>
    <row r="135" customFormat="false" ht="15" hidden="false" customHeight="false" outlineLevel="0" collapsed="false">
      <c r="B135" s="16" t="s">
        <v>443</v>
      </c>
      <c r="D135" s="17" t="n">
        <f aca="false">D134-D115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478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43</v>
      </c>
      <c r="C10" s="23" t="s">
        <v>25</v>
      </c>
      <c r="D10" s="24" t="n">
        <v>64273.15</v>
      </c>
      <c r="E10" s="24" t="n">
        <v>0</v>
      </c>
      <c r="F10" s="24" t="n">
        <v>0</v>
      </c>
      <c r="G10" s="24" t="n">
        <v>6637.81</v>
      </c>
      <c r="H10" s="24" t="n">
        <v>2340.51</v>
      </c>
      <c r="I10" s="24" t="n">
        <f aca="false">G10+H10</f>
        <v>8978.32</v>
      </c>
      <c r="J10" s="24" t="n">
        <f aca="false">D10-I10</f>
        <v>55294.83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44</v>
      </c>
      <c r="C11" s="23" t="s">
        <v>27</v>
      </c>
      <c r="D11" s="24" t="n">
        <v>34471.7</v>
      </c>
      <c r="E11" s="24" t="n">
        <v>0</v>
      </c>
      <c r="F11" s="24" t="n">
        <v>0</v>
      </c>
      <c r="G11" s="24" t="n">
        <v>1196.96</v>
      </c>
      <c r="H11" s="24" t="n">
        <v>1149.05</v>
      </c>
      <c r="I11" s="24" t="n">
        <f aca="false">G11+H11</f>
        <v>2346.01</v>
      </c>
      <c r="J11" s="24" t="n">
        <f aca="false">D11-I11</f>
        <v>32125.69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45</v>
      </c>
      <c r="C12" s="23" t="s">
        <v>29</v>
      </c>
      <c r="D12" s="24" t="n">
        <v>231045.9</v>
      </c>
      <c r="E12" s="24" t="n">
        <v>0</v>
      </c>
      <c r="F12" s="24" t="n">
        <v>0</v>
      </c>
      <c r="G12" s="24" t="n">
        <v>5455.25</v>
      </c>
      <c r="H12" s="24" t="n">
        <v>7701.54</v>
      </c>
      <c r="I12" s="24" t="n">
        <f aca="false">G12+H12</f>
        <v>13156.79</v>
      </c>
      <c r="J12" s="24" t="n">
        <f aca="false">D12-I12</f>
        <v>217889.11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1615.35</v>
      </c>
      <c r="E13" s="24" t="n">
        <v>0</v>
      </c>
      <c r="F13" s="24" t="n">
        <v>0</v>
      </c>
      <c r="G13" s="24" t="n">
        <v>121.63</v>
      </c>
      <c r="H13" s="24" t="n">
        <v>55.93</v>
      </c>
      <c r="I13" s="24" t="n">
        <f aca="false">G13+H13</f>
        <v>177.56</v>
      </c>
      <c r="J13" s="24" t="n">
        <f aca="false">D13-I13</f>
        <v>1437.79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46</v>
      </c>
      <c r="C14" s="23" t="s">
        <v>25</v>
      </c>
      <c r="D14" s="24" t="n">
        <v>8789.84</v>
      </c>
      <c r="E14" s="24" t="n">
        <v>0</v>
      </c>
      <c r="F14" s="24" t="n">
        <v>2255.14</v>
      </c>
      <c r="G14" s="24" t="n">
        <v>2255.14</v>
      </c>
      <c r="H14" s="24" t="n">
        <v>676</v>
      </c>
      <c r="I14" s="24" t="n">
        <f aca="false">G14+H14</f>
        <v>2931.14</v>
      </c>
      <c r="J14" s="24" t="n">
        <f aca="false">D14-I14</f>
        <v>5858.7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47</v>
      </c>
      <c r="C15" s="23" t="s">
        <v>27</v>
      </c>
      <c r="D15" s="24" t="n">
        <v>7566.95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7566.95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48</v>
      </c>
      <c r="C16" s="23" t="s">
        <v>29</v>
      </c>
      <c r="D16" s="24" t="n">
        <v>50717.41</v>
      </c>
      <c r="E16" s="24" t="n">
        <v>0</v>
      </c>
      <c r="F16" s="24" t="n">
        <v>0</v>
      </c>
      <c r="G16" s="24" t="n">
        <v>2028.69</v>
      </c>
      <c r="H16" s="24" t="n">
        <v>3245.92</v>
      </c>
      <c r="I16" s="24" t="n">
        <f aca="false">G16+H16</f>
        <v>5274.61</v>
      </c>
      <c r="J16" s="24" t="n">
        <f aca="false">D16-I16</f>
        <v>45442.8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398480.3</v>
      </c>
      <c r="E17" s="28" t="n">
        <f aca="false">SUM(E10:E16)</f>
        <v>0</v>
      </c>
      <c r="F17" s="28" t="n">
        <f aca="false">SUM(F10:F16)</f>
        <v>2255.14</v>
      </c>
      <c r="G17" s="28" t="n">
        <f aca="false">SUM(G10:G16)</f>
        <v>17695.48</v>
      </c>
      <c r="H17" s="28" t="n">
        <f aca="false">SUM(H10:H16)</f>
        <v>15168.95</v>
      </c>
      <c r="I17" s="28" t="n">
        <f aca="false">SUM(I10:I16)</f>
        <v>32864.43</v>
      </c>
      <c r="J17" s="28" t="n">
        <f aca="false">SUM(J10:J16)</f>
        <v>365615.87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170</v>
      </c>
      <c r="C21" s="23" t="s">
        <v>25</v>
      </c>
      <c r="D21" s="24" t="n">
        <v>16880.45</v>
      </c>
      <c r="E21" s="24" t="n">
        <v>0</v>
      </c>
      <c r="F21" s="24" t="n">
        <v>16880.45</v>
      </c>
      <c r="G21" s="24" t="n">
        <v>16880.45</v>
      </c>
      <c r="H21" s="24" t="n">
        <v>0</v>
      </c>
      <c r="I21" s="24" t="n">
        <f aca="false">G21+H21</f>
        <v>16880.45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171</v>
      </c>
      <c r="C22" s="23" t="s">
        <v>25</v>
      </c>
      <c r="D22" s="24" t="n">
        <v>47392.7</v>
      </c>
      <c r="E22" s="24" t="n">
        <v>0</v>
      </c>
      <c r="F22" s="24" t="n">
        <v>0</v>
      </c>
      <c r="G22" s="24" t="n">
        <v>8491.21</v>
      </c>
      <c r="H22" s="24" t="n">
        <v>1579.76</v>
      </c>
      <c r="I22" s="24" t="n">
        <f aca="false">G22+H22</f>
        <v>10070.97</v>
      </c>
      <c r="J22" s="24" t="n">
        <f aca="false">D22-I22</f>
        <v>37321.73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172</v>
      </c>
      <c r="C23" s="23" t="s">
        <v>27</v>
      </c>
      <c r="D23" s="24" t="n">
        <v>9053.51</v>
      </c>
      <c r="E23" s="24" t="n">
        <v>0</v>
      </c>
      <c r="F23" s="24" t="n">
        <v>9053.51</v>
      </c>
      <c r="G23" s="24" t="n">
        <v>9053.51</v>
      </c>
      <c r="H23" s="24" t="n">
        <v>0</v>
      </c>
      <c r="I23" s="24" t="n">
        <f aca="false">G23+H23</f>
        <v>9053.51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173</v>
      </c>
      <c r="C24" s="23" t="s">
        <v>27</v>
      </c>
      <c r="D24" s="24" t="n">
        <v>25418.19</v>
      </c>
      <c r="E24" s="24" t="n">
        <v>0</v>
      </c>
      <c r="F24" s="24" t="n">
        <v>0</v>
      </c>
      <c r="G24" s="24" t="n">
        <v>882.57</v>
      </c>
      <c r="H24" s="24" t="n">
        <v>847.27</v>
      </c>
      <c r="I24" s="24" t="n">
        <f aca="false">G24+H24</f>
        <v>1729.84</v>
      </c>
      <c r="J24" s="24" t="n">
        <f aca="false">D24-I24</f>
        <v>23688.35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174</v>
      </c>
      <c r="C25" s="23" t="s">
        <v>29</v>
      </c>
      <c r="D25" s="24" t="n">
        <v>60681</v>
      </c>
      <c r="E25" s="24" t="n">
        <v>0</v>
      </c>
      <c r="F25" s="24" t="n">
        <v>48544.8</v>
      </c>
      <c r="G25" s="24" t="n">
        <v>50972.04</v>
      </c>
      <c r="H25" s="24" t="n">
        <v>3883.58</v>
      </c>
      <c r="I25" s="24" t="n">
        <f aca="false">G25+H25</f>
        <v>54855.62</v>
      </c>
      <c r="J25" s="24" t="n">
        <f aca="false">D25-I25</f>
        <v>5825.38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175</v>
      </c>
      <c r="C26" s="23" t="s">
        <v>29</v>
      </c>
      <c r="D26" s="24" t="n">
        <v>170364.9</v>
      </c>
      <c r="E26" s="24" t="n">
        <v>0</v>
      </c>
      <c r="F26" s="24" t="n">
        <v>0</v>
      </c>
      <c r="G26" s="24" t="n">
        <v>4022.5</v>
      </c>
      <c r="H26" s="24" t="n">
        <v>5678.83</v>
      </c>
      <c r="I26" s="24" t="n">
        <f aca="false">G26+H26</f>
        <v>9701.33</v>
      </c>
      <c r="J26" s="24" t="n">
        <f aca="false">D26-I26</f>
        <v>160663.57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176</v>
      </c>
      <c r="C27" s="23" t="s">
        <v>31</v>
      </c>
      <c r="D27" s="24" t="n">
        <v>424.25</v>
      </c>
      <c r="E27" s="24" t="n">
        <v>0</v>
      </c>
      <c r="F27" s="24" t="n">
        <v>424.25</v>
      </c>
      <c r="G27" s="24" t="n">
        <v>424.25</v>
      </c>
      <c r="H27" s="24" t="n">
        <v>0</v>
      </c>
      <c r="I27" s="24" t="n">
        <f aca="false">G27+H27</f>
        <v>424.25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176</v>
      </c>
      <c r="C28" s="23" t="s">
        <v>31</v>
      </c>
      <c r="D28" s="24" t="n">
        <v>1191.1</v>
      </c>
      <c r="E28" s="24" t="n">
        <v>0</v>
      </c>
      <c r="F28" s="24" t="n">
        <v>0</v>
      </c>
      <c r="G28" s="24" t="n">
        <v>130.68</v>
      </c>
      <c r="H28" s="24" t="n">
        <v>39.7</v>
      </c>
      <c r="I28" s="24" t="n">
        <f aca="false">G28+H28</f>
        <v>170.38</v>
      </c>
      <c r="J28" s="24" t="n">
        <f aca="false">D28-I28</f>
        <v>1020.72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177</v>
      </c>
      <c r="C29" s="23" t="s">
        <v>25</v>
      </c>
      <c r="D29" s="24" t="n">
        <v>2308.53</v>
      </c>
      <c r="E29" s="24" t="n">
        <v>0</v>
      </c>
      <c r="F29" s="24" t="n">
        <v>2308.53</v>
      </c>
      <c r="G29" s="24" t="n">
        <v>2308.53</v>
      </c>
      <c r="H29" s="24" t="n">
        <v>0</v>
      </c>
      <c r="I29" s="24" t="n">
        <f aca="false">G29+H29</f>
        <v>2308.53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178</v>
      </c>
      <c r="C30" s="23" t="s">
        <v>25</v>
      </c>
      <c r="D30" s="24" t="n">
        <v>6481.31</v>
      </c>
      <c r="E30" s="24" t="n">
        <v>0</v>
      </c>
      <c r="F30" s="24" t="n">
        <v>0</v>
      </c>
      <c r="G30" s="24" t="n">
        <v>1161.22</v>
      </c>
      <c r="H30" s="24" t="n">
        <v>216.04</v>
      </c>
      <c r="I30" s="24" t="n">
        <f aca="false">G30+H30</f>
        <v>1377.26</v>
      </c>
      <c r="J30" s="24" t="n">
        <f aca="false">D30-I30</f>
        <v>5104.05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179</v>
      </c>
      <c r="C31" s="23" t="s">
        <v>27</v>
      </c>
      <c r="D31" s="24" t="n">
        <v>1987.35</v>
      </c>
      <c r="E31" s="24" t="n">
        <v>0</v>
      </c>
      <c r="F31" s="24" t="n">
        <v>1987.35</v>
      </c>
      <c r="G31" s="24" t="n">
        <v>1987.35</v>
      </c>
      <c r="H31" s="24" t="n">
        <v>0</v>
      </c>
      <c r="I31" s="24" t="n">
        <f aca="false">G31+H31</f>
        <v>1987.35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180</v>
      </c>
      <c r="C32" s="23" t="s">
        <v>27</v>
      </c>
      <c r="D32" s="24" t="n">
        <v>5579.6</v>
      </c>
      <c r="E32" s="24" t="n">
        <v>0</v>
      </c>
      <c r="F32" s="24" t="n">
        <v>0</v>
      </c>
      <c r="G32" s="24" t="n">
        <v>193.74</v>
      </c>
      <c r="H32" s="24" t="n">
        <v>185.99</v>
      </c>
      <c r="I32" s="24" t="n">
        <f aca="false">G32+H32</f>
        <v>379.73</v>
      </c>
      <c r="J32" s="24" t="n">
        <f aca="false">D32-I32</f>
        <v>5199.87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181</v>
      </c>
      <c r="C33" s="23" t="s">
        <v>29</v>
      </c>
      <c r="D33" s="24" t="n">
        <v>13320.23</v>
      </c>
      <c r="E33" s="24" t="n">
        <v>0</v>
      </c>
      <c r="F33" s="24" t="n">
        <v>10656.18</v>
      </c>
      <c r="G33" s="24" t="n">
        <v>11188.99</v>
      </c>
      <c r="H33" s="24" t="n">
        <v>852.5</v>
      </c>
      <c r="I33" s="24" t="n">
        <f aca="false">G33+H33</f>
        <v>12041.49</v>
      </c>
      <c r="J33" s="24" t="n">
        <f aca="false">D33-I33</f>
        <v>1278.74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182</v>
      </c>
      <c r="C34" s="23" t="s">
        <v>29</v>
      </c>
      <c r="D34" s="24" t="n">
        <v>37397.18</v>
      </c>
      <c r="E34" s="24" t="n">
        <v>0</v>
      </c>
      <c r="F34" s="24" t="n">
        <v>0</v>
      </c>
      <c r="G34" s="24" t="n">
        <v>882.99</v>
      </c>
      <c r="H34" s="24" t="n">
        <v>1246.57</v>
      </c>
      <c r="I34" s="24" t="n">
        <f aca="false">G34+H34</f>
        <v>2129.56</v>
      </c>
      <c r="J34" s="24" t="n">
        <f aca="false">D34-I34</f>
        <v>35267.62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398480.3</v>
      </c>
      <c r="E35" s="28" t="n">
        <f aca="false">SUM(E21:E34)</f>
        <v>0</v>
      </c>
      <c r="F35" s="28" t="n">
        <f aca="false">SUM(F21:F34)</f>
        <v>89855.07</v>
      </c>
      <c r="G35" s="28" t="n">
        <f aca="false">SUM(G21:G34)</f>
        <v>108580.03</v>
      </c>
      <c r="H35" s="28" t="n">
        <f aca="false">SUM(H21:H34)</f>
        <v>14530.24</v>
      </c>
      <c r="I35" s="28" t="n">
        <f aca="false">SUM(I21:I34)</f>
        <v>123110.27</v>
      </c>
      <c r="J35" s="28" t="n">
        <f aca="false">SUM(J21:J34)</f>
        <v>275370.03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32864.43</v>
      </c>
    </row>
    <row r="39" customFormat="false" ht="15" hidden="false" customHeight="false" outlineLevel="0" collapsed="false">
      <c r="B39" s="5" t="s">
        <v>415</v>
      </c>
      <c r="D39" s="6" t="n">
        <f aca="false">I35</f>
        <v>123110.27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-90245.84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43</v>
      </c>
      <c r="C45" s="23" t="s">
        <v>25</v>
      </c>
      <c r="D45" s="24" t="n">
        <v>64273.15</v>
      </c>
      <c r="E45" s="24" t="n">
        <v>0</v>
      </c>
      <c r="F45" s="24" t="n">
        <v>0</v>
      </c>
      <c r="G45" s="24" t="n">
        <v>6637.81</v>
      </c>
      <c r="H45" s="24" t="n">
        <v>2340.51</v>
      </c>
      <c r="I45" s="24" t="n">
        <f aca="false">G45+H45</f>
        <v>8978.32</v>
      </c>
      <c r="J45" s="24" t="n">
        <f aca="false">D45-I45</f>
        <v>55294.83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44</v>
      </c>
      <c r="C46" s="23" t="s">
        <v>27</v>
      </c>
      <c r="D46" s="24" t="n">
        <v>34471.7</v>
      </c>
      <c r="E46" s="24" t="n">
        <v>0</v>
      </c>
      <c r="F46" s="24" t="n">
        <v>0</v>
      </c>
      <c r="G46" s="24" t="n">
        <v>1196.96</v>
      </c>
      <c r="H46" s="24" t="n">
        <v>1149.05</v>
      </c>
      <c r="I46" s="24" t="n">
        <f aca="false">G46+H46</f>
        <v>2346.01</v>
      </c>
      <c r="J46" s="24" t="n">
        <f aca="false">D46-I46</f>
        <v>32125.69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45</v>
      </c>
      <c r="C47" s="23" t="s">
        <v>29</v>
      </c>
      <c r="D47" s="24" t="n">
        <v>231045.9</v>
      </c>
      <c r="E47" s="24" t="n">
        <v>0</v>
      </c>
      <c r="F47" s="24" t="n">
        <v>0</v>
      </c>
      <c r="G47" s="24" t="n">
        <v>5455.25</v>
      </c>
      <c r="H47" s="24" t="n">
        <v>7701.54</v>
      </c>
      <c r="I47" s="24" t="n">
        <f aca="false">G47+H47</f>
        <v>13156.79</v>
      </c>
      <c r="J47" s="24" t="n">
        <f aca="false">D47-I47</f>
        <v>217889.11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1615.35</v>
      </c>
      <c r="E48" s="24" t="n">
        <v>0</v>
      </c>
      <c r="F48" s="24" t="n">
        <v>0</v>
      </c>
      <c r="G48" s="24" t="n">
        <v>121.63</v>
      </c>
      <c r="H48" s="24" t="n">
        <v>55.93</v>
      </c>
      <c r="I48" s="24" t="n">
        <f aca="false">G48+H48</f>
        <v>177.56</v>
      </c>
      <c r="J48" s="24" t="n">
        <f aca="false">D48-I48</f>
        <v>1437.79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46</v>
      </c>
      <c r="C49" s="23" t="s">
        <v>25</v>
      </c>
      <c r="D49" s="24" t="n">
        <v>8789.84</v>
      </c>
      <c r="E49" s="24" t="n">
        <v>0</v>
      </c>
      <c r="F49" s="24" t="n">
        <v>2255.14</v>
      </c>
      <c r="G49" s="24" t="n">
        <v>2255.14</v>
      </c>
      <c r="H49" s="24" t="n">
        <v>676</v>
      </c>
      <c r="I49" s="24" t="n">
        <f aca="false">G49+H49</f>
        <v>2931.14</v>
      </c>
      <c r="J49" s="24" t="n">
        <f aca="false">D49-I49</f>
        <v>5858.7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47</v>
      </c>
      <c r="C50" s="23" t="s">
        <v>27</v>
      </c>
      <c r="D50" s="24" t="n">
        <v>7566.95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7566.95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48</v>
      </c>
      <c r="C51" s="23" t="s">
        <v>29</v>
      </c>
      <c r="D51" s="24" t="n">
        <v>50717.41</v>
      </c>
      <c r="E51" s="24" t="n">
        <v>0</v>
      </c>
      <c r="F51" s="24" t="n">
        <v>0</v>
      </c>
      <c r="G51" s="24" t="n">
        <v>2028.69</v>
      </c>
      <c r="H51" s="24" t="n">
        <v>3245.92</v>
      </c>
      <c r="I51" s="24" t="n">
        <f aca="false">G51+H51</f>
        <v>5274.61</v>
      </c>
      <c r="J51" s="24" t="n">
        <f aca="false">D51-I51</f>
        <v>45442.8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398480.3</v>
      </c>
      <c r="E52" s="28" t="n">
        <f aca="false">SUM(E45:E51)</f>
        <v>0</v>
      </c>
      <c r="F52" s="28" t="n">
        <f aca="false">SUM(F45:F51)</f>
        <v>2255.14</v>
      </c>
      <c r="G52" s="28" t="n">
        <f aca="false">SUM(G45:G51)</f>
        <v>17695.48</v>
      </c>
      <c r="H52" s="28" t="n">
        <f aca="false">SUM(H45:H51)</f>
        <v>15168.95</v>
      </c>
      <c r="I52" s="28" t="n">
        <f aca="false">SUM(I45:I51)</f>
        <v>32864.43</v>
      </c>
      <c r="J52" s="28" t="n">
        <f aca="false">SUM(J45:J51)</f>
        <v>365615.87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172</v>
      </c>
      <c r="C56" s="23" t="s">
        <v>27</v>
      </c>
      <c r="D56" s="24" t="n">
        <v>9053.51</v>
      </c>
      <c r="E56" s="24" t="n">
        <v>0</v>
      </c>
      <c r="F56" s="24" t="n">
        <v>9053.51</v>
      </c>
      <c r="G56" s="24" t="n">
        <v>9053.51</v>
      </c>
      <c r="H56" s="24" t="n">
        <v>0</v>
      </c>
      <c r="I56" s="24" t="n">
        <f aca="false">G56+H56</f>
        <v>9053.51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173</v>
      </c>
      <c r="C57" s="23" t="s">
        <v>27</v>
      </c>
      <c r="D57" s="24" t="n">
        <v>25418.19</v>
      </c>
      <c r="E57" s="24" t="n">
        <v>0</v>
      </c>
      <c r="F57" s="24" t="n">
        <v>0</v>
      </c>
      <c r="G57" s="24" t="n">
        <v>882.57</v>
      </c>
      <c r="H57" s="24" t="n">
        <v>847.27</v>
      </c>
      <c r="I57" s="24" t="n">
        <f aca="false">G57+H57</f>
        <v>1729.84</v>
      </c>
      <c r="J57" s="24" t="n">
        <f aca="false">D57-I57</f>
        <v>23688.35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174</v>
      </c>
      <c r="C58" s="23" t="s">
        <v>29</v>
      </c>
      <c r="D58" s="24" t="n">
        <v>60681</v>
      </c>
      <c r="E58" s="24" t="n">
        <v>0</v>
      </c>
      <c r="F58" s="24" t="n">
        <v>48544.8</v>
      </c>
      <c r="G58" s="24" t="n">
        <v>50972.04</v>
      </c>
      <c r="H58" s="24" t="n">
        <v>3883.58</v>
      </c>
      <c r="I58" s="24" t="n">
        <f aca="false">G58+H58</f>
        <v>54855.62</v>
      </c>
      <c r="J58" s="24" t="n">
        <f aca="false">D58-I58</f>
        <v>5825.38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175</v>
      </c>
      <c r="C59" s="23" t="s">
        <v>29</v>
      </c>
      <c r="D59" s="24" t="n">
        <v>170364.9</v>
      </c>
      <c r="E59" s="24" t="n">
        <v>0</v>
      </c>
      <c r="F59" s="24" t="n">
        <v>0</v>
      </c>
      <c r="G59" s="24" t="n">
        <v>4022.5</v>
      </c>
      <c r="H59" s="24" t="n">
        <v>5678.83</v>
      </c>
      <c r="I59" s="24" t="n">
        <f aca="false">G59+H59</f>
        <v>9701.33</v>
      </c>
      <c r="J59" s="24" t="n">
        <f aca="false">D59-I59</f>
        <v>160663.57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177</v>
      </c>
      <c r="C60" s="23" t="s">
        <v>25</v>
      </c>
      <c r="D60" s="24" t="n">
        <v>2308.53</v>
      </c>
      <c r="E60" s="24" t="n">
        <v>0</v>
      </c>
      <c r="F60" s="24" t="n">
        <v>2308.53</v>
      </c>
      <c r="G60" s="24" t="n">
        <v>2308.53</v>
      </c>
      <c r="H60" s="24" t="n">
        <v>0</v>
      </c>
      <c r="I60" s="24" t="n">
        <f aca="false">G60+H60</f>
        <v>2308.53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178</v>
      </c>
      <c r="C61" s="23" t="s">
        <v>25</v>
      </c>
      <c r="D61" s="24" t="n">
        <v>6481.31</v>
      </c>
      <c r="E61" s="24" t="n">
        <v>0</v>
      </c>
      <c r="F61" s="24" t="n">
        <v>0</v>
      </c>
      <c r="G61" s="24" t="n">
        <v>1161.22</v>
      </c>
      <c r="H61" s="24" t="n">
        <v>216.04</v>
      </c>
      <c r="I61" s="24" t="n">
        <f aca="false">G61+H61</f>
        <v>1377.26</v>
      </c>
      <c r="J61" s="24" t="n">
        <f aca="false">D61-I61</f>
        <v>5104.05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179</v>
      </c>
      <c r="C62" s="23" t="s">
        <v>27</v>
      </c>
      <c r="D62" s="24" t="n">
        <v>1987.35</v>
      </c>
      <c r="E62" s="24" t="n">
        <v>0</v>
      </c>
      <c r="F62" s="24" t="n">
        <v>1987.35</v>
      </c>
      <c r="G62" s="24" t="n">
        <v>1987.35</v>
      </c>
      <c r="H62" s="24" t="n">
        <v>0</v>
      </c>
      <c r="I62" s="24" t="n">
        <f aca="false">G62+H62</f>
        <v>1987.35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180</v>
      </c>
      <c r="C63" s="23" t="s">
        <v>27</v>
      </c>
      <c r="D63" s="24" t="n">
        <v>5579.6</v>
      </c>
      <c r="E63" s="24" t="n">
        <v>0</v>
      </c>
      <c r="F63" s="24" t="n">
        <v>0</v>
      </c>
      <c r="G63" s="24" t="n">
        <v>193.74</v>
      </c>
      <c r="H63" s="24" t="n">
        <v>185.99</v>
      </c>
      <c r="I63" s="24" t="n">
        <f aca="false">G63+H63</f>
        <v>379.73</v>
      </c>
      <c r="J63" s="24" t="n">
        <f aca="false">D63-I63</f>
        <v>5199.87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181</v>
      </c>
      <c r="C64" s="23" t="s">
        <v>29</v>
      </c>
      <c r="D64" s="24" t="n">
        <v>13320.23</v>
      </c>
      <c r="E64" s="24" t="n">
        <v>0</v>
      </c>
      <c r="F64" s="24" t="n">
        <v>10656.18</v>
      </c>
      <c r="G64" s="24" t="n">
        <v>11188.99</v>
      </c>
      <c r="H64" s="24" t="n">
        <v>852.5</v>
      </c>
      <c r="I64" s="24" t="n">
        <f aca="false">G64+H64</f>
        <v>12041.49</v>
      </c>
      <c r="J64" s="24" t="n">
        <f aca="false">D64-I64</f>
        <v>1278.74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182</v>
      </c>
      <c r="C65" s="23" t="s">
        <v>29</v>
      </c>
      <c r="D65" s="24" t="n">
        <v>37397.18</v>
      </c>
      <c r="E65" s="24" t="n">
        <v>0</v>
      </c>
      <c r="F65" s="24" t="n">
        <v>0</v>
      </c>
      <c r="G65" s="24" t="n">
        <v>882.99</v>
      </c>
      <c r="H65" s="24" t="n">
        <v>1246.57</v>
      </c>
      <c r="I65" s="24" t="n">
        <f aca="false">G65+H65</f>
        <v>2129.56</v>
      </c>
      <c r="J65" s="24" t="n">
        <f aca="false">D65-I65</f>
        <v>35267.62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332591.8</v>
      </c>
      <c r="E66" s="28" t="n">
        <f aca="false">SUM(E56:E65)</f>
        <v>0</v>
      </c>
      <c r="F66" s="28" t="n">
        <f aca="false">SUM(F56:F65)</f>
        <v>72550.37</v>
      </c>
      <c r="G66" s="28" t="n">
        <f aca="false">SUM(G56:G65)</f>
        <v>82653.44</v>
      </c>
      <c r="H66" s="28" t="n">
        <f aca="false">SUM(H56:H65)</f>
        <v>12910.78</v>
      </c>
      <c r="I66" s="28" t="n">
        <f aca="false">SUM(I56:I65)</f>
        <v>95564.22</v>
      </c>
      <c r="J66" s="28" t="n">
        <f aca="false">SUM(J56:J65)</f>
        <v>237027.58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32864.43</v>
      </c>
    </row>
    <row r="70" customFormat="false" ht="15" hidden="false" customHeight="false" outlineLevel="0" collapsed="false">
      <c r="B70" s="5" t="s">
        <v>415</v>
      </c>
      <c r="D70" s="6" t="n">
        <f aca="false">I66</f>
        <v>95564.22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-62699.79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398480.3</v>
      </c>
    </row>
    <row r="75" customFormat="false" ht="15" hidden="false" customHeight="false" outlineLevel="0" collapsed="false">
      <c r="B75" s="5" t="s">
        <v>446</v>
      </c>
      <c r="D75" s="6" t="n">
        <f aca="false">F111</f>
        <v>104655.32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0.262636120279974</v>
      </c>
    </row>
    <row r="77" customFormat="false" ht="15" hidden="false" customHeight="false" outlineLevel="0" collapsed="false">
      <c r="B77" s="5" t="s">
        <v>447</v>
      </c>
      <c r="D77" s="6" t="n">
        <f aca="false">H111</f>
        <v>293824.98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0.737363879720026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8394.17</v>
      </c>
      <c r="F84" s="33" t="n">
        <v>8394.17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32815.89</v>
      </c>
      <c r="F85" s="33" t="n">
        <v>32815.89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2648.72</v>
      </c>
      <c r="F86" s="33" t="n">
        <v>2648.72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381</v>
      </c>
      <c r="F87" s="33" t="n">
        <v>381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2858.97</v>
      </c>
      <c r="F89" s="33" t="n">
        <v>2858.97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16256.28</v>
      </c>
      <c r="H95" s="33" t="n">
        <v>16256.28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21691.78</v>
      </c>
      <c r="H96" s="33" t="n">
        <v>21691.78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31892.38</v>
      </c>
      <c r="H97" s="33" t="n">
        <v>31892.38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29436.62</v>
      </c>
      <c r="H98" s="33" t="n">
        <v>29436.62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27723.88</v>
      </c>
      <c r="H99" s="33" t="n">
        <v>27723.88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1864.29</v>
      </c>
      <c r="H100" s="33" t="n">
        <v>1864.29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21001.51</v>
      </c>
      <c r="H101" s="33" t="n">
        <v>21001.51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16292.68</v>
      </c>
      <c r="H102" s="33" t="n">
        <v>16292.68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12258.17</v>
      </c>
      <c r="H103" s="33" t="n">
        <v>12258.17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14614.91</v>
      </c>
      <c r="H104" s="33" t="n">
        <v>14614.91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38542.73</v>
      </c>
      <c r="H105" s="33" t="n">
        <v>38542.73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15289.77</v>
      </c>
      <c r="H106" s="33" t="n">
        <v>15289.77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37823.34</v>
      </c>
      <c r="H107" s="33" t="n">
        <v>37823.34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398480.3</v>
      </c>
      <c r="F111" s="34" t="n">
        <f aca="false">SUM(F82:F110)</f>
        <v>104655.32</v>
      </c>
      <c r="H111" s="34" t="n">
        <f aca="false">SUM(H82:H110)</f>
        <v>293824.98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0.262636120279974</v>
      </c>
      <c r="H112" s="31" t="n">
        <f aca="false">H111/D111</f>
        <v>0.737363879720026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2'!B21</f>
        <v>10-Building-Post Casualty Loss Basis-bldg2-5y</v>
      </c>
      <c r="D116" s="33" t="n">
        <f aca="false">SUM(F116:H116)</f>
        <v>16880.45</v>
      </c>
      <c r="F116" s="33" t="n">
        <f aca="false">'Building 2'!D21</f>
        <v>16880.45</v>
      </c>
    </row>
    <row r="117" customFormat="false" ht="15" hidden="false" customHeight="false" outlineLevel="0" collapsed="false">
      <c r="B117" s="5" t="str">
        <f aca="false">'Building 2'!B22</f>
        <v>10-Building-Post Casualty Loss Basis-bldg2-30</v>
      </c>
      <c r="D117" s="33" t="n">
        <f aca="false">SUM(F117:H117)</f>
        <v>47392.7</v>
      </c>
      <c r="H117" s="33" t="n">
        <f aca="false">'Building 2'!D22</f>
        <v>47392.7</v>
      </c>
    </row>
    <row r="118" customFormat="false" ht="15" hidden="false" customHeight="false" outlineLevel="0" collapsed="false">
      <c r="B118" s="5" t="str">
        <f aca="false">'Building 2'!B23</f>
        <v>12-New Buildings(16 units)-bldg2-5yr</v>
      </c>
      <c r="D118" s="33" t="n">
        <f aca="false">SUM(F118:H118)</f>
        <v>9053.51</v>
      </c>
      <c r="F118" s="33" t="n">
        <f aca="false">'Building 2'!D23</f>
        <v>9053.51</v>
      </c>
    </row>
    <row r="119" customFormat="false" ht="15" hidden="false" customHeight="false" outlineLevel="0" collapsed="false">
      <c r="B119" s="5" t="str">
        <f aca="false">'Building 2'!B24</f>
        <v>12-New Buildings(16 units)-bldg2-30yr</v>
      </c>
      <c r="D119" s="33" t="n">
        <f aca="false">SUM(F119:H119)</f>
        <v>25418.19</v>
      </c>
      <c r="H119" s="33" t="n">
        <f aca="false">'Building 2'!D24</f>
        <v>25418.19</v>
      </c>
    </row>
    <row r="120" customFormat="false" ht="15" hidden="false" customHeight="false" outlineLevel="0" collapsed="false">
      <c r="B120" s="5" t="str">
        <f aca="false">'Building 2'!B25</f>
        <v>14-New Buildings(105 units)-bldg2-5yr</v>
      </c>
      <c r="D120" s="33" t="n">
        <f aca="false">SUM(F120:H120)</f>
        <v>60681</v>
      </c>
      <c r="F120" s="33" t="n">
        <f aca="false">'Building 2'!D25</f>
        <v>60681</v>
      </c>
    </row>
    <row r="121" customFormat="false" ht="15" hidden="false" customHeight="false" outlineLevel="0" collapsed="false">
      <c r="B121" s="5" t="str">
        <f aca="false">'Building 2'!B26</f>
        <v>14-New Buildings(105 units)-bldg2-30yr</v>
      </c>
      <c r="D121" s="33" t="n">
        <f aca="false">SUM(F121:H121)</f>
        <v>170364.9</v>
      </c>
      <c r="H121" s="33" t="n">
        <f aca="false">'Building 2'!D26</f>
        <v>170364.9</v>
      </c>
    </row>
    <row r="122" customFormat="false" ht="15" hidden="false" customHeight="false" outlineLevel="0" collapsed="false">
      <c r="B122" s="5" t="str">
        <f aca="false">'Building 2'!B27</f>
        <v>11-Building Imp-Post-Casulty Loss Basis-bldg2</v>
      </c>
      <c r="D122" s="33" t="n">
        <f aca="false">SUM(F122:H122)</f>
        <v>424.25</v>
      </c>
      <c r="F122" s="33" t="n">
        <f aca="false">'Building 2'!D27</f>
        <v>424.25</v>
      </c>
    </row>
    <row r="123" customFormat="false" ht="15" hidden="false" customHeight="false" outlineLevel="0" collapsed="false">
      <c r="B123" s="5" t="str">
        <f aca="false">'Building 2'!B28</f>
        <v>11-Building Imp-Post-Casulty Loss Basis-bldg2</v>
      </c>
      <c r="D123" s="33" t="n">
        <f aca="false">SUM(F123:H123)</f>
        <v>1191.1</v>
      </c>
      <c r="H123" s="33" t="n">
        <f aca="false">'Building 2'!D28</f>
        <v>1191.1</v>
      </c>
    </row>
    <row r="124" customFormat="false" ht="15" hidden="false" customHeight="false" outlineLevel="0" collapsed="false">
      <c r="B124" s="5" t="str">
        <f aca="false">'Building 2'!B29</f>
        <v>2-Land Improvements-bldg2-5yr</v>
      </c>
      <c r="D124" s="33" t="n">
        <f aca="false">SUM(F124:H124)</f>
        <v>2308.53</v>
      </c>
      <c r="F124" s="33" t="n">
        <f aca="false">'Building 2'!D29</f>
        <v>2308.53</v>
      </c>
    </row>
    <row r="125" customFormat="false" ht="15" hidden="false" customHeight="false" outlineLevel="0" collapsed="false">
      <c r="B125" s="5" t="str">
        <f aca="false">'Building 2'!B30</f>
        <v>2-Land Improvements-bldg2-30yr</v>
      </c>
      <c r="D125" s="33" t="n">
        <f aca="false">SUM(F125:H125)</f>
        <v>6481.31</v>
      </c>
      <c r="H125" s="33" t="n">
        <f aca="false">'Building 2'!D30</f>
        <v>6481.31</v>
      </c>
    </row>
    <row r="126" customFormat="false" ht="15" hidden="false" customHeight="false" outlineLevel="0" collapsed="false">
      <c r="B126" s="5" t="str">
        <f aca="false">'Building 2'!B31</f>
        <v>13-New Equipment(16 units)-bldg2-5yr</v>
      </c>
      <c r="D126" s="33" t="n">
        <f aca="false">SUM(F126:H126)</f>
        <v>1987.35</v>
      </c>
      <c r="F126" s="33" t="n">
        <f aca="false">'Building 2'!D31</f>
        <v>1987.35</v>
      </c>
    </row>
    <row r="127" customFormat="false" ht="15" hidden="false" customHeight="false" outlineLevel="0" collapsed="false">
      <c r="B127" s="5" t="str">
        <f aca="false">'Building 2'!B32</f>
        <v>13-New Equipment(16 units)-bldg2-30yr</v>
      </c>
      <c r="D127" s="33" t="n">
        <f aca="false">SUM(F127:H127)</f>
        <v>5579.6</v>
      </c>
      <c r="H127" s="33" t="n">
        <f aca="false">'Building 2'!D32</f>
        <v>5579.6</v>
      </c>
    </row>
    <row r="128" customFormat="false" ht="15" hidden="false" customHeight="false" outlineLevel="0" collapsed="false">
      <c r="B128" s="5" t="str">
        <f aca="false">'Building 2'!B33</f>
        <v>15-New Equipment(105 units)-bldg2-5yr</v>
      </c>
      <c r="D128" s="33" t="n">
        <f aca="false">SUM(F128:H128)</f>
        <v>13320.23</v>
      </c>
      <c r="F128" s="33" t="n">
        <f aca="false">'Building 2'!D33</f>
        <v>13320.23</v>
      </c>
    </row>
    <row r="129" customFormat="false" ht="15" hidden="false" customHeight="false" outlineLevel="0" collapsed="false">
      <c r="B129" s="5" t="str">
        <f aca="false">'Building 2'!B34</f>
        <v>15-New Equipment(105 units)-bldg2-30yr</v>
      </c>
      <c r="D129" s="33" t="n">
        <f aca="false">SUM(F129:H129)</f>
        <v>37397.18</v>
      </c>
      <c r="H129" s="33" t="n">
        <f aca="false">'Building 2'!D34</f>
        <v>37397.18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398480.3</v>
      </c>
      <c r="F130" s="34" t="n">
        <f aca="false">SUM(F116:F129)</f>
        <v>104655.32</v>
      </c>
      <c r="H130" s="34" t="n">
        <f aca="false">SUM(H116:H129)</f>
        <v>293824.98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479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49</v>
      </c>
      <c r="C10" s="23" t="s">
        <v>25</v>
      </c>
      <c r="D10" s="24" t="n">
        <v>64275.31</v>
      </c>
      <c r="E10" s="24" t="n">
        <v>0</v>
      </c>
      <c r="F10" s="24" t="n">
        <v>0</v>
      </c>
      <c r="G10" s="24" t="n">
        <v>6638.03</v>
      </c>
      <c r="H10" s="24" t="n">
        <v>2340.59</v>
      </c>
      <c r="I10" s="24" t="n">
        <f aca="false">G10+H10</f>
        <v>8978.62</v>
      </c>
      <c r="J10" s="24" t="n">
        <f aca="false">D10-I10</f>
        <v>55296.69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50</v>
      </c>
      <c r="C11" s="23" t="s">
        <v>27</v>
      </c>
      <c r="D11" s="24" t="n">
        <v>34472.86</v>
      </c>
      <c r="E11" s="24" t="n">
        <v>0</v>
      </c>
      <c r="F11" s="24" t="n">
        <v>0</v>
      </c>
      <c r="G11" s="24" t="n">
        <v>1197</v>
      </c>
      <c r="H11" s="24" t="n">
        <v>1149.09</v>
      </c>
      <c r="I11" s="24" t="n">
        <f aca="false">G11+H11</f>
        <v>2346.09</v>
      </c>
      <c r="J11" s="24" t="n">
        <f aca="false">D11-I11</f>
        <v>32126.77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51</v>
      </c>
      <c r="C12" s="23" t="s">
        <v>29</v>
      </c>
      <c r="D12" s="24" t="n">
        <v>231053.67</v>
      </c>
      <c r="E12" s="24" t="n">
        <v>0</v>
      </c>
      <c r="F12" s="24" t="n">
        <v>0</v>
      </c>
      <c r="G12" s="24" t="n">
        <v>5455.43</v>
      </c>
      <c r="H12" s="24" t="n">
        <v>7701.8</v>
      </c>
      <c r="I12" s="24" t="n">
        <f aca="false">G12+H12</f>
        <v>13157.23</v>
      </c>
      <c r="J12" s="24" t="n">
        <f aca="false">D12-I12</f>
        <v>217896.44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1615.41</v>
      </c>
      <c r="E13" s="24" t="n">
        <v>0</v>
      </c>
      <c r="F13" s="24" t="n">
        <v>0</v>
      </c>
      <c r="G13" s="24" t="n">
        <v>121.63</v>
      </c>
      <c r="H13" s="24" t="n">
        <v>55.93</v>
      </c>
      <c r="I13" s="24" t="n">
        <f aca="false">G13+H13</f>
        <v>177.56</v>
      </c>
      <c r="J13" s="24" t="n">
        <f aca="false">D13-I13</f>
        <v>1437.85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52</v>
      </c>
      <c r="C14" s="23" t="s">
        <v>25</v>
      </c>
      <c r="D14" s="24" t="n">
        <v>8790.13</v>
      </c>
      <c r="E14" s="24" t="n">
        <v>0</v>
      </c>
      <c r="F14" s="24" t="n">
        <v>2255.21</v>
      </c>
      <c r="G14" s="24" t="n">
        <v>2255.21</v>
      </c>
      <c r="H14" s="24" t="n">
        <v>676.02</v>
      </c>
      <c r="I14" s="24" t="n">
        <f aca="false">G14+H14</f>
        <v>2931.23</v>
      </c>
      <c r="J14" s="24" t="n">
        <f aca="false">D14-I14</f>
        <v>5858.9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53</v>
      </c>
      <c r="C15" s="23" t="s">
        <v>27</v>
      </c>
      <c r="D15" s="24" t="n">
        <v>7567.2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7567.2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54</v>
      </c>
      <c r="C16" s="23" t="s">
        <v>29</v>
      </c>
      <c r="D16" s="24" t="n">
        <v>50719.12</v>
      </c>
      <c r="E16" s="24" t="n">
        <v>0</v>
      </c>
      <c r="F16" s="24" t="n">
        <v>0</v>
      </c>
      <c r="G16" s="24" t="n">
        <v>2028.76</v>
      </c>
      <c r="H16" s="24" t="n">
        <v>3246.03</v>
      </c>
      <c r="I16" s="24" t="n">
        <f aca="false">G16+H16</f>
        <v>5274.79</v>
      </c>
      <c r="J16" s="24" t="n">
        <f aca="false">D16-I16</f>
        <v>45444.33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398493.7</v>
      </c>
      <c r="E17" s="28" t="n">
        <f aca="false">SUM(E10:E16)</f>
        <v>0</v>
      </c>
      <c r="F17" s="28" t="n">
        <f aca="false">SUM(F10:F16)</f>
        <v>2255.21</v>
      </c>
      <c r="G17" s="28" t="n">
        <f aca="false">SUM(G10:G16)</f>
        <v>17696.06</v>
      </c>
      <c r="H17" s="28" t="n">
        <f aca="false">SUM(H10:H16)</f>
        <v>15169.46</v>
      </c>
      <c r="I17" s="28" t="n">
        <f aca="false">SUM(I10:I16)</f>
        <v>32865.52</v>
      </c>
      <c r="J17" s="28" t="n">
        <f aca="false">SUM(J10:J16)</f>
        <v>365628.18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183</v>
      </c>
      <c r="C21" s="23" t="s">
        <v>25</v>
      </c>
      <c r="D21" s="24" t="n">
        <v>16882.61</v>
      </c>
      <c r="E21" s="24" t="n">
        <v>0</v>
      </c>
      <c r="F21" s="24" t="n">
        <v>16882.61</v>
      </c>
      <c r="G21" s="24" t="n">
        <v>16882.61</v>
      </c>
      <c r="H21" s="24" t="n">
        <v>0</v>
      </c>
      <c r="I21" s="24" t="n">
        <f aca="false">G21+H21</f>
        <v>16882.61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184</v>
      </c>
      <c r="C22" s="23" t="s">
        <v>25</v>
      </c>
      <c r="D22" s="24" t="n">
        <v>47392.7</v>
      </c>
      <c r="E22" s="24" t="n">
        <v>0</v>
      </c>
      <c r="F22" s="24" t="n">
        <v>0</v>
      </c>
      <c r="G22" s="24" t="n">
        <v>8491.21</v>
      </c>
      <c r="H22" s="24" t="n">
        <v>1579.76</v>
      </c>
      <c r="I22" s="24" t="n">
        <f aca="false">G22+H22</f>
        <v>10070.97</v>
      </c>
      <c r="J22" s="24" t="n">
        <f aca="false">D22-I22</f>
        <v>37321.73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185</v>
      </c>
      <c r="C23" s="23" t="s">
        <v>27</v>
      </c>
      <c r="D23" s="24" t="n">
        <v>9054.67</v>
      </c>
      <c r="E23" s="24" t="n">
        <v>0</v>
      </c>
      <c r="F23" s="24" t="n">
        <v>9054.67</v>
      </c>
      <c r="G23" s="24" t="n">
        <v>9054.67</v>
      </c>
      <c r="H23" s="24" t="n">
        <v>0</v>
      </c>
      <c r="I23" s="24" t="n">
        <f aca="false">G23+H23</f>
        <v>9054.67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186</v>
      </c>
      <c r="C24" s="23" t="s">
        <v>27</v>
      </c>
      <c r="D24" s="24" t="n">
        <v>25418.19</v>
      </c>
      <c r="E24" s="24" t="n">
        <v>0</v>
      </c>
      <c r="F24" s="24" t="n">
        <v>0</v>
      </c>
      <c r="G24" s="24" t="n">
        <v>882.57</v>
      </c>
      <c r="H24" s="24" t="n">
        <v>847.27</v>
      </c>
      <c r="I24" s="24" t="n">
        <f aca="false">G24+H24</f>
        <v>1729.84</v>
      </c>
      <c r="J24" s="24" t="n">
        <f aca="false">D24-I24</f>
        <v>23688.35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187</v>
      </c>
      <c r="C25" s="23" t="s">
        <v>29</v>
      </c>
      <c r="D25" s="24" t="n">
        <v>60688.77</v>
      </c>
      <c r="E25" s="24" t="n">
        <v>0</v>
      </c>
      <c r="F25" s="24" t="n">
        <v>48551.02</v>
      </c>
      <c r="G25" s="24" t="n">
        <v>50978.57</v>
      </c>
      <c r="H25" s="24" t="n">
        <v>3884.08</v>
      </c>
      <c r="I25" s="24" t="n">
        <f aca="false">G25+H25</f>
        <v>54862.65</v>
      </c>
      <c r="J25" s="24" t="n">
        <f aca="false">D25-I25</f>
        <v>5826.12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188</v>
      </c>
      <c r="C26" s="23" t="s">
        <v>29</v>
      </c>
      <c r="D26" s="24" t="n">
        <v>170364.9</v>
      </c>
      <c r="E26" s="24" t="n">
        <v>0</v>
      </c>
      <c r="F26" s="24" t="n">
        <v>0</v>
      </c>
      <c r="G26" s="24" t="n">
        <v>4022.5</v>
      </c>
      <c r="H26" s="24" t="n">
        <v>5678.83</v>
      </c>
      <c r="I26" s="24" t="n">
        <f aca="false">G26+H26</f>
        <v>9701.33</v>
      </c>
      <c r="J26" s="24" t="n">
        <f aca="false">D26-I26</f>
        <v>160663.57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189</v>
      </c>
      <c r="C27" s="23" t="s">
        <v>31</v>
      </c>
      <c r="D27" s="24" t="n">
        <v>424.31</v>
      </c>
      <c r="E27" s="24" t="n">
        <v>0</v>
      </c>
      <c r="F27" s="24" t="n">
        <v>424.31</v>
      </c>
      <c r="G27" s="24" t="n">
        <v>424.31</v>
      </c>
      <c r="H27" s="24" t="n">
        <v>0</v>
      </c>
      <c r="I27" s="24" t="n">
        <f aca="false">G27+H27</f>
        <v>424.31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189</v>
      </c>
      <c r="C28" s="23" t="s">
        <v>31</v>
      </c>
      <c r="D28" s="24" t="n">
        <v>1191.1</v>
      </c>
      <c r="E28" s="24" t="n">
        <v>0</v>
      </c>
      <c r="F28" s="24" t="n">
        <v>0</v>
      </c>
      <c r="G28" s="24" t="n">
        <v>130.68</v>
      </c>
      <c r="H28" s="24" t="n">
        <v>39.7</v>
      </c>
      <c r="I28" s="24" t="n">
        <f aca="false">G28+H28</f>
        <v>170.38</v>
      </c>
      <c r="J28" s="24" t="n">
        <f aca="false">D28-I28</f>
        <v>1020.72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190</v>
      </c>
      <c r="C29" s="23" t="s">
        <v>25</v>
      </c>
      <c r="D29" s="24" t="n">
        <v>2308.82</v>
      </c>
      <c r="E29" s="24" t="n">
        <v>0</v>
      </c>
      <c r="F29" s="24" t="n">
        <v>2308.82</v>
      </c>
      <c r="G29" s="24" t="n">
        <v>2308.82</v>
      </c>
      <c r="H29" s="24" t="n">
        <v>0</v>
      </c>
      <c r="I29" s="24" t="n">
        <f aca="false">G29+H29</f>
        <v>2308.82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191</v>
      </c>
      <c r="C30" s="23" t="s">
        <v>25</v>
      </c>
      <c r="D30" s="24" t="n">
        <v>6481.31</v>
      </c>
      <c r="E30" s="24" t="n">
        <v>0</v>
      </c>
      <c r="F30" s="24" t="n">
        <v>0</v>
      </c>
      <c r="G30" s="24" t="n">
        <v>1161.22</v>
      </c>
      <c r="H30" s="24" t="n">
        <v>216.04</v>
      </c>
      <c r="I30" s="24" t="n">
        <f aca="false">G30+H30</f>
        <v>1377.26</v>
      </c>
      <c r="J30" s="24" t="n">
        <f aca="false">D30-I30</f>
        <v>5104.05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192</v>
      </c>
      <c r="C31" s="23" t="s">
        <v>27</v>
      </c>
      <c r="D31" s="24" t="n">
        <v>1987.61</v>
      </c>
      <c r="E31" s="24" t="n">
        <v>0</v>
      </c>
      <c r="F31" s="24" t="n">
        <v>1987.61</v>
      </c>
      <c r="G31" s="24" t="n">
        <v>1987.61</v>
      </c>
      <c r="H31" s="24" t="n">
        <v>0</v>
      </c>
      <c r="I31" s="24" t="n">
        <f aca="false">G31+H31</f>
        <v>1987.61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193</v>
      </c>
      <c r="C32" s="23" t="s">
        <v>27</v>
      </c>
      <c r="D32" s="24" t="n">
        <v>5579.59</v>
      </c>
      <c r="E32" s="24" t="n">
        <v>0</v>
      </c>
      <c r="F32" s="24" t="n">
        <v>0</v>
      </c>
      <c r="G32" s="24" t="n">
        <v>193.74</v>
      </c>
      <c r="H32" s="24" t="n">
        <v>185.99</v>
      </c>
      <c r="I32" s="24" t="n">
        <f aca="false">G32+H32</f>
        <v>379.73</v>
      </c>
      <c r="J32" s="24" t="n">
        <f aca="false">D32-I32</f>
        <v>5199.86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194</v>
      </c>
      <c r="C33" s="23" t="s">
        <v>29</v>
      </c>
      <c r="D33" s="24" t="n">
        <v>13321.93</v>
      </c>
      <c r="E33" s="24" t="n">
        <v>0</v>
      </c>
      <c r="F33" s="24" t="n">
        <v>10657.54</v>
      </c>
      <c r="G33" s="24" t="n">
        <v>11190.42</v>
      </c>
      <c r="H33" s="24" t="n">
        <v>852.6</v>
      </c>
      <c r="I33" s="24" t="n">
        <f aca="false">G33+H33</f>
        <v>12043.02</v>
      </c>
      <c r="J33" s="24" t="n">
        <f aca="false">D33-I33</f>
        <v>1278.91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195</v>
      </c>
      <c r="C34" s="23" t="s">
        <v>29</v>
      </c>
      <c r="D34" s="24" t="n">
        <v>37397.19</v>
      </c>
      <c r="E34" s="24" t="n">
        <v>0</v>
      </c>
      <c r="F34" s="24" t="n">
        <v>0</v>
      </c>
      <c r="G34" s="24" t="n">
        <v>882.99</v>
      </c>
      <c r="H34" s="24" t="n">
        <v>1246.57</v>
      </c>
      <c r="I34" s="24" t="n">
        <f aca="false">G34+H34</f>
        <v>2129.56</v>
      </c>
      <c r="J34" s="24" t="n">
        <f aca="false">D34-I34</f>
        <v>35267.63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398493.7</v>
      </c>
      <c r="E35" s="28" t="n">
        <f aca="false">SUM(E21:E34)</f>
        <v>0</v>
      </c>
      <c r="F35" s="28" t="n">
        <f aca="false">SUM(F21:F34)</f>
        <v>89866.58</v>
      </c>
      <c r="G35" s="28" t="n">
        <f aca="false">SUM(G21:G34)</f>
        <v>108591.92</v>
      </c>
      <c r="H35" s="28" t="n">
        <f aca="false">SUM(H21:H34)</f>
        <v>14530.84</v>
      </c>
      <c r="I35" s="28" t="n">
        <f aca="false">SUM(I21:I34)</f>
        <v>123122.76</v>
      </c>
      <c r="J35" s="28" t="n">
        <f aca="false">SUM(J21:J34)</f>
        <v>275370.94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32865.52</v>
      </c>
    </row>
    <row r="39" customFormat="false" ht="15" hidden="false" customHeight="false" outlineLevel="0" collapsed="false">
      <c r="B39" s="5" t="s">
        <v>415</v>
      </c>
      <c r="D39" s="6" t="n">
        <f aca="false">I35</f>
        <v>123122.76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-90257.24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49</v>
      </c>
      <c r="C45" s="23" t="s">
        <v>25</v>
      </c>
      <c r="D45" s="24" t="n">
        <v>64275.31</v>
      </c>
      <c r="E45" s="24" t="n">
        <v>0</v>
      </c>
      <c r="F45" s="24" t="n">
        <v>0</v>
      </c>
      <c r="G45" s="24" t="n">
        <v>6638.03</v>
      </c>
      <c r="H45" s="24" t="n">
        <v>2340.59</v>
      </c>
      <c r="I45" s="24" t="n">
        <f aca="false">G45+H45</f>
        <v>8978.62</v>
      </c>
      <c r="J45" s="24" t="n">
        <f aca="false">D45-I45</f>
        <v>55296.69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50</v>
      </c>
      <c r="C46" s="23" t="s">
        <v>27</v>
      </c>
      <c r="D46" s="24" t="n">
        <v>34472.86</v>
      </c>
      <c r="E46" s="24" t="n">
        <v>0</v>
      </c>
      <c r="F46" s="24" t="n">
        <v>0</v>
      </c>
      <c r="G46" s="24" t="n">
        <v>1197</v>
      </c>
      <c r="H46" s="24" t="n">
        <v>1149.09</v>
      </c>
      <c r="I46" s="24" t="n">
        <f aca="false">G46+H46</f>
        <v>2346.09</v>
      </c>
      <c r="J46" s="24" t="n">
        <f aca="false">D46-I46</f>
        <v>32126.77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51</v>
      </c>
      <c r="C47" s="23" t="s">
        <v>29</v>
      </c>
      <c r="D47" s="24" t="n">
        <v>231053.67</v>
      </c>
      <c r="E47" s="24" t="n">
        <v>0</v>
      </c>
      <c r="F47" s="24" t="n">
        <v>0</v>
      </c>
      <c r="G47" s="24" t="n">
        <v>5455.43</v>
      </c>
      <c r="H47" s="24" t="n">
        <v>7701.8</v>
      </c>
      <c r="I47" s="24" t="n">
        <f aca="false">G47+H47</f>
        <v>13157.23</v>
      </c>
      <c r="J47" s="24" t="n">
        <f aca="false">D47-I47</f>
        <v>217896.44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1615.41</v>
      </c>
      <c r="E48" s="24" t="n">
        <v>0</v>
      </c>
      <c r="F48" s="24" t="n">
        <v>0</v>
      </c>
      <c r="G48" s="24" t="n">
        <v>121.63</v>
      </c>
      <c r="H48" s="24" t="n">
        <v>55.93</v>
      </c>
      <c r="I48" s="24" t="n">
        <f aca="false">G48+H48</f>
        <v>177.56</v>
      </c>
      <c r="J48" s="24" t="n">
        <f aca="false">D48-I48</f>
        <v>1437.85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52</v>
      </c>
      <c r="C49" s="23" t="s">
        <v>25</v>
      </c>
      <c r="D49" s="24" t="n">
        <v>8790.13</v>
      </c>
      <c r="E49" s="24" t="n">
        <v>0</v>
      </c>
      <c r="F49" s="24" t="n">
        <v>2255.21</v>
      </c>
      <c r="G49" s="24" t="n">
        <v>2255.21</v>
      </c>
      <c r="H49" s="24" t="n">
        <v>676.02</v>
      </c>
      <c r="I49" s="24" t="n">
        <f aca="false">G49+H49</f>
        <v>2931.23</v>
      </c>
      <c r="J49" s="24" t="n">
        <f aca="false">D49-I49</f>
        <v>5858.9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53</v>
      </c>
      <c r="C50" s="23" t="s">
        <v>27</v>
      </c>
      <c r="D50" s="24" t="n">
        <v>7567.2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7567.2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54</v>
      </c>
      <c r="C51" s="23" t="s">
        <v>29</v>
      </c>
      <c r="D51" s="24" t="n">
        <v>50719.12</v>
      </c>
      <c r="E51" s="24" t="n">
        <v>0</v>
      </c>
      <c r="F51" s="24" t="n">
        <v>0</v>
      </c>
      <c r="G51" s="24" t="n">
        <v>2028.76</v>
      </c>
      <c r="H51" s="24" t="n">
        <v>3246.03</v>
      </c>
      <c r="I51" s="24" t="n">
        <f aca="false">G51+H51</f>
        <v>5274.79</v>
      </c>
      <c r="J51" s="24" t="n">
        <f aca="false">D51-I51</f>
        <v>45444.33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398493.7</v>
      </c>
      <c r="E52" s="28" t="n">
        <f aca="false">SUM(E45:E51)</f>
        <v>0</v>
      </c>
      <c r="F52" s="28" t="n">
        <f aca="false">SUM(F45:F51)</f>
        <v>2255.21</v>
      </c>
      <c r="G52" s="28" t="n">
        <f aca="false">SUM(G45:G51)</f>
        <v>17696.06</v>
      </c>
      <c r="H52" s="28" t="n">
        <f aca="false">SUM(H45:H51)</f>
        <v>15169.46</v>
      </c>
      <c r="I52" s="28" t="n">
        <f aca="false">SUM(I45:I51)</f>
        <v>32865.52</v>
      </c>
      <c r="J52" s="28" t="n">
        <f aca="false">SUM(J45:J51)</f>
        <v>365628.18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185</v>
      </c>
      <c r="C56" s="23" t="s">
        <v>27</v>
      </c>
      <c r="D56" s="24" t="n">
        <v>9054.67</v>
      </c>
      <c r="E56" s="24" t="n">
        <v>0</v>
      </c>
      <c r="F56" s="24" t="n">
        <v>9054.67</v>
      </c>
      <c r="G56" s="24" t="n">
        <v>9054.67</v>
      </c>
      <c r="H56" s="24" t="n">
        <v>0</v>
      </c>
      <c r="I56" s="24" t="n">
        <f aca="false">G56+H56</f>
        <v>9054.67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186</v>
      </c>
      <c r="C57" s="23" t="s">
        <v>27</v>
      </c>
      <c r="D57" s="24" t="n">
        <v>25418.19</v>
      </c>
      <c r="E57" s="24" t="n">
        <v>0</v>
      </c>
      <c r="F57" s="24" t="n">
        <v>0</v>
      </c>
      <c r="G57" s="24" t="n">
        <v>882.57</v>
      </c>
      <c r="H57" s="24" t="n">
        <v>847.27</v>
      </c>
      <c r="I57" s="24" t="n">
        <f aca="false">G57+H57</f>
        <v>1729.84</v>
      </c>
      <c r="J57" s="24" t="n">
        <f aca="false">D57-I57</f>
        <v>23688.35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187</v>
      </c>
      <c r="C58" s="23" t="s">
        <v>29</v>
      </c>
      <c r="D58" s="24" t="n">
        <v>60688.77</v>
      </c>
      <c r="E58" s="24" t="n">
        <v>0</v>
      </c>
      <c r="F58" s="24" t="n">
        <v>48551.02</v>
      </c>
      <c r="G58" s="24" t="n">
        <v>50978.57</v>
      </c>
      <c r="H58" s="24" t="n">
        <v>3884.08</v>
      </c>
      <c r="I58" s="24" t="n">
        <f aca="false">G58+H58</f>
        <v>54862.65</v>
      </c>
      <c r="J58" s="24" t="n">
        <f aca="false">D58-I58</f>
        <v>5826.12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188</v>
      </c>
      <c r="C59" s="23" t="s">
        <v>29</v>
      </c>
      <c r="D59" s="24" t="n">
        <v>170364.9</v>
      </c>
      <c r="E59" s="24" t="n">
        <v>0</v>
      </c>
      <c r="F59" s="24" t="n">
        <v>0</v>
      </c>
      <c r="G59" s="24" t="n">
        <v>4022.5</v>
      </c>
      <c r="H59" s="24" t="n">
        <v>5678.83</v>
      </c>
      <c r="I59" s="24" t="n">
        <f aca="false">G59+H59</f>
        <v>9701.33</v>
      </c>
      <c r="J59" s="24" t="n">
        <f aca="false">D59-I59</f>
        <v>160663.57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190</v>
      </c>
      <c r="C60" s="23" t="s">
        <v>25</v>
      </c>
      <c r="D60" s="24" t="n">
        <v>2308.82</v>
      </c>
      <c r="E60" s="24" t="n">
        <v>0</v>
      </c>
      <c r="F60" s="24" t="n">
        <v>2308.82</v>
      </c>
      <c r="G60" s="24" t="n">
        <v>2308.82</v>
      </c>
      <c r="H60" s="24" t="n">
        <v>0</v>
      </c>
      <c r="I60" s="24" t="n">
        <f aca="false">G60+H60</f>
        <v>2308.82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191</v>
      </c>
      <c r="C61" s="23" t="s">
        <v>25</v>
      </c>
      <c r="D61" s="24" t="n">
        <v>6481.31</v>
      </c>
      <c r="E61" s="24" t="n">
        <v>0</v>
      </c>
      <c r="F61" s="24" t="n">
        <v>0</v>
      </c>
      <c r="G61" s="24" t="n">
        <v>1161.22</v>
      </c>
      <c r="H61" s="24" t="n">
        <v>216.04</v>
      </c>
      <c r="I61" s="24" t="n">
        <f aca="false">G61+H61</f>
        <v>1377.26</v>
      </c>
      <c r="J61" s="24" t="n">
        <f aca="false">D61-I61</f>
        <v>5104.05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192</v>
      </c>
      <c r="C62" s="23" t="s">
        <v>27</v>
      </c>
      <c r="D62" s="24" t="n">
        <v>1987.61</v>
      </c>
      <c r="E62" s="24" t="n">
        <v>0</v>
      </c>
      <c r="F62" s="24" t="n">
        <v>1987.61</v>
      </c>
      <c r="G62" s="24" t="n">
        <v>1987.61</v>
      </c>
      <c r="H62" s="24" t="n">
        <v>0</v>
      </c>
      <c r="I62" s="24" t="n">
        <f aca="false">G62+H62</f>
        <v>1987.61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193</v>
      </c>
      <c r="C63" s="23" t="s">
        <v>27</v>
      </c>
      <c r="D63" s="24" t="n">
        <v>5579.59</v>
      </c>
      <c r="E63" s="24" t="n">
        <v>0</v>
      </c>
      <c r="F63" s="24" t="n">
        <v>0</v>
      </c>
      <c r="G63" s="24" t="n">
        <v>193.74</v>
      </c>
      <c r="H63" s="24" t="n">
        <v>185.99</v>
      </c>
      <c r="I63" s="24" t="n">
        <f aca="false">G63+H63</f>
        <v>379.73</v>
      </c>
      <c r="J63" s="24" t="n">
        <f aca="false">D63-I63</f>
        <v>5199.86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194</v>
      </c>
      <c r="C64" s="23" t="s">
        <v>29</v>
      </c>
      <c r="D64" s="24" t="n">
        <v>13321.93</v>
      </c>
      <c r="E64" s="24" t="n">
        <v>0</v>
      </c>
      <c r="F64" s="24" t="n">
        <v>10657.54</v>
      </c>
      <c r="G64" s="24" t="n">
        <v>11190.42</v>
      </c>
      <c r="H64" s="24" t="n">
        <v>852.6</v>
      </c>
      <c r="I64" s="24" t="n">
        <f aca="false">G64+H64</f>
        <v>12043.02</v>
      </c>
      <c r="J64" s="24" t="n">
        <f aca="false">D64-I64</f>
        <v>1278.91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195</v>
      </c>
      <c r="C65" s="23" t="s">
        <v>29</v>
      </c>
      <c r="D65" s="24" t="n">
        <v>37397.19</v>
      </c>
      <c r="E65" s="24" t="n">
        <v>0</v>
      </c>
      <c r="F65" s="24" t="n">
        <v>0</v>
      </c>
      <c r="G65" s="24" t="n">
        <v>882.99</v>
      </c>
      <c r="H65" s="24" t="n">
        <v>1246.57</v>
      </c>
      <c r="I65" s="24" t="n">
        <f aca="false">G65+H65</f>
        <v>2129.56</v>
      </c>
      <c r="J65" s="24" t="n">
        <f aca="false">D65-I65</f>
        <v>35267.63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332602.98</v>
      </c>
      <c r="E66" s="28" t="n">
        <f aca="false">SUM(E56:E65)</f>
        <v>0</v>
      </c>
      <c r="F66" s="28" t="n">
        <f aca="false">SUM(F56:F65)</f>
        <v>72559.66</v>
      </c>
      <c r="G66" s="28" t="n">
        <f aca="false">SUM(G56:G65)</f>
        <v>82663.11</v>
      </c>
      <c r="H66" s="28" t="n">
        <f aca="false">SUM(H56:H65)</f>
        <v>12911.38</v>
      </c>
      <c r="I66" s="28" t="n">
        <f aca="false">SUM(I56:I65)</f>
        <v>95574.49</v>
      </c>
      <c r="J66" s="28" t="n">
        <f aca="false">SUM(J56:J65)</f>
        <v>237028.49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32865.52</v>
      </c>
    </row>
    <row r="70" customFormat="false" ht="15" hidden="false" customHeight="false" outlineLevel="0" collapsed="false">
      <c r="B70" s="5" t="s">
        <v>415</v>
      </c>
      <c r="D70" s="6" t="n">
        <f aca="false">I66</f>
        <v>95574.49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-62708.97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398493.7</v>
      </c>
    </row>
    <row r="75" customFormat="false" ht="15" hidden="false" customHeight="false" outlineLevel="0" collapsed="false">
      <c r="B75" s="5" t="s">
        <v>446</v>
      </c>
      <c r="D75" s="6" t="n">
        <f aca="false">F111</f>
        <v>104668.72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0.262660915341949</v>
      </c>
    </row>
    <row r="77" customFormat="false" ht="15" hidden="false" customHeight="false" outlineLevel="0" collapsed="false">
      <c r="B77" s="5" t="s">
        <v>447</v>
      </c>
      <c r="D77" s="6" t="n">
        <f aca="false">H111</f>
        <v>293824.98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0.737339084658051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8394.17</v>
      </c>
      <c r="F84" s="33" t="n">
        <v>8394.17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32815.89</v>
      </c>
      <c r="F85" s="33" t="n">
        <v>32815.89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2648.72</v>
      </c>
      <c r="F86" s="33" t="n">
        <v>2648.72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394.4</v>
      </c>
      <c r="F87" s="33" t="n">
        <v>394.4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2858.97</v>
      </c>
      <c r="F89" s="33" t="n">
        <v>2858.97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16256.27</v>
      </c>
      <c r="H95" s="33" t="n">
        <v>16256.27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21691.78</v>
      </c>
      <c r="H96" s="33" t="n">
        <v>21691.78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31892.38</v>
      </c>
      <c r="H97" s="33" t="n">
        <v>31892.38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29436.62</v>
      </c>
      <c r="H98" s="33" t="n">
        <v>29436.62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27723.88</v>
      </c>
      <c r="H99" s="33" t="n">
        <v>27723.88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1864.29</v>
      </c>
      <c r="H100" s="33" t="n">
        <v>1864.29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21001.52</v>
      </c>
      <c r="H101" s="33" t="n">
        <v>21001.52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16292.68</v>
      </c>
      <c r="H102" s="33" t="n">
        <v>16292.68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12258.17</v>
      </c>
      <c r="H103" s="33" t="n">
        <v>12258.17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14614.91</v>
      </c>
      <c r="H104" s="33" t="n">
        <v>14614.91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38542.73</v>
      </c>
      <c r="H105" s="33" t="n">
        <v>38542.73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15289.77</v>
      </c>
      <c r="H106" s="33" t="n">
        <v>15289.77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37823.34</v>
      </c>
      <c r="H107" s="33" t="n">
        <v>37823.34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398493.7</v>
      </c>
      <c r="F111" s="34" t="n">
        <f aca="false">SUM(F82:F110)</f>
        <v>104668.72</v>
      </c>
      <c r="H111" s="34" t="n">
        <f aca="false">SUM(H82:H110)</f>
        <v>293824.98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0.262660915341949</v>
      </c>
      <c r="H112" s="31" t="n">
        <f aca="false">H111/D111</f>
        <v>0.737339084658051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3'!B21</f>
        <v>10-Building-Post Casualty Loss Basis-bldg3-5y</v>
      </c>
      <c r="D116" s="33" t="n">
        <f aca="false">SUM(F116:H116)</f>
        <v>16882.61</v>
      </c>
      <c r="F116" s="33" t="n">
        <f aca="false">'Building 3'!D21</f>
        <v>16882.61</v>
      </c>
    </row>
    <row r="117" customFormat="false" ht="15" hidden="false" customHeight="false" outlineLevel="0" collapsed="false">
      <c r="B117" s="5" t="str">
        <f aca="false">'Building 3'!B22</f>
        <v>10-Building-Post Casualty Loss Basis-bldg3-30</v>
      </c>
      <c r="D117" s="33" t="n">
        <f aca="false">SUM(F117:H117)</f>
        <v>47392.7</v>
      </c>
      <c r="H117" s="33" t="n">
        <f aca="false">'Building 3'!D22</f>
        <v>47392.7</v>
      </c>
    </row>
    <row r="118" customFormat="false" ht="15" hidden="false" customHeight="false" outlineLevel="0" collapsed="false">
      <c r="B118" s="5" t="str">
        <f aca="false">'Building 3'!B23</f>
        <v>12-New Buildings(16 units)-bldg3-5yr</v>
      </c>
      <c r="D118" s="33" t="n">
        <f aca="false">SUM(F118:H118)</f>
        <v>9054.67</v>
      </c>
      <c r="F118" s="33" t="n">
        <f aca="false">'Building 3'!D23</f>
        <v>9054.67</v>
      </c>
    </row>
    <row r="119" customFormat="false" ht="15" hidden="false" customHeight="false" outlineLevel="0" collapsed="false">
      <c r="B119" s="5" t="str">
        <f aca="false">'Building 3'!B24</f>
        <v>12-New Buildings(16 units)-bldg3-30yr</v>
      </c>
      <c r="D119" s="33" t="n">
        <f aca="false">SUM(F119:H119)</f>
        <v>25418.19</v>
      </c>
      <c r="H119" s="33" t="n">
        <f aca="false">'Building 3'!D24</f>
        <v>25418.19</v>
      </c>
    </row>
    <row r="120" customFormat="false" ht="15" hidden="false" customHeight="false" outlineLevel="0" collapsed="false">
      <c r="B120" s="5" t="str">
        <f aca="false">'Building 3'!B25</f>
        <v>14-New Buildings(105 units)-bldg3-5yr</v>
      </c>
      <c r="D120" s="33" t="n">
        <f aca="false">SUM(F120:H120)</f>
        <v>60688.77</v>
      </c>
      <c r="F120" s="33" t="n">
        <f aca="false">'Building 3'!D25</f>
        <v>60688.77</v>
      </c>
    </row>
    <row r="121" customFormat="false" ht="15" hidden="false" customHeight="false" outlineLevel="0" collapsed="false">
      <c r="B121" s="5" t="str">
        <f aca="false">'Building 3'!B26</f>
        <v>14-New Buildings(105 units)-bldg3-30yr</v>
      </c>
      <c r="D121" s="33" t="n">
        <f aca="false">SUM(F121:H121)</f>
        <v>170364.9</v>
      </c>
      <c r="H121" s="33" t="n">
        <f aca="false">'Building 3'!D26</f>
        <v>170364.9</v>
      </c>
    </row>
    <row r="122" customFormat="false" ht="15" hidden="false" customHeight="false" outlineLevel="0" collapsed="false">
      <c r="B122" s="5" t="str">
        <f aca="false">'Building 3'!B27</f>
        <v>11-Building Imp-Post-Casulty Loss Basis-bldg3</v>
      </c>
      <c r="D122" s="33" t="n">
        <f aca="false">SUM(F122:H122)</f>
        <v>424.31</v>
      </c>
      <c r="F122" s="33" t="n">
        <f aca="false">'Building 3'!D27</f>
        <v>424.31</v>
      </c>
    </row>
    <row r="123" customFormat="false" ht="15" hidden="false" customHeight="false" outlineLevel="0" collapsed="false">
      <c r="B123" s="5" t="str">
        <f aca="false">'Building 3'!B28</f>
        <v>11-Building Imp-Post-Casulty Loss Basis-bldg3</v>
      </c>
      <c r="D123" s="33" t="n">
        <f aca="false">SUM(F123:H123)</f>
        <v>1191.1</v>
      </c>
      <c r="H123" s="33" t="n">
        <f aca="false">'Building 3'!D28</f>
        <v>1191.1</v>
      </c>
    </row>
    <row r="124" customFormat="false" ht="15" hidden="false" customHeight="false" outlineLevel="0" collapsed="false">
      <c r="B124" s="5" t="str">
        <f aca="false">'Building 3'!B29</f>
        <v>2-Land Improvements-bldg3-5yr</v>
      </c>
      <c r="D124" s="33" t="n">
        <f aca="false">SUM(F124:H124)</f>
        <v>2308.82</v>
      </c>
      <c r="F124" s="33" t="n">
        <f aca="false">'Building 3'!D29</f>
        <v>2308.82</v>
      </c>
    </row>
    <row r="125" customFormat="false" ht="15" hidden="false" customHeight="false" outlineLevel="0" collapsed="false">
      <c r="B125" s="5" t="str">
        <f aca="false">'Building 3'!B30</f>
        <v>2-Land Improvements-bldg3-30yr</v>
      </c>
      <c r="D125" s="33" t="n">
        <f aca="false">SUM(F125:H125)</f>
        <v>6481.31</v>
      </c>
      <c r="H125" s="33" t="n">
        <f aca="false">'Building 3'!D30</f>
        <v>6481.31</v>
      </c>
    </row>
    <row r="126" customFormat="false" ht="15" hidden="false" customHeight="false" outlineLevel="0" collapsed="false">
      <c r="B126" s="5" t="str">
        <f aca="false">'Building 3'!B31</f>
        <v>13-New Equipment(16 units)-bldg3-5yr</v>
      </c>
      <c r="D126" s="33" t="n">
        <f aca="false">SUM(F126:H126)</f>
        <v>1987.61</v>
      </c>
      <c r="F126" s="33" t="n">
        <f aca="false">'Building 3'!D31</f>
        <v>1987.61</v>
      </c>
    </row>
    <row r="127" customFormat="false" ht="15" hidden="false" customHeight="false" outlineLevel="0" collapsed="false">
      <c r="B127" s="5" t="str">
        <f aca="false">'Building 3'!B32</f>
        <v>13-New Equipment(16 units)-bldg3-30yr</v>
      </c>
      <c r="D127" s="33" t="n">
        <f aca="false">SUM(F127:H127)</f>
        <v>5579.59</v>
      </c>
      <c r="H127" s="33" t="n">
        <f aca="false">'Building 3'!D32</f>
        <v>5579.59</v>
      </c>
    </row>
    <row r="128" customFormat="false" ht="15" hidden="false" customHeight="false" outlineLevel="0" collapsed="false">
      <c r="B128" s="5" t="str">
        <f aca="false">'Building 3'!B33</f>
        <v>15-New Equipment(105 units)-bldg3-5yr</v>
      </c>
      <c r="D128" s="33" t="n">
        <f aca="false">SUM(F128:H128)</f>
        <v>13321.93</v>
      </c>
      <c r="F128" s="33" t="n">
        <f aca="false">'Building 3'!D33</f>
        <v>13321.93</v>
      </c>
    </row>
    <row r="129" customFormat="false" ht="15" hidden="false" customHeight="false" outlineLevel="0" collapsed="false">
      <c r="B129" s="5" t="str">
        <f aca="false">'Building 3'!B34</f>
        <v>15-New Equipment(105 units)-bldg3-30yr</v>
      </c>
      <c r="D129" s="33" t="n">
        <f aca="false">SUM(F129:H129)</f>
        <v>37397.19</v>
      </c>
      <c r="H129" s="33" t="n">
        <f aca="false">'Building 3'!D34</f>
        <v>37397.19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398493.7</v>
      </c>
      <c r="F130" s="34" t="n">
        <f aca="false">SUM(F116:F129)</f>
        <v>104668.72</v>
      </c>
      <c r="H130" s="34" t="n">
        <f aca="false">SUM(H116:H129)</f>
        <v>293824.98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480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55</v>
      </c>
      <c r="C10" s="23" t="s">
        <v>25</v>
      </c>
      <c r="D10" s="24" t="n">
        <v>63978.69</v>
      </c>
      <c r="E10" s="24" t="n">
        <v>0</v>
      </c>
      <c r="F10" s="24" t="n">
        <v>0</v>
      </c>
      <c r="G10" s="24" t="n">
        <v>6607.4</v>
      </c>
      <c r="H10" s="24" t="n">
        <v>2329.79</v>
      </c>
      <c r="I10" s="24" t="n">
        <f aca="false">G10+H10</f>
        <v>8937.19</v>
      </c>
      <c r="J10" s="24" t="n">
        <f aca="false">D10-I10</f>
        <v>55041.5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56</v>
      </c>
      <c r="C11" s="23" t="s">
        <v>27</v>
      </c>
      <c r="D11" s="24" t="n">
        <v>34313.78</v>
      </c>
      <c r="E11" s="24" t="n">
        <v>0</v>
      </c>
      <c r="F11" s="24" t="n">
        <v>0</v>
      </c>
      <c r="G11" s="24" t="n">
        <v>1191.47</v>
      </c>
      <c r="H11" s="24" t="n">
        <v>1143.79</v>
      </c>
      <c r="I11" s="24" t="n">
        <f aca="false">G11+H11</f>
        <v>2335.26</v>
      </c>
      <c r="J11" s="24" t="n">
        <f aca="false">D11-I11</f>
        <v>31978.52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57</v>
      </c>
      <c r="C12" s="23" t="s">
        <v>29</v>
      </c>
      <c r="D12" s="24" t="n">
        <v>229987.39</v>
      </c>
      <c r="E12" s="24" t="n">
        <v>0</v>
      </c>
      <c r="F12" s="24" t="n">
        <v>0</v>
      </c>
      <c r="G12" s="24" t="n">
        <v>5430.25</v>
      </c>
      <c r="H12" s="24" t="n">
        <v>7666.27</v>
      </c>
      <c r="I12" s="24" t="n">
        <f aca="false">G12+H12</f>
        <v>13096.52</v>
      </c>
      <c r="J12" s="24" t="n">
        <f aca="false">D12-I12</f>
        <v>216890.87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1607.95</v>
      </c>
      <c r="E13" s="24" t="n">
        <v>0</v>
      </c>
      <c r="F13" s="24" t="n">
        <v>0</v>
      </c>
      <c r="G13" s="24" t="n">
        <v>121.07</v>
      </c>
      <c r="H13" s="24" t="n">
        <v>55.67</v>
      </c>
      <c r="I13" s="24" t="n">
        <f aca="false">G13+H13</f>
        <v>176.74</v>
      </c>
      <c r="J13" s="24" t="n">
        <f aca="false">D13-I13</f>
        <v>1431.21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58</v>
      </c>
      <c r="C14" s="23" t="s">
        <v>25</v>
      </c>
      <c r="D14" s="24" t="n">
        <v>8749.57</v>
      </c>
      <c r="E14" s="24" t="n">
        <v>0</v>
      </c>
      <c r="F14" s="24" t="n">
        <v>2244.81</v>
      </c>
      <c r="G14" s="24" t="n">
        <v>2244.81</v>
      </c>
      <c r="H14" s="24" t="n">
        <v>672.9</v>
      </c>
      <c r="I14" s="24" t="n">
        <f aca="false">G14+H14</f>
        <v>2917.71</v>
      </c>
      <c r="J14" s="24" t="n">
        <f aca="false">D14-I14</f>
        <v>5831.86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59</v>
      </c>
      <c r="C15" s="23" t="s">
        <v>27</v>
      </c>
      <c r="D15" s="24" t="n">
        <v>7532.28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7532.28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60</v>
      </c>
      <c r="C16" s="23" t="s">
        <v>29</v>
      </c>
      <c r="D16" s="24" t="n">
        <v>50485.05</v>
      </c>
      <c r="E16" s="24" t="n">
        <v>0</v>
      </c>
      <c r="F16" s="24" t="n">
        <v>0</v>
      </c>
      <c r="G16" s="24" t="n">
        <v>2019.4</v>
      </c>
      <c r="H16" s="24" t="n">
        <v>3231.05</v>
      </c>
      <c r="I16" s="24" t="n">
        <f aca="false">G16+H16</f>
        <v>5250.45</v>
      </c>
      <c r="J16" s="24" t="n">
        <f aca="false">D16-I16</f>
        <v>45234.6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396654.71</v>
      </c>
      <c r="E17" s="28" t="n">
        <f aca="false">SUM(E10:E16)</f>
        <v>0</v>
      </c>
      <c r="F17" s="28" t="n">
        <f aca="false">SUM(F10:F16)</f>
        <v>2244.81</v>
      </c>
      <c r="G17" s="28" t="n">
        <f aca="false">SUM(G10:G16)</f>
        <v>17614.4</v>
      </c>
      <c r="H17" s="28" t="n">
        <f aca="false">SUM(H10:H16)</f>
        <v>15099.47</v>
      </c>
      <c r="I17" s="28" t="n">
        <f aca="false">SUM(I10:I16)</f>
        <v>32713.87</v>
      </c>
      <c r="J17" s="28" t="n">
        <f aca="false">SUM(J10:J16)</f>
        <v>363940.84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196</v>
      </c>
      <c r="C21" s="23" t="s">
        <v>25</v>
      </c>
      <c r="D21" s="24" t="n">
        <v>16882.61</v>
      </c>
      <c r="E21" s="24" t="n">
        <v>0</v>
      </c>
      <c r="F21" s="24" t="n">
        <v>16882.61</v>
      </c>
      <c r="G21" s="24" t="n">
        <v>16882.61</v>
      </c>
      <c r="H21" s="24" t="n">
        <v>0</v>
      </c>
      <c r="I21" s="24" t="n">
        <f aca="false">G21+H21</f>
        <v>16882.61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197</v>
      </c>
      <c r="C22" s="23" t="s">
        <v>25</v>
      </c>
      <c r="D22" s="24" t="n">
        <v>47096.08</v>
      </c>
      <c r="E22" s="24" t="n">
        <v>0</v>
      </c>
      <c r="F22" s="24" t="n">
        <v>0</v>
      </c>
      <c r="G22" s="24" t="n">
        <v>8438.05</v>
      </c>
      <c r="H22" s="24" t="n">
        <v>1569.87</v>
      </c>
      <c r="I22" s="24" t="n">
        <f aca="false">G22+H22</f>
        <v>10007.92</v>
      </c>
      <c r="J22" s="24" t="n">
        <f aca="false">D22-I22</f>
        <v>37088.16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198</v>
      </c>
      <c r="C23" s="23" t="s">
        <v>27</v>
      </c>
      <c r="D23" s="24" t="n">
        <v>9054.67</v>
      </c>
      <c r="E23" s="24" t="n">
        <v>0</v>
      </c>
      <c r="F23" s="24" t="n">
        <v>9054.67</v>
      </c>
      <c r="G23" s="24" t="n">
        <v>9054.67</v>
      </c>
      <c r="H23" s="24" t="n">
        <v>0</v>
      </c>
      <c r="I23" s="24" t="n">
        <f aca="false">G23+H23</f>
        <v>9054.67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199</v>
      </c>
      <c r="C24" s="23" t="s">
        <v>27</v>
      </c>
      <c r="D24" s="24" t="n">
        <v>25259.11</v>
      </c>
      <c r="E24" s="24" t="n">
        <v>0</v>
      </c>
      <c r="F24" s="24" t="n">
        <v>0</v>
      </c>
      <c r="G24" s="24" t="n">
        <v>877.05</v>
      </c>
      <c r="H24" s="24" t="n">
        <v>841.97</v>
      </c>
      <c r="I24" s="24" t="n">
        <f aca="false">G24+H24</f>
        <v>1719.02</v>
      </c>
      <c r="J24" s="24" t="n">
        <f aca="false">D24-I24</f>
        <v>23540.09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200</v>
      </c>
      <c r="C25" s="23" t="s">
        <v>29</v>
      </c>
      <c r="D25" s="24" t="n">
        <v>60688.77</v>
      </c>
      <c r="E25" s="24" t="n">
        <v>0</v>
      </c>
      <c r="F25" s="24" t="n">
        <v>48551.02</v>
      </c>
      <c r="G25" s="24" t="n">
        <v>50978.57</v>
      </c>
      <c r="H25" s="24" t="n">
        <v>3884.08</v>
      </c>
      <c r="I25" s="24" t="n">
        <f aca="false">G25+H25</f>
        <v>54862.65</v>
      </c>
      <c r="J25" s="24" t="n">
        <f aca="false">D25-I25</f>
        <v>5826.12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201</v>
      </c>
      <c r="C26" s="23" t="s">
        <v>29</v>
      </c>
      <c r="D26" s="24" t="n">
        <v>169298.62</v>
      </c>
      <c r="E26" s="24" t="n">
        <v>0</v>
      </c>
      <c r="F26" s="24" t="n">
        <v>0</v>
      </c>
      <c r="G26" s="24" t="n">
        <v>3997.33</v>
      </c>
      <c r="H26" s="24" t="n">
        <v>5643.29</v>
      </c>
      <c r="I26" s="24" t="n">
        <f aca="false">G26+H26</f>
        <v>9640.62</v>
      </c>
      <c r="J26" s="24" t="n">
        <f aca="false">D26-I26</f>
        <v>159658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202</v>
      </c>
      <c r="C27" s="23" t="s">
        <v>31</v>
      </c>
      <c r="D27" s="24" t="n">
        <v>424.3</v>
      </c>
      <c r="E27" s="24" t="n">
        <v>0</v>
      </c>
      <c r="F27" s="24" t="n">
        <v>424.3</v>
      </c>
      <c r="G27" s="24" t="n">
        <v>424.3</v>
      </c>
      <c r="H27" s="24" t="n">
        <v>0</v>
      </c>
      <c r="I27" s="24" t="n">
        <f aca="false">G27+H27</f>
        <v>424.3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202</v>
      </c>
      <c r="C28" s="23" t="s">
        <v>31</v>
      </c>
      <c r="D28" s="24" t="n">
        <v>1183.65</v>
      </c>
      <c r="E28" s="24" t="n">
        <v>0</v>
      </c>
      <c r="F28" s="24" t="n">
        <v>0</v>
      </c>
      <c r="G28" s="24" t="n">
        <v>129.89</v>
      </c>
      <c r="H28" s="24" t="n">
        <v>39.46</v>
      </c>
      <c r="I28" s="24" t="n">
        <f aca="false">G28+H28</f>
        <v>169.35</v>
      </c>
      <c r="J28" s="24" t="n">
        <f aca="false">D28-I28</f>
        <v>1014.3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203</v>
      </c>
      <c r="C29" s="23" t="s">
        <v>25</v>
      </c>
      <c r="D29" s="24" t="n">
        <v>2308.82</v>
      </c>
      <c r="E29" s="24" t="n">
        <v>0</v>
      </c>
      <c r="F29" s="24" t="n">
        <v>2308.82</v>
      </c>
      <c r="G29" s="24" t="n">
        <v>2308.82</v>
      </c>
      <c r="H29" s="24" t="n">
        <v>0</v>
      </c>
      <c r="I29" s="24" t="n">
        <f aca="false">G29+H29</f>
        <v>2308.82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204</v>
      </c>
      <c r="C30" s="23" t="s">
        <v>25</v>
      </c>
      <c r="D30" s="24" t="n">
        <v>6440.75</v>
      </c>
      <c r="E30" s="24" t="n">
        <v>0</v>
      </c>
      <c r="F30" s="24" t="n">
        <v>0</v>
      </c>
      <c r="G30" s="24" t="n">
        <v>1153.96</v>
      </c>
      <c r="H30" s="24" t="n">
        <v>214.69</v>
      </c>
      <c r="I30" s="24" t="n">
        <f aca="false">G30+H30</f>
        <v>1368.65</v>
      </c>
      <c r="J30" s="24" t="n">
        <f aca="false">D30-I30</f>
        <v>5072.1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205</v>
      </c>
      <c r="C31" s="23" t="s">
        <v>27</v>
      </c>
      <c r="D31" s="24" t="n">
        <v>1987.61</v>
      </c>
      <c r="E31" s="24" t="n">
        <v>0</v>
      </c>
      <c r="F31" s="24" t="n">
        <v>1987.61</v>
      </c>
      <c r="G31" s="24" t="n">
        <v>1987.61</v>
      </c>
      <c r="H31" s="24" t="n">
        <v>0</v>
      </c>
      <c r="I31" s="24" t="n">
        <f aca="false">G31+H31</f>
        <v>1987.61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206</v>
      </c>
      <c r="C32" s="23" t="s">
        <v>27</v>
      </c>
      <c r="D32" s="24" t="n">
        <v>5544.67</v>
      </c>
      <c r="E32" s="24" t="n">
        <v>0</v>
      </c>
      <c r="F32" s="24" t="n">
        <v>0</v>
      </c>
      <c r="G32" s="24" t="n">
        <v>192.52</v>
      </c>
      <c r="H32" s="24" t="n">
        <v>184.82</v>
      </c>
      <c r="I32" s="24" t="n">
        <f aca="false">G32+H32</f>
        <v>377.34</v>
      </c>
      <c r="J32" s="24" t="n">
        <f aca="false">D32-I32</f>
        <v>5167.33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207</v>
      </c>
      <c r="C33" s="23" t="s">
        <v>29</v>
      </c>
      <c r="D33" s="24" t="n">
        <v>13321.94</v>
      </c>
      <c r="E33" s="24" t="n">
        <v>0</v>
      </c>
      <c r="F33" s="24" t="n">
        <v>10657.55</v>
      </c>
      <c r="G33" s="24" t="n">
        <v>11190.43</v>
      </c>
      <c r="H33" s="24" t="n">
        <v>852.6</v>
      </c>
      <c r="I33" s="24" t="n">
        <f aca="false">G33+H33</f>
        <v>12043.03</v>
      </c>
      <c r="J33" s="24" t="n">
        <f aca="false">D33-I33</f>
        <v>1278.91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208</v>
      </c>
      <c r="C34" s="23" t="s">
        <v>29</v>
      </c>
      <c r="D34" s="24" t="n">
        <v>37163.11</v>
      </c>
      <c r="E34" s="24" t="n">
        <v>0</v>
      </c>
      <c r="F34" s="24" t="n">
        <v>0</v>
      </c>
      <c r="G34" s="24" t="n">
        <v>877.46</v>
      </c>
      <c r="H34" s="24" t="n">
        <v>1238.77</v>
      </c>
      <c r="I34" s="24" t="n">
        <f aca="false">G34+H34</f>
        <v>2116.23</v>
      </c>
      <c r="J34" s="24" t="n">
        <f aca="false">D34-I34</f>
        <v>35046.88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396654.71</v>
      </c>
      <c r="E35" s="28" t="n">
        <f aca="false">SUM(E21:E34)</f>
        <v>0</v>
      </c>
      <c r="F35" s="28" t="n">
        <f aca="false">SUM(F21:F34)</f>
        <v>89866.58</v>
      </c>
      <c r="G35" s="28" t="n">
        <f aca="false">SUM(G21:G34)</f>
        <v>108493.27</v>
      </c>
      <c r="H35" s="28" t="n">
        <f aca="false">SUM(H21:H34)</f>
        <v>14469.55</v>
      </c>
      <c r="I35" s="28" t="n">
        <f aca="false">SUM(I21:I34)</f>
        <v>122962.82</v>
      </c>
      <c r="J35" s="28" t="n">
        <f aca="false">SUM(J21:J34)</f>
        <v>273691.89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32713.87</v>
      </c>
    </row>
    <row r="39" customFormat="false" ht="15" hidden="false" customHeight="false" outlineLevel="0" collapsed="false">
      <c r="B39" s="5" t="s">
        <v>415</v>
      </c>
      <c r="D39" s="6" t="n">
        <f aca="false">I35</f>
        <v>122962.82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-90248.95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55</v>
      </c>
      <c r="C45" s="23" t="s">
        <v>25</v>
      </c>
      <c r="D45" s="24" t="n">
        <v>63978.69</v>
      </c>
      <c r="E45" s="24" t="n">
        <v>0</v>
      </c>
      <c r="F45" s="24" t="n">
        <v>0</v>
      </c>
      <c r="G45" s="24" t="n">
        <v>6607.4</v>
      </c>
      <c r="H45" s="24" t="n">
        <v>2329.79</v>
      </c>
      <c r="I45" s="24" t="n">
        <f aca="false">G45+H45</f>
        <v>8937.19</v>
      </c>
      <c r="J45" s="24" t="n">
        <f aca="false">D45-I45</f>
        <v>55041.5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56</v>
      </c>
      <c r="C46" s="23" t="s">
        <v>27</v>
      </c>
      <c r="D46" s="24" t="n">
        <v>34313.78</v>
      </c>
      <c r="E46" s="24" t="n">
        <v>0</v>
      </c>
      <c r="F46" s="24" t="n">
        <v>0</v>
      </c>
      <c r="G46" s="24" t="n">
        <v>1191.47</v>
      </c>
      <c r="H46" s="24" t="n">
        <v>1143.79</v>
      </c>
      <c r="I46" s="24" t="n">
        <f aca="false">G46+H46</f>
        <v>2335.26</v>
      </c>
      <c r="J46" s="24" t="n">
        <f aca="false">D46-I46</f>
        <v>31978.52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57</v>
      </c>
      <c r="C47" s="23" t="s">
        <v>29</v>
      </c>
      <c r="D47" s="24" t="n">
        <v>229987.39</v>
      </c>
      <c r="E47" s="24" t="n">
        <v>0</v>
      </c>
      <c r="F47" s="24" t="n">
        <v>0</v>
      </c>
      <c r="G47" s="24" t="n">
        <v>5430.25</v>
      </c>
      <c r="H47" s="24" t="n">
        <v>7666.27</v>
      </c>
      <c r="I47" s="24" t="n">
        <f aca="false">G47+H47</f>
        <v>13096.52</v>
      </c>
      <c r="J47" s="24" t="n">
        <f aca="false">D47-I47</f>
        <v>216890.87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1607.95</v>
      </c>
      <c r="E48" s="24" t="n">
        <v>0</v>
      </c>
      <c r="F48" s="24" t="n">
        <v>0</v>
      </c>
      <c r="G48" s="24" t="n">
        <v>121.07</v>
      </c>
      <c r="H48" s="24" t="n">
        <v>55.67</v>
      </c>
      <c r="I48" s="24" t="n">
        <f aca="false">G48+H48</f>
        <v>176.74</v>
      </c>
      <c r="J48" s="24" t="n">
        <f aca="false">D48-I48</f>
        <v>1431.21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58</v>
      </c>
      <c r="C49" s="23" t="s">
        <v>25</v>
      </c>
      <c r="D49" s="24" t="n">
        <v>8749.57</v>
      </c>
      <c r="E49" s="24" t="n">
        <v>0</v>
      </c>
      <c r="F49" s="24" t="n">
        <v>2244.81</v>
      </c>
      <c r="G49" s="24" t="n">
        <v>2244.81</v>
      </c>
      <c r="H49" s="24" t="n">
        <v>672.9</v>
      </c>
      <c r="I49" s="24" t="n">
        <f aca="false">G49+H49</f>
        <v>2917.71</v>
      </c>
      <c r="J49" s="24" t="n">
        <f aca="false">D49-I49</f>
        <v>5831.86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59</v>
      </c>
      <c r="C50" s="23" t="s">
        <v>27</v>
      </c>
      <c r="D50" s="24" t="n">
        <v>7532.28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7532.28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60</v>
      </c>
      <c r="C51" s="23" t="s">
        <v>29</v>
      </c>
      <c r="D51" s="24" t="n">
        <v>50485.05</v>
      </c>
      <c r="E51" s="24" t="n">
        <v>0</v>
      </c>
      <c r="F51" s="24" t="n">
        <v>0</v>
      </c>
      <c r="G51" s="24" t="n">
        <v>2019.4</v>
      </c>
      <c r="H51" s="24" t="n">
        <v>3231.05</v>
      </c>
      <c r="I51" s="24" t="n">
        <f aca="false">G51+H51</f>
        <v>5250.45</v>
      </c>
      <c r="J51" s="24" t="n">
        <f aca="false">D51-I51</f>
        <v>45234.6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396654.71</v>
      </c>
      <c r="E52" s="28" t="n">
        <f aca="false">SUM(E45:E51)</f>
        <v>0</v>
      </c>
      <c r="F52" s="28" t="n">
        <f aca="false">SUM(F45:F51)</f>
        <v>2244.81</v>
      </c>
      <c r="G52" s="28" t="n">
        <f aca="false">SUM(G45:G51)</f>
        <v>17614.4</v>
      </c>
      <c r="H52" s="28" t="n">
        <f aca="false">SUM(H45:H51)</f>
        <v>15099.47</v>
      </c>
      <c r="I52" s="28" t="n">
        <f aca="false">SUM(I45:I51)</f>
        <v>32713.87</v>
      </c>
      <c r="J52" s="28" t="n">
        <f aca="false">SUM(J45:J51)</f>
        <v>363940.84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198</v>
      </c>
      <c r="C56" s="23" t="s">
        <v>27</v>
      </c>
      <c r="D56" s="24" t="n">
        <v>9054.67</v>
      </c>
      <c r="E56" s="24" t="n">
        <v>0</v>
      </c>
      <c r="F56" s="24" t="n">
        <v>9054.67</v>
      </c>
      <c r="G56" s="24" t="n">
        <v>9054.67</v>
      </c>
      <c r="H56" s="24" t="n">
        <v>0</v>
      </c>
      <c r="I56" s="24" t="n">
        <f aca="false">G56+H56</f>
        <v>9054.67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199</v>
      </c>
      <c r="C57" s="23" t="s">
        <v>27</v>
      </c>
      <c r="D57" s="24" t="n">
        <v>25259.11</v>
      </c>
      <c r="E57" s="24" t="n">
        <v>0</v>
      </c>
      <c r="F57" s="24" t="n">
        <v>0</v>
      </c>
      <c r="G57" s="24" t="n">
        <v>877.05</v>
      </c>
      <c r="H57" s="24" t="n">
        <v>841.97</v>
      </c>
      <c r="I57" s="24" t="n">
        <f aca="false">G57+H57</f>
        <v>1719.02</v>
      </c>
      <c r="J57" s="24" t="n">
        <f aca="false">D57-I57</f>
        <v>23540.09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200</v>
      </c>
      <c r="C58" s="23" t="s">
        <v>29</v>
      </c>
      <c r="D58" s="24" t="n">
        <v>60688.77</v>
      </c>
      <c r="E58" s="24" t="n">
        <v>0</v>
      </c>
      <c r="F58" s="24" t="n">
        <v>48551.02</v>
      </c>
      <c r="G58" s="24" t="n">
        <v>50978.57</v>
      </c>
      <c r="H58" s="24" t="n">
        <v>3884.08</v>
      </c>
      <c r="I58" s="24" t="n">
        <f aca="false">G58+H58</f>
        <v>54862.65</v>
      </c>
      <c r="J58" s="24" t="n">
        <f aca="false">D58-I58</f>
        <v>5826.12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201</v>
      </c>
      <c r="C59" s="23" t="s">
        <v>29</v>
      </c>
      <c r="D59" s="24" t="n">
        <v>169298.62</v>
      </c>
      <c r="E59" s="24" t="n">
        <v>0</v>
      </c>
      <c r="F59" s="24" t="n">
        <v>0</v>
      </c>
      <c r="G59" s="24" t="n">
        <v>3997.33</v>
      </c>
      <c r="H59" s="24" t="n">
        <v>5643.29</v>
      </c>
      <c r="I59" s="24" t="n">
        <f aca="false">G59+H59</f>
        <v>9640.62</v>
      </c>
      <c r="J59" s="24" t="n">
        <f aca="false">D59-I59</f>
        <v>159658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203</v>
      </c>
      <c r="C60" s="23" t="s">
        <v>25</v>
      </c>
      <c r="D60" s="24" t="n">
        <v>2308.82</v>
      </c>
      <c r="E60" s="24" t="n">
        <v>0</v>
      </c>
      <c r="F60" s="24" t="n">
        <v>2308.82</v>
      </c>
      <c r="G60" s="24" t="n">
        <v>2308.82</v>
      </c>
      <c r="H60" s="24" t="n">
        <v>0</v>
      </c>
      <c r="I60" s="24" t="n">
        <f aca="false">G60+H60</f>
        <v>2308.82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204</v>
      </c>
      <c r="C61" s="23" t="s">
        <v>25</v>
      </c>
      <c r="D61" s="24" t="n">
        <v>6440.75</v>
      </c>
      <c r="E61" s="24" t="n">
        <v>0</v>
      </c>
      <c r="F61" s="24" t="n">
        <v>0</v>
      </c>
      <c r="G61" s="24" t="n">
        <v>1153.96</v>
      </c>
      <c r="H61" s="24" t="n">
        <v>214.69</v>
      </c>
      <c r="I61" s="24" t="n">
        <f aca="false">G61+H61</f>
        <v>1368.65</v>
      </c>
      <c r="J61" s="24" t="n">
        <f aca="false">D61-I61</f>
        <v>5072.1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205</v>
      </c>
      <c r="C62" s="23" t="s">
        <v>27</v>
      </c>
      <c r="D62" s="24" t="n">
        <v>1987.61</v>
      </c>
      <c r="E62" s="24" t="n">
        <v>0</v>
      </c>
      <c r="F62" s="24" t="n">
        <v>1987.61</v>
      </c>
      <c r="G62" s="24" t="n">
        <v>1987.61</v>
      </c>
      <c r="H62" s="24" t="n">
        <v>0</v>
      </c>
      <c r="I62" s="24" t="n">
        <f aca="false">G62+H62</f>
        <v>1987.61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206</v>
      </c>
      <c r="C63" s="23" t="s">
        <v>27</v>
      </c>
      <c r="D63" s="24" t="n">
        <v>5544.67</v>
      </c>
      <c r="E63" s="24" t="n">
        <v>0</v>
      </c>
      <c r="F63" s="24" t="n">
        <v>0</v>
      </c>
      <c r="G63" s="24" t="n">
        <v>192.52</v>
      </c>
      <c r="H63" s="24" t="n">
        <v>184.82</v>
      </c>
      <c r="I63" s="24" t="n">
        <f aca="false">G63+H63</f>
        <v>377.34</v>
      </c>
      <c r="J63" s="24" t="n">
        <f aca="false">D63-I63</f>
        <v>5167.33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207</v>
      </c>
      <c r="C64" s="23" t="s">
        <v>29</v>
      </c>
      <c r="D64" s="24" t="n">
        <v>13321.94</v>
      </c>
      <c r="E64" s="24" t="n">
        <v>0</v>
      </c>
      <c r="F64" s="24" t="n">
        <v>10657.55</v>
      </c>
      <c r="G64" s="24" t="n">
        <v>11190.43</v>
      </c>
      <c r="H64" s="24" t="n">
        <v>852.6</v>
      </c>
      <c r="I64" s="24" t="n">
        <f aca="false">G64+H64</f>
        <v>12043.03</v>
      </c>
      <c r="J64" s="24" t="n">
        <f aca="false">D64-I64</f>
        <v>1278.91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208</v>
      </c>
      <c r="C65" s="23" t="s">
        <v>29</v>
      </c>
      <c r="D65" s="24" t="n">
        <v>37163.11</v>
      </c>
      <c r="E65" s="24" t="n">
        <v>0</v>
      </c>
      <c r="F65" s="24" t="n">
        <v>0</v>
      </c>
      <c r="G65" s="24" t="n">
        <v>877.46</v>
      </c>
      <c r="H65" s="24" t="n">
        <v>1238.77</v>
      </c>
      <c r="I65" s="24" t="n">
        <f aca="false">G65+H65</f>
        <v>2116.23</v>
      </c>
      <c r="J65" s="24" t="n">
        <f aca="false">D65-I65</f>
        <v>35046.88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331068.07</v>
      </c>
      <c r="E66" s="28" t="n">
        <f aca="false">SUM(E56:E65)</f>
        <v>0</v>
      </c>
      <c r="F66" s="28" t="n">
        <f aca="false">SUM(F56:F65)</f>
        <v>72559.67</v>
      </c>
      <c r="G66" s="28" t="n">
        <f aca="false">SUM(G56:G65)</f>
        <v>82618.42</v>
      </c>
      <c r="H66" s="28" t="n">
        <f aca="false">SUM(H56:H65)</f>
        <v>12860.22</v>
      </c>
      <c r="I66" s="28" t="n">
        <f aca="false">SUM(I56:I65)</f>
        <v>95478.64</v>
      </c>
      <c r="J66" s="28" t="n">
        <f aca="false">SUM(J56:J65)</f>
        <v>235589.43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32713.87</v>
      </c>
    </row>
    <row r="70" customFormat="false" ht="15" hidden="false" customHeight="false" outlineLevel="0" collapsed="false">
      <c r="B70" s="5" t="s">
        <v>415</v>
      </c>
      <c r="D70" s="6" t="n">
        <f aca="false">I66</f>
        <v>95478.64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-62764.77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396654.71</v>
      </c>
    </row>
    <row r="75" customFormat="false" ht="15" hidden="false" customHeight="false" outlineLevel="0" collapsed="false">
      <c r="B75" s="5" t="s">
        <v>446</v>
      </c>
      <c r="D75" s="6" t="n">
        <f aca="false">F111</f>
        <v>104668.72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0.263878676746332</v>
      </c>
    </row>
    <row r="77" customFormat="false" ht="15" hidden="false" customHeight="false" outlineLevel="0" collapsed="false">
      <c r="B77" s="5" t="s">
        <v>447</v>
      </c>
      <c r="D77" s="6" t="n">
        <f aca="false">H111</f>
        <v>291985.99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0.736121323253668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8394.17</v>
      </c>
      <c r="F84" s="33" t="n">
        <v>8394.17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32815.89</v>
      </c>
      <c r="F85" s="33" t="n">
        <v>32815.89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2648.72</v>
      </c>
      <c r="F86" s="33" t="n">
        <v>2648.72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394.4</v>
      </c>
      <c r="F87" s="33" t="n">
        <v>394.4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2858.97</v>
      </c>
      <c r="F89" s="33" t="n">
        <v>2858.97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16256.27</v>
      </c>
      <c r="H95" s="33" t="n">
        <v>16256.27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21691.78</v>
      </c>
      <c r="H96" s="33" t="n">
        <v>21691.78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31892.38</v>
      </c>
      <c r="H97" s="33" t="n">
        <v>31892.38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29436.62</v>
      </c>
      <c r="H98" s="33" t="n">
        <v>29436.62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27723.88</v>
      </c>
      <c r="H99" s="33" t="n">
        <v>27723.88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1864.29</v>
      </c>
      <c r="H100" s="33" t="n">
        <v>1864.29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19256.3</v>
      </c>
      <c r="H101" s="33" t="n">
        <v>19256.3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16292.68</v>
      </c>
      <c r="H102" s="33" t="n">
        <v>16292.68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12258.17</v>
      </c>
      <c r="H103" s="33" t="n">
        <v>12258.17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14614.91</v>
      </c>
      <c r="H104" s="33" t="n">
        <v>14614.91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38542.73</v>
      </c>
      <c r="H105" s="33" t="n">
        <v>38542.73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15196</v>
      </c>
      <c r="H106" s="33" t="n">
        <v>15196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37823.34</v>
      </c>
      <c r="H107" s="33" t="n">
        <v>37823.34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396654.71</v>
      </c>
      <c r="F111" s="34" t="n">
        <f aca="false">SUM(F82:F110)</f>
        <v>104668.72</v>
      </c>
      <c r="H111" s="34" t="n">
        <f aca="false">SUM(H82:H110)</f>
        <v>291985.99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0.263878676746332</v>
      </c>
      <c r="H112" s="31" t="n">
        <f aca="false">H111/D111</f>
        <v>0.736121323253668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4'!B21</f>
        <v>10-Building-Post Casualty Loss Basis-bldg4-5y</v>
      </c>
      <c r="D116" s="33" t="n">
        <f aca="false">SUM(F116:H116)</f>
        <v>16882.61</v>
      </c>
      <c r="F116" s="33" t="n">
        <f aca="false">'Building 4'!D21</f>
        <v>16882.61</v>
      </c>
    </row>
    <row r="117" customFormat="false" ht="15" hidden="false" customHeight="false" outlineLevel="0" collapsed="false">
      <c r="B117" s="5" t="str">
        <f aca="false">'Building 4'!B22</f>
        <v>10-Building-Post Casualty Loss Basis-bldg4-30</v>
      </c>
      <c r="D117" s="33" t="n">
        <f aca="false">SUM(F117:H117)</f>
        <v>47096.08</v>
      </c>
      <c r="H117" s="33" t="n">
        <f aca="false">'Building 4'!D22</f>
        <v>47096.08</v>
      </c>
    </row>
    <row r="118" customFormat="false" ht="15" hidden="false" customHeight="false" outlineLevel="0" collapsed="false">
      <c r="B118" s="5" t="str">
        <f aca="false">'Building 4'!B23</f>
        <v>12-New Buildings(16 units)-bldg4-5yr</v>
      </c>
      <c r="D118" s="33" t="n">
        <f aca="false">SUM(F118:H118)</f>
        <v>9054.67</v>
      </c>
      <c r="F118" s="33" t="n">
        <f aca="false">'Building 4'!D23</f>
        <v>9054.67</v>
      </c>
    </row>
    <row r="119" customFormat="false" ht="15" hidden="false" customHeight="false" outlineLevel="0" collapsed="false">
      <c r="B119" s="5" t="str">
        <f aca="false">'Building 4'!B24</f>
        <v>12-New Buildings(16 units)-bldg4-30yr</v>
      </c>
      <c r="D119" s="33" t="n">
        <f aca="false">SUM(F119:H119)</f>
        <v>25259.11</v>
      </c>
      <c r="H119" s="33" t="n">
        <f aca="false">'Building 4'!D24</f>
        <v>25259.11</v>
      </c>
    </row>
    <row r="120" customFormat="false" ht="15" hidden="false" customHeight="false" outlineLevel="0" collapsed="false">
      <c r="B120" s="5" t="str">
        <f aca="false">'Building 4'!B25</f>
        <v>14-New Buildings(105 units)-bldg4-5yr</v>
      </c>
      <c r="D120" s="33" t="n">
        <f aca="false">SUM(F120:H120)</f>
        <v>60688.77</v>
      </c>
      <c r="F120" s="33" t="n">
        <f aca="false">'Building 4'!D25</f>
        <v>60688.77</v>
      </c>
    </row>
    <row r="121" customFormat="false" ht="15" hidden="false" customHeight="false" outlineLevel="0" collapsed="false">
      <c r="B121" s="5" t="str">
        <f aca="false">'Building 4'!B26</f>
        <v>14-New Buildings(105 units)-bldg4-30yr</v>
      </c>
      <c r="D121" s="33" t="n">
        <f aca="false">SUM(F121:H121)</f>
        <v>169298.62</v>
      </c>
      <c r="H121" s="33" t="n">
        <f aca="false">'Building 4'!D26</f>
        <v>169298.62</v>
      </c>
    </row>
    <row r="122" customFormat="false" ht="15" hidden="false" customHeight="false" outlineLevel="0" collapsed="false">
      <c r="B122" s="5" t="str">
        <f aca="false">'Building 4'!B27</f>
        <v>11-Building Imp-Post-Casulty Loss Basis-bldg4</v>
      </c>
      <c r="D122" s="33" t="n">
        <f aca="false">SUM(F122:H122)</f>
        <v>424.3</v>
      </c>
      <c r="F122" s="33" t="n">
        <f aca="false">'Building 4'!D27</f>
        <v>424.3</v>
      </c>
    </row>
    <row r="123" customFormat="false" ht="15" hidden="false" customHeight="false" outlineLevel="0" collapsed="false">
      <c r="B123" s="5" t="str">
        <f aca="false">'Building 4'!B28</f>
        <v>11-Building Imp-Post-Casulty Loss Basis-bldg4</v>
      </c>
      <c r="D123" s="33" t="n">
        <f aca="false">SUM(F123:H123)</f>
        <v>1183.65</v>
      </c>
      <c r="H123" s="33" t="n">
        <f aca="false">'Building 4'!D28</f>
        <v>1183.65</v>
      </c>
    </row>
    <row r="124" customFormat="false" ht="15" hidden="false" customHeight="false" outlineLevel="0" collapsed="false">
      <c r="B124" s="5" t="str">
        <f aca="false">'Building 4'!B29</f>
        <v>2-Land Improvements-bldg4-5yr</v>
      </c>
      <c r="D124" s="33" t="n">
        <f aca="false">SUM(F124:H124)</f>
        <v>2308.82</v>
      </c>
      <c r="F124" s="33" t="n">
        <f aca="false">'Building 4'!D29</f>
        <v>2308.82</v>
      </c>
    </row>
    <row r="125" customFormat="false" ht="15" hidden="false" customHeight="false" outlineLevel="0" collapsed="false">
      <c r="B125" s="5" t="str">
        <f aca="false">'Building 4'!B30</f>
        <v>2-Land Improvements-bldg4-30yr</v>
      </c>
      <c r="D125" s="33" t="n">
        <f aca="false">SUM(F125:H125)</f>
        <v>6440.75</v>
      </c>
      <c r="H125" s="33" t="n">
        <f aca="false">'Building 4'!D30</f>
        <v>6440.75</v>
      </c>
    </row>
    <row r="126" customFormat="false" ht="15" hidden="false" customHeight="false" outlineLevel="0" collapsed="false">
      <c r="B126" s="5" t="str">
        <f aca="false">'Building 4'!B31</f>
        <v>13-New Equipment(16 units)-bldg4-5yr</v>
      </c>
      <c r="D126" s="33" t="n">
        <f aca="false">SUM(F126:H126)</f>
        <v>1987.61</v>
      </c>
      <c r="F126" s="33" t="n">
        <f aca="false">'Building 4'!D31</f>
        <v>1987.61</v>
      </c>
    </row>
    <row r="127" customFormat="false" ht="15" hidden="false" customHeight="false" outlineLevel="0" collapsed="false">
      <c r="B127" s="5" t="str">
        <f aca="false">'Building 4'!B32</f>
        <v>13-New Equipment(16 units)-bldg4-30yr</v>
      </c>
      <c r="D127" s="33" t="n">
        <f aca="false">SUM(F127:H127)</f>
        <v>5544.67</v>
      </c>
      <c r="H127" s="33" t="n">
        <f aca="false">'Building 4'!D32</f>
        <v>5544.67</v>
      </c>
    </row>
    <row r="128" customFormat="false" ht="15" hidden="false" customHeight="false" outlineLevel="0" collapsed="false">
      <c r="B128" s="5" t="str">
        <f aca="false">'Building 4'!B33</f>
        <v>15-New Equipment(105 units)-bldg4-5yr</v>
      </c>
      <c r="D128" s="33" t="n">
        <f aca="false">SUM(F128:H128)</f>
        <v>13321.94</v>
      </c>
      <c r="F128" s="33" t="n">
        <f aca="false">'Building 4'!D33</f>
        <v>13321.94</v>
      </c>
    </row>
    <row r="129" customFormat="false" ht="15" hidden="false" customHeight="false" outlineLevel="0" collapsed="false">
      <c r="B129" s="5" t="str">
        <f aca="false">'Building 4'!B34</f>
        <v>15-New Equipment(105 units)-bldg4-30yr</v>
      </c>
      <c r="D129" s="33" t="n">
        <f aca="false">SUM(F129:H129)</f>
        <v>37163.11</v>
      </c>
      <c r="H129" s="33" t="n">
        <f aca="false">'Building 4'!D34</f>
        <v>37163.11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396654.71</v>
      </c>
      <c r="F130" s="34" t="n">
        <f aca="false">SUM(F116:F129)</f>
        <v>104668.72</v>
      </c>
      <c r="H130" s="34" t="n">
        <f aca="false">SUM(H116:H129)</f>
        <v>291985.99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481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61</v>
      </c>
      <c r="C10" s="23" t="s">
        <v>25</v>
      </c>
      <c r="D10" s="24" t="n">
        <v>71985.95</v>
      </c>
      <c r="E10" s="24" t="n">
        <v>0</v>
      </c>
      <c r="F10" s="24" t="n">
        <v>0</v>
      </c>
      <c r="G10" s="24" t="n">
        <v>7434.35</v>
      </c>
      <c r="H10" s="24" t="n">
        <v>2621.38</v>
      </c>
      <c r="I10" s="24" t="n">
        <f aca="false">G10+H10</f>
        <v>10055.73</v>
      </c>
      <c r="J10" s="24" t="n">
        <f aca="false">D10-I10</f>
        <v>61930.22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62</v>
      </c>
      <c r="C11" s="23" t="s">
        <v>27</v>
      </c>
      <c r="D11" s="24" t="n">
        <v>38608.32</v>
      </c>
      <c r="E11" s="24" t="n">
        <v>0</v>
      </c>
      <c r="F11" s="24" t="n">
        <v>0</v>
      </c>
      <c r="G11" s="24" t="n">
        <v>1340.59</v>
      </c>
      <c r="H11" s="24" t="n">
        <v>1286.94</v>
      </c>
      <c r="I11" s="24" t="n">
        <f aca="false">G11+H11</f>
        <v>2627.53</v>
      </c>
      <c r="J11" s="24" t="n">
        <f aca="false">D11-I11</f>
        <v>35980.79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63</v>
      </c>
      <c r="C12" s="23" t="s">
        <v>29</v>
      </c>
      <c r="D12" s="24" t="n">
        <v>258771.48</v>
      </c>
      <c r="E12" s="24" t="n">
        <v>0</v>
      </c>
      <c r="F12" s="24" t="n">
        <v>0</v>
      </c>
      <c r="G12" s="24" t="n">
        <v>6109.88</v>
      </c>
      <c r="H12" s="24" t="n">
        <v>8625.73</v>
      </c>
      <c r="I12" s="24" t="n">
        <f aca="false">G12+H12</f>
        <v>14735.61</v>
      </c>
      <c r="J12" s="24" t="n">
        <f aca="false">D12-I12</f>
        <v>244035.87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1809.19</v>
      </c>
      <c r="E13" s="24" t="n">
        <v>0</v>
      </c>
      <c r="F13" s="24" t="n">
        <v>0</v>
      </c>
      <c r="G13" s="24" t="n">
        <v>136.22</v>
      </c>
      <c r="H13" s="24" t="n">
        <v>62.64</v>
      </c>
      <c r="I13" s="24" t="n">
        <f aca="false">G13+H13</f>
        <v>198.86</v>
      </c>
      <c r="J13" s="24" t="n">
        <f aca="false">D13-I13</f>
        <v>1610.33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64</v>
      </c>
      <c r="C14" s="23" t="s">
        <v>25</v>
      </c>
      <c r="D14" s="24" t="n">
        <v>9844.62</v>
      </c>
      <c r="E14" s="24" t="n">
        <v>0</v>
      </c>
      <c r="F14" s="24" t="n">
        <v>2525.76</v>
      </c>
      <c r="G14" s="24" t="n">
        <v>2525.76</v>
      </c>
      <c r="H14" s="24" t="n">
        <v>757.11</v>
      </c>
      <c r="I14" s="24" t="n">
        <f aca="false">G14+H14</f>
        <v>3282.87</v>
      </c>
      <c r="J14" s="24" t="n">
        <f aca="false">D14-I14</f>
        <v>6561.75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65</v>
      </c>
      <c r="C15" s="23" t="s">
        <v>27</v>
      </c>
      <c r="D15" s="24" t="n">
        <v>8474.99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8474.99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66</v>
      </c>
      <c r="C16" s="23" t="s">
        <v>29</v>
      </c>
      <c r="D16" s="24" t="n">
        <v>56803.51</v>
      </c>
      <c r="E16" s="24" t="n">
        <v>0</v>
      </c>
      <c r="F16" s="24" t="n">
        <v>0</v>
      </c>
      <c r="G16" s="24" t="n">
        <v>2272.14</v>
      </c>
      <c r="H16" s="24" t="n">
        <v>3635.43</v>
      </c>
      <c r="I16" s="24" t="n">
        <f aca="false">G16+H16</f>
        <v>5907.57</v>
      </c>
      <c r="J16" s="24" t="n">
        <f aca="false">D16-I16</f>
        <v>50895.94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446298.06</v>
      </c>
      <c r="E17" s="28" t="n">
        <f aca="false">SUM(E10:E16)</f>
        <v>0</v>
      </c>
      <c r="F17" s="28" t="n">
        <f aca="false">SUM(F10:F16)</f>
        <v>2525.76</v>
      </c>
      <c r="G17" s="28" t="n">
        <f aca="false">SUM(G10:G16)</f>
        <v>19818.94</v>
      </c>
      <c r="H17" s="28" t="n">
        <f aca="false">SUM(H10:H16)</f>
        <v>16989.23</v>
      </c>
      <c r="I17" s="28" t="n">
        <f aca="false">SUM(I10:I16)</f>
        <v>36808.17</v>
      </c>
      <c r="J17" s="28" t="n">
        <f aca="false">SUM(J10:J16)</f>
        <v>409489.89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209</v>
      </c>
      <c r="C21" s="23" t="s">
        <v>25</v>
      </c>
      <c r="D21" s="24" t="n">
        <v>18042.22</v>
      </c>
      <c r="E21" s="24" t="n">
        <v>0</v>
      </c>
      <c r="F21" s="24" t="n">
        <v>18042.22</v>
      </c>
      <c r="G21" s="24" t="n">
        <v>18042.22</v>
      </c>
      <c r="H21" s="24" t="n">
        <v>0</v>
      </c>
      <c r="I21" s="24" t="n">
        <f aca="false">G21+H21</f>
        <v>18042.22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210</v>
      </c>
      <c r="C22" s="23" t="s">
        <v>25</v>
      </c>
      <c r="D22" s="24" t="n">
        <v>53943.73</v>
      </c>
      <c r="E22" s="24" t="n">
        <v>0</v>
      </c>
      <c r="F22" s="24" t="n">
        <v>0</v>
      </c>
      <c r="G22" s="24" t="n">
        <v>9664.9</v>
      </c>
      <c r="H22" s="24" t="n">
        <v>1798.12</v>
      </c>
      <c r="I22" s="24" t="n">
        <f aca="false">G22+H22</f>
        <v>11463.02</v>
      </c>
      <c r="J22" s="24" t="n">
        <f aca="false">D22-I22</f>
        <v>42480.71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211</v>
      </c>
      <c r="C23" s="23" t="s">
        <v>27</v>
      </c>
      <c r="D23" s="24" t="n">
        <v>9676.61</v>
      </c>
      <c r="E23" s="24" t="n">
        <v>0</v>
      </c>
      <c r="F23" s="24" t="n">
        <v>9676.61</v>
      </c>
      <c r="G23" s="24" t="n">
        <v>9676.61</v>
      </c>
      <c r="H23" s="24" t="n">
        <v>0</v>
      </c>
      <c r="I23" s="24" t="n">
        <f aca="false">G23+H23</f>
        <v>9676.61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212</v>
      </c>
      <c r="C24" s="23" t="s">
        <v>27</v>
      </c>
      <c r="D24" s="24" t="n">
        <v>28931.71</v>
      </c>
      <c r="E24" s="24" t="n">
        <v>0</v>
      </c>
      <c r="F24" s="24" t="n">
        <v>0</v>
      </c>
      <c r="G24" s="24" t="n">
        <v>1004.57</v>
      </c>
      <c r="H24" s="24" t="n">
        <v>964.39</v>
      </c>
      <c r="I24" s="24" t="n">
        <f aca="false">G24+H24</f>
        <v>1968.96</v>
      </c>
      <c r="J24" s="24" t="n">
        <f aca="false">D24-I24</f>
        <v>26962.75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213</v>
      </c>
      <c r="C25" s="23" t="s">
        <v>29</v>
      </c>
      <c r="D25" s="24" t="n">
        <v>64857.26</v>
      </c>
      <c r="E25" s="24" t="n">
        <v>0</v>
      </c>
      <c r="F25" s="24" t="n">
        <v>51885.81</v>
      </c>
      <c r="G25" s="24" t="n">
        <v>54480.1</v>
      </c>
      <c r="H25" s="24" t="n">
        <v>4150.86</v>
      </c>
      <c r="I25" s="24" t="n">
        <f aca="false">G25+H25</f>
        <v>58630.96</v>
      </c>
      <c r="J25" s="24" t="n">
        <f aca="false">D25-I25</f>
        <v>6226.3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214</v>
      </c>
      <c r="C26" s="23" t="s">
        <v>29</v>
      </c>
      <c r="D26" s="24" t="n">
        <v>193914.22</v>
      </c>
      <c r="E26" s="24" t="n">
        <v>0</v>
      </c>
      <c r="F26" s="24" t="n">
        <v>0</v>
      </c>
      <c r="G26" s="24" t="n">
        <v>4578.53</v>
      </c>
      <c r="H26" s="24" t="n">
        <v>6463.81</v>
      </c>
      <c r="I26" s="24" t="n">
        <f aca="false">G26+H26</f>
        <v>11042.34</v>
      </c>
      <c r="J26" s="24" t="n">
        <f aca="false">D26-I26</f>
        <v>182871.88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215</v>
      </c>
      <c r="C27" s="23" t="s">
        <v>31</v>
      </c>
      <c r="D27" s="24" t="n">
        <v>453.45</v>
      </c>
      <c r="E27" s="24" t="n">
        <v>0</v>
      </c>
      <c r="F27" s="24" t="n">
        <v>453.45</v>
      </c>
      <c r="G27" s="24" t="n">
        <v>453.45</v>
      </c>
      <c r="H27" s="24" t="n">
        <v>0</v>
      </c>
      <c r="I27" s="24" t="n">
        <f aca="false">G27+H27</f>
        <v>453.45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215</v>
      </c>
      <c r="C28" s="23" t="s">
        <v>31</v>
      </c>
      <c r="D28" s="24" t="n">
        <v>1355.74</v>
      </c>
      <c r="E28" s="24" t="n">
        <v>0</v>
      </c>
      <c r="F28" s="24" t="n">
        <v>0</v>
      </c>
      <c r="G28" s="24" t="n">
        <v>148.75</v>
      </c>
      <c r="H28" s="24" t="n">
        <v>45.19</v>
      </c>
      <c r="I28" s="24" t="n">
        <f aca="false">G28+H28</f>
        <v>193.94</v>
      </c>
      <c r="J28" s="24" t="n">
        <f aca="false">D28-I28</f>
        <v>1161.8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216</v>
      </c>
      <c r="C29" s="23" t="s">
        <v>25</v>
      </c>
      <c r="D29" s="24" t="n">
        <v>2467.41</v>
      </c>
      <c r="E29" s="24" t="n">
        <v>0</v>
      </c>
      <c r="F29" s="24" t="n">
        <v>2467.41</v>
      </c>
      <c r="G29" s="24" t="n">
        <v>2467.41</v>
      </c>
      <c r="H29" s="24" t="n">
        <v>0</v>
      </c>
      <c r="I29" s="24" t="n">
        <f aca="false">G29+H29</f>
        <v>2467.41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217</v>
      </c>
      <c r="C30" s="23" t="s">
        <v>25</v>
      </c>
      <c r="D30" s="24" t="n">
        <v>7377.21</v>
      </c>
      <c r="E30" s="24" t="n">
        <v>0</v>
      </c>
      <c r="F30" s="24" t="n">
        <v>0</v>
      </c>
      <c r="G30" s="24" t="n">
        <v>1321.77</v>
      </c>
      <c r="H30" s="24" t="n">
        <v>245.91</v>
      </c>
      <c r="I30" s="24" t="n">
        <f aca="false">G30+H30</f>
        <v>1567.68</v>
      </c>
      <c r="J30" s="24" t="n">
        <f aca="false">D30-I30</f>
        <v>5809.53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218</v>
      </c>
      <c r="C31" s="23" t="s">
        <v>27</v>
      </c>
      <c r="D31" s="24" t="n">
        <v>2124.13</v>
      </c>
      <c r="E31" s="24" t="n">
        <v>0</v>
      </c>
      <c r="F31" s="24" t="n">
        <v>2124.13</v>
      </c>
      <c r="G31" s="24" t="n">
        <v>2124.13</v>
      </c>
      <c r="H31" s="24" t="n">
        <v>0</v>
      </c>
      <c r="I31" s="24" t="n">
        <f aca="false">G31+H31</f>
        <v>2124.13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219</v>
      </c>
      <c r="C32" s="23" t="s">
        <v>27</v>
      </c>
      <c r="D32" s="24" t="n">
        <v>6350.86</v>
      </c>
      <c r="E32" s="24" t="n">
        <v>0</v>
      </c>
      <c r="F32" s="24" t="n">
        <v>0</v>
      </c>
      <c r="G32" s="24" t="n">
        <v>220.52</v>
      </c>
      <c r="H32" s="24" t="n">
        <v>211.7</v>
      </c>
      <c r="I32" s="24" t="n">
        <f aca="false">G32+H32</f>
        <v>432.22</v>
      </c>
      <c r="J32" s="24" t="n">
        <f aca="false">D32-I32</f>
        <v>5918.64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220</v>
      </c>
      <c r="C33" s="23" t="s">
        <v>29</v>
      </c>
      <c r="D33" s="24" t="n">
        <v>14236.95</v>
      </c>
      <c r="E33" s="24" t="n">
        <v>0</v>
      </c>
      <c r="F33" s="24" t="n">
        <v>11389.56</v>
      </c>
      <c r="G33" s="24" t="n">
        <v>11959.04</v>
      </c>
      <c r="H33" s="24" t="n">
        <v>911.16</v>
      </c>
      <c r="I33" s="24" t="n">
        <f aca="false">G33+H33</f>
        <v>12870.2</v>
      </c>
      <c r="J33" s="24" t="n">
        <f aca="false">D33-I33</f>
        <v>1366.75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221</v>
      </c>
      <c r="C34" s="23" t="s">
        <v>29</v>
      </c>
      <c r="D34" s="24" t="n">
        <v>42566.56</v>
      </c>
      <c r="E34" s="24" t="n">
        <v>0</v>
      </c>
      <c r="F34" s="24" t="n">
        <v>0</v>
      </c>
      <c r="G34" s="24" t="n">
        <v>1005.04</v>
      </c>
      <c r="H34" s="24" t="n">
        <v>1418.89</v>
      </c>
      <c r="I34" s="24" t="n">
        <f aca="false">G34+H34</f>
        <v>2423.93</v>
      </c>
      <c r="J34" s="24" t="n">
        <f aca="false">D34-I34</f>
        <v>40142.63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446298.06</v>
      </c>
      <c r="E35" s="28" t="n">
        <f aca="false">SUM(E21:E34)</f>
        <v>0</v>
      </c>
      <c r="F35" s="28" t="n">
        <f aca="false">SUM(F21:F34)</f>
        <v>96039.19</v>
      </c>
      <c r="G35" s="28" t="n">
        <f aca="false">SUM(G21:G34)</f>
        <v>117147.04</v>
      </c>
      <c r="H35" s="28" t="n">
        <f aca="false">SUM(H21:H34)</f>
        <v>16210.03</v>
      </c>
      <c r="I35" s="28" t="n">
        <f aca="false">SUM(I21:I34)</f>
        <v>133357.07</v>
      </c>
      <c r="J35" s="28" t="n">
        <f aca="false">SUM(J21:J34)</f>
        <v>312940.99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36808.17</v>
      </c>
    </row>
    <row r="39" customFormat="false" ht="15" hidden="false" customHeight="false" outlineLevel="0" collapsed="false">
      <c r="B39" s="5" t="s">
        <v>415</v>
      </c>
      <c r="D39" s="6" t="n">
        <f aca="false">I35</f>
        <v>133357.07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-96548.9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61</v>
      </c>
      <c r="C45" s="23" t="s">
        <v>25</v>
      </c>
      <c r="D45" s="24" t="n">
        <v>71985.95</v>
      </c>
      <c r="E45" s="24" t="n">
        <v>0</v>
      </c>
      <c r="F45" s="24" t="n">
        <v>0</v>
      </c>
      <c r="G45" s="24" t="n">
        <v>7434.35</v>
      </c>
      <c r="H45" s="24" t="n">
        <v>2621.38</v>
      </c>
      <c r="I45" s="24" t="n">
        <f aca="false">G45+H45</f>
        <v>10055.73</v>
      </c>
      <c r="J45" s="24" t="n">
        <f aca="false">D45-I45</f>
        <v>61930.22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62</v>
      </c>
      <c r="C46" s="23" t="s">
        <v>27</v>
      </c>
      <c r="D46" s="24" t="n">
        <v>38608.32</v>
      </c>
      <c r="E46" s="24" t="n">
        <v>0</v>
      </c>
      <c r="F46" s="24" t="n">
        <v>0</v>
      </c>
      <c r="G46" s="24" t="n">
        <v>1340.59</v>
      </c>
      <c r="H46" s="24" t="n">
        <v>1286.94</v>
      </c>
      <c r="I46" s="24" t="n">
        <f aca="false">G46+H46</f>
        <v>2627.53</v>
      </c>
      <c r="J46" s="24" t="n">
        <f aca="false">D46-I46</f>
        <v>35980.79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63</v>
      </c>
      <c r="C47" s="23" t="s">
        <v>29</v>
      </c>
      <c r="D47" s="24" t="n">
        <v>258771.48</v>
      </c>
      <c r="E47" s="24" t="n">
        <v>0</v>
      </c>
      <c r="F47" s="24" t="n">
        <v>0</v>
      </c>
      <c r="G47" s="24" t="n">
        <v>6109.88</v>
      </c>
      <c r="H47" s="24" t="n">
        <v>8625.73</v>
      </c>
      <c r="I47" s="24" t="n">
        <f aca="false">G47+H47</f>
        <v>14735.61</v>
      </c>
      <c r="J47" s="24" t="n">
        <f aca="false">D47-I47</f>
        <v>244035.87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1809.19</v>
      </c>
      <c r="E48" s="24" t="n">
        <v>0</v>
      </c>
      <c r="F48" s="24" t="n">
        <v>0</v>
      </c>
      <c r="G48" s="24" t="n">
        <v>136.22</v>
      </c>
      <c r="H48" s="24" t="n">
        <v>62.64</v>
      </c>
      <c r="I48" s="24" t="n">
        <f aca="false">G48+H48</f>
        <v>198.86</v>
      </c>
      <c r="J48" s="24" t="n">
        <f aca="false">D48-I48</f>
        <v>1610.33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64</v>
      </c>
      <c r="C49" s="23" t="s">
        <v>25</v>
      </c>
      <c r="D49" s="24" t="n">
        <v>9844.62</v>
      </c>
      <c r="E49" s="24" t="n">
        <v>0</v>
      </c>
      <c r="F49" s="24" t="n">
        <v>2525.76</v>
      </c>
      <c r="G49" s="24" t="n">
        <v>2525.76</v>
      </c>
      <c r="H49" s="24" t="n">
        <v>757.11</v>
      </c>
      <c r="I49" s="24" t="n">
        <f aca="false">G49+H49</f>
        <v>3282.87</v>
      </c>
      <c r="J49" s="24" t="n">
        <f aca="false">D49-I49</f>
        <v>6561.75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65</v>
      </c>
      <c r="C50" s="23" t="s">
        <v>27</v>
      </c>
      <c r="D50" s="24" t="n">
        <v>8474.99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8474.99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66</v>
      </c>
      <c r="C51" s="23" t="s">
        <v>29</v>
      </c>
      <c r="D51" s="24" t="n">
        <v>56803.51</v>
      </c>
      <c r="E51" s="24" t="n">
        <v>0</v>
      </c>
      <c r="F51" s="24" t="n">
        <v>0</v>
      </c>
      <c r="G51" s="24" t="n">
        <v>2272.14</v>
      </c>
      <c r="H51" s="24" t="n">
        <v>3635.43</v>
      </c>
      <c r="I51" s="24" t="n">
        <f aca="false">G51+H51</f>
        <v>5907.57</v>
      </c>
      <c r="J51" s="24" t="n">
        <f aca="false">D51-I51</f>
        <v>50895.94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446298.06</v>
      </c>
      <c r="E52" s="28" t="n">
        <f aca="false">SUM(E45:E51)</f>
        <v>0</v>
      </c>
      <c r="F52" s="28" t="n">
        <f aca="false">SUM(F45:F51)</f>
        <v>2525.76</v>
      </c>
      <c r="G52" s="28" t="n">
        <f aca="false">SUM(G45:G51)</f>
        <v>19818.94</v>
      </c>
      <c r="H52" s="28" t="n">
        <f aca="false">SUM(H45:H51)</f>
        <v>16989.23</v>
      </c>
      <c r="I52" s="28" t="n">
        <f aca="false">SUM(I45:I51)</f>
        <v>36808.17</v>
      </c>
      <c r="J52" s="28" t="n">
        <f aca="false">SUM(J45:J51)</f>
        <v>409489.89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211</v>
      </c>
      <c r="C56" s="23" t="s">
        <v>27</v>
      </c>
      <c r="D56" s="24" t="n">
        <v>9676.61</v>
      </c>
      <c r="E56" s="24" t="n">
        <v>0</v>
      </c>
      <c r="F56" s="24" t="n">
        <v>9676.61</v>
      </c>
      <c r="G56" s="24" t="n">
        <v>9676.61</v>
      </c>
      <c r="H56" s="24" t="n">
        <v>0</v>
      </c>
      <c r="I56" s="24" t="n">
        <f aca="false">G56+H56</f>
        <v>9676.61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212</v>
      </c>
      <c r="C57" s="23" t="s">
        <v>27</v>
      </c>
      <c r="D57" s="24" t="n">
        <v>28931.71</v>
      </c>
      <c r="E57" s="24" t="n">
        <v>0</v>
      </c>
      <c r="F57" s="24" t="n">
        <v>0</v>
      </c>
      <c r="G57" s="24" t="n">
        <v>1004.57</v>
      </c>
      <c r="H57" s="24" t="n">
        <v>964.39</v>
      </c>
      <c r="I57" s="24" t="n">
        <f aca="false">G57+H57</f>
        <v>1968.96</v>
      </c>
      <c r="J57" s="24" t="n">
        <f aca="false">D57-I57</f>
        <v>26962.75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213</v>
      </c>
      <c r="C58" s="23" t="s">
        <v>29</v>
      </c>
      <c r="D58" s="24" t="n">
        <v>64857.26</v>
      </c>
      <c r="E58" s="24" t="n">
        <v>0</v>
      </c>
      <c r="F58" s="24" t="n">
        <v>51885.81</v>
      </c>
      <c r="G58" s="24" t="n">
        <v>54480.1</v>
      </c>
      <c r="H58" s="24" t="n">
        <v>4150.86</v>
      </c>
      <c r="I58" s="24" t="n">
        <f aca="false">G58+H58</f>
        <v>58630.96</v>
      </c>
      <c r="J58" s="24" t="n">
        <f aca="false">D58-I58</f>
        <v>6226.3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214</v>
      </c>
      <c r="C59" s="23" t="s">
        <v>29</v>
      </c>
      <c r="D59" s="24" t="n">
        <v>193914.22</v>
      </c>
      <c r="E59" s="24" t="n">
        <v>0</v>
      </c>
      <c r="F59" s="24" t="n">
        <v>0</v>
      </c>
      <c r="G59" s="24" t="n">
        <v>4578.53</v>
      </c>
      <c r="H59" s="24" t="n">
        <v>6463.81</v>
      </c>
      <c r="I59" s="24" t="n">
        <f aca="false">G59+H59</f>
        <v>11042.34</v>
      </c>
      <c r="J59" s="24" t="n">
        <f aca="false">D59-I59</f>
        <v>182871.88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216</v>
      </c>
      <c r="C60" s="23" t="s">
        <v>25</v>
      </c>
      <c r="D60" s="24" t="n">
        <v>2467.41</v>
      </c>
      <c r="E60" s="24" t="n">
        <v>0</v>
      </c>
      <c r="F60" s="24" t="n">
        <v>2467.41</v>
      </c>
      <c r="G60" s="24" t="n">
        <v>2467.41</v>
      </c>
      <c r="H60" s="24" t="n">
        <v>0</v>
      </c>
      <c r="I60" s="24" t="n">
        <f aca="false">G60+H60</f>
        <v>2467.41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217</v>
      </c>
      <c r="C61" s="23" t="s">
        <v>25</v>
      </c>
      <c r="D61" s="24" t="n">
        <v>7377.21</v>
      </c>
      <c r="E61" s="24" t="n">
        <v>0</v>
      </c>
      <c r="F61" s="24" t="n">
        <v>0</v>
      </c>
      <c r="G61" s="24" t="n">
        <v>1321.77</v>
      </c>
      <c r="H61" s="24" t="n">
        <v>245.91</v>
      </c>
      <c r="I61" s="24" t="n">
        <f aca="false">G61+H61</f>
        <v>1567.68</v>
      </c>
      <c r="J61" s="24" t="n">
        <f aca="false">D61-I61</f>
        <v>5809.53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218</v>
      </c>
      <c r="C62" s="23" t="s">
        <v>27</v>
      </c>
      <c r="D62" s="24" t="n">
        <v>2124.13</v>
      </c>
      <c r="E62" s="24" t="n">
        <v>0</v>
      </c>
      <c r="F62" s="24" t="n">
        <v>2124.13</v>
      </c>
      <c r="G62" s="24" t="n">
        <v>2124.13</v>
      </c>
      <c r="H62" s="24" t="n">
        <v>0</v>
      </c>
      <c r="I62" s="24" t="n">
        <f aca="false">G62+H62</f>
        <v>2124.13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219</v>
      </c>
      <c r="C63" s="23" t="s">
        <v>27</v>
      </c>
      <c r="D63" s="24" t="n">
        <v>6350.86</v>
      </c>
      <c r="E63" s="24" t="n">
        <v>0</v>
      </c>
      <c r="F63" s="24" t="n">
        <v>0</v>
      </c>
      <c r="G63" s="24" t="n">
        <v>220.52</v>
      </c>
      <c r="H63" s="24" t="n">
        <v>211.7</v>
      </c>
      <c r="I63" s="24" t="n">
        <f aca="false">G63+H63</f>
        <v>432.22</v>
      </c>
      <c r="J63" s="24" t="n">
        <f aca="false">D63-I63</f>
        <v>5918.64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220</v>
      </c>
      <c r="C64" s="23" t="s">
        <v>29</v>
      </c>
      <c r="D64" s="24" t="n">
        <v>14236.95</v>
      </c>
      <c r="E64" s="24" t="n">
        <v>0</v>
      </c>
      <c r="F64" s="24" t="n">
        <v>11389.56</v>
      </c>
      <c r="G64" s="24" t="n">
        <v>11959.04</v>
      </c>
      <c r="H64" s="24" t="n">
        <v>911.16</v>
      </c>
      <c r="I64" s="24" t="n">
        <f aca="false">G64+H64</f>
        <v>12870.2</v>
      </c>
      <c r="J64" s="24" t="n">
        <f aca="false">D64-I64</f>
        <v>1366.75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221</v>
      </c>
      <c r="C65" s="23" t="s">
        <v>29</v>
      </c>
      <c r="D65" s="24" t="n">
        <v>42566.56</v>
      </c>
      <c r="E65" s="24" t="n">
        <v>0</v>
      </c>
      <c r="F65" s="24" t="n">
        <v>0</v>
      </c>
      <c r="G65" s="24" t="n">
        <v>1005.04</v>
      </c>
      <c r="H65" s="24" t="n">
        <v>1418.89</v>
      </c>
      <c r="I65" s="24" t="n">
        <f aca="false">G65+H65</f>
        <v>2423.93</v>
      </c>
      <c r="J65" s="24" t="n">
        <f aca="false">D65-I65</f>
        <v>40142.63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372502.92</v>
      </c>
      <c r="E66" s="28" t="n">
        <f aca="false">SUM(E56:E65)</f>
        <v>0</v>
      </c>
      <c r="F66" s="28" t="n">
        <f aca="false">SUM(F56:F65)</f>
        <v>77543.52</v>
      </c>
      <c r="G66" s="28" t="n">
        <f aca="false">SUM(G56:G65)</f>
        <v>88837.72</v>
      </c>
      <c r="H66" s="28" t="n">
        <f aca="false">SUM(H56:H65)</f>
        <v>14366.72</v>
      </c>
      <c r="I66" s="28" t="n">
        <f aca="false">SUM(I56:I65)</f>
        <v>103204.44</v>
      </c>
      <c r="J66" s="28" t="n">
        <f aca="false">SUM(J56:J65)</f>
        <v>269298.48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36808.17</v>
      </c>
    </row>
    <row r="70" customFormat="false" ht="15" hidden="false" customHeight="false" outlineLevel="0" collapsed="false">
      <c r="B70" s="5" t="s">
        <v>415</v>
      </c>
      <c r="D70" s="6" t="n">
        <f aca="false">I66</f>
        <v>103204.44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-66396.27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446298.06</v>
      </c>
    </row>
    <row r="75" customFormat="false" ht="15" hidden="false" customHeight="false" outlineLevel="0" collapsed="false">
      <c r="B75" s="5" t="s">
        <v>446</v>
      </c>
      <c r="D75" s="6" t="n">
        <f aca="false">F111</f>
        <v>111858.03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0.250635259315266</v>
      </c>
    </row>
    <row r="77" customFormat="false" ht="15" hidden="false" customHeight="false" outlineLevel="0" collapsed="false">
      <c r="B77" s="5" t="s">
        <v>447</v>
      </c>
      <c r="D77" s="6" t="n">
        <f aca="false">H111</f>
        <v>334440.03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0.749364740684734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8975.5</v>
      </c>
      <c r="F84" s="33" t="n">
        <v>8975.5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38285.2</v>
      </c>
      <c r="F85" s="33" t="n">
        <v>38285.2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3310.89</v>
      </c>
      <c r="F86" s="33" t="n">
        <v>3310.89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394.4</v>
      </c>
      <c r="F87" s="33" t="n">
        <v>394.4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3335.47</v>
      </c>
      <c r="F89" s="33" t="n">
        <v>3335.47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18787.9</v>
      </c>
      <c r="H95" s="33" t="n">
        <v>18787.9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25094.53</v>
      </c>
      <c r="H96" s="33" t="n">
        <v>25094.53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37207.78</v>
      </c>
      <c r="H97" s="33" t="n">
        <v>37207.78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35233.43</v>
      </c>
      <c r="H98" s="33" t="n">
        <v>35233.43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32344.52</v>
      </c>
      <c r="H99" s="33" t="n">
        <v>32344.52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2485.72</v>
      </c>
      <c r="H100" s="33" t="n">
        <v>2485.72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22801.69</v>
      </c>
      <c r="H101" s="33" t="n">
        <v>22801.69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18966.91</v>
      </c>
      <c r="H102" s="33" t="n">
        <v>18966.91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15176.79</v>
      </c>
      <c r="H103" s="33" t="n">
        <v>15176.79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17050.73</v>
      </c>
      <c r="H104" s="33" t="n">
        <v>17050.73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40897.65</v>
      </c>
      <c r="H105" s="33" t="n">
        <v>40897.65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16494.95</v>
      </c>
      <c r="H106" s="33" t="n">
        <v>16494.95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42760.79</v>
      </c>
      <c r="H107" s="33" t="n">
        <v>42760.79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446298.06</v>
      </c>
      <c r="F111" s="34" t="n">
        <f aca="false">SUM(F82:F110)</f>
        <v>111858.03</v>
      </c>
      <c r="H111" s="34" t="n">
        <f aca="false">SUM(H82:H110)</f>
        <v>334440.03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0.250635259315266</v>
      </c>
      <c r="H112" s="31" t="n">
        <f aca="false">H111/D111</f>
        <v>0.749364740684734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5'!B21</f>
        <v>10-Building-Post Casualty Loss Basis-bldg5-5y</v>
      </c>
      <c r="D116" s="33" t="n">
        <f aca="false">SUM(F116:H116)</f>
        <v>18042.22</v>
      </c>
      <c r="F116" s="33" t="n">
        <f aca="false">'Building 5'!D21</f>
        <v>18042.22</v>
      </c>
    </row>
    <row r="117" customFormat="false" ht="15" hidden="false" customHeight="false" outlineLevel="0" collapsed="false">
      <c r="B117" s="5" t="str">
        <f aca="false">'Building 5'!B22</f>
        <v>10-Building-Post Casualty Loss Basis-bldg5-30</v>
      </c>
      <c r="D117" s="33" t="n">
        <f aca="false">SUM(F117:H117)</f>
        <v>53943.73</v>
      </c>
      <c r="H117" s="33" t="n">
        <f aca="false">'Building 5'!D22</f>
        <v>53943.73</v>
      </c>
    </row>
    <row r="118" customFormat="false" ht="15" hidden="false" customHeight="false" outlineLevel="0" collapsed="false">
      <c r="B118" s="5" t="str">
        <f aca="false">'Building 5'!B23</f>
        <v>12-New Buildings(16 units)-bldg5-5yr</v>
      </c>
      <c r="D118" s="33" t="n">
        <f aca="false">SUM(F118:H118)</f>
        <v>9676.61</v>
      </c>
      <c r="F118" s="33" t="n">
        <f aca="false">'Building 5'!D23</f>
        <v>9676.61</v>
      </c>
    </row>
    <row r="119" customFormat="false" ht="15" hidden="false" customHeight="false" outlineLevel="0" collapsed="false">
      <c r="B119" s="5" t="str">
        <f aca="false">'Building 5'!B24</f>
        <v>12-New Buildings(16 units)-bldg5-30yr</v>
      </c>
      <c r="D119" s="33" t="n">
        <f aca="false">SUM(F119:H119)</f>
        <v>28931.71</v>
      </c>
      <c r="H119" s="33" t="n">
        <f aca="false">'Building 5'!D24</f>
        <v>28931.71</v>
      </c>
    </row>
    <row r="120" customFormat="false" ht="15" hidden="false" customHeight="false" outlineLevel="0" collapsed="false">
      <c r="B120" s="5" t="str">
        <f aca="false">'Building 5'!B25</f>
        <v>14-New Buildings(105 units)-bldg5-5yr</v>
      </c>
      <c r="D120" s="33" t="n">
        <f aca="false">SUM(F120:H120)</f>
        <v>64857.26</v>
      </c>
      <c r="F120" s="33" t="n">
        <f aca="false">'Building 5'!D25</f>
        <v>64857.26</v>
      </c>
    </row>
    <row r="121" customFormat="false" ht="15" hidden="false" customHeight="false" outlineLevel="0" collapsed="false">
      <c r="B121" s="5" t="str">
        <f aca="false">'Building 5'!B26</f>
        <v>14-New Buildings(105 units)-bldg5-30yr</v>
      </c>
      <c r="D121" s="33" t="n">
        <f aca="false">SUM(F121:H121)</f>
        <v>193914.22</v>
      </c>
      <c r="H121" s="33" t="n">
        <f aca="false">'Building 5'!D26</f>
        <v>193914.22</v>
      </c>
    </row>
    <row r="122" customFormat="false" ht="15" hidden="false" customHeight="false" outlineLevel="0" collapsed="false">
      <c r="B122" s="5" t="str">
        <f aca="false">'Building 5'!B27</f>
        <v>11-Building Imp-Post-Casulty Loss Basis-bldg5</v>
      </c>
      <c r="D122" s="33" t="n">
        <f aca="false">SUM(F122:H122)</f>
        <v>453.45</v>
      </c>
      <c r="F122" s="33" t="n">
        <f aca="false">'Building 5'!D27</f>
        <v>453.45</v>
      </c>
    </row>
    <row r="123" customFormat="false" ht="15" hidden="false" customHeight="false" outlineLevel="0" collapsed="false">
      <c r="B123" s="5" t="str">
        <f aca="false">'Building 5'!B28</f>
        <v>11-Building Imp-Post-Casulty Loss Basis-bldg5</v>
      </c>
      <c r="D123" s="33" t="n">
        <f aca="false">SUM(F123:H123)</f>
        <v>1355.74</v>
      </c>
      <c r="H123" s="33" t="n">
        <f aca="false">'Building 5'!D28</f>
        <v>1355.74</v>
      </c>
    </row>
    <row r="124" customFormat="false" ht="15" hidden="false" customHeight="false" outlineLevel="0" collapsed="false">
      <c r="B124" s="5" t="str">
        <f aca="false">'Building 5'!B29</f>
        <v>2-Land Improvements-bldg5-5yr</v>
      </c>
      <c r="D124" s="33" t="n">
        <f aca="false">SUM(F124:H124)</f>
        <v>2467.41</v>
      </c>
      <c r="F124" s="33" t="n">
        <f aca="false">'Building 5'!D29</f>
        <v>2467.41</v>
      </c>
    </row>
    <row r="125" customFormat="false" ht="15" hidden="false" customHeight="false" outlineLevel="0" collapsed="false">
      <c r="B125" s="5" t="str">
        <f aca="false">'Building 5'!B30</f>
        <v>2-Land Improvements-bldg5-30yr</v>
      </c>
      <c r="D125" s="33" t="n">
        <f aca="false">SUM(F125:H125)</f>
        <v>7377.21</v>
      </c>
      <c r="H125" s="33" t="n">
        <f aca="false">'Building 5'!D30</f>
        <v>7377.21</v>
      </c>
    </row>
    <row r="126" customFormat="false" ht="15" hidden="false" customHeight="false" outlineLevel="0" collapsed="false">
      <c r="B126" s="5" t="str">
        <f aca="false">'Building 5'!B31</f>
        <v>13-New Equipment(16 units)-bldg5-5yr</v>
      </c>
      <c r="D126" s="33" t="n">
        <f aca="false">SUM(F126:H126)</f>
        <v>2124.13</v>
      </c>
      <c r="F126" s="33" t="n">
        <f aca="false">'Building 5'!D31</f>
        <v>2124.13</v>
      </c>
    </row>
    <row r="127" customFormat="false" ht="15" hidden="false" customHeight="false" outlineLevel="0" collapsed="false">
      <c r="B127" s="5" t="str">
        <f aca="false">'Building 5'!B32</f>
        <v>13-New Equipment(16 units)-bldg5-30yr</v>
      </c>
      <c r="D127" s="33" t="n">
        <f aca="false">SUM(F127:H127)</f>
        <v>6350.86</v>
      </c>
      <c r="H127" s="33" t="n">
        <f aca="false">'Building 5'!D32</f>
        <v>6350.86</v>
      </c>
    </row>
    <row r="128" customFormat="false" ht="15" hidden="false" customHeight="false" outlineLevel="0" collapsed="false">
      <c r="B128" s="5" t="str">
        <f aca="false">'Building 5'!B33</f>
        <v>15-New Equipment(105 units)-bldg5-5yr</v>
      </c>
      <c r="D128" s="33" t="n">
        <f aca="false">SUM(F128:H128)</f>
        <v>14236.95</v>
      </c>
      <c r="F128" s="33" t="n">
        <f aca="false">'Building 5'!D33</f>
        <v>14236.95</v>
      </c>
    </row>
    <row r="129" customFormat="false" ht="15" hidden="false" customHeight="false" outlineLevel="0" collapsed="false">
      <c r="B129" s="5" t="str">
        <f aca="false">'Building 5'!B34</f>
        <v>15-New Equipment(105 units)-bldg5-30yr</v>
      </c>
      <c r="D129" s="33" t="n">
        <f aca="false">SUM(F129:H129)</f>
        <v>42566.56</v>
      </c>
      <c r="H129" s="33" t="n">
        <f aca="false">'Building 5'!D34</f>
        <v>42566.56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446298.06</v>
      </c>
      <c r="F130" s="34" t="n">
        <f aca="false">SUM(F116:F129)</f>
        <v>111858.03</v>
      </c>
      <c r="H130" s="34" t="n">
        <f aca="false">SUM(H116:H129)</f>
        <v>334440.03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482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67</v>
      </c>
      <c r="C10" s="23" t="s">
        <v>25</v>
      </c>
      <c r="D10" s="24" t="n">
        <v>64317.98</v>
      </c>
      <c r="E10" s="24" t="n">
        <v>0</v>
      </c>
      <c r="F10" s="24" t="n">
        <v>0</v>
      </c>
      <c r="G10" s="24" t="n">
        <v>6642.44</v>
      </c>
      <c r="H10" s="24" t="n">
        <v>2342.15</v>
      </c>
      <c r="I10" s="24" t="n">
        <f aca="false">G10+H10</f>
        <v>8984.59</v>
      </c>
      <c r="J10" s="24" t="n">
        <f aca="false">D10-I10</f>
        <v>55333.39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68</v>
      </c>
      <c r="C11" s="23" t="s">
        <v>27</v>
      </c>
      <c r="D11" s="24" t="n">
        <v>34495.74</v>
      </c>
      <c r="E11" s="24" t="n">
        <v>0</v>
      </c>
      <c r="F11" s="24" t="n">
        <v>0</v>
      </c>
      <c r="G11" s="24" t="n">
        <v>1197.79</v>
      </c>
      <c r="H11" s="24" t="n">
        <v>1149.85</v>
      </c>
      <c r="I11" s="24" t="n">
        <f aca="false">G11+H11</f>
        <v>2347.64</v>
      </c>
      <c r="J11" s="24" t="n">
        <f aca="false">D11-I11</f>
        <v>32148.1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69</v>
      </c>
      <c r="C12" s="23" t="s">
        <v>29</v>
      </c>
      <c r="D12" s="24" t="n">
        <v>231207.03</v>
      </c>
      <c r="E12" s="24" t="n">
        <v>0</v>
      </c>
      <c r="F12" s="24" t="n">
        <v>0</v>
      </c>
      <c r="G12" s="24" t="n">
        <v>5459.05</v>
      </c>
      <c r="H12" s="24" t="n">
        <v>7706.92</v>
      </c>
      <c r="I12" s="24" t="n">
        <f aca="false">G12+H12</f>
        <v>13165.97</v>
      </c>
      <c r="J12" s="24" t="n">
        <f aca="false">D12-I12</f>
        <v>218041.06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1616.48</v>
      </c>
      <c r="E13" s="24" t="n">
        <v>0</v>
      </c>
      <c r="F13" s="24" t="n">
        <v>0</v>
      </c>
      <c r="G13" s="24" t="n">
        <v>121.71</v>
      </c>
      <c r="H13" s="24" t="n">
        <v>55.97</v>
      </c>
      <c r="I13" s="24" t="n">
        <f aca="false">G13+H13</f>
        <v>177.68</v>
      </c>
      <c r="J13" s="24" t="n">
        <f aca="false">D13-I13</f>
        <v>1438.8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70</v>
      </c>
      <c r="C14" s="23" t="s">
        <v>25</v>
      </c>
      <c r="D14" s="24" t="n">
        <v>8795.97</v>
      </c>
      <c r="E14" s="24" t="n">
        <v>0</v>
      </c>
      <c r="F14" s="24" t="n">
        <v>2256.71</v>
      </c>
      <c r="G14" s="24" t="n">
        <v>2256.71</v>
      </c>
      <c r="H14" s="24" t="n">
        <v>676.47</v>
      </c>
      <c r="I14" s="24" t="n">
        <f aca="false">G14+H14</f>
        <v>2933.18</v>
      </c>
      <c r="J14" s="24" t="n">
        <f aca="false">D14-I14</f>
        <v>5862.79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71</v>
      </c>
      <c r="C15" s="23" t="s">
        <v>27</v>
      </c>
      <c r="D15" s="24" t="n">
        <v>7572.23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7572.23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72</v>
      </c>
      <c r="C16" s="23" t="s">
        <v>29</v>
      </c>
      <c r="D16" s="24" t="n">
        <v>50752.78</v>
      </c>
      <c r="E16" s="24" t="n">
        <v>0</v>
      </c>
      <c r="F16" s="24" t="n">
        <v>0</v>
      </c>
      <c r="G16" s="24" t="n">
        <v>2030.1</v>
      </c>
      <c r="H16" s="24" t="n">
        <v>3248.19</v>
      </c>
      <c r="I16" s="24" t="n">
        <f aca="false">G16+H16</f>
        <v>5278.29</v>
      </c>
      <c r="J16" s="24" t="n">
        <f aca="false">D16-I16</f>
        <v>45474.49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398758.21</v>
      </c>
      <c r="E17" s="28" t="n">
        <f aca="false">SUM(E10:E16)</f>
        <v>0</v>
      </c>
      <c r="F17" s="28" t="n">
        <f aca="false">SUM(F10:F16)</f>
        <v>2256.71</v>
      </c>
      <c r="G17" s="28" t="n">
        <f aca="false">SUM(G10:G16)</f>
        <v>17707.8</v>
      </c>
      <c r="H17" s="28" t="n">
        <f aca="false">SUM(H10:H16)</f>
        <v>15179.55</v>
      </c>
      <c r="I17" s="28" t="n">
        <f aca="false">SUM(I10:I16)</f>
        <v>32887.35</v>
      </c>
      <c r="J17" s="28" t="n">
        <f aca="false">SUM(J10:J16)</f>
        <v>365870.86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222</v>
      </c>
      <c r="C21" s="23" t="s">
        <v>25</v>
      </c>
      <c r="D21" s="24" t="n">
        <v>16882.61</v>
      </c>
      <c r="E21" s="24" t="n">
        <v>0</v>
      </c>
      <c r="F21" s="24" t="n">
        <v>16882.61</v>
      </c>
      <c r="G21" s="24" t="n">
        <v>16882.61</v>
      </c>
      <c r="H21" s="24" t="n">
        <v>0</v>
      </c>
      <c r="I21" s="24" t="n">
        <f aca="false">G21+H21</f>
        <v>16882.61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223</v>
      </c>
      <c r="C22" s="23" t="s">
        <v>25</v>
      </c>
      <c r="D22" s="24" t="n">
        <v>47435.37</v>
      </c>
      <c r="E22" s="24" t="n">
        <v>0</v>
      </c>
      <c r="F22" s="24" t="n">
        <v>0</v>
      </c>
      <c r="G22" s="24" t="n">
        <v>8498.84</v>
      </c>
      <c r="H22" s="24" t="n">
        <v>1581.18</v>
      </c>
      <c r="I22" s="24" t="n">
        <f aca="false">G22+H22</f>
        <v>10080.02</v>
      </c>
      <c r="J22" s="24" t="n">
        <f aca="false">D22-I22</f>
        <v>37355.35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224</v>
      </c>
      <c r="C23" s="23" t="s">
        <v>27</v>
      </c>
      <c r="D23" s="24" t="n">
        <v>9054.67</v>
      </c>
      <c r="E23" s="24" t="n">
        <v>0</v>
      </c>
      <c r="F23" s="24" t="n">
        <v>9054.67</v>
      </c>
      <c r="G23" s="24" t="n">
        <v>9054.67</v>
      </c>
      <c r="H23" s="24" t="n">
        <v>0</v>
      </c>
      <c r="I23" s="24" t="n">
        <f aca="false">G23+H23</f>
        <v>9054.67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225</v>
      </c>
      <c r="C24" s="23" t="s">
        <v>27</v>
      </c>
      <c r="D24" s="24" t="n">
        <v>25441.07</v>
      </c>
      <c r="E24" s="24" t="n">
        <v>0</v>
      </c>
      <c r="F24" s="24" t="n">
        <v>0</v>
      </c>
      <c r="G24" s="24" t="n">
        <v>883.37</v>
      </c>
      <c r="H24" s="24" t="n">
        <v>848.04</v>
      </c>
      <c r="I24" s="24" t="n">
        <f aca="false">G24+H24</f>
        <v>1731.41</v>
      </c>
      <c r="J24" s="24" t="n">
        <f aca="false">D24-I24</f>
        <v>23709.66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226</v>
      </c>
      <c r="C25" s="23" t="s">
        <v>29</v>
      </c>
      <c r="D25" s="24" t="n">
        <v>60688.77</v>
      </c>
      <c r="E25" s="24" t="n">
        <v>0</v>
      </c>
      <c r="F25" s="24" t="n">
        <v>48551.02</v>
      </c>
      <c r="G25" s="24" t="n">
        <v>50978.57</v>
      </c>
      <c r="H25" s="24" t="n">
        <v>3884.08</v>
      </c>
      <c r="I25" s="24" t="n">
        <f aca="false">G25+H25</f>
        <v>54862.65</v>
      </c>
      <c r="J25" s="24" t="n">
        <f aca="false">D25-I25</f>
        <v>5826.12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227</v>
      </c>
      <c r="C26" s="23" t="s">
        <v>29</v>
      </c>
      <c r="D26" s="24" t="n">
        <v>170518.26</v>
      </c>
      <c r="E26" s="24" t="n">
        <v>0</v>
      </c>
      <c r="F26" s="24" t="n">
        <v>0</v>
      </c>
      <c r="G26" s="24" t="n">
        <v>4026.13</v>
      </c>
      <c r="H26" s="24" t="n">
        <v>5683.94</v>
      </c>
      <c r="I26" s="24" t="n">
        <f aca="false">G26+H26</f>
        <v>9710.07</v>
      </c>
      <c r="J26" s="24" t="n">
        <f aca="false">D26-I26</f>
        <v>160808.19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228</v>
      </c>
      <c r="C27" s="23" t="s">
        <v>31</v>
      </c>
      <c r="D27" s="24" t="n">
        <v>424.3</v>
      </c>
      <c r="E27" s="24" t="n">
        <v>0</v>
      </c>
      <c r="F27" s="24" t="n">
        <v>424.3</v>
      </c>
      <c r="G27" s="24" t="n">
        <v>424.3</v>
      </c>
      <c r="H27" s="24" t="n">
        <v>0</v>
      </c>
      <c r="I27" s="24" t="n">
        <f aca="false">G27+H27</f>
        <v>424.3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228</v>
      </c>
      <c r="C28" s="23" t="s">
        <v>31</v>
      </c>
      <c r="D28" s="24" t="n">
        <v>1192.18</v>
      </c>
      <c r="E28" s="24" t="n">
        <v>0</v>
      </c>
      <c r="F28" s="24" t="n">
        <v>0</v>
      </c>
      <c r="G28" s="24" t="n">
        <v>130.81</v>
      </c>
      <c r="H28" s="24" t="n">
        <v>39.74</v>
      </c>
      <c r="I28" s="24" t="n">
        <f aca="false">G28+H28</f>
        <v>170.55</v>
      </c>
      <c r="J28" s="24" t="n">
        <f aca="false">D28-I28</f>
        <v>1021.63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229</v>
      </c>
      <c r="C29" s="23" t="s">
        <v>25</v>
      </c>
      <c r="D29" s="24" t="n">
        <v>2308.83</v>
      </c>
      <c r="E29" s="24" t="n">
        <v>0</v>
      </c>
      <c r="F29" s="24" t="n">
        <v>2308.83</v>
      </c>
      <c r="G29" s="24" t="n">
        <v>2308.83</v>
      </c>
      <c r="H29" s="24" t="n">
        <v>0</v>
      </c>
      <c r="I29" s="24" t="n">
        <f aca="false">G29+H29</f>
        <v>2308.83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230</v>
      </c>
      <c r="C30" s="23" t="s">
        <v>25</v>
      </c>
      <c r="D30" s="24" t="n">
        <v>6487.14</v>
      </c>
      <c r="E30" s="24" t="n">
        <v>0</v>
      </c>
      <c r="F30" s="24" t="n">
        <v>0</v>
      </c>
      <c r="G30" s="24" t="n">
        <v>1162.29</v>
      </c>
      <c r="H30" s="24" t="n">
        <v>216.24</v>
      </c>
      <c r="I30" s="24" t="n">
        <f aca="false">G30+H30</f>
        <v>1378.53</v>
      </c>
      <c r="J30" s="24" t="n">
        <f aca="false">D30-I30</f>
        <v>5108.61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231</v>
      </c>
      <c r="C31" s="23" t="s">
        <v>27</v>
      </c>
      <c r="D31" s="24" t="n">
        <v>1987.61</v>
      </c>
      <c r="E31" s="24" t="n">
        <v>0</v>
      </c>
      <c r="F31" s="24" t="n">
        <v>1987.61</v>
      </c>
      <c r="G31" s="24" t="n">
        <v>1987.61</v>
      </c>
      <c r="H31" s="24" t="n">
        <v>0</v>
      </c>
      <c r="I31" s="24" t="n">
        <f aca="false">G31+H31</f>
        <v>1987.61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232</v>
      </c>
      <c r="C32" s="23" t="s">
        <v>27</v>
      </c>
      <c r="D32" s="24" t="n">
        <v>5584.62</v>
      </c>
      <c r="E32" s="24" t="n">
        <v>0</v>
      </c>
      <c r="F32" s="24" t="n">
        <v>0</v>
      </c>
      <c r="G32" s="24" t="n">
        <v>193.91</v>
      </c>
      <c r="H32" s="24" t="n">
        <v>186.15</v>
      </c>
      <c r="I32" s="24" t="n">
        <f aca="false">G32+H32</f>
        <v>380.06</v>
      </c>
      <c r="J32" s="24" t="n">
        <f aca="false">D32-I32</f>
        <v>5204.56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233</v>
      </c>
      <c r="C33" s="23" t="s">
        <v>29</v>
      </c>
      <c r="D33" s="24" t="n">
        <v>13321.94</v>
      </c>
      <c r="E33" s="24" t="n">
        <v>0</v>
      </c>
      <c r="F33" s="24" t="n">
        <v>10657.55</v>
      </c>
      <c r="G33" s="24" t="n">
        <v>11190.43</v>
      </c>
      <c r="H33" s="24" t="n">
        <v>852.6</v>
      </c>
      <c r="I33" s="24" t="n">
        <f aca="false">G33+H33</f>
        <v>12043.03</v>
      </c>
      <c r="J33" s="24" t="n">
        <f aca="false">D33-I33</f>
        <v>1278.91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234</v>
      </c>
      <c r="C34" s="23" t="s">
        <v>29</v>
      </c>
      <c r="D34" s="24" t="n">
        <v>37430.84</v>
      </c>
      <c r="E34" s="24" t="n">
        <v>0</v>
      </c>
      <c r="F34" s="24" t="n">
        <v>0</v>
      </c>
      <c r="G34" s="24" t="n">
        <v>883.78</v>
      </c>
      <c r="H34" s="24" t="n">
        <v>1247.69</v>
      </c>
      <c r="I34" s="24" t="n">
        <f aca="false">G34+H34</f>
        <v>2131.47</v>
      </c>
      <c r="J34" s="24" t="n">
        <f aca="false">D34-I34</f>
        <v>35299.37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398758.21</v>
      </c>
      <c r="E35" s="28" t="n">
        <f aca="false">SUM(E21:E34)</f>
        <v>0</v>
      </c>
      <c r="F35" s="28" t="n">
        <f aca="false">SUM(F21:F34)</f>
        <v>89866.59</v>
      </c>
      <c r="G35" s="28" t="n">
        <f aca="false">SUM(G21:G34)</f>
        <v>108606.15</v>
      </c>
      <c r="H35" s="28" t="n">
        <f aca="false">SUM(H21:H34)</f>
        <v>14539.66</v>
      </c>
      <c r="I35" s="28" t="n">
        <f aca="false">SUM(I21:I34)</f>
        <v>123145.81</v>
      </c>
      <c r="J35" s="28" t="n">
        <f aca="false">SUM(J21:J34)</f>
        <v>275612.4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32887.35</v>
      </c>
    </row>
    <row r="39" customFormat="false" ht="15" hidden="false" customHeight="false" outlineLevel="0" collapsed="false">
      <c r="B39" s="5" t="s">
        <v>415</v>
      </c>
      <c r="D39" s="6" t="n">
        <f aca="false">I35</f>
        <v>123145.81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-90258.46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67</v>
      </c>
      <c r="C45" s="23" t="s">
        <v>25</v>
      </c>
      <c r="D45" s="24" t="n">
        <v>64317.98</v>
      </c>
      <c r="E45" s="24" t="n">
        <v>0</v>
      </c>
      <c r="F45" s="24" t="n">
        <v>0</v>
      </c>
      <c r="G45" s="24" t="n">
        <v>6642.44</v>
      </c>
      <c r="H45" s="24" t="n">
        <v>2342.15</v>
      </c>
      <c r="I45" s="24" t="n">
        <f aca="false">G45+H45</f>
        <v>8984.59</v>
      </c>
      <c r="J45" s="24" t="n">
        <f aca="false">D45-I45</f>
        <v>55333.39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68</v>
      </c>
      <c r="C46" s="23" t="s">
        <v>27</v>
      </c>
      <c r="D46" s="24" t="n">
        <v>34495.74</v>
      </c>
      <c r="E46" s="24" t="n">
        <v>0</v>
      </c>
      <c r="F46" s="24" t="n">
        <v>0</v>
      </c>
      <c r="G46" s="24" t="n">
        <v>1197.79</v>
      </c>
      <c r="H46" s="24" t="n">
        <v>1149.85</v>
      </c>
      <c r="I46" s="24" t="n">
        <f aca="false">G46+H46</f>
        <v>2347.64</v>
      </c>
      <c r="J46" s="24" t="n">
        <f aca="false">D46-I46</f>
        <v>32148.1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69</v>
      </c>
      <c r="C47" s="23" t="s">
        <v>29</v>
      </c>
      <c r="D47" s="24" t="n">
        <v>231207.03</v>
      </c>
      <c r="E47" s="24" t="n">
        <v>0</v>
      </c>
      <c r="F47" s="24" t="n">
        <v>0</v>
      </c>
      <c r="G47" s="24" t="n">
        <v>5459.05</v>
      </c>
      <c r="H47" s="24" t="n">
        <v>7706.92</v>
      </c>
      <c r="I47" s="24" t="n">
        <f aca="false">G47+H47</f>
        <v>13165.97</v>
      </c>
      <c r="J47" s="24" t="n">
        <f aca="false">D47-I47</f>
        <v>218041.06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1616.48</v>
      </c>
      <c r="E48" s="24" t="n">
        <v>0</v>
      </c>
      <c r="F48" s="24" t="n">
        <v>0</v>
      </c>
      <c r="G48" s="24" t="n">
        <v>121.71</v>
      </c>
      <c r="H48" s="24" t="n">
        <v>55.97</v>
      </c>
      <c r="I48" s="24" t="n">
        <f aca="false">G48+H48</f>
        <v>177.68</v>
      </c>
      <c r="J48" s="24" t="n">
        <f aca="false">D48-I48</f>
        <v>1438.8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70</v>
      </c>
      <c r="C49" s="23" t="s">
        <v>25</v>
      </c>
      <c r="D49" s="24" t="n">
        <v>8795.97</v>
      </c>
      <c r="E49" s="24" t="n">
        <v>0</v>
      </c>
      <c r="F49" s="24" t="n">
        <v>2256.71</v>
      </c>
      <c r="G49" s="24" t="n">
        <v>2256.71</v>
      </c>
      <c r="H49" s="24" t="n">
        <v>676.47</v>
      </c>
      <c r="I49" s="24" t="n">
        <f aca="false">G49+H49</f>
        <v>2933.18</v>
      </c>
      <c r="J49" s="24" t="n">
        <f aca="false">D49-I49</f>
        <v>5862.79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71</v>
      </c>
      <c r="C50" s="23" t="s">
        <v>27</v>
      </c>
      <c r="D50" s="24" t="n">
        <v>7572.23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7572.23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72</v>
      </c>
      <c r="C51" s="23" t="s">
        <v>29</v>
      </c>
      <c r="D51" s="24" t="n">
        <v>50752.78</v>
      </c>
      <c r="E51" s="24" t="n">
        <v>0</v>
      </c>
      <c r="F51" s="24" t="n">
        <v>0</v>
      </c>
      <c r="G51" s="24" t="n">
        <v>2030.1</v>
      </c>
      <c r="H51" s="24" t="n">
        <v>3248.19</v>
      </c>
      <c r="I51" s="24" t="n">
        <f aca="false">G51+H51</f>
        <v>5278.29</v>
      </c>
      <c r="J51" s="24" t="n">
        <f aca="false">D51-I51</f>
        <v>45474.49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398758.21</v>
      </c>
      <c r="E52" s="28" t="n">
        <f aca="false">SUM(E45:E51)</f>
        <v>0</v>
      </c>
      <c r="F52" s="28" t="n">
        <f aca="false">SUM(F45:F51)</f>
        <v>2256.71</v>
      </c>
      <c r="G52" s="28" t="n">
        <f aca="false">SUM(G45:G51)</f>
        <v>17707.8</v>
      </c>
      <c r="H52" s="28" t="n">
        <f aca="false">SUM(H45:H51)</f>
        <v>15179.55</v>
      </c>
      <c r="I52" s="28" t="n">
        <f aca="false">SUM(I45:I51)</f>
        <v>32887.35</v>
      </c>
      <c r="J52" s="28" t="n">
        <f aca="false">SUM(J45:J51)</f>
        <v>365870.86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224</v>
      </c>
      <c r="C56" s="23" t="s">
        <v>27</v>
      </c>
      <c r="D56" s="24" t="n">
        <v>9054.67</v>
      </c>
      <c r="E56" s="24" t="n">
        <v>0</v>
      </c>
      <c r="F56" s="24" t="n">
        <v>9054.67</v>
      </c>
      <c r="G56" s="24" t="n">
        <v>9054.67</v>
      </c>
      <c r="H56" s="24" t="n">
        <v>0</v>
      </c>
      <c r="I56" s="24" t="n">
        <f aca="false">G56+H56</f>
        <v>9054.67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225</v>
      </c>
      <c r="C57" s="23" t="s">
        <v>27</v>
      </c>
      <c r="D57" s="24" t="n">
        <v>25441.07</v>
      </c>
      <c r="E57" s="24" t="n">
        <v>0</v>
      </c>
      <c r="F57" s="24" t="n">
        <v>0</v>
      </c>
      <c r="G57" s="24" t="n">
        <v>883.37</v>
      </c>
      <c r="H57" s="24" t="n">
        <v>848.04</v>
      </c>
      <c r="I57" s="24" t="n">
        <f aca="false">G57+H57</f>
        <v>1731.41</v>
      </c>
      <c r="J57" s="24" t="n">
        <f aca="false">D57-I57</f>
        <v>23709.66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226</v>
      </c>
      <c r="C58" s="23" t="s">
        <v>29</v>
      </c>
      <c r="D58" s="24" t="n">
        <v>60688.77</v>
      </c>
      <c r="E58" s="24" t="n">
        <v>0</v>
      </c>
      <c r="F58" s="24" t="n">
        <v>48551.02</v>
      </c>
      <c r="G58" s="24" t="n">
        <v>50978.57</v>
      </c>
      <c r="H58" s="24" t="n">
        <v>3884.08</v>
      </c>
      <c r="I58" s="24" t="n">
        <f aca="false">G58+H58</f>
        <v>54862.65</v>
      </c>
      <c r="J58" s="24" t="n">
        <f aca="false">D58-I58</f>
        <v>5826.12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227</v>
      </c>
      <c r="C59" s="23" t="s">
        <v>29</v>
      </c>
      <c r="D59" s="24" t="n">
        <v>170518.26</v>
      </c>
      <c r="E59" s="24" t="n">
        <v>0</v>
      </c>
      <c r="F59" s="24" t="n">
        <v>0</v>
      </c>
      <c r="G59" s="24" t="n">
        <v>4026.13</v>
      </c>
      <c r="H59" s="24" t="n">
        <v>5683.94</v>
      </c>
      <c r="I59" s="24" t="n">
        <f aca="false">G59+H59</f>
        <v>9710.07</v>
      </c>
      <c r="J59" s="24" t="n">
        <f aca="false">D59-I59</f>
        <v>160808.19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229</v>
      </c>
      <c r="C60" s="23" t="s">
        <v>25</v>
      </c>
      <c r="D60" s="24" t="n">
        <v>2308.83</v>
      </c>
      <c r="E60" s="24" t="n">
        <v>0</v>
      </c>
      <c r="F60" s="24" t="n">
        <v>2308.83</v>
      </c>
      <c r="G60" s="24" t="n">
        <v>2308.83</v>
      </c>
      <c r="H60" s="24" t="n">
        <v>0</v>
      </c>
      <c r="I60" s="24" t="n">
        <f aca="false">G60+H60</f>
        <v>2308.83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230</v>
      </c>
      <c r="C61" s="23" t="s">
        <v>25</v>
      </c>
      <c r="D61" s="24" t="n">
        <v>6487.14</v>
      </c>
      <c r="E61" s="24" t="n">
        <v>0</v>
      </c>
      <c r="F61" s="24" t="n">
        <v>0</v>
      </c>
      <c r="G61" s="24" t="n">
        <v>1162.29</v>
      </c>
      <c r="H61" s="24" t="n">
        <v>216.24</v>
      </c>
      <c r="I61" s="24" t="n">
        <f aca="false">G61+H61</f>
        <v>1378.53</v>
      </c>
      <c r="J61" s="24" t="n">
        <f aca="false">D61-I61</f>
        <v>5108.61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231</v>
      </c>
      <c r="C62" s="23" t="s">
        <v>27</v>
      </c>
      <c r="D62" s="24" t="n">
        <v>1987.61</v>
      </c>
      <c r="E62" s="24" t="n">
        <v>0</v>
      </c>
      <c r="F62" s="24" t="n">
        <v>1987.61</v>
      </c>
      <c r="G62" s="24" t="n">
        <v>1987.61</v>
      </c>
      <c r="H62" s="24" t="n">
        <v>0</v>
      </c>
      <c r="I62" s="24" t="n">
        <f aca="false">G62+H62</f>
        <v>1987.61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232</v>
      </c>
      <c r="C63" s="23" t="s">
        <v>27</v>
      </c>
      <c r="D63" s="24" t="n">
        <v>5584.62</v>
      </c>
      <c r="E63" s="24" t="n">
        <v>0</v>
      </c>
      <c r="F63" s="24" t="n">
        <v>0</v>
      </c>
      <c r="G63" s="24" t="n">
        <v>193.91</v>
      </c>
      <c r="H63" s="24" t="n">
        <v>186.15</v>
      </c>
      <c r="I63" s="24" t="n">
        <f aca="false">G63+H63</f>
        <v>380.06</v>
      </c>
      <c r="J63" s="24" t="n">
        <f aca="false">D63-I63</f>
        <v>5204.56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233</v>
      </c>
      <c r="C64" s="23" t="s">
        <v>29</v>
      </c>
      <c r="D64" s="24" t="n">
        <v>13321.94</v>
      </c>
      <c r="E64" s="24" t="n">
        <v>0</v>
      </c>
      <c r="F64" s="24" t="n">
        <v>10657.55</v>
      </c>
      <c r="G64" s="24" t="n">
        <v>11190.43</v>
      </c>
      <c r="H64" s="24" t="n">
        <v>852.6</v>
      </c>
      <c r="I64" s="24" t="n">
        <f aca="false">G64+H64</f>
        <v>12043.03</v>
      </c>
      <c r="J64" s="24" t="n">
        <f aca="false">D64-I64</f>
        <v>1278.91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234</v>
      </c>
      <c r="C65" s="23" t="s">
        <v>29</v>
      </c>
      <c r="D65" s="24" t="n">
        <v>37430.84</v>
      </c>
      <c r="E65" s="24" t="n">
        <v>0</v>
      </c>
      <c r="F65" s="24" t="n">
        <v>0</v>
      </c>
      <c r="G65" s="24" t="n">
        <v>883.78</v>
      </c>
      <c r="H65" s="24" t="n">
        <v>1247.69</v>
      </c>
      <c r="I65" s="24" t="n">
        <f aca="false">G65+H65</f>
        <v>2131.47</v>
      </c>
      <c r="J65" s="24" t="n">
        <f aca="false">D65-I65</f>
        <v>35299.37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332823.75</v>
      </c>
      <c r="E66" s="28" t="n">
        <f aca="false">SUM(E56:E65)</f>
        <v>0</v>
      </c>
      <c r="F66" s="28" t="n">
        <f aca="false">SUM(F56:F65)</f>
        <v>72559.68</v>
      </c>
      <c r="G66" s="28" t="n">
        <f aca="false">SUM(G56:G65)</f>
        <v>82669.59</v>
      </c>
      <c r="H66" s="28" t="n">
        <f aca="false">SUM(H56:H65)</f>
        <v>12918.74</v>
      </c>
      <c r="I66" s="28" t="n">
        <f aca="false">SUM(I56:I65)</f>
        <v>95588.33</v>
      </c>
      <c r="J66" s="28" t="n">
        <f aca="false">SUM(J56:J65)</f>
        <v>237235.42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32887.35</v>
      </c>
    </row>
    <row r="70" customFormat="false" ht="15" hidden="false" customHeight="false" outlineLevel="0" collapsed="false">
      <c r="B70" s="5" t="s">
        <v>415</v>
      </c>
      <c r="D70" s="6" t="n">
        <f aca="false">I66</f>
        <v>95588.33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-62700.98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398758.21</v>
      </c>
    </row>
    <row r="75" customFormat="false" ht="15" hidden="false" customHeight="false" outlineLevel="0" collapsed="false">
      <c r="B75" s="5" t="s">
        <v>446</v>
      </c>
      <c r="D75" s="6" t="n">
        <f aca="false">F111</f>
        <v>104668.73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0.262486708424135</v>
      </c>
    </row>
    <row r="77" customFormat="false" ht="15" hidden="false" customHeight="false" outlineLevel="0" collapsed="false">
      <c r="B77" s="5" t="s">
        <v>447</v>
      </c>
      <c r="D77" s="6" t="n">
        <f aca="false">H111</f>
        <v>294089.48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0.737513291575865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8394.17</v>
      </c>
      <c r="F84" s="33" t="n">
        <v>8394.17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32815.9</v>
      </c>
      <c r="F85" s="33" t="n">
        <v>32815.9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2648.72</v>
      </c>
      <c r="F86" s="33" t="n">
        <v>2648.72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394.4</v>
      </c>
      <c r="F87" s="33" t="n">
        <v>394.4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2858.97</v>
      </c>
      <c r="F89" s="33" t="n">
        <v>2858.97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16256.26</v>
      </c>
      <c r="H95" s="33" t="n">
        <v>16256.26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21691.79</v>
      </c>
      <c r="H96" s="33" t="n">
        <v>21691.79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31892.38</v>
      </c>
      <c r="H97" s="33" t="n">
        <v>31892.38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29436.62</v>
      </c>
      <c r="H98" s="33" t="n">
        <v>29436.62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27723.88</v>
      </c>
      <c r="H99" s="33" t="n">
        <v>27723.88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1864.29</v>
      </c>
      <c r="H100" s="33" t="n">
        <v>1864.29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21222.77</v>
      </c>
      <c r="H101" s="33" t="n">
        <v>21222.77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16292.68</v>
      </c>
      <c r="H102" s="33" t="n">
        <v>16292.68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12258.17</v>
      </c>
      <c r="H103" s="33" t="n">
        <v>12258.17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14614.91</v>
      </c>
      <c r="H104" s="33" t="n">
        <v>14614.91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38542.73</v>
      </c>
      <c r="H105" s="33" t="n">
        <v>38542.73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15289.77</v>
      </c>
      <c r="H106" s="33" t="n">
        <v>15289.77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37866.59</v>
      </c>
      <c r="H107" s="33" t="n">
        <v>37866.59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398758.21</v>
      </c>
      <c r="F111" s="34" t="n">
        <f aca="false">SUM(F82:F110)</f>
        <v>104668.73</v>
      </c>
      <c r="H111" s="34" t="n">
        <f aca="false">SUM(H82:H110)</f>
        <v>294089.48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0.262486708424135</v>
      </c>
      <c r="H112" s="31" t="n">
        <f aca="false">H111/D111</f>
        <v>0.737513291575865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6'!B21</f>
        <v>10-Building-Post Casualty Loss Basis-bldg6-5y</v>
      </c>
      <c r="D116" s="33" t="n">
        <f aca="false">SUM(F116:H116)</f>
        <v>16882.61</v>
      </c>
      <c r="F116" s="33" t="n">
        <f aca="false">'Building 6'!D21</f>
        <v>16882.61</v>
      </c>
    </row>
    <row r="117" customFormat="false" ht="15" hidden="false" customHeight="false" outlineLevel="0" collapsed="false">
      <c r="B117" s="5" t="str">
        <f aca="false">'Building 6'!B22</f>
        <v>10-Building-Post Casualty Loss Basis-bldg6-30</v>
      </c>
      <c r="D117" s="33" t="n">
        <f aca="false">SUM(F117:H117)</f>
        <v>47435.37</v>
      </c>
      <c r="H117" s="33" t="n">
        <f aca="false">'Building 6'!D22</f>
        <v>47435.37</v>
      </c>
    </row>
    <row r="118" customFormat="false" ht="15" hidden="false" customHeight="false" outlineLevel="0" collapsed="false">
      <c r="B118" s="5" t="str">
        <f aca="false">'Building 6'!B23</f>
        <v>12-New Buildings(16 units)-bldg6-5yr</v>
      </c>
      <c r="D118" s="33" t="n">
        <f aca="false">SUM(F118:H118)</f>
        <v>9054.67</v>
      </c>
      <c r="F118" s="33" t="n">
        <f aca="false">'Building 6'!D23</f>
        <v>9054.67</v>
      </c>
    </row>
    <row r="119" customFormat="false" ht="15" hidden="false" customHeight="false" outlineLevel="0" collapsed="false">
      <c r="B119" s="5" t="str">
        <f aca="false">'Building 6'!B24</f>
        <v>12-New Buildings(16 units)-bldg6-30yr</v>
      </c>
      <c r="D119" s="33" t="n">
        <f aca="false">SUM(F119:H119)</f>
        <v>25441.07</v>
      </c>
      <c r="H119" s="33" t="n">
        <f aca="false">'Building 6'!D24</f>
        <v>25441.07</v>
      </c>
    </row>
    <row r="120" customFormat="false" ht="15" hidden="false" customHeight="false" outlineLevel="0" collapsed="false">
      <c r="B120" s="5" t="str">
        <f aca="false">'Building 6'!B25</f>
        <v>14-New Buildings(105 units)-bldg6-5yr</v>
      </c>
      <c r="D120" s="33" t="n">
        <f aca="false">SUM(F120:H120)</f>
        <v>60688.77</v>
      </c>
      <c r="F120" s="33" t="n">
        <f aca="false">'Building 6'!D25</f>
        <v>60688.77</v>
      </c>
    </row>
    <row r="121" customFormat="false" ht="15" hidden="false" customHeight="false" outlineLevel="0" collapsed="false">
      <c r="B121" s="5" t="str">
        <f aca="false">'Building 6'!B26</f>
        <v>14-New Buildings(105 units)-bldg6-30yr</v>
      </c>
      <c r="D121" s="33" t="n">
        <f aca="false">SUM(F121:H121)</f>
        <v>170518.26</v>
      </c>
      <c r="H121" s="33" t="n">
        <f aca="false">'Building 6'!D26</f>
        <v>170518.26</v>
      </c>
    </row>
    <row r="122" customFormat="false" ht="15" hidden="false" customHeight="false" outlineLevel="0" collapsed="false">
      <c r="B122" s="5" t="str">
        <f aca="false">'Building 6'!B27</f>
        <v>11-Building Imp-Post-Casulty Loss Basis-bldg6</v>
      </c>
      <c r="D122" s="33" t="n">
        <f aca="false">SUM(F122:H122)</f>
        <v>424.3</v>
      </c>
      <c r="F122" s="33" t="n">
        <f aca="false">'Building 6'!D27</f>
        <v>424.3</v>
      </c>
    </row>
    <row r="123" customFormat="false" ht="15" hidden="false" customHeight="false" outlineLevel="0" collapsed="false">
      <c r="B123" s="5" t="str">
        <f aca="false">'Building 6'!B28</f>
        <v>11-Building Imp-Post-Casulty Loss Basis-bldg6</v>
      </c>
      <c r="D123" s="33" t="n">
        <f aca="false">SUM(F123:H123)</f>
        <v>1192.18</v>
      </c>
      <c r="H123" s="33" t="n">
        <f aca="false">'Building 6'!D28</f>
        <v>1192.18</v>
      </c>
    </row>
    <row r="124" customFormat="false" ht="15" hidden="false" customHeight="false" outlineLevel="0" collapsed="false">
      <c r="B124" s="5" t="str">
        <f aca="false">'Building 6'!B29</f>
        <v>2-Land Improvements-bldg6-5yr</v>
      </c>
      <c r="D124" s="33" t="n">
        <f aca="false">SUM(F124:H124)</f>
        <v>2308.83</v>
      </c>
      <c r="F124" s="33" t="n">
        <f aca="false">'Building 6'!D29</f>
        <v>2308.83</v>
      </c>
    </row>
    <row r="125" customFormat="false" ht="15" hidden="false" customHeight="false" outlineLevel="0" collapsed="false">
      <c r="B125" s="5" t="str">
        <f aca="false">'Building 6'!B30</f>
        <v>2-Land Improvements-bldg6-30yr</v>
      </c>
      <c r="D125" s="33" t="n">
        <f aca="false">SUM(F125:H125)</f>
        <v>6487.14</v>
      </c>
      <c r="H125" s="33" t="n">
        <f aca="false">'Building 6'!D30</f>
        <v>6487.14</v>
      </c>
    </row>
    <row r="126" customFormat="false" ht="15" hidden="false" customHeight="false" outlineLevel="0" collapsed="false">
      <c r="B126" s="5" t="str">
        <f aca="false">'Building 6'!B31</f>
        <v>13-New Equipment(16 units)-bldg6-5yr</v>
      </c>
      <c r="D126" s="33" t="n">
        <f aca="false">SUM(F126:H126)</f>
        <v>1987.61</v>
      </c>
      <c r="F126" s="33" t="n">
        <f aca="false">'Building 6'!D31</f>
        <v>1987.61</v>
      </c>
    </row>
    <row r="127" customFormat="false" ht="15" hidden="false" customHeight="false" outlineLevel="0" collapsed="false">
      <c r="B127" s="5" t="str">
        <f aca="false">'Building 6'!B32</f>
        <v>13-New Equipment(16 units)-bldg6-30yr</v>
      </c>
      <c r="D127" s="33" t="n">
        <f aca="false">SUM(F127:H127)</f>
        <v>5584.62</v>
      </c>
      <c r="H127" s="33" t="n">
        <f aca="false">'Building 6'!D32</f>
        <v>5584.62</v>
      </c>
    </row>
    <row r="128" customFormat="false" ht="15" hidden="false" customHeight="false" outlineLevel="0" collapsed="false">
      <c r="B128" s="5" t="str">
        <f aca="false">'Building 6'!B33</f>
        <v>15-New Equipment(105 units)-bldg6-5yr</v>
      </c>
      <c r="D128" s="33" t="n">
        <f aca="false">SUM(F128:H128)</f>
        <v>13321.94</v>
      </c>
      <c r="F128" s="33" t="n">
        <f aca="false">'Building 6'!D33</f>
        <v>13321.94</v>
      </c>
    </row>
    <row r="129" customFormat="false" ht="15" hidden="false" customHeight="false" outlineLevel="0" collapsed="false">
      <c r="B129" s="5" t="str">
        <f aca="false">'Building 6'!B34</f>
        <v>15-New Equipment(105 units)-bldg6-30yr</v>
      </c>
      <c r="D129" s="33" t="n">
        <f aca="false">SUM(F129:H129)</f>
        <v>37430.84</v>
      </c>
      <c r="H129" s="33" t="n">
        <f aca="false">'Building 6'!D34</f>
        <v>37430.84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398758.21</v>
      </c>
      <c r="F130" s="34" t="n">
        <f aca="false">SUM(F116:F129)</f>
        <v>104668.73</v>
      </c>
      <c r="H130" s="34" t="n">
        <f aca="false">SUM(H116:H129)</f>
        <v>294089.48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483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73</v>
      </c>
      <c r="C10" s="23" t="s">
        <v>25</v>
      </c>
      <c r="D10" s="24" t="n">
        <v>72325.23</v>
      </c>
      <c r="E10" s="24" t="n">
        <v>0</v>
      </c>
      <c r="F10" s="24" t="n">
        <v>0</v>
      </c>
      <c r="G10" s="24" t="n">
        <v>7469.39</v>
      </c>
      <c r="H10" s="24" t="n">
        <v>2633.73</v>
      </c>
      <c r="I10" s="24" t="n">
        <f aca="false">G10+H10</f>
        <v>10103.12</v>
      </c>
      <c r="J10" s="24" t="n">
        <f aca="false">D10-I10</f>
        <v>62222.11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74</v>
      </c>
      <c r="C11" s="23" t="s">
        <v>27</v>
      </c>
      <c r="D11" s="24" t="n">
        <v>38790.29</v>
      </c>
      <c r="E11" s="24" t="n">
        <v>0</v>
      </c>
      <c r="F11" s="24" t="n">
        <v>0</v>
      </c>
      <c r="G11" s="24" t="n">
        <v>1346.91</v>
      </c>
      <c r="H11" s="24" t="n">
        <v>1293</v>
      </c>
      <c r="I11" s="24" t="n">
        <f aca="false">G11+H11</f>
        <v>2639.91</v>
      </c>
      <c r="J11" s="24" t="n">
        <f aca="false">D11-I11</f>
        <v>36150.38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75</v>
      </c>
      <c r="C12" s="23" t="s">
        <v>29</v>
      </c>
      <c r="D12" s="24" t="n">
        <v>259991.11</v>
      </c>
      <c r="E12" s="24" t="n">
        <v>0</v>
      </c>
      <c r="F12" s="24" t="n">
        <v>0</v>
      </c>
      <c r="G12" s="24" t="n">
        <v>6138.68</v>
      </c>
      <c r="H12" s="24" t="n">
        <v>8666.38</v>
      </c>
      <c r="I12" s="24" t="n">
        <f aca="false">G12+H12</f>
        <v>14805.06</v>
      </c>
      <c r="J12" s="24" t="n">
        <f aca="false">D12-I12</f>
        <v>245186.05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1817.72</v>
      </c>
      <c r="E13" s="24" t="n">
        <v>0</v>
      </c>
      <c r="F13" s="24" t="n">
        <v>0</v>
      </c>
      <c r="G13" s="24" t="n">
        <v>136.87</v>
      </c>
      <c r="H13" s="24" t="n">
        <v>62.93</v>
      </c>
      <c r="I13" s="24" t="n">
        <f aca="false">G13+H13</f>
        <v>199.8</v>
      </c>
      <c r="J13" s="24" t="n">
        <f aca="false">D13-I13</f>
        <v>1617.92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76</v>
      </c>
      <c r="C14" s="23" t="s">
        <v>25</v>
      </c>
      <c r="D14" s="24" t="n">
        <v>9891.01</v>
      </c>
      <c r="E14" s="24" t="n">
        <v>0</v>
      </c>
      <c r="F14" s="24" t="n">
        <v>2537.66</v>
      </c>
      <c r="G14" s="24" t="n">
        <v>2537.66</v>
      </c>
      <c r="H14" s="24" t="n">
        <v>760.68</v>
      </c>
      <c r="I14" s="24" t="n">
        <f aca="false">G14+H14</f>
        <v>3298.34</v>
      </c>
      <c r="J14" s="24" t="n">
        <f aca="false">D14-I14</f>
        <v>6592.67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77</v>
      </c>
      <c r="C15" s="23" t="s">
        <v>27</v>
      </c>
      <c r="D15" s="24" t="n">
        <v>8514.93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8514.93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78</v>
      </c>
      <c r="C16" s="23" t="s">
        <v>29</v>
      </c>
      <c r="D16" s="24" t="n">
        <v>57071.24</v>
      </c>
      <c r="E16" s="24" t="n">
        <v>0</v>
      </c>
      <c r="F16" s="24" t="n">
        <v>0</v>
      </c>
      <c r="G16" s="24" t="n">
        <v>2282.85</v>
      </c>
      <c r="H16" s="24" t="n">
        <v>3652.56</v>
      </c>
      <c r="I16" s="24" t="n">
        <f aca="false">G16+H16</f>
        <v>5935.41</v>
      </c>
      <c r="J16" s="24" t="n">
        <f aca="false">D16-I16</f>
        <v>51135.83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448401.53</v>
      </c>
      <c r="E17" s="28" t="n">
        <f aca="false">SUM(E10:E16)</f>
        <v>0</v>
      </c>
      <c r="F17" s="28" t="n">
        <f aca="false">SUM(F10:F16)</f>
        <v>2537.66</v>
      </c>
      <c r="G17" s="28" t="n">
        <f aca="false">SUM(G10:G16)</f>
        <v>19912.36</v>
      </c>
      <c r="H17" s="28" t="n">
        <f aca="false">SUM(H10:H16)</f>
        <v>17069.28</v>
      </c>
      <c r="I17" s="28" t="n">
        <f aca="false">SUM(I10:I16)</f>
        <v>36981.64</v>
      </c>
      <c r="J17" s="28" t="n">
        <f aca="false">SUM(J10:J16)</f>
        <v>411419.89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235</v>
      </c>
      <c r="C21" s="23" t="s">
        <v>25</v>
      </c>
      <c r="D21" s="24" t="n">
        <v>18042.22</v>
      </c>
      <c r="E21" s="24" t="n">
        <v>0</v>
      </c>
      <c r="F21" s="24" t="n">
        <v>18042.22</v>
      </c>
      <c r="G21" s="24" t="n">
        <v>18042.22</v>
      </c>
      <c r="H21" s="24" t="n">
        <v>0</v>
      </c>
      <c r="I21" s="24" t="n">
        <f aca="false">G21+H21</f>
        <v>18042.22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236</v>
      </c>
      <c r="C22" s="23" t="s">
        <v>25</v>
      </c>
      <c r="D22" s="24" t="n">
        <v>54283.01</v>
      </c>
      <c r="E22" s="24" t="n">
        <v>0</v>
      </c>
      <c r="F22" s="24" t="n">
        <v>0</v>
      </c>
      <c r="G22" s="24" t="n">
        <v>9725.69</v>
      </c>
      <c r="H22" s="24" t="n">
        <v>1809.43</v>
      </c>
      <c r="I22" s="24" t="n">
        <f aca="false">G22+H22</f>
        <v>11535.12</v>
      </c>
      <c r="J22" s="24" t="n">
        <f aca="false">D22-I22</f>
        <v>42747.89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237</v>
      </c>
      <c r="C23" s="23" t="s">
        <v>27</v>
      </c>
      <c r="D23" s="24" t="n">
        <v>9676.61</v>
      </c>
      <c r="E23" s="24" t="n">
        <v>0</v>
      </c>
      <c r="F23" s="24" t="n">
        <v>9676.61</v>
      </c>
      <c r="G23" s="24" t="n">
        <v>9676.61</v>
      </c>
      <c r="H23" s="24" t="n">
        <v>0</v>
      </c>
      <c r="I23" s="24" t="n">
        <f aca="false">G23+H23</f>
        <v>9676.61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238</v>
      </c>
      <c r="C24" s="23" t="s">
        <v>27</v>
      </c>
      <c r="D24" s="24" t="n">
        <v>29113.68</v>
      </c>
      <c r="E24" s="24" t="n">
        <v>0</v>
      </c>
      <c r="F24" s="24" t="n">
        <v>0</v>
      </c>
      <c r="G24" s="24" t="n">
        <v>1010.9</v>
      </c>
      <c r="H24" s="24" t="n">
        <v>970.46</v>
      </c>
      <c r="I24" s="24" t="n">
        <f aca="false">G24+H24</f>
        <v>1981.36</v>
      </c>
      <c r="J24" s="24" t="n">
        <f aca="false">D24-I24</f>
        <v>27132.32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239</v>
      </c>
      <c r="C25" s="23" t="s">
        <v>29</v>
      </c>
      <c r="D25" s="24" t="n">
        <v>64857.26</v>
      </c>
      <c r="E25" s="24" t="n">
        <v>0</v>
      </c>
      <c r="F25" s="24" t="n">
        <v>51885.81</v>
      </c>
      <c r="G25" s="24" t="n">
        <v>54480.1</v>
      </c>
      <c r="H25" s="24" t="n">
        <v>4150.86</v>
      </c>
      <c r="I25" s="24" t="n">
        <f aca="false">G25+H25</f>
        <v>58630.96</v>
      </c>
      <c r="J25" s="24" t="n">
        <f aca="false">D25-I25</f>
        <v>6226.3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240</v>
      </c>
      <c r="C26" s="23" t="s">
        <v>29</v>
      </c>
      <c r="D26" s="24" t="n">
        <v>195133.85</v>
      </c>
      <c r="E26" s="24" t="n">
        <v>0</v>
      </c>
      <c r="F26" s="24" t="n">
        <v>0</v>
      </c>
      <c r="G26" s="24" t="n">
        <v>4607.33</v>
      </c>
      <c r="H26" s="24" t="n">
        <v>6504.46</v>
      </c>
      <c r="I26" s="24" t="n">
        <f aca="false">G26+H26</f>
        <v>11111.79</v>
      </c>
      <c r="J26" s="24" t="n">
        <f aca="false">D26-I26</f>
        <v>184022.06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241</v>
      </c>
      <c r="C27" s="23" t="s">
        <v>31</v>
      </c>
      <c r="D27" s="24" t="n">
        <v>453.45</v>
      </c>
      <c r="E27" s="24" t="n">
        <v>0</v>
      </c>
      <c r="F27" s="24" t="n">
        <v>453.45</v>
      </c>
      <c r="G27" s="24" t="n">
        <v>453.45</v>
      </c>
      <c r="H27" s="24" t="n">
        <v>0</v>
      </c>
      <c r="I27" s="24" t="n">
        <f aca="false">G27+H27</f>
        <v>453.45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241</v>
      </c>
      <c r="C28" s="23" t="s">
        <v>31</v>
      </c>
      <c r="D28" s="24" t="n">
        <v>1364.27</v>
      </c>
      <c r="E28" s="24" t="n">
        <v>0</v>
      </c>
      <c r="F28" s="24" t="n">
        <v>0</v>
      </c>
      <c r="G28" s="24" t="n">
        <v>149.7</v>
      </c>
      <c r="H28" s="24" t="n">
        <v>45.48</v>
      </c>
      <c r="I28" s="24" t="n">
        <f aca="false">G28+H28</f>
        <v>195.18</v>
      </c>
      <c r="J28" s="24" t="n">
        <f aca="false">D28-I28</f>
        <v>1169.09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242</v>
      </c>
      <c r="C29" s="23" t="s">
        <v>25</v>
      </c>
      <c r="D29" s="24" t="n">
        <v>2467.41</v>
      </c>
      <c r="E29" s="24" t="n">
        <v>0</v>
      </c>
      <c r="F29" s="24" t="n">
        <v>2467.41</v>
      </c>
      <c r="G29" s="24" t="n">
        <v>2467.41</v>
      </c>
      <c r="H29" s="24" t="n">
        <v>0</v>
      </c>
      <c r="I29" s="24" t="n">
        <f aca="false">G29+H29</f>
        <v>2467.41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243</v>
      </c>
      <c r="C30" s="23" t="s">
        <v>25</v>
      </c>
      <c r="D30" s="24" t="n">
        <v>7423.6</v>
      </c>
      <c r="E30" s="24" t="n">
        <v>0</v>
      </c>
      <c r="F30" s="24" t="n">
        <v>0</v>
      </c>
      <c r="G30" s="24" t="n">
        <v>1330.05</v>
      </c>
      <c r="H30" s="24" t="n">
        <v>247.45</v>
      </c>
      <c r="I30" s="24" t="n">
        <f aca="false">G30+H30</f>
        <v>1577.5</v>
      </c>
      <c r="J30" s="24" t="n">
        <f aca="false">D30-I30</f>
        <v>5846.1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244</v>
      </c>
      <c r="C31" s="23" t="s">
        <v>27</v>
      </c>
      <c r="D31" s="24" t="n">
        <v>2124.13</v>
      </c>
      <c r="E31" s="24" t="n">
        <v>0</v>
      </c>
      <c r="F31" s="24" t="n">
        <v>2124.13</v>
      </c>
      <c r="G31" s="24" t="n">
        <v>2124.13</v>
      </c>
      <c r="H31" s="24" t="n">
        <v>0</v>
      </c>
      <c r="I31" s="24" t="n">
        <f aca="false">G31+H31</f>
        <v>2124.13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245</v>
      </c>
      <c r="C32" s="23" t="s">
        <v>27</v>
      </c>
      <c r="D32" s="24" t="n">
        <v>6390.8</v>
      </c>
      <c r="E32" s="24" t="n">
        <v>0</v>
      </c>
      <c r="F32" s="24" t="n">
        <v>0</v>
      </c>
      <c r="G32" s="24" t="n">
        <v>221.91</v>
      </c>
      <c r="H32" s="24" t="n">
        <v>213.03</v>
      </c>
      <c r="I32" s="24" t="n">
        <f aca="false">G32+H32</f>
        <v>434.94</v>
      </c>
      <c r="J32" s="24" t="n">
        <f aca="false">D32-I32</f>
        <v>5955.86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246</v>
      </c>
      <c r="C33" s="23" t="s">
        <v>29</v>
      </c>
      <c r="D33" s="24" t="n">
        <v>14236.95</v>
      </c>
      <c r="E33" s="24" t="n">
        <v>0</v>
      </c>
      <c r="F33" s="24" t="n">
        <v>11389.56</v>
      </c>
      <c r="G33" s="24" t="n">
        <v>11959.04</v>
      </c>
      <c r="H33" s="24" t="n">
        <v>911.16</v>
      </c>
      <c r="I33" s="24" t="n">
        <f aca="false">G33+H33</f>
        <v>12870.2</v>
      </c>
      <c r="J33" s="24" t="n">
        <f aca="false">D33-I33</f>
        <v>1366.75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247</v>
      </c>
      <c r="C34" s="23" t="s">
        <v>29</v>
      </c>
      <c r="D34" s="24" t="n">
        <v>42834.29</v>
      </c>
      <c r="E34" s="24" t="n">
        <v>0</v>
      </c>
      <c r="F34" s="24" t="n">
        <v>0</v>
      </c>
      <c r="G34" s="24" t="n">
        <v>1011.37</v>
      </c>
      <c r="H34" s="24" t="n">
        <v>1427.81</v>
      </c>
      <c r="I34" s="24" t="n">
        <f aca="false">G34+H34</f>
        <v>2439.18</v>
      </c>
      <c r="J34" s="24" t="n">
        <f aca="false">D34-I34</f>
        <v>40395.11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448401.53</v>
      </c>
      <c r="E35" s="28" t="n">
        <f aca="false">SUM(E21:E34)</f>
        <v>0</v>
      </c>
      <c r="F35" s="28" t="n">
        <f aca="false">SUM(F21:F34)</f>
        <v>96039.19</v>
      </c>
      <c r="G35" s="28" t="n">
        <f aca="false">SUM(G21:G34)</f>
        <v>117259.91</v>
      </c>
      <c r="H35" s="28" t="n">
        <f aca="false">SUM(H21:H34)</f>
        <v>16280.14</v>
      </c>
      <c r="I35" s="28" t="n">
        <f aca="false">SUM(I21:I34)</f>
        <v>133540.05</v>
      </c>
      <c r="J35" s="28" t="n">
        <f aca="false">SUM(J21:J34)</f>
        <v>314861.48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36981.64</v>
      </c>
    </row>
    <row r="39" customFormat="false" ht="15" hidden="false" customHeight="false" outlineLevel="0" collapsed="false">
      <c r="B39" s="5" t="s">
        <v>415</v>
      </c>
      <c r="D39" s="6" t="n">
        <f aca="false">I35</f>
        <v>133540.05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-96558.41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73</v>
      </c>
      <c r="C45" s="23" t="s">
        <v>25</v>
      </c>
      <c r="D45" s="24" t="n">
        <v>72325.23</v>
      </c>
      <c r="E45" s="24" t="n">
        <v>0</v>
      </c>
      <c r="F45" s="24" t="n">
        <v>0</v>
      </c>
      <c r="G45" s="24" t="n">
        <v>7469.39</v>
      </c>
      <c r="H45" s="24" t="n">
        <v>2633.73</v>
      </c>
      <c r="I45" s="24" t="n">
        <f aca="false">G45+H45</f>
        <v>10103.12</v>
      </c>
      <c r="J45" s="24" t="n">
        <f aca="false">D45-I45</f>
        <v>62222.11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74</v>
      </c>
      <c r="C46" s="23" t="s">
        <v>27</v>
      </c>
      <c r="D46" s="24" t="n">
        <v>38790.29</v>
      </c>
      <c r="E46" s="24" t="n">
        <v>0</v>
      </c>
      <c r="F46" s="24" t="n">
        <v>0</v>
      </c>
      <c r="G46" s="24" t="n">
        <v>1346.91</v>
      </c>
      <c r="H46" s="24" t="n">
        <v>1293</v>
      </c>
      <c r="I46" s="24" t="n">
        <f aca="false">G46+H46</f>
        <v>2639.91</v>
      </c>
      <c r="J46" s="24" t="n">
        <f aca="false">D46-I46</f>
        <v>36150.38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75</v>
      </c>
      <c r="C47" s="23" t="s">
        <v>29</v>
      </c>
      <c r="D47" s="24" t="n">
        <v>259991.11</v>
      </c>
      <c r="E47" s="24" t="n">
        <v>0</v>
      </c>
      <c r="F47" s="24" t="n">
        <v>0</v>
      </c>
      <c r="G47" s="24" t="n">
        <v>6138.68</v>
      </c>
      <c r="H47" s="24" t="n">
        <v>8666.38</v>
      </c>
      <c r="I47" s="24" t="n">
        <f aca="false">G47+H47</f>
        <v>14805.06</v>
      </c>
      <c r="J47" s="24" t="n">
        <f aca="false">D47-I47</f>
        <v>245186.05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1817.72</v>
      </c>
      <c r="E48" s="24" t="n">
        <v>0</v>
      </c>
      <c r="F48" s="24" t="n">
        <v>0</v>
      </c>
      <c r="G48" s="24" t="n">
        <v>136.87</v>
      </c>
      <c r="H48" s="24" t="n">
        <v>62.93</v>
      </c>
      <c r="I48" s="24" t="n">
        <f aca="false">G48+H48</f>
        <v>199.8</v>
      </c>
      <c r="J48" s="24" t="n">
        <f aca="false">D48-I48</f>
        <v>1617.92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76</v>
      </c>
      <c r="C49" s="23" t="s">
        <v>25</v>
      </c>
      <c r="D49" s="24" t="n">
        <v>9891.01</v>
      </c>
      <c r="E49" s="24" t="n">
        <v>0</v>
      </c>
      <c r="F49" s="24" t="n">
        <v>2537.66</v>
      </c>
      <c r="G49" s="24" t="n">
        <v>2537.66</v>
      </c>
      <c r="H49" s="24" t="n">
        <v>760.68</v>
      </c>
      <c r="I49" s="24" t="n">
        <f aca="false">G49+H49</f>
        <v>3298.34</v>
      </c>
      <c r="J49" s="24" t="n">
        <f aca="false">D49-I49</f>
        <v>6592.67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77</v>
      </c>
      <c r="C50" s="23" t="s">
        <v>27</v>
      </c>
      <c r="D50" s="24" t="n">
        <v>8514.93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8514.93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78</v>
      </c>
      <c r="C51" s="23" t="s">
        <v>29</v>
      </c>
      <c r="D51" s="24" t="n">
        <v>57071.24</v>
      </c>
      <c r="E51" s="24" t="n">
        <v>0</v>
      </c>
      <c r="F51" s="24" t="n">
        <v>0</v>
      </c>
      <c r="G51" s="24" t="n">
        <v>2282.85</v>
      </c>
      <c r="H51" s="24" t="n">
        <v>3652.56</v>
      </c>
      <c r="I51" s="24" t="n">
        <f aca="false">G51+H51</f>
        <v>5935.41</v>
      </c>
      <c r="J51" s="24" t="n">
        <f aca="false">D51-I51</f>
        <v>51135.83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448401.53</v>
      </c>
      <c r="E52" s="28" t="n">
        <f aca="false">SUM(E45:E51)</f>
        <v>0</v>
      </c>
      <c r="F52" s="28" t="n">
        <f aca="false">SUM(F45:F51)</f>
        <v>2537.66</v>
      </c>
      <c r="G52" s="28" t="n">
        <f aca="false">SUM(G45:G51)</f>
        <v>19912.36</v>
      </c>
      <c r="H52" s="28" t="n">
        <f aca="false">SUM(H45:H51)</f>
        <v>17069.28</v>
      </c>
      <c r="I52" s="28" t="n">
        <f aca="false">SUM(I45:I51)</f>
        <v>36981.64</v>
      </c>
      <c r="J52" s="28" t="n">
        <f aca="false">SUM(J45:J51)</f>
        <v>411419.89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237</v>
      </c>
      <c r="C56" s="23" t="s">
        <v>27</v>
      </c>
      <c r="D56" s="24" t="n">
        <v>9676.61</v>
      </c>
      <c r="E56" s="24" t="n">
        <v>0</v>
      </c>
      <c r="F56" s="24" t="n">
        <v>9676.61</v>
      </c>
      <c r="G56" s="24" t="n">
        <v>9676.61</v>
      </c>
      <c r="H56" s="24" t="n">
        <v>0</v>
      </c>
      <c r="I56" s="24" t="n">
        <f aca="false">G56+H56</f>
        <v>9676.61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238</v>
      </c>
      <c r="C57" s="23" t="s">
        <v>27</v>
      </c>
      <c r="D57" s="24" t="n">
        <v>29113.68</v>
      </c>
      <c r="E57" s="24" t="n">
        <v>0</v>
      </c>
      <c r="F57" s="24" t="n">
        <v>0</v>
      </c>
      <c r="G57" s="24" t="n">
        <v>1010.9</v>
      </c>
      <c r="H57" s="24" t="n">
        <v>970.46</v>
      </c>
      <c r="I57" s="24" t="n">
        <f aca="false">G57+H57</f>
        <v>1981.36</v>
      </c>
      <c r="J57" s="24" t="n">
        <f aca="false">D57-I57</f>
        <v>27132.32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239</v>
      </c>
      <c r="C58" s="23" t="s">
        <v>29</v>
      </c>
      <c r="D58" s="24" t="n">
        <v>64857.26</v>
      </c>
      <c r="E58" s="24" t="n">
        <v>0</v>
      </c>
      <c r="F58" s="24" t="n">
        <v>51885.81</v>
      </c>
      <c r="G58" s="24" t="n">
        <v>54480.1</v>
      </c>
      <c r="H58" s="24" t="n">
        <v>4150.86</v>
      </c>
      <c r="I58" s="24" t="n">
        <f aca="false">G58+H58</f>
        <v>58630.96</v>
      </c>
      <c r="J58" s="24" t="n">
        <f aca="false">D58-I58</f>
        <v>6226.3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240</v>
      </c>
      <c r="C59" s="23" t="s">
        <v>29</v>
      </c>
      <c r="D59" s="24" t="n">
        <v>195133.85</v>
      </c>
      <c r="E59" s="24" t="n">
        <v>0</v>
      </c>
      <c r="F59" s="24" t="n">
        <v>0</v>
      </c>
      <c r="G59" s="24" t="n">
        <v>4607.33</v>
      </c>
      <c r="H59" s="24" t="n">
        <v>6504.46</v>
      </c>
      <c r="I59" s="24" t="n">
        <f aca="false">G59+H59</f>
        <v>11111.79</v>
      </c>
      <c r="J59" s="24" t="n">
        <f aca="false">D59-I59</f>
        <v>184022.06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242</v>
      </c>
      <c r="C60" s="23" t="s">
        <v>25</v>
      </c>
      <c r="D60" s="24" t="n">
        <v>2467.41</v>
      </c>
      <c r="E60" s="24" t="n">
        <v>0</v>
      </c>
      <c r="F60" s="24" t="n">
        <v>2467.41</v>
      </c>
      <c r="G60" s="24" t="n">
        <v>2467.41</v>
      </c>
      <c r="H60" s="24" t="n">
        <v>0</v>
      </c>
      <c r="I60" s="24" t="n">
        <f aca="false">G60+H60</f>
        <v>2467.41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243</v>
      </c>
      <c r="C61" s="23" t="s">
        <v>25</v>
      </c>
      <c r="D61" s="24" t="n">
        <v>7423.6</v>
      </c>
      <c r="E61" s="24" t="n">
        <v>0</v>
      </c>
      <c r="F61" s="24" t="n">
        <v>0</v>
      </c>
      <c r="G61" s="24" t="n">
        <v>1330.05</v>
      </c>
      <c r="H61" s="24" t="n">
        <v>247.45</v>
      </c>
      <c r="I61" s="24" t="n">
        <f aca="false">G61+H61</f>
        <v>1577.5</v>
      </c>
      <c r="J61" s="24" t="n">
        <f aca="false">D61-I61</f>
        <v>5846.1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244</v>
      </c>
      <c r="C62" s="23" t="s">
        <v>27</v>
      </c>
      <c r="D62" s="24" t="n">
        <v>2124.13</v>
      </c>
      <c r="E62" s="24" t="n">
        <v>0</v>
      </c>
      <c r="F62" s="24" t="n">
        <v>2124.13</v>
      </c>
      <c r="G62" s="24" t="n">
        <v>2124.13</v>
      </c>
      <c r="H62" s="24" t="n">
        <v>0</v>
      </c>
      <c r="I62" s="24" t="n">
        <f aca="false">G62+H62</f>
        <v>2124.13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245</v>
      </c>
      <c r="C63" s="23" t="s">
        <v>27</v>
      </c>
      <c r="D63" s="24" t="n">
        <v>6390.8</v>
      </c>
      <c r="E63" s="24" t="n">
        <v>0</v>
      </c>
      <c r="F63" s="24" t="n">
        <v>0</v>
      </c>
      <c r="G63" s="24" t="n">
        <v>221.91</v>
      </c>
      <c r="H63" s="24" t="n">
        <v>213.03</v>
      </c>
      <c r="I63" s="24" t="n">
        <f aca="false">G63+H63</f>
        <v>434.94</v>
      </c>
      <c r="J63" s="24" t="n">
        <f aca="false">D63-I63</f>
        <v>5955.86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246</v>
      </c>
      <c r="C64" s="23" t="s">
        <v>29</v>
      </c>
      <c r="D64" s="24" t="n">
        <v>14236.95</v>
      </c>
      <c r="E64" s="24" t="n">
        <v>0</v>
      </c>
      <c r="F64" s="24" t="n">
        <v>11389.56</v>
      </c>
      <c r="G64" s="24" t="n">
        <v>11959.04</v>
      </c>
      <c r="H64" s="24" t="n">
        <v>911.16</v>
      </c>
      <c r="I64" s="24" t="n">
        <f aca="false">G64+H64</f>
        <v>12870.2</v>
      </c>
      <c r="J64" s="24" t="n">
        <f aca="false">D64-I64</f>
        <v>1366.75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247</v>
      </c>
      <c r="C65" s="23" t="s">
        <v>29</v>
      </c>
      <c r="D65" s="24" t="n">
        <v>42834.29</v>
      </c>
      <c r="E65" s="24" t="n">
        <v>0</v>
      </c>
      <c r="F65" s="24" t="n">
        <v>0</v>
      </c>
      <c r="G65" s="24" t="n">
        <v>1011.37</v>
      </c>
      <c r="H65" s="24" t="n">
        <v>1427.81</v>
      </c>
      <c r="I65" s="24" t="n">
        <f aca="false">G65+H65</f>
        <v>2439.18</v>
      </c>
      <c r="J65" s="24" t="n">
        <f aca="false">D65-I65</f>
        <v>40395.11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374258.58</v>
      </c>
      <c r="E66" s="28" t="n">
        <f aca="false">SUM(E56:E65)</f>
        <v>0</v>
      </c>
      <c r="F66" s="28" t="n">
        <f aca="false">SUM(F56:F65)</f>
        <v>77543.52</v>
      </c>
      <c r="G66" s="28" t="n">
        <f aca="false">SUM(G56:G65)</f>
        <v>88888.85</v>
      </c>
      <c r="H66" s="28" t="n">
        <f aca="false">SUM(H56:H65)</f>
        <v>14425.23</v>
      </c>
      <c r="I66" s="28" t="n">
        <f aca="false">SUM(I56:I65)</f>
        <v>103314.08</v>
      </c>
      <c r="J66" s="28" t="n">
        <f aca="false">SUM(J56:J65)</f>
        <v>270944.5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36981.64</v>
      </c>
    </row>
    <row r="70" customFormat="false" ht="15" hidden="false" customHeight="false" outlineLevel="0" collapsed="false">
      <c r="B70" s="5" t="s">
        <v>415</v>
      </c>
      <c r="D70" s="6" t="n">
        <f aca="false">I66</f>
        <v>103314.08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-66332.44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448401.53</v>
      </c>
    </row>
    <row r="75" customFormat="false" ht="15" hidden="false" customHeight="false" outlineLevel="0" collapsed="false">
      <c r="B75" s="5" t="s">
        <v>446</v>
      </c>
      <c r="D75" s="6" t="n">
        <f aca="false">F111</f>
        <v>111858.03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0.24945951901636</v>
      </c>
    </row>
    <row r="77" customFormat="false" ht="15" hidden="false" customHeight="false" outlineLevel="0" collapsed="false">
      <c r="B77" s="5" t="s">
        <v>447</v>
      </c>
      <c r="D77" s="6" t="n">
        <f aca="false">H111</f>
        <v>336543.5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0.75054048098364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8975.5</v>
      </c>
      <c r="F84" s="33" t="n">
        <v>8975.5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38285.2</v>
      </c>
      <c r="F85" s="33" t="n">
        <v>38285.2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3310.89</v>
      </c>
      <c r="F86" s="33" t="n">
        <v>3310.89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394.4</v>
      </c>
      <c r="F87" s="33" t="n">
        <v>394.4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3335.47</v>
      </c>
      <c r="F89" s="33" t="n">
        <v>3335.47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18787.91</v>
      </c>
      <c r="H95" s="33" t="n">
        <v>18787.91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25094.53</v>
      </c>
      <c r="H96" s="33" t="n">
        <v>25094.53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37207.78</v>
      </c>
      <c r="H97" s="33" t="n">
        <v>37207.78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35233.43</v>
      </c>
      <c r="H98" s="33" t="n">
        <v>35233.43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32344.52</v>
      </c>
      <c r="H99" s="33" t="n">
        <v>32344.52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2485.72</v>
      </c>
      <c r="H100" s="33" t="n">
        <v>2485.72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24768.13</v>
      </c>
      <c r="H101" s="33" t="n">
        <v>24768.13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18966.91</v>
      </c>
      <c r="H102" s="33" t="n">
        <v>18966.91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15176.79</v>
      </c>
      <c r="H103" s="33" t="n">
        <v>15176.79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17050.73</v>
      </c>
      <c r="H104" s="33" t="n">
        <v>17050.73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40897.65</v>
      </c>
      <c r="H105" s="33" t="n">
        <v>40897.65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16588.72</v>
      </c>
      <c r="H106" s="33" t="n">
        <v>16588.72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42804.04</v>
      </c>
      <c r="H107" s="33" t="n">
        <v>42804.04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448401.53</v>
      </c>
      <c r="F111" s="34" t="n">
        <f aca="false">SUM(F82:F110)</f>
        <v>111858.03</v>
      </c>
      <c r="H111" s="34" t="n">
        <f aca="false">SUM(H82:H110)</f>
        <v>336543.5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0.24945951901636</v>
      </c>
      <c r="H112" s="31" t="n">
        <f aca="false">H111/D111</f>
        <v>0.75054048098364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7'!B21</f>
        <v>10-Building-Post Casualty Loss Basis-bldg7-5y</v>
      </c>
      <c r="D116" s="33" t="n">
        <f aca="false">SUM(F116:H116)</f>
        <v>18042.22</v>
      </c>
      <c r="F116" s="33" t="n">
        <f aca="false">'Building 7'!D21</f>
        <v>18042.22</v>
      </c>
    </row>
    <row r="117" customFormat="false" ht="15" hidden="false" customHeight="false" outlineLevel="0" collapsed="false">
      <c r="B117" s="5" t="str">
        <f aca="false">'Building 7'!B22</f>
        <v>10-Building-Post Casualty Loss Basis-bldg7-30</v>
      </c>
      <c r="D117" s="33" t="n">
        <f aca="false">SUM(F117:H117)</f>
        <v>54283.01</v>
      </c>
      <c r="H117" s="33" t="n">
        <f aca="false">'Building 7'!D22</f>
        <v>54283.01</v>
      </c>
    </row>
    <row r="118" customFormat="false" ht="15" hidden="false" customHeight="false" outlineLevel="0" collapsed="false">
      <c r="B118" s="5" t="str">
        <f aca="false">'Building 7'!B23</f>
        <v>12-New Buildings(16 units)-bldg7-5yr</v>
      </c>
      <c r="D118" s="33" t="n">
        <f aca="false">SUM(F118:H118)</f>
        <v>9676.61</v>
      </c>
      <c r="F118" s="33" t="n">
        <f aca="false">'Building 7'!D23</f>
        <v>9676.61</v>
      </c>
    </row>
    <row r="119" customFormat="false" ht="15" hidden="false" customHeight="false" outlineLevel="0" collapsed="false">
      <c r="B119" s="5" t="str">
        <f aca="false">'Building 7'!B24</f>
        <v>12-New Buildings(16 units)-bldg7-30yr</v>
      </c>
      <c r="D119" s="33" t="n">
        <f aca="false">SUM(F119:H119)</f>
        <v>29113.68</v>
      </c>
      <c r="H119" s="33" t="n">
        <f aca="false">'Building 7'!D24</f>
        <v>29113.68</v>
      </c>
    </row>
    <row r="120" customFormat="false" ht="15" hidden="false" customHeight="false" outlineLevel="0" collapsed="false">
      <c r="B120" s="5" t="str">
        <f aca="false">'Building 7'!B25</f>
        <v>14-New Buildings(105 units)-bldg7-5yr</v>
      </c>
      <c r="D120" s="33" t="n">
        <f aca="false">SUM(F120:H120)</f>
        <v>64857.26</v>
      </c>
      <c r="F120" s="33" t="n">
        <f aca="false">'Building 7'!D25</f>
        <v>64857.26</v>
      </c>
    </row>
    <row r="121" customFormat="false" ht="15" hidden="false" customHeight="false" outlineLevel="0" collapsed="false">
      <c r="B121" s="5" t="str">
        <f aca="false">'Building 7'!B26</f>
        <v>14-New Buildings(105 units)-bldg7-30yr</v>
      </c>
      <c r="D121" s="33" t="n">
        <f aca="false">SUM(F121:H121)</f>
        <v>195133.85</v>
      </c>
      <c r="H121" s="33" t="n">
        <f aca="false">'Building 7'!D26</f>
        <v>195133.85</v>
      </c>
    </row>
    <row r="122" customFormat="false" ht="15" hidden="false" customHeight="false" outlineLevel="0" collapsed="false">
      <c r="B122" s="5" t="str">
        <f aca="false">'Building 7'!B27</f>
        <v>11-Building Imp-Post-Casulty Loss Basis-bldg7</v>
      </c>
      <c r="D122" s="33" t="n">
        <f aca="false">SUM(F122:H122)</f>
        <v>453.45</v>
      </c>
      <c r="F122" s="33" t="n">
        <f aca="false">'Building 7'!D27</f>
        <v>453.45</v>
      </c>
    </row>
    <row r="123" customFormat="false" ht="15" hidden="false" customHeight="false" outlineLevel="0" collapsed="false">
      <c r="B123" s="5" t="str">
        <f aca="false">'Building 7'!B28</f>
        <v>11-Building Imp-Post-Casulty Loss Basis-bldg7</v>
      </c>
      <c r="D123" s="33" t="n">
        <f aca="false">SUM(F123:H123)</f>
        <v>1364.27</v>
      </c>
      <c r="H123" s="33" t="n">
        <f aca="false">'Building 7'!D28</f>
        <v>1364.27</v>
      </c>
    </row>
    <row r="124" customFormat="false" ht="15" hidden="false" customHeight="false" outlineLevel="0" collapsed="false">
      <c r="B124" s="5" t="str">
        <f aca="false">'Building 7'!B29</f>
        <v>2-Land Improvements-bldg7-5yr</v>
      </c>
      <c r="D124" s="33" t="n">
        <f aca="false">SUM(F124:H124)</f>
        <v>2467.41</v>
      </c>
      <c r="F124" s="33" t="n">
        <f aca="false">'Building 7'!D29</f>
        <v>2467.41</v>
      </c>
    </row>
    <row r="125" customFormat="false" ht="15" hidden="false" customHeight="false" outlineLevel="0" collapsed="false">
      <c r="B125" s="5" t="str">
        <f aca="false">'Building 7'!B30</f>
        <v>2-Land Improvements-bldg7-30yr</v>
      </c>
      <c r="D125" s="33" t="n">
        <f aca="false">SUM(F125:H125)</f>
        <v>7423.6</v>
      </c>
      <c r="H125" s="33" t="n">
        <f aca="false">'Building 7'!D30</f>
        <v>7423.6</v>
      </c>
    </row>
    <row r="126" customFormat="false" ht="15" hidden="false" customHeight="false" outlineLevel="0" collapsed="false">
      <c r="B126" s="5" t="str">
        <f aca="false">'Building 7'!B31</f>
        <v>13-New Equipment(16 units)-bldg7-5yr</v>
      </c>
      <c r="D126" s="33" t="n">
        <f aca="false">SUM(F126:H126)</f>
        <v>2124.13</v>
      </c>
      <c r="F126" s="33" t="n">
        <f aca="false">'Building 7'!D31</f>
        <v>2124.13</v>
      </c>
    </row>
    <row r="127" customFormat="false" ht="15" hidden="false" customHeight="false" outlineLevel="0" collapsed="false">
      <c r="B127" s="5" t="str">
        <f aca="false">'Building 7'!B32</f>
        <v>13-New Equipment(16 units)-bldg7-30yr</v>
      </c>
      <c r="D127" s="33" t="n">
        <f aca="false">SUM(F127:H127)</f>
        <v>6390.8</v>
      </c>
      <c r="H127" s="33" t="n">
        <f aca="false">'Building 7'!D32</f>
        <v>6390.8</v>
      </c>
    </row>
    <row r="128" customFormat="false" ht="15" hidden="false" customHeight="false" outlineLevel="0" collapsed="false">
      <c r="B128" s="5" t="str">
        <f aca="false">'Building 7'!B33</f>
        <v>15-New Equipment(105 units)-bldg7-5yr</v>
      </c>
      <c r="D128" s="33" t="n">
        <f aca="false">SUM(F128:H128)</f>
        <v>14236.95</v>
      </c>
      <c r="F128" s="33" t="n">
        <f aca="false">'Building 7'!D33</f>
        <v>14236.95</v>
      </c>
    </row>
    <row r="129" customFormat="false" ht="15" hidden="false" customHeight="false" outlineLevel="0" collapsed="false">
      <c r="B129" s="5" t="str">
        <f aca="false">'Building 7'!B34</f>
        <v>15-New Equipment(105 units)-bldg7-30yr</v>
      </c>
      <c r="D129" s="33" t="n">
        <f aca="false">SUM(F129:H129)</f>
        <v>42834.29</v>
      </c>
      <c r="H129" s="33" t="n">
        <f aca="false">'Building 7'!D34</f>
        <v>42834.29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448401.53</v>
      </c>
      <c r="F130" s="34" t="n">
        <f aca="false">SUM(F116:F129)</f>
        <v>111858.03</v>
      </c>
      <c r="H130" s="34" t="n">
        <f aca="false">SUM(H116:H129)</f>
        <v>336543.5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484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79</v>
      </c>
      <c r="C10" s="23" t="s">
        <v>25</v>
      </c>
      <c r="D10" s="24" t="n">
        <v>64317.98</v>
      </c>
      <c r="E10" s="24" t="n">
        <v>0</v>
      </c>
      <c r="F10" s="24" t="n">
        <v>0</v>
      </c>
      <c r="G10" s="24" t="n">
        <v>6642.44</v>
      </c>
      <c r="H10" s="24" t="n">
        <v>2342.15</v>
      </c>
      <c r="I10" s="24" t="n">
        <f aca="false">G10+H10</f>
        <v>8984.59</v>
      </c>
      <c r="J10" s="24" t="n">
        <f aca="false">D10-I10</f>
        <v>55333.39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80</v>
      </c>
      <c r="C11" s="23" t="s">
        <v>27</v>
      </c>
      <c r="D11" s="24" t="n">
        <v>34495.74</v>
      </c>
      <c r="E11" s="24" t="n">
        <v>0</v>
      </c>
      <c r="F11" s="24" t="n">
        <v>0</v>
      </c>
      <c r="G11" s="24" t="n">
        <v>1197.79</v>
      </c>
      <c r="H11" s="24" t="n">
        <v>1149.85</v>
      </c>
      <c r="I11" s="24" t="n">
        <f aca="false">G11+H11</f>
        <v>2347.64</v>
      </c>
      <c r="J11" s="24" t="n">
        <f aca="false">D11-I11</f>
        <v>32148.1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81</v>
      </c>
      <c r="C12" s="23" t="s">
        <v>29</v>
      </c>
      <c r="D12" s="24" t="n">
        <v>231207.03</v>
      </c>
      <c r="E12" s="24" t="n">
        <v>0</v>
      </c>
      <c r="F12" s="24" t="n">
        <v>0</v>
      </c>
      <c r="G12" s="24" t="n">
        <v>5459.05</v>
      </c>
      <c r="H12" s="24" t="n">
        <v>7706.92</v>
      </c>
      <c r="I12" s="24" t="n">
        <f aca="false">G12+H12</f>
        <v>13165.97</v>
      </c>
      <c r="J12" s="24" t="n">
        <f aca="false">D12-I12</f>
        <v>218041.06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1616.48</v>
      </c>
      <c r="E13" s="24" t="n">
        <v>0</v>
      </c>
      <c r="F13" s="24" t="n">
        <v>0</v>
      </c>
      <c r="G13" s="24" t="n">
        <v>121.71</v>
      </c>
      <c r="H13" s="24" t="n">
        <v>55.97</v>
      </c>
      <c r="I13" s="24" t="n">
        <f aca="false">G13+H13</f>
        <v>177.68</v>
      </c>
      <c r="J13" s="24" t="n">
        <f aca="false">D13-I13</f>
        <v>1438.8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82</v>
      </c>
      <c r="C14" s="23" t="s">
        <v>25</v>
      </c>
      <c r="D14" s="24" t="n">
        <v>8795.97</v>
      </c>
      <c r="E14" s="24" t="n">
        <v>0</v>
      </c>
      <c r="F14" s="24" t="n">
        <v>2256.71</v>
      </c>
      <c r="G14" s="24" t="n">
        <v>2256.71</v>
      </c>
      <c r="H14" s="24" t="n">
        <v>676.47</v>
      </c>
      <c r="I14" s="24" t="n">
        <f aca="false">G14+H14</f>
        <v>2933.18</v>
      </c>
      <c r="J14" s="24" t="n">
        <f aca="false">D14-I14</f>
        <v>5862.79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83</v>
      </c>
      <c r="C15" s="23" t="s">
        <v>27</v>
      </c>
      <c r="D15" s="24" t="n">
        <v>7572.23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7572.23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84</v>
      </c>
      <c r="C16" s="23" t="s">
        <v>29</v>
      </c>
      <c r="D16" s="24" t="n">
        <v>50752.78</v>
      </c>
      <c r="E16" s="24" t="n">
        <v>0</v>
      </c>
      <c r="F16" s="24" t="n">
        <v>0</v>
      </c>
      <c r="G16" s="24" t="n">
        <v>2030.1</v>
      </c>
      <c r="H16" s="24" t="n">
        <v>3248.19</v>
      </c>
      <c r="I16" s="24" t="n">
        <f aca="false">G16+H16</f>
        <v>5278.29</v>
      </c>
      <c r="J16" s="24" t="n">
        <f aca="false">D16-I16</f>
        <v>45474.49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398758.21</v>
      </c>
      <c r="E17" s="28" t="n">
        <f aca="false">SUM(E10:E16)</f>
        <v>0</v>
      </c>
      <c r="F17" s="28" t="n">
        <f aca="false">SUM(F10:F16)</f>
        <v>2256.71</v>
      </c>
      <c r="G17" s="28" t="n">
        <f aca="false">SUM(G10:G16)</f>
        <v>17707.8</v>
      </c>
      <c r="H17" s="28" t="n">
        <f aca="false">SUM(H10:H16)</f>
        <v>15179.55</v>
      </c>
      <c r="I17" s="28" t="n">
        <f aca="false">SUM(I10:I16)</f>
        <v>32887.35</v>
      </c>
      <c r="J17" s="28" t="n">
        <f aca="false">SUM(J10:J16)</f>
        <v>365870.86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248</v>
      </c>
      <c r="C21" s="23" t="s">
        <v>25</v>
      </c>
      <c r="D21" s="24" t="n">
        <v>16882.61</v>
      </c>
      <c r="E21" s="24" t="n">
        <v>0</v>
      </c>
      <c r="F21" s="24" t="n">
        <v>16882.61</v>
      </c>
      <c r="G21" s="24" t="n">
        <v>16882.61</v>
      </c>
      <c r="H21" s="24" t="n">
        <v>0</v>
      </c>
      <c r="I21" s="24" t="n">
        <f aca="false">G21+H21</f>
        <v>16882.61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249</v>
      </c>
      <c r="C22" s="23" t="s">
        <v>25</v>
      </c>
      <c r="D22" s="24" t="n">
        <v>47435.37</v>
      </c>
      <c r="E22" s="24" t="n">
        <v>0</v>
      </c>
      <c r="F22" s="24" t="n">
        <v>0</v>
      </c>
      <c r="G22" s="24" t="n">
        <v>8498.84</v>
      </c>
      <c r="H22" s="24" t="n">
        <v>1581.18</v>
      </c>
      <c r="I22" s="24" t="n">
        <f aca="false">G22+H22</f>
        <v>10080.02</v>
      </c>
      <c r="J22" s="24" t="n">
        <f aca="false">D22-I22</f>
        <v>37355.35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250</v>
      </c>
      <c r="C23" s="23" t="s">
        <v>27</v>
      </c>
      <c r="D23" s="24" t="n">
        <v>9054.67</v>
      </c>
      <c r="E23" s="24" t="n">
        <v>0</v>
      </c>
      <c r="F23" s="24" t="n">
        <v>9054.67</v>
      </c>
      <c r="G23" s="24" t="n">
        <v>9054.67</v>
      </c>
      <c r="H23" s="24" t="n">
        <v>0</v>
      </c>
      <c r="I23" s="24" t="n">
        <f aca="false">G23+H23</f>
        <v>9054.67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251</v>
      </c>
      <c r="C24" s="23" t="s">
        <v>27</v>
      </c>
      <c r="D24" s="24" t="n">
        <v>25441.07</v>
      </c>
      <c r="E24" s="24" t="n">
        <v>0</v>
      </c>
      <c r="F24" s="24" t="n">
        <v>0</v>
      </c>
      <c r="G24" s="24" t="n">
        <v>883.37</v>
      </c>
      <c r="H24" s="24" t="n">
        <v>848.04</v>
      </c>
      <c r="I24" s="24" t="n">
        <f aca="false">G24+H24</f>
        <v>1731.41</v>
      </c>
      <c r="J24" s="24" t="n">
        <f aca="false">D24-I24</f>
        <v>23709.66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252</v>
      </c>
      <c r="C25" s="23" t="s">
        <v>29</v>
      </c>
      <c r="D25" s="24" t="n">
        <v>60688.77</v>
      </c>
      <c r="E25" s="24" t="n">
        <v>0</v>
      </c>
      <c r="F25" s="24" t="n">
        <v>48551.02</v>
      </c>
      <c r="G25" s="24" t="n">
        <v>50978.57</v>
      </c>
      <c r="H25" s="24" t="n">
        <v>3884.08</v>
      </c>
      <c r="I25" s="24" t="n">
        <f aca="false">G25+H25</f>
        <v>54862.65</v>
      </c>
      <c r="J25" s="24" t="n">
        <f aca="false">D25-I25</f>
        <v>5826.12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253</v>
      </c>
      <c r="C26" s="23" t="s">
        <v>29</v>
      </c>
      <c r="D26" s="24" t="n">
        <v>170518.26</v>
      </c>
      <c r="E26" s="24" t="n">
        <v>0</v>
      </c>
      <c r="F26" s="24" t="n">
        <v>0</v>
      </c>
      <c r="G26" s="24" t="n">
        <v>4026.13</v>
      </c>
      <c r="H26" s="24" t="n">
        <v>5683.94</v>
      </c>
      <c r="I26" s="24" t="n">
        <f aca="false">G26+H26</f>
        <v>9710.07</v>
      </c>
      <c r="J26" s="24" t="n">
        <f aca="false">D26-I26</f>
        <v>160808.19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254</v>
      </c>
      <c r="C27" s="23" t="s">
        <v>31</v>
      </c>
      <c r="D27" s="24" t="n">
        <v>424.3</v>
      </c>
      <c r="E27" s="24" t="n">
        <v>0</v>
      </c>
      <c r="F27" s="24" t="n">
        <v>424.3</v>
      </c>
      <c r="G27" s="24" t="n">
        <v>424.3</v>
      </c>
      <c r="H27" s="24" t="n">
        <v>0</v>
      </c>
      <c r="I27" s="24" t="n">
        <f aca="false">G27+H27</f>
        <v>424.3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254</v>
      </c>
      <c r="C28" s="23" t="s">
        <v>31</v>
      </c>
      <c r="D28" s="24" t="n">
        <v>1192.18</v>
      </c>
      <c r="E28" s="24" t="n">
        <v>0</v>
      </c>
      <c r="F28" s="24" t="n">
        <v>0</v>
      </c>
      <c r="G28" s="24" t="n">
        <v>130.81</v>
      </c>
      <c r="H28" s="24" t="n">
        <v>39.74</v>
      </c>
      <c r="I28" s="24" t="n">
        <f aca="false">G28+H28</f>
        <v>170.55</v>
      </c>
      <c r="J28" s="24" t="n">
        <f aca="false">D28-I28</f>
        <v>1021.63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255</v>
      </c>
      <c r="C29" s="23" t="s">
        <v>25</v>
      </c>
      <c r="D29" s="24" t="n">
        <v>2308.83</v>
      </c>
      <c r="E29" s="24" t="n">
        <v>0</v>
      </c>
      <c r="F29" s="24" t="n">
        <v>2308.83</v>
      </c>
      <c r="G29" s="24" t="n">
        <v>2308.83</v>
      </c>
      <c r="H29" s="24" t="n">
        <v>0</v>
      </c>
      <c r="I29" s="24" t="n">
        <f aca="false">G29+H29</f>
        <v>2308.83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256</v>
      </c>
      <c r="C30" s="23" t="s">
        <v>25</v>
      </c>
      <c r="D30" s="24" t="n">
        <v>6487.14</v>
      </c>
      <c r="E30" s="24" t="n">
        <v>0</v>
      </c>
      <c r="F30" s="24" t="n">
        <v>0</v>
      </c>
      <c r="G30" s="24" t="n">
        <v>1162.29</v>
      </c>
      <c r="H30" s="24" t="n">
        <v>216.24</v>
      </c>
      <c r="I30" s="24" t="n">
        <f aca="false">G30+H30</f>
        <v>1378.53</v>
      </c>
      <c r="J30" s="24" t="n">
        <f aca="false">D30-I30</f>
        <v>5108.61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257</v>
      </c>
      <c r="C31" s="23" t="s">
        <v>27</v>
      </c>
      <c r="D31" s="24" t="n">
        <v>1987.61</v>
      </c>
      <c r="E31" s="24" t="n">
        <v>0</v>
      </c>
      <c r="F31" s="24" t="n">
        <v>1987.61</v>
      </c>
      <c r="G31" s="24" t="n">
        <v>1987.61</v>
      </c>
      <c r="H31" s="24" t="n">
        <v>0</v>
      </c>
      <c r="I31" s="24" t="n">
        <f aca="false">G31+H31</f>
        <v>1987.61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258</v>
      </c>
      <c r="C32" s="23" t="s">
        <v>27</v>
      </c>
      <c r="D32" s="24" t="n">
        <v>5584.62</v>
      </c>
      <c r="E32" s="24" t="n">
        <v>0</v>
      </c>
      <c r="F32" s="24" t="n">
        <v>0</v>
      </c>
      <c r="G32" s="24" t="n">
        <v>193.91</v>
      </c>
      <c r="H32" s="24" t="n">
        <v>186.15</v>
      </c>
      <c r="I32" s="24" t="n">
        <f aca="false">G32+H32</f>
        <v>380.06</v>
      </c>
      <c r="J32" s="24" t="n">
        <f aca="false">D32-I32</f>
        <v>5204.56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259</v>
      </c>
      <c r="C33" s="23" t="s">
        <v>29</v>
      </c>
      <c r="D33" s="24" t="n">
        <v>13321.94</v>
      </c>
      <c r="E33" s="24" t="n">
        <v>0</v>
      </c>
      <c r="F33" s="24" t="n">
        <v>10657.55</v>
      </c>
      <c r="G33" s="24" t="n">
        <v>11190.43</v>
      </c>
      <c r="H33" s="24" t="n">
        <v>852.6</v>
      </c>
      <c r="I33" s="24" t="n">
        <f aca="false">G33+H33</f>
        <v>12043.03</v>
      </c>
      <c r="J33" s="24" t="n">
        <f aca="false">D33-I33</f>
        <v>1278.91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260</v>
      </c>
      <c r="C34" s="23" t="s">
        <v>29</v>
      </c>
      <c r="D34" s="24" t="n">
        <v>37430.84</v>
      </c>
      <c r="E34" s="24" t="n">
        <v>0</v>
      </c>
      <c r="F34" s="24" t="n">
        <v>0</v>
      </c>
      <c r="G34" s="24" t="n">
        <v>883.78</v>
      </c>
      <c r="H34" s="24" t="n">
        <v>1247.69</v>
      </c>
      <c r="I34" s="24" t="n">
        <f aca="false">G34+H34</f>
        <v>2131.47</v>
      </c>
      <c r="J34" s="24" t="n">
        <f aca="false">D34-I34</f>
        <v>35299.37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398758.21</v>
      </c>
      <c r="E35" s="28" t="n">
        <f aca="false">SUM(E21:E34)</f>
        <v>0</v>
      </c>
      <c r="F35" s="28" t="n">
        <f aca="false">SUM(F21:F34)</f>
        <v>89866.59</v>
      </c>
      <c r="G35" s="28" t="n">
        <f aca="false">SUM(G21:G34)</f>
        <v>108606.15</v>
      </c>
      <c r="H35" s="28" t="n">
        <f aca="false">SUM(H21:H34)</f>
        <v>14539.66</v>
      </c>
      <c r="I35" s="28" t="n">
        <f aca="false">SUM(I21:I34)</f>
        <v>123145.81</v>
      </c>
      <c r="J35" s="28" t="n">
        <f aca="false">SUM(J21:J34)</f>
        <v>275612.4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32887.35</v>
      </c>
    </row>
    <row r="39" customFormat="false" ht="15" hidden="false" customHeight="false" outlineLevel="0" collapsed="false">
      <c r="B39" s="5" t="s">
        <v>415</v>
      </c>
      <c r="D39" s="6" t="n">
        <f aca="false">I35</f>
        <v>123145.81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-90258.46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79</v>
      </c>
      <c r="C45" s="23" t="s">
        <v>25</v>
      </c>
      <c r="D45" s="24" t="n">
        <v>64317.98</v>
      </c>
      <c r="E45" s="24" t="n">
        <v>0</v>
      </c>
      <c r="F45" s="24" t="n">
        <v>0</v>
      </c>
      <c r="G45" s="24" t="n">
        <v>6642.44</v>
      </c>
      <c r="H45" s="24" t="n">
        <v>2342.15</v>
      </c>
      <c r="I45" s="24" t="n">
        <f aca="false">G45+H45</f>
        <v>8984.59</v>
      </c>
      <c r="J45" s="24" t="n">
        <f aca="false">D45-I45</f>
        <v>55333.39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80</v>
      </c>
      <c r="C46" s="23" t="s">
        <v>27</v>
      </c>
      <c r="D46" s="24" t="n">
        <v>34495.74</v>
      </c>
      <c r="E46" s="24" t="n">
        <v>0</v>
      </c>
      <c r="F46" s="24" t="n">
        <v>0</v>
      </c>
      <c r="G46" s="24" t="n">
        <v>1197.79</v>
      </c>
      <c r="H46" s="24" t="n">
        <v>1149.85</v>
      </c>
      <c r="I46" s="24" t="n">
        <f aca="false">G46+H46</f>
        <v>2347.64</v>
      </c>
      <c r="J46" s="24" t="n">
        <f aca="false">D46-I46</f>
        <v>32148.1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81</v>
      </c>
      <c r="C47" s="23" t="s">
        <v>29</v>
      </c>
      <c r="D47" s="24" t="n">
        <v>231207.03</v>
      </c>
      <c r="E47" s="24" t="n">
        <v>0</v>
      </c>
      <c r="F47" s="24" t="n">
        <v>0</v>
      </c>
      <c r="G47" s="24" t="n">
        <v>5459.05</v>
      </c>
      <c r="H47" s="24" t="n">
        <v>7706.92</v>
      </c>
      <c r="I47" s="24" t="n">
        <f aca="false">G47+H47</f>
        <v>13165.97</v>
      </c>
      <c r="J47" s="24" t="n">
        <f aca="false">D47-I47</f>
        <v>218041.06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1616.48</v>
      </c>
      <c r="E48" s="24" t="n">
        <v>0</v>
      </c>
      <c r="F48" s="24" t="n">
        <v>0</v>
      </c>
      <c r="G48" s="24" t="n">
        <v>121.71</v>
      </c>
      <c r="H48" s="24" t="n">
        <v>55.97</v>
      </c>
      <c r="I48" s="24" t="n">
        <f aca="false">G48+H48</f>
        <v>177.68</v>
      </c>
      <c r="J48" s="24" t="n">
        <f aca="false">D48-I48</f>
        <v>1438.8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82</v>
      </c>
      <c r="C49" s="23" t="s">
        <v>25</v>
      </c>
      <c r="D49" s="24" t="n">
        <v>8795.97</v>
      </c>
      <c r="E49" s="24" t="n">
        <v>0</v>
      </c>
      <c r="F49" s="24" t="n">
        <v>2256.71</v>
      </c>
      <c r="G49" s="24" t="n">
        <v>2256.71</v>
      </c>
      <c r="H49" s="24" t="n">
        <v>676.47</v>
      </c>
      <c r="I49" s="24" t="n">
        <f aca="false">G49+H49</f>
        <v>2933.18</v>
      </c>
      <c r="J49" s="24" t="n">
        <f aca="false">D49-I49</f>
        <v>5862.79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83</v>
      </c>
      <c r="C50" s="23" t="s">
        <v>27</v>
      </c>
      <c r="D50" s="24" t="n">
        <v>7572.23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7572.23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84</v>
      </c>
      <c r="C51" s="23" t="s">
        <v>29</v>
      </c>
      <c r="D51" s="24" t="n">
        <v>50752.78</v>
      </c>
      <c r="E51" s="24" t="n">
        <v>0</v>
      </c>
      <c r="F51" s="24" t="n">
        <v>0</v>
      </c>
      <c r="G51" s="24" t="n">
        <v>2030.1</v>
      </c>
      <c r="H51" s="24" t="n">
        <v>3248.19</v>
      </c>
      <c r="I51" s="24" t="n">
        <f aca="false">G51+H51</f>
        <v>5278.29</v>
      </c>
      <c r="J51" s="24" t="n">
        <f aca="false">D51-I51</f>
        <v>45474.49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398758.21</v>
      </c>
      <c r="E52" s="28" t="n">
        <f aca="false">SUM(E45:E51)</f>
        <v>0</v>
      </c>
      <c r="F52" s="28" t="n">
        <f aca="false">SUM(F45:F51)</f>
        <v>2256.71</v>
      </c>
      <c r="G52" s="28" t="n">
        <f aca="false">SUM(G45:G51)</f>
        <v>17707.8</v>
      </c>
      <c r="H52" s="28" t="n">
        <f aca="false">SUM(H45:H51)</f>
        <v>15179.55</v>
      </c>
      <c r="I52" s="28" t="n">
        <f aca="false">SUM(I45:I51)</f>
        <v>32887.35</v>
      </c>
      <c r="J52" s="28" t="n">
        <f aca="false">SUM(J45:J51)</f>
        <v>365870.86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250</v>
      </c>
      <c r="C56" s="23" t="s">
        <v>27</v>
      </c>
      <c r="D56" s="24" t="n">
        <v>9054.67</v>
      </c>
      <c r="E56" s="24" t="n">
        <v>0</v>
      </c>
      <c r="F56" s="24" t="n">
        <v>9054.67</v>
      </c>
      <c r="G56" s="24" t="n">
        <v>9054.67</v>
      </c>
      <c r="H56" s="24" t="n">
        <v>0</v>
      </c>
      <c r="I56" s="24" t="n">
        <f aca="false">G56+H56</f>
        <v>9054.67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251</v>
      </c>
      <c r="C57" s="23" t="s">
        <v>27</v>
      </c>
      <c r="D57" s="24" t="n">
        <v>25441.07</v>
      </c>
      <c r="E57" s="24" t="n">
        <v>0</v>
      </c>
      <c r="F57" s="24" t="n">
        <v>0</v>
      </c>
      <c r="G57" s="24" t="n">
        <v>883.37</v>
      </c>
      <c r="H57" s="24" t="n">
        <v>848.04</v>
      </c>
      <c r="I57" s="24" t="n">
        <f aca="false">G57+H57</f>
        <v>1731.41</v>
      </c>
      <c r="J57" s="24" t="n">
        <f aca="false">D57-I57</f>
        <v>23709.66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252</v>
      </c>
      <c r="C58" s="23" t="s">
        <v>29</v>
      </c>
      <c r="D58" s="24" t="n">
        <v>60688.77</v>
      </c>
      <c r="E58" s="24" t="n">
        <v>0</v>
      </c>
      <c r="F58" s="24" t="n">
        <v>48551.02</v>
      </c>
      <c r="G58" s="24" t="n">
        <v>50978.57</v>
      </c>
      <c r="H58" s="24" t="n">
        <v>3884.08</v>
      </c>
      <c r="I58" s="24" t="n">
        <f aca="false">G58+H58</f>
        <v>54862.65</v>
      </c>
      <c r="J58" s="24" t="n">
        <f aca="false">D58-I58</f>
        <v>5826.12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253</v>
      </c>
      <c r="C59" s="23" t="s">
        <v>29</v>
      </c>
      <c r="D59" s="24" t="n">
        <v>170518.26</v>
      </c>
      <c r="E59" s="24" t="n">
        <v>0</v>
      </c>
      <c r="F59" s="24" t="n">
        <v>0</v>
      </c>
      <c r="G59" s="24" t="n">
        <v>4026.13</v>
      </c>
      <c r="H59" s="24" t="n">
        <v>5683.94</v>
      </c>
      <c r="I59" s="24" t="n">
        <f aca="false">G59+H59</f>
        <v>9710.07</v>
      </c>
      <c r="J59" s="24" t="n">
        <f aca="false">D59-I59</f>
        <v>160808.19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255</v>
      </c>
      <c r="C60" s="23" t="s">
        <v>25</v>
      </c>
      <c r="D60" s="24" t="n">
        <v>2308.83</v>
      </c>
      <c r="E60" s="24" t="n">
        <v>0</v>
      </c>
      <c r="F60" s="24" t="n">
        <v>2308.83</v>
      </c>
      <c r="G60" s="24" t="n">
        <v>2308.83</v>
      </c>
      <c r="H60" s="24" t="n">
        <v>0</v>
      </c>
      <c r="I60" s="24" t="n">
        <f aca="false">G60+H60</f>
        <v>2308.83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256</v>
      </c>
      <c r="C61" s="23" t="s">
        <v>25</v>
      </c>
      <c r="D61" s="24" t="n">
        <v>6487.14</v>
      </c>
      <c r="E61" s="24" t="n">
        <v>0</v>
      </c>
      <c r="F61" s="24" t="n">
        <v>0</v>
      </c>
      <c r="G61" s="24" t="n">
        <v>1162.29</v>
      </c>
      <c r="H61" s="24" t="n">
        <v>216.24</v>
      </c>
      <c r="I61" s="24" t="n">
        <f aca="false">G61+H61</f>
        <v>1378.53</v>
      </c>
      <c r="J61" s="24" t="n">
        <f aca="false">D61-I61</f>
        <v>5108.61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257</v>
      </c>
      <c r="C62" s="23" t="s">
        <v>27</v>
      </c>
      <c r="D62" s="24" t="n">
        <v>1987.61</v>
      </c>
      <c r="E62" s="24" t="n">
        <v>0</v>
      </c>
      <c r="F62" s="24" t="n">
        <v>1987.61</v>
      </c>
      <c r="G62" s="24" t="n">
        <v>1987.61</v>
      </c>
      <c r="H62" s="24" t="n">
        <v>0</v>
      </c>
      <c r="I62" s="24" t="n">
        <f aca="false">G62+H62</f>
        <v>1987.61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258</v>
      </c>
      <c r="C63" s="23" t="s">
        <v>27</v>
      </c>
      <c r="D63" s="24" t="n">
        <v>5584.62</v>
      </c>
      <c r="E63" s="24" t="n">
        <v>0</v>
      </c>
      <c r="F63" s="24" t="n">
        <v>0</v>
      </c>
      <c r="G63" s="24" t="n">
        <v>193.91</v>
      </c>
      <c r="H63" s="24" t="n">
        <v>186.15</v>
      </c>
      <c r="I63" s="24" t="n">
        <f aca="false">G63+H63</f>
        <v>380.06</v>
      </c>
      <c r="J63" s="24" t="n">
        <f aca="false">D63-I63</f>
        <v>5204.56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259</v>
      </c>
      <c r="C64" s="23" t="s">
        <v>29</v>
      </c>
      <c r="D64" s="24" t="n">
        <v>13321.94</v>
      </c>
      <c r="E64" s="24" t="n">
        <v>0</v>
      </c>
      <c r="F64" s="24" t="n">
        <v>10657.55</v>
      </c>
      <c r="G64" s="24" t="n">
        <v>11190.43</v>
      </c>
      <c r="H64" s="24" t="n">
        <v>852.6</v>
      </c>
      <c r="I64" s="24" t="n">
        <f aca="false">G64+H64</f>
        <v>12043.03</v>
      </c>
      <c r="J64" s="24" t="n">
        <f aca="false">D64-I64</f>
        <v>1278.91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260</v>
      </c>
      <c r="C65" s="23" t="s">
        <v>29</v>
      </c>
      <c r="D65" s="24" t="n">
        <v>37430.84</v>
      </c>
      <c r="E65" s="24" t="n">
        <v>0</v>
      </c>
      <c r="F65" s="24" t="n">
        <v>0</v>
      </c>
      <c r="G65" s="24" t="n">
        <v>883.78</v>
      </c>
      <c r="H65" s="24" t="n">
        <v>1247.69</v>
      </c>
      <c r="I65" s="24" t="n">
        <f aca="false">G65+H65</f>
        <v>2131.47</v>
      </c>
      <c r="J65" s="24" t="n">
        <f aca="false">D65-I65</f>
        <v>35299.37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332823.75</v>
      </c>
      <c r="E66" s="28" t="n">
        <f aca="false">SUM(E56:E65)</f>
        <v>0</v>
      </c>
      <c r="F66" s="28" t="n">
        <f aca="false">SUM(F56:F65)</f>
        <v>72559.68</v>
      </c>
      <c r="G66" s="28" t="n">
        <f aca="false">SUM(G56:G65)</f>
        <v>82669.59</v>
      </c>
      <c r="H66" s="28" t="n">
        <f aca="false">SUM(H56:H65)</f>
        <v>12918.74</v>
      </c>
      <c r="I66" s="28" t="n">
        <f aca="false">SUM(I56:I65)</f>
        <v>95588.33</v>
      </c>
      <c r="J66" s="28" t="n">
        <f aca="false">SUM(J56:J65)</f>
        <v>237235.42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32887.35</v>
      </c>
    </row>
    <row r="70" customFormat="false" ht="15" hidden="false" customHeight="false" outlineLevel="0" collapsed="false">
      <c r="B70" s="5" t="s">
        <v>415</v>
      </c>
      <c r="D70" s="6" t="n">
        <f aca="false">I66</f>
        <v>95588.33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-62700.98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398758.21</v>
      </c>
    </row>
    <row r="75" customFormat="false" ht="15" hidden="false" customHeight="false" outlineLevel="0" collapsed="false">
      <c r="B75" s="5" t="s">
        <v>446</v>
      </c>
      <c r="D75" s="6" t="n">
        <f aca="false">F111</f>
        <v>104668.73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0.262486708424135</v>
      </c>
    </row>
    <row r="77" customFormat="false" ht="15" hidden="false" customHeight="false" outlineLevel="0" collapsed="false">
      <c r="B77" s="5" t="s">
        <v>447</v>
      </c>
      <c r="D77" s="6" t="n">
        <f aca="false">H111</f>
        <v>294089.48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0.737513291575865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8394.17</v>
      </c>
      <c r="F84" s="33" t="n">
        <v>8394.17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32815.9</v>
      </c>
      <c r="F85" s="33" t="n">
        <v>32815.9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2648.72</v>
      </c>
      <c r="F86" s="33" t="n">
        <v>2648.72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394.4</v>
      </c>
      <c r="F87" s="33" t="n">
        <v>394.4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2858.97</v>
      </c>
      <c r="F89" s="33" t="n">
        <v>2858.97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16256.26</v>
      </c>
      <c r="H95" s="33" t="n">
        <v>16256.26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21691.79</v>
      </c>
      <c r="H96" s="33" t="n">
        <v>21691.79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31892.38</v>
      </c>
      <c r="H97" s="33" t="n">
        <v>31892.38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29436.62</v>
      </c>
      <c r="H98" s="33" t="n">
        <v>29436.62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27723.88</v>
      </c>
      <c r="H99" s="33" t="n">
        <v>27723.88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1864.29</v>
      </c>
      <c r="H100" s="33" t="n">
        <v>1864.29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21222.77</v>
      </c>
      <c r="H101" s="33" t="n">
        <v>21222.77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16292.68</v>
      </c>
      <c r="H102" s="33" t="n">
        <v>16292.68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12258.17</v>
      </c>
      <c r="H103" s="33" t="n">
        <v>12258.17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14614.91</v>
      </c>
      <c r="H104" s="33" t="n">
        <v>14614.91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38542.73</v>
      </c>
      <c r="H105" s="33" t="n">
        <v>38542.73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15289.77</v>
      </c>
      <c r="H106" s="33" t="n">
        <v>15289.77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37866.59</v>
      </c>
      <c r="H107" s="33" t="n">
        <v>37866.59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398758.21</v>
      </c>
      <c r="F111" s="34" t="n">
        <f aca="false">SUM(F82:F110)</f>
        <v>104668.73</v>
      </c>
      <c r="H111" s="34" t="n">
        <f aca="false">SUM(H82:H110)</f>
        <v>294089.48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0.262486708424135</v>
      </c>
      <c r="H112" s="31" t="n">
        <f aca="false">H111/D111</f>
        <v>0.737513291575865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8'!B21</f>
        <v>10-Building-Post Casualty Loss Basis-bldg8-5y</v>
      </c>
      <c r="D116" s="33" t="n">
        <f aca="false">SUM(F116:H116)</f>
        <v>16882.61</v>
      </c>
      <c r="F116" s="33" t="n">
        <f aca="false">'Building 8'!D21</f>
        <v>16882.61</v>
      </c>
    </row>
    <row r="117" customFormat="false" ht="15" hidden="false" customHeight="false" outlineLevel="0" collapsed="false">
      <c r="B117" s="5" t="str">
        <f aca="false">'Building 8'!B22</f>
        <v>10-Building-Post Casualty Loss Basis-bldg8-30</v>
      </c>
      <c r="D117" s="33" t="n">
        <f aca="false">SUM(F117:H117)</f>
        <v>47435.37</v>
      </c>
      <c r="H117" s="33" t="n">
        <f aca="false">'Building 8'!D22</f>
        <v>47435.37</v>
      </c>
    </row>
    <row r="118" customFormat="false" ht="15" hidden="false" customHeight="false" outlineLevel="0" collapsed="false">
      <c r="B118" s="5" t="str">
        <f aca="false">'Building 8'!B23</f>
        <v>12-New Buildings(16 units)-bldg8-5yr</v>
      </c>
      <c r="D118" s="33" t="n">
        <f aca="false">SUM(F118:H118)</f>
        <v>9054.67</v>
      </c>
      <c r="F118" s="33" t="n">
        <f aca="false">'Building 8'!D23</f>
        <v>9054.67</v>
      </c>
    </row>
    <row r="119" customFormat="false" ht="15" hidden="false" customHeight="false" outlineLevel="0" collapsed="false">
      <c r="B119" s="5" t="str">
        <f aca="false">'Building 8'!B24</f>
        <v>12-New Buildings(16 units)-bldg8-30yr</v>
      </c>
      <c r="D119" s="33" t="n">
        <f aca="false">SUM(F119:H119)</f>
        <v>25441.07</v>
      </c>
      <c r="H119" s="33" t="n">
        <f aca="false">'Building 8'!D24</f>
        <v>25441.07</v>
      </c>
    </row>
    <row r="120" customFormat="false" ht="15" hidden="false" customHeight="false" outlineLevel="0" collapsed="false">
      <c r="B120" s="5" t="str">
        <f aca="false">'Building 8'!B25</f>
        <v>14-New Buildings(105 units)-bldg8-5yr</v>
      </c>
      <c r="D120" s="33" t="n">
        <f aca="false">SUM(F120:H120)</f>
        <v>60688.77</v>
      </c>
      <c r="F120" s="33" t="n">
        <f aca="false">'Building 8'!D25</f>
        <v>60688.77</v>
      </c>
    </row>
    <row r="121" customFormat="false" ht="15" hidden="false" customHeight="false" outlineLevel="0" collapsed="false">
      <c r="B121" s="5" t="str">
        <f aca="false">'Building 8'!B26</f>
        <v>14-New Buildings(105 units)-bldg8-30yr</v>
      </c>
      <c r="D121" s="33" t="n">
        <f aca="false">SUM(F121:H121)</f>
        <v>170518.26</v>
      </c>
      <c r="H121" s="33" t="n">
        <f aca="false">'Building 8'!D26</f>
        <v>170518.26</v>
      </c>
    </row>
    <row r="122" customFormat="false" ht="15" hidden="false" customHeight="false" outlineLevel="0" collapsed="false">
      <c r="B122" s="5" t="str">
        <f aca="false">'Building 8'!B27</f>
        <v>11-Building Imp-Post-Casulty Loss Basis-bldg8</v>
      </c>
      <c r="D122" s="33" t="n">
        <f aca="false">SUM(F122:H122)</f>
        <v>424.3</v>
      </c>
      <c r="F122" s="33" t="n">
        <f aca="false">'Building 8'!D27</f>
        <v>424.3</v>
      </c>
    </row>
    <row r="123" customFormat="false" ht="15" hidden="false" customHeight="false" outlineLevel="0" collapsed="false">
      <c r="B123" s="5" t="str">
        <f aca="false">'Building 8'!B28</f>
        <v>11-Building Imp-Post-Casulty Loss Basis-bldg8</v>
      </c>
      <c r="D123" s="33" t="n">
        <f aca="false">SUM(F123:H123)</f>
        <v>1192.18</v>
      </c>
      <c r="H123" s="33" t="n">
        <f aca="false">'Building 8'!D28</f>
        <v>1192.18</v>
      </c>
    </row>
    <row r="124" customFormat="false" ht="15" hidden="false" customHeight="false" outlineLevel="0" collapsed="false">
      <c r="B124" s="5" t="str">
        <f aca="false">'Building 8'!B29</f>
        <v>2-Land Improvements-bldg8-5yr</v>
      </c>
      <c r="D124" s="33" t="n">
        <f aca="false">SUM(F124:H124)</f>
        <v>2308.83</v>
      </c>
      <c r="F124" s="33" t="n">
        <f aca="false">'Building 8'!D29</f>
        <v>2308.83</v>
      </c>
    </row>
    <row r="125" customFormat="false" ht="15" hidden="false" customHeight="false" outlineLevel="0" collapsed="false">
      <c r="B125" s="5" t="str">
        <f aca="false">'Building 8'!B30</f>
        <v>2-Land Improvements-bldg8-30yr</v>
      </c>
      <c r="D125" s="33" t="n">
        <f aca="false">SUM(F125:H125)</f>
        <v>6487.14</v>
      </c>
      <c r="H125" s="33" t="n">
        <f aca="false">'Building 8'!D30</f>
        <v>6487.14</v>
      </c>
    </row>
    <row r="126" customFormat="false" ht="15" hidden="false" customHeight="false" outlineLevel="0" collapsed="false">
      <c r="B126" s="5" t="str">
        <f aca="false">'Building 8'!B31</f>
        <v>13-New Equipment(16 units)-bldg8-5yr</v>
      </c>
      <c r="D126" s="33" t="n">
        <f aca="false">SUM(F126:H126)</f>
        <v>1987.61</v>
      </c>
      <c r="F126" s="33" t="n">
        <f aca="false">'Building 8'!D31</f>
        <v>1987.61</v>
      </c>
    </row>
    <row r="127" customFormat="false" ht="15" hidden="false" customHeight="false" outlineLevel="0" collapsed="false">
      <c r="B127" s="5" t="str">
        <f aca="false">'Building 8'!B32</f>
        <v>13-New Equipment(16 units)-bldg8-30yr</v>
      </c>
      <c r="D127" s="33" t="n">
        <f aca="false">SUM(F127:H127)</f>
        <v>5584.62</v>
      </c>
      <c r="H127" s="33" t="n">
        <f aca="false">'Building 8'!D32</f>
        <v>5584.62</v>
      </c>
    </row>
    <row r="128" customFormat="false" ht="15" hidden="false" customHeight="false" outlineLevel="0" collapsed="false">
      <c r="B128" s="5" t="str">
        <f aca="false">'Building 8'!B33</f>
        <v>15-New Equipment(105 units)-bldg8-5yr</v>
      </c>
      <c r="D128" s="33" t="n">
        <f aca="false">SUM(F128:H128)</f>
        <v>13321.94</v>
      </c>
      <c r="F128" s="33" t="n">
        <f aca="false">'Building 8'!D33</f>
        <v>13321.94</v>
      </c>
    </row>
    <row r="129" customFormat="false" ht="15" hidden="false" customHeight="false" outlineLevel="0" collapsed="false">
      <c r="B129" s="5" t="str">
        <f aca="false">'Building 8'!B34</f>
        <v>15-New Equipment(105 units)-bldg8-30yr</v>
      </c>
      <c r="D129" s="33" t="n">
        <f aca="false">SUM(F129:H129)</f>
        <v>37430.84</v>
      </c>
      <c r="H129" s="33" t="n">
        <f aca="false">'Building 8'!D34</f>
        <v>37430.84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398758.21</v>
      </c>
      <c r="F130" s="34" t="n">
        <f aca="false">SUM(F116:F129)</f>
        <v>104668.73</v>
      </c>
      <c r="H130" s="34" t="n">
        <f aca="false">SUM(H116:H129)</f>
        <v>294089.48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485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85</v>
      </c>
      <c r="C10" s="23" t="s">
        <v>25</v>
      </c>
      <c r="D10" s="24" t="n">
        <v>28637.97</v>
      </c>
      <c r="E10" s="24" t="n">
        <v>0</v>
      </c>
      <c r="F10" s="24" t="n">
        <v>0</v>
      </c>
      <c r="G10" s="24" t="n">
        <v>2957.59</v>
      </c>
      <c r="H10" s="24" t="n">
        <v>1042.85</v>
      </c>
      <c r="I10" s="24" t="n">
        <f aca="false">G10+H10</f>
        <v>4000.44</v>
      </c>
      <c r="J10" s="24" t="n">
        <f aca="false">D10-I10</f>
        <v>24637.53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86</v>
      </c>
      <c r="C11" s="23" t="s">
        <v>27</v>
      </c>
      <c r="D11" s="24" t="n">
        <v>15359.44</v>
      </c>
      <c r="E11" s="24" t="n">
        <v>0</v>
      </c>
      <c r="F11" s="24" t="n">
        <v>0</v>
      </c>
      <c r="G11" s="24" t="n">
        <v>533.32</v>
      </c>
      <c r="H11" s="24" t="n">
        <v>511.98</v>
      </c>
      <c r="I11" s="24" t="n">
        <f aca="false">G11+H11</f>
        <v>1045.3</v>
      </c>
      <c r="J11" s="24" t="n">
        <f aca="false">D11-I11</f>
        <v>14314.14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87</v>
      </c>
      <c r="C12" s="23" t="s">
        <v>29</v>
      </c>
      <c r="D12" s="24" t="n">
        <v>102946.35</v>
      </c>
      <c r="E12" s="24" t="n">
        <v>0</v>
      </c>
      <c r="F12" s="24" t="n">
        <v>0</v>
      </c>
      <c r="G12" s="24" t="n">
        <v>2430.68</v>
      </c>
      <c r="H12" s="24" t="n">
        <v>3431.55</v>
      </c>
      <c r="I12" s="24" t="n">
        <f aca="false">G12+H12</f>
        <v>5862.23</v>
      </c>
      <c r="J12" s="24" t="n">
        <f aca="false">D12-I12</f>
        <v>97084.12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719.75</v>
      </c>
      <c r="E13" s="24" t="n">
        <v>0</v>
      </c>
      <c r="F13" s="24" t="n">
        <v>0</v>
      </c>
      <c r="G13" s="24" t="n">
        <v>54.19</v>
      </c>
      <c r="H13" s="24" t="n">
        <v>24.92</v>
      </c>
      <c r="I13" s="24" t="n">
        <f aca="false">G13+H13</f>
        <v>79.11</v>
      </c>
      <c r="J13" s="24" t="n">
        <f aca="false">D13-I13</f>
        <v>640.64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88</v>
      </c>
      <c r="C14" s="23" t="s">
        <v>25</v>
      </c>
      <c r="D14" s="24" t="n">
        <v>3916.46</v>
      </c>
      <c r="E14" s="24" t="n">
        <v>0</v>
      </c>
      <c r="F14" s="24" t="n">
        <v>1004.82</v>
      </c>
      <c r="G14" s="24" t="n">
        <v>1004.82</v>
      </c>
      <c r="H14" s="24" t="n">
        <v>301.2</v>
      </c>
      <c r="I14" s="24" t="n">
        <f aca="false">G14+H14</f>
        <v>1306.02</v>
      </c>
      <c r="J14" s="24" t="n">
        <f aca="false">D14-I14</f>
        <v>2610.44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89</v>
      </c>
      <c r="C15" s="23" t="s">
        <v>27</v>
      </c>
      <c r="D15" s="24" t="n">
        <v>3371.57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3371.57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90</v>
      </c>
      <c r="C16" s="23" t="s">
        <v>29</v>
      </c>
      <c r="D16" s="24" t="n">
        <v>22597.99</v>
      </c>
      <c r="E16" s="24" t="n">
        <v>0</v>
      </c>
      <c r="F16" s="24" t="n">
        <v>0</v>
      </c>
      <c r="G16" s="24" t="n">
        <v>903.92</v>
      </c>
      <c r="H16" s="24" t="n">
        <v>1446.27</v>
      </c>
      <c r="I16" s="24" t="n">
        <f aca="false">G16+H16</f>
        <v>2350.19</v>
      </c>
      <c r="J16" s="24" t="n">
        <f aca="false">D16-I16</f>
        <v>20247.8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177549.53</v>
      </c>
      <c r="E17" s="28" t="n">
        <f aca="false">SUM(E10:E16)</f>
        <v>0</v>
      </c>
      <c r="F17" s="28" t="n">
        <f aca="false">SUM(F10:F16)</f>
        <v>1004.82</v>
      </c>
      <c r="G17" s="28" t="n">
        <f aca="false">SUM(G10:G16)</f>
        <v>7884.52</v>
      </c>
      <c r="H17" s="28" t="n">
        <f aca="false">SUM(H10:H16)</f>
        <v>6758.77</v>
      </c>
      <c r="I17" s="28" t="n">
        <f aca="false">SUM(I10:I16)</f>
        <v>14643.29</v>
      </c>
      <c r="J17" s="28" t="n">
        <f aca="false">SUM(J10:J16)</f>
        <v>162906.24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261</v>
      </c>
      <c r="C21" s="23" t="s">
        <v>25</v>
      </c>
      <c r="D21" s="24" t="n">
        <v>8201.31</v>
      </c>
      <c r="E21" s="24" t="n">
        <v>0</v>
      </c>
      <c r="F21" s="24" t="n">
        <v>8201.31</v>
      </c>
      <c r="G21" s="24" t="n">
        <v>8201.31</v>
      </c>
      <c r="H21" s="24" t="n">
        <v>0</v>
      </c>
      <c r="I21" s="24" t="n">
        <f aca="false">G21+H21</f>
        <v>8201.31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262</v>
      </c>
      <c r="C22" s="23" t="s">
        <v>25</v>
      </c>
      <c r="D22" s="24" t="n">
        <v>20436.66</v>
      </c>
      <c r="E22" s="24" t="n">
        <v>0</v>
      </c>
      <c r="F22" s="24" t="n">
        <v>0</v>
      </c>
      <c r="G22" s="24" t="n">
        <v>3661.56</v>
      </c>
      <c r="H22" s="24" t="n">
        <v>681.22</v>
      </c>
      <c r="I22" s="24" t="n">
        <f aca="false">G22+H22</f>
        <v>4342.78</v>
      </c>
      <c r="J22" s="24" t="n">
        <f aca="false">D22-I22</f>
        <v>16093.88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263</v>
      </c>
      <c r="C23" s="23" t="s">
        <v>27</v>
      </c>
      <c r="D23" s="24" t="n">
        <v>4398.62</v>
      </c>
      <c r="E23" s="24" t="n">
        <v>0</v>
      </c>
      <c r="F23" s="24" t="n">
        <v>4398.62</v>
      </c>
      <c r="G23" s="24" t="n">
        <v>4398.62</v>
      </c>
      <c r="H23" s="24" t="n">
        <v>0</v>
      </c>
      <c r="I23" s="24" t="n">
        <f aca="false">G23+H23</f>
        <v>4398.62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264</v>
      </c>
      <c r="C24" s="23" t="s">
        <v>27</v>
      </c>
      <c r="D24" s="24" t="n">
        <v>10960.82</v>
      </c>
      <c r="E24" s="24" t="n">
        <v>0</v>
      </c>
      <c r="F24" s="24" t="n">
        <v>0</v>
      </c>
      <c r="G24" s="24" t="n">
        <v>380.58</v>
      </c>
      <c r="H24" s="24" t="n">
        <v>365.36</v>
      </c>
      <c r="I24" s="24" t="n">
        <f aca="false">G24+H24</f>
        <v>745.94</v>
      </c>
      <c r="J24" s="24" t="n">
        <f aca="false">D24-I24</f>
        <v>10214.88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265</v>
      </c>
      <c r="C25" s="23" t="s">
        <v>29</v>
      </c>
      <c r="D25" s="24" t="n">
        <v>29481.65</v>
      </c>
      <c r="E25" s="24" t="n">
        <v>0</v>
      </c>
      <c r="F25" s="24" t="n">
        <v>23585.32</v>
      </c>
      <c r="G25" s="24" t="n">
        <v>24764.59</v>
      </c>
      <c r="H25" s="24" t="n">
        <v>1886.82</v>
      </c>
      <c r="I25" s="24" t="n">
        <f aca="false">G25+H25</f>
        <v>26651.41</v>
      </c>
      <c r="J25" s="24" t="n">
        <f aca="false">D25-I25</f>
        <v>2830.24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266</v>
      </c>
      <c r="C26" s="23" t="s">
        <v>29</v>
      </c>
      <c r="D26" s="24" t="n">
        <v>73464.7</v>
      </c>
      <c r="E26" s="24" t="n">
        <v>0</v>
      </c>
      <c r="F26" s="24" t="n">
        <v>0</v>
      </c>
      <c r="G26" s="24" t="n">
        <v>1734.58</v>
      </c>
      <c r="H26" s="24" t="n">
        <v>2448.82</v>
      </c>
      <c r="I26" s="24" t="n">
        <f aca="false">G26+H26</f>
        <v>4183.4</v>
      </c>
      <c r="J26" s="24" t="n">
        <f aca="false">D26-I26</f>
        <v>69281.3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267</v>
      </c>
      <c r="C27" s="23" t="s">
        <v>31</v>
      </c>
      <c r="D27" s="24" t="n">
        <v>206.12</v>
      </c>
      <c r="E27" s="24" t="n">
        <v>0</v>
      </c>
      <c r="F27" s="24" t="n">
        <v>206.12</v>
      </c>
      <c r="G27" s="24" t="n">
        <v>206.12</v>
      </c>
      <c r="H27" s="24" t="n">
        <v>0</v>
      </c>
      <c r="I27" s="24" t="n">
        <f aca="false">G27+H27</f>
        <v>206.12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267</v>
      </c>
      <c r="C28" s="23" t="s">
        <v>31</v>
      </c>
      <c r="D28" s="24" t="n">
        <v>513.63</v>
      </c>
      <c r="E28" s="24" t="n">
        <v>0</v>
      </c>
      <c r="F28" s="24" t="n">
        <v>0</v>
      </c>
      <c r="G28" s="24" t="n">
        <v>56.35</v>
      </c>
      <c r="H28" s="24" t="n">
        <v>17.12</v>
      </c>
      <c r="I28" s="24" t="n">
        <f aca="false">G28+H28</f>
        <v>73.47</v>
      </c>
      <c r="J28" s="24" t="n">
        <f aca="false">D28-I28</f>
        <v>440.16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268</v>
      </c>
      <c r="C29" s="23" t="s">
        <v>25</v>
      </c>
      <c r="D29" s="24" t="n">
        <v>1121.59</v>
      </c>
      <c r="E29" s="24" t="n">
        <v>0</v>
      </c>
      <c r="F29" s="24" t="n">
        <v>1121.59</v>
      </c>
      <c r="G29" s="24" t="n">
        <v>1121.59</v>
      </c>
      <c r="H29" s="24" t="n">
        <v>0</v>
      </c>
      <c r="I29" s="24" t="n">
        <f aca="false">G29+H29</f>
        <v>1121.59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269</v>
      </c>
      <c r="C30" s="23" t="s">
        <v>25</v>
      </c>
      <c r="D30" s="24" t="n">
        <v>2794.87</v>
      </c>
      <c r="E30" s="24" t="n">
        <v>0</v>
      </c>
      <c r="F30" s="24" t="n">
        <v>0</v>
      </c>
      <c r="G30" s="24" t="n">
        <v>500.74</v>
      </c>
      <c r="H30" s="24" t="n">
        <v>93.16</v>
      </c>
      <c r="I30" s="24" t="n">
        <f aca="false">G30+H30</f>
        <v>593.9</v>
      </c>
      <c r="J30" s="24" t="n">
        <f aca="false">D30-I30</f>
        <v>2200.97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270</v>
      </c>
      <c r="C31" s="23" t="s">
        <v>27</v>
      </c>
      <c r="D31" s="24" t="n">
        <v>965.55</v>
      </c>
      <c r="E31" s="24" t="n">
        <v>0</v>
      </c>
      <c r="F31" s="24" t="n">
        <v>965.55</v>
      </c>
      <c r="G31" s="24" t="n">
        <v>965.55</v>
      </c>
      <c r="H31" s="24" t="n">
        <v>0</v>
      </c>
      <c r="I31" s="24" t="n">
        <f aca="false">G31+H31</f>
        <v>965.55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271</v>
      </c>
      <c r="C32" s="23" t="s">
        <v>27</v>
      </c>
      <c r="D32" s="24" t="n">
        <v>2406.02</v>
      </c>
      <c r="E32" s="24" t="n">
        <v>0</v>
      </c>
      <c r="F32" s="24" t="n">
        <v>0</v>
      </c>
      <c r="G32" s="24" t="n">
        <v>83.54</v>
      </c>
      <c r="H32" s="24" t="n">
        <v>80.2</v>
      </c>
      <c r="I32" s="24" t="n">
        <f aca="false">G32+H32</f>
        <v>163.74</v>
      </c>
      <c r="J32" s="24" t="n">
        <f aca="false">D32-I32</f>
        <v>2242.28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272</v>
      </c>
      <c r="C33" s="23" t="s">
        <v>29</v>
      </c>
      <c r="D33" s="24" t="n">
        <v>6471.57</v>
      </c>
      <c r="E33" s="24" t="n">
        <v>0</v>
      </c>
      <c r="F33" s="24" t="n">
        <v>5177.26</v>
      </c>
      <c r="G33" s="24" t="n">
        <v>5436.12</v>
      </c>
      <c r="H33" s="24" t="n">
        <v>414.18</v>
      </c>
      <c r="I33" s="24" t="n">
        <f aca="false">G33+H33</f>
        <v>5850.3</v>
      </c>
      <c r="J33" s="24" t="n">
        <f aca="false">D33-I33</f>
        <v>621.27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273</v>
      </c>
      <c r="C34" s="23" t="s">
        <v>29</v>
      </c>
      <c r="D34" s="24" t="n">
        <v>16126.42</v>
      </c>
      <c r="E34" s="24" t="n">
        <v>0</v>
      </c>
      <c r="F34" s="24" t="n">
        <v>0</v>
      </c>
      <c r="G34" s="24" t="n">
        <v>380.76</v>
      </c>
      <c r="H34" s="24" t="n">
        <v>537.55</v>
      </c>
      <c r="I34" s="24" t="n">
        <f aca="false">G34+H34</f>
        <v>918.31</v>
      </c>
      <c r="J34" s="24" t="n">
        <f aca="false">D34-I34</f>
        <v>15208.11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177549.53</v>
      </c>
      <c r="E35" s="28" t="n">
        <f aca="false">SUM(E21:E34)</f>
        <v>0</v>
      </c>
      <c r="F35" s="28" t="n">
        <f aca="false">SUM(F21:F34)</f>
        <v>43655.77</v>
      </c>
      <c r="G35" s="28" t="n">
        <f aca="false">SUM(G21:G34)</f>
        <v>51892.01</v>
      </c>
      <c r="H35" s="28" t="n">
        <f aca="false">SUM(H21:H34)</f>
        <v>6524.43</v>
      </c>
      <c r="I35" s="28" t="n">
        <f aca="false">SUM(I21:I34)</f>
        <v>58416.44</v>
      </c>
      <c r="J35" s="28" t="n">
        <f aca="false">SUM(J21:J34)</f>
        <v>119133.09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14643.29</v>
      </c>
    </row>
    <row r="39" customFormat="false" ht="15" hidden="false" customHeight="false" outlineLevel="0" collapsed="false">
      <c r="B39" s="5" t="s">
        <v>415</v>
      </c>
      <c r="D39" s="6" t="n">
        <f aca="false">I35</f>
        <v>58416.44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-43773.15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85</v>
      </c>
      <c r="C45" s="23" t="s">
        <v>25</v>
      </c>
      <c r="D45" s="24" t="n">
        <v>28637.97</v>
      </c>
      <c r="E45" s="24" t="n">
        <v>0</v>
      </c>
      <c r="F45" s="24" t="n">
        <v>0</v>
      </c>
      <c r="G45" s="24" t="n">
        <v>2957.59</v>
      </c>
      <c r="H45" s="24" t="n">
        <v>1042.85</v>
      </c>
      <c r="I45" s="24" t="n">
        <f aca="false">G45+H45</f>
        <v>4000.44</v>
      </c>
      <c r="J45" s="24" t="n">
        <f aca="false">D45-I45</f>
        <v>24637.53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86</v>
      </c>
      <c r="C46" s="23" t="s">
        <v>27</v>
      </c>
      <c r="D46" s="24" t="n">
        <v>15359.44</v>
      </c>
      <c r="E46" s="24" t="n">
        <v>0</v>
      </c>
      <c r="F46" s="24" t="n">
        <v>0</v>
      </c>
      <c r="G46" s="24" t="n">
        <v>533.32</v>
      </c>
      <c r="H46" s="24" t="n">
        <v>511.98</v>
      </c>
      <c r="I46" s="24" t="n">
        <f aca="false">G46+H46</f>
        <v>1045.3</v>
      </c>
      <c r="J46" s="24" t="n">
        <f aca="false">D46-I46</f>
        <v>14314.14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87</v>
      </c>
      <c r="C47" s="23" t="s">
        <v>29</v>
      </c>
      <c r="D47" s="24" t="n">
        <v>102946.35</v>
      </c>
      <c r="E47" s="24" t="n">
        <v>0</v>
      </c>
      <c r="F47" s="24" t="n">
        <v>0</v>
      </c>
      <c r="G47" s="24" t="n">
        <v>2430.68</v>
      </c>
      <c r="H47" s="24" t="n">
        <v>3431.55</v>
      </c>
      <c r="I47" s="24" t="n">
        <f aca="false">G47+H47</f>
        <v>5862.23</v>
      </c>
      <c r="J47" s="24" t="n">
        <f aca="false">D47-I47</f>
        <v>97084.12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719.75</v>
      </c>
      <c r="E48" s="24" t="n">
        <v>0</v>
      </c>
      <c r="F48" s="24" t="n">
        <v>0</v>
      </c>
      <c r="G48" s="24" t="n">
        <v>54.19</v>
      </c>
      <c r="H48" s="24" t="n">
        <v>24.92</v>
      </c>
      <c r="I48" s="24" t="n">
        <f aca="false">G48+H48</f>
        <v>79.11</v>
      </c>
      <c r="J48" s="24" t="n">
        <f aca="false">D48-I48</f>
        <v>640.64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88</v>
      </c>
      <c r="C49" s="23" t="s">
        <v>25</v>
      </c>
      <c r="D49" s="24" t="n">
        <v>3916.46</v>
      </c>
      <c r="E49" s="24" t="n">
        <v>0</v>
      </c>
      <c r="F49" s="24" t="n">
        <v>1004.82</v>
      </c>
      <c r="G49" s="24" t="n">
        <v>1004.82</v>
      </c>
      <c r="H49" s="24" t="n">
        <v>301.2</v>
      </c>
      <c r="I49" s="24" t="n">
        <f aca="false">G49+H49</f>
        <v>1306.02</v>
      </c>
      <c r="J49" s="24" t="n">
        <f aca="false">D49-I49</f>
        <v>2610.44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89</v>
      </c>
      <c r="C50" s="23" t="s">
        <v>27</v>
      </c>
      <c r="D50" s="24" t="n">
        <v>3371.57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3371.57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90</v>
      </c>
      <c r="C51" s="23" t="s">
        <v>29</v>
      </c>
      <c r="D51" s="24" t="n">
        <v>22597.99</v>
      </c>
      <c r="E51" s="24" t="n">
        <v>0</v>
      </c>
      <c r="F51" s="24" t="n">
        <v>0</v>
      </c>
      <c r="G51" s="24" t="n">
        <v>903.92</v>
      </c>
      <c r="H51" s="24" t="n">
        <v>1446.27</v>
      </c>
      <c r="I51" s="24" t="n">
        <f aca="false">G51+H51</f>
        <v>2350.19</v>
      </c>
      <c r="J51" s="24" t="n">
        <f aca="false">D51-I51</f>
        <v>20247.8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177549.53</v>
      </c>
      <c r="E52" s="28" t="n">
        <f aca="false">SUM(E45:E51)</f>
        <v>0</v>
      </c>
      <c r="F52" s="28" t="n">
        <f aca="false">SUM(F45:F51)</f>
        <v>1004.82</v>
      </c>
      <c r="G52" s="28" t="n">
        <f aca="false">SUM(G45:G51)</f>
        <v>7884.52</v>
      </c>
      <c r="H52" s="28" t="n">
        <f aca="false">SUM(H45:H51)</f>
        <v>6758.77</v>
      </c>
      <c r="I52" s="28" t="n">
        <f aca="false">SUM(I45:I51)</f>
        <v>14643.29</v>
      </c>
      <c r="J52" s="28" t="n">
        <f aca="false">SUM(J45:J51)</f>
        <v>162906.24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261</v>
      </c>
      <c r="C56" s="23" t="s">
        <v>25</v>
      </c>
      <c r="D56" s="24" t="n">
        <v>8201.31</v>
      </c>
      <c r="E56" s="24" t="n">
        <v>0</v>
      </c>
      <c r="F56" s="24" t="n">
        <v>8201.31</v>
      </c>
      <c r="G56" s="24" t="n">
        <v>8201.31</v>
      </c>
      <c r="H56" s="24" t="n">
        <v>0</v>
      </c>
      <c r="I56" s="24" t="n">
        <f aca="false">G56+H56</f>
        <v>8201.31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263</v>
      </c>
      <c r="C57" s="23" t="s">
        <v>27</v>
      </c>
      <c r="D57" s="24" t="n">
        <v>4398.62</v>
      </c>
      <c r="E57" s="24" t="n">
        <v>0</v>
      </c>
      <c r="F57" s="24" t="n">
        <v>4398.62</v>
      </c>
      <c r="G57" s="24" t="n">
        <v>4398.62</v>
      </c>
      <c r="H57" s="24" t="n">
        <v>0</v>
      </c>
      <c r="I57" s="24" t="n">
        <f aca="false">G57+H57</f>
        <v>4398.62</v>
      </c>
      <c r="J57" s="24" t="n">
        <f aca="false">D57-I57</f>
        <v>0</v>
      </c>
      <c r="K57" s="25" t="s">
        <v>410</v>
      </c>
      <c r="L57" s="25" t="s">
        <v>411</v>
      </c>
    </row>
    <row r="58" customFormat="false" ht="15" hidden="false" customHeight="false" outlineLevel="0" collapsed="false">
      <c r="A58" s="23" t="n">
        <v>3</v>
      </c>
      <c r="B58" s="23" t="s">
        <v>264</v>
      </c>
      <c r="C58" s="23" t="s">
        <v>27</v>
      </c>
      <c r="D58" s="24" t="n">
        <v>10960.82</v>
      </c>
      <c r="E58" s="24" t="n">
        <v>0</v>
      </c>
      <c r="F58" s="24" t="n">
        <v>0</v>
      </c>
      <c r="G58" s="24" t="n">
        <v>380.58</v>
      </c>
      <c r="H58" s="24" t="n">
        <v>365.36</v>
      </c>
      <c r="I58" s="24" t="n">
        <f aca="false">G58+H58</f>
        <v>745.94</v>
      </c>
      <c r="J58" s="24" t="n">
        <f aca="false">D58-I58</f>
        <v>10214.88</v>
      </c>
      <c r="K58" s="25" t="s">
        <v>406</v>
      </c>
      <c r="L58" s="25" t="s">
        <v>407</v>
      </c>
    </row>
    <row r="59" customFormat="false" ht="15" hidden="false" customHeight="false" outlineLevel="0" collapsed="false">
      <c r="A59" s="23" t="n">
        <v>4</v>
      </c>
      <c r="B59" s="23" t="s">
        <v>265</v>
      </c>
      <c r="C59" s="23" t="s">
        <v>29</v>
      </c>
      <c r="D59" s="24" t="n">
        <v>29481.65</v>
      </c>
      <c r="E59" s="24" t="n">
        <v>0</v>
      </c>
      <c r="F59" s="24" t="n">
        <v>23585.32</v>
      </c>
      <c r="G59" s="24" t="n">
        <v>24764.59</v>
      </c>
      <c r="H59" s="24" t="n">
        <v>1886.82</v>
      </c>
      <c r="I59" s="24" t="n">
        <f aca="false">G59+H59</f>
        <v>26651.41</v>
      </c>
      <c r="J59" s="24" t="n">
        <f aca="false">D59-I59</f>
        <v>2830.24</v>
      </c>
      <c r="K59" s="25" t="s">
        <v>410</v>
      </c>
      <c r="L59" s="25" t="s">
        <v>411</v>
      </c>
    </row>
    <row r="60" customFormat="false" ht="15" hidden="false" customHeight="false" outlineLevel="0" collapsed="false">
      <c r="A60" s="23" t="n">
        <v>5</v>
      </c>
      <c r="B60" s="23" t="s">
        <v>266</v>
      </c>
      <c r="C60" s="23" t="s">
        <v>29</v>
      </c>
      <c r="D60" s="24" t="n">
        <v>73464.7</v>
      </c>
      <c r="E60" s="24" t="n">
        <v>0</v>
      </c>
      <c r="F60" s="24" t="n">
        <v>0</v>
      </c>
      <c r="G60" s="24" t="n">
        <v>1734.58</v>
      </c>
      <c r="H60" s="24" t="n">
        <v>2448.82</v>
      </c>
      <c r="I60" s="24" t="n">
        <f aca="false">G60+H60</f>
        <v>4183.4</v>
      </c>
      <c r="J60" s="24" t="n">
        <f aca="false">D60-I60</f>
        <v>69281.3</v>
      </c>
      <c r="K60" s="25" t="s">
        <v>406</v>
      </c>
      <c r="L60" s="25" t="s">
        <v>407</v>
      </c>
    </row>
    <row r="61" customFormat="false" ht="15" hidden="false" customHeight="false" outlineLevel="0" collapsed="false">
      <c r="A61" s="23" t="n">
        <v>6</v>
      </c>
      <c r="B61" s="23" t="s">
        <v>268</v>
      </c>
      <c r="C61" s="23" t="s">
        <v>25</v>
      </c>
      <c r="D61" s="24" t="n">
        <v>1121.59</v>
      </c>
      <c r="E61" s="24" t="n">
        <v>0</v>
      </c>
      <c r="F61" s="24" t="n">
        <v>1121.59</v>
      </c>
      <c r="G61" s="24" t="n">
        <v>1121.59</v>
      </c>
      <c r="H61" s="24" t="n">
        <v>0</v>
      </c>
      <c r="I61" s="24" t="n">
        <f aca="false">G61+H61</f>
        <v>1121.59</v>
      </c>
      <c r="J61" s="24" t="n">
        <f aca="false">D61-I61</f>
        <v>0</v>
      </c>
      <c r="K61" s="25" t="s">
        <v>410</v>
      </c>
      <c r="L61" s="25" t="s">
        <v>411</v>
      </c>
    </row>
    <row r="62" customFormat="false" ht="15" hidden="false" customHeight="false" outlineLevel="0" collapsed="false">
      <c r="A62" s="23" t="n">
        <v>7</v>
      </c>
      <c r="B62" s="23" t="s">
        <v>269</v>
      </c>
      <c r="C62" s="23" t="s">
        <v>25</v>
      </c>
      <c r="D62" s="24" t="n">
        <v>2794.87</v>
      </c>
      <c r="E62" s="24" t="n">
        <v>0</v>
      </c>
      <c r="F62" s="24" t="n">
        <v>0</v>
      </c>
      <c r="G62" s="24" t="n">
        <v>500.74</v>
      </c>
      <c r="H62" s="24" t="n">
        <v>93.16</v>
      </c>
      <c r="I62" s="24" t="n">
        <f aca="false">G62+H62</f>
        <v>593.9</v>
      </c>
      <c r="J62" s="24" t="n">
        <f aca="false">D62-I62</f>
        <v>2200.97</v>
      </c>
      <c r="K62" s="25" t="s">
        <v>406</v>
      </c>
      <c r="L62" s="25" t="s">
        <v>407</v>
      </c>
    </row>
    <row r="63" customFormat="false" ht="15" hidden="false" customHeight="false" outlineLevel="0" collapsed="false">
      <c r="A63" s="23" t="n">
        <v>8</v>
      </c>
      <c r="B63" s="23" t="s">
        <v>270</v>
      </c>
      <c r="C63" s="23" t="s">
        <v>27</v>
      </c>
      <c r="D63" s="24" t="n">
        <v>965.55</v>
      </c>
      <c r="E63" s="24" t="n">
        <v>0</v>
      </c>
      <c r="F63" s="24" t="n">
        <v>965.55</v>
      </c>
      <c r="G63" s="24" t="n">
        <v>965.55</v>
      </c>
      <c r="H63" s="24" t="n">
        <v>0</v>
      </c>
      <c r="I63" s="24" t="n">
        <f aca="false">G63+H63</f>
        <v>965.55</v>
      </c>
      <c r="J63" s="24" t="n">
        <f aca="false">D63-I63</f>
        <v>0</v>
      </c>
      <c r="K63" s="25" t="s">
        <v>410</v>
      </c>
      <c r="L63" s="25" t="s">
        <v>411</v>
      </c>
    </row>
    <row r="64" customFormat="false" ht="15" hidden="false" customHeight="false" outlineLevel="0" collapsed="false">
      <c r="A64" s="23" t="n">
        <v>9</v>
      </c>
      <c r="B64" s="23" t="s">
        <v>271</v>
      </c>
      <c r="C64" s="23" t="s">
        <v>27</v>
      </c>
      <c r="D64" s="24" t="n">
        <v>2406.02</v>
      </c>
      <c r="E64" s="24" t="n">
        <v>0</v>
      </c>
      <c r="F64" s="24" t="n">
        <v>0</v>
      </c>
      <c r="G64" s="24" t="n">
        <v>83.54</v>
      </c>
      <c r="H64" s="24" t="n">
        <v>80.2</v>
      </c>
      <c r="I64" s="24" t="n">
        <f aca="false">G64+H64</f>
        <v>163.74</v>
      </c>
      <c r="J64" s="24" t="n">
        <f aca="false">D64-I64</f>
        <v>2242.28</v>
      </c>
      <c r="K64" s="25" t="s">
        <v>406</v>
      </c>
      <c r="L64" s="25" t="s">
        <v>407</v>
      </c>
    </row>
    <row r="65" customFormat="false" ht="15" hidden="false" customHeight="false" outlineLevel="0" collapsed="false">
      <c r="A65" s="23" t="n">
        <v>10</v>
      </c>
      <c r="B65" s="23" t="s">
        <v>272</v>
      </c>
      <c r="C65" s="23" t="s">
        <v>29</v>
      </c>
      <c r="D65" s="24" t="n">
        <v>6471.57</v>
      </c>
      <c r="E65" s="24" t="n">
        <v>0</v>
      </c>
      <c r="F65" s="24" t="n">
        <v>5177.26</v>
      </c>
      <c r="G65" s="24" t="n">
        <v>5436.12</v>
      </c>
      <c r="H65" s="24" t="n">
        <v>414.18</v>
      </c>
      <c r="I65" s="24" t="n">
        <f aca="false">G65+H65</f>
        <v>5850.3</v>
      </c>
      <c r="J65" s="24" t="n">
        <f aca="false">D65-I65</f>
        <v>621.27</v>
      </c>
      <c r="K65" s="25" t="s">
        <v>410</v>
      </c>
      <c r="L65" s="25" t="s">
        <v>411</v>
      </c>
    </row>
    <row r="66" customFormat="false" ht="15" hidden="false" customHeight="false" outlineLevel="0" collapsed="false">
      <c r="A66" s="23" t="n">
        <v>11</v>
      </c>
      <c r="B66" s="23" t="s">
        <v>273</v>
      </c>
      <c r="C66" s="23" t="s">
        <v>29</v>
      </c>
      <c r="D66" s="24" t="n">
        <v>16126.42</v>
      </c>
      <c r="E66" s="24" t="n">
        <v>0</v>
      </c>
      <c r="F66" s="24" t="n">
        <v>0</v>
      </c>
      <c r="G66" s="24" t="n">
        <v>380.76</v>
      </c>
      <c r="H66" s="24" t="n">
        <v>537.55</v>
      </c>
      <c r="I66" s="24" t="n">
        <f aca="false">G66+H66</f>
        <v>918.31</v>
      </c>
      <c r="J66" s="24" t="n">
        <f aca="false">D66-I66</f>
        <v>15208.11</v>
      </c>
      <c r="K66" s="25" t="s">
        <v>406</v>
      </c>
      <c r="L66" s="25" t="s">
        <v>407</v>
      </c>
    </row>
    <row r="67" customFormat="false" ht="15" hidden="false" customHeight="false" outlineLevel="0" collapsed="false">
      <c r="A67" s="26"/>
      <c r="B67" s="27" t="s">
        <v>140</v>
      </c>
      <c r="C67" s="26"/>
      <c r="D67" s="28" t="n">
        <f aca="false">SUM(D56:D66)</f>
        <v>156393.12</v>
      </c>
      <c r="E67" s="28" t="n">
        <f aca="false">SUM(E56:E66)</f>
        <v>0</v>
      </c>
      <c r="F67" s="28" t="n">
        <f aca="false">SUM(F56:F66)</f>
        <v>43449.65</v>
      </c>
      <c r="G67" s="28" t="n">
        <f aca="false">SUM(G56:G66)</f>
        <v>47967.98</v>
      </c>
      <c r="H67" s="28" t="n">
        <f aca="false">SUM(H56:H66)</f>
        <v>5826.09</v>
      </c>
      <c r="I67" s="28" t="n">
        <f aca="false">SUM(I56:I66)</f>
        <v>53794.07</v>
      </c>
      <c r="J67" s="28" t="n">
        <f aca="false">SUM(J56:J66)</f>
        <v>102599.05</v>
      </c>
      <c r="K67" s="26"/>
      <c r="L67" s="26"/>
    </row>
    <row r="69" customFormat="false" ht="15" hidden="false" customHeight="false" outlineLevel="0" collapsed="false">
      <c r="B69" s="18" t="s">
        <v>421</v>
      </c>
    </row>
    <row r="70" customFormat="false" ht="15" hidden="false" customHeight="false" outlineLevel="0" collapsed="false">
      <c r="B70" s="5" t="s">
        <v>414</v>
      </c>
      <c r="D70" s="6" t="n">
        <f aca="false">I52</f>
        <v>14643.29</v>
      </c>
    </row>
    <row r="71" customFormat="false" ht="15" hidden="false" customHeight="false" outlineLevel="0" collapsed="false">
      <c r="B71" s="5" t="s">
        <v>415</v>
      </c>
      <c r="D71" s="6" t="n">
        <f aca="false">I67</f>
        <v>53794.07</v>
      </c>
    </row>
    <row r="72" customFormat="false" ht="15" hidden="false" customHeight="false" outlineLevel="0" collapsed="false">
      <c r="B72" s="11" t="s">
        <v>421</v>
      </c>
      <c r="D72" s="29" t="n">
        <f aca="false">D70-D71</f>
        <v>-39150.78</v>
      </c>
    </row>
    <row r="74" customFormat="false" ht="15" hidden="false" customHeight="false" outlineLevel="0" collapsed="false">
      <c r="A74" s="10" t="s">
        <v>422</v>
      </c>
    </row>
    <row r="75" customFormat="false" ht="15" hidden="false" customHeight="false" outlineLevel="0" collapsed="false">
      <c r="B75" s="11" t="s">
        <v>445</v>
      </c>
      <c r="D75" s="12" t="n">
        <f aca="false">D114</f>
        <v>177549.53</v>
      </c>
    </row>
    <row r="76" customFormat="false" ht="15" hidden="false" customHeight="false" outlineLevel="0" collapsed="false">
      <c r="B76" s="5" t="s">
        <v>446</v>
      </c>
      <c r="D76" s="6" t="n">
        <f aca="false">F114</f>
        <v>50846.41</v>
      </c>
    </row>
    <row r="77" customFormat="false" ht="15" hidden="false" customHeight="false" outlineLevel="0" collapsed="false">
      <c r="B77" s="30" t="s">
        <v>425</v>
      </c>
      <c r="D77" s="31" t="n">
        <f aca="false">F115</f>
        <v>0.286378736119437</v>
      </c>
    </row>
    <row r="78" customFormat="false" ht="15" hidden="false" customHeight="false" outlineLevel="0" collapsed="false">
      <c r="B78" s="5" t="s">
        <v>447</v>
      </c>
      <c r="D78" s="6" t="n">
        <f aca="false">H114</f>
        <v>126703.12</v>
      </c>
    </row>
    <row r="79" customFormat="false" ht="15" hidden="false" customHeight="false" outlineLevel="0" collapsed="false">
      <c r="B79" s="30" t="s">
        <v>425</v>
      </c>
      <c r="D79" s="31" t="n">
        <f aca="false">H115</f>
        <v>0.713621263880563</v>
      </c>
    </row>
    <row r="81" customFormat="false" ht="15" hidden="false" customHeight="false" outlineLevel="0" collapsed="false">
      <c r="A81" s="10" t="s">
        <v>427</v>
      </c>
    </row>
    <row r="82" customFormat="false" ht="15" hidden="false" customHeight="false" outlineLevel="0" collapsed="false">
      <c r="B82" s="4" t="s">
        <v>428</v>
      </c>
      <c r="D82" s="4" t="s">
        <v>397</v>
      </c>
      <c r="F82" s="4" t="s">
        <v>448</v>
      </c>
      <c r="H82" s="4" t="s">
        <v>430</v>
      </c>
    </row>
    <row r="83" customFormat="false" ht="15" hidden="false" customHeight="false" outlineLevel="0" collapsed="false">
      <c r="B83" s="32" t="s">
        <v>449</v>
      </c>
    </row>
    <row r="84" customFormat="false" ht="15" hidden="false" customHeight="false" outlineLevel="0" collapsed="false">
      <c r="B84" s="5" t="s">
        <v>450</v>
      </c>
      <c r="D84" s="33" t="n">
        <f aca="false">SUM(F84:H84)</f>
        <v>3931.6</v>
      </c>
      <c r="F84" s="33" t="n">
        <v>3931.6</v>
      </c>
    </row>
    <row r="85" customFormat="false" ht="15" hidden="false" customHeight="false" outlineLevel="0" collapsed="false">
      <c r="B85" s="5" t="s">
        <v>451</v>
      </c>
      <c r="D85" s="33" t="n">
        <f aca="false">SUM(F85:H85)</f>
        <v>3025.61</v>
      </c>
      <c r="F85" s="33" t="n">
        <v>3025.61</v>
      </c>
    </row>
    <row r="86" customFormat="false" ht="15" hidden="false" customHeight="false" outlineLevel="0" collapsed="false">
      <c r="B86" s="5" t="s">
        <v>486</v>
      </c>
      <c r="D86" s="33" t="n">
        <f aca="false">SUM(F86:H86)</f>
        <v>2941.12</v>
      </c>
      <c r="F86" s="33" t="n">
        <v>2941.12</v>
      </c>
    </row>
    <row r="87" customFormat="false" ht="15" hidden="false" customHeight="false" outlineLevel="0" collapsed="false">
      <c r="B87" s="5" t="s">
        <v>452</v>
      </c>
      <c r="D87" s="33" t="n">
        <f aca="false">SUM(F87:H87)</f>
        <v>3937.09</v>
      </c>
      <c r="F87" s="33" t="n">
        <v>3937.09</v>
      </c>
    </row>
    <row r="88" customFormat="false" ht="15" hidden="false" customHeight="false" outlineLevel="0" collapsed="false">
      <c r="B88" s="5" t="s">
        <v>453</v>
      </c>
      <c r="D88" s="33" t="n">
        <f aca="false">SUM(F88:H88)</f>
        <v>496.64</v>
      </c>
      <c r="F88" s="33" t="n">
        <v>496.64</v>
      </c>
    </row>
    <row r="89" customFormat="false" ht="15" hidden="false" customHeight="false" outlineLevel="0" collapsed="false">
      <c r="B89" s="5" t="s">
        <v>487</v>
      </c>
      <c r="D89" s="33" t="n">
        <f aca="false">SUM(F89:H89)</f>
        <v>833.73</v>
      </c>
      <c r="F89" s="33" t="n">
        <v>833.73</v>
      </c>
    </row>
    <row r="90" customFormat="false" ht="15" hidden="false" customHeight="false" outlineLevel="0" collapsed="false">
      <c r="B90" s="5" t="s">
        <v>454</v>
      </c>
      <c r="D90" s="33" t="n">
        <f aca="false">SUM(F90:H90)</f>
        <v>71.8</v>
      </c>
      <c r="F90" s="33" t="n">
        <v>71.8</v>
      </c>
    </row>
    <row r="91" customFormat="false" ht="15" hidden="false" customHeight="false" outlineLevel="0" collapsed="false">
      <c r="B91" s="5" t="s">
        <v>455</v>
      </c>
      <c r="D91" s="33" t="n">
        <f aca="false">SUM(F91:H91)</f>
        <v>5223.52</v>
      </c>
      <c r="F91" s="33" t="n">
        <v>5223.52</v>
      </c>
    </row>
    <row r="92" customFormat="false" ht="15" hidden="false" customHeight="false" outlineLevel="0" collapsed="false">
      <c r="B92" s="5" t="s">
        <v>456</v>
      </c>
      <c r="D92" s="33" t="n">
        <f aca="false">SUM(F92:H92)</f>
        <v>1051.12</v>
      </c>
      <c r="F92" s="33" t="n">
        <v>1051.12</v>
      </c>
    </row>
    <row r="93" customFormat="false" ht="15" hidden="false" customHeight="false" outlineLevel="0" collapsed="false">
      <c r="B93" s="5" t="s">
        <v>488</v>
      </c>
      <c r="D93" s="33" t="n">
        <f aca="false">SUM(F93:H93)</f>
        <v>4691.93</v>
      </c>
      <c r="F93" s="33" t="n">
        <v>4691.93</v>
      </c>
    </row>
    <row r="94" customFormat="false" ht="15" hidden="false" customHeight="false" outlineLevel="0" collapsed="false">
      <c r="B94" s="5" t="s">
        <v>458</v>
      </c>
      <c r="D94" s="33" t="n">
        <f aca="false">SUM(F94:H94)</f>
        <v>316.82</v>
      </c>
      <c r="F94" s="33" t="n">
        <v>316.82</v>
      </c>
    </row>
    <row r="95" customFormat="false" ht="15" hidden="false" customHeight="false" outlineLevel="0" collapsed="false">
      <c r="B95" s="5" t="s">
        <v>489</v>
      </c>
      <c r="D95" s="33" t="n">
        <f aca="false">SUM(F95:H95)</f>
        <v>11202.14</v>
      </c>
      <c r="F95" s="33" t="n">
        <v>11202.14</v>
      </c>
    </row>
    <row r="96" customFormat="false" ht="15" hidden="false" customHeight="false" outlineLevel="0" collapsed="false">
      <c r="B96" s="5" t="s">
        <v>460</v>
      </c>
      <c r="D96" s="33" t="n">
        <f aca="false">SUM(F96:H96)</f>
        <v>13123.29</v>
      </c>
      <c r="F96" s="33" t="n">
        <v>13123.29</v>
      </c>
    </row>
    <row r="97" customFormat="false" ht="15" hidden="false" customHeight="false" outlineLevel="0" collapsed="false">
      <c r="B97" s="32" t="s">
        <v>461</v>
      </c>
    </row>
    <row r="98" customFormat="false" ht="15" hidden="false" customHeight="false" outlineLevel="0" collapsed="false">
      <c r="B98" s="5" t="s">
        <v>462</v>
      </c>
      <c r="D98" s="33" t="n">
        <f aca="false">SUM(F98:H98)</f>
        <v>12188.65</v>
      </c>
      <c r="H98" s="33" t="n">
        <v>12188.65</v>
      </c>
    </row>
    <row r="99" customFormat="false" ht="15" hidden="false" customHeight="false" outlineLevel="0" collapsed="false">
      <c r="B99" s="5" t="s">
        <v>463</v>
      </c>
      <c r="D99" s="33" t="n">
        <f aca="false">SUM(F99:H99)</f>
        <v>16410.11</v>
      </c>
      <c r="H99" s="33" t="n">
        <v>16410.11</v>
      </c>
    </row>
    <row r="100" customFormat="false" ht="15" hidden="false" customHeight="false" outlineLevel="0" collapsed="false">
      <c r="B100" s="5" t="s">
        <v>464</v>
      </c>
      <c r="D100" s="33" t="n">
        <f aca="false">SUM(F100:H100)</f>
        <v>11725.43</v>
      </c>
      <c r="H100" s="33" t="n">
        <v>11725.43</v>
      </c>
    </row>
    <row r="101" customFormat="false" ht="15" hidden="false" customHeight="false" outlineLevel="0" collapsed="false">
      <c r="B101" s="5" t="s">
        <v>465</v>
      </c>
      <c r="D101" s="33" t="n">
        <f aca="false">SUM(F101:H101)</f>
        <v>12787.42</v>
      </c>
      <c r="H101" s="33" t="n">
        <v>12787.42</v>
      </c>
    </row>
    <row r="102" customFormat="false" ht="15" hidden="false" customHeight="false" outlineLevel="0" collapsed="false">
      <c r="B102" s="5" t="s">
        <v>466</v>
      </c>
      <c r="D102" s="33" t="n">
        <f aca="false">SUM(F102:H102)</f>
        <v>10192.86</v>
      </c>
      <c r="H102" s="33" t="n">
        <v>10192.86</v>
      </c>
    </row>
    <row r="103" customFormat="false" ht="15" hidden="false" customHeight="false" outlineLevel="0" collapsed="false">
      <c r="B103" s="5" t="s">
        <v>467</v>
      </c>
      <c r="D103" s="33" t="n">
        <f aca="false">SUM(F103:H103)</f>
        <v>233.04</v>
      </c>
      <c r="H103" s="33" t="n">
        <v>233.04</v>
      </c>
    </row>
    <row r="104" customFormat="false" ht="15" hidden="false" customHeight="false" outlineLevel="0" collapsed="false">
      <c r="B104" s="5" t="s">
        <v>468</v>
      </c>
      <c r="D104" s="33" t="n">
        <f aca="false">SUM(F104:H104)</f>
        <v>21043.31</v>
      </c>
      <c r="H104" s="33" t="n">
        <v>21043.31</v>
      </c>
    </row>
    <row r="105" customFormat="false" ht="15" hidden="false" customHeight="false" outlineLevel="0" collapsed="false">
      <c r="B105" s="5" t="s">
        <v>469</v>
      </c>
      <c r="D105" s="33" t="n">
        <f aca="false">SUM(F105:H105)</f>
        <v>2797.83</v>
      </c>
      <c r="H105" s="33" t="n">
        <v>2797.83</v>
      </c>
    </row>
    <row r="106" customFormat="false" ht="15" hidden="false" customHeight="false" outlineLevel="0" collapsed="false">
      <c r="B106" s="5" t="s">
        <v>470</v>
      </c>
      <c r="D106" s="33" t="n">
        <f aca="false">SUM(F106:H106)</f>
        <v>2188.95</v>
      </c>
      <c r="H106" s="33" t="n">
        <v>2188.95</v>
      </c>
    </row>
    <row r="107" customFormat="false" ht="15" hidden="false" customHeight="false" outlineLevel="0" collapsed="false">
      <c r="B107" s="5" t="s">
        <v>471</v>
      </c>
      <c r="D107" s="33" t="n">
        <f aca="false">SUM(F107:H107)</f>
        <v>5373.26</v>
      </c>
      <c r="H107" s="33" t="n">
        <v>5373.26</v>
      </c>
    </row>
    <row r="108" customFormat="false" ht="15" hidden="false" customHeight="false" outlineLevel="0" collapsed="false">
      <c r="B108" s="5" t="s">
        <v>472</v>
      </c>
      <c r="D108" s="33" t="n">
        <f aca="false">SUM(F108:H108)</f>
        <v>13233.31</v>
      </c>
      <c r="H108" s="33" t="n">
        <v>13233.31</v>
      </c>
    </row>
    <row r="109" customFormat="false" ht="15" hidden="false" customHeight="false" outlineLevel="0" collapsed="false">
      <c r="B109" s="5" t="s">
        <v>473</v>
      </c>
      <c r="D109" s="33" t="n">
        <f aca="false">SUM(F109:H109)</f>
        <v>5712.33</v>
      </c>
      <c r="H109" s="33" t="n">
        <v>5712.33</v>
      </c>
    </row>
    <row r="110" customFormat="false" ht="15" hidden="false" customHeight="false" outlineLevel="0" collapsed="false">
      <c r="B110" s="5" t="s">
        <v>490</v>
      </c>
      <c r="D110" s="33" t="n">
        <f aca="false">SUM(F110:H110)</f>
        <v>112.76</v>
      </c>
      <c r="H110" s="33" t="n">
        <v>112.76</v>
      </c>
    </row>
    <row r="111" customFormat="false" ht="15" hidden="false" customHeight="false" outlineLevel="0" collapsed="false">
      <c r="B111" s="5" t="s">
        <v>474</v>
      </c>
      <c r="D111" s="33" t="n">
        <f aca="false">SUM(F111:H111)</f>
        <v>11883.99</v>
      </c>
      <c r="H111" s="33" t="n">
        <v>11883.99</v>
      </c>
    </row>
    <row r="112" customFormat="false" ht="15" hidden="false" customHeight="false" outlineLevel="0" collapsed="false">
      <c r="B112" s="5" t="s">
        <v>476</v>
      </c>
      <c r="D112" s="33" t="n">
        <f aca="false">SUM(F112:H112)</f>
        <v>584.77</v>
      </c>
      <c r="H112" s="33" t="n">
        <v>584.77</v>
      </c>
    </row>
    <row r="113" customFormat="false" ht="15" hidden="false" customHeight="false" outlineLevel="0" collapsed="false">
      <c r="B113" s="5" t="s">
        <v>477</v>
      </c>
      <c r="D113" s="33" t="n">
        <f aca="false">SUM(F113:H113)</f>
        <v>235.1</v>
      </c>
      <c r="H113" s="33" t="n">
        <v>235.1</v>
      </c>
    </row>
    <row r="114" customFormat="false" ht="15" hidden="false" customHeight="false" outlineLevel="0" collapsed="false">
      <c r="B114" s="11" t="s">
        <v>445</v>
      </c>
      <c r="D114" s="34" t="n">
        <f aca="false">SUM(D83:D113)</f>
        <v>177549.53</v>
      </c>
      <c r="F114" s="34" t="n">
        <f aca="false">SUM(F83:F113)</f>
        <v>50846.41</v>
      </c>
      <c r="H114" s="34" t="n">
        <f aca="false">SUM(H83:H113)</f>
        <v>126703.12</v>
      </c>
    </row>
    <row r="115" customFormat="false" ht="15" hidden="false" customHeight="false" outlineLevel="0" collapsed="false">
      <c r="B115" s="30" t="s">
        <v>425</v>
      </c>
      <c r="F115" s="31" t="n">
        <f aca="false">F114/D114</f>
        <v>0.286378736119437</v>
      </c>
      <c r="H115" s="31" t="n">
        <f aca="false">H114/D114</f>
        <v>0.713621263880563</v>
      </c>
    </row>
    <row r="117" customFormat="false" ht="15" hidden="false" customHeight="false" outlineLevel="0" collapsed="false">
      <c r="A117" s="10" t="s">
        <v>440</v>
      </c>
    </row>
    <row r="118" customFormat="false" ht="15" hidden="false" customHeight="false" outlineLevel="0" collapsed="false">
      <c r="B118" s="4" t="s">
        <v>441</v>
      </c>
      <c r="D118" s="4" t="s">
        <v>397</v>
      </c>
      <c r="F118" s="4" t="s">
        <v>448</v>
      </c>
      <c r="H118" s="4" t="s">
        <v>430</v>
      </c>
    </row>
    <row r="119" customFormat="false" ht="15" hidden="false" customHeight="false" outlineLevel="0" collapsed="false">
      <c r="B119" s="5" t="str">
        <f aca="false">'Building 9'!B21</f>
        <v>10-Building-Post Casualty Loss Basis-bldg9-5</v>
      </c>
      <c r="D119" s="33" t="n">
        <f aca="false">SUM(F119:H119)</f>
        <v>8201.31</v>
      </c>
      <c r="F119" s="33" t="n">
        <f aca="false">'Building 9'!D21</f>
        <v>8201.31</v>
      </c>
    </row>
    <row r="120" customFormat="false" ht="15" hidden="false" customHeight="false" outlineLevel="0" collapsed="false">
      <c r="B120" s="5" t="str">
        <f aca="false">'Building 9'!B22</f>
        <v>10-Building-Post Casualty Loss Basis-bldg9-30</v>
      </c>
      <c r="D120" s="33" t="n">
        <f aca="false">SUM(F120:H120)</f>
        <v>20436.66</v>
      </c>
      <c r="H120" s="33" t="n">
        <f aca="false">'Building 9'!D22</f>
        <v>20436.66</v>
      </c>
    </row>
    <row r="121" customFormat="false" ht="15" hidden="false" customHeight="false" outlineLevel="0" collapsed="false">
      <c r="B121" s="5" t="str">
        <f aca="false">'Building 9'!B23</f>
        <v>12-New Buildings(16 units)-bldg9-5yr</v>
      </c>
      <c r="D121" s="33" t="n">
        <f aca="false">SUM(F121:H121)</f>
        <v>4398.62</v>
      </c>
      <c r="F121" s="33" t="n">
        <f aca="false">'Building 9'!D23</f>
        <v>4398.62</v>
      </c>
    </row>
    <row r="122" customFormat="false" ht="15" hidden="false" customHeight="false" outlineLevel="0" collapsed="false">
      <c r="B122" s="5" t="str">
        <f aca="false">'Building 9'!B24</f>
        <v>12-New Buildings(16 units)-bldg9-30yr</v>
      </c>
      <c r="D122" s="33" t="n">
        <f aca="false">SUM(F122:H122)</f>
        <v>10960.82</v>
      </c>
      <c r="H122" s="33" t="n">
        <f aca="false">'Building 9'!D24</f>
        <v>10960.82</v>
      </c>
    </row>
    <row r="123" customFormat="false" ht="15" hidden="false" customHeight="false" outlineLevel="0" collapsed="false">
      <c r="B123" s="5" t="str">
        <f aca="false">'Building 9'!B25</f>
        <v>14-New Buildings(105 units)-bldg9-5yr</v>
      </c>
      <c r="D123" s="33" t="n">
        <f aca="false">SUM(F123:H123)</f>
        <v>29481.65</v>
      </c>
      <c r="F123" s="33" t="n">
        <f aca="false">'Building 9'!D25</f>
        <v>29481.65</v>
      </c>
    </row>
    <row r="124" customFormat="false" ht="15" hidden="false" customHeight="false" outlineLevel="0" collapsed="false">
      <c r="B124" s="5" t="str">
        <f aca="false">'Building 9'!B26</f>
        <v>14-New Buildings(105 units)-bldg9-30yr</v>
      </c>
      <c r="D124" s="33" t="n">
        <f aca="false">SUM(F124:H124)</f>
        <v>73464.7</v>
      </c>
      <c r="H124" s="33" t="n">
        <f aca="false">'Building 9'!D26</f>
        <v>73464.7</v>
      </c>
    </row>
    <row r="125" customFormat="false" ht="15" hidden="false" customHeight="false" outlineLevel="0" collapsed="false">
      <c r="B125" s="5" t="str">
        <f aca="false">'Building 9'!B27</f>
        <v>11-Building Imp-Post-Casulty Loss Basis-bldg9</v>
      </c>
      <c r="D125" s="33" t="n">
        <f aca="false">SUM(F125:H125)</f>
        <v>206.12</v>
      </c>
      <c r="F125" s="33" t="n">
        <f aca="false">'Building 9'!D27</f>
        <v>206.12</v>
      </c>
    </row>
    <row r="126" customFormat="false" ht="15" hidden="false" customHeight="false" outlineLevel="0" collapsed="false">
      <c r="B126" s="5" t="str">
        <f aca="false">'Building 9'!B28</f>
        <v>11-Building Imp-Post-Casulty Loss Basis-bldg9</v>
      </c>
      <c r="D126" s="33" t="n">
        <f aca="false">SUM(F126:H126)</f>
        <v>513.63</v>
      </c>
      <c r="H126" s="33" t="n">
        <f aca="false">'Building 9'!D28</f>
        <v>513.63</v>
      </c>
    </row>
    <row r="127" customFormat="false" ht="15" hidden="false" customHeight="false" outlineLevel="0" collapsed="false">
      <c r="B127" s="5" t="str">
        <f aca="false">'Building 9'!B29</f>
        <v>2-Land Improvements-bldg9-5yr</v>
      </c>
      <c r="D127" s="33" t="n">
        <f aca="false">SUM(F127:H127)</f>
        <v>1121.59</v>
      </c>
      <c r="F127" s="33" t="n">
        <f aca="false">'Building 9'!D29</f>
        <v>1121.59</v>
      </c>
    </row>
    <row r="128" customFormat="false" ht="15" hidden="false" customHeight="false" outlineLevel="0" collapsed="false">
      <c r="B128" s="5" t="str">
        <f aca="false">'Building 9'!B30</f>
        <v>2-Land Improvements-bldg9-30yr</v>
      </c>
      <c r="D128" s="33" t="n">
        <f aca="false">SUM(F128:H128)</f>
        <v>2794.87</v>
      </c>
      <c r="H128" s="33" t="n">
        <f aca="false">'Building 9'!D30</f>
        <v>2794.87</v>
      </c>
    </row>
    <row r="129" customFormat="false" ht="15" hidden="false" customHeight="false" outlineLevel="0" collapsed="false">
      <c r="B129" s="5" t="str">
        <f aca="false">'Building 9'!B31</f>
        <v>13-New Equipment(16 units)-bldg9-5yr</v>
      </c>
      <c r="D129" s="33" t="n">
        <f aca="false">SUM(F129:H129)</f>
        <v>965.55</v>
      </c>
      <c r="F129" s="33" t="n">
        <f aca="false">'Building 9'!D31</f>
        <v>965.55</v>
      </c>
    </row>
    <row r="130" customFormat="false" ht="15" hidden="false" customHeight="false" outlineLevel="0" collapsed="false">
      <c r="B130" s="5" t="str">
        <f aca="false">'Building 9'!B32</f>
        <v>13-New Equipment(16 units)-bldg9-30yr</v>
      </c>
      <c r="D130" s="33" t="n">
        <f aca="false">SUM(F130:H130)</f>
        <v>2406.02</v>
      </c>
      <c r="H130" s="33" t="n">
        <f aca="false">'Building 9'!D32</f>
        <v>2406.02</v>
      </c>
    </row>
    <row r="131" customFormat="false" ht="15" hidden="false" customHeight="false" outlineLevel="0" collapsed="false">
      <c r="B131" s="5" t="str">
        <f aca="false">'Building 9'!B33</f>
        <v>15-New Equipment(105 units)-bldg9-5yr</v>
      </c>
      <c r="D131" s="33" t="n">
        <f aca="false">SUM(F131:H131)</f>
        <v>6471.57</v>
      </c>
      <c r="F131" s="33" t="n">
        <f aca="false">'Building 9'!D33</f>
        <v>6471.57</v>
      </c>
    </row>
    <row r="132" customFormat="false" ht="15" hidden="false" customHeight="false" outlineLevel="0" collapsed="false">
      <c r="B132" s="5" t="str">
        <f aca="false">'Building 9'!B34</f>
        <v>15-New Equipment(105 units)-bldg9-30yr</v>
      </c>
      <c r="D132" s="33" t="n">
        <f aca="false">SUM(F132:H132)</f>
        <v>16126.42</v>
      </c>
      <c r="H132" s="33" t="n">
        <f aca="false">'Building 9'!D34</f>
        <v>16126.42</v>
      </c>
    </row>
    <row r="133" customFormat="false" ht="15" hidden="false" customHeight="false" outlineLevel="0" collapsed="false">
      <c r="B133" s="11" t="s">
        <v>442</v>
      </c>
      <c r="D133" s="34" t="n">
        <f aca="false">SUM(D119:D132)</f>
        <v>177549.53</v>
      </c>
      <c r="F133" s="34" t="n">
        <f aca="false">SUM(F119:F132)</f>
        <v>50846.41</v>
      </c>
      <c r="H133" s="34" t="n">
        <f aca="false">SUM(H119:H132)</f>
        <v>126703.12</v>
      </c>
    </row>
    <row r="134" customFormat="false" ht="15" hidden="false" customHeight="false" outlineLevel="0" collapsed="false">
      <c r="B134" s="16" t="s">
        <v>443</v>
      </c>
      <c r="D134" s="17" t="n">
        <f aca="false">D133-D114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491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91</v>
      </c>
      <c r="C10" s="23" t="s">
        <v>25</v>
      </c>
      <c r="D10" s="24" t="n">
        <v>72282.57</v>
      </c>
      <c r="E10" s="24" t="n">
        <v>0</v>
      </c>
      <c r="F10" s="24" t="n">
        <v>0</v>
      </c>
      <c r="G10" s="24" t="n">
        <v>7464.98</v>
      </c>
      <c r="H10" s="24" t="n">
        <v>2632.18</v>
      </c>
      <c r="I10" s="24" t="n">
        <f aca="false">G10+H10</f>
        <v>10097.16</v>
      </c>
      <c r="J10" s="24" t="n">
        <f aca="false">D10-I10</f>
        <v>62185.41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92</v>
      </c>
      <c r="C11" s="23" t="s">
        <v>27</v>
      </c>
      <c r="D11" s="24" t="n">
        <v>38767.41</v>
      </c>
      <c r="E11" s="24" t="n">
        <v>0</v>
      </c>
      <c r="F11" s="24" t="n">
        <v>0</v>
      </c>
      <c r="G11" s="24" t="n">
        <v>1346.12</v>
      </c>
      <c r="H11" s="24" t="n">
        <v>1292.24</v>
      </c>
      <c r="I11" s="24" t="n">
        <f aca="false">G11+H11</f>
        <v>2638.36</v>
      </c>
      <c r="J11" s="24" t="n">
        <f aca="false">D11-I11</f>
        <v>36129.05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93</v>
      </c>
      <c r="C12" s="23" t="s">
        <v>29</v>
      </c>
      <c r="D12" s="24" t="n">
        <v>259837.74</v>
      </c>
      <c r="E12" s="24" t="n">
        <v>0</v>
      </c>
      <c r="F12" s="24" t="n">
        <v>0</v>
      </c>
      <c r="G12" s="24" t="n">
        <v>6135.05</v>
      </c>
      <c r="H12" s="24" t="n">
        <v>8661.27</v>
      </c>
      <c r="I12" s="24" t="n">
        <f aca="false">G12+H12</f>
        <v>14796.32</v>
      </c>
      <c r="J12" s="24" t="n">
        <f aca="false">D12-I12</f>
        <v>245041.42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1816.65</v>
      </c>
      <c r="E13" s="24" t="n">
        <v>0</v>
      </c>
      <c r="F13" s="24" t="n">
        <v>0</v>
      </c>
      <c r="G13" s="24" t="n">
        <v>136.79</v>
      </c>
      <c r="H13" s="24" t="n">
        <v>62.89</v>
      </c>
      <c r="I13" s="24" t="n">
        <f aca="false">G13+H13</f>
        <v>199.68</v>
      </c>
      <c r="J13" s="24" t="n">
        <f aca="false">D13-I13</f>
        <v>1616.97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94</v>
      </c>
      <c r="C14" s="23" t="s">
        <v>25</v>
      </c>
      <c r="D14" s="24" t="n">
        <v>9885.18</v>
      </c>
      <c r="E14" s="24" t="n">
        <v>0</v>
      </c>
      <c r="F14" s="24" t="n">
        <v>2536.17</v>
      </c>
      <c r="G14" s="24" t="n">
        <v>2536.17</v>
      </c>
      <c r="H14" s="24" t="n">
        <v>760.23</v>
      </c>
      <c r="I14" s="24" t="n">
        <f aca="false">G14+H14</f>
        <v>3296.4</v>
      </c>
      <c r="J14" s="24" t="n">
        <f aca="false">D14-I14</f>
        <v>6588.78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95</v>
      </c>
      <c r="C15" s="23" t="s">
        <v>27</v>
      </c>
      <c r="D15" s="24" t="n">
        <v>8509.91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8509.91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96</v>
      </c>
      <c r="C16" s="23" t="s">
        <v>29</v>
      </c>
      <c r="D16" s="24" t="n">
        <v>57037.57</v>
      </c>
      <c r="E16" s="24" t="n">
        <v>0</v>
      </c>
      <c r="F16" s="24" t="n">
        <v>0</v>
      </c>
      <c r="G16" s="24" t="n">
        <v>2281.5</v>
      </c>
      <c r="H16" s="24" t="n">
        <v>3650.41</v>
      </c>
      <c r="I16" s="24" t="n">
        <f aca="false">G16+H16</f>
        <v>5931.91</v>
      </c>
      <c r="J16" s="24" t="n">
        <f aca="false">D16-I16</f>
        <v>51105.66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448137.03</v>
      </c>
      <c r="E17" s="28" t="n">
        <f aca="false">SUM(E10:E16)</f>
        <v>0</v>
      </c>
      <c r="F17" s="28" t="n">
        <f aca="false">SUM(F10:F16)</f>
        <v>2536.17</v>
      </c>
      <c r="G17" s="28" t="n">
        <f aca="false">SUM(G10:G16)</f>
        <v>19900.61</v>
      </c>
      <c r="H17" s="28" t="n">
        <f aca="false">SUM(H10:H16)</f>
        <v>17059.22</v>
      </c>
      <c r="I17" s="28" t="n">
        <f aca="false">SUM(I10:I16)</f>
        <v>36959.83</v>
      </c>
      <c r="J17" s="28" t="n">
        <f aca="false">SUM(J10:J16)</f>
        <v>411177.2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274</v>
      </c>
      <c r="C21" s="23" t="s">
        <v>25</v>
      </c>
      <c r="D21" s="24" t="n">
        <v>18042.22</v>
      </c>
      <c r="E21" s="24" t="n">
        <v>0</v>
      </c>
      <c r="F21" s="24" t="n">
        <v>18042.22</v>
      </c>
      <c r="G21" s="24" t="n">
        <v>18042.22</v>
      </c>
      <c r="H21" s="24" t="n">
        <v>0</v>
      </c>
      <c r="I21" s="24" t="n">
        <f aca="false">G21+H21</f>
        <v>18042.22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275</v>
      </c>
      <c r="C22" s="23" t="s">
        <v>25</v>
      </c>
      <c r="D22" s="24" t="n">
        <v>54240.35</v>
      </c>
      <c r="E22" s="24" t="n">
        <v>0</v>
      </c>
      <c r="F22" s="24" t="n">
        <v>0</v>
      </c>
      <c r="G22" s="24" t="n">
        <v>9718.05</v>
      </c>
      <c r="H22" s="24" t="n">
        <v>1808.01</v>
      </c>
      <c r="I22" s="24" t="n">
        <f aca="false">G22+H22</f>
        <v>11526.06</v>
      </c>
      <c r="J22" s="24" t="n">
        <f aca="false">D22-I22</f>
        <v>42714.29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276</v>
      </c>
      <c r="C23" s="23" t="s">
        <v>27</v>
      </c>
      <c r="D23" s="24" t="n">
        <v>9676.61</v>
      </c>
      <c r="E23" s="24" t="n">
        <v>0</v>
      </c>
      <c r="F23" s="24" t="n">
        <v>9676.61</v>
      </c>
      <c r="G23" s="24" t="n">
        <v>9676.61</v>
      </c>
      <c r="H23" s="24" t="n">
        <v>0</v>
      </c>
      <c r="I23" s="24" t="n">
        <f aca="false">G23+H23</f>
        <v>9676.61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277</v>
      </c>
      <c r="C24" s="23" t="s">
        <v>27</v>
      </c>
      <c r="D24" s="24" t="n">
        <v>29090.8</v>
      </c>
      <c r="E24" s="24" t="n">
        <v>0</v>
      </c>
      <c r="F24" s="24" t="n">
        <v>0</v>
      </c>
      <c r="G24" s="24" t="n">
        <v>1010.09</v>
      </c>
      <c r="H24" s="24" t="n">
        <v>969.69</v>
      </c>
      <c r="I24" s="24" t="n">
        <f aca="false">G24+H24</f>
        <v>1979.78</v>
      </c>
      <c r="J24" s="24" t="n">
        <f aca="false">D24-I24</f>
        <v>27111.02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278</v>
      </c>
      <c r="C25" s="23" t="s">
        <v>29</v>
      </c>
      <c r="D25" s="24" t="n">
        <v>64857.26</v>
      </c>
      <c r="E25" s="24" t="n">
        <v>0</v>
      </c>
      <c r="F25" s="24" t="n">
        <v>51885.81</v>
      </c>
      <c r="G25" s="24" t="n">
        <v>54480.1</v>
      </c>
      <c r="H25" s="24" t="n">
        <v>4150.86</v>
      </c>
      <c r="I25" s="24" t="n">
        <f aca="false">G25+H25</f>
        <v>58630.96</v>
      </c>
      <c r="J25" s="24" t="n">
        <f aca="false">D25-I25</f>
        <v>6226.3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279</v>
      </c>
      <c r="C26" s="23" t="s">
        <v>29</v>
      </c>
      <c r="D26" s="24" t="n">
        <v>194980.48</v>
      </c>
      <c r="E26" s="24" t="n">
        <v>0</v>
      </c>
      <c r="F26" s="24" t="n">
        <v>0</v>
      </c>
      <c r="G26" s="24" t="n">
        <v>4603.71</v>
      </c>
      <c r="H26" s="24" t="n">
        <v>6499.35</v>
      </c>
      <c r="I26" s="24" t="n">
        <f aca="false">G26+H26</f>
        <v>11103.06</v>
      </c>
      <c r="J26" s="24" t="n">
        <f aca="false">D26-I26</f>
        <v>183877.42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280</v>
      </c>
      <c r="C27" s="23" t="s">
        <v>31</v>
      </c>
      <c r="D27" s="24" t="n">
        <v>453.45</v>
      </c>
      <c r="E27" s="24" t="n">
        <v>0</v>
      </c>
      <c r="F27" s="24" t="n">
        <v>453.45</v>
      </c>
      <c r="G27" s="24" t="n">
        <v>453.45</v>
      </c>
      <c r="H27" s="24" t="n">
        <v>0</v>
      </c>
      <c r="I27" s="24" t="n">
        <f aca="false">G27+H27</f>
        <v>453.45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280</v>
      </c>
      <c r="C28" s="23" t="s">
        <v>31</v>
      </c>
      <c r="D28" s="24" t="n">
        <v>1363.2</v>
      </c>
      <c r="E28" s="24" t="n">
        <v>0</v>
      </c>
      <c r="F28" s="24" t="n">
        <v>0</v>
      </c>
      <c r="G28" s="24" t="n">
        <v>149.57</v>
      </c>
      <c r="H28" s="24" t="n">
        <v>45.44</v>
      </c>
      <c r="I28" s="24" t="n">
        <f aca="false">G28+H28</f>
        <v>195.01</v>
      </c>
      <c r="J28" s="24" t="n">
        <f aca="false">D28-I28</f>
        <v>1168.19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281</v>
      </c>
      <c r="C29" s="23" t="s">
        <v>25</v>
      </c>
      <c r="D29" s="24" t="n">
        <v>2467.41</v>
      </c>
      <c r="E29" s="24" t="n">
        <v>0</v>
      </c>
      <c r="F29" s="24" t="n">
        <v>2467.41</v>
      </c>
      <c r="G29" s="24" t="n">
        <v>2467.41</v>
      </c>
      <c r="H29" s="24" t="n">
        <v>0</v>
      </c>
      <c r="I29" s="24" t="n">
        <f aca="false">G29+H29</f>
        <v>2467.41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282</v>
      </c>
      <c r="C30" s="23" t="s">
        <v>25</v>
      </c>
      <c r="D30" s="24" t="n">
        <v>7417.77</v>
      </c>
      <c r="E30" s="24" t="n">
        <v>0</v>
      </c>
      <c r="F30" s="24" t="n">
        <v>0</v>
      </c>
      <c r="G30" s="24" t="n">
        <v>1329.02</v>
      </c>
      <c r="H30" s="24" t="n">
        <v>247.26</v>
      </c>
      <c r="I30" s="24" t="n">
        <f aca="false">G30+H30</f>
        <v>1576.28</v>
      </c>
      <c r="J30" s="24" t="n">
        <f aca="false">D30-I30</f>
        <v>5841.49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283</v>
      </c>
      <c r="C31" s="23" t="s">
        <v>27</v>
      </c>
      <c r="D31" s="24" t="n">
        <v>2124.13</v>
      </c>
      <c r="E31" s="24" t="n">
        <v>0</v>
      </c>
      <c r="F31" s="24" t="n">
        <v>2124.13</v>
      </c>
      <c r="G31" s="24" t="n">
        <v>2124.13</v>
      </c>
      <c r="H31" s="24" t="n">
        <v>0</v>
      </c>
      <c r="I31" s="24" t="n">
        <f aca="false">G31+H31</f>
        <v>2124.13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284</v>
      </c>
      <c r="C32" s="23" t="s">
        <v>27</v>
      </c>
      <c r="D32" s="24" t="n">
        <v>6385.78</v>
      </c>
      <c r="E32" s="24" t="n">
        <v>0</v>
      </c>
      <c r="F32" s="24" t="n">
        <v>0</v>
      </c>
      <c r="G32" s="24" t="n">
        <v>221.73</v>
      </c>
      <c r="H32" s="24" t="n">
        <v>212.86</v>
      </c>
      <c r="I32" s="24" t="n">
        <f aca="false">G32+H32</f>
        <v>434.59</v>
      </c>
      <c r="J32" s="24" t="n">
        <f aca="false">D32-I32</f>
        <v>5951.19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285</v>
      </c>
      <c r="C33" s="23" t="s">
        <v>29</v>
      </c>
      <c r="D33" s="24" t="n">
        <v>14236.95</v>
      </c>
      <c r="E33" s="24" t="n">
        <v>0</v>
      </c>
      <c r="F33" s="24" t="n">
        <v>11389.56</v>
      </c>
      <c r="G33" s="24" t="n">
        <v>11959.04</v>
      </c>
      <c r="H33" s="24" t="n">
        <v>911.16</v>
      </c>
      <c r="I33" s="24" t="n">
        <f aca="false">G33+H33</f>
        <v>12870.2</v>
      </c>
      <c r="J33" s="24" t="n">
        <f aca="false">D33-I33</f>
        <v>1366.75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286</v>
      </c>
      <c r="C34" s="23" t="s">
        <v>29</v>
      </c>
      <c r="D34" s="24" t="n">
        <v>42800.62</v>
      </c>
      <c r="E34" s="24" t="n">
        <v>0</v>
      </c>
      <c r="F34" s="24" t="n">
        <v>0</v>
      </c>
      <c r="G34" s="24" t="n">
        <v>1010.57</v>
      </c>
      <c r="H34" s="24" t="n">
        <v>1426.69</v>
      </c>
      <c r="I34" s="24" t="n">
        <f aca="false">G34+H34</f>
        <v>2437.26</v>
      </c>
      <c r="J34" s="24" t="n">
        <f aca="false">D34-I34</f>
        <v>40363.36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448137.03</v>
      </c>
      <c r="E35" s="28" t="n">
        <f aca="false">SUM(E21:E34)</f>
        <v>0</v>
      </c>
      <c r="F35" s="28" t="n">
        <f aca="false">SUM(F21:F34)</f>
        <v>96039.19</v>
      </c>
      <c r="G35" s="28" t="n">
        <f aca="false">SUM(G21:G34)</f>
        <v>117245.7</v>
      </c>
      <c r="H35" s="28" t="n">
        <f aca="false">SUM(H21:H34)</f>
        <v>16271.32</v>
      </c>
      <c r="I35" s="28" t="n">
        <f aca="false">SUM(I21:I34)</f>
        <v>133517.02</v>
      </c>
      <c r="J35" s="28" t="n">
        <f aca="false">SUM(J21:J34)</f>
        <v>314620.01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36959.83</v>
      </c>
    </row>
    <row r="39" customFormat="false" ht="15" hidden="false" customHeight="false" outlineLevel="0" collapsed="false">
      <c r="B39" s="5" t="s">
        <v>415</v>
      </c>
      <c r="D39" s="6" t="n">
        <f aca="false">I35</f>
        <v>133517.02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-96557.19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91</v>
      </c>
      <c r="C45" s="23" t="s">
        <v>25</v>
      </c>
      <c r="D45" s="24" t="n">
        <v>72282.57</v>
      </c>
      <c r="E45" s="24" t="n">
        <v>0</v>
      </c>
      <c r="F45" s="24" t="n">
        <v>0</v>
      </c>
      <c r="G45" s="24" t="n">
        <v>7464.98</v>
      </c>
      <c r="H45" s="24" t="n">
        <v>2632.18</v>
      </c>
      <c r="I45" s="24" t="n">
        <f aca="false">G45+H45</f>
        <v>10097.16</v>
      </c>
      <c r="J45" s="24" t="n">
        <f aca="false">D45-I45</f>
        <v>62185.41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92</v>
      </c>
      <c r="C46" s="23" t="s">
        <v>27</v>
      </c>
      <c r="D46" s="24" t="n">
        <v>38767.41</v>
      </c>
      <c r="E46" s="24" t="n">
        <v>0</v>
      </c>
      <c r="F46" s="24" t="n">
        <v>0</v>
      </c>
      <c r="G46" s="24" t="n">
        <v>1346.12</v>
      </c>
      <c r="H46" s="24" t="n">
        <v>1292.24</v>
      </c>
      <c r="I46" s="24" t="n">
        <f aca="false">G46+H46</f>
        <v>2638.36</v>
      </c>
      <c r="J46" s="24" t="n">
        <f aca="false">D46-I46</f>
        <v>36129.05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93</v>
      </c>
      <c r="C47" s="23" t="s">
        <v>29</v>
      </c>
      <c r="D47" s="24" t="n">
        <v>259837.74</v>
      </c>
      <c r="E47" s="24" t="n">
        <v>0</v>
      </c>
      <c r="F47" s="24" t="n">
        <v>0</v>
      </c>
      <c r="G47" s="24" t="n">
        <v>6135.05</v>
      </c>
      <c r="H47" s="24" t="n">
        <v>8661.27</v>
      </c>
      <c r="I47" s="24" t="n">
        <f aca="false">G47+H47</f>
        <v>14796.32</v>
      </c>
      <c r="J47" s="24" t="n">
        <f aca="false">D47-I47</f>
        <v>245041.42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1816.65</v>
      </c>
      <c r="E48" s="24" t="n">
        <v>0</v>
      </c>
      <c r="F48" s="24" t="n">
        <v>0</v>
      </c>
      <c r="G48" s="24" t="n">
        <v>136.79</v>
      </c>
      <c r="H48" s="24" t="n">
        <v>62.89</v>
      </c>
      <c r="I48" s="24" t="n">
        <f aca="false">G48+H48</f>
        <v>199.68</v>
      </c>
      <c r="J48" s="24" t="n">
        <f aca="false">D48-I48</f>
        <v>1616.97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94</v>
      </c>
      <c r="C49" s="23" t="s">
        <v>25</v>
      </c>
      <c r="D49" s="24" t="n">
        <v>9885.18</v>
      </c>
      <c r="E49" s="24" t="n">
        <v>0</v>
      </c>
      <c r="F49" s="24" t="n">
        <v>2536.17</v>
      </c>
      <c r="G49" s="24" t="n">
        <v>2536.17</v>
      </c>
      <c r="H49" s="24" t="n">
        <v>760.23</v>
      </c>
      <c r="I49" s="24" t="n">
        <f aca="false">G49+H49</f>
        <v>3296.4</v>
      </c>
      <c r="J49" s="24" t="n">
        <f aca="false">D49-I49</f>
        <v>6588.78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95</v>
      </c>
      <c r="C50" s="23" t="s">
        <v>27</v>
      </c>
      <c r="D50" s="24" t="n">
        <v>8509.91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8509.91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96</v>
      </c>
      <c r="C51" s="23" t="s">
        <v>29</v>
      </c>
      <c r="D51" s="24" t="n">
        <v>57037.57</v>
      </c>
      <c r="E51" s="24" t="n">
        <v>0</v>
      </c>
      <c r="F51" s="24" t="n">
        <v>0</v>
      </c>
      <c r="G51" s="24" t="n">
        <v>2281.5</v>
      </c>
      <c r="H51" s="24" t="n">
        <v>3650.41</v>
      </c>
      <c r="I51" s="24" t="n">
        <f aca="false">G51+H51</f>
        <v>5931.91</v>
      </c>
      <c r="J51" s="24" t="n">
        <f aca="false">D51-I51</f>
        <v>51105.66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448137.03</v>
      </c>
      <c r="E52" s="28" t="n">
        <f aca="false">SUM(E45:E51)</f>
        <v>0</v>
      </c>
      <c r="F52" s="28" t="n">
        <f aca="false">SUM(F45:F51)</f>
        <v>2536.17</v>
      </c>
      <c r="G52" s="28" t="n">
        <f aca="false">SUM(G45:G51)</f>
        <v>19900.61</v>
      </c>
      <c r="H52" s="28" t="n">
        <f aca="false">SUM(H45:H51)</f>
        <v>17059.22</v>
      </c>
      <c r="I52" s="28" t="n">
        <f aca="false">SUM(I45:I51)</f>
        <v>36959.83</v>
      </c>
      <c r="J52" s="28" t="n">
        <f aca="false">SUM(J45:J51)</f>
        <v>411177.2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274</v>
      </c>
      <c r="C56" s="23" t="s">
        <v>25</v>
      </c>
      <c r="D56" s="24" t="n">
        <v>18042.22</v>
      </c>
      <c r="E56" s="24" t="n">
        <v>0</v>
      </c>
      <c r="F56" s="24" t="n">
        <v>18042.22</v>
      </c>
      <c r="G56" s="24" t="n">
        <v>18042.22</v>
      </c>
      <c r="H56" s="24" t="n">
        <v>0</v>
      </c>
      <c r="I56" s="24" t="n">
        <f aca="false">G56+H56</f>
        <v>18042.22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276</v>
      </c>
      <c r="C57" s="23" t="s">
        <v>27</v>
      </c>
      <c r="D57" s="24" t="n">
        <v>9676.61</v>
      </c>
      <c r="E57" s="24" t="n">
        <v>0</v>
      </c>
      <c r="F57" s="24" t="n">
        <v>9676.61</v>
      </c>
      <c r="G57" s="24" t="n">
        <v>9676.61</v>
      </c>
      <c r="H57" s="24" t="n">
        <v>0</v>
      </c>
      <c r="I57" s="24" t="n">
        <f aca="false">G57+H57</f>
        <v>9676.61</v>
      </c>
      <c r="J57" s="24" t="n">
        <f aca="false">D57-I57</f>
        <v>0</v>
      </c>
      <c r="K57" s="25" t="s">
        <v>410</v>
      </c>
      <c r="L57" s="25" t="s">
        <v>411</v>
      </c>
    </row>
    <row r="58" customFormat="false" ht="15" hidden="false" customHeight="false" outlineLevel="0" collapsed="false">
      <c r="A58" s="23" t="n">
        <v>3</v>
      </c>
      <c r="B58" s="23" t="s">
        <v>277</v>
      </c>
      <c r="C58" s="23" t="s">
        <v>27</v>
      </c>
      <c r="D58" s="24" t="n">
        <v>29090.8</v>
      </c>
      <c r="E58" s="24" t="n">
        <v>0</v>
      </c>
      <c r="F58" s="24" t="n">
        <v>0</v>
      </c>
      <c r="G58" s="24" t="n">
        <v>1010.09</v>
      </c>
      <c r="H58" s="24" t="n">
        <v>969.69</v>
      </c>
      <c r="I58" s="24" t="n">
        <f aca="false">G58+H58</f>
        <v>1979.78</v>
      </c>
      <c r="J58" s="24" t="n">
        <f aca="false">D58-I58</f>
        <v>27111.02</v>
      </c>
      <c r="K58" s="25" t="s">
        <v>406</v>
      </c>
      <c r="L58" s="25" t="s">
        <v>407</v>
      </c>
    </row>
    <row r="59" customFormat="false" ht="15" hidden="false" customHeight="false" outlineLevel="0" collapsed="false">
      <c r="A59" s="23" t="n">
        <v>4</v>
      </c>
      <c r="B59" s="23" t="s">
        <v>278</v>
      </c>
      <c r="C59" s="23" t="s">
        <v>29</v>
      </c>
      <c r="D59" s="24" t="n">
        <v>64857.26</v>
      </c>
      <c r="E59" s="24" t="n">
        <v>0</v>
      </c>
      <c r="F59" s="24" t="n">
        <v>51885.81</v>
      </c>
      <c r="G59" s="24" t="n">
        <v>54480.1</v>
      </c>
      <c r="H59" s="24" t="n">
        <v>4150.86</v>
      </c>
      <c r="I59" s="24" t="n">
        <f aca="false">G59+H59</f>
        <v>58630.96</v>
      </c>
      <c r="J59" s="24" t="n">
        <f aca="false">D59-I59</f>
        <v>6226.3</v>
      </c>
      <c r="K59" s="25" t="s">
        <v>410</v>
      </c>
      <c r="L59" s="25" t="s">
        <v>411</v>
      </c>
    </row>
    <row r="60" customFormat="false" ht="15" hidden="false" customHeight="false" outlineLevel="0" collapsed="false">
      <c r="A60" s="23" t="n">
        <v>5</v>
      </c>
      <c r="B60" s="23" t="s">
        <v>279</v>
      </c>
      <c r="C60" s="23" t="s">
        <v>29</v>
      </c>
      <c r="D60" s="24" t="n">
        <v>194980.48</v>
      </c>
      <c r="E60" s="24" t="n">
        <v>0</v>
      </c>
      <c r="F60" s="24" t="n">
        <v>0</v>
      </c>
      <c r="G60" s="24" t="n">
        <v>4603.71</v>
      </c>
      <c r="H60" s="24" t="n">
        <v>6499.35</v>
      </c>
      <c r="I60" s="24" t="n">
        <f aca="false">G60+H60</f>
        <v>11103.06</v>
      </c>
      <c r="J60" s="24" t="n">
        <f aca="false">D60-I60</f>
        <v>183877.42</v>
      </c>
      <c r="K60" s="25" t="s">
        <v>406</v>
      </c>
      <c r="L60" s="25" t="s">
        <v>407</v>
      </c>
    </row>
    <row r="61" customFormat="false" ht="15" hidden="false" customHeight="false" outlineLevel="0" collapsed="false">
      <c r="A61" s="23" t="n">
        <v>6</v>
      </c>
      <c r="B61" s="23" t="s">
        <v>281</v>
      </c>
      <c r="C61" s="23" t="s">
        <v>25</v>
      </c>
      <c r="D61" s="24" t="n">
        <v>2467.41</v>
      </c>
      <c r="E61" s="24" t="n">
        <v>0</v>
      </c>
      <c r="F61" s="24" t="n">
        <v>2467.41</v>
      </c>
      <c r="G61" s="24" t="n">
        <v>2467.41</v>
      </c>
      <c r="H61" s="24" t="n">
        <v>0</v>
      </c>
      <c r="I61" s="24" t="n">
        <f aca="false">G61+H61</f>
        <v>2467.41</v>
      </c>
      <c r="J61" s="24" t="n">
        <f aca="false">D61-I61</f>
        <v>0</v>
      </c>
      <c r="K61" s="25" t="s">
        <v>410</v>
      </c>
      <c r="L61" s="25" t="s">
        <v>411</v>
      </c>
    </row>
    <row r="62" customFormat="false" ht="15" hidden="false" customHeight="false" outlineLevel="0" collapsed="false">
      <c r="A62" s="23" t="n">
        <v>7</v>
      </c>
      <c r="B62" s="23" t="s">
        <v>282</v>
      </c>
      <c r="C62" s="23" t="s">
        <v>25</v>
      </c>
      <c r="D62" s="24" t="n">
        <v>7417.77</v>
      </c>
      <c r="E62" s="24" t="n">
        <v>0</v>
      </c>
      <c r="F62" s="24" t="n">
        <v>0</v>
      </c>
      <c r="G62" s="24" t="n">
        <v>1329.02</v>
      </c>
      <c r="H62" s="24" t="n">
        <v>247.26</v>
      </c>
      <c r="I62" s="24" t="n">
        <f aca="false">G62+H62</f>
        <v>1576.28</v>
      </c>
      <c r="J62" s="24" t="n">
        <f aca="false">D62-I62</f>
        <v>5841.49</v>
      </c>
      <c r="K62" s="25" t="s">
        <v>406</v>
      </c>
      <c r="L62" s="25" t="s">
        <v>407</v>
      </c>
    </row>
    <row r="63" customFormat="false" ht="15" hidden="false" customHeight="false" outlineLevel="0" collapsed="false">
      <c r="A63" s="23" t="n">
        <v>8</v>
      </c>
      <c r="B63" s="23" t="s">
        <v>283</v>
      </c>
      <c r="C63" s="23" t="s">
        <v>27</v>
      </c>
      <c r="D63" s="24" t="n">
        <v>2124.13</v>
      </c>
      <c r="E63" s="24" t="n">
        <v>0</v>
      </c>
      <c r="F63" s="24" t="n">
        <v>2124.13</v>
      </c>
      <c r="G63" s="24" t="n">
        <v>2124.13</v>
      </c>
      <c r="H63" s="24" t="n">
        <v>0</v>
      </c>
      <c r="I63" s="24" t="n">
        <f aca="false">G63+H63</f>
        <v>2124.13</v>
      </c>
      <c r="J63" s="24" t="n">
        <f aca="false">D63-I63</f>
        <v>0</v>
      </c>
      <c r="K63" s="25" t="s">
        <v>410</v>
      </c>
      <c r="L63" s="25" t="s">
        <v>411</v>
      </c>
    </row>
    <row r="64" customFormat="false" ht="15" hidden="false" customHeight="false" outlineLevel="0" collapsed="false">
      <c r="A64" s="23" t="n">
        <v>9</v>
      </c>
      <c r="B64" s="23" t="s">
        <v>284</v>
      </c>
      <c r="C64" s="23" t="s">
        <v>27</v>
      </c>
      <c r="D64" s="24" t="n">
        <v>6385.78</v>
      </c>
      <c r="E64" s="24" t="n">
        <v>0</v>
      </c>
      <c r="F64" s="24" t="n">
        <v>0</v>
      </c>
      <c r="G64" s="24" t="n">
        <v>221.73</v>
      </c>
      <c r="H64" s="24" t="n">
        <v>212.86</v>
      </c>
      <c r="I64" s="24" t="n">
        <f aca="false">G64+H64</f>
        <v>434.59</v>
      </c>
      <c r="J64" s="24" t="n">
        <f aca="false">D64-I64</f>
        <v>5951.19</v>
      </c>
      <c r="K64" s="25" t="s">
        <v>406</v>
      </c>
      <c r="L64" s="25" t="s">
        <v>407</v>
      </c>
    </row>
    <row r="65" customFormat="false" ht="15" hidden="false" customHeight="false" outlineLevel="0" collapsed="false">
      <c r="A65" s="23" t="n">
        <v>10</v>
      </c>
      <c r="B65" s="23" t="s">
        <v>285</v>
      </c>
      <c r="C65" s="23" t="s">
        <v>29</v>
      </c>
      <c r="D65" s="24" t="n">
        <v>14236.95</v>
      </c>
      <c r="E65" s="24" t="n">
        <v>0</v>
      </c>
      <c r="F65" s="24" t="n">
        <v>11389.56</v>
      </c>
      <c r="G65" s="24" t="n">
        <v>11959.04</v>
      </c>
      <c r="H65" s="24" t="n">
        <v>911.16</v>
      </c>
      <c r="I65" s="24" t="n">
        <f aca="false">G65+H65</f>
        <v>12870.2</v>
      </c>
      <c r="J65" s="24" t="n">
        <f aca="false">D65-I65</f>
        <v>1366.75</v>
      </c>
      <c r="K65" s="25" t="s">
        <v>410</v>
      </c>
      <c r="L65" s="25" t="s">
        <v>411</v>
      </c>
    </row>
    <row r="66" customFormat="false" ht="15" hidden="false" customHeight="false" outlineLevel="0" collapsed="false">
      <c r="A66" s="23" t="n">
        <v>11</v>
      </c>
      <c r="B66" s="23" t="s">
        <v>286</v>
      </c>
      <c r="C66" s="23" t="s">
        <v>29</v>
      </c>
      <c r="D66" s="24" t="n">
        <v>42800.62</v>
      </c>
      <c r="E66" s="24" t="n">
        <v>0</v>
      </c>
      <c r="F66" s="24" t="n">
        <v>0</v>
      </c>
      <c r="G66" s="24" t="n">
        <v>1010.57</v>
      </c>
      <c r="H66" s="24" t="n">
        <v>1426.69</v>
      </c>
      <c r="I66" s="24" t="n">
        <f aca="false">G66+H66</f>
        <v>2437.26</v>
      </c>
      <c r="J66" s="24" t="n">
        <f aca="false">D66-I66</f>
        <v>40363.36</v>
      </c>
      <c r="K66" s="25" t="s">
        <v>406</v>
      </c>
      <c r="L66" s="25" t="s">
        <v>407</v>
      </c>
    </row>
    <row r="67" customFormat="false" ht="15" hidden="false" customHeight="false" outlineLevel="0" collapsed="false">
      <c r="A67" s="26"/>
      <c r="B67" s="27" t="s">
        <v>140</v>
      </c>
      <c r="C67" s="26"/>
      <c r="D67" s="28" t="n">
        <f aca="false">SUM(D56:D66)</f>
        <v>392080.03</v>
      </c>
      <c r="E67" s="28" t="n">
        <f aca="false">SUM(E56:E66)</f>
        <v>0</v>
      </c>
      <c r="F67" s="28" t="n">
        <f aca="false">SUM(F56:F66)</f>
        <v>95585.74</v>
      </c>
      <c r="G67" s="28" t="n">
        <f aca="false">SUM(G56:G66)</f>
        <v>106924.63</v>
      </c>
      <c r="H67" s="28" t="n">
        <f aca="false">SUM(H56:H66)</f>
        <v>14417.87</v>
      </c>
      <c r="I67" s="28" t="n">
        <f aca="false">SUM(I56:I66)</f>
        <v>121342.5</v>
      </c>
      <c r="J67" s="28" t="n">
        <f aca="false">SUM(J56:J66)</f>
        <v>270737.53</v>
      </c>
      <c r="K67" s="26"/>
      <c r="L67" s="26"/>
    </row>
    <row r="69" customFormat="false" ht="15" hidden="false" customHeight="false" outlineLevel="0" collapsed="false">
      <c r="B69" s="18" t="s">
        <v>421</v>
      </c>
    </row>
    <row r="70" customFormat="false" ht="15" hidden="false" customHeight="false" outlineLevel="0" collapsed="false">
      <c r="B70" s="5" t="s">
        <v>414</v>
      </c>
      <c r="D70" s="6" t="n">
        <f aca="false">I52</f>
        <v>36959.83</v>
      </c>
    </row>
    <row r="71" customFormat="false" ht="15" hidden="false" customHeight="false" outlineLevel="0" collapsed="false">
      <c r="B71" s="5" t="s">
        <v>415</v>
      </c>
      <c r="D71" s="6" t="n">
        <f aca="false">I67</f>
        <v>121342.5</v>
      </c>
    </row>
    <row r="72" customFormat="false" ht="15" hidden="false" customHeight="false" outlineLevel="0" collapsed="false">
      <c r="B72" s="11" t="s">
        <v>421</v>
      </c>
      <c r="D72" s="29" t="n">
        <f aca="false">D70-D71</f>
        <v>-84382.67</v>
      </c>
    </row>
    <row r="74" customFormat="false" ht="15" hidden="false" customHeight="false" outlineLevel="0" collapsed="false">
      <c r="A74" s="10" t="s">
        <v>422</v>
      </c>
    </row>
    <row r="75" customFormat="false" ht="15" hidden="false" customHeight="false" outlineLevel="0" collapsed="false">
      <c r="B75" s="11" t="s">
        <v>445</v>
      </c>
      <c r="D75" s="12" t="n">
        <f aca="false">D112</f>
        <v>448137.03</v>
      </c>
    </row>
    <row r="76" customFormat="false" ht="15" hidden="false" customHeight="false" outlineLevel="0" collapsed="false">
      <c r="B76" s="5" t="s">
        <v>446</v>
      </c>
      <c r="D76" s="6" t="n">
        <f aca="false">F112</f>
        <v>111858.03</v>
      </c>
    </row>
    <row r="77" customFormat="false" ht="15" hidden="false" customHeight="false" outlineLevel="0" collapsed="false">
      <c r="B77" s="30" t="s">
        <v>425</v>
      </c>
      <c r="D77" s="31" t="n">
        <f aca="false">F113</f>
        <v>0.249606755326602</v>
      </c>
    </row>
    <row r="78" customFormat="false" ht="15" hidden="false" customHeight="false" outlineLevel="0" collapsed="false">
      <c r="B78" s="5" t="s">
        <v>447</v>
      </c>
      <c r="D78" s="6" t="n">
        <f aca="false">H112</f>
        <v>336279</v>
      </c>
    </row>
    <row r="79" customFormat="false" ht="15" hidden="false" customHeight="false" outlineLevel="0" collapsed="false">
      <c r="B79" s="30" t="s">
        <v>425</v>
      </c>
      <c r="D79" s="31" t="n">
        <f aca="false">H113</f>
        <v>0.750393244673398</v>
      </c>
    </row>
    <row r="81" customFormat="false" ht="15" hidden="false" customHeight="false" outlineLevel="0" collapsed="false">
      <c r="A81" s="10" t="s">
        <v>427</v>
      </c>
    </row>
    <row r="82" customFormat="false" ht="15" hidden="false" customHeight="false" outlineLevel="0" collapsed="false">
      <c r="B82" s="4" t="s">
        <v>428</v>
      </c>
      <c r="D82" s="4" t="s">
        <v>397</v>
      </c>
      <c r="F82" s="4" t="s">
        <v>448</v>
      </c>
      <c r="H82" s="4" t="s">
        <v>430</v>
      </c>
    </row>
    <row r="83" customFormat="false" ht="15" hidden="false" customHeight="false" outlineLevel="0" collapsed="false">
      <c r="B83" s="32" t="s">
        <v>449</v>
      </c>
    </row>
    <row r="84" customFormat="false" ht="15" hidden="false" customHeight="false" outlineLevel="0" collapsed="false">
      <c r="B84" s="5" t="s">
        <v>450</v>
      </c>
      <c r="D84" s="33" t="n">
        <f aca="false">SUM(F84:H84)</f>
        <v>31452.73</v>
      </c>
      <c r="F84" s="33" t="n">
        <v>31452.73</v>
      </c>
    </row>
    <row r="85" customFormat="false" ht="15" hidden="false" customHeight="false" outlineLevel="0" collapsed="false">
      <c r="B85" s="5" t="s">
        <v>451</v>
      </c>
      <c r="D85" s="33" t="n">
        <f aca="false">SUM(F85:H85)</f>
        <v>8975.5</v>
      </c>
      <c r="F85" s="33" t="n">
        <v>8975.5</v>
      </c>
    </row>
    <row r="86" customFormat="false" ht="15" hidden="false" customHeight="false" outlineLevel="0" collapsed="false">
      <c r="B86" s="5" t="s">
        <v>452</v>
      </c>
      <c r="D86" s="33" t="n">
        <f aca="false">SUM(F86:H86)</f>
        <v>38285.2</v>
      </c>
      <c r="F86" s="33" t="n">
        <v>38285.2</v>
      </c>
    </row>
    <row r="87" customFormat="false" ht="15" hidden="false" customHeight="false" outlineLevel="0" collapsed="false">
      <c r="B87" s="5" t="s">
        <v>453</v>
      </c>
      <c r="D87" s="33" t="n">
        <f aca="false">SUM(F87:H87)</f>
        <v>3310.89</v>
      </c>
      <c r="F87" s="33" t="n">
        <v>3310.89</v>
      </c>
    </row>
    <row r="88" customFormat="false" ht="15" hidden="false" customHeight="false" outlineLevel="0" collapsed="false">
      <c r="B88" s="5" t="s">
        <v>454</v>
      </c>
      <c r="D88" s="33" t="n">
        <f aca="false">SUM(F88:H88)</f>
        <v>394.4</v>
      </c>
      <c r="F88" s="33" t="n">
        <v>394.4</v>
      </c>
    </row>
    <row r="89" customFormat="false" ht="15" hidden="false" customHeight="false" outlineLevel="0" collapsed="false">
      <c r="B89" s="5" t="s">
        <v>455</v>
      </c>
      <c r="D89" s="33" t="n">
        <f aca="false">SUM(F89:H89)</f>
        <v>5344.3</v>
      </c>
      <c r="F89" s="33" t="n">
        <v>5344.3</v>
      </c>
    </row>
    <row r="90" customFormat="false" ht="15" hidden="false" customHeight="false" outlineLevel="0" collapsed="false">
      <c r="B90" s="5" t="s">
        <v>456</v>
      </c>
      <c r="D90" s="33" t="n">
        <f aca="false">SUM(F90:H90)</f>
        <v>3335.47</v>
      </c>
      <c r="F90" s="33" t="n">
        <v>3335.47</v>
      </c>
    </row>
    <row r="91" customFormat="false" ht="15" hidden="false" customHeight="false" outlineLevel="0" collapsed="false">
      <c r="B91" s="5" t="s">
        <v>457</v>
      </c>
      <c r="D91" s="33" t="n">
        <f aca="false">SUM(F91:H91)</f>
        <v>9687.68</v>
      </c>
      <c r="F91" s="33" t="n">
        <v>9687.68</v>
      </c>
    </row>
    <row r="92" customFormat="false" ht="15" hidden="false" customHeight="false" outlineLevel="0" collapsed="false">
      <c r="B92" s="5" t="s">
        <v>458</v>
      </c>
      <c r="D92" s="33" t="n">
        <f aca="false">SUM(F92:H92)</f>
        <v>2139.23</v>
      </c>
      <c r="F92" s="33" t="n">
        <v>2139.23</v>
      </c>
    </row>
    <row r="93" customFormat="false" ht="15" hidden="false" customHeight="false" outlineLevel="0" collapsed="false">
      <c r="B93" s="5" t="s">
        <v>459</v>
      </c>
      <c r="D93" s="33" t="n">
        <f aca="false">SUM(F93:H93)</f>
        <v>605.69</v>
      </c>
      <c r="F93" s="33" t="n">
        <v>605.69</v>
      </c>
    </row>
    <row r="94" customFormat="false" ht="15" hidden="false" customHeight="false" outlineLevel="0" collapsed="false">
      <c r="B94" s="5" t="s">
        <v>460</v>
      </c>
      <c r="D94" s="33" t="n">
        <f aca="false">SUM(F94:H94)</f>
        <v>8326.94</v>
      </c>
      <c r="F94" s="33" t="n">
        <v>8326.94</v>
      </c>
    </row>
    <row r="95" customFormat="false" ht="15" hidden="false" customHeight="false" outlineLevel="0" collapsed="false">
      <c r="B95" s="32" t="s">
        <v>461</v>
      </c>
    </row>
    <row r="96" customFormat="false" ht="15" hidden="false" customHeight="false" outlineLevel="0" collapsed="false">
      <c r="B96" s="5" t="s">
        <v>462</v>
      </c>
      <c r="D96" s="33" t="n">
        <f aca="false">SUM(F96:H96)</f>
        <v>18787.87</v>
      </c>
      <c r="H96" s="33" t="n">
        <v>18787.87</v>
      </c>
    </row>
    <row r="97" customFormat="false" ht="15" hidden="false" customHeight="false" outlineLevel="0" collapsed="false">
      <c r="B97" s="5" t="s">
        <v>463</v>
      </c>
      <c r="D97" s="33" t="n">
        <f aca="false">SUM(F97:H97)</f>
        <v>25094.55</v>
      </c>
      <c r="H97" s="33" t="n">
        <v>25094.55</v>
      </c>
    </row>
    <row r="98" customFormat="false" ht="15" hidden="false" customHeight="false" outlineLevel="0" collapsed="false">
      <c r="B98" s="5" t="s">
        <v>464</v>
      </c>
      <c r="D98" s="33" t="n">
        <f aca="false">SUM(F98:H98)</f>
        <v>37207.78</v>
      </c>
      <c r="H98" s="33" t="n">
        <v>37207.78</v>
      </c>
    </row>
    <row r="99" customFormat="false" ht="15" hidden="false" customHeight="false" outlineLevel="0" collapsed="false">
      <c r="B99" s="5" t="s">
        <v>465</v>
      </c>
      <c r="D99" s="33" t="n">
        <f aca="false">SUM(F99:H99)</f>
        <v>35233.43</v>
      </c>
      <c r="H99" s="33" t="n">
        <v>35233.43</v>
      </c>
    </row>
    <row r="100" customFormat="false" ht="15" hidden="false" customHeight="false" outlineLevel="0" collapsed="false">
      <c r="B100" s="5" t="s">
        <v>466</v>
      </c>
      <c r="D100" s="33" t="n">
        <f aca="false">SUM(F100:H100)</f>
        <v>32344.52</v>
      </c>
      <c r="H100" s="33" t="n">
        <v>32344.52</v>
      </c>
    </row>
    <row r="101" customFormat="false" ht="15" hidden="false" customHeight="false" outlineLevel="0" collapsed="false">
      <c r="B101" s="5" t="s">
        <v>467</v>
      </c>
      <c r="D101" s="33" t="n">
        <f aca="false">SUM(F101:H101)</f>
        <v>2485.72</v>
      </c>
      <c r="H101" s="33" t="n">
        <v>2485.72</v>
      </c>
    </row>
    <row r="102" customFormat="false" ht="15" hidden="false" customHeight="false" outlineLevel="0" collapsed="false">
      <c r="B102" s="5" t="s">
        <v>468</v>
      </c>
      <c r="D102" s="33" t="n">
        <f aca="false">SUM(F102:H102)</f>
        <v>24546.88</v>
      </c>
      <c r="H102" s="33" t="n">
        <v>24546.88</v>
      </c>
    </row>
    <row r="103" customFormat="false" ht="15" hidden="false" customHeight="false" outlineLevel="0" collapsed="false">
      <c r="B103" s="5" t="s">
        <v>469</v>
      </c>
      <c r="D103" s="33" t="n">
        <f aca="false">SUM(F103:H103)</f>
        <v>18966.92</v>
      </c>
      <c r="H103" s="33" t="n">
        <v>18966.92</v>
      </c>
    </row>
    <row r="104" customFormat="false" ht="15" hidden="false" customHeight="false" outlineLevel="0" collapsed="false">
      <c r="B104" s="5" t="s">
        <v>470</v>
      </c>
      <c r="D104" s="33" t="n">
        <f aca="false">SUM(F104:H104)</f>
        <v>15176.79</v>
      </c>
      <c r="H104" s="33" t="n">
        <v>15176.79</v>
      </c>
    </row>
    <row r="105" customFormat="false" ht="15" hidden="false" customHeight="false" outlineLevel="0" collapsed="false">
      <c r="B105" s="5" t="s">
        <v>471</v>
      </c>
      <c r="D105" s="33" t="n">
        <f aca="false">SUM(F105:H105)</f>
        <v>17050.73</v>
      </c>
      <c r="H105" s="33" t="n">
        <v>17050.73</v>
      </c>
    </row>
    <row r="106" customFormat="false" ht="15" hidden="false" customHeight="false" outlineLevel="0" collapsed="false">
      <c r="B106" s="5" t="s">
        <v>472</v>
      </c>
      <c r="D106" s="33" t="n">
        <f aca="false">SUM(F106:H106)</f>
        <v>40897.65</v>
      </c>
      <c r="H106" s="33" t="n">
        <v>40897.65</v>
      </c>
    </row>
    <row r="107" customFormat="false" ht="15" hidden="false" customHeight="false" outlineLevel="0" collapsed="false">
      <c r="B107" s="5" t="s">
        <v>473</v>
      </c>
      <c r="D107" s="33" t="n">
        <f aca="false">SUM(F107:H107)</f>
        <v>16588.72</v>
      </c>
      <c r="H107" s="33" t="n">
        <v>16588.72</v>
      </c>
    </row>
    <row r="108" customFormat="false" ht="15" hidden="false" customHeight="false" outlineLevel="0" collapsed="false">
      <c r="B108" s="5" t="s">
        <v>474</v>
      </c>
      <c r="D108" s="33" t="n">
        <f aca="false">SUM(F108:H108)</f>
        <v>42760.8</v>
      </c>
      <c r="H108" s="33" t="n">
        <v>42760.8</v>
      </c>
    </row>
    <row r="109" customFormat="false" ht="15" hidden="false" customHeight="false" outlineLevel="0" collapsed="false">
      <c r="B109" s="5" t="s">
        <v>475</v>
      </c>
      <c r="D109" s="33" t="n">
        <f aca="false">SUM(F109:H109)</f>
        <v>3514.89</v>
      </c>
      <c r="H109" s="33" t="n">
        <v>3514.89</v>
      </c>
    </row>
    <row r="110" customFormat="false" ht="15" hidden="false" customHeight="false" outlineLevel="0" collapsed="false">
      <c r="B110" s="5" t="s">
        <v>476</v>
      </c>
      <c r="D110" s="33" t="n">
        <f aca="false">SUM(F110:H110)</f>
        <v>3740.86</v>
      </c>
      <c r="H110" s="33" t="n">
        <v>3740.86</v>
      </c>
    </row>
    <row r="111" customFormat="false" ht="15" hidden="false" customHeight="false" outlineLevel="0" collapsed="false">
      <c r="B111" s="5" t="s">
        <v>477</v>
      </c>
      <c r="D111" s="33" t="n">
        <f aca="false">SUM(F111:H111)</f>
        <v>1880.89</v>
      </c>
      <c r="H111" s="33" t="n">
        <v>1880.89</v>
      </c>
    </row>
    <row r="112" customFormat="false" ht="15" hidden="false" customHeight="false" outlineLevel="0" collapsed="false">
      <c r="B112" s="11" t="s">
        <v>445</v>
      </c>
      <c r="D112" s="34" t="n">
        <f aca="false">SUM(D83:D111)</f>
        <v>448137.03</v>
      </c>
      <c r="F112" s="34" t="n">
        <f aca="false">SUM(F83:F111)</f>
        <v>111858.03</v>
      </c>
      <c r="H112" s="34" t="n">
        <f aca="false">SUM(H83:H111)</f>
        <v>336279</v>
      </c>
    </row>
    <row r="113" customFormat="false" ht="15" hidden="false" customHeight="false" outlineLevel="0" collapsed="false">
      <c r="B113" s="30" t="s">
        <v>425</v>
      </c>
      <c r="F113" s="31" t="n">
        <f aca="false">F112/D112</f>
        <v>0.249606755326602</v>
      </c>
      <c r="H113" s="31" t="n">
        <f aca="false">H112/D112</f>
        <v>0.750393244673398</v>
      </c>
    </row>
    <row r="115" customFormat="false" ht="15" hidden="false" customHeight="false" outlineLevel="0" collapsed="false">
      <c r="A115" s="10" t="s">
        <v>440</v>
      </c>
    </row>
    <row r="116" customFormat="false" ht="15" hidden="false" customHeight="false" outlineLevel="0" collapsed="false">
      <c r="B116" s="4" t="s">
        <v>441</v>
      </c>
      <c r="D116" s="4" t="s">
        <v>397</v>
      </c>
      <c r="F116" s="4" t="s">
        <v>448</v>
      </c>
      <c r="H116" s="4" t="s">
        <v>430</v>
      </c>
    </row>
    <row r="117" customFormat="false" ht="15" hidden="false" customHeight="false" outlineLevel="0" collapsed="false">
      <c r="B117" s="5" t="str">
        <f aca="false">'Building 10'!B21</f>
        <v>10-Building-Post Casualty Loss Basis-bldg10-</v>
      </c>
      <c r="D117" s="33" t="n">
        <f aca="false">SUM(F117:H117)</f>
        <v>18042.22</v>
      </c>
      <c r="F117" s="33" t="n">
        <f aca="false">'Building 10'!D21</f>
        <v>18042.22</v>
      </c>
    </row>
    <row r="118" customFormat="false" ht="15" hidden="false" customHeight="false" outlineLevel="0" collapsed="false">
      <c r="B118" s="5" t="str">
        <f aca="false">'Building 10'!B22</f>
        <v>10-Building-Post Casualty Loss Basis-bldg10-3</v>
      </c>
      <c r="D118" s="33" t="n">
        <f aca="false">SUM(F118:H118)</f>
        <v>54240.35</v>
      </c>
      <c r="H118" s="33" t="n">
        <f aca="false">'Building 10'!D22</f>
        <v>54240.35</v>
      </c>
    </row>
    <row r="119" customFormat="false" ht="15" hidden="false" customHeight="false" outlineLevel="0" collapsed="false">
      <c r="B119" s="5" t="str">
        <f aca="false">'Building 10'!B23</f>
        <v>12-New Buildings(16 units)-bldg10-5yr</v>
      </c>
      <c r="D119" s="33" t="n">
        <f aca="false">SUM(F119:H119)</f>
        <v>9676.61</v>
      </c>
      <c r="F119" s="33" t="n">
        <f aca="false">'Building 10'!D23</f>
        <v>9676.61</v>
      </c>
    </row>
    <row r="120" customFormat="false" ht="15" hidden="false" customHeight="false" outlineLevel="0" collapsed="false">
      <c r="B120" s="5" t="str">
        <f aca="false">'Building 10'!B24</f>
        <v>12-New Buildings(16 units)-bldg10-30yr</v>
      </c>
      <c r="D120" s="33" t="n">
        <f aca="false">SUM(F120:H120)</f>
        <v>29090.8</v>
      </c>
      <c r="H120" s="33" t="n">
        <f aca="false">'Building 10'!D24</f>
        <v>29090.8</v>
      </c>
    </row>
    <row r="121" customFormat="false" ht="15" hidden="false" customHeight="false" outlineLevel="0" collapsed="false">
      <c r="B121" s="5" t="str">
        <f aca="false">'Building 10'!B25</f>
        <v>14-New Buildings(105 units)-bldg10-5yr</v>
      </c>
      <c r="D121" s="33" t="n">
        <f aca="false">SUM(F121:H121)</f>
        <v>64857.26</v>
      </c>
      <c r="F121" s="33" t="n">
        <f aca="false">'Building 10'!D25</f>
        <v>64857.26</v>
      </c>
    </row>
    <row r="122" customFormat="false" ht="15" hidden="false" customHeight="false" outlineLevel="0" collapsed="false">
      <c r="B122" s="5" t="str">
        <f aca="false">'Building 10'!B26</f>
        <v>14-New Buildings(105 units)-bldg10-30yr</v>
      </c>
      <c r="D122" s="33" t="n">
        <f aca="false">SUM(F122:H122)</f>
        <v>194980.48</v>
      </c>
      <c r="H122" s="33" t="n">
        <f aca="false">'Building 10'!D26</f>
        <v>194980.48</v>
      </c>
    </row>
    <row r="123" customFormat="false" ht="15" hidden="false" customHeight="false" outlineLevel="0" collapsed="false">
      <c r="B123" s="5" t="str">
        <f aca="false">'Building 10'!B27</f>
        <v>11-Building Imp-Post-Casulty Loss Basis-bld10</v>
      </c>
      <c r="D123" s="33" t="n">
        <f aca="false">SUM(F123:H123)</f>
        <v>453.45</v>
      </c>
      <c r="F123" s="33" t="n">
        <f aca="false">'Building 10'!D27</f>
        <v>453.45</v>
      </c>
    </row>
    <row r="124" customFormat="false" ht="15" hidden="false" customHeight="false" outlineLevel="0" collapsed="false">
      <c r="B124" s="5" t="str">
        <f aca="false">'Building 10'!B28</f>
        <v>11-Building Imp-Post-Casulty Loss Basis-bld10</v>
      </c>
      <c r="D124" s="33" t="n">
        <f aca="false">SUM(F124:H124)</f>
        <v>1363.2</v>
      </c>
      <c r="H124" s="33" t="n">
        <f aca="false">'Building 10'!D28</f>
        <v>1363.2</v>
      </c>
    </row>
    <row r="125" customFormat="false" ht="15" hidden="false" customHeight="false" outlineLevel="0" collapsed="false">
      <c r="B125" s="5" t="str">
        <f aca="false">'Building 10'!B29</f>
        <v>2-Land Improvements-bldg10-5yr</v>
      </c>
      <c r="D125" s="33" t="n">
        <f aca="false">SUM(F125:H125)</f>
        <v>2467.41</v>
      </c>
      <c r="F125" s="33" t="n">
        <f aca="false">'Building 10'!D29</f>
        <v>2467.41</v>
      </c>
    </row>
    <row r="126" customFormat="false" ht="15" hidden="false" customHeight="false" outlineLevel="0" collapsed="false">
      <c r="B126" s="5" t="str">
        <f aca="false">'Building 10'!B30</f>
        <v>2-Land Improvements-bldg10-30yr</v>
      </c>
      <c r="D126" s="33" t="n">
        <f aca="false">SUM(F126:H126)</f>
        <v>7417.77</v>
      </c>
      <c r="H126" s="33" t="n">
        <f aca="false">'Building 10'!D30</f>
        <v>7417.77</v>
      </c>
    </row>
    <row r="127" customFormat="false" ht="15" hidden="false" customHeight="false" outlineLevel="0" collapsed="false">
      <c r="B127" s="5" t="str">
        <f aca="false">'Building 10'!B31</f>
        <v>13-New Equipment(16 units)-bldg10-5yr</v>
      </c>
      <c r="D127" s="33" t="n">
        <f aca="false">SUM(F127:H127)</f>
        <v>2124.13</v>
      </c>
      <c r="F127" s="33" t="n">
        <f aca="false">'Building 10'!D31</f>
        <v>2124.13</v>
      </c>
    </row>
    <row r="128" customFormat="false" ht="15" hidden="false" customHeight="false" outlineLevel="0" collapsed="false">
      <c r="B128" s="5" t="str">
        <f aca="false">'Building 10'!B32</f>
        <v>13-New Equipment(16 units)-bldg10-30yr</v>
      </c>
      <c r="D128" s="33" t="n">
        <f aca="false">SUM(F128:H128)</f>
        <v>6385.78</v>
      </c>
      <c r="H128" s="33" t="n">
        <f aca="false">'Building 10'!D32</f>
        <v>6385.78</v>
      </c>
    </row>
    <row r="129" customFormat="false" ht="15" hidden="false" customHeight="false" outlineLevel="0" collapsed="false">
      <c r="B129" s="5" t="str">
        <f aca="false">'Building 10'!B33</f>
        <v>15-New Equipment(105 units)-bldg10-5yr</v>
      </c>
      <c r="D129" s="33" t="n">
        <f aca="false">SUM(F129:H129)</f>
        <v>14236.95</v>
      </c>
      <c r="F129" s="33" t="n">
        <f aca="false">'Building 10'!D33</f>
        <v>14236.95</v>
      </c>
    </row>
    <row r="130" customFormat="false" ht="15" hidden="false" customHeight="false" outlineLevel="0" collapsed="false">
      <c r="B130" s="5" t="str">
        <f aca="false">'Building 10'!B34</f>
        <v>15-New Equipment(105 units)-bldg10-30yr</v>
      </c>
      <c r="D130" s="33" t="n">
        <f aca="false">SUM(F130:H130)</f>
        <v>42800.62</v>
      </c>
      <c r="H130" s="33" t="n">
        <f aca="false">'Building 10'!D34</f>
        <v>42800.62</v>
      </c>
    </row>
    <row r="131" customFormat="false" ht="15" hidden="false" customHeight="false" outlineLevel="0" collapsed="false">
      <c r="B131" s="11" t="s">
        <v>442</v>
      </c>
      <c r="D131" s="34" t="n">
        <f aca="false">SUM(D117:D130)</f>
        <v>448137.03</v>
      </c>
      <c r="F131" s="34" t="n">
        <f aca="false">SUM(F117:F130)</f>
        <v>111858.03</v>
      </c>
      <c r="H131" s="34" t="n">
        <f aca="false">SUM(H117:H130)</f>
        <v>336279</v>
      </c>
    </row>
    <row r="132" customFormat="false" ht="15" hidden="false" customHeight="false" outlineLevel="0" collapsed="false">
      <c r="B132" s="16" t="s">
        <v>443</v>
      </c>
      <c r="D132" s="17" t="n">
        <f aca="false">D131-D112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492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97</v>
      </c>
      <c r="C10" s="23" t="s">
        <v>25</v>
      </c>
      <c r="D10" s="24" t="n">
        <v>64317.98</v>
      </c>
      <c r="E10" s="24" t="n">
        <v>0</v>
      </c>
      <c r="F10" s="24" t="n">
        <v>0</v>
      </c>
      <c r="G10" s="24" t="n">
        <v>6642.44</v>
      </c>
      <c r="H10" s="24" t="n">
        <v>2342.15</v>
      </c>
      <c r="I10" s="24" t="n">
        <f aca="false">G10+H10</f>
        <v>8984.59</v>
      </c>
      <c r="J10" s="24" t="n">
        <f aca="false">D10-I10</f>
        <v>55333.39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98</v>
      </c>
      <c r="C11" s="23" t="s">
        <v>27</v>
      </c>
      <c r="D11" s="24" t="n">
        <v>34495.74</v>
      </c>
      <c r="E11" s="24" t="n">
        <v>0</v>
      </c>
      <c r="F11" s="24" t="n">
        <v>0</v>
      </c>
      <c r="G11" s="24" t="n">
        <v>1197.79</v>
      </c>
      <c r="H11" s="24" t="n">
        <v>1149.85</v>
      </c>
      <c r="I11" s="24" t="n">
        <f aca="false">G11+H11</f>
        <v>2347.64</v>
      </c>
      <c r="J11" s="24" t="n">
        <f aca="false">D11-I11</f>
        <v>32148.1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99</v>
      </c>
      <c r="C12" s="23" t="s">
        <v>29</v>
      </c>
      <c r="D12" s="24" t="n">
        <v>231207.03</v>
      </c>
      <c r="E12" s="24" t="n">
        <v>0</v>
      </c>
      <c r="F12" s="24" t="n">
        <v>0</v>
      </c>
      <c r="G12" s="24" t="n">
        <v>5459.05</v>
      </c>
      <c r="H12" s="24" t="n">
        <v>7706.92</v>
      </c>
      <c r="I12" s="24" t="n">
        <f aca="false">G12+H12</f>
        <v>13165.97</v>
      </c>
      <c r="J12" s="24" t="n">
        <f aca="false">D12-I12</f>
        <v>218041.06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1616.48</v>
      </c>
      <c r="E13" s="24" t="n">
        <v>0</v>
      </c>
      <c r="F13" s="24" t="n">
        <v>0</v>
      </c>
      <c r="G13" s="24" t="n">
        <v>121.71</v>
      </c>
      <c r="H13" s="24" t="n">
        <v>55.97</v>
      </c>
      <c r="I13" s="24" t="n">
        <f aca="false">G13+H13</f>
        <v>177.68</v>
      </c>
      <c r="J13" s="24" t="n">
        <f aca="false">D13-I13</f>
        <v>1438.8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100</v>
      </c>
      <c r="C14" s="23" t="s">
        <v>25</v>
      </c>
      <c r="D14" s="24" t="n">
        <v>8795.97</v>
      </c>
      <c r="E14" s="24" t="n">
        <v>0</v>
      </c>
      <c r="F14" s="24" t="n">
        <v>2256.71</v>
      </c>
      <c r="G14" s="24" t="n">
        <v>2256.71</v>
      </c>
      <c r="H14" s="24" t="n">
        <v>676.47</v>
      </c>
      <c r="I14" s="24" t="n">
        <f aca="false">G14+H14</f>
        <v>2933.18</v>
      </c>
      <c r="J14" s="24" t="n">
        <f aca="false">D14-I14</f>
        <v>5862.79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101</v>
      </c>
      <c r="C15" s="23" t="s">
        <v>27</v>
      </c>
      <c r="D15" s="24" t="n">
        <v>7572.23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7572.23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102</v>
      </c>
      <c r="C16" s="23" t="s">
        <v>29</v>
      </c>
      <c r="D16" s="24" t="n">
        <v>50752.78</v>
      </c>
      <c r="E16" s="24" t="n">
        <v>0</v>
      </c>
      <c r="F16" s="24" t="n">
        <v>0</v>
      </c>
      <c r="G16" s="24" t="n">
        <v>2030.1</v>
      </c>
      <c r="H16" s="24" t="n">
        <v>3248.19</v>
      </c>
      <c r="I16" s="24" t="n">
        <f aca="false">G16+H16</f>
        <v>5278.29</v>
      </c>
      <c r="J16" s="24" t="n">
        <f aca="false">D16-I16</f>
        <v>45474.49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398758.21</v>
      </c>
      <c r="E17" s="28" t="n">
        <f aca="false">SUM(E10:E16)</f>
        <v>0</v>
      </c>
      <c r="F17" s="28" t="n">
        <f aca="false">SUM(F10:F16)</f>
        <v>2256.71</v>
      </c>
      <c r="G17" s="28" t="n">
        <f aca="false">SUM(G10:G16)</f>
        <v>17707.8</v>
      </c>
      <c r="H17" s="28" t="n">
        <f aca="false">SUM(H10:H16)</f>
        <v>15179.55</v>
      </c>
      <c r="I17" s="28" t="n">
        <f aca="false">SUM(I10:I16)</f>
        <v>32887.35</v>
      </c>
      <c r="J17" s="28" t="n">
        <f aca="false">SUM(J10:J16)</f>
        <v>365870.86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287</v>
      </c>
      <c r="C21" s="23" t="s">
        <v>25</v>
      </c>
      <c r="D21" s="24" t="n">
        <v>16882.61</v>
      </c>
      <c r="E21" s="24" t="n">
        <v>0</v>
      </c>
      <c r="F21" s="24" t="n">
        <v>16882.61</v>
      </c>
      <c r="G21" s="24" t="n">
        <v>16882.61</v>
      </c>
      <c r="H21" s="24" t="n">
        <v>0</v>
      </c>
      <c r="I21" s="24" t="n">
        <f aca="false">G21+H21</f>
        <v>16882.61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288</v>
      </c>
      <c r="C22" s="23" t="s">
        <v>25</v>
      </c>
      <c r="D22" s="24" t="n">
        <v>47435.37</v>
      </c>
      <c r="E22" s="24" t="n">
        <v>0</v>
      </c>
      <c r="F22" s="24" t="n">
        <v>0</v>
      </c>
      <c r="G22" s="24" t="n">
        <v>8498.84</v>
      </c>
      <c r="H22" s="24" t="n">
        <v>1581.18</v>
      </c>
      <c r="I22" s="24" t="n">
        <f aca="false">G22+H22</f>
        <v>10080.02</v>
      </c>
      <c r="J22" s="24" t="n">
        <f aca="false">D22-I22</f>
        <v>37355.35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289</v>
      </c>
      <c r="C23" s="23" t="s">
        <v>27</v>
      </c>
      <c r="D23" s="24" t="n">
        <v>9054.67</v>
      </c>
      <c r="E23" s="24" t="n">
        <v>0</v>
      </c>
      <c r="F23" s="24" t="n">
        <v>9054.67</v>
      </c>
      <c r="G23" s="24" t="n">
        <v>9054.67</v>
      </c>
      <c r="H23" s="24" t="n">
        <v>0</v>
      </c>
      <c r="I23" s="24" t="n">
        <f aca="false">G23+H23</f>
        <v>9054.67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290</v>
      </c>
      <c r="C24" s="23" t="s">
        <v>27</v>
      </c>
      <c r="D24" s="24" t="n">
        <v>25441.07</v>
      </c>
      <c r="E24" s="24" t="n">
        <v>0</v>
      </c>
      <c r="F24" s="24" t="n">
        <v>0</v>
      </c>
      <c r="G24" s="24" t="n">
        <v>883.37</v>
      </c>
      <c r="H24" s="24" t="n">
        <v>848.04</v>
      </c>
      <c r="I24" s="24" t="n">
        <f aca="false">G24+H24</f>
        <v>1731.41</v>
      </c>
      <c r="J24" s="24" t="n">
        <f aca="false">D24-I24</f>
        <v>23709.66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291</v>
      </c>
      <c r="C25" s="23" t="s">
        <v>29</v>
      </c>
      <c r="D25" s="24" t="n">
        <v>60688.77</v>
      </c>
      <c r="E25" s="24" t="n">
        <v>0</v>
      </c>
      <c r="F25" s="24" t="n">
        <v>48551.02</v>
      </c>
      <c r="G25" s="24" t="n">
        <v>50978.57</v>
      </c>
      <c r="H25" s="24" t="n">
        <v>3884.08</v>
      </c>
      <c r="I25" s="24" t="n">
        <f aca="false">G25+H25</f>
        <v>54862.65</v>
      </c>
      <c r="J25" s="24" t="n">
        <f aca="false">D25-I25</f>
        <v>5826.12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292</v>
      </c>
      <c r="C26" s="23" t="s">
        <v>29</v>
      </c>
      <c r="D26" s="24" t="n">
        <v>170518.26</v>
      </c>
      <c r="E26" s="24" t="n">
        <v>0</v>
      </c>
      <c r="F26" s="24" t="n">
        <v>0</v>
      </c>
      <c r="G26" s="24" t="n">
        <v>4026.13</v>
      </c>
      <c r="H26" s="24" t="n">
        <v>5683.94</v>
      </c>
      <c r="I26" s="24" t="n">
        <f aca="false">G26+H26</f>
        <v>9710.07</v>
      </c>
      <c r="J26" s="24" t="n">
        <f aca="false">D26-I26</f>
        <v>160808.19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293</v>
      </c>
      <c r="C27" s="23" t="s">
        <v>31</v>
      </c>
      <c r="D27" s="24" t="n">
        <v>424.3</v>
      </c>
      <c r="E27" s="24" t="n">
        <v>0</v>
      </c>
      <c r="F27" s="24" t="n">
        <v>424.3</v>
      </c>
      <c r="G27" s="24" t="n">
        <v>424.3</v>
      </c>
      <c r="H27" s="24" t="n">
        <v>0</v>
      </c>
      <c r="I27" s="24" t="n">
        <f aca="false">G27+H27</f>
        <v>424.3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293</v>
      </c>
      <c r="C28" s="23" t="s">
        <v>31</v>
      </c>
      <c r="D28" s="24" t="n">
        <v>1192.18</v>
      </c>
      <c r="E28" s="24" t="n">
        <v>0</v>
      </c>
      <c r="F28" s="24" t="n">
        <v>0</v>
      </c>
      <c r="G28" s="24" t="n">
        <v>130.81</v>
      </c>
      <c r="H28" s="24" t="n">
        <v>39.74</v>
      </c>
      <c r="I28" s="24" t="n">
        <f aca="false">G28+H28</f>
        <v>170.55</v>
      </c>
      <c r="J28" s="24" t="n">
        <f aca="false">D28-I28</f>
        <v>1021.63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294</v>
      </c>
      <c r="C29" s="23" t="s">
        <v>25</v>
      </c>
      <c r="D29" s="24" t="n">
        <v>2308.83</v>
      </c>
      <c r="E29" s="24" t="n">
        <v>0</v>
      </c>
      <c r="F29" s="24" t="n">
        <v>2308.83</v>
      </c>
      <c r="G29" s="24" t="n">
        <v>2308.83</v>
      </c>
      <c r="H29" s="24" t="n">
        <v>0</v>
      </c>
      <c r="I29" s="24" t="n">
        <f aca="false">G29+H29</f>
        <v>2308.83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295</v>
      </c>
      <c r="C30" s="23" t="s">
        <v>25</v>
      </c>
      <c r="D30" s="24" t="n">
        <v>6487.14</v>
      </c>
      <c r="E30" s="24" t="n">
        <v>0</v>
      </c>
      <c r="F30" s="24" t="n">
        <v>0</v>
      </c>
      <c r="G30" s="24" t="n">
        <v>1162.29</v>
      </c>
      <c r="H30" s="24" t="n">
        <v>216.24</v>
      </c>
      <c r="I30" s="24" t="n">
        <f aca="false">G30+H30</f>
        <v>1378.53</v>
      </c>
      <c r="J30" s="24" t="n">
        <f aca="false">D30-I30</f>
        <v>5108.61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296</v>
      </c>
      <c r="C31" s="23" t="s">
        <v>27</v>
      </c>
      <c r="D31" s="24" t="n">
        <v>1987.61</v>
      </c>
      <c r="E31" s="24" t="n">
        <v>0</v>
      </c>
      <c r="F31" s="24" t="n">
        <v>1987.61</v>
      </c>
      <c r="G31" s="24" t="n">
        <v>1987.61</v>
      </c>
      <c r="H31" s="24" t="n">
        <v>0</v>
      </c>
      <c r="I31" s="24" t="n">
        <f aca="false">G31+H31</f>
        <v>1987.61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297</v>
      </c>
      <c r="C32" s="23" t="s">
        <v>27</v>
      </c>
      <c r="D32" s="24" t="n">
        <v>5584.62</v>
      </c>
      <c r="E32" s="24" t="n">
        <v>0</v>
      </c>
      <c r="F32" s="24" t="n">
        <v>0</v>
      </c>
      <c r="G32" s="24" t="n">
        <v>193.91</v>
      </c>
      <c r="H32" s="24" t="n">
        <v>186.15</v>
      </c>
      <c r="I32" s="24" t="n">
        <f aca="false">G32+H32</f>
        <v>380.06</v>
      </c>
      <c r="J32" s="24" t="n">
        <f aca="false">D32-I32</f>
        <v>5204.56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298</v>
      </c>
      <c r="C33" s="23" t="s">
        <v>29</v>
      </c>
      <c r="D33" s="24" t="n">
        <v>13321.94</v>
      </c>
      <c r="E33" s="24" t="n">
        <v>0</v>
      </c>
      <c r="F33" s="24" t="n">
        <v>10657.55</v>
      </c>
      <c r="G33" s="24" t="n">
        <v>11190.43</v>
      </c>
      <c r="H33" s="24" t="n">
        <v>852.6</v>
      </c>
      <c r="I33" s="24" t="n">
        <f aca="false">G33+H33</f>
        <v>12043.03</v>
      </c>
      <c r="J33" s="24" t="n">
        <f aca="false">D33-I33</f>
        <v>1278.91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299</v>
      </c>
      <c r="C34" s="23" t="s">
        <v>29</v>
      </c>
      <c r="D34" s="24" t="n">
        <v>37430.84</v>
      </c>
      <c r="E34" s="24" t="n">
        <v>0</v>
      </c>
      <c r="F34" s="24" t="n">
        <v>0</v>
      </c>
      <c r="G34" s="24" t="n">
        <v>883.78</v>
      </c>
      <c r="H34" s="24" t="n">
        <v>1247.69</v>
      </c>
      <c r="I34" s="24" t="n">
        <f aca="false">G34+H34</f>
        <v>2131.47</v>
      </c>
      <c r="J34" s="24" t="n">
        <f aca="false">D34-I34</f>
        <v>35299.37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398758.21</v>
      </c>
      <c r="E35" s="28" t="n">
        <f aca="false">SUM(E21:E34)</f>
        <v>0</v>
      </c>
      <c r="F35" s="28" t="n">
        <f aca="false">SUM(F21:F34)</f>
        <v>89866.59</v>
      </c>
      <c r="G35" s="28" t="n">
        <f aca="false">SUM(G21:G34)</f>
        <v>108606.15</v>
      </c>
      <c r="H35" s="28" t="n">
        <f aca="false">SUM(H21:H34)</f>
        <v>14539.66</v>
      </c>
      <c r="I35" s="28" t="n">
        <f aca="false">SUM(I21:I34)</f>
        <v>123145.81</v>
      </c>
      <c r="J35" s="28" t="n">
        <f aca="false">SUM(J21:J34)</f>
        <v>275612.4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32887.35</v>
      </c>
    </row>
    <row r="39" customFormat="false" ht="15" hidden="false" customHeight="false" outlineLevel="0" collapsed="false">
      <c r="B39" s="5" t="s">
        <v>415</v>
      </c>
      <c r="D39" s="6" t="n">
        <f aca="false">I35</f>
        <v>123145.81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-90258.46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97</v>
      </c>
      <c r="C45" s="23" t="s">
        <v>25</v>
      </c>
      <c r="D45" s="24" t="n">
        <v>64317.98</v>
      </c>
      <c r="E45" s="24" t="n">
        <v>0</v>
      </c>
      <c r="F45" s="24" t="n">
        <v>0</v>
      </c>
      <c r="G45" s="24" t="n">
        <v>6642.44</v>
      </c>
      <c r="H45" s="24" t="n">
        <v>2342.15</v>
      </c>
      <c r="I45" s="24" t="n">
        <f aca="false">G45+H45</f>
        <v>8984.59</v>
      </c>
      <c r="J45" s="24" t="n">
        <f aca="false">D45-I45</f>
        <v>55333.39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98</v>
      </c>
      <c r="C46" s="23" t="s">
        <v>27</v>
      </c>
      <c r="D46" s="24" t="n">
        <v>34495.74</v>
      </c>
      <c r="E46" s="24" t="n">
        <v>0</v>
      </c>
      <c r="F46" s="24" t="n">
        <v>0</v>
      </c>
      <c r="G46" s="24" t="n">
        <v>1197.79</v>
      </c>
      <c r="H46" s="24" t="n">
        <v>1149.85</v>
      </c>
      <c r="I46" s="24" t="n">
        <f aca="false">G46+H46</f>
        <v>2347.64</v>
      </c>
      <c r="J46" s="24" t="n">
        <f aca="false">D46-I46</f>
        <v>32148.1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99</v>
      </c>
      <c r="C47" s="23" t="s">
        <v>29</v>
      </c>
      <c r="D47" s="24" t="n">
        <v>231207.03</v>
      </c>
      <c r="E47" s="24" t="n">
        <v>0</v>
      </c>
      <c r="F47" s="24" t="n">
        <v>0</v>
      </c>
      <c r="G47" s="24" t="n">
        <v>5459.05</v>
      </c>
      <c r="H47" s="24" t="n">
        <v>7706.92</v>
      </c>
      <c r="I47" s="24" t="n">
        <f aca="false">G47+H47</f>
        <v>13165.97</v>
      </c>
      <c r="J47" s="24" t="n">
        <f aca="false">D47-I47</f>
        <v>218041.06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1616.48</v>
      </c>
      <c r="E48" s="24" t="n">
        <v>0</v>
      </c>
      <c r="F48" s="24" t="n">
        <v>0</v>
      </c>
      <c r="G48" s="24" t="n">
        <v>121.71</v>
      </c>
      <c r="H48" s="24" t="n">
        <v>55.97</v>
      </c>
      <c r="I48" s="24" t="n">
        <f aca="false">G48+H48</f>
        <v>177.68</v>
      </c>
      <c r="J48" s="24" t="n">
        <f aca="false">D48-I48</f>
        <v>1438.8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100</v>
      </c>
      <c r="C49" s="23" t="s">
        <v>25</v>
      </c>
      <c r="D49" s="24" t="n">
        <v>8795.97</v>
      </c>
      <c r="E49" s="24" t="n">
        <v>0</v>
      </c>
      <c r="F49" s="24" t="n">
        <v>2256.71</v>
      </c>
      <c r="G49" s="24" t="n">
        <v>2256.71</v>
      </c>
      <c r="H49" s="24" t="n">
        <v>676.47</v>
      </c>
      <c r="I49" s="24" t="n">
        <f aca="false">G49+H49</f>
        <v>2933.18</v>
      </c>
      <c r="J49" s="24" t="n">
        <f aca="false">D49-I49</f>
        <v>5862.79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101</v>
      </c>
      <c r="C50" s="23" t="s">
        <v>27</v>
      </c>
      <c r="D50" s="24" t="n">
        <v>7572.23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7572.23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102</v>
      </c>
      <c r="C51" s="23" t="s">
        <v>29</v>
      </c>
      <c r="D51" s="24" t="n">
        <v>50752.78</v>
      </c>
      <c r="E51" s="24" t="n">
        <v>0</v>
      </c>
      <c r="F51" s="24" t="n">
        <v>0</v>
      </c>
      <c r="G51" s="24" t="n">
        <v>2030.1</v>
      </c>
      <c r="H51" s="24" t="n">
        <v>3248.19</v>
      </c>
      <c r="I51" s="24" t="n">
        <f aca="false">G51+H51</f>
        <v>5278.29</v>
      </c>
      <c r="J51" s="24" t="n">
        <f aca="false">D51-I51</f>
        <v>45474.49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398758.21</v>
      </c>
      <c r="E52" s="28" t="n">
        <f aca="false">SUM(E45:E51)</f>
        <v>0</v>
      </c>
      <c r="F52" s="28" t="n">
        <f aca="false">SUM(F45:F51)</f>
        <v>2256.71</v>
      </c>
      <c r="G52" s="28" t="n">
        <f aca="false">SUM(G45:G51)</f>
        <v>17707.8</v>
      </c>
      <c r="H52" s="28" t="n">
        <f aca="false">SUM(H45:H51)</f>
        <v>15179.55</v>
      </c>
      <c r="I52" s="28" t="n">
        <f aca="false">SUM(I45:I51)</f>
        <v>32887.35</v>
      </c>
      <c r="J52" s="28" t="n">
        <f aca="false">SUM(J45:J51)</f>
        <v>365870.86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288</v>
      </c>
      <c r="C56" s="23" t="s">
        <v>25</v>
      </c>
      <c r="D56" s="24" t="n">
        <v>47435.37</v>
      </c>
      <c r="E56" s="24" t="n">
        <v>0</v>
      </c>
      <c r="F56" s="24" t="n">
        <v>0</v>
      </c>
      <c r="G56" s="24" t="n">
        <v>8498.84</v>
      </c>
      <c r="H56" s="24" t="n">
        <v>1581.18</v>
      </c>
      <c r="I56" s="24" t="n">
        <f aca="false">G56+H56</f>
        <v>10080.02</v>
      </c>
      <c r="J56" s="24" t="n">
        <f aca="false">D56-I56</f>
        <v>37355.35</v>
      </c>
      <c r="K56" s="25" t="s">
        <v>406</v>
      </c>
      <c r="L56" s="25" t="s">
        <v>407</v>
      </c>
    </row>
    <row r="57" customFormat="false" ht="15" hidden="false" customHeight="false" outlineLevel="0" collapsed="false">
      <c r="A57" s="23" t="n">
        <v>2</v>
      </c>
      <c r="B57" s="23" t="s">
        <v>289</v>
      </c>
      <c r="C57" s="23" t="s">
        <v>27</v>
      </c>
      <c r="D57" s="24" t="n">
        <v>9054.67</v>
      </c>
      <c r="E57" s="24" t="n">
        <v>0</v>
      </c>
      <c r="F57" s="24" t="n">
        <v>9054.67</v>
      </c>
      <c r="G57" s="24" t="n">
        <v>9054.67</v>
      </c>
      <c r="H57" s="24" t="n">
        <v>0</v>
      </c>
      <c r="I57" s="24" t="n">
        <f aca="false">G57+H57</f>
        <v>9054.67</v>
      </c>
      <c r="J57" s="24" t="n">
        <f aca="false">D57-I57</f>
        <v>0</v>
      </c>
      <c r="K57" s="25" t="s">
        <v>410</v>
      </c>
      <c r="L57" s="25" t="s">
        <v>411</v>
      </c>
    </row>
    <row r="58" customFormat="false" ht="15" hidden="false" customHeight="false" outlineLevel="0" collapsed="false">
      <c r="A58" s="23" t="n">
        <v>3</v>
      </c>
      <c r="B58" s="23" t="s">
        <v>290</v>
      </c>
      <c r="C58" s="23" t="s">
        <v>27</v>
      </c>
      <c r="D58" s="24" t="n">
        <v>25441.07</v>
      </c>
      <c r="E58" s="24" t="n">
        <v>0</v>
      </c>
      <c r="F58" s="24" t="n">
        <v>0</v>
      </c>
      <c r="G58" s="24" t="n">
        <v>883.37</v>
      </c>
      <c r="H58" s="24" t="n">
        <v>848.04</v>
      </c>
      <c r="I58" s="24" t="n">
        <f aca="false">G58+H58</f>
        <v>1731.41</v>
      </c>
      <c r="J58" s="24" t="n">
        <f aca="false">D58-I58</f>
        <v>23709.66</v>
      </c>
      <c r="K58" s="25" t="s">
        <v>406</v>
      </c>
      <c r="L58" s="25" t="s">
        <v>407</v>
      </c>
    </row>
    <row r="59" customFormat="false" ht="15" hidden="false" customHeight="false" outlineLevel="0" collapsed="false">
      <c r="A59" s="23" t="n">
        <v>4</v>
      </c>
      <c r="B59" s="23" t="s">
        <v>291</v>
      </c>
      <c r="C59" s="23" t="s">
        <v>29</v>
      </c>
      <c r="D59" s="24" t="n">
        <v>60688.77</v>
      </c>
      <c r="E59" s="24" t="n">
        <v>0</v>
      </c>
      <c r="F59" s="24" t="n">
        <v>48551.02</v>
      </c>
      <c r="G59" s="24" t="n">
        <v>50978.57</v>
      </c>
      <c r="H59" s="24" t="n">
        <v>3884.08</v>
      </c>
      <c r="I59" s="24" t="n">
        <f aca="false">G59+H59</f>
        <v>54862.65</v>
      </c>
      <c r="J59" s="24" t="n">
        <f aca="false">D59-I59</f>
        <v>5826.12</v>
      </c>
      <c r="K59" s="25" t="s">
        <v>410</v>
      </c>
      <c r="L59" s="25" t="s">
        <v>411</v>
      </c>
    </row>
    <row r="60" customFormat="false" ht="15" hidden="false" customHeight="false" outlineLevel="0" collapsed="false">
      <c r="A60" s="23" t="n">
        <v>5</v>
      </c>
      <c r="B60" s="23" t="s">
        <v>292</v>
      </c>
      <c r="C60" s="23" t="s">
        <v>29</v>
      </c>
      <c r="D60" s="24" t="n">
        <v>170518.26</v>
      </c>
      <c r="E60" s="24" t="n">
        <v>0</v>
      </c>
      <c r="F60" s="24" t="n">
        <v>0</v>
      </c>
      <c r="G60" s="24" t="n">
        <v>4026.13</v>
      </c>
      <c r="H60" s="24" t="n">
        <v>5683.94</v>
      </c>
      <c r="I60" s="24" t="n">
        <f aca="false">G60+H60</f>
        <v>9710.07</v>
      </c>
      <c r="J60" s="24" t="n">
        <f aca="false">D60-I60</f>
        <v>160808.19</v>
      </c>
      <c r="K60" s="25" t="s">
        <v>406</v>
      </c>
      <c r="L60" s="25" t="s">
        <v>407</v>
      </c>
    </row>
    <row r="61" customFormat="false" ht="15" hidden="false" customHeight="false" outlineLevel="0" collapsed="false">
      <c r="A61" s="23" t="n">
        <v>6</v>
      </c>
      <c r="B61" s="23" t="s">
        <v>294</v>
      </c>
      <c r="C61" s="23" t="s">
        <v>25</v>
      </c>
      <c r="D61" s="24" t="n">
        <v>2308.83</v>
      </c>
      <c r="E61" s="24" t="n">
        <v>0</v>
      </c>
      <c r="F61" s="24" t="n">
        <v>2308.83</v>
      </c>
      <c r="G61" s="24" t="n">
        <v>2308.83</v>
      </c>
      <c r="H61" s="24" t="n">
        <v>0</v>
      </c>
      <c r="I61" s="24" t="n">
        <f aca="false">G61+H61</f>
        <v>2308.83</v>
      </c>
      <c r="J61" s="24" t="n">
        <f aca="false">D61-I61</f>
        <v>0</v>
      </c>
      <c r="K61" s="25" t="s">
        <v>410</v>
      </c>
      <c r="L61" s="25" t="s">
        <v>411</v>
      </c>
    </row>
    <row r="62" customFormat="false" ht="15" hidden="false" customHeight="false" outlineLevel="0" collapsed="false">
      <c r="A62" s="23" t="n">
        <v>7</v>
      </c>
      <c r="B62" s="23" t="s">
        <v>295</v>
      </c>
      <c r="C62" s="23" t="s">
        <v>25</v>
      </c>
      <c r="D62" s="24" t="n">
        <v>6487.14</v>
      </c>
      <c r="E62" s="24" t="n">
        <v>0</v>
      </c>
      <c r="F62" s="24" t="n">
        <v>0</v>
      </c>
      <c r="G62" s="24" t="n">
        <v>1162.29</v>
      </c>
      <c r="H62" s="24" t="n">
        <v>216.24</v>
      </c>
      <c r="I62" s="24" t="n">
        <f aca="false">G62+H62</f>
        <v>1378.53</v>
      </c>
      <c r="J62" s="24" t="n">
        <f aca="false">D62-I62</f>
        <v>5108.61</v>
      </c>
      <c r="K62" s="25" t="s">
        <v>406</v>
      </c>
      <c r="L62" s="25" t="s">
        <v>407</v>
      </c>
    </row>
    <row r="63" customFormat="false" ht="15" hidden="false" customHeight="false" outlineLevel="0" collapsed="false">
      <c r="A63" s="23" t="n">
        <v>8</v>
      </c>
      <c r="B63" s="23" t="s">
        <v>296</v>
      </c>
      <c r="C63" s="23" t="s">
        <v>27</v>
      </c>
      <c r="D63" s="24" t="n">
        <v>1987.61</v>
      </c>
      <c r="E63" s="24" t="n">
        <v>0</v>
      </c>
      <c r="F63" s="24" t="n">
        <v>1987.61</v>
      </c>
      <c r="G63" s="24" t="n">
        <v>1987.61</v>
      </c>
      <c r="H63" s="24" t="n">
        <v>0</v>
      </c>
      <c r="I63" s="24" t="n">
        <f aca="false">G63+H63</f>
        <v>1987.61</v>
      </c>
      <c r="J63" s="24" t="n">
        <f aca="false">D63-I63</f>
        <v>0</v>
      </c>
      <c r="K63" s="25" t="s">
        <v>410</v>
      </c>
      <c r="L63" s="25" t="s">
        <v>411</v>
      </c>
    </row>
    <row r="64" customFormat="false" ht="15" hidden="false" customHeight="false" outlineLevel="0" collapsed="false">
      <c r="A64" s="23" t="n">
        <v>9</v>
      </c>
      <c r="B64" s="23" t="s">
        <v>297</v>
      </c>
      <c r="C64" s="23" t="s">
        <v>27</v>
      </c>
      <c r="D64" s="24" t="n">
        <v>5584.62</v>
      </c>
      <c r="E64" s="24" t="n">
        <v>0</v>
      </c>
      <c r="F64" s="24" t="n">
        <v>0</v>
      </c>
      <c r="G64" s="24" t="n">
        <v>193.91</v>
      </c>
      <c r="H64" s="24" t="n">
        <v>186.15</v>
      </c>
      <c r="I64" s="24" t="n">
        <f aca="false">G64+H64</f>
        <v>380.06</v>
      </c>
      <c r="J64" s="24" t="n">
        <f aca="false">D64-I64</f>
        <v>5204.56</v>
      </c>
      <c r="K64" s="25" t="s">
        <v>406</v>
      </c>
      <c r="L64" s="25" t="s">
        <v>407</v>
      </c>
    </row>
    <row r="65" customFormat="false" ht="15" hidden="false" customHeight="false" outlineLevel="0" collapsed="false">
      <c r="A65" s="23" t="n">
        <v>10</v>
      </c>
      <c r="B65" s="23" t="s">
        <v>298</v>
      </c>
      <c r="C65" s="23" t="s">
        <v>29</v>
      </c>
      <c r="D65" s="24" t="n">
        <v>13321.94</v>
      </c>
      <c r="E65" s="24" t="n">
        <v>0</v>
      </c>
      <c r="F65" s="24" t="n">
        <v>10657.55</v>
      </c>
      <c r="G65" s="24" t="n">
        <v>11190.43</v>
      </c>
      <c r="H65" s="24" t="n">
        <v>852.6</v>
      </c>
      <c r="I65" s="24" t="n">
        <f aca="false">G65+H65</f>
        <v>12043.03</v>
      </c>
      <c r="J65" s="24" t="n">
        <f aca="false">D65-I65</f>
        <v>1278.91</v>
      </c>
      <c r="K65" s="25" t="s">
        <v>410</v>
      </c>
      <c r="L65" s="25" t="s">
        <v>411</v>
      </c>
    </row>
    <row r="66" customFormat="false" ht="15" hidden="false" customHeight="false" outlineLevel="0" collapsed="false">
      <c r="A66" s="23" t="n">
        <v>11</v>
      </c>
      <c r="B66" s="23" t="s">
        <v>299</v>
      </c>
      <c r="C66" s="23" t="s">
        <v>29</v>
      </c>
      <c r="D66" s="24" t="n">
        <v>37430.84</v>
      </c>
      <c r="E66" s="24" t="n">
        <v>0</v>
      </c>
      <c r="F66" s="24" t="n">
        <v>0</v>
      </c>
      <c r="G66" s="24" t="n">
        <v>883.78</v>
      </c>
      <c r="H66" s="24" t="n">
        <v>1247.69</v>
      </c>
      <c r="I66" s="24" t="n">
        <f aca="false">G66+H66</f>
        <v>2131.47</v>
      </c>
      <c r="J66" s="24" t="n">
        <f aca="false">D66-I66</f>
        <v>35299.37</v>
      </c>
      <c r="K66" s="25" t="s">
        <v>406</v>
      </c>
      <c r="L66" s="25" t="s">
        <v>407</v>
      </c>
    </row>
    <row r="67" customFormat="false" ht="15" hidden="false" customHeight="false" outlineLevel="0" collapsed="false">
      <c r="A67" s="26"/>
      <c r="B67" s="27" t="s">
        <v>140</v>
      </c>
      <c r="C67" s="26"/>
      <c r="D67" s="28" t="n">
        <f aca="false">SUM(D56:D66)</f>
        <v>380259.12</v>
      </c>
      <c r="E67" s="28" t="n">
        <f aca="false">SUM(E56:E66)</f>
        <v>0</v>
      </c>
      <c r="F67" s="28" t="n">
        <f aca="false">SUM(F56:F66)</f>
        <v>72559.68</v>
      </c>
      <c r="G67" s="28" t="n">
        <f aca="false">SUM(G56:G66)</f>
        <v>91168.43</v>
      </c>
      <c r="H67" s="28" t="n">
        <f aca="false">SUM(H56:H66)</f>
        <v>14499.92</v>
      </c>
      <c r="I67" s="28" t="n">
        <f aca="false">SUM(I56:I66)</f>
        <v>105668.35</v>
      </c>
      <c r="J67" s="28" t="n">
        <f aca="false">SUM(J56:J66)</f>
        <v>274590.77</v>
      </c>
      <c r="K67" s="26"/>
      <c r="L67" s="26"/>
    </row>
    <row r="69" customFormat="false" ht="15" hidden="false" customHeight="false" outlineLevel="0" collapsed="false">
      <c r="B69" s="18" t="s">
        <v>421</v>
      </c>
    </row>
    <row r="70" customFormat="false" ht="15" hidden="false" customHeight="false" outlineLevel="0" collapsed="false">
      <c r="B70" s="5" t="s">
        <v>414</v>
      </c>
      <c r="D70" s="6" t="n">
        <f aca="false">I52</f>
        <v>32887.35</v>
      </c>
    </row>
    <row r="71" customFormat="false" ht="15" hidden="false" customHeight="false" outlineLevel="0" collapsed="false">
      <c r="B71" s="5" t="s">
        <v>415</v>
      </c>
      <c r="D71" s="6" t="n">
        <f aca="false">I67</f>
        <v>105668.35</v>
      </c>
    </row>
    <row r="72" customFormat="false" ht="15" hidden="false" customHeight="false" outlineLevel="0" collapsed="false">
      <c r="B72" s="11" t="s">
        <v>421</v>
      </c>
      <c r="D72" s="29" t="n">
        <f aca="false">D70-D71</f>
        <v>-72781</v>
      </c>
    </row>
    <row r="74" customFormat="false" ht="15" hidden="false" customHeight="false" outlineLevel="0" collapsed="false">
      <c r="A74" s="10" t="s">
        <v>422</v>
      </c>
    </row>
    <row r="75" customFormat="false" ht="15" hidden="false" customHeight="false" outlineLevel="0" collapsed="false">
      <c r="B75" s="11" t="s">
        <v>445</v>
      </c>
      <c r="D75" s="12" t="n">
        <f aca="false">D112</f>
        <v>398758.21</v>
      </c>
    </row>
    <row r="76" customFormat="false" ht="15" hidden="false" customHeight="false" outlineLevel="0" collapsed="false">
      <c r="B76" s="5" t="s">
        <v>446</v>
      </c>
      <c r="D76" s="6" t="n">
        <f aca="false">F112</f>
        <v>104668.73</v>
      </c>
    </row>
    <row r="77" customFormat="false" ht="15" hidden="false" customHeight="false" outlineLevel="0" collapsed="false">
      <c r="B77" s="30" t="s">
        <v>425</v>
      </c>
      <c r="D77" s="31" t="n">
        <f aca="false">F113</f>
        <v>0.262486708424135</v>
      </c>
    </row>
    <row r="78" customFormat="false" ht="15" hidden="false" customHeight="false" outlineLevel="0" collapsed="false">
      <c r="B78" s="5" t="s">
        <v>447</v>
      </c>
      <c r="D78" s="6" t="n">
        <f aca="false">H112</f>
        <v>294089.48</v>
      </c>
    </row>
    <row r="79" customFormat="false" ht="15" hidden="false" customHeight="false" outlineLevel="0" collapsed="false">
      <c r="B79" s="30" t="s">
        <v>425</v>
      </c>
      <c r="D79" s="31" t="n">
        <f aca="false">H113</f>
        <v>0.737513291575865</v>
      </c>
    </row>
    <row r="81" customFormat="false" ht="15" hidden="false" customHeight="false" outlineLevel="0" collapsed="false">
      <c r="A81" s="10" t="s">
        <v>427</v>
      </c>
    </row>
    <row r="82" customFormat="false" ht="15" hidden="false" customHeight="false" outlineLevel="0" collapsed="false">
      <c r="B82" s="4" t="s">
        <v>428</v>
      </c>
      <c r="D82" s="4" t="s">
        <v>397</v>
      </c>
      <c r="F82" s="4" t="s">
        <v>448</v>
      </c>
      <c r="H82" s="4" t="s">
        <v>430</v>
      </c>
    </row>
    <row r="83" customFormat="false" ht="15" hidden="false" customHeight="false" outlineLevel="0" collapsed="false">
      <c r="B83" s="32" t="s">
        <v>449</v>
      </c>
    </row>
    <row r="84" customFormat="false" ht="15" hidden="false" customHeight="false" outlineLevel="0" collapsed="false">
      <c r="B84" s="5" t="s">
        <v>450</v>
      </c>
      <c r="D84" s="33" t="n">
        <f aca="false">SUM(F84:H84)</f>
        <v>31452.73</v>
      </c>
      <c r="F84" s="33" t="n">
        <v>31452.73</v>
      </c>
    </row>
    <row r="85" customFormat="false" ht="15" hidden="false" customHeight="false" outlineLevel="0" collapsed="false">
      <c r="B85" s="5" t="s">
        <v>451</v>
      </c>
      <c r="D85" s="33" t="n">
        <f aca="false">SUM(F85:H85)</f>
        <v>8394.17</v>
      </c>
      <c r="F85" s="33" t="n">
        <v>8394.17</v>
      </c>
    </row>
    <row r="86" customFormat="false" ht="15" hidden="false" customHeight="false" outlineLevel="0" collapsed="false">
      <c r="B86" s="5" t="s">
        <v>452</v>
      </c>
      <c r="D86" s="33" t="n">
        <f aca="false">SUM(F86:H86)</f>
        <v>32815.9</v>
      </c>
      <c r="F86" s="33" t="n">
        <v>32815.9</v>
      </c>
    </row>
    <row r="87" customFormat="false" ht="15" hidden="false" customHeight="false" outlineLevel="0" collapsed="false">
      <c r="B87" s="5" t="s">
        <v>453</v>
      </c>
      <c r="D87" s="33" t="n">
        <f aca="false">SUM(F87:H87)</f>
        <v>2648.72</v>
      </c>
      <c r="F87" s="33" t="n">
        <v>2648.72</v>
      </c>
    </row>
    <row r="88" customFormat="false" ht="15" hidden="false" customHeight="false" outlineLevel="0" collapsed="false">
      <c r="B88" s="5" t="s">
        <v>454</v>
      </c>
      <c r="D88" s="33" t="n">
        <f aca="false">SUM(F88:H88)</f>
        <v>394.4</v>
      </c>
      <c r="F88" s="33" t="n">
        <v>394.4</v>
      </c>
    </row>
    <row r="89" customFormat="false" ht="15" hidden="false" customHeight="false" outlineLevel="0" collapsed="false">
      <c r="B89" s="5" t="s">
        <v>455</v>
      </c>
      <c r="D89" s="33" t="n">
        <f aca="false">SUM(F89:H89)</f>
        <v>5344.3</v>
      </c>
      <c r="F89" s="33" t="n">
        <v>5344.3</v>
      </c>
    </row>
    <row r="90" customFormat="false" ht="15" hidden="false" customHeight="false" outlineLevel="0" collapsed="false">
      <c r="B90" s="5" t="s">
        <v>456</v>
      </c>
      <c r="D90" s="33" t="n">
        <f aca="false">SUM(F90:H90)</f>
        <v>2858.97</v>
      </c>
      <c r="F90" s="33" t="n">
        <v>2858.97</v>
      </c>
    </row>
    <row r="91" customFormat="false" ht="15" hidden="false" customHeight="false" outlineLevel="0" collapsed="false">
      <c r="B91" s="5" t="s">
        <v>457</v>
      </c>
      <c r="D91" s="33" t="n">
        <f aca="false">SUM(F91:H91)</f>
        <v>9687.68</v>
      </c>
      <c r="F91" s="33" t="n">
        <v>9687.68</v>
      </c>
    </row>
    <row r="92" customFormat="false" ht="15" hidden="false" customHeight="false" outlineLevel="0" collapsed="false">
      <c r="B92" s="5" t="s">
        <v>458</v>
      </c>
      <c r="D92" s="33" t="n">
        <f aca="false">SUM(F92:H92)</f>
        <v>2139.23</v>
      </c>
      <c r="F92" s="33" t="n">
        <v>2139.23</v>
      </c>
    </row>
    <row r="93" customFormat="false" ht="15" hidden="false" customHeight="false" outlineLevel="0" collapsed="false">
      <c r="B93" s="5" t="s">
        <v>459</v>
      </c>
      <c r="D93" s="33" t="n">
        <f aca="false">SUM(F93:H93)</f>
        <v>605.69</v>
      </c>
      <c r="F93" s="33" t="n">
        <v>605.69</v>
      </c>
    </row>
    <row r="94" customFormat="false" ht="15" hidden="false" customHeight="false" outlineLevel="0" collapsed="false">
      <c r="B94" s="5" t="s">
        <v>460</v>
      </c>
      <c r="D94" s="33" t="n">
        <f aca="false">SUM(F94:H94)</f>
        <v>8326.94</v>
      </c>
      <c r="F94" s="33" t="n">
        <v>8326.94</v>
      </c>
    </row>
    <row r="95" customFormat="false" ht="15" hidden="false" customHeight="false" outlineLevel="0" collapsed="false">
      <c r="B95" s="32" t="s">
        <v>461</v>
      </c>
    </row>
    <row r="96" customFormat="false" ht="15" hidden="false" customHeight="false" outlineLevel="0" collapsed="false">
      <c r="B96" s="5" t="s">
        <v>462</v>
      </c>
      <c r="D96" s="33" t="n">
        <f aca="false">SUM(F96:H96)</f>
        <v>16256.26</v>
      </c>
      <c r="H96" s="33" t="n">
        <v>16256.26</v>
      </c>
    </row>
    <row r="97" customFormat="false" ht="15" hidden="false" customHeight="false" outlineLevel="0" collapsed="false">
      <c r="B97" s="5" t="s">
        <v>463</v>
      </c>
      <c r="D97" s="33" t="n">
        <f aca="false">SUM(F97:H97)</f>
        <v>21691.79</v>
      </c>
      <c r="H97" s="33" t="n">
        <v>21691.79</v>
      </c>
    </row>
    <row r="98" customFormat="false" ht="15" hidden="false" customHeight="false" outlineLevel="0" collapsed="false">
      <c r="B98" s="5" t="s">
        <v>464</v>
      </c>
      <c r="D98" s="33" t="n">
        <f aca="false">SUM(F98:H98)</f>
        <v>31892.38</v>
      </c>
      <c r="H98" s="33" t="n">
        <v>31892.38</v>
      </c>
    </row>
    <row r="99" customFormat="false" ht="15" hidden="false" customHeight="false" outlineLevel="0" collapsed="false">
      <c r="B99" s="5" t="s">
        <v>465</v>
      </c>
      <c r="D99" s="33" t="n">
        <f aca="false">SUM(F99:H99)</f>
        <v>29436.62</v>
      </c>
      <c r="H99" s="33" t="n">
        <v>29436.62</v>
      </c>
    </row>
    <row r="100" customFormat="false" ht="15" hidden="false" customHeight="false" outlineLevel="0" collapsed="false">
      <c r="B100" s="5" t="s">
        <v>466</v>
      </c>
      <c r="D100" s="33" t="n">
        <f aca="false">SUM(F100:H100)</f>
        <v>27723.88</v>
      </c>
      <c r="H100" s="33" t="n">
        <v>27723.88</v>
      </c>
    </row>
    <row r="101" customFormat="false" ht="15" hidden="false" customHeight="false" outlineLevel="0" collapsed="false">
      <c r="B101" s="5" t="s">
        <v>467</v>
      </c>
      <c r="D101" s="33" t="n">
        <f aca="false">SUM(F101:H101)</f>
        <v>1864.29</v>
      </c>
      <c r="H101" s="33" t="n">
        <v>1864.29</v>
      </c>
    </row>
    <row r="102" customFormat="false" ht="15" hidden="false" customHeight="false" outlineLevel="0" collapsed="false">
      <c r="B102" s="5" t="s">
        <v>468</v>
      </c>
      <c r="D102" s="33" t="n">
        <f aca="false">SUM(F102:H102)</f>
        <v>21222.77</v>
      </c>
      <c r="H102" s="33" t="n">
        <v>21222.77</v>
      </c>
    </row>
    <row r="103" customFormat="false" ht="15" hidden="false" customHeight="false" outlineLevel="0" collapsed="false">
      <c r="B103" s="5" t="s">
        <v>469</v>
      </c>
      <c r="D103" s="33" t="n">
        <f aca="false">SUM(F103:H103)</f>
        <v>16292.68</v>
      </c>
      <c r="H103" s="33" t="n">
        <v>16292.68</v>
      </c>
    </row>
    <row r="104" customFormat="false" ht="15" hidden="false" customHeight="false" outlineLevel="0" collapsed="false">
      <c r="B104" s="5" t="s">
        <v>470</v>
      </c>
      <c r="D104" s="33" t="n">
        <f aca="false">SUM(F104:H104)</f>
        <v>12258.17</v>
      </c>
      <c r="H104" s="33" t="n">
        <v>12258.17</v>
      </c>
    </row>
    <row r="105" customFormat="false" ht="15" hidden="false" customHeight="false" outlineLevel="0" collapsed="false">
      <c r="B105" s="5" t="s">
        <v>471</v>
      </c>
      <c r="D105" s="33" t="n">
        <f aca="false">SUM(F105:H105)</f>
        <v>14614.91</v>
      </c>
      <c r="H105" s="33" t="n">
        <v>14614.91</v>
      </c>
    </row>
    <row r="106" customFormat="false" ht="15" hidden="false" customHeight="false" outlineLevel="0" collapsed="false">
      <c r="B106" s="5" t="s">
        <v>472</v>
      </c>
      <c r="D106" s="33" t="n">
        <f aca="false">SUM(F106:H106)</f>
        <v>38542.73</v>
      </c>
      <c r="H106" s="33" t="n">
        <v>38542.73</v>
      </c>
    </row>
    <row r="107" customFormat="false" ht="15" hidden="false" customHeight="false" outlineLevel="0" collapsed="false">
      <c r="B107" s="5" t="s">
        <v>473</v>
      </c>
      <c r="D107" s="33" t="n">
        <f aca="false">SUM(F107:H107)</f>
        <v>15289.77</v>
      </c>
      <c r="H107" s="33" t="n">
        <v>15289.77</v>
      </c>
    </row>
    <row r="108" customFormat="false" ht="15" hidden="false" customHeight="false" outlineLevel="0" collapsed="false">
      <c r="B108" s="5" t="s">
        <v>474</v>
      </c>
      <c r="D108" s="33" t="n">
        <f aca="false">SUM(F108:H108)</f>
        <v>37866.59</v>
      </c>
      <c r="H108" s="33" t="n">
        <v>37866.59</v>
      </c>
    </row>
    <row r="109" customFormat="false" ht="15" hidden="false" customHeight="false" outlineLevel="0" collapsed="false">
      <c r="B109" s="5" t="s">
        <v>475</v>
      </c>
      <c r="D109" s="33" t="n">
        <f aca="false">SUM(F109:H109)</f>
        <v>3514.89</v>
      </c>
      <c r="H109" s="33" t="n">
        <v>3514.89</v>
      </c>
    </row>
    <row r="110" customFormat="false" ht="15" hidden="false" customHeight="false" outlineLevel="0" collapsed="false">
      <c r="B110" s="5" t="s">
        <v>476</v>
      </c>
      <c r="D110" s="33" t="n">
        <f aca="false">SUM(F110:H110)</f>
        <v>3740.86</v>
      </c>
      <c r="H110" s="33" t="n">
        <v>3740.86</v>
      </c>
    </row>
    <row r="111" customFormat="false" ht="15" hidden="false" customHeight="false" outlineLevel="0" collapsed="false">
      <c r="B111" s="5" t="s">
        <v>477</v>
      </c>
      <c r="D111" s="33" t="n">
        <f aca="false">SUM(F111:H111)</f>
        <v>1880.89</v>
      </c>
      <c r="H111" s="33" t="n">
        <v>1880.89</v>
      </c>
    </row>
    <row r="112" customFormat="false" ht="15" hidden="false" customHeight="false" outlineLevel="0" collapsed="false">
      <c r="B112" s="11" t="s">
        <v>445</v>
      </c>
      <c r="D112" s="34" t="n">
        <f aca="false">SUM(D83:D111)</f>
        <v>398758.21</v>
      </c>
      <c r="F112" s="34" t="n">
        <f aca="false">SUM(F83:F111)</f>
        <v>104668.73</v>
      </c>
      <c r="H112" s="34" t="n">
        <f aca="false">SUM(H83:H111)</f>
        <v>294089.48</v>
      </c>
    </row>
    <row r="113" customFormat="false" ht="15" hidden="false" customHeight="false" outlineLevel="0" collapsed="false">
      <c r="B113" s="30" t="s">
        <v>425</v>
      </c>
      <c r="F113" s="31" t="n">
        <f aca="false">F112/D112</f>
        <v>0.262486708424135</v>
      </c>
      <c r="H113" s="31" t="n">
        <f aca="false">H112/D112</f>
        <v>0.737513291575865</v>
      </c>
    </row>
    <row r="115" customFormat="false" ht="15" hidden="false" customHeight="false" outlineLevel="0" collapsed="false">
      <c r="A115" s="10" t="s">
        <v>440</v>
      </c>
    </row>
    <row r="116" customFormat="false" ht="15" hidden="false" customHeight="false" outlineLevel="0" collapsed="false">
      <c r="B116" s="4" t="s">
        <v>441</v>
      </c>
      <c r="D116" s="4" t="s">
        <v>397</v>
      </c>
      <c r="F116" s="4" t="s">
        <v>448</v>
      </c>
      <c r="H116" s="4" t="s">
        <v>430</v>
      </c>
    </row>
    <row r="117" customFormat="false" ht="15" hidden="false" customHeight="false" outlineLevel="0" collapsed="false">
      <c r="B117" s="5" t="str">
        <f aca="false">'Building 11'!B21</f>
        <v>10-Building-Post Casualty Loss Basis-bldg11-5</v>
      </c>
      <c r="D117" s="33" t="n">
        <f aca="false">SUM(F117:H117)</f>
        <v>16882.61</v>
      </c>
      <c r="F117" s="33" t="n">
        <f aca="false">'Building 11'!D21</f>
        <v>16882.61</v>
      </c>
    </row>
    <row r="118" customFormat="false" ht="15" hidden="false" customHeight="false" outlineLevel="0" collapsed="false">
      <c r="B118" s="5" t="str">
        <f aca="false">'Building 11'!B22</f>
        <v>10-Building-Post Casualty Loss Basis-bldg11-</v>
      </c>
      <c r="D118" s="33" t="n">
        <f aca="false">SUM(F118:H118)</f>
        <v>47435.37</v>
      </c>
      <c r="H118" s="33" t="n">
        <f aca="false">'Building 11'!D22</f>
        <v>47435.37</v>
      </c>
    </row>
    <row r="119" customFormat="false" ht="15" hidden="false" customHeight="false" outlineLevel="0" collapsed="false">
      <c r="B119" s="5" t="str">
        <f aca="false">'Building 11'!B23</f>
        <v>12-New Buildings(16 units)-bldg11-5yr</v>
      </c>
      <c r="D119" s="33" t="n">
        <f aca="false">SUM(F119:H119)</f>
        <v>9054.67</v>
      </c>
      <c r="F119" s="33" t="n">
        <f aca="false">'Building 11'!D23</f>
        <v>9054.67</v>
      </c>
    </row>
    <row r="120" customFormat="false" ht="15" hidden="false" customHeight="false" outlineLevel="0" collapsed="false">
      <c r="B120" s="5" t="str">
        <f aca="false">'Building 11'!B24</f>
        <v>12-New Buildings(16 units)-bldg11-30yr</v>
      </c>
      <c r="D120" s="33" t="n">
        <f aca="false">SUM(F120:H120)</f>
        <v>25441.07</v>
      </c>
      <c r="H120" s="33" t="n">
        <f aca="false">'Building 11'!D24</f>
        <v>25441.07</v>
      </c>
    </row>
    <row r="121" customFormat="false" ht="15" hidden="false" customHeight="false" outlineLevel="0" collapsed="false">
      <c r="B121" s="5" t="str">
        <f aca="false">'Building 11'!B25</f>
        <v>14-New Buildings(105 units)-bldg11-5yr</v>
      </c>
      <c r="D121" s="33" t="n">
        <f aca="false">SUM(F121:H121)</f>
        <v>60688.77</v>
      </c>
      <c r="F121" s="33" t="n">
        <f aca="false">'Building 11'!D25</f>
        <v>60688.77</v>
      </c>
    </row>
    <row r="122" customFormat="false" ht="15" hidden="false" customHeight="false" outlineLevel="0" collapsed="false">
      <c r="B122" s="5" t="str">
        <f aca="false">'Building 11'!B26</f>
        <v>14-New Buildings(105 units)-bldg11-30yr</v>
      </c>
      <c r="D122" s="33" t="n">
        <f aca="false">SUM(F122:H122)</f>
        <v>170518.26</v>
      </c>
      <c r="H122" s="33" t="n">
        <f aca="false">'Building 11'!D26</f>
        <v>170518.26</v>
      </c>
    </row>
    <row r="123" customFormat="false" ht="15" hidden="false" customHeight="false" outlineLevel="0" collapsed="false">
      <c r="B123" s="5" t="str">
        <f aca="false">'Building 11'!B27</f>
        <v>11-Building Imp-Post-Casulty Loss Basis-bld11</v>
      </c>
      <c r="D123" s="33" t="n">
        <f aca="false">SUM(F123:H123)</f>
        <v>424.3</v>
      </c>
      <c r="F123" s="33" t="n">
        <f aca="false">'Building 11'!D27</f>
        <v>424.3</v>
      </c>
    </row>
    <row r="124" customFormat="false" ht="15" hidden="false" customHeight="false" outlineLevel="0" collapsed="false">
      <c r="B124" s="5" t="str">
        <f aca="false">'Building 11'!B28</f>
        <v>11-Building Imp-Post-Casulty Loss Basis-bld11</v>
      </c>
      <c r="D124" s="33" t="n">
        <f aca="false">SUM(F124:H124)</f>
        <v>1192.18</v>
      </c>
      <c r="H124" s="33" t="n">
        <f aca="false">'Building 11'!D28</f>
        <v>1192.18</v>
      </c>
    </row>
    <row r="125" customFormat="false" ht="15" hidden="false" customHeight="false" outlineLevel="0" collapsed="false">
      <c r="B125" s="5" t="str">
        <f aca="false">'Building 11'!B29</f>
        <v>2-Land Improvements-bldg11-5yr</v>
      </c>
      <c r="D125" s="33" t="n">
        <f aca="false">SUM(F125:H125)</f>
        <v>2308.83</v>
      </c>
      <c r="F125" s="33" t="n">
        <f aca="false">'Building 11'!D29</f>
        <v>2308.83</v>
      </c>
    </row>
    <row r="126" customFormat="false" ht="15" hidden="false" customHeight="false" outlineLevel="0" collapsed="false">
      <c r="B126" s="5" t="str">
        <f aca="false">'Building 11'!B30</f>
        <v>2-Land Improvements-bldg11-30yr</v>
      </c>
      <c r="D126" s="33" t="n">
        <f aca="false">SUM(F126:H126)</f>
        <v>6487.14</v>
      </c>
      <c r="H126" s="33" t="n">
        <f aca="false">'Building 11'!D30</f>
        <v>6487.14</v>
      </c>
    </row>
    <row r="127" customFormat="false" ht="15" hidden="false" customHeight="false" outlineLevel="0" collapsed="false">
      <c r="B127" s="5" t="str">
        <f aca="false">'Building 11'!B31</f>
        <v>13-New Equipment(16 units)-bldg11-5yr</v>
      </c>
      <c r="D127" s="33" t="n">
        <f aca="false">SUM(F127:H127)</f>
        <v>1987.61</v>
      </c>
      <c r="F127" s="33" t="n">
        <f aca="false">'Building 11'!D31</f>
        <v>1987.61</v>
      </c>
    </row>
    <row r="128" customFormat="false" ht="15" hidden="false" customHeight="false" outlineLevel="0" collapsed="false">
      <c r="B128" s="5" t="str">
        <f aca="false">'Building 11'!B32</f>
        <v>13-New Equipment(16 units)-bldg11-30yr</v>
      </c>
      <c r="D128" s="33" t="n">
        <f aca="false">SUM(F128:H128)</f>
        <v>5584.62</v>
      </c>
      <c r="H128" s="33" t="n">
        <f aca="false">'Building 11'!D32</f>
        <v>5584.62</v>
      </c>
    </row>
    <row r="129" customFormat="false" ht="15" hidden="false" customHeight="false" outlineLevel="0" collapsed="false">
      <c r="B129" s="5" t="str">
        <f aca="false">'Building 11'!B33</f>
        <v>15-New Equipment(105 units)-bldg11-5yr</v>
      </c>
      <c r="D129" s="33" t="n">
        <f aca="false">SUM(F129:H129)</f>
        <v>13321.94</v>
      </c>
      <c r="F129" s="33" t="n">
        <f aca="false">'Building 11'!D33</f>
        <v>13321.94</v>
      </c>
    </row>
    <row r="130" customFormat="false" ht="15" hidden="false" customHeight="false" outlineLevel="0" collapsed="false">
      <c r="B130" s="5" t="str">
        <f aca="false">'Building 11'!B34</f>
        <v>15-New Equipment(105 units)-bldg11-30yr</v>
      </c>
      <c r="D130" s="33" t="n">
        <f aca="false">SUM(F130:H130)</f>
        <v>37430.84</v>
      </c>
      <c r="H130" s="33" t="n">
        <f aca="false">'Building 11'!D34</f>
        <v>37430.84</v>
      </c>
    </row>
    <row r="131" customFormat="false" ht="15" hidden="false" customHeight="false" outlineLevel="0" collapsed="false">
      <c r="B131" s="11" t="s">
        <v>442</v>
      </c>
      <c r="D131" s="34" t="n">
        <f aca="false">SUM(D117:D130)</f>
        <v>398758.21</v>
      </c>
      <c r="F131" s="34" t="n">
        <f aca="false">SUM(F117:F130)</f>
        <v>104668.73</v>
      </c>
      <c r="H131" s="34" t="n">
        <f aca="false">SUM(H117:H130)</f>
        <v>294089.48</v>
      </c>
    </row>
    <row r="132" customFormat="false" ht="15" hidden="false" customHeight="false" outlineLevel="0" collapsed="false">
      <c r="B132" s="16" t="s">
        <v>443</v>
      </c>
      <c r="D132" s="17" t="n">
        <f aca="false">D131-D112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493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103</v>
      </c>
      <c r="C10" s="23" t="s">
        <v>25</v>
      </c>
      <c r="D10" s="24" t="n">
        <v>72325.23</v>
      </c>
      <c r="E10" s="24" t="n">
        <v>0</v>
      </c>
      <c r="F10" s="24" t="n">
        <v>0</v>
      </c>
      <c r="G10" s="24" t="n">
        <v>7469.39</v>
      </c>
      <c r="H10" s="24" t="n">
        <v>2633.73</v>
      </c>
      <c r="I10" s="24" t="n">
        <f aca="false">G10+H10</f>
        <v>10103.12</v>
      </c>
      <c r="J10" s="24" t="n">
        <f aca="false">D10-I10</f>
        <v>62222.11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104</v>
      </c>
      <c r="C11" s="23" t="s">
        <v>27</v>
      </c>
      <c r="D11" s="24" t="n">
        <v>38790.29</v>
      </c>
      <c r="E11" s="24" t="n">
        <v>0</v>
      </c>
      <c r="F11" s="24" t="n">
        <v>0</v>
      </c>
      <c r="G11" s="24" t="n">
        <v>1346.91</v>
      </c>
      <c r="H11" s="24" t="n">
        <v>1293</v>
      </c>
      <c r="I11" s="24" t="n">
        <f aca="false">G11+H11</f>
        <v>2639.91</v>
      </c>
      <c r="J11" s="24" t="n">
        <f aca="false">D11-I11</f>
        <v>36150.38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105</v>
      </c>
      <c r="C12" s="23" t="s">
        <v>29</v>
      </c>
      <c r="D12" s="24" t="n">
        <v>259991.11</v>
      </c>
      <c r="E12" s="24" t="n">
        <v>0</v>
      </c>
      <c r="F12" s="24" t="n">
        <v>0</v>
      </c>
      <c r="G12" s="24" t="n">
        <v>6138.68</v>
      </c>
      <c r="H12" s="24" t="n">
        <v>8666.38</v>
      </c>
      <c r="I12" s="24" t="n">
        <f aca="false">G12+H12</f>
        <v>14805.06</v>
      </c>
      <c r="J12" s="24" t="n">
        <f aca="false">D12-I12</f>
        <v>245186.05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1817.72</v>
      </c>
      <c r="E13" s="24" t="n">
        <v>0</v>
      </c>
      <c r="F13" s="24" t="n">
        <v>0</v>
      </c>
      <c r="G13" s="24" t="n">
        <v>136.87</v>
      </c>
      <c r="H13" s="24" t="n">
        <v>62.93</v>
      </c>
      <c r="I13" s="24" t="n">
        <f aca="false">G13+H13</f>
        <v>199.8</v>
      </c>
      <c r="J13" s="24" t="n">
        <f aca="false">D13-I13</f>
        <v>1617.92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106</v>
      </c>
      <c r="C14" s="23" t="s">
        <v>25</v>
      </c>
      <c r="D14" s="24" t="n">
        <v>9891.01</v>
      </c>
      <c r="E14" s="24" t="n">
        <v>0</v>
      </c>
      <c r="F14" s="24" t="n">
        <v>2537.66</v>
      </c>
      <c r="G14" s="24" t="n">
        <v>2537.66</v>
      </c>
      <c r="H14" s="24" t="n">
        <v>760.68</v>
      </c>
      <c r="I14" s="24" t="n">
        <f aca="false">G14+H14</f>
        <v>3298.34</v>
      </c>
      <c r="J14" s="24" t="n">
        <f aca="false">D14-I14</f>
        <v>6592.67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107</v>
      </c>
      <c r="C15" s="23" t="s">
        <v>27</v>
      </c>
      <c r="D15" s="24" t="n">
        <v>8514.93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8514.93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108</v>
      </c>
      <c r="C16" s="23" t="s">
        <v>29</v>
      </c>
      <c r="D16" s="24" t="n">
        <v>57071.24</v>
      </c>
      <c r="E16" s="24" t="n">
        <v>0</v>
      </c>
      <c r="F16" s="24" t="n">
        <v>0</v>
      </c>
      <c r="G16" s="24" t="n">
        <v>2282.85</v>
      </c>
      <c r="H16" s="24" t="n">
        <v>3652.56</v>
      </c>
      <c r="I16" s="24" t="n">
        <f aca="false">G16+H16</f>
        <v>5935.41</v>
      </c>
      <c r="J16" s="24" t="n">
        <f aca="false">D16-I16</f>
        <v>51135.83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448401.53</v>
      </c>
      <c r="E17" s="28" t="n">
        <f aca="false">SUM(E10:E16)</f>
        <v>0</v>
      </c>
      <c r="F17" s="28" t="n">
        <f aca="false">SUM(F10:F16)</f>
        <v>2537.66</v>
      </c>
      <c r="G17" s="28" t="n">
        <f aca="false">SUM(G10:G16)</f>
        <v>19912.36</v>
      </c>
      <c r="H17" s="28" t="n">
        <f aca="false">SUM(H10:H16)</f>
        <v>17069.28</v>
      </c>
      <c r="I17" s="28" t="n">
        <f aca="false">SUM(I10:I16)</f>
        <v>36981.64</v>
      </c>
      <c r="J17" s="28" t="n">
        <f aca="false">SUM(J10:J16)</f>
        <v>411419.89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300</v>
      </c>
      <c r="C21" s="23" t="s">
        <v>25</v>
      </c>
      <c r="D21" s="24" t="n">
        <v>18042.22</v>
      </c>
      <c r="E21" s="24" t="n">
        <v>0</v>
      </c>
      <c r="F21" s="24" t="n">
        <v>18042.22</v>
      </c>
      <c r="G21" s="24" t="n">
        <v>18042.22</v>
      </c>
      <c r="H21" s="24" t="n">
        <v>0</v>
      </c>
      <c r="I21" s="24" t="n">
        <f aca="false">G21+H21</f>
        <v>18042.22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301</v>
      </c>
      <c r="C22" s="23" t="s">
        <v>25</v>
      </c>
      <c r="D22" s="24" t="n">
        <v>54283.01</v>
      </c>
      <c r="E22" s="24" t="n">
        <v>0</v>
      </c>
      <c r="F22" s="24" t="n">
        <v>0</v>
      </c>
      <c r="G22" s="24" t="n">
        <v>9725.69</v>
      </c>
      <c r="H22" s="24" t="n">
        <v>1809.43</v>
      </c>
      <c r="I22" s="24" t="n">
        <f aca="false">G22+H22</f>
        <v>11535.12</v>
      </c>
      <c r="J22" s="24" t="n">
        <f aca="false">D22-I22</f>
        <v>42747.89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302</v>
      </c>
      <c r="C23" s="23" t="s">
        <v>27</v>
      </c>
      <c r="D23" s="24" t="n">
        <v>9676.61</v>
      </c>
      <c r="E23" s="24" t="n">
        <v>0</v>
      </c>
      <c r="F23" s="24" t="n">
        <v>9676.61</v>
      </c>
      <c r="G23" s="24" t="n">
        <v>9676.61</v>
      </c>
      <c r="H23" s="24" t="n">
        <v>0</v>
      </c>
      <c r="I23" s="24" t="n">
        <f aca="false">G23+H23</f>
        <v>9676.61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303</v>
      </c>
      <c r="C24" s="23" t="s">
        <v>27</v>
      </c>
      <c r="D24" s="24" t="n">
        <v>29113.68</v>
      </c>
      <c r="E24" s="24" t="n">
        <v>0</v>
      </c>
      <c r="F24" s="24" t="n">
        <v>0</v>
      </c>
      <c r="G24" s="24" t="n">
        <v>1010.9</v>
      </c>
      <c r="H24" s="24" t="n">
        <v>970.46</v>
      </c>
      <c r="I24" s="24" t="n">
        <f aca="false">G24+H24</f>
        <v>1981.36</v>
      </c>
      <c r="J24" s="24" t="n">
        <f aca="false">D24-I24</f>
        <v>27132.32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304</v>
      </c>
      <c r="C25" s="23" t="s">
        <v>29</v>
      </c>
      <c r="D25" s="24" t="n">
        <v>64857.26</v>
      </c>
      <c r="E25" s="24" t="n">
        <v>0</v>
      </c>
      <c r="F25" s="24" t="n">
        <v>51885.81</v>
      </c>
      <c r="G25" s="24" t="n">
        <v>54480.1</v>
      </c>
      <c r="H25" s="24" t="n">
        <v>4150.86</v>
      </c>
      <c r="I25" s="24" t="n">
        <f aca="false">G25+H25</f>
        <v>58630.96</v>
      </c>
      <c r="J25" s="24" t="n">
        <f aca="false">D25-I25</f>
        <v>6226.3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305</v>
      </c>
      <c r="C26" s="23" t="s">
        <v>29</v>
      </c>
      <c r="D26" s="24" t="n">
        <v>195133.85</v>
      </c>
      <c r="E26" s="24" t="n">
        <v>0</v>
      </c>
      <c r="F26" s="24" t="n">
        <v>0</v>
      </c>
      <c r="G26" s="24" t="n">
        <v>4607.33</v>
      </c>
      <c r="H26" s="24" t="n">
        <v>6504.46</v>
      </c>
      <c r="I26" s="24" t="n">
        <f aca="false">G26+H26</f>
        <v>11111.79</v>
      </c>
      <c r="J26" s="24" t="n">
        <f aca="false">D26-I26</f>
        <v>184022.06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306</v>
      </c>
      <c r="C27" s="23" t="s">
        <v>31</v>
      </c>
      <c r="D27" s="24" t="n">
        <v>453.45</v>
      </c>
      <c r="E27" s="24" t="n">
        <v>0</v>
      </c>
      <c r="F27" s="24" t="n">
        <v>453.45</v>
      </c>
      <c r="G27" s="24" t="n">
        <v>453.45</v>
      </c>
      <c r="H27" s="24" t="n">
        <v>0</v>
      </c>
      <c r="I27" s="24" t="n">
        <f aca="false">G27+H27</f>
        <v>453.45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306</v>
      </c>
      <c r="C28" s="23" t="s">
        <v>31</v>
      </c>
      <c r="D28" s="24" t="n">
        <v>1364.27</v>
      </c>
      <c r="E28" s="24" t="n">
        <v>0</v>
      </c>
      <c r="F28" s="24" t="n">
        <v>0</v>
      </c>
      <c r="G28" s="24" t="n">
        <v>149.7</v>
      </c>
      <c r="H28" s="24" t="n">
        <v>45.48</v>
      </c>
      <c r="I28" s="24" t="n">
        <f aca="false">G28+H28</f>
        <v>195.18</v>
      </c>
      <c r="J28" s="24" t="n">
        <f aca="false">D28-I28</f>
        <v>1169.09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307</v>
      </c>
      <c r="C29" s="23" t="s">
        <v>25</v>
      </c>
      <c r="D29" s="24" t="n">
        <v>2467.41</v>
      </c>
      <c r="E29" s="24" t="n">
        <v>0</v>
      </c>
      <c r="F29" s="24" t="n">
        <v>2467.41</v>
      </c>
      <c r="G29" s="24" t="n">
        <v>2467.41</v>
      </c>
      <c r="H29" s="24" t="n">
        <v>0</v>
      </c>
      <c r="I29" s="24" t="n">
        <f aca="false">G29+H29</f>
        <v>2467.41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308</v>
      </c>
      <c r="C30" s="23" t="s">
        <v>25</v>
      </c>
      <c r="D30" s="24" t="n">
        <v>7423.6</v>
      </c>
      <c r="E30" s="24" t="n">
        <v>0</v>
      </c>
      <c r="F30" s="24" t="n">
        <v>0</v>
      </c>
      <c r="G30" s="24" t="n">
        <v>1330.05</v>
      </c>
      <c r="H30" s="24" t="n">
        <v>247.45</v>
      </c>
      <c r="I30" s="24" t="n">
        <f aca="false">G30+H30</f>
        <v>1577.5</v>
      </c>
      <c r="J30" s="24" t="n">
        <f aca="false">D30-I30</f>
        <v>5846.1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309</v>
      </c>
      <c r="C31" s="23" t="s">
        <v>27</v>
      </c>
      <c r="D31" s="24" t="n">
        <v>2124.13</v>
      </c>
      <c r="E31" s="24" t="n">
        <v>0</v>
      </c>
      <c r="F31" s="24" t="n">
        <v>2124.13</v>
      </c>
      <c r="G31" s="24" t="n">
        <v>2124.13</v>
      </c>
      <c r="H31" s="24" t="n">
        <v>0</v>
      </c>
      <c r="I31" s="24" t="n">
        <f aca="false">G31+H31</f>
        <v>2124.13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310</v>
      </c>
      <c r="C32" s="23" t="s">
        <v>27</v>
      </c>
      <c r="D32" s="24" t="n">
        <v>6390.8</v>
      </c>
      <c r="E32" s="24" t="n">
        <v>0</v>
      </c>
      <c r="F32" s="24" t="n">
        <v>0</v>
      </c>
      <c r="G32" s="24" t="n">
        <v>221.91</v>
      </c>
      <c r="H32" s="24" t="n">
        <v>213.03</v>
      </c>
      <c r="I32" s="24" t="n">
        <f aca="false">G32+H32</f>
        <v>434.94</v>
      </c>
      <c r="J32" s="24" t="n">
        <f aca="false">D32-I32</f>
        <v>5955.86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311</v>
      </c>
      <c r="C33" s="23" t="s">
        <v>29</v>
      </c>
      <c r="D33" s="24" t="n">
        <v>14236.95</v>
      </c>
      <c r="E33" s="24" t="n">
        <v>0</v>
      </c>
      <c r="F33" s="24" t="n">
        <v>11389.56</v>
      </c>
      <c r="G33" s="24" t="n">
        <v>11959.04</v>
      </c>
      <c r="H33" s="24" t="n">
        <v>911.16</v>
      </c>
      <c r="I33" s="24" t="n">
        <f aca="false">G33+H33</f>
        <v>12870.2</v>
      </c>
      <c r="J33" s="24" t="n">
        <f aca="false">D33-I33</f>
        <v>1366.75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312</v>
      </c>
      <c r="C34" s="23" t="s">
        <v>29</v>
      </c>
      <c r="D34" s="24" t="n">
        <v>42834.29</v>
      </c>
      <c r="E34" s="24" t="n">
        <v>0</v>
      </c>
      <c r="F34" s="24" t="n">
        <v>0</v>
      </c>
      <c r="G34" s="24" t="n">
        <v>1011.37</v>
      </c>
      <c r="H34" s="24" t="n">
        <v>1427.81</v>
      </c>
      <c r="I34" s="24" t="n">
        <f aca="false">G34+H34</f>
        <v>2439.18</v>
      </c>
      <c r="J34" s="24" t="n">
        <f aca="false">D34-I34</f>
        <v>40395.11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448401.53</v>
      </c>
      <c r="E35" s="28" t="n">
        <f aca="false">SUM(E21:E34)</f>
        <v>0</v>
      </c>
      <c r="F35" s="28" t="n">
        <f aca="false">SUM(F21:F34)</f>
        <v>96039.19</v>
      </c>
      <c r="G35" s="28" t="n">
        <f aca="false">SUM(G21:G34)</f>
        <v>117259.91</v>
      </c>
      <c r="H35" s="28" t="n">
        <f aca="false">SUM(H21:H34)</f>
        <v>16280.14</v>
      </c>
      <c r="I35" s="28" t="n">
        <f aca="false">SUM(I21:I34)</f>
        <v>133540.05</v>
      </c>
      <c r="J35" s="28" t="n">
        <f aca="false">SUM(J21:J34)</f>
        <v>314861.48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36981.64</v>
      </c>
    </row>
    <row r="39" customFormat="false" ht="15" hidden="false" customHeight="false" outlineLevel="0" collapsed="false">
      <c r="B39" s="5" t="s">
        <v>415</v>
      </c>
      <c r="D39" s="6" t="n">
        <f aca="false">I35</f>
        <v>133540.05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-96558.41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103</v>
      </c>
      <c r="C45" s="23" t="s">
        <v>25</v>
      </c>
      <c r="D45" s="24" t="n">
        <v>72325.23</v>
      </c>
      <c r="E45" s="24" t="n">
        <v>0</v>
      </c>
      <c r="F45" s="24" t="n">
        <v>0</v>
      </c>
      <c r="G45" s="24" t="n">
        <v>7469.39</v>
      </c>
      <c r="H45" s="24" t="n">
        <v>2633.73</v>
      </c>
      <c r="I45" s="24" t="n">
        <f aca="false">G45+H45</f>
        <v>10103.12</v>
      </c>
      <c r="J45" s="24" t="n">
        <f aca="false">D45-I45</f>
        <v>62222.11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104</v>
      </c>
      <c r="C46" s="23" t="s">
        <v>27</v>
      </c>
      <c r="D46" s="24" t="n">
        <v>38790.29</v>
      </c>
      <c r="E46" s="24" t="n">
        <v>0</v>
      </c>
      <c r="F46" s="24" t="n">
        <v>0</v>
      </c>
      <c r="G46" s="24" t="n">
        <v>1346.91</v>
      </c>
      <c r="H46" s="24" t="n">
        <v>1293</v>
      </c>
      <c r="I46" s="24" t="n">
        <f aca="false">G46+H46</f>
        <v>2639.91</v>
      </c>
      <c r="J46" s="24" t="n">
        <f aca="false">D46-I46</f>
        <v>36150.38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105</v>
      </c>
      <c r="C47" s="23" t="s">
        <v>29</v>
      </c>
      <c r="D47" s="24" t="n">
        <v>259991.11</v>
      </c>
      <c r="E47" s="24" t="n">
        <v>0</v>
      </c>
      <c r="F47" s="24" t="n">
        <v>0</v>
      </c>
      <c r="G47" s="24" t="n">
        <v>6138.68</v>
      </c>
      <c r="H47" s="24" t="n">
        <v>8666.38</v>
      </c>
      <c r="I47" s="24" t="n">
        <f aca="false">G47+H47</f>
        <v>14805.06</v>
      </c>
      <c r="J47" s="24" t="n">
        <f aca="false">D47-I47</f>
        <v>245186.05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1817.72</v>
      </c>
      <c r="E48" s="24" t="n">
        <v>0</v>
      </c>
      <c r="F48" s="24" t="n">
        <v>0</v>
      </c>
      <c r="G48" s="24" t="n">
        <v>136.87</v>
      </c>
      <c r="H48" s="24" t="n">
        <v>62.93</v>
      </c>
      <c r="I48" s="24" t="n">
        <f aca="false">G48+H48</f>
        <v>199.8</v>
      </c>
      <c r="J48" s="24" t="n">
        <f aca="false">D48-I48</f>
        <v>1617.92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106</v>
      </c>
      <c r="C49" s="23" t="s">
        <v>25</v>
      </c>
      <c r="D49" s="24" t="n">
        <v>9891.01</v>
      </c>
      <c r="E49" s="24" t="n">
        <v>0</v>
      </c>
      <c r="F49" s="24" t="n">
        <v>2537.66</v>
      </c>
      <c r="G49" s="24" t="n">
        <v>2537.66</v>
      </c>
      <c r="H49" s="24" t="n">
        <v>760.68</v>
      </c>
      <c r="I49" s="24" t="n">
        <f aca="false">G49+H49</f>
        <v>3298.34</v>
      </c>
      <c r="J49" s="24" t="n">
        <f aca="false">D49-I49</f>
        <v>6592.67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107</v>
      </c>
      <c r="C50" s="23" t="s">
        <v>27</v>
      </c>
      <c r="D50" s="24" t="n">
        <v>8514.93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8514.93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108</v>
      </c>
      <c r="C51" s="23" t="s">
        <v>29</v>
      </c>
      <c r="D51" s="24" t="n">
        <v>57071.24</v>
      </c>
      <c r="E51" s="24" t="n">
        <v>0</v>
      </c>
      <c r="F51" s="24" t="n">
        <v>0</v>
      </c>
      <c r="G51" s="24" t="n">
        <v>2282.85</v>
      </c>
      <c r="H51" s="24" t="n">
        <v>3652.56</v>
      </c>
      <c r="I51" s="24" t="n">
        <f aca="false">G51+H51</f>
        <v>5935.41</v>
      </c>
      <c r="J51" s="24" t="n">
        <f aca="false">D51-I51</f>
        <v>51135.83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448401.53</v>
      </c>
      <c r="E52" s="28" t="n">
        <f aca="false">SUM(E45:E51)</f>
        <v>0</v>
      </c>
      <c r="F52" s="28" t="n">
        <f aca="false">SUM(F45:F51)</f>
        <v>2537.66</v>
      </c>
      <c r="G52" s="28" t="n">
        <f aca="false">SUM(G45:G51)</f>
        <v>19912.36</v>
      </c>
      <c r="H52" s="28" t="n">
        <f aca="false">SUM(H45:H51)</f>
        <v>17069.28</v>
      </c>
      <c r="I52" s="28" t="n">
        <f aca="false">SUM(I45:I51)</f>
        <v>36981.64</v>
      </c>
      <c r="J52" s="28" t="n">
        <f aca="false">SUM(J45:J51)</f>
        <v>411419.89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302</v>
      </c>
      <c r="C56" s="23" t="s">
        <v>27</v>
      </c>
      <c r="D56" s="24" t="n">
        <v>9676.61</v>
      </c>
      <c r="E56" s="24" t="n">
        <v>0</v>
      </c>
      <c r="F56" s="24" t="n">
        <v>9676.61</v>
      </c>
      <c r="G56" s="24" t="n">
        <v>9676.61</v>
      </c>
      <c r="H56" s="24" t="n">
        <v>0</v>
      </c>
      <c r="I56" s="24" t="n">
        <f aca="false">G56+H56</f>
        <v>9676.61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303</v>
      </c>
      <c r="C57" s="23" t="s">
        <v>27</v>
      </c>
      <c r="D57" s="24" t="n">
        <v>29113.68</v>
      </c>
      <c r="E57" s="24" t="n">
        <v>0</v>
      </c>
      <c r="F57" s="24" t="n">
        <v>0</v>
      </c>
      <c r="G57" s="24" t="n">
        <v>1010.9</v>
      </c>
      <c r="H57" s="24" t="n">
        <v>970.46</v>
      </c>
      <c r="I57" s="24" t="n">
        <f aca="false">G57+H57</f>
        <v>1981.36</v>
      </c>
      <c r="J57" s="24" t="n">
        <f aca="false">D57-I57</f>
        <v>27132.32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304</v>
      </c>
      <c r="C58" s="23" t="s">
        <v>29</v>
      </c>
      <c r="D58" s="24" t="n">
        <v>64857.26</v>
      </c>
      <c r="E58" s="24" t="n">
        <v>0</v>
      </c>
      <c r="F58" s="24" t="n">
        <v>51885.81</v>
      </c>
      <c r="G58" s="24" t="n">
        <v>54480.1</v>
      </c>
      <c r="H58" s="24" t="n">
        <v>4150.86</v>
      </c>
      <c r="I58" s="24" t="n">
        <f aca="false">G58+H58</f>
        <v>58630.96</v>
      </c>
      <c r="J58" s="24" t="n">
        <f aca="false">D58-I58</f>
        <v>6226.3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305</v>
      </c>
      <c r="C59" s="23" t="s">
        <v>29</v>
      </c>
      <c r="D59" s="24" t="n">
        <v>195133.85</v>
      </c>
      <c r="E59" s="24" t="n">
        <v>0</v>
      </c>
      <c r="F59" s="24" t="n">
        <v>0</v>
      </c>
      <c r="G59" s="24" t="n">
        <v>4607.33</v>
      </c>
      <c r="H59" s="24" t="n">
        <v>6504.46</v>
      </c>
      <c r="I59" s="24" t="n">
        <f aca="false">G59+H59</f>
        <v>11111.79</v>
      </c>
      <c r="J59" s="24" t="n">
        <f aca="false">D59-I59</f>
        <v>184022.06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307</v>
      </c>
      <c r="C60" s="23" t="s">
        <v>25</v>
      </c>
      <c r="D60" s="24" t="n">
        <v>2467.41</v>
      </c>
      <c r="E60" s="24" t="n">
        <v>0</v>
      </c>
      <c r="F60" s="24" t="n">
        <v>2467.41</v>
      </c>
      <c r="G60" s="24" t="n">
        <v>2467.41</v>
      </c>
      <c r="H60" s="24" t="n">
        <v>0</v>
      </c>
      <c r="I60" s="24" t="n">
        <f aca="false">G60+H60</f>
        <v>2467.41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308</v>
      </c>
      <c r="C61" s="23" t="s">
        <v>25</v>
      </c>
      <c r="D61" s="24" t="n">
        <v>7423.6</v>
      </c>
      <c r="E61" s="24" t="n">
        <v>0</v>
      </c>
      <c r="F61" s="24" t="n">
        <v>0</v>
      </c>
      <c r="G61" s="24" t="n">
        <v>1330.05</v>
      </c>
      <c r="H61" s="24" t="n">
        <v>247.45</v>
      </c>
      <c r="I61" s="24" t="n">
        <f aca="false">G61+H61</f>
        <v>1577.5</v>
      </c>
      <c r="J61" s="24" t="n">
        <f aca="false">D61-I61</f>
        <v>5846.1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309</v>
      </c>
      <c r="C62" s="23" t="s">
        <v>27</v>
      </c>
      <c r="D62" s="24" t="n">
        <v>2124.13</v>
      </c>
      <c r="E62" s="24" t="n">
        <v>0</v>
      </c>
      <c r="F62" s="24" t="n">
        <v>2124.13</v>
      </c>
      <c r="G62" s="24" t="n">
        <v>2124.13</v>
      </c>
      <c r="H62" s="24" t="n">
        <v>0</v>
      </c>
      <c r="I62" s="24" t="n">
        <f aca="false">G62+H62</f>
        <v>2124.13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310</v>
      </c>
      <c r="C63" s="23" t="s">
        <v>27</v>
      </c>
      <c r="D63" s="24" t="n">
        <v>6390.8</v>
      </c>
      <c r="E63" s="24" t="n">
        <v>0</v>
      </c>
      <c r="F63" s="24" t="n">
        <v>0</v>
      </c>
      <c r="G63" s="24" t="n">
        <v>221.91</v>
      </c>
      <c r="H63" s="24" t="n">
        <v>213.03</v>
      </c>
      <c r="I63" s="24" t="n">
        <f aca="false">G63+H63</f>
        <v>434.94</v>
      </c>
      <c r="J63" s="24" t="n">
        <f aca="false">D63-I63</f>
        <v>5955.86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311</v>
      </c>
      <c r="C64" s="23" t="s">
        <v>29</v>
      </c>
      <c r="D64" s="24" t="n">
        <v>14236.95</v>
      </c>
      <c r="E64" s="24" t="n">
        <v>0</v>
      </c>
      <c r="F64" s="24" t="n">
        <v>11389.56</v>
      </c>
      <c r="G64" s="24" t="n">
        <v>11959.04</v>
      </c>
      <c r="H64" s="24" t="n">
        <v>911.16</v>
      </c>
      <c r="I64" s="24" t="n">
        <f aca="false">G64+H64</f>
        <v>12870.2</v>
      </c>
      <c r="J64" s="24" t="n">
        <f aca="false">D64-I64</f>
        <v>1366.75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312</v>
      </c>
      <c r="C65" s="23" t="s">
        <v>29</v>
      </c>
      <c r="D65" s="24" t="n">
        <v>42834.29</v>
      </c>
      <c r="E65" s="24" t="n">
        <v>0</v>
      </c>
      <c r="F65" s="24" t="n">
        <v>0</v>
      </c>
      <c r="G65" s="24" t="n">
        <v>1011.37</v>
      </c>
      <c r="H65" s="24" t="n">
        <v>1427.81</v>
      </c>
      <c r="I65" s="24" t="n">
        <f aca="false">G65+H65</f>
        <v>2439.18</v>
      </c>
      <c r="J65" s="24" t="n">
        <f aca="false">D65-I65</f>
        <v>40395.11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374258.58</v>
      </c>
      <c r="E66" s="28" t="n">
        <f aca="false">SUM(E56:E65)</f>
        <v>0</v>
      </c>
      <c r="F66" s="28" t="n">
        <f aca="false">SUM(F56:F65)</f>
        <v>77543.52</v>
      </c>
      <c r="G66" s="28" t="n">
        <f aca="false">SUM(G56:G65)</f>
        <v>88888.85</v>
      </c>
      <c r="H66" s="28" t="n">
        <f aca="false">SUM(H56:H65)</f>
        <v>14425.23</v>
      </c>
      <c r="I66" s="28" t="n">
        <f aca="false">SUM(I56:I65)</f>
        <v>103314.08</v>
      </c>
      <c r="J66" s="28" t="n">
        <f aca="false">SUM(J56:J65)</f>
        <v>270944.5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36981.64</v>
      </c>
    </row>
    <row r="70" customFormat="false" ht="15" hidden="false" customHeight="false" outlineLevel="0" collapsed="false">
      <c r="B70" s="5" t="s">
        <v>415</v>
      </c>
      <c r="D70" s="6" t="n">
        <f aca="false">I66</f>
        <v>103314.08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-66332.44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448401.53</v>
      </c>
    </row>
    <row r="75" customFormat="false" ht="15" hidden="false" customHeight="false" outlineLevel="0" collapsed="false">
      <c r="B75" s="5" t="s">
        <v>446</v>
      </c>
      <c r="D75" s="6" t="n">
        <f aca="false">F111</f>
        <v>111858.03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0.24945951901636</v>
      </c>
    </row>
    <row r="77" customFormat="false" ht="15" hidden="false" customHeight="false" outlineLevel="0" collapsed="false">
      <c r="B77" s="5" t="s">
        <v>447</v>
      </c>
      <c r="D77" s="6" t="n">
        <f aca="false">H111</f>
        <v>336543.5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0.75054048098364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8975.5</v>
      </c>
      <c r="F84" s="33" t="n">
        <v>8975.5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38285.2</v>
      </c>
      <c r="F85" s="33" t="n">
        <v>38285.2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3310.89</v>
      </c>
      <c r="F86" s="33" t="n">
        <v>3310.89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394.4</v>
      </c>
      <c r="F87" s="33" t="n">
        <v>394.4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3335.47</v>
      </c>
      <c r="F89" s="33" t="n">
        <v>3335.47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18787.91</v>
      </c>
      <c r="H95" s="33" t="n">
        <v>18787.91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25094.53</v>
      </c>
      <c r="H96" s="33" t="n">
        <v>25094.53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37207.78</v>
      </c>
      <c r="H97" s="33" t="n">
        <v>37207.78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35233.43</v>
      </c>
      <c r="H98" s="33" t="n">
        <v>35233.43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32344.52</v>
      </c>
      <c r="H99" s="33" t="n">
        <v>32344.52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2485.72</v>
      </c>
      <c r="H100" s="33" t="n">
        <v>2485.72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24768.13</v>
      </c>
      <c r="H101" s="33" t="n">
        <v>24768.13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18966.91</v>
      </c>
      <c r="H102" s="33" t="n">
        <v>18966.91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15176.79</v>
      </c>
      <c r="H103" s="33" t="n">
        <v>15176.79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17050.73</v>
      </c>
      <c r="H104" s="33" t="n">
        <v>17050.73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40897.65</v>
      </c>
      <c r="H105" s="33" t="n">
        <v>40897.65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16588.72</v>
      </c>
      <c r="H106" s="33" t="n">
        <v>16588.72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42804.04</v>
      </c>
      <c r="H107" s="33" t="n">
        <v>42804.04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448401.53</v>
      </c>
      <c r="F111" s="34" t="n">
        <f aca="false">SUM(F82:F110)</f>
        <v>111858.03</v>
      </c>
      <c r="H111" s="34" t="n">
        <f aca="false">SUM(H82:H110)</f>
        <v>336543.5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0.24945951901636</v>
      </c>
      <c r="H112" s="31" t="n">
        <f aca="false">H111/D111</f>
        <v>0.75054048098364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12'!B21</f>
        <v>10-Building-Post Casualty Loss Basis-bldg12-5</v>
      </c>
      <c r="D116" s="33" t="n">
        <f aca="false">SUM(F116:H116)</f>
        <v>18042.22</v>
      </c>
      <c r="F116" s="33" t="n">
        <f aca="false">'Building 12'!D21</f>
        <v>18042.22</v>
      </c>
    </row>
    <row r="117" customFormat="false" ht="15" hidden="false" customHeight="false" outlineLevel="0" collapsed="false">
      <c r="B117" s="5" t="str">
        <f aca="false">'Building 12'!B22</f>
        <v>10-Building-Post Casualty Loss Basis-bldg12-3</v>
      </c>
      <c r="D117" s="33" t="n">
        <f aca="false">SUM(F117:H117)</f>
        <v>54283.01</v>
      </c>
      <c r="H117" s="33" t="n">
        <f aca="false">'Building 12'!D22</f>
        <v>54283.01</v>
      </c>
    </row>
    <row r="118" customFormat="false" ht="15" hidden="false" customHeight="false" outlineLevel="0" collapsed="false">
      <c r="B118" s="5" t="str">
        <f aca="false">'Building 12'!B23</f>
        <v>12-New Buildings(16 units)-bldg12-5yr</v>
      </c>
      <c r="D118" s="33" t="n">
        <f aca="false">SUM(F118:H118)</f>
        <v>9676.61</v>
      </c>
      <c r="F118" s="33" t="n">
        <f aca="false">'Building 12'!D23</f>
        <v>9676.61</v>
      </c>
    </row>
    <row r="119" customFormat="false" ht="15" hidden="false" customHeight="false" outlineLevel="0" collapsed="false">
      <c r="B119" s="5" t="str">
        <f aca="false">'Building 12'!B24</f>
        <v>12-New Buildings(16 units)-bldg12-30yr</v>
      </c>
      <c r="D119" s="33" t="n">
        <f aca="false">SUM(F119:H119)</f>
        <v>29113.68</v>
      </c>
      <c r="H119" s="33" t="n">
        <f aca="false">'Building 12'!D24</f>
        <v>29113.68</v>
      </c>
    </row>
    <row r="120" customFormat="false" ht="15" hidden="false" customHeight="false" outlineLevel="0" collapsed="false">
      <c r="B120" s="5" t="str">
        <f aca="false">'Building 12'!B25</f>
        <v>14-New Buildings(105 units)-bldg12-5yr</v>
      </c>
      <c r="D120" s="33" t="n">
        <f aca="false">SUM(F120:H120)</f>
        <v>64857.26</v>
      </c>
      <c r="F120" s="33" t="n">
        <f aca="false">'Building 12'!D25</f>
        <v>64857.26</v>
      </c>
    </row>
    <row r="121" customFormat="false" ht="15" hidden="false" customHeight="false" outlineLevel="0" collapsed="false">
      <c r="B121" s="5" t="str">
        <f aca="false">'Building 12'!B26</f>
        <v>14-New Buildings(105 units)-bldg12-30yr</v>
      </c>
      <c r="D121" s="33" t="n">
        <f aca="false">SUM(F121:H121)</f>
        <v>195133.85</v>
      </c>
      <c r="H121" s="33" t="n">
        <f aca="false">'Building 12'!D26</f>
        <v>195133.85</v>
      </c>
    </row>
    <row r="122" customFormat="false" ht="15" hidden="false" customHeight="false" outlineLevel="0" collapsed="false">
      <c r="B122" s="5" t="str">
        <f aca="false">'Building 12'!B27</f>
        <v>11-Building Imp-Post-Casulty Loss Basis-bld12</v>
      </c>
      <c r="D122" s="33" t="n">
        <f aca="false">SUM(F122:H122)</f>
        <v>453.45</v>
      </c>
      <c r="F122" s="33" t="n">
        <f aca="false">'Building 12'!D27</f>
        <v>453.45</v>
      </c>
    </row>
    <row r="123" customFormat="false" ht="15" hidden="false" customHeight="false" outlineLevel="0" collapsed="false">
      <c r="B123" s="5" t="str">
        <f aca="false">'Building 12'!B28</f>
        <v>11-Building Imp-Post-Casulty Loss Basis-bld12</v>
      </c>
      <c r="D123" s="33" t="n">
        <f aca="false">SUM(F123:H123)</f>
        <v>1364.27</v>
      </c>
      <c r="H123" s="33" t="n">
        <f aca="false">'Building 12'!D28</f>
        <v>1364.27</v>
      </c>
    </row>
    <row r="124" customFormat="false" ht="15" hidden="false" customHeight="false" outlineLevel="0" collapsed="false">
      <c r="B124" s="5" t="str">
        <f aca="false">'Building 12'!B29</f>
        <v>2-Land Improvements-bldg12-5yr</v>
      </c>
      <c r="D124" s="33" t="n">
        <f aca="false">SUM(F124:H124)</f>
        <v>2467.41</v>
      </c>
      <c r="F124" s="33" t="n">
        <f aca="false">'Building 12'!D29</f>
        <v>2467.41</v>
      </c>
    </row>
    <row r="125" customFormat="false" ht="15" hidden="false" customHeight="false" outlineLevel="0" collapsed="false">
      <c r="B125" s="5" t="str">
        <f aca="false">'Building 12'!B30</f>
        <v>2-Land Improvements-bldg12-30yr</v>
      </c>
      <c r="D125" s="33" t="n">
        <f aca="false">SUM(F125:H125)</f>
        <v>7423.6</v>
      </c>
      <c r="H125" s="33" t="n">
        <f aca="false">'Building 12'!D30</f>
        <v>7423.6</v>
      </c>
    </row>
    <row r="126" customFormat="false" ht="15" hidden="false" customHeight="false" outlineLevel="0" collapsed="false">
      <c r="B126" s="5" t="str">
        <f aca="false">'Building 12'!B31</f>
        <v>13-New Equipment(16 units)-bldg12-5yr</v>
      </c>
      <c r="D126" s="33" t="n">
        <f aca="false">SUM(F126:H126)</f>
        <v>2124.13</v>
      </c>
      <c r="F126" s="33" t="n">
        <f aca="false">'Building 12'!D31</f>
        <v>2124.13</v>
      </c>
    </row>
    <row r="127" customFormat="false" ht="15" hidden="false" customHeight="false" outlineLevel="0" collapsed="false">
      <c r="B127" s="5" t="str">
        <f aca="false">'Building 12'!B32</f>
        <v>13-New Equipment(16 units)-bldg12-30yr</v>
      </c>
      <c r="D127" s="33" t="n">
        <f aca="false">SUM(F127:H127)</f>
        <v>6390.8</v>
      </c>
      <c r="H127" s="33" t="n">
        <f aca="false">'Building 12'!D32</f>
        <v>6390.8</v>
      </c>
    </row>
    <row r="128" customFormat="false" ht="15" hidden="false" customHeight="false" outlineLevel="0" collapsed="false">
      <c r="B128" s="5" t="str">
        <f aca="false">'Building 12'!B33</f>
        <v>15-New Equipment(105 units)-bldg12-5yr</v>
      </c>
      <c r="D128" s="33" t="n">
        <f aca="false">SUM(F128:H128)</f>
        <v>14236.95</v>
      </c>
      <c r="F128" s="33" t="n">
        <f aca="false">'Building 12'!D33</f>
        <v>14236.95</v>
      </c>
    </row>
    <row r="129" customFormat="false" ht="15" hidden="false" customHeight="false" outlineLevel="0" collapsed="false">
      <c r="B129" s="5" t="str">
        <f aca="false">'Building 12'!B34</f>
        <v>15-New Equipment(105 units)-bldg12-30yr</v>
      </c>
      <c r="D129" s="33" t="n">
        <f aca="false">SUM(F129:H129)</f>
        <v>42834.29</v>
      </c>
      <c r="H129" s="33" t="n">
        <f aca="false">'Building 12'!D34</f>
        <v>42834.29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448401.53</v>
      </c>
      <c r="F130" s="34" t="n">
        <f aca="false">SUM(F116:F129)</f>
        <v>111858.03</v>
      </c>
      <c r="H130" s="34" t="n">
        <f aca="false">SUM(H116:H129)</f>
        <v>336543.5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494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109</v>
      </c>
      <c r="C10" s="23" t="s">
        <v>25</v>
      </c>
      <c r="D10" s="24" t="n">
        <v>64317.98</v>
      </c>
      <c r="E10" s="24" t="n">
        <v>0</v>
      </c>
      <c r="F10" s="24" t="n">
        <v>0</v>
      </c>
      <c r="G10" s="24" t="n">
        <v>6642.44</v>
      </c>
      <c r="H10" s="24" t="n">
        <v>2342.15</v>
      </c>
      <c r="I10" s="24" t="n">
        <f aca="false">G10+H10</f>
        <v>8984.59</v>
      </c>
      <c r="J10" s="24" t="n">
        <f aca="false">D10-I10</f>
        <v>55333.39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110</v>
      </c>
      <c r="C11" s="23" t="s">
        <v>27</v>
      </c>
      <c r="D11" s="24" t="n">
        <v>34495.74</v>
      </c>
      <c r="E11" s="24" t="n">
        <v>0</v>
      </c>
      <c r="F11" s="24" t="n">
        <v>0</v>
      </c>
      <c r="G11" s="24" t="n">
        <v>1197.79</v>
      </c>
      <c r="H11" s="24" t="n">
        <v>1149.85</v>
      </c>
      <c r="I11" s="24" t="n">
        <f aca="false">G11+H11</f>
        <v>2347.64</v>
      </c>
      <c r="J11" s="24" t="n">
        <f aca="false">D11-I11</f>
        <v>32148.1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111</v>
      </c>
      <c r="C12" s="23" t="s">
        <v>29</v>
      </c>
      <c r="D12" s="24" t="n">
        <v>231207.03</v>
      </c>
      <c r="E12" s="24" t="n">
        <v>0</v>
      </c>
      <c r="F12" s="24" t="n">
        <v>0</v>
      </c>
      <c r="G12" s="24" t="n">
        <v>5459.05</v>
      </c>
      <c r="H12" s="24" t="n">
        <v>7706.92</v>
      </c>
      <c r="I12" s="24" t="n">
        <f aca="false">G12+H12</f>
        <v>13165.97</v>
      </c>
      <c r="J12" s="24" t="n">
        <f aca="false">D12-I12</f>
        <v>218041.06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1616.48</v>
      </c>
      <c r="E13" s="24" t="n">
        <v>0</v>
      </c>
      <c r="F13" s="24" t="n">
        <v>0</v>
      </c>
      <c r="G13" s="24" t="n">
        <v>121.71</v>
      </c>
      <c r="H13" s="24" t="n">
        <v>55.97</v>
      </c>
      <c r="I13" s="24" t="n">
        <f aca="false">G13+H13</f>
        <v>177.68</v>
      </c>
      <c r="J13" s="24" t="n">
        <f aca="false">D13-I13</f>
        <v>1438.8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112</v>
      </c>
      <c r="C14" s="23" t="s">
        <v>25</v>
      </c>
      <c r="D14" s="24" t="n">
        <v>8795.97</v>
      </c>
      <c r="E14" s="24" t="n">
        <v>0</v>
      </c>
      <c r="F14" s="24" t="n">
        <v>2256.71</v>
      </c>
      <c r="G14" s="24" t="n">
        <v>2256.71</v>
      </c>
      <c r="H14" s="24" t="n">
        <v>676.47</v>
      </c>
      <c r="I14" s="24" t="n">
        <f aca="false">G14+H14</f>
        <v>2933.18</v>
      </c>
      <c r="J14" s="24" t="n">
        <f aca="false">D14-I14</f>
        <v>5862.79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113</v>
      </c>
      <c r="C15" s="23" t="s">
        <v>27</v>
      </c>
      <c r="D15" s="24" t="n">
        <v>7572.23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7572.23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114</v>
      </c>
      <c r="C16" s="23" t="s">
        <v>29</v>
      </c>
      <c r="D16" s="24" t="n">
        <v>50752.78</v>
      </c>
      <c r="E16" s="24" t="n">
        <v>0</v>
      </c>
      <c r="F16" s="24" t="n">
        <v>0</v>
      </c>
      <c r="G16" s="24" t="n">
        <v>2030.1</v>
      </c>
      <c r="H16" s="24" t="n">
        <v>3248.19</v>
      </c>
      <c r="I16" s="24" t="n">
        <f aca="false">G16+H16</f>
        <v>5278.29</v>
      </c>
      <c r="J16" s="24" t="n">
        <f aca="false">D16-I16</f>
        <v>45474.49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398758.21</v>
      </c>
      <c r="E17" s="28" t="n">
        <f aca="false">SUM(E10:E16)</f>
        <v>0</v>
      </c>
      <c r="F17" s="28" t="n">
        <f aca="false">SUM(F10:F16)</f>
        <v>2256.71</v>
      </c>
      <c r="G17" s="28" t="n">
        <f aca="false">SUM(G10:G16)</f>
        <v>17707.8</v>
      </c>
      <c r="H17" s="28" t="n">
        <f aca="false">SUM(H10:H16)</f>
        <v>15179.55</v>
      </c>
      <c r="I17" s="28" t="n">
        <f aca="false">SUM(I10:I16)</f>
        <v>32887.35</v>
      </c>
      <c r="J17" s="28" t="n">
        <f aca="false">SUM(J10:J16)</f>
        <v>365870.86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313</v>
      </c>
      <c r="C21" s="23" t="s">
        <v>25</v>
      </c>
      <c r="D21" s="24" t="n">
        <v>16882.61</v>
      </c>
      <c r="E21" s="24" t="n">
        <v>0</v>
      </c>
      <c r="F21" s="24" t="n">
        <v>16882.61</v>
      </c>
      <c r="G21" s="24" t="n">
        <v>16882.61</v>
      </c>
      <c r="H21" s="24" t="n">
        <v>0</v>
      </c>
      <c r="I21" s="24" t="n">
        <f aca="false">G21+H21</f>
        <v>16882.61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314</v>
      </c>
      <c r="C22" s="23" t="s">
        <v>25</v>
      </c>
      <c r="D22" s="24" t="n">
        <v>47435.37</v>
      </c>
      <c r="E22" s="24" t="n">
        <v>0</v>
      </c>
      <c r="F22" s="24" t="n">
        <v>0</v>
      </c>
      <c r="G22" s="24" t="n">
        <v>8498.84</v>
      </c>
      <c r="H22" s="24" t="n">
        <v>1581.18</v>
      </c>
      <c r="I22" s="24" t="n">
        <f aca="false">G22+H22</f>
        <v>10080.02</v>
      </c>
      <c r="J22" s="24" t="n">
        <f aca="false">D22-I22</f>
        <v>37355.35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315</v>
      </c>
      <c r="C23" s="23" t="s">
        <v>27</v>
      </c>
      <c r="D23" s="24" t="n">
        <v>9054.67</v>
      </c>
      <c r="E23" s="24" t="n">
        <v>0</v>
      </c>
      <c r="F23" s="24" t="n">
        <v>9054.67</v>
      </c>
      <c r="G23" s="24" t="n">
        <v>9054.67</v>
      </c>
      <c r="H23" s="24" t="n">
        <v>0</v>
      </c>
      <c r="I23" s="24" t="n">
        <f aca="false">G23+H23</f>
        <v>9054.67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316</v>
      </c>
      <c r="C24" s="23" t="s">
        <v>27</v>
      </c>
      <c r="D24" s="24" t="n">
        <v>25441.07</v>
      </c>
      <c r="E24" s="24" t="n">
        <v>0</v>
      </c>
      <c r="F24" s="24" t="n">
        <v>0</v>
      </c>
      <c r="G24" s="24" t="n">
        <v>883.37</v>
      </c>
      <c r="H24" s="24" t="n">
        <v>848.04</v>
      </c>
      <c r="I24" s="24" t="n">
        <f aca="false">G24+H24</f>
        <v>1731.41</v>
      </c>
      <c r="J24" s="24" t="n">
        <f aca="false">D24-I24</f>
        <v>23709.66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317</v>
      </c>
      <c r="C25" s="23" t="s">
        <v>29</v>
      </c>
      <c r="D25" s="24" t="n">
        <v>60688.77</v>
      </c>
      <c r="E25" s="24" t="n">
        <v>0</v>
      </c>
      <c r="F25" s="24" t="n">
        <v>48551.02</v>
      </c>
      <c r="G25" s="24" t="n">
        <v>50978.57</v>
      </c>
      <c r="H25" s="24" t="n">
        <v>3884.08</v>
      </c>
      <c r="I25" s="24" t="n">
        <f aca="false">G25+H25</f>
        <v>54862.65</v>
      </c>
      <c r="J25" s="24" t="n">
        <f aca="false">D25-I25</f>
        <v>5826.12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318</v>
      </c>
      <c r="C26" s="23" t="s">
        <v>29</v>
      </c>
      <c r="D26" s="24" t="n">
        <v>170518.26</v>
      </c>
      <c r="E26" s="24" t="n">
        <v>0</v>
      </c>
      <c r="F26" s="24" t="n">
        <v>0</v>
      </c>
      <c r="G26" s="24" t="n">
        <v>4026.13</v>
      </c>
      <c r="H26" s="24" t="n">
        <v>5683.94</v>
      </c>
      <c r="I26" s="24" t="n">
        <f aca="false">G26+H26</f>
        <v>9710.07</v>
      </c>
      <c r="J26" s="24" t="n">
        <f aca="false">D26-I26</f>
        <v>160808.19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319</v>
      </c>
      <c r="C27" s="23" t="s">
        <v>31</v>
      </c>
      <c r="D27" s="24" t="n">
        <v>424.3</v>
      </c>
      <c r="E27" s="24" t="n">
        <v>0</v>
      </c>
      <c r="F27" s="24" t="n">
        <v>424.3</v>
      </c>
      <c r="G27" s="24" t="n">
        <v>424.3</v>
      </c>
      <c r="H27" s="24" t="n">
        <v>0</v>
      </c>
      <c r="I27" s="24" t="n">
        <f aca="false">G27+H27</f>
        <v>424.3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319</v>
      </c>
      <c r="C28" s="23" t="s">
        <v>31</v>
      </c>
      <c r="D28" s="24" t="n">
        <v>1192.18</v>
      </c>
      <c r="E28" s="24" t="n">
        <v>0</v>
      </c>
      <c r="F28" s="24" t="n">
        <v>0</v>
      </c>
      <c r="G28" s="24" t="n">
        <v>130.81</v>
      </c>
      <c r="H28" s="24" t="n">
        <v>39.74</v>
      </c>
      <c r="I28" s="24" t="n">
        <f aca="false">G28+H28</f>
        <v>170.55</v>
      </c>
      <c r="J28" s="24" t="n">
        <f aca="false">D28-I28</f>
        <v>1021.63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320</v>
      </c>
      <c r="C29" s="23" t="s">
        <v>25</v>
      </c>
      <c r="D29" s="24" t="n">
        <v>2308.83</v>
      </c>
      <c r="E29" s="24" t="n">
        <v>0</v>
      </c>
      <c r="F29" s="24" t="n">
        <v>2308.83</v>
      </c>
      <c r="G29" s="24" t="n">
        <v>2308.83</v>
      </c>
      <c r="H29" s="24" t="n">
        <v>0</v>
      </c>
      <c r="I29" s="24" t="n">
        <f aca="false">G29+H29</f>
        <v>2308.83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321</v>
      </c>
      <c r="C30" s="23" t="s">
        <v>25</v>
      </c>
      <c r="D30" s="24" t="n">
        <v>6487.14</v>
      </c>
      <c r="E30" s="24" t="n">
        <v>0</v>
      </c>
      <c r="F30" s="24" t="n">
        <v>0</v>
      </c>
      <c r="G30" s="24" t="n">
        <v>1162.29</v>
      </c>
      <c r="H30" s="24" t="n">
        <v>216.24</v>
      </c>
      <c r="I30" s="24" t="n">
        <f aca="false">G30+H30</f>
        <v>1378.53</v>
      </c>
      <c r="J30" s="24" t="n">
        <f aca="false">D30-I30</f>
        <v>5108.61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322</v>
      </c>
      <c r="C31" s="23" t="s">
        <v>27</v>
      </c>
      <c r="D31" s="24" t="n">
        <v>1987.61</v>
      </c>
      <c r="E31" s="24" t="n">
        <v>0</v>
      </c>
      <c r="F31" s="24" t="n">
        <v>1987.61</v>
      </c>
      <c r="G31" s="24" t="n">
        <v>1987.61</v>
      </c>
      <c r="H31" s="24" t="n">
        <v>0</v>
      </c>
      <c r="I31" s="24" t="n">
        <f aca="false">G31+H31</f>
        <v>1987.61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323</v>
      </c>
      <c r="C32" s="23" t="s">
        <v>27</v>
      </c>
      <c r="D32" s="24" t="n">
        <v>5584.62</v>
      </c>
      <c r="E32" s="24" t="n">
        <v>0</v>
      </c>
      <c r="F32" s="24" t="n">
        <v>0</v>
      </c>
      <c r="G32" s="24" t="n">
        <v>193.91</v>
      </c>
      <c r="H32" s="24" t="n">
        <v>186.15</v>
      </c>
      <c r="I32" s="24" t="n">
        <f aca="false">G32+H32</f>
        <v>380.06</v>
      </c>
      <c r="J32" s="24" t="n">
        <f aca="false">D32-I32</f>
        <v>5204.56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324</v>
      </c>
      <c r="C33" s="23" t="s">
        <v>29</v>
      </c>
      <c r="D33" s="24" t="n">
        <v>13321.94</v>
      </c>
      <c r="E33" s="24" t="n">
        <v>0</v>
      </c>
      <c r="F33" s="24" t="n">
        <v>10657.55</v>
      </c>
      <c r="G33" s="24" t="n">
        <v>11190.43</v>
      </c>
      <c r="H33" s="24" t="n">
        <v>852.6</v>
      </c>
      <c r="I33" s="24" t="n">
        <f aca="false">G33+H33</f>
        <v>12043.03</v>
      </c>
      <c r="J33" s="24" t="n">
        <f aca="false">D33-I33</f>
        <v>1278.91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325</v>
      </c>
      <c r="C34" s="23" t="s">
        <v>29</v>
      </c>
      <c r="D34" s="24" t="n">
        <v>37430.84</v>
      </c>
      <c r="E34" s="24" t="n">
        <v>0</v>
      </c>
      <c r="F34" s="24" t="n">
        <v>0</v>
      </c>
      <c r="G34" s="24" t="n">
        <v>883.78</v>
      </c>
      <c r="H34" s="24" t="n">
        <v>1247.69</v>
      </c>
      <c r="I34" s="24" t="n">
        <f aca="false">G34+H34</f>
        <v>2131.47</v>
      </c>
      <c r="J34" s="24" t="n">
        <f aca="false">D34-I34</f>
        <v>35299.37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398758.21</v>
      </c>
      <c r="E35" s="28" t="n">
        <f aca="false">SUM(E21:E34)</f>
        <v>0</v>
      </c>
      <c r="F35" s="28" t="n">
        <f aca="false">SUM(F21:F34)</f>
        <v>89866.59</v>
      </c>
      <c r="G35" s="28" t="n">
        <f aca="false">SUM(G21:G34)</f>
        <v>108606.15</v>
      </c>
      <c r="H35" s="28" t="n">
        <f aca="false">SUM(H21:H34)</f>
        <v>14539.66</v>
      </c>
      <c r="I35" s="28" t="n">
        <f aca="false">SUM(I21:I34)</f>
        <v>123145.81</v>
      </c>
      <c r="J35" s="28" t="n">
        <f aca="false">SUM(J21:J34)</f>
        <v>275612.4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32887.35</v>
      </c>
    </row>
    <row r="39" customFormat="false" ht="15" hidden="false" customHeight="false" outlineLevel="0" collapsed="false">
      <c r="B39" s="5" t="s">
        <v>415</v>
      </c>
      <c r="D39" s="6" t="n">
        <f aca="false">I35</f>
        <v>123145.81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-90258.46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109</v>
      </c>
      <c r="C45" s="23" t="s">
        <v>25</v>
      </c>
      <c r="D45" s="24" t="n">
        <v>64317.98</v>
      </c>
      <c r="E45" s="24" t="n">
        <v>0</v>
      </c>
      <c r="F45" s="24" t="n">
        <v>0</v>
      </c>
      <c r="G45" s="24" t="n">
        <v>6642.44</v>
      </c>
      <c r="H45" s="24" t="n">
        <v>2342.15</v>
      </c>
      <c r="I45" s="24" t="n">
        <f aca="false">G45+H45</f>
        <v>8984.59</v>
      </c>
      <c r="J45" s="24" t="n">
        <f aca="false">D45-I45</f>
        <v>55333.39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110</v>
      </c>
      <c r="C46" s="23" t="s">
        <v>27</v>
      </c>
      <c r="D46" s="24" t="n">
        <v>34495.74</v>
      </c>
      <c r="E46" s="24" t="n">
        <v>0</v>
      </c>
      <c r="F46" s="24" t="n">
        <v>0</v>
      </c>
      <c r="G46" s="24" t="n">
        <v>1197.79</v>
      </c>
      <c r="H46" s="24" t="n">
        <v>1149.85</v>
      </c>
      <c r="I46" s="24" t="n">
        <f aca="false">G46+H46</f>
        <v>2347.64</v>
      </c>
      <c r="J46" s="24" t="n">
        <f aca="false">D46-I46</f>
        <v>32148.1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111</v>
      </c>
      <c r="C47" s="23" t="s">
        <v>29</v>
      </c>
      <c r="D47" s="24" t="n">
        <v>231207.03</v>
      </c>
      <c r="E47" s="24" t="n">
        <v>0</v>
      </c>
      <c r="F47" s="24" t="n">
        <v>0</v>
      </c>
      <c r="G47" s="24" t="n">
        <v>5459.05</v>
      </c>
      <c r="H47" s="24" t="n">
        <v>7706.92</v>
      </c>
      <c r="I47" s="24" t="n">
        <f aca="false">G47+H47</f>
        <v>13165.97</v>
      </c>
      <c r="J47" s="24" t="n">
        <f aca="false">D47-I47</f>
        <v>218041.06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1616.48</v>
      </c>
      <c r="E48" s="24" t="n">
        <v>0</v>
      </c>
      <c r="F48" s="24" t="n">
        <v>0</v>
      </c>
      <c r="G48" s="24" t="n">
        <v>121.71</v>
      </c>
      <c r="H48" s="24" t="n">
        <v>55.97</v>
      </c>
      <c r="I48" s="24" t="n">
        <f aca="false">G48+H48</f>
        <v>177.68</v>
      </c>
      <c r="J48" s="24" t="n">
        <f aca="false">D48-I48</f>
        <v>1438.8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112</v>
      </c>
      <c r="C49" s="23" t="s">
        <v>25</v>
      </c>
      <c r="D49" s="24" t="n">
        <v>8795.97</v>
      </c>
      <c r="E49" s="24" t="n">
        <v>0</v>
      </c>
      <c r="F49" s="24" t="n">
        <v>2256.71</v>
      </c>
      <c r="G49" s="24" t="n">
        <v>2256.71</v>
      </c>
      <c r="H49" s="24" t="n">
        <v>676.47</v>
      </c>
      <c r="I49" s="24" t="n">
        <f aca="false">G49+H49</f>
        <v>2933.18</v>
      </c>
      <c r="J49" s="24" t="n">
        <f aca="false">D49-I49</f>
        <v>5862.79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113</v>
      </c>
      <c r="C50" s="23" t="s">
        <v>27</v>
      </c>
      <c r="D50" s="24" t="n">
        <v>7572.23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7572.23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114</v>
      </c>
      <c r="C51" s="23" t="s">
        <v>29</v>
      </c>
      <c r="D51" s="24" t="n">
        <v>50752.78</v>
      </c>
      <c r="E51" s="24" t="n">
        <v>0</v>
      </c>
      <c r="F51" s="24" t="n">
        <v>0</v>
      </c>
      <c r="G51" s="24" t="n">
        <v>2030.1</v>
      </c>
      <c r="H51" s="24" t="n">
        <v>3248.19</v>
      </c>
      <c r="I51" s="24" t="n">
        <f aca="false">G51+H51</f>
        <v>5278.29</v>
      </c>
      <c r="J51" s="24" t="n">
        <f aca="false">D51-I51</f>
        <v>45474.49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398758.21</v>
      </c>
      <c r="E52" s="28" t="n">
        <f aca="false">SUM(E45:E51)</f>
        <v>0</v>
      </c>
      <c r="F52" s="28" t="n">
        <f aca="false">SUM(F45:F51)</f>
        <v>2256.71</v>
      </c>
      <c r="G52" s="28" t="n">
        <f aca="false">SUM(G45:G51)</f>
        <v>17707.8</v>
      </c>
      <c r="H52" s="28" t="n">
        <f aca="false">SUM(H45:H51)</f>
        <v>15179.55</v>
      </c>
      <c r="I52" s="28" t="n">
        <f aca="false">SUM(I45:I51)</f>
        <v>32887.35</v>
      </c>
      <c r="J52" s="28" t="n">
        <f aca="false">SUM(J45:J51)</f>
        <v>365870.86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314</v>
      </c>
      <c r="C56" s="23" t="s">
        <v>25</v>
      </c>
      <c r="D56" s="24" t="n">
        <v>47435.37</v>
      </c>
      <c r="E56" s="24" t="n">
        <v>0</v>
      </c>
      <c r="F56" s="24" t="n">
        <v>0</v>
      </c>
      <c r="G56" s="24" t="n">
        <v>8498.84</v>
      </c>
      <c r="H56" s="24" t="n">
        <v>1581.18</v>
      </c>
      <c r="I56" s="24" t="n">
        <f aca="false">G56+H56</f>
        <v>10080.02</v>
      </c>
      <c r="J56" s="24" t="n">
        <f aca="false">D56-I56</f>
        <v>37355.35</v>
      </c>
      <c r="K56" s="25" t="s">
        <v>406</v>
      </c>
      <c r="L56" s="25" t="s">
        <v>407</v>
      </c>
    </row>
    <row r="57" customFormat="false" ht="15" hidden="false" customHeight="false" outlineLevel="0" collapsed="false">
      <c r="A57" s="23" t="n">
        <v>2</v>
      </c>
      <c r="B57" s="23" t="s">
        <v>315</v>
      </c>
      <c r="C57" s="23" t="s">
        <v>27</v>
      </c>
      <c r="D57" s="24" t="n">
        <v>9054.67</v>
      </c>
      <c r="E57" s="24" t="n">
        <v>0</v>
      </c>
      <c r="F57" s="24" t="n">
        <v>9054.67</v>
      </c>
      <c r="G57" s="24" t="n">
        <v>9054.67</v>
      </c>
      <c r="H57" s="24" t="n">
        <v>0</v>
      </c>
      <c r="I57" s="24" t="n">
        <f aca="false">G57+H57</f>
        <v>9054.67</v>
      </c>
      <c r="J57" s="24" t="n">
        <f aca="false">D57-I57</f>
        <v>0</v>
      </c>
      <c r="K57" s="25" t="s">
        <v>410</v>
      </c>
      <c r="L57" s="25" t="s">
        <v>411</v>
      </c>
    </row>
    <row r="58" customFormat="false" ht="15" hidden="false" customHeight="false" outlineLevel="0" collapsed="false">
      <c r="A58" s="23" t="n">
        <v>3</v>
      </c>
      <c r="B58" s="23" t="s">
        <v>316</v>
      </c>
      <c r="C58" s="23" t="s">
        <v>27</v>
      </c>
      <c r="D58" s="24" t="n">
        <v>25441.07</v>
      </c>
      <c r="E58" s="24" t="n">
        <v>0</v>
      </c>
      <c r="F58" s="24" t="n">
        <v>0</v>
      </c>
      <c r="G58" s="24" t="n">
        <v>883.37</v>
      </c>
      <c r="H58" s="24" t="n">
        <v>848.04</v>
      </c>
      <c r="I58" s="24" t="n">
        <f aca="false">G58+H58</f>
        <v>1731.41</v>
      </c>
      <c r="J58" s="24" t="n">
        <f aca="false">D58-I58</f>
        <v>23709.66</v>
      </c>
      <c r="K58" s="25" t="s">
        <v>406</v>
      </c>
      <c r="L58" s="25" t="s">
        <v>407</v>
      </c>
    </row>
    <row r="59" customFormat="false" ht="15" hidden="false" customHeight="false" outlineLevel="0" collapsed="false">
      <c r="A59" s="23" t="n">
        <v>4</v>
      </c>
      <c r="B59" s="23" t="s">
        <v>317</v>
      </c>
      <c r="C59" s="23" t="s">
        <v>29</v>
      </c>
      <c r="D59" s="24" t="n">
        <v>60688.77</v>
      </c>
      <c r="E59" s="24" t="n">
        <v>0</v>
      </c>
      <c r="F59" s="24" t="n">
        <v>48551.02</v>
      </c>
      <c r="G59" s="24" t="n">
        <v>50978.57</v>
      </c>
      <c r="H59" s="24" t="n">
        <v>3884.08</v>
      </c>
      <c r="I59" s="24" t="n">
        <f aca="false">G59+H59</f>
        <v>54862.65</v>
      </c>
      <c r="J59" s="24" t="n">
        <f aca="false">D59-I59</f>
        <v>5826.12</v>
      </c>
      <c r="K59" s="25" t="s">
        <v>410</v>
      </c>
      <c r="L59" s="25" t="s">
        <v>411</v>
      </c>
    </row>
    <row r="60" customFormat="false" ht="15" hidden="false" customHeight="false" outlineLevel="0" collapsed="false">
      <c r="A60" s="23" t="n">
        <v>5</v>
      </c>
      <c r="B60" s="23" t="s">
        <v>318</v>
      </c>
      <c r="C60" s="23" t="s">
        <v>29</v>
      </c>
      <c r="D60" s="24" t="n">
        <v>170518.26</v>
      </c>
      <c r="E60" s="24" t="n">
        <v>0</v>
      </c>
      <c r="F60" s="24" t="n">
        <v>0</v>
      </c>
      <c r="G60" s="24" t="n">
        <v>4026.13</v>
      </c>
      <c r="H60" s="24" t="n">
        <v>5683.94</v>
      </c>
      <c r="I60" s="24" t="n">
        <f aca="false">G60+H60</f>
        <v>9710.07</v>
      </c>
      <c r="J60" s="24" t="n">
        <f aca="false">D60-I60</f>
        <v>160808.19</v>
      </c>
      <c r="K60" s="25" t="s">
        <v>406</v>
      </c>
      <c r="L60" s="25" t="s">
        <v>407</v>
      </c>
    </row>
    <row r="61" customFormat="false" ht="15" hidden="false" customHeight="false" outlineLevel="0" collapsed="false">
      <c r="A61" s="23" t="n">
        <v>6</v>
      </c>
      <c r="B61" s="23" t="s">
        <v>320</v>
      </c>
      <c r="C61" s="23" t="s">
        <v>25</v>
      </c>
      <c r="D61" s="24" t="n">
        <v>2308.83</v>
      </c>
      <c r="E61" s="24" t="n">
        <v>0</v>
      </c>
      <c r="F61" s="24" t="n">
        <v>2308.83</v>
      </c>
      <c r="G61" s="24" t="n">
        <v>2308.83</v>
      </c>
      <c r="H61" s="24" t="n">
        <v>0</v>
      </c>
      <c r="I61" s="24" t="n">
        <f aca="false">G61+H61</f>
        <v>2308.83</v>
      </c>
      <c r="J61" s="24" t="n">
        <f aca="false">D61-I61</f>
        <v>0</v>
      </c>
      <c r="K61" s="25" t="s">
        <v>410</v>
      </c>
      <c r="L61" s="25" t="s">
        <v>411</v>
      </c>
    </row>
    <row r="62" customFormat="false" ht="15" hidden="false" customHeight="false" outlineLevel="0" collapsed="false">
      <c r="A62" s="23" t="n">
        <v>7</v>
      </c>
      <c r="B62" s="23" t="s">
        <v>321</v>
      </c>
      <c r="C62" s="23" t="s">
        <v>25</v>
      </c>
      <c r="D62" s="24" t="n">
        <v>6487.14</v>
      </c>
      <c r="E62" s="24" t="n">
        <v>0</v>
      </c>
      <c r="F62" s="24" t="n">
        <v>0</v>
      </c>
      <c r="G62" s="24" t="n">
        <v>1162.29</v>
      </c>
      <c r="H62" s="24" t="n">
        <v>216.24</v>
      </c>
      <c r="I62" s="24" t="n">
        <f aca="false">G62+H62</f>
        <v>1378.53</v>
      </c>
      <c r="J62" s="24" t="n">
        <f aca="false">D62-I62</f>
        <v>5108.61</v>
      </c>
      <c r="K62" s="25" t="s">
        <v>406</v>
      </c>
      <c r="L62" s="25" t="s">
        <v>407</v>
      </c>
    </row>
    <row r="63" customFormat="false" ht="15" hidden="false" customHeight="false" outlineLevel="0" collapsed="false">
      <c r="A63" s="23" t="n">
        <v>8</v>
      </c>
      <c r="B63" s="23" t="s">
        <v>322</v>
      </c>
      <c r="C63" s="23" t="s">
        <v>27</v>
      </c>
      <c r="D63" s="24" t="n">
        <v>1987.61</v>
      </c>
      <c r="E63" s="24" t="n">
        <v>0</v>
      </c>
      <c r="F63" s="24" t="n">
        <v>1987.61</v>
      </c>
      <c r="G63" s="24" t="n">
        <v>1987.61</v>
      </c>
      <c r="H63" s="24" t="n">
        <v>0</v>
      </c>
      <c r="I63" s="24" t="n">
        <f aca="false">G63+H63</f>
        <v>1987.61</v>
      </c>
      <c r="J63" s="24" t="n">
        <f aca="false">D63-I63</f>
        <v>0</v>
      </c>
      <c r="K63" s="25" t="s">
        <v>410</v>
      </c>
      <c r="L63" s="25" t="s">
        <v>411</v>
      </c>
    </row>
    <row r="64" customFormat="false" ht="15" hidden="false" customHeight="false" outlineLevel="0" collapsed="false">
      <c r="A64" s="23" t="n">
        <v>9</v>
      </c>
      <c r="B64" s="23" t="s">
        <v>323</v>
      </c>
      <c r="C64" s="23" t="s">
        <v>27</v>
      </c>
      <c r="D64" s="24" t="n">
        <v>5584.62</v>
      </c>
      <c r="E64" s="24" t="n">
        <v>0</v>
      </c>
      <c r="F64" s="24" t="n">
        <v>0</v>
      </c>
      <c r="G64" s="24" t="n">
        <v>193.91</v>
      </c>
      <c r="H64" s="24" t="n">
        <v>186.15</v>
      </c>
      <c r="I64" s="24" t="n">
        <f aca="false">G64+H64</f>
        <v>380.06</v>
      </c>
      <c r="J64" s="24" t="n">
        <f aca="false">D64-I64</f>
        <v>5204.56</v>
      </c>
      <c r="K64" s="25" t="s">
        <v>406</v>
      </c>
      <c r="L64" s="25" t="s">
        <v>407</v>
      </c>
    </row>
    <row r="65" customFormat="false" ht="15" hidden="false" customHeight="false" outlineLevel="0" collapsed="false">
      <c r="A65" s="23" t="n">
        <v>10</v>
      </c>
      <c r="B65" s="23" t="s">
        <v>324</v>
      </c>
      <c r="C65" s="23" t="s">
        <v>29</v>
      </c>
      <c r="D65" s="24" t="n">
        <v>13321.94</v>
      </c>
      <c r="E65" s="24" t="n">
        <v>0</v>
      </c>
      <c r="F65" s="24" t="n">
        <v>10657.55</v>
      </c>
      <c r="G65" s="24" t="n">
        <v>11190.43</v>
      </c>
      <c r="H65" s="24" t="n">
        <v>852.6</v>
      </c>
      <c r="I65" s="24" t="n">
        <f aca="false">G65+H65</f>
        <v>12043.03</v>
      </c>
      <c r="J65" s="24" t="n">
        <f aca="false">D65-I65</f>
        <v>1278.91</v>
      </c>
      <c r="K65" s="25" t="s">
        <v>410</v>
      </c>
      <c r="L65" s="25" t="s">
        <v>411</v>
      </c>
    </row>
    <row r="66" customFormat="false" ht="15" hidden="false" customHeight="false" outlineLevel="0" collapsed="false">
      <c r="A66" s="23" t="n">
        <v>11</v>
      </c>
      <c r="B66" s="23" t="s">
        <v>325</v>
      </c>
      <c r="C66" s="23" t="s">
        <v>29</v>
      </c>
      <c r="D66" s="24" t="n">
        <v>37430.84</v>
      </c>
      <c r="E66" s="24" t="n">
        <v>0</v>
      </c>
      <c r="F66" s="24" t="n">
        <v>0</v>
      </c>
      <c r="G66" s="24" t="n">
        <v>883.78</v>
      </c>
      <c r="H66" s="24" t="n">
        <v>1247.69</v>
      </c>
      <c r="I66" s="24" t="n">
        <f aca="false">G66+H66</f>
        <v>2131.47</v>
      </c>
      <c r="J66" s="24" t="n">
        <f aca="false">D66-I66</f>
        <v>35299.37</v>
      </c>
      <c r="K66" s="25" t="s">
        <v>406</v>
      </c>
      <c r="L66" s="25" t="s">
        <v>407</v>
      </c>
    </row>
    <row r="67" customFormat="false" ht="15" hidden="false" customHeight="false" outlineLevel="0" collapsed="false">
      <c r="A67" s="26"/>
      <c r="B67" s="27" t="s">
        <v>140</v>
      </c>
      <c r="C67" s="26"/>
      <c r="D67" s="28" t="n">
        <f aca="false">SUM(D56:D66)</f>
        <v>380259.12</v>
      </c>
      <c r="E67" s="28" t="n">
        <f aca="false">SUM(E56:E66)</f>
        <v>0</v>
      </c>
      <c r="F67" s="28" t="n">
        <f aca="false">SUM(F56:F66)</f>
        <v>72559.68</v>
      </c>
      <c r="G67" s="28" t="n">
        <f aca="false">SUM(G56:G66)</f>
        <v>91168.43</v>
      </c>
      <c r="H67" s="28" t="n">
        <f aca="false">SUM(H56:H66)</f>
        <v>14499.92</v>
      </c>
      <c r="I67" s="28" t="n">
        <f aca="false">SUM(I56:I66)</f>
        <v>105668.35</v>
      </c>
      <c r="J67" s="28" t="n">
        <f aca="false">SUM(J56:J66)</f>
        <v>274590.77</v>
      </c>
      <c r="K67" s="26"/>
      <c r="L67" s="26"/>
    </row>
    <row r="69" customFormat="false" ht="15" hidden="false" customHeight="false" outlineLevel="0" collapsed="false">
      <c r="B69" s="18" t="s">
        <v>421</v>
      </c>
    </row>
    <row r="70" customFormat="false" ht="15" hidden="false" customHeight="false" outlineLevel="0" collapsed="false">
      <c r="B70" s="5" t="s">
        <v>414</v>
      </c>
      <c r="D70" s="6" t="n">
        <f aca="false">I52</f>
        <v>32887.35</v>
      </c>
    </row>
    <row r="71" customFormat="false" ht="15" hidden="false" customHeight="false" outlineLevel="0" collapsed="false">
      <c r="B71" s="5" t="s">
        <v>415</v>
      </c>
      <c r="D71" s="6" t="n">
        <f aca="false">I67</f>
        <v>105668.35</v>
      </c>
    </row>
    <row r="72" customFormat="false" ht="15" hidden="false" customHeight="false" outlineLevel="0" collapsed="false">
      <c r="B72" s="11" t="s">
        <v>421</v>
      </c>
      <c r="D72" s="29" t="n">
        <f aca="false">D70-D71</f>
        <v>-72781</v>
      </c>
    </row>
    <row r="74" customFormat="false" ht="15" hidden="false" customHeight="false" outlineLevel="0" collapsed="false">
      <c r="A74" s="10" t="s">
        <v>422</v>
      </c>
    </row>
    <row r="75" customFormat="false" ht="15" hidden="false" customHeight="false" outlineLevel="0" collapsed="false">
      <c r="B75" s="11" t="s">
        <v>445</v>
      </c>
      <c r="D75" s="12" t="n">
        <f aca="false">D112</f>
        <v>398758.21</v>
      </c>
    </row>
    <row r="76" customFormat="false" ht="15" hidden="false" customHeight="false" outlineLevel="0" collapsed="false">
      <c r="B76" s="5" t="s">
        <v>446</v>
      </c>
      <c r="D76" s="6" t="n">
        <f aca="false">F112</f>
        <v>104668.73</v>
      </c>
    </row>
    <row r="77" customFormat="false" ht="15" hidden="false" customHeight="false" outlineLevel="0" collapsed="false">
      <c r="B77" s="30" t="s">
        <v>425</v>
      </c>
      <c r="D77" s="31" t="n">
        <f aca="false">F113</f>
        <v>0.262486708424135</v>
      </c>
    </row>
    <row r="78" customFormat="false" ht="15" hidden="false" customHeight="false" outlineLevel="0" collapsed="false">
      <c r="B78" s="5" t="s">
        <v>447</v>
      </c>
      <c r="D78" s="6" t="n">
        <f aca="false">H112</f>
        <v>294089.48</v>
      </c>
    </row>
    <row r="79" customFormat="false" ht="15" hidden="false" customHeight="false" outlineLevel="0" collapsed="false">
      <c r="B79" s="30" t="s">
        <v>425</v>
      </c>
      <c r="D79" s="31" t="n">
        <f aca="false">H113</f>
        <v>0.737513291575865</v>
      </c>
    </row>
    <row r="81" customFormat="false" ht="15" hidden="false" customHeight="false" outlineLevel="0" collapsed="false">
      <c r="A81" s="10" t="s">
        <v>427</v>
      </c>
    </row>
    <row r="82" customFormat="false" ht="15" hidden="false" customHeight="false" outlineLevel="0" collapsed="false">
      <c r="B82" s="4" t="s">
        <v>428</v>
      </c>
      <c r="D82" s="4" t="s">
        <v>397</v>
      </c>
      <c r="F82" s="4" t="s">
        <v>448</v>
      </c>
      <c r="H82" s="4" t="s">
        <v>430</v>
      </c>
    </row>
    <row r="83" customFormat="false" ht="15" hidden="false" customHeight="false" outlineLevel="0" collapsed="false">
      <c r="B83" s="32" t="s">
        <v>449</v>
      </c>
    </row>
    <row r="84" customFormat="false" ht="15" hidden="false" customHeight="false" outlineLevel="0" collapsed="false">
      <c r="B84" s="5" t="s">
        <v>450</v>
      </c>
      <c r="D84" s="33" t="n">
        <f aca="false">SUM(F84:H84)</f>
        <v>31452.73</v>
      </c>
      <c r="F84" s="33" t="n">
        <v>31452.73</v>
      </c>
    </row>
    <row r="85" customFormat="false" ht="15" hidden="false" customHeight="false" outlineLevel="0" collapsed="false">
      <c r="B85" s="5" t="s">
        <v>451</v>
      </c>
      <c r="D85" s="33" t="n">
        <f aca="false">SUM(F85:H85)</f>
        <v>8394.17</v>
      </c>
      <c r="F85" s="33" t="n">
        <v>8394.17</v>
      </c>
    </row>
    <row r="86" customFormat="false" ht="15" hidden="false" customHeight="false" outlineLevel="0" collapsed="false">
      <c r="B86" s="5" t="s">
        <v>452</v>
      </c>
      <c r="D86" s="33" t="n">
        <f aca="false">SUM(F86:H86)</f>
        <v>32815.9</v>
      </c>
      <c r="F86" s="33" t="n">
        <v>32815.9</v>
      </c>
    </row>
    <row r="87" customFormat="false" ht="15" hidden="false" customHeight="false" outlineLevel="0" collapsed="false">
      <c r="B87" s="5" t="s">
        <v>453</v>
      </c>
      <c r="D87" s="33" t="n">
        <f aca="false">SUM(F87:H87)</f>
        <v>2648.72</v>
      </c>
      <c r="F87" s="33" t="n">
        <v>2648.72</v>
      </c>
    </row>
    <row r="88" customFormat="false" ht="15" hidden="false" customHeight="false" outlineLevel="0" collapsed="false">
      <c r="B88" s="5" t="s">
        <v>454</v>
      </c>
      <c r="D88" s="33" t="n">
        <f aca="false">SUM(F88:H88)</f>
        <v>394.4</v>
      </c>
      <c r="F88" s="33" t="n">
        <v>394.4</v>
      </c>
    </row>
    <row r="89" customFormat="false" ht="15" hidden="false" customHeight="false" outlineLevel="0" collapsed="false">
      <c r="B89" s="5" t="s">
        <v>455</v>
      </c>
      <c r="D89" s="33" t="n">
        <f aca="false">SUM(F89:H89)</f>
        <v>5344.3</v>
      </c>
      <c r="F89" s="33" t="n">
        <v>5344.3</v>
      </c>
    </row>
    <row r="90" customFormat="false" ht="15" hidden="false" customHeight="false" outlineLevel="0" collapsed="false">
      <c r="B90" s="5" t="s">
        <v>456</v>
      </c>
      <c r="D90" s="33" t="n">
        <f aca="false">SUM(F90:H90)</f>
        <v>2858.97</v>
      </c>
      <c r="F90" s="33" t="n">
        <v>2858.97</v>
      </c>
    </row>
    <row r="91" customFormat="false" ht="15" hidden="false" customHeight="false" outlineLevel="0" collapsed="false">
      <c r="B91" s="5" t="s">
        <v>457</v>
      </c>
      <c r="D91" s="33" t="n">
        <f aca="false">SUM(F91:H91)</f>
        <v>9687.68</v>
      </c>
      <c r="F91" s="33" t="n">
        <v>9687.68</v>
      </c>
    </row>
    <row r="92" customFormat="false" ht="15" hidden="false" customHeight="false" outlineLevel="0" collapsed="false">
      <c r="B92" s="5" t="s">
        <v>458</v>
      </c>
      <c r="D92" s="33" t="n">
        <f aca="false">SUM(F92:H92)</f>
        <v>2139.23</v>
      </c>
      <c r="F92" s="33" t="n">
        <v>2139.23</v>
      </c>
    </row>
    <row r="93" customFormat="false" ht="15" hidden="false" customHeight="false" outlineLevel="0" collapsed="false">
      <c r="B93" s="5" t="s">
        <v>459</v>
      </c>
      <c r="D93" s="33" t="n">
        <f aca="false">SUM(F93:H93)</f>
        <v>605.69</v>
      </c>
      <c r="F93" s="33" t="n">
        <v>605.69</v>
      </c>
    </row>
    <row r="94" customFormat="false" ht="15" hidden="false" customHeight="false" outlineLevel="0" collapsed="false">
      <c r="B94" s="5" t="s">
        <v>460</v>
      </c>
      <c r="D94" s="33" t="n">
        <f aca="false">SUM(F94:H94)</f>
        <v>8326.94</v>
      </c>
      <c r="F94" s="33" t="n">
        <v>8326.94</v>
      </c>
    </row>
    <row r="95" customFormat="false" ht="15" hidden="false" customHeight="false" outlineLevel="0" collapsed="false">
      <c r="B95" s="32" t="s">
        <v>461</v>
      </c>
    </row>
    <row r="96" customFormat="false" ht="15" hidden="false" customHeight="false" outlineLevel="0" collapsed="false">
      <c r="B96" s="5" t="s">
        <v>462</v>
      </c>
      <c r="D96" s="33" t="n">
        <f aca="false">SUM(F96:H96)</f>
        <v>16256.26</v>
      </c>
      <c r="H96" s="33" t="n">
        <v>16256.26</v>
      </c>
    </row>
    <row r="97" customFormat="false" ht="15" hidden="false" customHeight="false" outlineLevel="0" collapsed="false">
      <c r="B97" s="5" t="s">
        <v>463</v>
      </c>
      <c r="D97" s="33" t="n">
        <f aca="false">SUM(F97:H97)</f>
        <v>21691.79</v>
      </c>
      <c r="H97" s="33" t="n">
        <v>21691.79</v>
      </c>
    </row>
    <row r="98" customFormat="false" ht="15" hidden="false" customHeight="false" outlineLevel="0" collapsed="false">
      <c r="B98" s="5" t="s">
        <v>464</v>
      </c>
      <c r="D98" s="33" t="n">
        <f aca="false">SUM(F98:H98)</f>
        <v>31892.38</v>
      </c>
      <c r="H98" s="33" t="n">
        <v>31892.38</v>
      </c>
    </row>
    <row r="99" customFormat="false" ht="15" hidden="false" customHeight="false" outlineLevel="0" collapsed="false">
      <c r="B99" s="5" t="s">
        <v>465</v>
      </c>
      <c r="D99" s="33" t="n">
        <f aca="false">SUM(F99:H99)</f>
        <v>29436.62</v>
      </c>
      <c r="H99" s="33" t="n">
        <v>29436.62</v>
      </c>
    </row>
    <row r="100" customFormat="false" ht="15" hidden="false" customHeight="false" outlineLevel="0" collapsed="false">
      <c r="B100" s="5" t="s">
        <v>466</v>
      </c>
      <c r="D100" s="33" t="n">
        <f aca="false">SUM(F100:H100)</f>
        <v>27723.88</v>
      </c>
      <c r="H100" s="33" t="n">
        <v>27723.88</v>
      </c>
    </row>
    <row r="101" customFormat="false" ht="15" hidden="false" customHeight="false" outlineLevel="0" collapsed="false">
      <c r="B101" s="5" t="s">
        <v>467</v>
      </c>
      <c r="D101" s="33" t="n">
        <f aca="false">SUM(F101:H101)</f>
        <v>1864.29</v>
      </c>
      <c r="H101" s="33" t="n">
        <v>1864.29</v>
      </c>
    </row>
    <row r="102" customFormat="false" ht="15" hidden="false" customHeight="false" outlineLevel="0" collapsed="false">
      <c r="B102" s="5" t="s">
        <v>468</v>
      </c>
      <c r="D102" s="33" t="n">
        <f aca="false">SUM(F102:H102)</f>
        <v>21222.77</v>
      </c>
      <c r="H102" s="33" t="n">
        <v>21222.77</v>
      </c>
    </row>
    <row r="103" customFormat="false" ht="15" hidden="false" customHeight="false" outlineLevel="0" collapsed="false">
      <c r="B103" s="5" t="s">
        <v>469</v>
      </c>
      <c r="D103" s="33" t="n">
        <f aca="false">SUM(F103:H103)</f>
        <v>16292.68</v>
      </c>
      <c r="H103" s="33" t="n">
        <v>16292.68</v>
      </c>
    </row>
    <row r="104" customFormat="false" ht="15" hidden="false" customHeight="false" outlineLevel="0" collapsed="false">
      <c r="B104" s="5" t="s">
        <v>470</v>
      </c>
      <c r="D104" s="33" t="n">
        <f aca="false">SUM(F104:H104)</f>
        <v>12258.17</v>
      </c>
      <c r="H104" s="33" t="n">
        <v>12258.17</v>
      </c>
    </row>
    <row r="105" customFormat="false" ht="15" hidden="false" customHeight="false" outlineLevel="0" collapsed="false">
      <c r="B105" s="5" t="s">
        <v>471</v>
      </c>
      <c r="D105" s="33" t="n">
        <f aca="false">SUM(F105:H105)</f>
        <v>14614.91</v>
      </c>
      <c r="H105" s="33" t="n">
        <v>14614.91</v>
      </c>
    </row>
    <row r="106" customFormat="false" ht="15" hidden="false" customHeight="false" outlineLevel="0" collapsed="false">
      <c r="B106" s="5" t="s">
        <v>472</v>
      </c>
      <c r="D106" s="33" t="n">
        <f aca="false">SUM(F106:H106)</f>
        <v>38542.73</v>
      </c>
      <c r="H106" s="33" t="n">
        <v>38542.73</v>
      </c>
    </row>
    <row r="107" customFormat="false" ht="15" hidden="false" customHeight="false" outlineLevel="0" collapsed="false">
      <c r="B107" s="5" t="s">
        <v>473</v>
      </c>
      <c r="D107" s="33" t="n">
        <f aca="false">SUM(F107:H107)</f>
        <v>15289.77</v>
      </c>
      <c r="H107" s="33" t="n">
        <v>15289.77</v>
      </c>
    </row>
    <row r="108" customFormat="false" ht="15" hidden="false" customHeight="false" outlineLevel="0" collapsed="false">
      <c r="B108" s="5" t="s">
        <v>474</v>
      </c>
      <c r="D108" s="33" t="n">
        <f aca="false">SUM(F108:H108)</f>
        <v>37866.59</v>
      </c>
      <c r="H108" s="33" t="n">
        <v>37866.59</v>
      </c>
    </row>
    <row r="109" customFormat="false" ht="15" hidden="false" customHeight="false" outlineLevel="0" collapsed="false">
      <c r="B109" s="5" t="s">
        <v>475</v>
      </c>
      <c r="D109" s="33" t="n">
        <f aca="false">SUM(F109:H109)</f>
        <v>3514.89</v>
      </c>
      <c r="H109" s="33" t="n">
        <v>3514.89</v>
      </c>
    </row>
    <row r="110" customFormat="false" ht="15" hidden="false" customHeight="false" outlineLevel="0" collapsed="false">
      <c r="B110" s="5" t="s">
        <v>476</v>
      </c>
      <c r="D110" s="33" t="n">
        <f aca="false">SUM(F110:H110)</f>
        <v>3740.86</v>
      </c>
      <c r="H110" s="33" t="n">
        <v>3740.86</v>
      </c>
    </row>
    <row r="111" customFormat="false" ht="15" hidden="false" customHeight="false" outlineLevel="0" collapsed="false">
      <c r="B111" s="5" t="s">
        <v>477</v>
      </c>
      <c r="D111" s="33" t="n">
        <f aca="false">SUM(F111:H111)</f>
        <v>1880.89</v>
      </c>
      <c r="H111" s="33" t="n">
        <v>1880.89</v>
      </c>
    </row>
    <row r="112" customFormat="false" ht="15" hidden="false" customHeight="false" outlineLevel="0" collapsed="false">
      <c r="B112" s="11" t="s">
        <v>445</v>
      </c>
      <c r="D112" s="34" t="n">
        <f aca="false">SUM(D83:D111)</f>
        <v>398758.21</v>
      </c>
      <c r="F112" s="34" t="n">
        <f aca="false">SUM(F83:F111)</f>
        <v>104668.73</v>
      </c>
      <c r="H112" s="34" t="n">
        <f aca="false">SUM(H83:H111)</f>
        <v>294089.48</v>
      </c>
    </row>
    <row r="113" customFormat="false" ht="15" hidden="false" customHeight="false" outlineLevel="0" collapsed="false">
      <c r="B113" s="30" t="s">
        <v>425</v>
      </c>
      <c r="F113" s="31" t="n">
        <f aca="false">F112/D112</f>
        <v>0.262486708424135</v>
      </c>
      <c r="H113" s="31" t="n">
        <f aca="false">H112/D112</f>
        <v>0.737513291575865</v>
      </c>
    </row>
    <row r="115" customFormat="false" ht="15" hidden="false" customHeight="false" outlineLevel="0" collapsed="false">
      <c r="A115" s="10" t="s">
        <v>440</v>
      </c>
    </row>
    <row r="116" customFormat="false" ht="15" hidden="false" customHeight="false" outlineLevel="0" collapsed="false">
      <c r="B116" s="4" t="s">
        <v>441</v>
      </c>
      <c r="D116" s="4" t="s">
        <v>397</v>
      </c>
      <c r="F116" s="4" t="s">
        <v>448</v>
      </c>
      <c r="H116" s="4" t="s">
        <v>430</v>
      </c>
    </row>
    <row r="117" customFormat="false" ht="15" hidden="false" customHeight="false" outlineLevel="0" collapsed="false">
      <c r="B117" s="5" t="str">
        <f aca="false">'Building 13'!B21</f>
        <v>10-Building-Post Casualty Loss Basis-bldg13-5</v>
      </c>
      <c r="D117" s="33" t="n">
        <f aca="false">SUM(F117:H117)</f>
        <v>16882.61</v>
      </c>
      <c r="F117" s="33" t="n">
        <f aca="false">'Building 13'!D21</f>
        <v>16882.61</v>
      </c>
    </row>
    <row r="118" customFormat="false" ht="15" hidden="false" customHeight="false" outlineLevel="0" collapsed="false">
      <c r="B118" s="5" t="str">
        <f aca="false">'Building 13'!B22</f>
        <v>10-Building-Post Casualty Loss Basis-bldg13-</v>
      </c>
      <c r="D118" s="33" t="n">
        <f aca="false">SUM(F118:H118)</f>
        <v>47435.37</v>
      </c>
      <c r="H118" s="33" t="n">
        <f aca="false">'Building 13'!D22</f>
        <v>47435.37</v>
      </c>
    </row>
    <row r="119" customFormat="false" ht="15" hidden="false" customHeight="false" outlineLevel="0" collapsed="false">
      <c r="B119" s="5" t="str">
        <f aca="false">'Building 13'!B23</f>
        <v>12-New Buildings(16 units)-bldg13-5yr</v>
      </c>
      <c r="D119" s="33" t="n">
        <f aca="false">SUM(F119:H119)</f>
        <v>9054.67</v>
      </c>
      <c r="F119" s="33" t="n">
        <f aca="false">'Building 13'!D23</f>
        <v>9054.67</v>
      </c>
    </row>
    <row r="120" customFormat="false" ht="15" hidden="false" customHeight="false" outlineLevel="0" collapsed="false">
      <c r="B120" s="5" t="str">
        <f aca="false">'Building 13'!B24</f>
        <v>12-New Buildings(16 units)-bldg13-30yr</v>
      </c>
      <c r="D120" s="33" t="n">
        <f aca="false">SUM(F120:H120)</f>
        <v>25441.07</v>
      </c>
      <c r="H120" s="33" t="n">
        <f aca="false">'Building 13'!D24</f>
        <v>25441.07</v>
      </c>
    </row>
    <row r="121" customFormat="false" ht="15" hidden="false" customHeight="false" outlineLevel="0" collapsed="false">
      <c r="B121" s="5" t="str">
        <f aca="false">'Building 13'!B25</f>
        <v>14-New Buildings(105 units)-bldg13-5yr</v>
      </c>
      <c r="D121" s="33" t="n">
        <f aca="false">SUM(F121:H121)</f>
        <v>60688.77</v>
      </c>
      <c r="F121" s="33" t="n">
        <f aca="false">'Building 13'!D25</f>
        <v>60688.77</v>
      </c>
    </row>
    <row r="122" customFormat="false" ht="15" hidden="false" customHeight="false" outlineLevel="0" collapsed="false">
      <c r="B122" s="5" t="str">
        <f aca="false">'Building 13'!B26</f>
        <v>14-New Buildings(105 units)-bldg13-30yr</v>
      </c>
      <c r="D122" s="33" t="n">
        <f aca="false">SUM(F122:H122)</f>
        <v>170518.26</v>
      </c>
      <c r="H122" s="33" t="n">
        <f aca="false">'Building 13'!D26</f>
        <v>170518.26</v>
      </c>
    </row>
    <row r="123" customFormat="false" ht="15" hidden="false" customHeight="false" outlineLevel="0" collapsed="false">
      <c r="B123" s="5" t="str">
        <f aca="false">'Building 13'!B27</f>
        <v>11-Building Imp-Post-Casulty Loss Basis-bld13</v>
      </c>
      <c r="D123" s="33" t="n">
        <f aca="false">SUM(F123:H123)</f>
        <v>424.3</v>
      </c>
      <c r="F123" s="33" t="n">
        <f aca="false">'Building 13'!D27</f>
        <v>424.3</v>
      </c>
    </row>
    <row r="124" customFormat="false" ht="15" hidden="false" customHeight="false" outlineLevel="0" collapsed="false">
      <c r="B124" s="5" t="str">
        <f aca="false">'Building 13'!B28</f>
        <v>11-Building Imp-Post-Casulty Loss Basis-bld13</v>
      </c>
      <c r="D124" s="33" t="n">
        <f aca="false">SUM(F124:H124)</f>
        <v>1192.18</v>
      </c>
      <c r="H124" s="33" t="n">
        <f aca="false">'Building 13'!D28</f>
        <v>1192.18</v>
      </c>
    </row>
    <row r="125" customFormat="false" ht="15" hidden="false" customHeight="false" outlineLevel="0" collapsed="false">
      <c r="B125" s="5" t="str">
        <f aca="false">'Building 13'!B29</f>
        <v>2-Land Improvements-bldg13-5yr</v>
      </c>
      <c r="D125" s="33" t="n">
        <f aca="false">SUM(F125:H125)</f>
        <v>2308.83</v>
      </c>
      <c r="F125" s="33" t="n">
        <f aca="false">'Building 13'!D29</f>
        <v>2308.83</v>
      </c>
    </row>
    <row r="126" customFormat="false" ht="15" hidden="false" customHeight="false" outlineLevel="0" collapsed="false">
      <c r="B126" s="5" t="str">
        <f aca="false">'Building 13'!B30</f>
        <v>2-Land Improvements-bldg13-30yr</v>
      </c>
      <c r="D126" s="33" t="n">
        <f aca="false">SUM(F126:H126)</f>
        <v>6487.14</v>
      </c>
      <c r="H126" s="33" t="n">
        <f aca="false">'Building 13'!D30</f>
        <v>6487.14</v>
      </c>
    </row>
    <row r="127" customFormat="false" ht="15" hidden="false" customHeight="false" outlineLevel="0" collapsed="false">
      <c r="B127" s="5" t="str">
        <f aca="false">'Building 13'!B31</f>
        <v>13-New Equipment(16 units)-bldg13-5yr</v>
      </c>
      <c r="D127" s="33" t="n">
        <f aca="false">SUM(F127:H127)</f>
        <v>1987.61</v>
      </c>
      <c r="F127" s="33" t="n">
        <f aca="false">'Building 13'!D31</f>
        <v>1987.61</v>
      </c>
    </row>
    <row r="128" customFormat="false" ht="15" hidden="false" customHeight="false" outlineLevel="0" collapsed="false">
      <c r="B128" s="5" t="str">
        <f aca="false">'Building 13'!B32</f>
        <v>13-New Equipment(16 units)-bldg13-30yr</v>
      </c>
      <c r="D128" s="33" t="n">
        <f aca="false">SUM(F128:H128)</f>
        <v>5584.62</v>
      </c>
      <c r="H128" s="33" t="n">
        <f aca="false">'Building 13'!D32</f>
        <v>5584.62</v>
      </c>
    </row>
    <row r="129" customFormat="false" ht="15" hidden="false" customHeight="false" outlineLevel="0" collapsed="false">
      <c r="B129" s="5" t="str">
        <f aca="false">'Building 13'!B33</f>
        <v>15-New Equipment(105 units)-bldg13-5yr</v>
      </c>
      <c r="D129" s="33" t="n">
        <f aca="false">SUM(F129:H129)</f>
        <v>13321.94</v>
      </c>
      <c r="F129" s="33" t="n">
        <f aca="false">'Building 13'!D33</f>
        <v>13321.94</v>
      </c>
    </row>
    <row r="130" customFormat="false" ht="15" hidden="false" customHeight="false" outlineLevel="0" collapsed="false">
      <c r="B130" s="5" t="str">
        <f aca="false">'Building 13'!B34</f>
        <v>15-New Equipment(105 units)-bldg13-30yr</v>
      </c>
      <c r="D130" s="33" t="n">
        <f aca="false">SUM(F130:H130)</f>
        <v>37430.84</v>
      </c>
      <c r="H130" s="33" t="n">
        <f aca="false">'Building 13'!D34</f>
        <v>37430.84</v>
      </c>
    </row>
    <row r="131" customFormat="false" ht="15" hidden="false" customHeight="false" outlineLevel="0" collapsed="false">
      <c r="B131" s="11" t="s">
        <v>442</v>
      </c>
      <c r="D131" s="34" t="n">
        <f aca="false">SUM(D117:D130)</f>
        <v>398758.21</v>
      </c>
      <c r="F131" s="34" t="n">
        <f aca="false">SUM(F117:F130)</f>
        <v>104668.73</v>
      </c>
      <c r="H131" s="34" t="n">
        <f aca="false">SUM(H117:H130)</f>
        <v>294089.48</v>
      </c>
    </row>
    <row r="132" customFormat="false" ht="15" hidden="false" customHeight="false" outlineLevel="0" collapsed="false">
      <c r="B132" s="16" t="s">
        <v>443</v>
      </c>
      <c r="D132" s="17" t="n">
        <f aca="false">D131-D112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495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115</v>
      </c>
      <c r="C10" s="23" t="s">
        <v>25</v>
      </c>
      <c r="D10" s="24" t="n">
        <v>72282.57</v>
      </c>
      <c r="E10" s="24" t="n">
        <v>0</v>
      </c>
      <c r="F10" s="24" t="n">
        <v>0</v>
      </c>
      <c r="G10" s="24" t="n">
        <v>7464.98</v>
      </c>
      <c r="H10" s="24" t="n">
        <v>2632.18</v>
      </c>
      <c r="I10" s="24" t="n">
        <f aca="false">G10+H10</f>
        <v>10097.16</v>
      </c>
      <c r="J10" s="24" t="n">
        <f aca="false">D10-I10</f>
        <v>62185.41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116</v>
      </c>
      <c r="C11" s="23" t="s">
        <v>27</v>
      </c>
      <c r="D11" s="24" t="n">
        <v>38767.41</v>
      </c>
      <c r="E11" s="24" t="n">
        <v>0</v>
      </c>
      <c r="F11" s="24" t="n">
        <v>0</v>
      </c>
      <c r="G11" s="24" t="n">
        <v>1346.12</v>
      </c>
      <c r="H11" s="24" t="n">
        <v>1292.24</v>
      </c>
      <c r="I11" s="24" t="n">
        <f aca="false">G11+H11</f>
        <v>2638.36</v>
      </c>
      <c r="J11" s="24" t="n">
        <f aca="false">D11-I11</f>
        <v>36129.05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117</v>
      </c>
      <c r="C12" s="23" t="s">
        <v>29</v>
      </c>
      <c r="D12" s="24" t="n">
        <v>259837.74</v>
      </c>
      <c r="E12" s="24" t="n">
        <v>0</v>
      </c>
      <c r="F12" s="24" t="n">
        <v>0</v>
      </c>
      <c r="G12" s="24" t="n">
        <v>6135.05</v>
      </c>
      <c r="H12" s="24" t="n">
        <v>8661.27</v>
      </c>
      <c r="I12" s="24" t="n">
        <f aca="false">G12+H12</f>
        <v>14796.32</v>
      </c>
      <c r="J12" s="24" t="n">
        <f aca="false">D12-I12</f>
        <v>245041.42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1816.65</v>
      </c>
      <c r="E13" s="24" t="n">
        <v>0</v>
      </c>
      <c r="F13" s="24" t="n">
        <v>0</v>
      </c>
      <c r="G13" s="24" t="n">
        <v>136.79</v>
      </c>
      <c r="H13" s="24" t="n">
        <v>62.89</v>
      </c>
      <c r="I13" s="24" t="n">
        <f aca="false">G13+H13</f>
        <v>199.68</v>
      </c>
      <c r="J13" s="24" t="n">
        <f aca="false">D13-I13</f>
        <v>1616.97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118</v>
      </c>
      <c r="C14" s="23" t="s">
        <v>25</v>
      </c>
      <c r="D14" s="24" t="n">
        <v>9885.18</v>
      </c>
      <c r="E14" s="24" t="n">
        <v>0</v>
      </c>
      <c r="F14" s="24" t="n">
        <v>2536.17</v>
      </c>
      <c r="G14" s="24" t="n">
        <v>2536.17</v>
      </c>
      <c r="H14" s="24" t="n">
        <v>760.23</v>
      </c>
      <c r="I14" s="24" t="n">
        <f aca="false">G14+H14</f>
        <v>3296.4</v>
      </c>
      <c r="J14" s="24" t="n">
        <f aca="false">D14-I14</f>
        <v>6588.78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119</v>
      </c>
      <c r="C15" s="23" t="s">
        <v>27</v>
      </c>
      <c r="D15" s="24" t="n">
        <v>8509.91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8509.91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120</v>
      </c>
      <c r="C16" s="23" t="s">
        <v>29</v>
      </c>
      <c r="D16" s="24" t="n">
        <v>57037.57</v>
      </c>
      <c r="E16" s="24" t="n">
        <v>0</v>
      </c>
      <c r="F16" s="24" t="n">
        <v>0</v>
      </c>
      <c r="G16" s="24" t="n">
        <v>2281.5</v>
      </c>
      <c r="H16" s="24" t="n">
        <v>3650.41</v>
      </c>
      <c r="I16" s="24" t="n">
        <f aca="false">G16+H16</f>
        <v>5931.91</v>
      </c>
      <c r="J16" s="24" t="n">
        <f aca="false">D16-I16</f>
        <v>51105.66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448137.03</v>
      </c>
      <c r="E17" s="28" t="n">
        <f aca="false">SUM(E10:E16)</f>
        <v>0</v>
      </c>
      <c r="F17" s="28" t="n">
        <f aca="false">SUM(F10:F16)</f>
        <v>2536.17</v>
      </c>
      <c r="G17" s="28" t="n">
        <f aca="false">SUM(G10:G16)</f>
        <v>19900.61</v>
      </c>
      <c r="H17" s="28" t="n">
        <f aca="false">SUM(H10:H16)</f>
        <v>17059.22</v>
      </c>
      <c r="I17" s="28" t="n">
        <f aca="false">SUM(I10:I16)</f>
        <v>36959.83</v>
      </c>
      <c r="J17" s="28" t="n">
        <f aca="false">SUM(J10:J16)</f>
        <v>411177.2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326</v>
      </c>
      <c r="C21" s="23" t="s">
        <v>25</v>
      </c>
      <c r="D21" s="24" t="n">
        <v>18042.22</v>
      </c>
      <c r="E21" s="24" t="n">
        <v>0</v>
      </c>
      <c r="F21" s="24" t="n">
        <v>18042.22</v>
      </c>
      <c r="G21" s="24" t="n">
        <v>18042.22</v>
      </c>
      <c r="H21" s="24" t="n">
        <v>0</v>
      </c>
      <c r="I21" s="24" t="n">
        <f aca="false">G21+H21</f>
        <v>18042.22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327</v>
      </c>
      <c r="C22" s="23" t="s">
        <v>25</v>
      </c>
      <c r="D22" s="24" t="n">
        <v>54240.35</v>
      </c>
      <c r="E22" s="24" t="n">
        <v>0</v>
      </c>
      <c r="F22" s="24" t="n">
        <v>0</v>
      </c>
      <c r="G22" s="24" t="n">
        <v>9718.05</v>
      </c>
      <c r="H22" s="24" t="n">
        <v>1808.01</v>
      </c>
      <c r="I22" s="24" t="n">
        <f aca="false">G22+H22</f>
        <v>11526.06</v>
      </c>
      <c r="J22" s="24" t="n">
        <f aca="false">D22-I22</f>
        <v>42714.29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328</v>
      </c>
      <c r="C23" s="23" t="s">
        <v>27</v>
      </c>
      <c r="D23" s="24" t="n">
        <v>9676.61</v>
      </c>
      <c r="E23" s="24" t="n">
        <v>0</v>
      </c>
      <c r="F23" s="24" t="n">
        <v>9676.61</v>
      </c>
      <c r="G23" s="24" t="n">
        <v>9676.61</v>
      </c>
      <c r="H23" s="24" t="n">
        <v>0</v>
      </c>
      <c r="I23" s="24" t="n">
        <f aca="false">G23+H23</f>
        <v>9676.61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329</v>
      </c>
      <c r="C24" s="23" t="s">
        <v>27</v>
      </c>
      <c r="D24" s="24" t="n">
        <v>29090.8</v>
      </c>
      <c r="E24" s="24" t="n">
        <v>0</v>
      </c>
      <c r="F24" s="24" t="n">
        <v>0</v>
      </c>
      <c r="G24" s="24" t="n">
        <v>1010.09</v>
      </c>
      <c r="H24" s="24" t="n">
        <v>969.69</v>
      </c>
      <c r="I24" s="24" t="n">
        <f aca="false">G24+H24</f>
        <v>1979.78</v>
      </c>
      <c r="J24" s="24" t="n">
        <f aca="false">D24-I24</f>
        <v>27111.02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330</v>
      </c>
      <c r="C25" s="23" t="s">
        <v>29</v>
      </c>
      <c r="D25" s="24" t="n">
        <v>64857.26</v>
      </c>
      <c r="E25" s="24" t="n">
        <v>0</v>
      </c>
      <c r="F25" s="24" t="n">
        <v>51885.81</v>
      </c>
      <c r="G25" s="24" t="n">
        <v>54480.1</v>
      </c>
      <c r="H25" s="24" t="n">
        <v>4150.86</v>
      </c>
      <c r="I25" s="24" t="n">
        <f aca="false">G25+H25</f>
        <v>58630.96</v>
      </c>
      <c r="J25" s="24" t="n">
        <f aca="false">D25-I25</f>
        <v>6226.3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331</v>
      </c>
      <c r="C26" s="23" t="s">
        <v>29</v>
      </c>
      <c r="D26" s="24" t="n">
        <v>194980.48</v>
      </c>
      <c r="E26" s="24" t="n">
        <v>0</v>
      </c>
      <c r="F26" s="24" t="n">
        <v>0</v>
      </c>
      <c r="G26" s="24" t="n">
        <v>4603.71</v>
      </c>
      <c r="H26" s="24" t="n">
        <v>6499.35</v>
      </c>
      <c r="I26" s="24" t="n">
        <f aca="false">G26+H26</f>
        <v>11103.06</v>
      </c>
      <c r="J26" s="24" t="n">
        <f aca="false">D26-I26</f>
        <v>183877.42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332</v>
      </c>
      <c r="C27" s="23" t="s">
        <v>31</v>
      </c>
      <c r="D27" s="24" t="n">
        <v>453.45</v>
      </c>
      <c r="E27" s="24" t="n">
        <v>0</v>
      </c>
      <c r="F27" s="24" t="n">
        <v>453.45</v>
      </c>
      <c r="G27" s="24" t="n">
        <v>453.45</v>
      </c>
      <c r="H27" s="24" t="n">
        <v>0</v>
      </c>
      <c r="I27" s="24" t="n">
        <f aca="false">G27+H27</f>
        <v>453.45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332</v>
      </c>
      <c r="C28" s="23" t="s">
        <v>31</v>
      </c>
      <c r="D28" s="24" t="n">
        <v>1363.2</v>
      </c>
      <c r="E28" s="24" t="n">
        <v>0</v>
      </c>
      <c r="F28" s="24" t="n">
        <v>0</v>
      </c>
      <c r="G28" s="24" t="n">
        <v>149.57</v>
      </c>
      <c r="H28" s="24" t="n">
        <v>45.44</v>
      </c>
      <c r="I28" s="24" t="n">
        <f aca="false">G28+H28</f>
        <v>195.01</v>
      </c>
      <c r="J28" s="24" t="n">
        <f aca="false">D28-I28</f>
        <v>1168.19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333</v>
      </c>
      <c r="C29" s="23" t="s">
        <v>25</v>
      </c>
      <c r="D29" s="24" t="n">
        <v>2467.41</v>
      </c>
      <c r="E29" s="24" t="n">
        <v>0</v>
      </c>
      <c r="F29" s="24" t="n">
        <v>2467.41</v>
      </c>
      <c r="G29" s="24" t="n">
        <v>2467.41</v>
      </c>
      <c r="H29" s="24" t="n">
        <v>0</v>
      </c>
      <c r="I29" s="24" t="n">
        <f aca="false">G29+H29</f>
        <v>2467.41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334</v>
      </c>
      <c r="C30" s="23" t="s">
        <v>25</v>
      </c>
      <c r="D30" s="24" t="n">
        <v>7417.77</v>
      </c>
      <c r="E30" s="24" t="n">
        <v>0</v>
      </c>
      <c r="F30" s="24" t="n">
        <v>0</v>
      </c>
      <c r="G30" s="24" t="n">
        <v>1329.02</v>
      </c>
      <c r="H30" s="24" t="n">
        <v>247.26</v>
      </c>
      <c r="I30" s="24" t="n">
        <f aca="false">G30+H30</f>
        <v>1576.28</v>
      </c>
      <c r="J30" s="24" t="n">
        <f aca="false">D30-I30</f>
        <v>5841.49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335</v>
      </c>
      <c r="C31" s="23" t="s">
        <v>27</v>
      </c>
      <c r="D31" s="24" t="n">
        <v>2124.13</v>
      </c>
      <c r="E31" s="24" t="n">
        <v>0</v>
      </c>
      <c r="F31" s="24" t="n">
        <v>2124.13</v>
      </c>
      <c r="G31" s="24" t="n">
        <v>2124.13</v>
      </c>
      <c r="H31" s="24" t="n">
        <v>0</v>
      </c>
      <c r="I31" s="24" t="n">
        <f aca="false">G31+H31</f>
        <v>2124.13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336</v>
      </c>
      <c r="C32" s="23" t="s">
        <v>27</v>
      </c>
      <c r="D32" s="24" t="n">
        <v>6385.78</v>
      </c>
      <c r="E32" s="24" t="n">
        <v>0</v>
      </c>
      <c r="F32" s="24" t="n">
        <v>0</v>
      </c>
      <c r="G32" s="24" t="n">
        <v>221.73</v>
      </c>
      <c r="H32" s="24" t="n">
        <v>212.86</v>
      </c>
      <c r="I32" s="24" t="n">
        <f aca="false">G32+H32</f>
        <v>434.59</v>
      </c>
      <c r="J32" s="24" t="n">
        <f aca="false">D32-I32</f>
        <v>5951.19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337</v>
      </c>
      <c r="C33" s="23" t="s">
        <v>29</v>
      </c>
      <c r="D33" s="24" t="n">
        <v>14236.95</v>
      </c>
      <c r="E33" s="24" t="n">
        <v>0</v>
      </c>
      <c r="F33" s="24" t="n">
        <v>11389.56</v>
      </c>
      <c r="G33" s="24" t="n">
        <v>11959.04</v>
      </c>
      <c r="H33" s="24" t="n">
        <v>911.16</v>
      </c>
      <c r="I33" s="24" t="n">
        <f aca="false">G33+H33</f>
        <v>12870.2</v>
      </c>
      <c r="J33" s="24" t="n">
        <f aca="false">D33-I33</f>
        <v>1366.75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338</v>
      </c>
      <c r="C34" s="23" t="s">
        <v>29</v>
      </c>
      <c r="D34" s="24" t="n">
        <v>42800.62</v>
      </c>
      <c r="E34" s="24" t="n">
        <v>0</v>
      </c>
      <c r="F34" s="24" t="n">
        <v>0</v>
      </c>
      <c r="G34" s="24" t="n">
        <v>1010.57</v>
      </c>
      <c r="H34" s="24" t="n">
        <v>1426.69</v>
      </c>
      <c r="I34" s="24" t="n">
        <f aca="false">G34+H34</f>
        <v>2437.26</v>
      </c>
      <c r="J34" s="24" t="n">
        <f aca="false">D34-I34</f>
        <v>40363.36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448137.03</v>
      </c>
      <c r="E35" s="28" t="n">
        <f aca="false">SUM(E21:E34)</f>
        <v>0</v>
      </c>
      <c r="F35" s="28" t="n">
        <f aca="false">SUM(F21:F34)</f>
        <v>96039.19</v>
      </c>
      <c r="G35" s="28" t="n">
        <f aca="false">SUM(G21:G34)</f>
        <v>117245.7</v>
      </c>
      <c r="H35" s="28" t="n">
        <f aca="false">SUM(H21:H34)</f>
        <v>16271.32</v>
      </c>
      <c r="I35" s="28" t="n">
        <f aca="false">SUM(I21:I34)</f>
        <v>133517.02</v>
      </c>
      <c r="J35" s="28" t="n">
        <f aca="false">SUM(J21:J34)</f>
        <v>314620.01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36959.83</v>
      </c>
    </row>
    <row r="39" customFormat="false" ht="15" hidden="false" customHeight="false" outlineLevel="0" collapsed="false">
      <c r="B39" s="5" t="s">
        <v>415</v>
      </c>
      <c r="D39" s="6" t="n">
        <f aca="false">I35</f>
        <v>133517.02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-96557.19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115</v>
      </c>
      <c r="C45" s="23" t="s">
        <v>25</v>
      </c>
      <c r="D45" s="24" t="n">
        <v>72282.57</v>
      </c>
      <c r="E45" s="24" t="n">
        <v>0</v>
      </c>
      <c r="F45" s="24" t="n">
        <v>0</v>
      </c>
      <c r="G45" s="24" t="n">
        <v>7464.98</v>
      </c>
      <c r="H45" s="24" t="n">
        <v>2632.18</v>
      </c>
      <c r="I45" s="24" t="n">
        <f aca="false">G45+H45</f>
        <v>10097.16</v>
      </c>
      <c r="J45" s="24" t="n">
        <f aca="false">D45-I45</f>
        <v>62185.41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116</v>
      </c>
      <c r="C46" s="23" t="s">
        <v>27</v>
      </c>
      <c r="D46" s="24" t="n">
        <v>38767.41</v>
      </c>
      <c r="E46" s="24" t="n">
        <v>0</v>
      </c>
      <c r="F46" s="24" t="n">
        <v>0</v>
      </c>
      <c r="G46" s="24" t="n">
        <v>1346.12</v>
      </c>
      <c r="H46" s="24" t="n">
        <v>1292.24</v>
      </c>
      <c r="I46" s="24" t="n">
        <f aca="false">G46+H46</f>
        <v>2638.36</v>
      </c>
      <c r="J46" s="24" t="n">
        <f aca="false">D46-I46</f>
        <v>36129.05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117</v>
      </c>
      <c r="C47" s="23" t="s">
        <v>29</v>
      </c>
      <c r="D47" s="24" t="n">
        <v>259837.74</v>
      </c>
      <c r="E47" s="24" t="n">
        <v>0</v>
      </c>
      <c r="F47" s="24" t="n">
        <v>0</v>
      </c>
      <c r="G47" s="24" t="n">
        <v>6135.05</v>
      </c>
      <c r="H47" s="24" t="n">
        <v>8661.27</v>
      </c>
      <c r="I47" s="24" t="n">
        <f aca="false">G47+H47</f>
        <v>14796.32</v>
      </c>
      <c r="J47" s="24" t="n">
        <f aca="false">D47-I47</f>
        <v>245041.42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1816.65</v>
      </c>
      <c r="E48" s="24" t="n">
        <v>0</v>
      </c>
      <c r="F48" s="24" t="n">
        <v>0</v>
      </c>
      <c r="G48" s="24" t="n">
        <v>136.79</v>
      </c>
      <c r="H48" s="24" t="n">
        <v>62.89</v>
      </c>
      <c r="I48" s="24" t="n">
        <f aca="false">G48+H48</f>
        <v>199.68</v>
      </c>
      <c r="J48" s="24" t="n">
        <f aca="false">D48-I48</f>
        <v>1616.97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118</v>
      </c>
      <c r="C49" s="23" t="s">
        <v>25</v>
      </c>
      <c r="D49" s="24" t="n">
        <v>9885.18</v>
      </c>
      <c r="E49" s="24" t="n">
        <v>0</v>
      </c>
      <c r="F49" s="24" t="n">
        <v>2536.17</v>
      </c>
      <c r="G49" s="24" t="n">
        <v>2536.17</v>
      </c>
      <c r="H49" s="24" t="n">
        <v>760.23</v>
      </c>
      <c r="I49" s="24" t="n">
        <f aca="false">G49+H49</f>
        <v>3296.4</v>
      </c>
      <c r="J49" s="24" t="n">
        <f aca="false">D49-I49</f>
        <v>6588.78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119</v>
      </c>
      <c r="C50" s="23" t="s">
        <v>27</v>
      </c>
      <c r="D50" s="24" t="n">
        <v>8509.91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8509.91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120</v>
      </c>
      <c r="C51" s="23" t="s">
        <v>29</v>
      </c>
      <c r="D51" s="24" t="n">
        <v>57037.57</v>
      </c>
      <c r="E51" s="24" t="n">
        <v>0</v>
      </c>
      <c r="F51" s="24" t="n">
        <v>0</v>
      </c>
      <c r="G51" s="24" t="n">
        <v>2281.5</v>
      </c>
      <c r="H51" s="24" t="n">
        <v>3650.41</v>
      </c>
      <c r="I51" s="24" t="n">
        <f aca="false">G51+H51</f>
        <v>5931.91</v>
      </c>
      <c r="J51" s="24" t="n">
        <f aca="false">D51-I51</f>
        <v>51105.66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448137.03</v>
      </c>
      <c r="E52" s="28" t="n">
        <f aca="false">SUM(E45:E51)</f>
        <v>0</v>
      </c>
      <c r="F52" s="28" t="n">
        <f aca="false">SUM(F45:F51)</f>
        <v>2536.17</v>
      </c>
      <c r="G52" s="28" t="n">
        <f aca="false">SUM(G45:G51)</f>
        <v>19900.61</v>
      </c>
      <c r="H52" s="28" t="n">
        <f aca="false">SUM(H45:H51)</f>
        <v>17059.22</v>
      </c>
      <c r="I52" s="28" t="n">
        <f aca="false">SUM(I45:I51)</f>
        <v>36959.83</v>
      </c>
      <c r="J52" s="28" t="n">
        <f aca="false">SUM(J45:J51)</f>
        <v>411177.2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326</v>
      </c>
      <c r="C56" s="23" t="s">
        <v>25</v>
      </c>
      <c r="D56" s="24" t="n">
        <v>18042.22</v>
      </c>
      <c r="E56" s="24" t="n">
        <v>0</v>
      </c>
      <c r="F56" s="24" t="n">
        <v>18042.22</v>
      </c>
      <c r="G56" s="24" t="n">
        <v>18042.22</v>
      </c>
      <c r="H56" s="24" t="n">
        <v>0</v>
      </c>
      <c r="I56" s="24" t="n">
        <f aca="false">G56+H56</f>
        <v>18042.22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328</v>
      </c>
      <c r="C57" s="23" t="s">
        <v>27</v>
      </c>
      <c r="D57" s="24" t="n">
        <v>9676.61</v>
      </c>
      <c r="E57" s="24" t="n">
        <v>0</v>
      </c>
      <c r="F57" s="24" t="n">
        <v>9676.61</v>
      </c>
      <c r="G57" s="24" t="n">
        <v>9676.61</v>
      </c>
      <c r="H57" s="24" t="n">
        <v>0</v>
      </c>
      <c r="I57" s="24" t="n">
        <f aca="false">G57+H57</f>
        <v>9676.61</v>
      </c>
      <c r="J57" s="24" t="n">
        <f aca="false">D57-I57</f>
        <v>0</v>
      </c>
      <c r="K57" s="25" t="s">
        <v>410</v>
      </c>
      <c r="L57" s="25" t="s">
        <v>411</v>
      </c>
    </row>
    <row r="58" customFormat="false" ht="15" hidden="false" customHeight="false" outlineLevel="0" collapsed="false">
      <c r="A58" s="23" t="n">
        <v>3</v>
      </c>
      <c r="B58" s="23" t="s">
        <v>329</v>
      </c>
      <c r="C58" s="23" t="s">
        <v>27</v>
      </c>
      <c r="D58" s="24" t="n">
        <v>29090.8</v>
      </c>
      <c r="E58" s="24" t="n">
        <v>0</v>
      </c>
      <c r="F58" s="24" t="n">
        <v>0</v>
      </c>
      <c r="G58" s="24" t="n">
        <v>1010.09</v>
      </c>
      <c r="H58" s="24" t="n">
        <v>969.69</v>
      </c>
      <c r="I58" s="24" t="n">
        <f aca="false">G58+H58</f>
        <v>1979.78</v>
      </c>
      <c r="J58" s="24" t="n">
        <f aca="false">D58-I58</f>
        <v>27111.02</v>
      </c>
      <c r="K58" s="25" t="s">
        <v>406</v>
      </c>
      <c r="L58" s="25" t="s">
        <v>407</v>
      </c>
    </row>
    <row r="59" customFormat="false" ht="15" hidden="false" customHeight="false" outlineLevel="0" collapsed="false">
      <c r="A59" s="23" t="n">
        <v>4</v>
      </c>
      <c r="B59" s="23" t="s">
        <v>330</v>
      </c>
      <c r="C59" s="23" t="s">
        <v>29</v>
      </c>
      <c r="D59" s="24" t="n">
        <v>64857.26</v>
      </c>
      <c r="E59" s="24" t="n">
        <v>0</v>
      </c>
      <c r="F59" s="24" t="n">
        <v>51885.81</v>
      </c>
      <c r="G59" s="24" t="n">
        <v>54480.1</v>
      </c>
      <c r="H59" s="24" t="n">
        <v>4150.86</v>
      </c>
      <c r="I59" s="24" t="n">
        <f aca="false">G59+H59</f>
        <v>58630.96</v>
      </c>
      <c r="J59" s="24" t="n">
        <f aca="false">D59-I59</f>
        <v>6226.3</v>
      </c>
      <c r="K59" s="25" t="s">
        <v>410</v>
      </c>
      <c r="L59" s="25" t="s">
        <v>411</v>
      </c>
    </row>
    <row r="60" customFormat="false" ht="15" hidden="false" customHeight="false" outlineLevel="0" collapsed="false">
      <c r="A60" s="23" t="n">
        <v>5</v>
      </c>
      <c r="B60" s="23" t="s">
        <v>331</v>
      </c>
      <c r="C60" s="23" t="s">
        <v>29</v>
      </c>
      <c r="D60" s="24" t="n">
        <v>194980.48</v>
      </c>
      <c r="E60" s="24" t="n">
        <v>0</v>
      </c>
      <c r="F60" s="24" t="n">
        <v>0</v>
      </c>
      <c r="G60" s="24" t="n">
        <v>4603.71</v>
      </c>
      <c r="H60" s="24" t="n">
        <v>6499.35</v>
      </c>
      <c r="I60" s="24" t="n">
        <f aca="false">G60+H60</f>
        <v>11103.06</v>
      </c>
      <c r="J60" s="24" t="n">
        <f aca="false">D60-I60</f>
        <v>183877.42</v>
      </c>
      <c r="K60" s="25" t="s">
        <v>406</v>
      </c>
      <c r="L60" s="25" t="s">
        <v>407</v>
      </c>
    </row>
    <row r="61" customFormat="false" ht="15" hidden="false" customHeight="false" outlineLevel="0" collapsed="false">
      <c r="A61" s="23" t="n">
        <v>6</v>
      </c>
      <c r="B61" s="23" t="s">
        <v>333</v>
      </c>
      <c r="C61" s="23" t="s">
        <v>25</v>
      </c>
      <c r="D61" s="24" t="n">
        <v>2467.41</v>
      </c>
      <c r="E61" s="24" t="n">
        <v>0</v>
      </c>
      <c r="F61" s="24" t="n">
        <v>2467.41</v>
      </c>
      <c r="G61" s="24" t="n">
        <v>2467.41</v>
      </c>
      <c r="H61" s="24" t="n">
        <v>0</v>
      </c>
      <c r="I61" s="24" t="n">
        <f aca="false">G61+H61</f>
        <v>2467.41</v>
      </c>
      <c r="J61" s="24" t="n">
        <f aca="false">D61-I61</f>
        <v>0</v>
      </c>
      <c r="K61" s="25" t="s">
        <v>410</v>
      </c>
      <c r="L61" s="25" t="s">
        <v>411</v>
      </c>
    </row>
    <row r="62" customFormat="false" ht="15" hidden="false" customHeight="false" outlineLevel="0" collapsed="false">
      <c r="A62" s="23" t="n">
        <v>7</v>
      </c>
      <c r="B62" s="23" t="s">
        <v>334</v>
      </c>
      <c r="C62" s="23" t="s">
        <v>25</v>
      </c>
      <c r="D62" s="24" t="n">
        <v>7417.77</v>
      </c>
      <c r="E62" s="24" t="n">
        <v>0</v>
      </c>
      <c r="F62" s="24" t="n">
        <v>0</v>
      </c>
      <c r="G62" s="24" t="n">
        <v>1329.02</v>
      </c>
      <c r="H62" s="24" t="n">
        <v>247.26</v>
      </c>
      <c r="I62" s="24" t="n">
        <f aca="false">G62+H62</f>
        <v>1576.28</v>
      </c>
      <c r="J62" s="24" t="n">
        <f aca="false">D62-I62</f>
        <v>5841.49</v>
      </c>
      <c r="K62" s="25" t="s">
        <v>406</v>
      </c>
      <c r="L62" s="25" t="s">
        <v>407</v>
      </c>
    </row>
    <row r="63" customFormat="false" ht="15" hidden="false" customHeight="false" outlineLevel="0" collapsed="false">
      <c r="A63" s="23" t="n">
        <v>8</v>
      </c>
      <c r="B63" s="23" t="s">
        <v>335</v>
      </c>
      <c r="C63" s="23" t="s">
        <v>27</v>
      </c>
      <c r="D63" s="24" t="n">
        <v>2124.13</v>
      </c>
      <c r="E63" s="24" t="n">
        <v>0</v>
      </c>
      <c r="F63" s="24" t="n">
        <v>2124.13</v>
      </c>
      <c r="G63" s="24" t="n">
        <v>2124.13</v>
      </c>
      <c r="H63" s="24" t="n">
        <v>0</v>
      </c>
      <c r="I63" s="24" t="n">
        <f aca="false">G63+H63</f>
        <v>2124.13</v>
      </c>
      <c r="J63" s="24" t="n">
        <f aca="false">D63-I63</f>
        <v>0</v>
      </c>
      <c r="K63" s="25" t="s">
        <v>410</v>
      </c>
      <c r="L63" s="25" t="s">
        <v>411</v>
      </c>
    </row>
    <row r="64" customFormat="false" ht="15" hidden="false" customHeight="false" outlineLevel="0" collapsed="false">
      <c r="A64" s="23" t="n">
        <v>9</v>
      </c>
      <c r="B64" s="23" t="s">
        <v>336</v>
      </c>
      <c r="C64" s="23" t="s">
        <v>27</v>
      </c>
      <c r="D64" s="24" t="n">
        <v>6385.78</v>
      </c>
      <c r="E64" s="24" t="n">
        <v>0</v>
      </c>
      <c r="F64" s="24" t="n">
        <v>0</v>
      </c>
      <c r="G64" s="24" t="n">
        <v>221.73</v>
      </c>
      <c r="H64" s="24" t="n">
        <v>212.86</v>
      </c>
      <c r="I64" s="24" t="n">
        <f aca="false">G64+H64</f>
        <v>434.59</v>
      </c>
      <c r="J64" s="24" t="n">
        <f aca="false">D64-I64</f>
        <v>5951.19</v>
      </c>
      <c r="K64" s="25" t="s">
        <v>406</v>
      </c>
      <c r="L64" s="25" t="s">
        <v>407</v>
      </c>
    </row>
    <row r="65" customFormat="false" ht="15" hidden="false" customHeight="false" outlineLevel="0" collapsed="false">
      <c r="A65" s="23" t="n">
        <v>10</v>
      </c>
      <c r="B65" s="23" t="s">
        <v>337</v>
      </c>
      <c r="C65" s="23" t="s">
        <v>29</v>
      </c>
      <c r="D65" s="24" t="n">
        <v>14236.95</v>
      </c>
      <c r="E65" s="24" t="n">
        <v>0</v>
      </c>
      <c r="F65" s="24" t="n">
        <v>11389.56</v>
      </c>
      <c r="G65" s="24" t="n">
        <v>11959.04</v>
      </c>
      <c r="H65" s="24" t="n">
        <v>911.16</v>
      </c>
      <c r="I65" s="24" t="n">
        <f aca="false">G65+H65</f>
        <v>12870.2</v>
      </c>
      <c r="J65" s="24" t="n">
        <f aca="false">D65-I65</f>
        <v>1366.75</v>
      </c>
      <c r="K65" s="25" t="s">
        <v>410</v>
      </c>
      <c r="L65" s="25" t="s">
        <v>411</v>
      </c>
    </row>
    <row r="66" customFormat="false" ht="15" hidden="false" customHeight="false" outlineLevel="0" collapsed="false">
      <c r="A66" s="23" t="n">
        <v>11</v>
      </c>
      <c r="B66" s="23" t="s">
        <v>338</v>
      </c>
      <c r="C66" s="23" t="s">
        <v>29</v>
      </c>
      <c r="D66" s="24" t="n">
        <v>42800.62</v>
      </c>
      <c r="E66" s="24" t="n">
        <v>0</v>
      </c>
      <c r="F66" s="24" t="n">
        <v>0</v>
      </c>
      <c r="G66" s="24" t="n">
        <v>1010.57</v>
      </c>
      <c r="H66" s="24" t="n">
        <v>1426.69</v>
      </c>
      <c r="I66" s="24" t="n">
        <f aca="false">G66+H66</f>
        <v>2437.26</v>
      </c>
      <c r="J66" s="24" t="n">
        <f aca="false">D66-I66</f>
        <v>40363.36</v>
      </c>
      <c r="K66" s="25" t="s">
        <v>406</v>
      </c>
      <c r="L66" s="25" t="s">
        <v>407</v>
      </c>
    </row>
    <row r="67" customFormat="false" ht="15" hidden="false" customHeight="false" outlineLevel="0" collapsed="false">
      <c r="A67" s="26"/>
      <c r="B67" s="27" t="s">
        <v>140</v>
      </c>
      <c r="C67" s="26"/>
      <c r="D67" s="28" t="n">
        <f aca="false">SUM(D56:D66)</f>
        <v>392080.03</v>
      </c>
      <c r="E67" s="28" t="n">
        <f aca="false">SUM(E56:E66)</f>
        <v>0</v>
      </c>
      <c r="F67" s="28" t="n">
        <f aca="false">SUM(F56:F66)</f>
        <v>95585.74</v>
      </c>
      <c r="G67" s="28" t="n">
        <f aca="false">SUM(G56:G66)</f>
        <v>106924.63</v>
      </c>
      <c r="H67" s="28" t="n">
        <f aca="false">SUM(H56:H66)</f>
        <v>14417.87</v>
      </c>
      <c r="I67" s="28" t="n">
        <f aca="false">SUM(I56:I66)</f>
        <v>121342.5</v>
      </c>
      <c r="J67" s="28" t="n">
        <f aca="false">SUM(J56:J66)</f>
        <v>270737.53</v>
      </c>
      <c r="K67" s="26"/>
      <c r="L67" s="26"/>
    </row>
    <row r="69" customFormat="false" ht="15" hidden="false" customHeight="false" outlineLevel="0" collapsed="false">
      <c r="B69" s="18" t="s">
        <v>421</v>
      </c>
    </row>
    <row r="70" customFormat="false" ht="15" hidden="false" customHeight="false" outlineLevel="0" collapsed="false">
      <c r="B70" s="5" t="s">
        <v>414</v>
      </c>
      <c r="D70" s="6" t="n">
        <f aca="false">I52</f>
        <v>36959.83</v>
      </c>
    </row>
    <row r="71" customFormat="false" ht="15" hidden="false" customHeight="false" outlineLevel="0" collapsed="false">
      <c r="B71" s="5" t="s">
        <v>415</v>
      </c>
      <c r="D71" s="6" t="n">
        <f aca="false">I67</f>
        <v>121342.5</v>
      </c>
    </row>
    <row r="72" customFormat="false" ht="15" hidden="false" customHeight="false" outlineLevel="0" collapsed="false">
      <c r="B72" s="11" t="s">
        <v>421</v>
      </c>
      <c r="D72" s="29" t="n">
        <f aca="false">D70-D71</f>
        <v>-84382.67</v>
      </c>
    </row>
    <row r="74" customFormat="false" ht="15" hidden="false" customHeight="false" outlineLevel="0" collapsed="false">
      <c r="A74" s="10" t="s">
        <v>422</v>
      </c>
    </row>
    <row r="75" customFormat="false" ht="15" hidden="false" customHeight="false" outlineLevel="0" collapsed="false">
      <c r="B75" s="11" t="s">
        <v>445</v>
      </c>
      <c r="D75" s="12" t="n">
        <f aca="false">D112</f>
        <v>448137.03</v>
      </c>
    </row>
    <row r="76" customFormat="false" ht="15" hidden="false" customHeight="false" outlineLevel="0" collapsed="false">
      <c r="B76" s="5" t="s">
        <v>446</v>
      </c>
      <c r="D76" s="6" t="n">
        <f aca="false">F112</f>
        <v>111858.03</v>
      </c>
    </row>
    <row r="77" customFormat="false" ht="15" hidden="false" customHeight="false" outlineLevel="0" collapsed="false">
      <c r="B77" s="30" t="s">
        <v>425</v>
      </c>
      <c r="D77" s="31" t="n">
        <f aca="false">F113</f>
        <v>0.249606755326602</v>
      </c>
    </row>
    <row r="78" customFormat="false" ht="15" hidden="false" customHeight="false" outlineLevel="0" collapsed="false">
      <c r="B78" s="5" t="s">
        <v>447</v>
      </c>
      <c r="D78" s="6" t="n">
        <f aca="false">H112</f>
        <v>336279</v>
      </c>
    </row>
    <row r="79" customFormat="false" ht="15" hidden="false" customHeight="false" outlineLevel="0" collapsed="false">
      <c r="B79" s="30" t="s">
        <v>425</v>
      </c>
      <c r="D79" s="31" t="n">
        <f aca="false">H113</f>
        <v>0.750393244673398</v>
      </c>
    </row>
    <row r="81" customFormat="false" ht="15" hidden="false" customHeight="false" outlineLevel="0" collapsed="false">
      <c r="A81" s="10" t="s">
        <v>427</v>
      </c>
    </row>
    <row r="82" customFormat="false" ht="15" hidden="false" customHeight="false" outlineLevel="0" collapsed="false">
      <c r="B82" s="4" t="s">
        <v>428</v>
      </c>
      <c r="D82" s="4" t="s">
        <v>397</v>
      </c>
      <c r="F82" s="4" t="s">
        <v>448</v>
      </c>
      <c r="H82" s="4" t="s">
        <v>430</v>
      </c>
    </row>
    <row r="83" customFormat="false" ht="15" hidden="false" customHeight="false" outlineLevel="0" collapsed="false">
      <c r="B83" s="32" t="s">
        <v>449</v>
      </c>
    </row>
    <row r="84" customFormat="false" ht="15" hidden="false" customHeight="false" outlineLevel="0" collapsed="false">
      <c r="B84" s="5" t="s">
        <v>450</v>
      </c>
      <c r="D84" s="33" t="n">
        <f aca="false">SUM(F84:H84)</f>
        <v>31452.73</v>
      </c>
      <c r="F84" s="33" t="n">
        <v>31452.73</v>
      </c>
    </row>
    <row r="85" customFormat="false" ht="15" hidden="false" customHeight="false" outlineLevel="0" collapsed="false">
      <c r="B85" s="5" t="s">
        <v>451</v>
      </c>
      <c r="D85" s="33" t="n">
        <f aca="false">SUM(F85:H85)</f>
        <v>8975.5</v>
      </c>
      <c r="F85" s="33" t="n">
        <v>8975.5</v>
      </c>
    </row>
    <row r="86" customFormat="false" ht="15" hidden="false" customHeight="false" outlineLevel="0" collapsed="false">
      <c r="B86" s="5" t="s">
        <v>452</v>
      </c>
      <c r="D86" s="33" t="n">
        <f aca="false">SUM(F86:H86)</f>
        <v>38285.2</v>
      </c>
      <c r="F86" s="33" t="n">
        <v>38285.2</v>
      </c>
    </row>
    <row r="87" customFormat="false" ht="15" hidden="false" customHeight="false" outlineLevel="0" collapsed="false">
      <c r="B87" s="5" t="s">
        <v>453</v>
      </c>
      <c r="D87" s="33" t="n">
        <f aca="false">SUM(F87:H87)</f>
        <v>3310.89</v>
      </c>
      <c r="F87" s="33" t="n">
        <v>3310.89</v>
      </c>
    </row>
    <row r="88" customFormat="false" ht="15" hidden="false" customHeight="false" outlineLevel="0" collapsed="false">
      <c r="B88" s="5" t="s">
        <v>454</v>
      </c>
      <c r="D88" s="33" t="n">
        <f aca="false">SUM(F88:H88)</f>
        <v>394.4</v>
      </c>
      <c r="F88" s="33" t="n">
        <v>394.4</v>
      </c>
    </row>
    <row r="89" customFormat="false" ht="15" hidden="false" customHeight="false" outlineLevel="0" collapsed="false">
      <c r="B89" s="5" t="s">
        <v>455</v>
      </c>
      <c r="D89" s="33" t="n">
        <f aca="false">SUM(F89:H89)</f>
        <v>5344.3</v>
      </c>
      <c r="F89" s="33" t="n">
        <v>5344.3</v>
      </c>
    </row>
    <row r="90" customFormat="false" ht="15" hidden="false" customHeight="false" outlineLevel="0" collapsed="false">
      <c r="B90" s="5" t="s">
        <v>456</v>
      </c>
      <c r="D90" s="33" t="n">
        <f aca="false">SUM(F90:H90)</f>
        <v>3335.47</v>
      </c>
      <c r="F90" s="33" t="n">
        <v>3335.47</v>
      </c>
    </row>
    <row r="91" customFormat="false" ht="15" hidden="false" customHeight="false" outlineLevel="0" collapsed="false">
      <c r="B91" s="5" t="s">
        <v>457</v>
      </c>
      <c r="D91" s="33" t="n">
        <f aca="false">SUM(F91:H91)</f>
        <v>9687.68</v>
      </c>
      <c r="F91" s="33" t="n">
        <v>9687.68</v>
      </c>
    </row>
    <row r="92" customFormat="false" ht="15" hidden="false" customHeight="false" outlineLevel="0" collapsed="false">
      <c r="B92" s="5" t="s">
        <v>458</v>
      </c>
      <c r="D92" s="33" t="n">
        <f aca="false">SUM(F92:H92)</f>
        <v>2139.23</v>
      </c>
      <c r="F92" s="33" t="n">
        <v>2139.23</v>
      </c>
    </row>
    <row r="93" customFormat="false" ht="15" hidden="false" customHeight="false" outlineLevel="0" collapsed="false">
      <c r="B93" s="5" t="s">
        <v>459</v>
      </c>
      <c r="D93" s="33" t="n">
        <f aca="false">SUM(F93:H93)</f>
        <v>605.69</v>
      </c>
      <c r="F93" s="33" t="n">
        <v>605.69</v>
      </c>
    </row>
    <row r="94" customFormat="false" ht="15" hidden="false" customHeight="false" outlineLevel="0" collapsed="false">
      <c r="B94" s="5" t="s">
        <v>460</v>
      </c>
      <c r="D94" s="33" t="n">
        <f aca="false">SUM(F94:H94)</f>
        <v>8326.94</v>
      </c>
      <c r="F94" s="33" t="n">
        <v>8326.94</v>
      </c>
    </row>
    <row r="95" customFormat="false" ht="15" hidden="false" customHeight="false" outlineLevel="0" collapsed="false">
      <c r="B95" s="32" t="s">
        <v>461</v>
      </c>
    </row>
    <row r="96" customFormat="false" ht="15" hidden="false" customHeight="false" outlineLevel="0" collapsed="false">
      <c r="B96" s="5" t="s">
        <v>462</v>
      </c>
      <c r="D96" s="33" t="n">
        <f aca="false">SUM(F96:H96)</f>
        <v>18787.87</v>
      </c>
      <c r="H96" s="33" t="n">
        <v>18787.87</v>
      </c>
    </row>
    <row r="97" customFormat="false" ht="15" hidden="false" customHeight="false" outlineLevel="0" collapsed="false">
      <c r="B97" s="5" t="s">
        <v>463</v>
      </c>
      <c r="D97" s="33" t="n">
        <f aca="false">SUM(F97:H97)</f>
        <v>25094.55</v>
      </c>
      <c r="H97" s="33" t="n">
        <v>25094.55</v>
      </c>
    </row>
    <row r="98" customFormat="false" ht="15" hidden="false" customHeight="false" outlineLevel="0" collapsed="false">
      <c r="B98" s="5" t="s">
        <v>464</v>
      </c>
      <c r="D98" s="33" t="n">
        <f aca="false">SUM(F98:H98)</f>
        <v>37207.78</v>
      </c>
      <c r="H98" s="33" t="n">
        <v>37207.78</v>
      </c>
    </row>
    <row r="99" customFormat="false" ht="15" hidden="false" customHeight="false" outlineLevel="0" collapsed="false">
      <c r="B99" s="5" t="s">
        <v>465</v>
      </c>
      <c r="D99" s="33" t="n">
        <f aca="false">SUM(F99:H99)</f>
        <v>35233.43</v>
      </c>
      <c r="H99" s="33" t="n">
        <v>35233.43</v>
      </c>
    </row>
    <row r="100" customFormat="false" ht="15" hidden="false" customHeight="false" outlineLevel="0" collapsed="false">
      <c r="B100" s="5" t="s">
        <v>466</v>
      </c>
      <c r="D100" s="33" t="n">
        <f aca="false">SUM(F100:H100)</f>
        <v>32344.52</v>
      </c>
      <c r="H100" s="33" t="n">
        <v>32344.52</v>
      </c>
    </row>
    <row r="101" customFormat="false" ht="15" hidden="false" customHeight="false" outlineLevel="0" collapsed="false">
      <c r="B101" s="5" t="s">
        <v>467</v>
      </c>
      <c r="D101" s="33" t="n">
        <f aca="false">SUM(F101:H101)</f>
        <v>2485.72</v>
      </c>
      <c r="H101" s="33" t="n">
        <v>2485.72</v>
      </c>
    </row>
    <row r="102" customFormat="false" ht="15" hidden="false" customHeight="false" outlineLevel="0" collapsed="false">
      <c r="B102" s="5" t="s">
        <v>468</v>
      </c>
      <c r="D102" s="33" t="n">
        <f aca="false">SUM(F102:H102)</f>
        <v>24546.88</v>
      </c>
      <c r="H102" s="33" t="n">
        <v>24546.88</v>
      </c>
    </row>
    <row r="103" customFormat="false" ht="15" hidden="false" customHeight="false" outlineLevel="0" collapsed="false">
      <c r="B103" s="5" t="s">
        <v>469</v>
      </c>
      <c r="D103" s="33" t="n">
        <f aca="false">SUM(F103:H103)</f>
        <v>18966.92</v>
      </c>
      <c r="H103" s="33" t="n">
        <v>18966.92</v>
      </c>
    </row>
    <row r="104" customFormat="false" ht="15" hidden="false" customHeight="false" outlineLevel="0" collapsed="false">
      <c r="B104" s="5" t="s">
        <v>470</v>
      </c>
      <c r="D104" s="33" t="n">
        <f aca="false">SUM(F104:H104)</f>
        <v>15176.79</v>
      </c>
      <c r="H104" s="33" t="n">
        <v>15176.79</v>
      </c>
    </row>
    <row r="105" customFormat="false" ht="15" hidden="false" customHeight="false" outlineLevel="0" collapsed="false">
      <c r="B105" s="5" t="s">
        <v>471</v>
      </c>
      <c r="D105" s="33" t="n">
        <f aca="false">SUM(F105:H105)</f>
        <v>17050.73</v>
      </c>
      <c r="H105" s="33" t="n">
        <v>17050.73</v>
      </c>
    </row>
    <row r="106" customFormat="false" ht="15" hidden="false" customHeight="false" outlineLevel="0" collapsed="false">
      <c r="B106" s="5" t="s">
        <v>472</v>
      </c>
      <c r="D106" s="33" t="n">
        <f aca="false">SUM(F106:H106)</f>
        <v>40897.65</v>
      </c>
      <c r="H106" s="33" t="n">
        <v>40897.65</v>
      </c>
    </row>
    <row r="107" customFormat="false" ht="15" hidden="false" customHeight="false" outlineLevel="0" collapsed="false">
      <c r="B107" s="5" t="s">
        <v>473</v>
      </c>
      <c r="D107" s="33" t="n">
        <f aca="false">SUM(F107:H107)</f>
        <v>16588.72</v>
      </c>
      <c r="H107" s="33" t="n">
        <v>16588.72</v>
      </c>
    </row>
    <row r="108" customFormat="false" ht="15" hidden="false" customHeight="false" outlineLevel="0" collapsed="false">
      <c r="B108" s="5" t="s">
        <v>474</v>
      </c>
      <c r="D108" s="33" t="n">
        <f aca="false">SUM(F108:H108)</f>
        <v>42760.8</v>
      </c>
      <c r="H108" s="33" t="n">
        <v>42760.8</v>
      </c>
    </row>
    <row r="109" customFormat="false" ht="15" hidden="false" customHeight="false" outlineLevel="0" collapsed="false">
      <c r="B109" s="5" t="s">
        <v>475</v>
      </c>
      <c r="D109" s="33" t="n">
        <f aca="false">SUM(F109:H109)</f>
        <v>3514.89</v>
      </c>
      <c r="H109" s="33" t="n">
        <v>3514.89</v>
      </c>
    </row>
    <row r="110" customFormat="false" ht="15" hidden="false" customHeight="false" outlineLevel="0" collapsed="false">
      <c r="B110" s="5" t="s">
        <v>476</v>
      </c>
      <c r="D110" s="33" t="n">
        <f aca="false">SUM(F110:H110)</f>
        <v>3740.86</v>
      </c>
      <c r="H110" s="33" t="n">
        <v>3740.86</v>
      </c>
    </row>
    <row r="111" customFormat="false" ht="15" hidden="false" customHeight="false" outlineLevel="0" collapsed="false">
      <c r="B111" s="5" t="s">
        <v>477</v>
      </c>
      <c r="D111" s="33" t="n">
        <f aca="false">SUM(F111:H111)</f>
        <v>1880.89</v>
      </c>
      <c r="H111" s="33" t="n">
        <v>1880.89</v>
      </c>
    </row>
    <row r="112" customFormat="false" ht="15" hidden="false" customHeight="false" outlineLevel="0" collapsed="false">
      <c r="B112" s="11" t="s">
        <v>445</v>
      </c>
      <c r="D112" s="34" t="n">
        <f aca="false">SUM(D83:D111)</f>
        <v>448137.03</v>
      </c>
      <c r="F112" s="34" t="n">
        <f aca="false">SUM(F83:F111)</f>
        <v>111858.03</v>
      </c>
      <c r="H112" s="34" t="n">
        <f aca="false">SUM(H83:H111)</f>
        <v>336279</v>
      </c>
    </row>
    <row r="113" customFormat="false" ht="15" hidden="false" customHeight="false" outlineLevel="0" collapsed="false">
      <c r="B113" s="30" t="s">
        <v>425</v>
      </c>
      <c r="F113" s="31" t="n">
        <f aca="false">F112/D112</f>
        <v>0.249606755326602</v>
      </c>
      <c r="H113" s="31" t="n">
        <f aca="false">H112/D112</f>
        <v>0.750393244673398</v>
      </c>
    </row>
    <row r="115" customFormat="false" ht="15" hidden="false" customHeight="false" outlineLevel="0" collapsed="false">
      <c r="A115" s="10" t="s">
        <v>440</v>
      </c>
    </row>
    <row r="116" customFormat="false" ht="15" hidden="false" customHeight="false" outlineLevel="0" collapsed="false">
      <c r="B116" s="4" t="s">
        <v>441</v>
      </c>
      <c r="D116" s="4" t="s">
        <v>397</v>
      </c>
      <c r="F116" s="4" t="s">
        <v>448</v>
      </c>
      <c r="H116" s="4" t="s">
        <v>430</v>
      </c>
    </row>
    <row r="117" customFormat="false" ht="15" hidden="false" customHeight="false" outlineLevel="0" collapsed="false">
      <c r="B117" s="5" t="str">
        <f aca="false">'Building 14'!B21</f>
        <v>10-Building-Post Casualty Loss Basis-bldg14-</v>
      </c>
      <c r="D117" s="33" t="n">
        <f aca="false">SUM(F117:H117)</f>
        <v>18042.22</v>
      </c>
      <c r="F117" s="33" t="n">
        <f aca="false">'Building 14'!D21</f>
        <v>18042.22</v>
      </c>
    </row>
    <row r="118" customFormat="false" ht="15" hidden="false" customHeight="false" outlineLevel="0" collapsed="false">
      <c r="B118" s="5" t="str">
        <f aca="false">'Building 14'!B22</f>
        <v>10-Building-Post Casualty Loss Basis-bldg14-3</v>
      </c>
      <c r="D118" s="33" t="n">
        <f aca="false">SUM(F118:H118)</f>
        <v>54240.35</v>
      </c>
      <c r="H118" s="33" t="n">
        <f aca="false">'Building 14'!D22</f>
        <v>54240.35</v>
      </c>
    </row>
    <row r="119" customFormat="false" ht="15" hidden="false" customHeight="false" outlineLevel="0" collapsed="false">
      <c r="B119" s="5" t="str">
        <f aca="false">'Building 14'!B23</f>
        <v>12-New Buildings(16 units)-bldg14-5yr</v>
      </c>
      <c r="D119" s="33" t="n">
        <f aca="false">SUM(F119:H119)</f>
        <v>9676.61</v>
      </c>
      <c r="F119" s="33" t="n">
        <f aca="false">'Building 14'!D23</f>
        <v>9676.61</v>
      </c>
    </row>
    <row r="120" customFormat="false" ht="15" hidden="false" customHeight="false" outlineLevel="0" collapsed="false">
      <c r="B120" s="5" t="str">
        <f aca="false">'Building 14'!B24</f>
        <v>12-New Buildings(16 units)-bldg14-30yr</v>
      </c>
      <c r="D120" s="33" t="n">
        <f aca="false">SUM(F120:H120)</f>
        <v>29090.8</v>
      </c>
      <c r="H120" s="33" t="n">
        <f aca="false">'Building 14'!D24</f>
        <v>29090.8</v>
      </c>
    </row>
    <row r="121" customFormat="false" ht="15" hidden="false" customHeight="false" outlineLevel="0" collapsed="false">
      <c r="B121" s="5" t="str">
        <f aca="false">'Building 14'!B25</f>
        <v>14-New Buildings(105 units)-bldg14-5yr</v>
      </c>
      <c r="D121" s="33" t="n">
        <f aca="false">SUM(F121:H121)</f>
        <v>64857.26</v>
      </c>
      <c r="F121" s="33" t="n">
        <f aca="false">'Building 14'!D25</f>
        <v>64857.26</v>
      </c>
    </row>
    <row r="122" customFormat="false" ht="15" hidden="false" customHeight="false" outlineLevel="0" collapsed="false">
      <c r="B122" s="5" t="str">
        <f aca="false">'Building 14'!B26</f>
        <v>14-New Buildings(105 units)-bldg14-30yr</v>
      </c>
      <c r="D122" s="33" t="n">
        <f aca="false">SUM(F122:H122)</f>
        <v>194980.48</v>
      </c>
      <c r="H122" s="33" t="n">
        <f aca="false">'Building 14'!D26</f>
        <v>194980.48</v>
      </c>
    </row>
    <row r="123" customFormat="false" ht="15" hidden="false" customHeight="false" outlineLevel="0" collapsed="false">
      <c r="B123" s="5" t="str">
        <f aca="false">'Building 14'!B27</f>
        <v>11-Building Imp-Post-Casulty Loss Basis-bld14</v>
      </c>
      <c r="D123" s="33" t="n">
        <f aca="false">SUM(F123:H123)</f>
        <v>453.45</v>
      </c>
      <c r="F123" s="33" t="n">
        <f aca="false">'Building 14'!D27</f>
        <v>453.45</v>
      </c>
    </row>
    <row r="124" customFormat="false" ht="15" hidden="false" customHeight="false" outlineLevel="0" collapsed="false">
      <c r="B124" s="5" t="str">
        <f aca="false">'Building 14'!B28</f>
        <v>11-Building Imp-Post-Casulty Loss Basis-bld14</v>
      </c>
      <c r="D124" s="33" t="n">
        <f aca="false">SUM(F124:H124)</f>
        <v>1363.2</v>
      </c>
      <c r="H124" s="33" t="n">
        <f aca="false">'Building 14'!D28</f>
        <v>1363.2</v>
      </c>
    </row>
    <row r="125" customFormat="false" ht="15" hidden="false" customHeight="false" outlineLevel="0" collapsed="false">
      <c r="B125" s="5" t="str">
        <f aca="false">'Building 14'!B29</f>
        <v>2-Land Improvements-bldg14-5yr</v>
      </c>
      <c r="D125" s="33" t="n">
        <f aca="false">SUM(F125:H125)</f>
        <v>2467.41</v>
      </c>
      <c r="F125" s="33" t="n">
        <f aca="false">'Building 14'!D29</f>
        <v>2467.41</v>
      </c>
    </row>
    <row r="126" customFormat="false" ht="15" hidden="false" customHeight="false" outlineLevel="0" collapsed="false">
      <c r="B126" s="5" t="str">
        <f aca="false">'Building 14'!B30</f>
        <v>2-Land Improvements-bldg14-30yr</v>
      </c>
      <c r="D126" s="33" t="n">
        <f aca="false">SUM(F126:H126)</f>
        <v>7417.77</v>
      </c>
      <c r="H126" s="33" t="n">
        <f aca="false">'Building 14'!D30</f>
        <v>7417.77</v>
      </c>
    </row>
    <row r="127" customFormat="false" ht="15" hidden="false" customHeight="false" outlineLevel="0" collapsed="false">
      <c r="B127" s="5" t="str">
        <f aca="false">'Building 14'!B31</f>
        <v>13-New Equipment(16 units)-bldg14-5yr</v>
      </c>
      <c r="D127" s="33" t="n">
        <f aca="false">SUM(F127:H127)</f>
        <v>2124.13</v>
      </c>
      <c r="F127" s="33" t="n">
        <f aca="false">'Building 14'!D31</f>
        <v>2124.13</v>
      </c>
    </row>
    <row r="128" customFormat="false" ht="15" hidden="false" customHeight="false" outlineLevel="0" collapsed="false">
      <c r="B128" s="5" t="str">
        <f aca="false">'Building 14'!B32</f>
        <v>13-New Equipment(16 units)-bldg14-30yr</v>
      </c>
      <c r="D128" s="33" t="n">
        <f aca="false">SUM(F128:H128)</f>
        <v>6385.78</v>
      </c>
      <c r="H128" s="33" t="n">
        <f aca="false">'Building 14'!D32</f>
        <v>6385.78</v>
      </c>
    </row>
    <row r="129" customFormat="false" ht="15" hidden="false" customHeight="false" outlineLevel="0" collapsed="false">
      <c r="B129" s="5" t="str">
        <f aca="false">'Building 14'!B33</f>
        <v>15-New Equipment(105 units)-bldg14-5yr</v>
      </c>
      <c r="D129" s="33" t="n">
        <f aca="false">SUM(F129:H129)</f>
        <v>14236.95</v>
      </c>
      <c r="F129" s="33" t="n">
        <f aca="false">'Building 14'!D33</f>
        <v>14236.95</v>
      </c>
    </row>
    <row r="130" customFormat="false" ht="15" hidden="false" customHeight="false" outlineLevel="0" collapsed="false">
      <c r="B130" s="5" t="str">
        <f aca="false">'Building 14'!B34</f>
        <v>15-New Equipment(105 units)-bldg14-30yr</v>
      </c>
      <c r="D130" s="33" t="n">
        <f aca="false">SUM(F130:H130)</f>
        <v>42800.62</v>
      </c>
      <c r="H130" s="33" t="n">
        <f aca="false">'Building 14'!D34</f>
        <v>42800.62</v>
      </c>
    </row>
    <row r="131" customFormat="false" ht="15" hidden="false" customHeight="false" outlineLevel="0" collapsed="false">
      <c r="B131" s="11" t="s">
        <v>442</v>
      </c>
      <c r="D131" s="34" t="n">
        <f aca="false">SUM(D117:D130)</f>
        <v>448137.03</v>
      </c>
      <c r="F131" s="34" t="n">
        <f aca="false">SUM(F117:F130)</f>
        <v>111858.03</v>
      </c>
      <c r="H131" s="34" t="n">
        <f aca="false">SUM(H117:H130)</f>
        <v>336279</v>
      </c>
    </row>
    <row r="132" customFormat="false" ht="15" hidden="false" customHeight="false" outlineLevel="0" collapsed="false">
      <c r="B132" s="16" t="s">
        <v>443</v>
      </c>
      <c r="D132" s="17" t="n">
        <f aca="false">D131-D112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496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121</v>
      </c>
      <c r="C10" s="23" t="s">
        <v>25</v>
      </c>
      <c r="D10" s="24" t="n">
        <v>63978.69</v>
      </c>
      <c r="E10" s="24" t="n">
        <v>0</v>
      </c>
      <c r="F10" s="24" t="n">
        <v>0</v>
      </c>
      <c r="G10" s="24" t="n">
        <v>6607.4</v>
      </c>
      <c r="H10" s="24" t="n">
        <v>2329.79</v>
      </c>
      <c r="I10" s="24" t="n">
        <f aca="false">G10+H10</f>
        <v>8937.19</v>
      </c>
      <c r="J10" s="24" t="n">
        <f aca="false">D10-I10</f>
        <v>55041.5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122</v>
      </c>
      <c r="C11" s="23" t="s">
        <v>27</v>
      </c>
      <c r="D11" s="24" t="n">
        <v>34313.78</v>
      </c>
      <c r="E11" s="24" t="n">
        <v>0</v>
      </c>
      <c r="F11" s="24" t="n">
        <v>0</v>
      </c>
      <c r="G11" s="24" t="n">
        <v>1191.47</v>
      </c>
      <c r="H11" s="24" t="n">
        <v>1143.79</v>
      </c>
      <c r="I11" s="24" t="n">
        <f aca="false">G11+H11</f>
        <v>2335.26</v>
      </c>
      <c r="J11" s="24" t="n">
        <f aca="false">D11-I11</f>
        <v>31978.52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123</v>
      </c>
      <c r="C12" s="23" t="s">
        <v>29</v>
      </c>
      <c r="D12" s="24" t="n">
        <v>229987.39</v>
      </c>
      <c r="E12" s="24" t="n">
        <v>0</v>
      </c>
      <c r="F12" s="24" t="n">
        <v>0</v>
      </c>
      <c r="G12" s="24" t="n">
        <v>5430.25</v>
      </c>
      <c r="H12" s="24" t="n">
        <v>7666.27</v>
      </c>
      <c r="I12" s="24" t="n">
        <f aca="false">G12+H12</f>
        <v>13096.52</v>
      </c>
      <c r="J12" s="24" t="n">
        <f aca="false">D12-I12</f>
        <v>216890.87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1607.95</v>
      </c>
      <c r="E13" s="24" t="n">
        <v>0</v>
      </c>
      <c r="F13" s="24" t="n">
        <v>0</v>
      </c>
      <c r="G13" s="24" t="n">
        <v>121.07</v>
      </c>
      <c r="H13" s="24" t="n">
        <v>55.67</v>
      </c>
      <c r="I13" s="24" t="n">
        <f aca="false">G13+H13</f>
        <v>176.74</v>
      </c>
      <c r="J13" s="24" t="n">
        <f aca="false">D13-I13</f>
        <v>1431.21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124</v>
      </c>
      <c r="C14" s="23" t="s">
        <v>25</v>
      </c>
      <c r="D14" s="24" t="n">
        <v>8749.57</v>
      </c>
      <c r="E14" s="24" t="n">
        <v>0</v>
      </c>
      <c r="F14" s="24" t="n">
        <v>2244.81</v>
      </c>
      <c r="G14" s="24" t="n">
        <v>2244.81</v>
      </c>
      <c r="H14" s="24" t="n">
        <v>672.9</v>
      </c>
      <c r="I14" s="24" t="n">
        <f aca="false">G14+H14</f>
        <v>2917.71</v>
      </c>
      <c r="J14" s="24" t="n">
        <f aca="false">D14-I14</f>
        <v>5831.86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125</v>
      </c>
      <c r="C15" s="23" t="s">
        <v>27</v>
      </c>
      <c r="D15" s="24" t="n">
        <v>7532.28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7532.28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126</v>
      </c>
      <c r="C16" s="23" t="s">
        <v>29</v>
      </c>
      <c r="D16" s="24" t="n">
        <v>50485.05</v>
      </c>
      <c r="E16" s="24" t="n">
        <v>0</v>
      </c>
      <c r="F16" s="24" t="n">
        <v>0</v>
      </c>
      <c r="G16" s="24" t="n">
        <v>2019.4</v>
      </c>
      <c r="H16" s="24" t="n">
        <v>3231.05</v>
      </c>
      <c r="I16" s="24" t="n">
        <f aca="false">G16+H16</f>
        <v>5250.45</v>
      </c>
      <c r="J16" s="24" t="n">
        <f aca="false">D16-I16</f>
        <v>45234.6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396654.71</v>
      </c>
      <c r="E17" s="28" t="n">
        <f aca="false">SUM(E10:E16)</f>
        <v>0</v>
      </c>
      <c r="F17" s="28" t="n">
        <f aca="false">SUM(F10:F16)</f>
        <v>2244.81</v>
      </c>
      <c r="G17" s="28" t="n">
        <f aca="false">SUM(G10:G16)</f>
        <v>17614.4</v>
      </c>
      <c r="H17" s="28" t="n">
        <f aca="false">SUM(H10:H16)</f>
        <v>15099.47</v>
      </c>
      <c r="I17" s="28" t="n">
        <f aca="false">SUM(I10:I16)</f>
        <v>32713.87</v>
      </c>
      <c r="J17" s="28" t="n">
        <f aca="false">SUM(J10:J16)</f>
        <v>363940.84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339</v>
      </c>
      <c r="C21" s="23" t="s">
        <v>25</v>
      </c>
      <c r="D21" s="24" t="n">
        <v>16882.61</v>
      </c>
      <c r="E21" s="24" t="n">
        <v>0</v>
      </c>
      <c r="F21" s="24" t="n">
        <v>16882.61</v>
      </c>
      <c r="G21" s="24" t="n">
        <v>16882.61</v>
      </c>
      <c r="H21" s="24" t="n">
        <v>0</v>
      </c>
      <c r="I21" s="24" t="n">
        <f aca="false">G21+H21</f>
        <v>16882.61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340</v>
      </c>
      <c r="C22" s="23" t="s">
        <v>25</v>
      </c>
      <c r="D22" s="24" t="n">
        <v>47096.08</v>
      </c>
      <c r="E22" s="24" t="n">
        <v>0</v>
      </c>
      <c r="F22" s="24" t="n">
        <v>0</v>
      </c>
      <c r="G22" s="24" t="n">
        <v>8438.05</v>
      </c>
      <c r="H22" s="24" t="n">
        <v>1569.87</v>
      </c>
      <c r="I22" s="24" t="n">
        <f aca="false">G22+H22</f>
        <v>10007.92</v>
      </c>
      <c r="J22" s="24" t="n">
        <f aca="false">D22-I22</f>
        <v>37088.16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341</v>
      </c>
      <c r="C23" s="23" t="s">
        <v>27</v>
      </c>
      <c r="D23" s="24" t="n">
        <v>9054.67</v>
      </c>
      <c r="E23" s="24" t="n">
        <v>0</v>
      </c>
      <c r="F23" s="24" t="n">
        <v>9054.67</v>
      </c>
      <c r="G23" s="24" t="n">
        <v>9054.67</v>
      </c>
      <c r="H23" s="24" t="n">
        <v>0</v>
      </c>
      <c r="I23" s="24" t="n">
        <f aca="false">G23+H23</f>
        <v>9054.67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342</v>
      </c>
      <c r="C24" s="23" t="s">
        <v>27</v>
      </c>
      <c r="D24" s="24" t="n">
        <v>25259.11</v>
      </c>
      <c r="E24" s="24" t="n">
        <v>0</v>
      </c>
      <c r="F24" s="24" t="n">
        <v>0</v>
      </c>
      <c r="G24" s="24" t="n">
        <v>877.05</v>
      </c>
      <c r="H24" s="24" t="n">
        <v>841.97</v>
      </c>
      <c r="I24" s="24" t="n">
        <f aca="false">G24+H24</f>
        <v>1719.02</v>
      </c>
      <c r="J24" s="24" t="n">
        <f aca="false">D24-I24</f>
        <v>23540.09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343</v>
      </c>
      <c r="C25" s="23" t="s">
        <v>29</v>
      </c>
      <c r="D25" s="24" t="n">
        <v>60688.77</v>
      </c>
      <c r="E25" s="24" t="n">
        <v>0</v>
      </c>
      <c r="F25" s="24" t="n">
        <v>48551.02</v>
      </c>
      <c r="G25" s="24" t="n">
        <v>50978.57</v>
      </c>
      <c r="H25" s="24" t="n">
        <v>3884.08</v>
      </c>
      <c r="I25" s="24" t="n">
        <f aca="false">G25+H25</f>
        <v>54862.65</v>
      </c>
      <c r="J25" s="24" t="n">
        <f aca="false">D25-I25</f>
        <v>5826.12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344</v>
      </c>
      <c r="C26" s="23" t="s">
        <v>29</v>
      </c>
      <c r="D26" s="24" t="n">
        <v>169298.62</v>
      </c>
      <c r="E26" s="24" t="n">
        <v>0</v>
      </c>
      <c r="F26" s="24" t="n">
        <v>0</v>
      </c>
      <c r="G26" s="24" t="n">
        <v>3997.33</v>
      </c>
      <c r="H26" s="24" t="n">
        <v>5643.29</v>
      </c>
      <c r="I26" s="24" t="n">
        <f aca="false">G26+H26</f>
        <v>9640.62</v>
      </c>
      <c r="J26" s="24" t="n">
        <f aca="false">D26-I26</f>
        <v>159658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345</v>
      </c>
      <c r="C27" s="23" t="s">
        <v>31</v>
      </c>
      <c r="D27" s="24" t="n">
        <v>424.3</v>
      </c>
      <c r="E27" s="24" t="n">
        <v>0</v>
      </c>
      <c r="F27" s="24" t="n">
        <v>424.3</v>
      </c>
      <c r="G27" s="24" t="n">
        <v>424.3</v>
      </c>
      <c r="H27" s="24" t="n">
        <v>0</v>
      </c>
      <c r="I27" s="24" t="n">
        <f aca="false">G27+H27</f>
        <v>424.3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345</v>
      </c>
      <c r="C28" s="23" t="s">
        <v>31</v>
      </c>
      <c r="D28" s="24" t="n">
        <v>1183.65</v>
      </c>
      <c r="E28" s="24" t="n">
        <v>0</v>
      </c>
      <c r="F28" s="24" t="n">
        <v>0</v>
      </c>
      <c r="G28" s="24" t="n">
        <v>129.89</v>
      </c>
      <c r="H28" s="24" t="n">
        <v>39.46</v>
      </c>
      <c r="I28" s="24" t="n">
        <f aca="false">G28+H28</f>
        <v>169.35</v>
      </c>
      <c r="J28" s="24" t="n">
        <f aca="false">D28-I28</f>
        <v>1014.3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346</v>
      </c>
      <c r="C29" s="23" t="s">
        <v>25</v>
      </c>
      <c r="D29" s="24" t="n">
        <v>2308.82</v>
      </c>
      <c r="E29" s="24" t="n">
        <v>0</v>
      </c>
      <c r="F29" s="24" t="n">
        <v>2308.82</v>
      </c>
      <c r="G29" s="24" t="n">
        <v>2308.82</v>
      </c>
      <c r="H29" s="24" t="n">
        <v>0</v>
      </c>
      <c r="I29" s="24" t="n">
        <f aca="false">G29+H29</f>
        <v>2308.82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347</v>
      </c>
      <c r="C30" s="23" t="s">
        <v>25</v>
      </c>
      <c r="D30" s="24" t="n">
        <v>6440.75</v>
      </c>
      <c r="E30" s="24" t="n">
        <v>0</v>
      </c>
      <c r="F30" s="24" t="n">
        <v>0</v>
      </c>
      <c r="G30" s="24" t="n">
        <v>1153.96</v>
      </c>
      <c r="H30" s="24" t="n">
        <v>214.69</v>
      </c>
      <c r="I30" s="24" t="n">
        <f aca="false">G30+H30</f>
        <v>1368.65</v>
      </c>
      <c r="J30" s="24" t="n">
        <f aca="false">D30-I30</f>
        <v>5072.1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348</v>
      </c>
      <c r="C31" s="23" t="s">
        <v>27</v>
      </c>
      <c r="D31" s="24" t="n">
        <v>1987.61</v>
      </c>
      <c r="E31" s="24" t="n">
        <v>0</v>
      </c>
      <c r="F31" s="24" t="n">
        <v>1987.61</v>
      </c>
      <c r="G31" s="24" t="n">
        <v>1987.61</v>
      </c>
      <c r="H31" s="24" t="n">
        <v>0</v>
      </c>
      <c r="I31" s="24" t="n">
        <f aca="false">G31+H31</f>
        <v>1987.61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349</v>
      </c>
      <c r="C32" s="23" t="s">
        <v>27</v>
      </c>
      <c r="D32" s="24" t="n">
        <v>5544.67</v>
      </c>
      <c r="E32" s="24" t="n">
        <v>0</v>
      </c>
      <c r="F32" s="24" t="n">
        <v>0</v>
      </c>
      <c r="G32" s="24" t="n">
        <v>192.52</v>
      </c>
      <c r="H32" s="24" t="n">
        <v>184.82</v>
      </c>
      <c r="I32" s="24" t="n">
        <f aca="false">G32+H32</f>
        <v>377.34</v>
      </c>
      <c r="J32" s="24" t="n">
        <f aca="false">D32-I32</f>
        <v>5167.33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350</v>
      </c>
      <c r="C33" s="23" t="s">
        <v>29</v>
      </c>
      <c r="D33" s="24" t="n">
        <v>13321.94</v>
      </c>
      <c r="E33" s="24" t="n">
        <v>0</v>
      </c>
      <c r="F33" s="24" t="n">
        <v>10657.55</v>
      </c>
      <c r="G33" s="24" t="n">
        <v>11190.43</v>
      </c>
      <c r="H33" s="24" t="n">
        <v>852.6</v>
      </c>
      <c r="I33" s="24" t="n">
        <f aca="false">G33+H33</f>
        <v>12043.03</v>
      </c>
      <c r="J33" s="24" t="n">
        <f aca="false">D33-I33</f>
        <v>1278.91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351</v>
      </c>
      <c r="C34" s="23" t="s">
        <v>29</v>
      </c>
      <c r="D34" s="24" t="n">
        <v>37163.11</v>
      </c>
      <c r="E34" s="24" t="n">
        <v>0</v>
      </c>
      <c r="F34" s="24" t="n">
        <v>0</v>
      </c>
      <c r="G34" s="24" t="n">
        <v>877.46</v>
      </c>
      <c r="H34" s="24" t="n">
        <v>1238.77</v>
      </c>
      <c r="I34" s="24" t="n">
        <f aca="false">G34+H34</f>
        <v>2116.23</v>
      </c>
      <c r="J34" s="24" t="n">
        <f aca="false">D34-I34</f>
        <v>35046.88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396654.71</v>
      </c>
      <c r="E35" s="28" t="n">
        <f aca="false">SUM(E21:E34)</f>
        <v>0</v>
      </c>
      <c r="F35" s="28" t="n">
        <f aca="false">SUM(F21:F34)</f>
        <v>89866.58</v>
      </c>
      <c r="G35" s="28" t="n">
        <f aca="false">SUM(G21:G34)</f>
        <v>108493.27</v>
      </c>
      <c r="H35" s="28" t="n">
        <f aca="false">SUM(H21:H34)</f>
        <v>14469.55</v>
      </c>
      <c r="I35" s="28" t="n">
        <f aca="false">SUM(I21:I34)</f>
        <v>122962.82</v>
      </c>
      <c r="J35" s="28" t="n">
        <f aca="false">SUM(J21:J34)</f>
        <v>273691.89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32713.87</v>
      </c>
    </row>
    <row r="39" customFormat="false" ht="15" hidden="false" customHeight="false" outlineLevel="0" collapsed="false">
      <c r="B39" s="5" t="s">
        <v>415</v>
      </c>
      <c r="D39" s="6" t="n">
        <f aca="false">I35</f>
        <v>122962.82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-90248.95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121</v>
      </c>
      <c r="C45" s="23" t="s">
        <v>25</v>
      </c>
      <c r="D45" s="24" t="n">
        <v>63978.69</v>
      </c>
      <c r="E45" s="24" t="n">
        <v>0</v>
      </c>
      <c r="F45" s="24" t="n">
        <v>0</v>
      </c>
      <c r="G45" s="24" t="n">
        <v>6607.4</v>
      </c>
      <c r="H45" s="24" t="n">
        <v>2329.79</v>
      </c>
      <c r="I45" s="24" t="n">
        <f aca="false">G45+H45</f>
        <v>8937.19</v>
      </c>
      <c r="J45" s="24" t="n">
        <f aca="false">D45-I45</f>
        <v>55041.5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122</v>
      </c>
      <c r="C46" s="23" t="s">
        <v>27</v>
      </c>
      <c r="D46" s="24" t="n">
        <v>34313.78</v>
      </c>
      <c r="E46" s="24" t="n">
        <v>0</v>
      </c>
      <c r="F46" s="24" t="n">
        <v>0</v>
      </c>
      <c r="G46" s="24" t="n">
        <v>1191.47</v>
      </c>
      <c r="H46" s="24" t="n">
        <v>1143.79</v>
      </c>
      <c r="I46" s="24" t="n">
        <f aca="false">G46+H46</f>
        <v>2335.26</v>
      </c>
      <c r="J46" s="24" t="n">
        <f aca="false">D46-I46</f>
        <v>31978.52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123</v>
      </c>
      <c r="C47" s="23" t="s">
        <v>29</v>
      </c>
      <c r="D47" s="24" t="n">
        <v>229987.39</v>
      </c>
      <c r="E47" s="24" t="n">
        <v>0</v>
      </c>
      <c r="F47" s="24" t="n">
        <v>0</v>
      </c>
      <c r="G47" s="24" t="n">
        <v>5430.25</v>
      </c>
      <c r="H47" s="24" t="n">
        <v>7666.27</v>
      </c>
      <c r="I47" s="24" t="n">
        <f aca="false">G47+H47</f>
        <v>13096.52</v>
      </c>
      <c r="J47" s="24" t="n">
        <f aca="false">D47-I47</f>
        <v>216890.87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1607.95</v>
      </c>
      <c r="E48" s="24" t="n">
        <v>0</v>
      </c>
      <c r="F48" s="24" t="n">
        <v>0</v>
      </c>
      <c r="G48" s="24" t="n">
        <v>121.07</v>
      </c>
      <c r="H48" s="24" t="n">
        <v>55.67</v>
      </c>
      <c r="I48" s="24" t="n">
        <f aca="false">G48+H48</f>
        <v>176.74</v>
      </c>
      <c r="J48" s="24" t="n">
        <f aca="false">D48-I48</f>
        <v>1431.21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124</v>
      </c>
      <c r="C49" s="23" t="s">
        <v>25</v>
      </c>
      <c r="D49" s="24" t="n">
        <v>8749.57</v>
      </c>
      <c r="E49" s="24" t="n">
        <v>0</v>
      </c>
      <c r="F49" s="24" t="n">
        <v>2244.81</v>
      </c>
      <c r="G49" s="24" t="n">
        <v>2244.81</v>
      </c>
      <c r="H49" s="24" t="n">
        <v>672.9</v>
      </c>
      <c r="I49" s="24" t="n">
        <f aca="false">G49+H49</f>
        <v>2917.71</v>
      </c>
      <c r="J49" s="24" t="n">
        <f aca="false">D49-I49</f>
        <v>5831.86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125</v>
      </c>
      <c r="C50" s="23" t="s">
        <v>27</v>
      </c>
      <c r="D50" s="24" t="n">
        <v>7532.28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7532.28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126</v>
      </c>
      <c r="C51" s="23" t="s">
        <v>29</v>
      </c>
      <c r="D51" s="24" t="n">
        <v>50485.05</v>
      </c>
      <c r="E51" s="24" t="n">
        <v>0</v>
      </c>
      <c r="F51" s="24" t="n">
        <v>0</v>
      </c>
      <c r="G51" s="24" t="n">
        <v>2019.4</v>
      </c>
      <c r="H51" s="24" t="n">
        <v>3231.05</v>
      </c>
      <c r="I51" s="24" t="n">
        <f aca="false">G51+H51</f>
        <v>5250.45</v>
      </c>
      <c r="J51" s="24" t="n">
        <f aca="false">D51-I51</f>
        <v>45234.6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396654.71</v>
      </c>
      <c r="E52" s="28" t="n">
        <f aca="false">SUM(E45:E51)</f>
        <v>0</v>
      </c>
      <c r="F52" s="28" t="n">
        <f aca="false">SUM(F45:F51)</f>
        <v>2244.81</v>
      </c>
      <c r="G52" s="28" t="n">
        <f aca="false">SUM(G45:G51)</f>
        <v>17614.4</v>
      </c>
      <c r="H52" s="28" t="n">
        <f aca="false">SUM(H45:H51)</f>
        <v>15099.47</v>
      </c>
      <c r="I52" s="28" t="n">
        <f aca="false">SUM(I45:I51)</f>
        <v>32713.87</v>
      </c>
      <c r="J52" s="28" t="n">
        <f aca="false">SUM(J45:J51)</f>
        <v>363940.84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341</v>
      </c>
      <c r="C56" s="23" t="s">
        <v>27</v>
      </c>
      <c r="D56" s="24" t="n">
        <v>9054.67</v>
      </c>
      <c r="E56" s="24" t="n">
        <v>0</v>
      </c>
      <c r="F56" s="24" t="n">
        <v>9054.67</v>
      </c>
      <c r="G56" s="24" t="n">
        <v>9054.67</v>
      </c>
      <c r="H56" s="24" t="n">
        <v>0</v>
      </c>
      <c r="I56" s="24" t="n">
        <f aca="false">G56+H56</f>
        <v>9054.67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342</v>
      </c>
      <c r="C57" s="23" t="s">
        <v>27</v>
      </c>
      <c r="D57" s="24" t="n">
        <v>25259.11</v>
      </c>
      <c r="E57" s="24" t="n">
        <v>0</v>
      </c>
      <c r="F57" s="24" t="n">
        <v>0</v>
      </c>
      <c r="G57" s="24" t="n">
        <v>877.05</v>
      </c>
      <c r="H57" s="24" t="n">
        <v>841.97</v>
      </c>
      <c r="I57" s="24" t="n">
        <f aca="false">G57+H57</f>
        <v>1719.02</v>
      </c>
      <c r="J57" s="24" t="n">
        <f aca="false">D57-I57</f>
        <v>23540.09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343</v>
      </c>
      <c r="C58" s="23" t="s">
        <v>29</v>
      </c>
      <c r="D58" s="24" t="n">
        <v>60688.77</v>
      </c>
      <c r="E58" s="24" t="n">
        <v>0</v>
      </c>
      <c r="F58" s="24" t="n">
        <v>48551.02</v>
      </c>
      <c r="G58" s="24" t="n">
        <v>50978.57</v>
      </c>
      <c r="H58" s="24" t="n">
        <v>3884.08</v>
      </c>
      <c r="I58" s="24" t="n">
        <f aca="false">G58+H58</f>
        <v>54862.65</v>
      </c>
      <c r="J58" s="24" t="n">
        <f aca="false">D58-I58</f>
        <v>5826.12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344</v>
      </c>
      <c r="C59" s="23" t="s">
        <v>29</v>
      </c>
      <c r="D59" s="24" t="n">
        <v>169298.62</v>
      </c>
      <c r="E59" s="24" t="n">
        <v>0</v>
      </c>
      <c r="F59" s="24" t="n">
        <v>0</v>
      </c>
      <c r="G59" s="24" t="n">
        <v>3997.33</v>
      </c>
      <c r="H59" s="24" t="n">
        <v>5643.29</v>
      </c>
      <c r="I59" s="24" t="n">
        <f aca="false">G59+H59</f>
        <v>9640.62</v>
      </c>
      <c r="J59" s="24" t="n">
        <f aca="false">D59-I59</f>
        <v>159658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346</v>
      </c>
      <c r="C60" s="23" t="s">
        <v>25</v>
      </c>
      <c r="D60" s="24" t="n">
        <v>2308.82</v>
      </c>
      <c r="E60" s="24" t="n">
        <v>0</v>
      </c>
      <c r="F60" s="24" t="n">
        <v>2308.82</v>
      </c>
      <c r="G60" s="24" t="n">
        <v>2308.82</v>
      </c>
      <c r="H60" s="24" t="n">
        <v>0</v>
      </c>
      <c r="I60" s="24" t="n">
        <f aca="false">G60+H60</f>
        <v>2308.82</v>
      </c>
      <c r="J60" s="24" t="n">
        <f aca="false">D60-I60</f>
        <v>0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347</v>
      </c>
      <c r="C61" s="23" t="s">
        <v>25</v>
      </c>
      <c r="D61" s="24" t="n">
        <v>6440.75</v>
      </c>
      <c r="E61" s="24" t="n">
        <v>0</v>
      </c>
      <c r="F61" s="24" t="n">
        <v>0</v>
      </c>
      <c r="G61" s="24" t="n">
        <v>1153.96</v>
      </c>
      <c r="H61" s="24" t="n">
        <v>214.69</v>
      </c>
      <c r="I61" s="24" t="n">
        <f aca="false">G61+H61</f>
        <v>1368.65</v>
      </c>
      <c r="J61" s="24" t="n">
        <f aca="false">D61-I61</f>
        <v>5072.1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348</v>
      </c>
      <c r="C62" s="23" t="s">
        <v>27</v>
      </c>
      <c r="D62" s="24" t="n">
        <v>1987.61</v>
      </c>
      <c r="E62" s="24" t="n">
        <v>0</v>
      </c>
      <c r="F62" s="24" t="n">
        <v>1987.61</v>
      </c>
      <c r="G62" s="24" t="n">
        <v>1987.61</v>
      </c>
      <c r="H62" s="24" t="n">
        <v>0</v>
      </c>
      <c r="I62" s="24" t="n">
        <f aca="false">G62+H62</f>
        <v>1987.61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349</v>
      </c>
      <c r="C63" s="23" t="s">
        <v>27</v>
      </c>
      <c r="D63" s="24" t="n">
        <v>5544.67</v>
      </c>
      <c r="E63" s="24" t="n">
        <v>0</v>
      </c>
      <c r="F63" s="24" t="n">
        <v>0</v>
      </c>
      <c r="G63" s="24" t="n">
        <v>192.52</v>
      </c>
      <c r="H63" s="24" t="n">
        <v>184.82</v>
      </c>
      <c r="I63" s="24" t="n">
        <f aca="false">G63+H63</f>
        <v>377.34</v>
      </c>
      <c r="J63" s="24" t="n">
        <f aca="false">D63-I63</f>
        <v>5167.33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350</v>
      </c>
      <c r="C64" s="23" t="s">
        <v>29</v>
      </c>
      <c r="D64" s="24" t="n">
        <v>13321.94</v>
      </c>
      <c r="E64" s="24" t="n">
        <v>0</v>
      </c>
      <c r="F64" s="24" t="n">
        <v>10657.55</v>
      </c>
      <c r="G64" s="24" t="n">
        <v>11190.43</v>
      </c>
      <c r="H64" s="24" t="n">
        <v>852.6</v>
      </c>
      <c r="I64" s="24" t="n">
        <f aca="false">G64+H64</f>
        <v>12043.03</v>
      </c>
      <c r="J64" s="24" t="n">
        <f aca="false">D64-I64</f>
        <v>1278.91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351</v>
      </c>
      <c r="C65" s="23" t="s">
        <v>29</v>
      </c>
      <c r="D65" s="24" t="n">
        <v>37163.11</v>
      </c>
      <c r="E65" s="24" t="n">
        <v>0</v>
      </c>
      <c r="F65" s="24" t="n">
        <v>0</v>
      </c>
      <c r="G65" s="24" t="n">
        <v>877.46</v>
      </c>
      <c r="H65" s="24" t="n">
        <v>1238.77</v>
      </c>
      <c r="I65" s="24" t="n">
        <f aca="false">G65+H65</f>
        <v>2116.23</v>
      </c>
      <c r="J65" s="24" t="n">
        <f aca="false">D65-I65</f>
        <v>35046.88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6"/>
      <c r="B66" s="27" t="s">
        <v>140</v>
      </c>
      <c r="C66" s="26"/>
      <c r="D66" s="28" t="n">
        <f aca="false">SUM(D56:D65)</f>
        <v>331068.07</v>
      </c>
      <c r="E66" s="28" t="n">
        <f aca="false">SUM(E56:E65)</f>
        <v>0</v>
      </c>
      <c r="F66" s="28" t="n">
        <f aca="false">SUM(F56:F65)</f>
        <v>72559.67</v>
      </c>
      <c r="G66" s="28" t="n">
        <f aca="false">SUM(G56:G65)</f>
        <v>82618.42</v>
      </c>
      <c r="H66" s="28" t="n">
        <f aca="false">SUM(H56:H65)</f>
        <v>12860.22</v>
      </c>
      <c r="I66" s="28" t="n">
        <f aca="false">SUM(I56:I65)</f>
        <v>95478.64</v>
      </c>
      <c r="J66" s="28" t="n">
        <f aca="false">SUM(J56:J65)</f>
        <v>235589.43</v>
      </c>
      <c r="K66" s="26"/>
      <c r="L66" s="26"/>
    </row>
    <row r="68" customFormat="false" ht="15" hidden="false" customHeight="false" outlineLevel="0" collapsed="false">
      <c r="B68" s="18" t="s">
        <v>421</v>
      </c>
    </row>
    <row r="69" customFormat="false" ht="15" hidden="false" customHeight="false" outlineLevel="0" collapsed="false">
      <c r="B69" s="5" t="s">
        <v>414</v>
      </c>
      <c r="D69" s="6" t="n">
        <f aca="false">I52</f>
        <v>32713.87</v>
      </c>
    </row>
    <row r="70" customFormat="false" ht="15" hidden="false" customHeight="false" outlineLevel="0" collapsed="false">
      <c r="B70" s="5" t="s">
        <v>415</v>
      </c>
      <c r="D70" s="6" t="n">
        <f aca="false">I66</f>
        <v>95478.64</v>
      </c>
    </row>
    <row r="71" customFormat="false" ht="15" hidden="false" customHeight="false" outlineLevel="0" collapsed="false">
      <c r="B71" s="11" t="s">
        <v>421</v>
      </c>
      <c r="D71" s="29" t="n">
        <f aca="false">D69-D70</f>
        <v>-62764.77</v>
      </c>
    </row>
    <row r="73" customFormat="false" ht="15" hidden="false" customHeight="false" outlineLevel="0" collapsed="false">
      <c r="A73" s="10" t="s">
        <v>422</v>
      </c>
    </row>
    <row r="74" customFormat="false" ht="15" hidden="false" customHeight="false" outlineLevel="0" collapsed="false">
      <c r="B74" s="11" t="s">
        <v>445</v>
      </c>
      <c r="D74" s="12" t="n">
        <f aca="false">D111</f>
        <v>396654.71</v>
      </c>
    </row>
    <row r="75" customFormat="false" ht="15" hidden="false" customHeight="false" outlineLevel="0" collapsed="false">
      <c r="B75" s="5" t="s">
        <v>446</v>
      </c>
      <c r="D75" s="6" t="n">
        <f aca="false">F111</f>
        <v>104668.72</v>
      </c>
    </row>
    <row r="76" customFormat="false" ht="15" hidden="false" customHeight="false" outlineLevel="0" collapsed="false">
      <c r="B76" s="30" t="s">
        <v>425</v>
      </c>
      <c r="D76" s="31" t="n">
        <f aca="false">F112</f>
        <v>0.263878676746332</v>
      </c>
    </row>
    <row r="77" customFormat="false" ht="15" hidden="false" customHeight="false" outlineLevel="0" collapsed="false">
      <c r="B77" s="5" t="s">
        <v>447</v>
      </c>
      <c r="D77" s="6" t="n">
        <f aca="false">H111</f>
        <v>291985.99</v>
      </c>
    </row>
    <row r="78" customFormat="false" ht="15" hidden="false" customHeight="false" outlineLevel="0" collapsed="false">
      <c r="B78" s="30" t="s">
        <v>425</v>
      </c>
      <c r="D78" s="31" t="n">
        <f aca="false">H112</f>
        <v>0.736121323253668</v>
      </c>
    </row>
    <row r="80" customFormat="false" ht="15" hidden="false" customHeight="false" outlineLevel="0" collapsed="false">
      <c r="A80" s="10" t="s">
        <v>427</v>
      </c>
    </row>
    <row r="81" customFormat="false" ht="15" hidden="false" customHeight="false" outlineLevel="0" collapsed="false">
      <c r="B81" s="4" t="s">
        <v>428</v>
      </c>
      <c r="D81" s="4" t="s">
        <v>397</v>
      </c>
      <c r="F81" s="4" t="s">
        <v>448</v>
      </c>
      <c r="H81" s="4" t="s">
        <v>430</v>
      </c>
    </row>
    <row r="82" customFormat="false" ht="15" hidden="false" customHeight="false" outlineLevel="0" collapsed="false">
      <c r="B82" s="32" t="s">
        <v>449</v>
      </c>
    </row>
    <row r="83" customFormat="false" ht="15" hidden="false" customHeight="false" outlineLevel="0" collapsed="false">
      <c r="B83" s="5" t="s">
        <v>450</v>
      </c>
      <c r="D83" s="33" t="n">
        <f aca="false">SUM(F83:H83)</f>
        <v>31452.73</v>
      </c>
      <c r="F83" s="33" t="n">
        <v>31452.73</v>
      </c>
    </row>
    <row r="84" customFormat="false" ht="15" hidden="false" customHeight="false" outlineLevel="0" collapsed="false">
      <c r="B84" s="5" t="s">
        <v>451</v>
      </c>
      <c r="D84" s="33" t="n">
        <f aca="false">SUM(F84:H84)</f>
        <v>8394.17</v>
      </c>
      <c r="F84" s="33" t="n">
        <v>8394.17</v>
      </c>
    </row>
    <row r="85" customFormat="false" ht="15" hidden="false" customHeight="false" outlineLevel="0" collapsed="false">
      <c r="B85" s="5" t="s">
        <v>452</v>
      </c>
      <c r="D85" s="33" t="n">
        <f aca="false">SUM(F85:H85)</f>
        <v>32815.89</v>
      </c>
      <c r="F85" s="33" t="n">
        <v>32815.89</v>
      </c>
    </row>
    <row r="86" customFormat="false" ht="15" hidden="false" customHeight="false" outlineLevel="0" collapsed="false">
      <c r="B86" s="5" t="s">
        <v>453</v>
      </c>
      <c r="D86" s="33" t="n">
        <f aca="false">SUM(F86:H86)</f>
        <v>2648.72</v>
      </c>
      <c r="F86" s="33" t="n">
        <v>2648.72</v>
      </c>
    </row>
    <row r="87" customFormat="false" ht="15" hidden="false" customHeight="false" outlineLevel="0" collapsed="false">
      <c r="B87" s="5" t="s">
        <v>454</v>
      </c>
      <c r="D87" s="33" t="n">
        <f aca="false">SUM(F87:H87)</f>
        <v>394.4</v>
      </c>
      <c r="F87" s="33" t="n">
        <v>394.4</v>
      </c>
    </row>
    <row r="88" customFormat="false" ht="15" hidden="false" customHeight="false" outlineLevel="0" collapsed="false">
      <c r="B88" s="5" t="s">
        <v>455</v>
      </c>
      <c r="D88" s="33" t="n">
        <f aca="false">SUM(F88:H88)</f>
        <v>5344.3</v>
      </c>
      <c r="F88" s="33" t="n">
        <v>5344.3</v>
      </c>
    </row>
    <row r="89" customFormat="false" ht="15" hidden="false" customHeight="false" outlineLevel="0" collapsed="false">
      <c r="B89" s="5" t="s">
        <v>456</v>
      </c>
      <c r="D89" s="33" t="n">
        <f aca="false">SUM(F89:H89)</f>
        <v>2858.97</v>
      </c>
      <c r="F89" s="33" t="n">
        <v>2858.97</v>
      </c>
    </row>
    <row r="90" customFormat="false" ht="15" hidden="false" customHeight="false" outlineLevel="0" collapsed="false">
      <c r="B90" s="5" t="s">
        <v>457</v>
      </c>
      <c r="D90" s="33" t="n">
        <f aca="false">SUM(F90:H90)</f>
        <v>9687.68</v>
      </c>
      <c r="F90" s="33" t="n">
        <v>9687.68</v>
      </c>
    </row>
    <row r="91" customFormat="false" ht="15" hidden="false" customHeight="false" outlineLevel="0" collapsed="false">
      <c r="B91" s="5" t="s">
        <v>458</v>
      </c>
      <c r="D91" s="33" t="n">
        <f aca="false">SUM(F91:H91)</f>
        <v>2139.23</v>
      </c>
      <c r="F91" s="33" t="n">
        <v>2139.23</v>
      </c>
    </row>
    <row r="92" customFormat="false" ht="15" hidden="false" customHeight="false" outlineLevel="0" collapsed="false">
      <c r="B92" s="5" t="s">
        <v>459</v>
      </c>
      <c r="D92" s="33" t="n">
        <f aca="false">SUM(F92:H92)</f>
        <v>605.69</v>
      </c>
      <c r="F92" s="33" t="n">
        <v>605.69</v>
      </c>
    </row>
    <row r="93" customFormat="false" ht="15" hidden="false" customHeight="false" outlineLevel="0" collapsed="false">
      <c r="B93" s="5" t="s">
        <v>460</v>
      </c>
      <c r="D93" s="33" t="n">
        <f aca="false">SUM(F93:H93)</f>
        <v>8326.94</v>
      </c>
      <c r="F93" s="33" t="n">
        <v>8326.94</v>
      </c>
    </row>
    <row r="94" customFormat="false" ht="15" hidden="false" customHeight="false" outlineLevel="0" collapsed="false">
      <c r="B94" s="32" t="s">
        <v>461</v>
      </c>
    </row>
    <row r="95" customFormat="false" ht="15" hidden="false" customHeight="false" outlineLevel="0" collapsed="false">
      <c r="B95" s="5" t="s">
        <v>462</v>
      </c>
      <c r="D95" s="33" t="n">
        <f aca="false">SUM(F95:H95)</f>
        <v>16256.27</v>
      </c>
      <c r="H95" s="33" t="n">
        <v>16256.27</v>
      </c>
    </row>
    <row r="96" customFormat="false" ht="15" hidden="false" customHeight="false" outlineLevel="0" collapsed="false">
      <c r="B96" s="5" t="s">
        <v>463</v>
      </c>
      <c r="D96" s="33" t="n">
        <f aca="false">SUM(F96:H96)</f>
        <v>21691.78</v>
      </c>
      <c r="H96" s="33" t="n">
        <v>21691.78</v>
      </c>
    </row>
    <row r="97" customFormat="false" ht="15" hidden="false" customHeight="false" outlineLevel="0" collapsed="false">
      <c r="B97" s="5" t="s">
        <v>464</v>
      </c>
      <c r="D97" s="33" t="n">
        <f aca="false">SUM(F97:H97)</f>
        <v>31892.38</v>
      </c>
      <c r="H97" s="33" t="n">
        <v>31892.38</v>
      </c>
    </row>
    <row r="98" customFormat="false" ht="15" hidden="false" customHeight="false" outlineLevel="0" collapsed="false">
      <c r="B98" s="5" t="s">
        <v>465</v>
      </c>
      <c r="D98" s="33" t="n">
        <f aca="false">SUM(F98:H98)</f>
        <v>29436.62</v>
      </c>
      <c r="H98" s="33" t="n">
        <v>29436.62</v>
      </c>
    </row>
    <row r="99" customFormat="false" ht="15" hidden="false" customHeight="false" outlineLevel="0" collapsed="false">
      <c r="B99" s="5" t="s">
        <v>466</v>
      </c>
      <c r="D99" s="33" t="n">
        <f aca="false">SUM(F99:H99)</f>
        <v>27723.88</v>
      </c>
      <c r="H99" s="33" t="n">
        <v>27723.88</v>
      </c>
    </row>
    <row r="100" customFormat="false" ht="15" hidden="false" customHeight="false" outlineLevel="0" collapsed="false">
      <c r="B100" s="5" t="s">
        <v>467</v>
      </c>
      <c r="D100" s="33" t="n">
        <f aca="false">SUM(F100:H100)</f>
        <v>1864.29</v>
      </c>
      <c r="H100" s="33" t="n">
        <v>1864.29</v>
      </c>
    </row>
    <row r="101" customFormat="false" ht="15" hidden="false" customHeight="false" outlineLevel="0" collapsed="false">
      <c r="B101" s="5" t="s">
        <v>468</v>
      </c>
      <c r="D101" s="33" t="n">
        <f aca="false">SUM(F101:H101)</f>
        <v>19256.3</v>
      </c>
      <c r="H101" s="33" t="n">
        <v>19256.3</v>
      </c>
    </row>
    <row r="102" customFormat="false" ht="15" hidden="false" customHeight="false" outlineLevel="0" collapsed="false">
      <c r="B102" s="5" t="s">
        <v>469</v>
      </c>
      <c r="D102" s="33" t="n">
        <f aca="false">SUM(F102:H102)</f>
        <v>16292.68</v>
      </c>
      <c r="H102" s="33" t="n">
        <v>16292.68</v>
      </c>
    </row>
    <row r="103" customFormat="false" ht="15" hidden="false" customHeight="false" outlineLevel="0" collapsed="false">
      <c r="B103" s="5" t="s">
        <v>470</v>
      </c>
      <c r="D103" s="33" t="n">
        <f aca="false">SUM(F103:H103)</f>
        <v>12258.17</v>
      </c>
      <c r="H103" s="33" t="n">
        <v>12258.17</v>
      </c>
    </row>
    <row r="104" customFormat="false" ht="15" hidden="false" customHeight="false" outlineLevel="0" collapsed="false">
      <c r="B104" s="5" t="s">
        <v>471</v>
      </c>
      <c r="D104" s="33" t="n">
        <f aca="false">SUM(F104:H104)</f>
        <v>14614.91</v>
      </c>
      <c r="H104" s="33" t="n">
        <v>14614.91</v>
      </c>
    </row>
    <row r="105" customFormat="false" ht="15" hidden="false" customHeight="false" outlineLevel="0" collapsed="false">
      <c r="B105" s="5" t="s">
        <v>472</v>
      </c>
      <c r="D105" s="33" t="n">
        <f aca="false">SUM(F105:H105)</f>
        <v>38542.73</v>
      </c>
      <c r="H105" s="33" t="n">
        <v>38542.73</v>
      </c>
    </row>
    <row r="106" customFormat="false" ht="15" hidden="false" customHeight="false" outlineLevel="0" collapsed="false">
      <c r="B106" s="5" t="s">
        <v>473</v>
      </c>
      <c r="D106" s="33" t="n">
        <f aca="false">SUM(F106:H106)</f>
        <v>15196</v>
      </c>
      <c r="H106" s="33" t="n">
        <v>15196</v>
      </c>
    </row>
    <row r="107" customFormat="false" ht="15" hidden="false" customHeight="false" outlineLevel="0" collapsed="false">
      <c r="B107" s="5" t="s">
        <v>474</v>
      </c>
      <c r="D107" s="33" t="n">
        <f aca="false">SUM(F107:H107)</f>
        <v>37823.34</v>
      </c>
      <c r="H107" s="33" t="n">
        <v>37823.34</v>
      </c>
    </row>
    <row r="108" customFormat="false" ht="15" hidden="false" customHeight="false" outlineLevel="0" collapsed="false">
      <c r="B108" s="5" t="s">
        <v>475</v>
      </c>
      <c r="D108" s="33" t="n">
        <f aca="false">SUM(F108:H108)</f>
        <v>3514.89</v>
      </c>
      <c r="H108" s="33" t="n">
        <v>3514.89</v>
      </c>
    </row>
    <row r="109" customFormat="false" ht="15" hidden="false" customHeight="false" outlineLevel="0" collapsed="false">
      <c r="B109" s="5" t="s">
        <v>476</v>
      </c>
      <c r="D109" s="33" t="n">
        <f aca="false">SUM(F109:H109)</f>
        <v>3740.86</v>
      </c>
      <c r="H109" s="33" t="n">
        <v>3740.86</v>
      </c>
    </row>
    <row r="110" customFormat="false" ht="15" hidden="false" customHeight="false" outlineLevel="0" collapsed="false">
      <c r="B110" s="5" t="s">
        <v>477</v>
      </c>
      <c r="D110" s="33" t="n">
        <f aca="false">SUM(F110:H110)</f>
        <v>1880.89</v>
      </c>
      <c r="H110" s="33" t="n">
        <v>1880.89</v>
      </c>
    </row>
    <row r="111" customFormat="false" ht="15" hidden="false" customHeight="false" outlineLevel="0" collapsed="false">
      <c r="B111" s="11" t="s">
        <v>445</v>
      </c>
      <c r="D111" s="34" t="n">
        <f aca="false">SUM(D82:D110)</f>
        <v>396654.71</v>
      </c>
      <c r="F111" s="34" t="n">
        <f aca="false">SUM(F82:F110)</f>
        <v>104668.72</v>
      </c>
      <c r="H111" s="34" t="n">
        <f aca="false">SUM(H82:H110)</f>
        <v>291985.99</v>
      </c>
    </row>
    <row r="112" customFormat="false" ht="15" hidden="false" customHeight="false" outlineLevel="0" collapsed="false">
      <c r="B112" s="30" t="s">
        <v>425</v>
      </c>
      <c r="F112" s="31" t="n">
        <f aca="false">F111/D111</f>
        <v>0.263878676746332</v>
      </c>
      <c r="H112" s="31" t="n">
        <f aca="false">H111/D111</f>
        <v>0.736121323253668</v>
      </c>
    </row>
    <row r="114" customFormat="false" ht="15" hidden="false" customHeight="false" outlineLevel="0" collapsed="false">
      <c r="A114" s="10" t="s">
        <v>440</v>
      </c>
    </row>
    <row r="115" customFormat="false" ht="15" hidden="false" customHeight="false" outlineLevel="0" collapsed="false">
      <c r="B115" s="4" t="s">
        <v>441</v>
      </c>
      <c r="D115" s="4" t="s">
        <v>397</v>
      </c>
      <c r="F115" s="4" t="s">
        <v>448</v>
      </c>
      <c r="H115" s="4" t="s">
        <v>430</v>
      </c>
    </row>
    <row r="116" customFormat="false" ht="15" hidden="false" customHeight="false" outlineLevel="0" collapsed="false">
      <c r="B116" s="5" t="str">
        <f aca="false">'Building 15'!B21</f>
        <v>10-Building-Post Casualty Loss Basis-bldg15-5</v>
      </c>
      <c r="D116" s="33" t="n">
        <f aca="false">SUM(F116:H116)</f>
        <v>16882.61</v>
      </c>
      <c r="F116" s="33" t="n">
        <f aca="false">'Building 15'!D21</f>
        <v>16882.61</v>
      </c>
    </row>
    <row r="117" customFormat="false" ht="15" hidden="false" customHeight="false" outlineLevel="0" collapsed="false">
      <c r="B117" s="5" t="str">
        <f aca="false">'Building 15'!B22</f>
        <v>10-Building-Post Casualty Loss Basis-bldg15-3</v>
      </c>
      <c r="D117" s="33" t="n">
        <f aca="false">SUM(F117:H117)</f>
        <v>47096.08</v>
      </c>
      <c r="H117" s="33" t="n">
        <f aca="false">'Building 15'!D22</f>
        <v>47096.08</v>
      </c>
    </row>
    <row r="118" customFormat="false" ht="15" hidden="false" customHeight="false" outlineLevel="0" collapsed="false">
      <c r="B118" s="5" t="str">
        <f aca="false">'Building 15'!B23</f>
        <v>12-New Buildings(16 units)-bldg15-5yr</v>
      </c>
      <c r="D118" s="33" t="n">
        <f aca="false">SUM(F118:H118)</f>
        <v>9054.67</v>
      </c>
      <c r="F118" s="33" t="n">
        <f aca="false">'Building 15'!D23</f>
        <v>9054.67</v>
      </c>
    </row>
    <row r="119" customFormat="false" ht="15" hidden="false" customHeight="false" outlineLevel="0" collapsed="false">
      <c r="B119" s="5" t="str">
        <f aca="false">'Building 15'!B24</f>
        <v>12-New Buildings(16 units)-bldg15-30yr</v>
      </c>
      <c r="D119" s="33" t="n">
        <f aca="false">SUM(F119:H119)</f>
        <v>25259.11</v>
      </c>
      <c r="H119" s="33" t="n">
        <f aca="false">'Building 15'!D24</f>
        <v>25259.11</v>
      </c>
    </row>
    <row r="120" customFormat="false" ht="15" hidden="false" customHeight="false" outlineLevel="0" collapsed="false">
      <c r="B120" s="5" t="str">
        <f aca="false">'Building 15'!B25</f>
        <v>14-New Buildings(105 units)-bldg15-5yr</v>
      </c>
      <c r="D120" s="33" t="n">
        <f aca="false">SUM(F120:H120)</f>
        <v>60688.77</v>
      </c>
      <c r="F120" s="33" t="n">
        <f aca="false">'Building 15'!D25</f>
        <v>60688.77</v>
      </c>
    </row>
    <row r="121" customFormat="false" ht="15" hidden="false" customHeight="false" outlineLevel="0" collapsed="false">
      <c r="B121" s="5" t="str">
        <f aca="false">'Building 15'!B26</f>
        <v>14-New Buildings(105 units)-bldg15-30yr</v>
      </c>
      <c r="D121" s="33" t="n">
        <f aca="false">SUM(F121:H121)</f>
        <v>169298.62</v>
      </c>
      <c r="H121" s="33" t="n">
        <f aca="false">'Building 15'!D26</f>
        <v>169298.62</v>
      </c>
    </row>
    <row r="122" customFormat="false" ht="15" hidden="false" customHeight="false" outlineLevel="0" collapsed="false">
      <c r="B122" s="5" t="str">
        <f aca="false">'Building 15'!B27</f>
        <v>11-Building Imp-Post-Casulty Loss Basis-bldg1</v>
      </c>
      <c r="D122" s="33" t="n">
        <f aca="false">SUM(F122:H122)</f>
        <v>424.3</v>
      </c>
      <c r="F122" s="33" t="n">
        <f aca="false">'Building 15'!D27</f>
        <v>424.3</v>
      </c>
    </row>
    <row r="123" customFormat="false" ht="15" hidden="false" customHeight="false" outlineLevel="0" collapsed="false">
      <c r="B123" s="5" t="str">
        <f aca="false">'Building 15'!B28</f>
        <v>11-Building Imp-Post-Casulty Loss Basis-bldg1</v>
      </c>
      <c r="D123" s="33" t="n">
        <f aca="false">SUM(F123:H123)</f>
        <v>1183.65</v>
      </c>
      <c r="H123" s="33" t="n">
        <f aca="false">'Building 15'!D28</f>
        <v>1183.65</v>
      </c>
    </row>
    <row r="124" customFormat="false" ht="15" hidden="false" customHeight="false" outlineLevel="0" collapsed="false">
      <c r="B124" s="5" t="str">
        <f aca="false">'Building 15'!B29</f>
        <v>2-Land Improvements-bldg15-5yr</v>
      </c>
      <c r="D124" s="33" t="n">
        <f aca="false">SUM(F124:H124)</f>
        <v>2308.82</v>
      </c>
      <c r="F124" s="33" t="n">
        <f aca="false">'Building 15'!D29</f>
        <v>2308.82</v>
      </c>
    </row>
    <row r="125" customFormat="false" ht="15" hidden="false" customHeight="false" outlineLevel="0" collapsed="false">
      <c r="B125" s="5" t="str">
        <f aca="false">'Building 15'!B30</f>
        <v>2-Land Improvements-bldg15-30yr</v>
      </c>
      <c r="D125" s="33" t="n">
        <f aca="false">SUM(F125:H125)</f>
        <v>6440.75</v>
      </c>
      <c r="H125" s="33" t="n">
        <f aca="false">'Building 15'!D30</f>
        <v>6440.75</v>
      </c>
    </row>
    <row r="126" customFormat="false" ht="15" hidden="false" customHeight="false" outlineLevel="0" collapsed="false">
      <c r="B126" s="5" t="str">
        <f aca="false">'Building 15'!B31</f>
        <v>13-New Equipment(16 units)-bldg15-5yr</v>
      </c>
      <c r="D126" s="33" t="n">
        <f aca="false">SUM(F126:H126)</f>
        <v>1987.61</v>
      </c>
      <c r="F126" s="33" t="n">
        <f aca="false">'Building 15'!D31</f>
        <v>1987.61</v>
      </c>
    </row>
    <row r="127" customFormat="false" ht="15" hidden="false" customHeight="false" outlineLevel="0" collapsed="false">
      <c r="B127" s="5" t="str">
        <f aca="false">'Building 15'!B32</f>
        <v>13-New Equipment(16 units)-bldg15-30yr</v>
      </c>
      <c r="D127" s="33" t="n">
        <f aca="false">SUM(F127:H127)</f>
        <v>5544.67</v>
      </c>
      <c r="H127" s="33" t="n">
        <f aca="false">'Building 15'!D32</f>
        <v>5544.67</v>
      </c>
    </row>
    <row r="128" customFormat="false" ht="15" hidden="false" customHeight="false" outlineLevel="0" collapsed="false">
      <c r="B128" s="5" t="str">
        <f aca="false">'Building 15'!B33</f>
        <v>15-New Equipment(105 units)-bldg15-5yr</v>
      </c>
      <c r="D128" s="33" t="n">
        <f aca="false">SUM(F128:H128)</f>
        <v>13321.94</v>
      </c>
      <c r="F128" s="33" t="n">
        <f aca="false">'Building 15'!D33</f>
        <v>13321.94</v>
      </c>
    </row>
    <row r="129" customFormat="false" ht="15" hidden="false" customHeight="false" outlineLevel="0" collapsed="false">
      <c r="B129" s="5" t="str">
        <f aca="false">'Building 15'!B34</f>
        <v>15-New Equipment(105 units)-bldg15-30yr</v>
      </c>
      <c r="D129" s="33" t="n">
        <f aca="false">SUM(F129:H129)</f>
        <v>37163.11</v>
      </c>
      <c r="H129" s="33" t="n">
        <f aca="false">'Building 15'!D34</f>
        <v>37163.11</v>
      </c>
    </row>
    <row r="130" customFormat="false" ht="15" hidden="false" customHeight="false" outlineLevel="0" collapsed="false">
      <c r="B130" s="11" t="s">
        <v>442</v>
      </c>
      <c r="D130" s="34" t="n">
        <f aca="false">SUM(D116:D129)</f>
        <v>396654.71</v>
      </c>
      <c r="F130" s="34" t="n">
        <f aca="false">SUM(F116:F129)</f>
        <v>104668.72</v>
      </c>
      <c r="H130" s="34" t="n">
        <f aca="false">SUM(H116:H129)</f>
        <v>291985.99</v>
      </c>
    </row>
    <row r="131" customFormat="false" ht="15" hidden="false" customHeight="false" outlineLevel="0" collapsed="false">
      <c r="B131" s="16" t="s">
        <v>443</v>
      </c>
      <c r="D131" s="17" t="n">
        <f aca="false">D130-D111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497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127</v>
      </c>
      <c r="C10" s="23" t="s">
        <v>25</v>
      </c>
      <c r="D10" s="24" t="n">
        <v>64317.98</v>
      </c>
      <c r="E10" s="24" t="n">
        <v>0</v>
      </c>
      <c r="F10" s="24" t="n">
        <v>0</v>
      </c>
      <c r="G10" s="24" t="n">
        <v>6642.44</v>
      </c>
      <c r="H10" s="24" t="n">
        <v>2342.15</v>
      </c>
      <c r="I10" s="24" t="n">
        <f aca="false">G10+H10</f>
        <v>8984.59</v>
      </c>
      <c r="J10" s="24" t="n">
        <f aca="false">D10-I10</f>
        <v>55333.39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128</v>
      </c>
      <c r="C11" s="23" t="s">
        <v>27</v>
      </c>
      <c r="D11" s="24" t="n">
        <v>34495.74</v>
      </c>
      <c r="E11" s="24" t="n">
        <v>0</v>
      </c>
      <c r="F11" s="24" t="n">
        <v>0</v>
      </c>
      <c r="G11" s="24" t="n">
        <v>1197.79</v>
      </c>
      <c r="H11" s="24" t="n">
        <v>1149.85</v>
      </c>
      <c r="I11" s="24" t="n">
        <f aca="false">G11+H11</f>
        <v>2347.64</v>
      </c>
      <c r="J11" s="24" t="n">
        <f aca="false">D11-I11</f>
        <v>32148.1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129</v>
      </c>
      <c r="C12" s="23" t="s">
        <v>29</v>
      </c>
      <c r="D12" s="24" t="n">
        <v>231207.03</v>
      </c>
      <c r="E12" s="24" t="n">
        <v>0</v>
      </c>
      <c r="F12" s="24" t="n">
        <v>0</v>
      </c>
      <c r="G12" s="24" t="n">
        <v>5459.05</v>
      </c>
      <c r="H12" s="24" t="n">
        <v>7706.92</v>
      </c>
      <c r="I12" s="24" t="n">
        <f aca="false">G12+H12</f>
        <v>13165.97</v>
      </c>
      <c r="J12" s="24" t="n">
        <f aca="false">D12-I12</f>
        <v>218041.06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39</v>
      </c>
      <c r="C13" s="23" t="s">
        <v>31</v>
      </c>
      <c r="D13" s="24" t="n">
        <v>1616.48</v>
      </c>
      <c r="E13" s="24" t="n">
        <v>0</v>
      </c>
      <c r="F13" s="24" t="n">
        <v>0</v>
      </c>
      <c r="G13" s="24" t="n">
        <v>121.71</v>
      </c>
      <c r="H13" s="24" t="n">
        <v>55.97</v>
      </c>
      <c r="I13" s="24" t="n">
        <f aca="false">G13+H13</f>
        <v>177.68</v>
      </c>
      <c r="J13" s="24" t="n">
        <f aca="false">D13-I13</f>
        <v>1438.8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130</v>
      </c>
      <c r="C14" s="23" t="s">
        <v>25</v>
      </c>
      <c r="D14" s="24" t="n">
        <v>8795.97</v>
      </c>
      <c r="E14" s="24" t="n">
        <v>0</v>
      </c>
      <c r="F14" s="24" t="n">
        <v>2256.71</v>
      </c>
      <c r="G14" s="24" t="n">
        <v>2256.71</v>
      </c>
      <c r="H14" s="24" t="n">
        <v>676.47</v>
      </c>
      <c r="I14" s="24" t="n">
        <f aca="false">G14+H14</f>
        <v>2933.18</v>
      </c>
      <c r="J14" s="24" t="n">
        <f aca="false">D14-I14</f>
        <v>5862.79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131</v>
      </c>
      <c r="C15" s="23" t="s">
        <v>27</v>
      </c>
      <c r="D15" s="24" t="n">
        <v>7572.23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7572.23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132</v>
      </c>
      <c r="C16" s="23" t="s">
        <v>29</v>
      </c>
      <c r="D16" s="24" t="n">
        <v>50752.78</v>
      </c>
      <c r="E16" s="24" t="n">
        <v>0</v>
      </c>
      <c r="F16" s="24" t="n">
        <v>0</v>
      </c>
      <c r="G16" s="24" t="n">
        <v>2030.1</v>
      </c>
      <c r="H16" s="24" t="n">
        <v>3248.19</v>
      </c>
      <c r="I16" s="24" t="n">
        <f aca="false">G16+H16</f>
        <v>5278.29</v>
      </c>
      <c r="J16" s="24" t="n">
        <f aca="false">D16-I16</f>
        <v>45474.49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398758.21</v>
      </c>
      <c r="E17" s="28" t="n">
        <f aca="false">SUM(E10:E16)</f>
        <v>0</v>
      </c>
      <c r="F17" s="28" t="n">
        <f aca="false">SUM(F10:F16)</f>
        <v>2256.71</v>
      </c>
      <c r="G17" s="28" t="n">
        <f aca="false">SUM(G10:G16)</f>
        <v>17707.8</v>
      </c>
      <c r="H17" s="28" t="n">
        <f aca="false">SUM(H10:H16)</f>
        <v>15179.55</v>
      </c>
      <c r="I17" s="28" t="n">
        <f aca="false">SUM(I10:I16)</f>
        <v>32887.35</v>
      </c>
      <c r="J17" s="28" t="n">
        <f aca="false">SUM(J10:J16)</f>
        <v>365870.86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352</v>
      </c>
      <c r="C21" s="23" t="s">
        <v>25</v>
      </c>
      <c r="D21" s="24" t="n">
        <v>16882.61</v>
      </c>
      <c r="E21" s="24" t="n">
        <v>0</v>
      </c>
      <c r="F21" s="24" t="n">
        <v>16882.61</v>
      </c>
      <c r="G21" s="24" t="n">
        <v>16882.61</v>
      </c>
      <c r="H21" s="24" t="n">
        <v>0</v>
      </c>
      <c r="I21" s="24" t="n">
        <f aca="false">G21+H21</f>
        <v>16882.61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353</v>
      </c>
      <c r="C22" s="23" t="s">
        <v>25</v>
      </c>
      <c r="D22" s="24" t="n">
        <v>47435.37</v>
      </c>
      <c r="E22" s="24" t="n">
        <v>0</v>
      </c>
      <c r="F22" s="24" t="n">
        <v>0</v>
      </c>
      <c r="G22" s="24" t="n">
        <v>8498.84</v>
      </c>
      <c r="H22" s="24" t="n">
        <v>1581.18</v>
      </c>
      <c r="I22" s="24" t="n">
        <f aca="false">G22+H22</f>
        <v>10080.02</v>
      </c>
      <c r="J22" s="24" t="n">
        <f aca="false">D22-I22</f>
        <v>37355.35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354</v>
      </c>
      <c r="C23" s="23" t="s">
        <v>27</v>
      </c>
      <c r="D23" s="24" t="n">
        <v>9054.67</v>
      </c>
      <c r="E23" s="24" t="n">
        <v>0</v>
      </c>
      <c r="F23" s="24" t="n">
        <v>9054.67</v>
      </c>
      <c r="G23" s="24" t="n">
        <v>9054.67</v>
      </c>
      <c r="H23" s="24" t="n">
        <v>0</v>
      </c>
      <c r="I23" s="24" t="n">
        <f aca="false">G23+H23</f>
        <v>9054.67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355</v>
      </c>
      <c r="C24" s="23" t="s">
        <v>27</v>
      </c>
      <c r="D24" s="24" t="n">
        <v>25441.07</v>
      </c>
      <c r="E24" s="24" t="n">
        <v>0</v>
      </c>
      <c r="F24" s="24" t="n">
        <v>0</v>
      </c>
      <c r="G24" s="24" t="n">
        <v>883.37</v>
      </c>
      <c r="H24" s="24" t="n">
        <v>848.04</v>
      </c>
      <c r="I24" s="24" t="n">
        <f aca="false">G24+H24</f>
        <v>1731.41</v>
      </c>
      <c r="J24" s="24" t="n">
        <f aca="false">D24-I24</f>
        <v>23709.66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356</v>
      </c>
      <c r="C25" s="23" t="s">
        <v>29</v>
      </c>
      <c r="D25" s="24" t="n">
        <v>60688.77</v>
      </c>
      <c r="E25" s="24" t="n">
        <v>0</v>
      </c>
      <c r="F25" s="24" t="n">
        <v>48551.02</v>
      </c>
      <c r="G25" s="24" t="n">
        <v>50978.57</v>
      </c>
      <c r="H25" s="24" t="n">
        <v>3884.08</v>
      </c>
      <c r="I25" s="24" t="n">
        <f aca="false">G25+H25</f>
        <v>54862.65</v>
      </c>
      <c r="J25" s="24" t="n">
        <f aca="false">D25-I25</f>
        <v>5826.12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357</v>
      </c>
      <c r="C26" s="23" t="s">
        <v>29</v>
      </c>
      <c r="D26" s="24" t="n">
        <v>170518.26</v>
      </c>
      <c r="E26" s="24" t="n">
        <v>0</v>
      </c>
      <c r="F26" s="24" t="n">
        <v>0</v>
      </c>
      <c r="G26" s="24" t="n">
        <v>4026.13</v>
      </c>
      <c r="H26" s="24" t="n">
        <v>5683.94</v>
      </c>
      <c r="I26" s="24" t="n">
        <f aca="false">G26+H26</f>
        <v>9710.07</v>
      </c>
      <c r="J26" s="24" t="n">
        <f aca="false">D26-I26</f>
        <v>160808.19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358</v>
      </c>
      <c r="C27" s="23" t="s">
        <v>31</v>
      </c>
      <c r="D27" s="24" t="n">
        <v>424.3</v>
      </c>
      <c r="E27" s="24" t="n">
        <v>0</v>
      </c>
      <c r="F27" s="24" t="n">
        <v>424.3</v>
      </c>
      <c r="G27" s="24" t="n">
        <v>424.3</v>
      </c>
      <c r="H27" s="24" t="n">
        <v>0</v>
      </c>
      <c r="I27" s="24" t="n">
        <f aca="false">G27+H27</f>
        <v>424.3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358</v>
      </c>
      <c r="C28" s="23" t="s">
        <v>31</v>
      </c>
      <c r="D28" s="24" t="n">
        <v>1192.18</v>
      </c>
      <c r="E28" s="24" t="n">
        <v>0</v>
      </c>
      <c r="F28" s="24" t="n">
        <v>0</v>
      </c>
      <c r="G28" s="24" t="n">
        <v>130.81</v>
      </c>
      <c r="H28" s="24" t="n">
        <v>39.74</v>
      </c>
      <c r="I28" s="24" t="n">
        <f aca="false">G28+H28</f>
        <v>170.55</v>
      </c>
      <c r="J28" s="24" t="n">
        <f aca="false">D28-I28</f>
        <v>1021.63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359</v>
      </c>
      <c r="C29" s="23" t="s">
        <v>25</v>
      </c>
      <c r="D29" s="24" t="n">
        <v>2308.83</v>
      </c>
      <c r="E29" s="24" t="n">
        <v>0</v>
      </c>
      <c r="F29" s="24" t="n">
        <v>2308.83</v>
      </c>
      <c r="G29" s="24" t="n">
        <v>2308.83</v>
      </c>
      <c r="H29" s="24" t="n">
        <v>0</v>
      </c>
      <c r="I29" s="24" t="n">
        <f aca="false">G29+H29</f>
        <v>2308.83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360</v>
      </c>
      <c r="C30" s="23" t="s">
        <v>25</v>
      </c>
      <c r="D30" s="24" t="n">
        <v>6487.14</v>
      </c>
      <c r="E30" s="24" t="n">
        <v>0</v>
      </c>
      <c r="F30" s="24" t="n">
        <v>0</v>
      </c>
      <c r="G30" s="24" t="n">
        <v>1162.29</v>
      </c>
      <c r="H30" s="24" t="n">
        <v>216.24</v>
      </c>
      <c r="I30" s="24" t="n">
        <f aca="false">G30+H30</f>
        <v>1378.53</v>
      </c>
      <c r="J30" s="24" t="n">
        <f aca="false">D30-I30</f>
        <v>5108.61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361</v>
      </c>
      <c r="C31" s="23" t="s">
        <v>27</v>
      </c>
      <c r="D31" s="24" t="n">
        <v>1987.61</v>
      </c>
      <c r="E31" s="24" t="n">
        <v>0</v>
      </c>
      <c r="F31" s="24" t="n">
        <v>1987.61</v>
      </c>
      <c r="G31" s="24" t="n">
        <v>1987.61</v>
      </c>
      <c r="H31" s="24" t="n">
        <v>0</v>
      </c>
      <c r="I31" s="24" t="n">
        <f aca="false">G31+H31</f>
        <v>1987.61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362</v>
      </c>
      <c r="C32" s="23" t="s">
        <v>27</v>
      </c>
      <c r="D32" s="24" t="n">
        <v>5584.62</v>
      </c>
      <c r="E32" s="24" t="n">
        <v>0</v>
      </c>
      <c r="F32" s="24" t="n">
        <v>0</v>
      </c>
      <c r="G32" s="24" t="n">
        <v>193.91</v>
      </c>
      <c r="H32" s="24" t="n">
        <v>186.15</v>
      </c>
      <c r="I32" s="24" t="n">
        <f aca="false">G32+H32</f>
        <v>380.06</v>
      </c>
      <c r="J32" s="24" t="n">
        <f aca="false">D32-I32</f>
        <v>5204.56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363</v>
      </c>
      <c r="C33" s="23" t="s">
        <v>29</v>
      </c>
      <c r="D33" s="24" t="n">
        <v>13321.94</v>
      </c>
      <c r="E33" s="24" t="n">
        <v>0</v>
      </c>
      <c r="F33" s="24" t="n">
        <v>10657.55</v>
      </c>
      <c r="G33" s="24" t="n">
        <v>11190.43</v>
      </c>
      <c r="H33" s="24" t="n">
        <v>852.6</v>
      </c>
      <c r="I33" s="24" t="n">
        <f aca="false">G33+H33</f>
        <v>12043.03</v>
      </c>
      <c r="J33" s="24" t="n">
        <f aca="false">D33-I33</f>
        <v>1278.91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364</v>
      </c>
      <c r="C34" s="23" t="s">
        <v>29</v>
      </c>
      <c r="D34" s="24" t="n">
        <v>37430.84</v>
      </c>
      <c r="E34" s="24" t="n">
        <v>0</v>
      </c>
      <c r="F34" s="24" t="n">
        <v>0</v>
      </c>
      <c r="G34" s="24" t="n">
        <v>883.78</v>
      </c>
      <c r="H34" s="24" t="n">
        <v>1247.69</v>
      </c>
      <c r="I34" s="24" t="n">
        <f aca="false">G34+H34</f>
        <v>2131.47</v>
      </c>
      <c r="J34" s="24" t="n">
        <f aca="false">D34-I34</f>
        <v>35299.37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398758.21</v>
      </c>
      <c r="E35" s="28" t="n">
        <f aca="false">SUM(E21:E34)</f>
        <v>0</v>
      </c>
      <c r="F35" s="28" t="n">
        <f aca="false">SUM(F21:F34)</f>
        <v>89866.59</v>
      </c>
      <c r="G35" s="28" t="n">
        <f aca="false">SUM(G21:G34)</f>
        <v>108606.15</v>
      </c>
      <c r="H35" s="28" t="n">
        <f aca="false">SUM(H21:H34)</f>
        <v>14539.66</v>
      </c>
      <c r="I35" s="28" t="n">
        <f aca="false">SUM(I21:I34)</f>
        <v>123145.81</v>
      </c>
      <c r="J35" s="28" t="n">
        <f aca="false">SUM(J21:J34)</f>
        <v>275612.4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32887.35</v>
      </c>
    </row>
    <row r="39" customFormat="false" ht="15" hidden="false" customHeight="false" outlineLevel="0" collapsed="false">
      <c r="B39" s="5" t="s">
        <v>415</v>
      </c>
      <c r="D39" s="6" t="n">
        <f aca="false">I35</f>
        <v>123145.81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-90258.46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127</v>
      </c>
      <c r="C45" s="23" t="s">
        <v>25</v>
      </c>
      <c r="D45" s="24" t="n">
        <v>64317.98</v>
      </c>
      <c r="E45" s="24" t="n">
        <v>0</v>
      </c>
      <c r="F45" s="24" t="n">
        <v>0</v>
      </c>
      <c r="G45" s="24" t="n">
        <v>6642.44</v>
      </c>
      <c r="H45" s="24" t="n">
        <v>2342.15</v>
      </c>
      <c r="I45" s="24" t="n">
        <f aca="false">G45+H45</f>
        <v>8984.59</v>
      </c>
      <c r="J45" s="24" t="n">
        <f aca="false">D45-I45</f>
        <v>55333.39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128</v>
      </c>
      <c r="C46" s="23" t="s">
        <v>27</v>
      </c>
      <c r="D46" s="24" t="n">
        <v>34495.74</v>
      </c>
      <c r="E46" s="24" t="n">
        <v>0</v>
      </c>
      <c r="F46" s="24" t="n">
        <v>0</v>
      </c>
      <c r="G46" s="24" t="n">
        <v>1197.79</v>
      </c>
      <c r="H46" s="24" t="n">
        <v>1149.85</v>
      </c>
      <c r="I46" s="24" t="n">
        <f aca="false">G46+H46</f>
        <v>2347.64</v>
      </c>
      <c r="J46" s="24" t="n">
        <f aca="false">D46-I46</f>
        <v>32148.1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129</v>
      </c>
      <c r="C47" s="23" t="s">
        <v>29</v>
      </c>
      <c r="D47" s="24" t="n">
        <v>231207.03</v>
      </c>
      <c r="E47" s="24" t="n">
        <v>0</v>
      </c>
      <c r="F47" s="24" t="n">
        <v>0</v>
      </c>
      <c r="G47" s="24" t="n">
        <v>5459.05</v>
      </c>
      <c r="H47" s="24" t="n">
        <v>7706.92</v>
      </c>
      <c r="I47" s="24" t="n">
        <f aca="false">G47+H47</f>
        <v>13165.97</v>
      </c>
      <c r="J47" s="24" t="n">
        <f aca="false">D47-I47</f>
        <v>218041.06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39</v>
      </c>
      <c r="C48" s="23" t="s">
        <v>31</v>
      </c>
      <c r="D48" s="24" t="n">
        <v>1616.48</v>
      </c>
      <c r="E48" s="24" t="n">
        <v>0</v>
      </c>
      <c r="F48" s="24" t="n">
        <v>0</v>
      </c>
      <c r="G48" s="24" t="n">
        <v>121.71</v>
      </c>
      <c r="H48" s="24" t="n">
        <v>55.97</v>
      </c>
      <c r="I48" s="24" t="n">
        <f aca="false">G48+H48</f>
        <v>177.68</v>
      </c>
      <c r="J48" s="24" t="n">
        <f aca="false">D48-I48</f>
        <v>1438.8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130</v>
      </c>
      <c r="C49" s="23" t="s">
        <v>25</v>
      </c>
      <c r="D49" s="24" t="n">
        <v>8795.97</v>
      </c>
      <c r="E49" s="24" t="n">
        <v>0</v>
      </c>
      <c r="F49" s="24" t="n">
        <v>2256.71</v>
      </c>
      <c r="G49" s="24" t="n">
        <v>2256.71</v>
      </c>
      <c r="H49" s="24" t="n">
        <v>676.47</v>
      </c>
      <c r="I49" s="24" t="n">
        <f aca="false">G49+H49</f>
        <v>2933.18</v>
      </c>
      <c r="J49" s="24" t="n">
        <f aca="false">D49-I49</f>
        <v>5862.79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131</v>
      </c>
      <c r="C50" s="23" t="s">
        <v>27</v>
      </c>
      <c r="D50" s="24" t="n">
        <v>7572.23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7572.23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132</v>
      </c>
      <c r="C51" s="23" t="s">
        <v>29</v>
      </c>
      <c r="D51" s="24" t="n">
        <v>50752.78</v>
      </c>
      <c r="E51" s="24" t="n">
        <v>0</v>
      </c>
      <c r="F51" s="24" t="n">
        <v>0</v>
      </c>
      <c r="G51" s="24" t="n">
        <v>2030.1</v>
      </c>
      <c r="H51" s="24" t="n">
        <v>3248.19</v>
      </c>
      <c r="I51" s="24" t="n">
        <f aca="false">G51+H51</f>
        <v>5278.29</v>
      </c>
      <c r="J51" s="24" t="n">
        <f aca="false">D51-I51</f>
        <v>45474.49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398758.21</v>
      </c>
      <c r="E52" s="28" t="n">
        <f aca="false">SUM(E45:E51)</f>
        <v>0</v>
      </c>
      <c r="F52" s="28" t="n">
        <f aca="false">SUM(F45:F51)</f>
        <v>2256.71</v>
      </c>
      <c r="G52" s="28" t="n">
        <f aca="false">SUM(G45:G51)</f>
        <v>17707.8</v>
      </c>
      <c r="H52" s="28" t="n">
        <f aca="false">SUM(H45:H51)</f>
        <v>15179.55</v>
      </c>
      <c r="I52" s="28" t="n">
        <f aca="false">SUM(I45:I51)</f>
        <v>32887.35</v>
      </c>
      <c r="J52" s="28" t="n">
        <f aca="false">SUM(J45:J51)</f>
        <v>365870.86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353</v>
      </c>
      <c r="C56" s="23" t="s">
        <v>25</v>
      </c>
      <c r="D56" s="24" t="n">
        <v>47435.37</v>
      </c>
      <c r="E56" s="24" t="n">
        <v>0</v>
      </c>
      <c r="F56" s="24" t="n">
        <v>0</v>
      </c>
      <c r="G56" s="24" t="n">
        <v>8498.84</v>
      </c>
      <c r="H56" s="24" t="n">
        <v>1581.18</v>
      </c>
      <c r="I56" s="24" t="n">
        <f aca="false">G56+H56</f>
        <v>10080.02</v>
      </c>
      <c r="J56" s="24" t="n">
        <f aca="false">D56-I56</f>
        <v>37355.35</v>
      </c>
      <c r="K56" s="25" t="s">
        <v>406</v>
      </c>
      <c r="L56" s="25" t="s">
        <v>407</v>
      </c>
    </row>
    <row r="57" customFormat="false" ht="15" hidden="false" customHeight="false" outlineLevel="0" collapsed="false">
      <c r="A57" s="23" t="n">
        <v>2</v>
      </c>
      <c r="B57" s="23" t="s">
        <v>354</v>
      </c>
      <c r="C57" s="23" t="s">
        <v>27</v>
      </c>
      <c r="D57" s="24" t="n">
        <v>9054.67</v>
      </c>
      <c r="E57" s="24" t="n">
        <v>0</v>
      </c>
      <c r="F57" s="24" t="n">
        <v>9054.67</v>
      </c>
      <c r="G57" s="24" t="n">
        <v>9054.67</v>
      </c>
      <c r="H57" s="24" t="n">
        <v>0</v>
      </c>
      <c r="I57" s="24" t="n">
        <f aca="false">G57+H57</f>
        <v>9054.67</v>
      </c>
      <c r="J57" s="24" t="n">
        <f aca="false">D57-I57</f>
        <v>0</v>
      </c>
      <c r="K57" s="25" t="s">
        <v>410</v>
      </c>
      <c r="L57" s="25" t="s">
        <v>411</v>
      </c>
    </row>
    <row r="58" customFormat="false" ht="15" hidden="false" customHeight="false" outlineLevel="0" collapsed="false">
      <c r="A58" s="23" t="n">
        <v>3</v>
      </c>
      <c r="B58" s="23" t="s">
        <v>355</v>
      </c>
      <c r="C58" s="23" t="s">
        <v>27</v>
      </c>
      <c r="D58" s="24" t="n">
        <v>25441.07</v>
      </c>
      <c r="E58" s="24" t="n">
        <v>0</v>
      </c>
      <c r="F58" s="24" t="n">
        <v>0</v>
      </c>
      <c r="G58" s="24" t="n">
        <v>883.37</v>
      </c>
      <c r="H58" s="24" t="n">
        <v>848.04</v>
      </c>
      <c r="I58" s="24" t="n">
        <f aca="false">G58+H58</f>
        <v>1731.41</v>
      </c>
      <c r="J58" s="24" t="n">
        <f aca="false">D58-I58</f>
        <v>23709.66</v>
      </c>
      <c r="K58" s="25" t="s">
        <v>406</v>
      </c>
      <c r="L58" s="25" t="s">
        <v>407</v>
      </c>
    </row>
    <row r="59" customFormat="false" ht="15" hidden="false" customHeight="false" outlineLevel="0" collapsed="false">
      <c r="A59" s="23" t="n">
        <v>4</v>
      </c>
      <c r="B59" s="23" t="s">
        <v>356</v>
      </c>
      <c r="C59" s="23" t="s">
        <v>29</v>
      </c>
      <c r="D59" s="24" t="n">
        <v>60688.77</v>
      </c>
      <c r="E59" s="24" t="n">
        <v>0</v>
      </c>
      <c r="F59" s="24" t="n">
        <v>48551.02</v>
      </c>
      <c r="G59" s="24" t="n">
        <v>50978.57</v>
      </c>
      <c r="H59" s="24" t="n">
        <v>3884.08</v>
      </c>
      <c r="I59" s="24" t="n">
        <f aca="false">G59+H59</f>
        <v>54862.65</v>
      </c>
      <c r="J59" s="24" t="n">
        <f aca="false">D59-I59</f>
        <v>5826.12</v>
      </c>
      <c r="K59" s="25" t="s">
        <v>410</v>
      </c>
      <c r="L59" s="25" t="s">
        <v>411</v>
      </c>
    </row>
    <row r="60" customFormat="false" ht="15" hidden="false" customHeight="false" outlineLevel="0" collapsed="false">
      <c r="A60" s="23" t="n">
        <v>5</v>
      </c>
      <c r="B60" s="23" t="s">
        <v>357</v>
      </c>
      <c r="C60" s="23" t="s">
        <v>29</v>
      </c>
      <c r="D60" s="24" t="n">
        <v>170518.26</v>
      </c>
      <c r="E60" s="24" t="n">
        <v>0</v>
      </c>
      <c r="F60" s="24" t="n">
        <v>0</v>
      </c>
      <c r="G60" s="24" t="n">
        <v>4026.13</v>
      </c>
      <c r="H60" s="24" t="n">
        <v>5683.94</v>
      </c>
      <c r="I60" s="24" t="n">
        <f aca="false">G60+H60</f>
        <v>9710.07</v>
      </c>
      <c r="J60" s="24" t="n">
        <f aca="false">D60-I60</f>
        <v>160808.19</v>
      </c>
      <c r="K60" s="25" t="s">
        <v>406</v>
      </c>
      <c r="L60" s="25" t="s">
        <v>407</v>
      </c>
    </row>
    <row r="61" customFormat="false" ht="15" hidden="false" customHeight="false" outlineLevel="0" collapsed="false">
      <c r="A61" s="23" t="n">
        <v>6</v>
      </c>
      <c r="B61" s="23" t="s">
        <v>359</v>
      </c>
      <c r="C61" s="23" t="s">
        <v>25</v>
      </c>
      <c r="D61" s="24" t="n">
        <v>2308.83</v>
      </c>
      <c r="E61" s="24" t="n">
        <v>0</v>
      </c>
      <c r="F61" s="24" t="n">
        <v>2308.83</v>
      </c>
      <c r="G61" s="24" t="n">
        <v>2308.83</v>
      </c>
      <c r="H61" s="24" t="n">
        <v>0</v>
      </c>
      <c r="I61" s="24" t="n">
        <f aca="false">G61+H61</f>
        <v>2308.83</v>
      </c>
      <c r="J61" s="24" t="n">
        <f aca="false">D61-I61</f>
        <v>0</v>
      </c>
      <c r="K61" s="25" t="s">
        <v>410</v>
      </c>
      <c r="L61" s="25" t="s">
        <v>411</v>
      </c>
    </row>
    <row r="62" customFormat="false" ht="15" hidden="false" customHeight="false" outlineLevel="0" collapsed="false">
      <c r="A62" s="23" t="n">
        <v>7</v>
      </c>
      <c r="B62" s="23" t="s">
        <v>360</v>
      </c>
      <c r="C62" s="23" t="s">
        <v>25</v>
      </c>
      <c r="D62" s="24" t="n">
        <v>6487.14</v>
      </c>
      <c r="E62" s="24" t="n">
        <v>0</v>
      </c>
      <c r="F62" s="24" t="n">
        <v>0</v>
      </c>
      <c r="G62" s="24" t="n">
        <v>1162.29</v>
      </c>
      <c r="H62" s="24" t="n">
        <v>216.24</v>
      </c>
      <c r="I62" s="24" t="n">
        <f aca="false">G62+H62</f>
        <v>1378.53</v>
      </c>
      <c r="J62" s="24" t="n">
        <f aca="false">D62-I62</f>
        <v>5108.61</v>
      </c>
      <c r="K62" s="25" t="s">
        <v>406</v>
      </c>
      <c r="L62" s="25" t="s">
        <v>407</v>
      </c>
    </row>
    <row r="63" customFormat="false" ht="15" hidden="false" customHeight="false" outlineLevel="0" collapsed="false">
      <c r="A63" s="23" t="n">
        <v>8</v>
      </c>
      <c r="B63" s="23" t="s">
        <v>361</v>
      </c>
      <c r="C63" s="23" t="s">
        <v>27</v>
      </c>
      <c r="D63" s="24" t="n">
        <v>1987.61</v>
      </c>
      <c r="E63" s="24" t="n">
        <v>0</v>
      </c>
      <c r="F63" s="24" t="n">
        <v>1987.61</v>
      </c>
      <c r="G63" s="24" t="n">
        <v>1987.61</v>
      </c>
      <c r="H63" s="24" t="n">
        <v>0</v>
      </c>
      <c r="I63" s="24" t="n">
        <f aca="false">G63+H63</f>
        <v>1987.61</v>
      </c>
      <c r="J63" s="24" t="n">
        <f aca="false">D63-I63</f>
        <v>0</v>
      </c>
      <c r="K63" s="25" t="s">
        <v>410</v>
      </c>
      <c r="L63" s="25" t="s">
        <v>411</v>
      </c>
    </row>
    <row r="64" customFormat="false" ht="15" hidden="false" customHeight="false" outlineLevel="0" collapsed="false">
      <c r="A64" s="23" t="n">
        <v>9</v>
      </c>
      <c r="B64" s="23" t="s">
        <v>362</v>
      </c>
      <c r="C64" s="23" t="s">
        <v>27</v>
      </c>
      <c r="D64" s="24" t="n">
        <v>5584.62</v>
      </c>
      <c r="E64" s="24" t="n">
        <v>0</v>
      </c>
      <c r="F64" s="24" t="n">
        <v>0</v>
      </c>
      <c r="G64" s="24" t="n">
        <v>193.91</v>
      </c>
      <c r="H64" s="24" t="n">
        <v>186.15</v>
      </c>
      <c r="I64" s="24" t="n">
        <f aca="false">G64+H64</f>
        <v>380.06</v>
      </c>
      <c r="J64" s="24" t="n">
        <f aca="false">D64-I64</f>
        <v>5204.56</v>
      </c>
      <c r="K64" s="25" t="s">
        <v>406</v>
      </c>
      <c r="L64" s="25" t="s">
        <v>407</v>
      </c>
    </row>
    <row r="65" customFormat="false" ht="15" hidden="false" customHeight="false" outlineLevel="0" collapsed="false">
      <c r="A65" s="23" t="n">
        <v>10</v>
      </c>
      <c r="B65" s="23" t="s">
        <v>363</v>
      </c>
      <c r="C65" s="23" t="s">
        <v>29</v>
      </c>
      <c r="D65" s="24" t="n">
        <v>13321.94</v>
      </c>
      <c r="E65" s="24" t="n">
        <v>0</v>
      </c>
      <c r="F65" s="24" t="n">
        <v>10657.55</v>
      </c>
      <c r="G65" s="24" t="n">
        <v>11190.43</v>
      </c>
      <c r="H65" s="24" t="n">
        <v>852.6</v>
      </c>
      <c r="I65" s="24" t="n">
        <f aca="false">G65+H65</f>
        <v>12043.03</v>
      </c>
      <c r="J65" s="24" t="n">
        <f aca="false">D65-I65</f>
        <v>1278.91</v>
      </c>
      <c r="K65" s="25" t="s">
        <v>410</v>
      </c>
      <c r="L65" s="25" t="s">
        <v>411</v>
      </c>
    </row>
    <row r="66" customFormat="false" ht="15" hidden="false" customHeight="false" outlineLevel="0" collapsed="false">
      <c r="A66" s="23" t="n">
        <v>11</v>
      </c>
      <c r="B66" s="23" t="s">
        <v>364</v>
      </c>
      <c r="C66" s="23" t="s">
        <v>29</v>
      </c>
      <c r="D66" s="24" t="n">
        <v>37430.84</v>
      </c>
      <c r="E66" s="24" t="n">
        <v>0</v>
      </c>
      <c r="F66" s="24" t="n">
        <v>0</v>
      </c>
      <c r="G66" s="24" t="n">
        <v>883.78</v>
      </c>
      <c r="H66" s="24" t="n">
        <v>1247.69</v>
      </c>
      <c r="I66" s="24" t="n">
        <f aca="false">G66+H66</f>
        <v>2131.47</v>
      </c>
      <c r="J66" s="24" t="n">
        <f aca="false">D66-I66</f>
        <v>35299.37</v>
      </c>
      <c r="K66" s="25" t="s">
        <v>406</v>
      </c>
      <c r="L66" s="25" t="s">
        <v>407</v>
      </c>
    </row>
    <row r="67" customFormat="false" ht="15" hidden="false" customHeight="false" outlineLevel="0" collapsed="false">
      <c r="A67" s="26"/>
      <c r="B67" s="27" t="s">
        <v>140</v>
      </c>
      <c r="C67" s="26"/>
      <c r="D67" s="28" t="n">
        <f aca="false">SUM(D56:D66)</f>
        <v>380259.12</v>
      </c>
      <c r="E67" s="28" t="n">
        <f aca="false">SUM(E56:E66)</f>
        <v>0</v>
      </c>
      <c r="F67" s="28" t="n">
        <f aca="false">SUM(F56:F66)</f>
        <v>72559.68</v>
      </c>
      <c r="G67" s="28" t="n">
        <f aca="false">SUM(G56:G66)</f>
        <v>91168.43</v>
      </c>
      <c r="H67" s="28" t="n">
        <f aca="false">SUM(H56:H66)</f>
        <v>14499.92</v>
      </c>
      <c r="I67" s="28" t="n">
        <f aca="false">SUM(I56:I66)</f>
        <v>105668.35</v>
      </c>
      <c r="J67" s="28" t="n">
        <f aca="false">SUM(J56:J66)</f>
        <v>274590.77</v>
      </c>
      <c r="K67" s="26"/>
      <c r="L67" s="26"/>
    </row>
    <row r="69" customFormat="false" ht="15" hidden="false" customHeight="false" outlineLevel="0" collapsed="false">
      <c r="B69" s="18" t="s">
        <v>421</v>
      </c>
    </row>
    <row r="70" customFormat="false" ht="15" hidden="false" customHeight="false" outlineLevel="0" collapsed="false">
      <c r="B70" s="5" t="s">
        <v>414</v>
      </c>
      <c r="D70" s="6" t="n">
        <f aca="false">I52</f>
        <v>32887.35</v>
      </c>
    </row>
    <row r="71" customFormat="false" ht="15" hidden="false" customHeight="false" outlineLevel="0" collapsed="false">
      <c r="B71" s="5" t="s">
        <v>415</v>
      </c>
      <c r="D71" s="6" t="n">
        <f aca="false">I67</f>
        <v>105668.35</v>
      </c>
    </row>
    <row r="72" customFormat="false" ht="15" hidden="false" customHeight="false" outlineLevel="0" collapsed="false">
      <c r="B72" s="11" t="s">
        <v>421</v>
      </c>
      <c r="D72" s="29" t="n">
        <f aca="false">D70-D71</f>
        <v>-72781</v>
      </c>
    </row>
    <row r="74" customFormat="false" ht="15" hidden="false" customHeight="false" outlineLevel="0" collapsed="false">
      <c r="A74" s="10" t="s">
        <v>422</v>
      </c>
    </row>
    <row r="75" customFormat="false" ht="15" hidden="false" customHeight="false" outlineLevel="0" collapsed="false">
      <c r="B75" s="11" t="s">
        <v>445</v>
      </c>
      <c r="D75" s="12" t="n">
        <f aca="false">D112</f>
        <v>398758.21</v>
      </c>
    </row>
    <row r="76" customFormat="false" ht="15" hidden="false" customHeight="false" outlineLevel="0" collapsed="false">
      <c r="B76" s="5" t="s">
        <v>446</v>
      </c>
      <c r="D76" s="6" t="n">
        <f aca="false">F112</f>
        <v>104668.73</v>
      </c>
    </row>
    <row r="77" customFormat="false" ht="15" hidden="false" customHeight="false" outlineLevel="0" collapsed="false">
      <c r="B77" s="30" t="s">
        <v>425</v>
      </c>
      <c r="D77" s="31" t="n">
        <f aca="false">F113</f>
        <v>0.262486708424135</v>
      </c>
    </row>
    <row r="78" customFormat="false" ht="15" hidden="false" customHeight="false" outlineLevel="0" collapsed="false">
      <c r="B78" s="5" t="s">
        <v>447</v>
      </c>
      <c r="D78" s="6" t="n">
        <f aca="false">H112</f>
        <v>294089.48</v>
      </c>
    </row>
    <row r="79" customFormat="false" ht="15" hidden="false" customHeight="false" outlineLevel="0" collapsed="false">
      <c r="B79" s="30" t="s">
        <v>425</v>
      </c>
      <c r="D79" s="31" t="n">
        <f aca="false">H113</f>
        <v>0.737513291575865</v>
      </c>
    </row>
    <row r="81" customFormat="false" ht="15" hidden="false" customHeight="false" outlineLevel="0" collapsed="false">
      <c r="A81" s="10" t="s">
        <v>427</v>
      </c>
    </row>
    <row r="82" customFormat="false" ht="15" hidden="false" customHeight="false" outlineLevel="0" collapsed="false">
      <c r="B82" s="4" t="s">
        <v>428</v>
      </c>
      <c r="D82" s="4" t="s">
        <v>397</v>
      </c>
      <c r="F82" s="4" t="s">
        <v>448</v>
      </c>
      <c r="H82" s="4" t="s">
        <v>430</v>
      </c>
    </row>
    <row r="83" customFormat="false" ht="15" hidden="false" customHeight="false" outlineLevel="0" collapsed="false">
      <c r="B83" s="32" t="s">
        <v>449</v>
      </c>
    </row>
    <row r="84" customFormat="false" ht="15" hidden="false" customHeight="false" outlineLevel="0" collapsed="false">
      <c r="B84" s="5" t="s">
        <v>450</v>
      </c>
      <c r="D84" s="33" t="n">
        <f aca="false">SUM(F84:H84)</f>
        <v>31452.73</v>
      </c>
      <c r="F84" s="33" t="n">
        <v>31452.73</v>
      </c>
    </row>
    <row r="85" customFormat="false" ht="15" hidden="false" customHeight="false" outlineLevel="0" collapsed="false">
      <c r="B85" s="5" t="s">
        <v>451</v>
      </c>
      <c r="D85" s="33" t="n">
        <f aca="false">SUM(F85:H85)</f>
        <v>8394.17</v>
      </c>
      <c r="F85" s="33" t="n">
        <v>8394.17</v>
      </c>
    </row>
    <row r="86" customFormat="false" ht="15" hidden="false" customHeight="false" outlineLevel="0" collapsed="false">
      <c r="B86" s="5" t="s">
        <v>452</v>
      </c>
      <c r="D86" s="33" t="n">
        <f aca="false">SUM(F86:H86)</f>
        <v>32815.9</v>
      </c>
      <c r="F86" s="33" t="n">
        <v>32815.9</v>
      </c>
    </row>
    <row r="87" customFormat="false" ht="15" hidden="false" customHeight="false" outlineLevel="0" collapsed="false">
      <c r="B87" s="5" t="s">
        <v>453</v>
      </c>
      <c r="D87" s="33" t="n">
        <f aca="false">SUM(F87:H87)</f>
        <v>2648.72</v>
      </c>
      <c r="F87" s="33" t="n">
        <v>2648.72</v>
      </c>
    </row>
    <row r="88" customFormat="false" ht="15" hidden="false" customHeight="false" outlineLevel="0" collapsed="false">
      <c r="B88" s="5" t="s">
        <v>454</v>
      </c>
      <c r="D88" s="33" t="n">
        <f aca="false">SUM(F88:H88)</f>
        <v>394.4</v>
      </c>
      <c r="F88" s="33" t="n">
        <v>394.4</v>
      </c>
    </row>
    <row r="89" customFormat="false" ht="15" hidden="false" customHeight="false" outlineLevel="0" collapsed="false">
      <c r="B89" s="5" t="s">
        <v>455</v>
      </c>
      <c r="D89" s="33" t="n">
        <f aca="false">SUM(F89:H89)</f>
        <v>5344.3</v>
      </c>
      <c r="F89" s="33" t="n">
        <v>5344.3</v>
      </c>
    </row>
    <row r="90" customFormat="false" ht="15" hidden="false" customHeight="false" outlineLevel="0" collapsed="false">
      <c r="B90" s="5" t="s">
        <v>456</v>
      </c>
      <c r="D90" s="33" t="n">
        <f aca="false">SUM(F90:H90)</f>
        <v>2858.97</v>
      </c>
      <c r="F90" s="33" t="n">
        <v>2858.97</v>
      </c>
    </row>
    <row r="91" customFormat="false" ht="15" hidden="false" customHeight="false" outlineLevel="0" collapsed="false">
      <c r="B91" s="5" t="s">
        <v>457</v>
      </c>
      <c r="D91" s="33" t="n">
        <f aca="false">SUM(F91:H91)</f>
        <v>9687.68</v>
      </c>
      <c r="F91" s="33" t="n">
        <v>9687.68</v>
      </c>
    </row>
    <row r="92" customFormat="false" ht="15" hidden="false" customHeight="false" outlineLevel="0" collapsed="false">
      <c r="B92" s="5" t="s">
        <v>458</v>
      </c>
      <c r="D92" s="33" t="n">
        <f aca="false">SUM(F92:H92)</f>
        <v>2139.23</v>
      </c>
      <c r="F92" s="33" t="n">
        <v>2139.23</v>
      </c>
    </row>
    <row r="93" customFormat="false" ht="15" hidden="false" customHeight="false" outlineLevel="0" collapsed="false">
      <c r="B93" s="5" t="s">
        <v>459</v>
      </c>
      <c r="D93" s="33" t="n">
        <f aca="false">SUM(F93:H93)</f>
        <v>605.69</v>
      </c>
      <c r="F93" s="33" t="n">
        <v>605.69</v>
      </c>
    </row>
    <row r="94" customFormat="false" ht="15" hidden="false" customHeight="false" outlineLevel="0" collapsed="false">
      <c r="B94" s="5" t="s">
        <v>460</v>
      </c>
      <c r="D94" s="33" t="n">
        <f aca="false">SUM(F94:H94)</f>
        <v>8326.94</v>
      </c>
      <c r="F94" s="33" t="n">
        <v>8326.94</v>
      </c>
    </row>
    <row r="95" customFormat="false" ht="15" hidden="false" customHeight="false" outlineLevel="0" collapsed="false">
      <c r="B95" s="32" t="s">
        <v>461</v>
      </c>
    </row>
    <row r="96" customFormat="false" ht="15" hidden="false" customHeight="false" outlineLevel="0" collapsed="false">
      <c r="B96" s="5" t="s">
        <v>462</v>
      </c>
      <c r="D96" s="33" t="n">
        <f aca="false">SUM(F96:H96)</f>
        <v>16256.26</v>
      </c>
      <c r="H96" s="33" t="n">
        <v>16256.26</v>
      </c>
    </row>
    <row r="97" customFormat="false" ht="15" hidden="false" customHeight="false" outlineLevel="0" collapsed="false">
      <c r="B97" s="5" t="s">
        <v>463</v>
      </c>
      <c r="D97" s="33" t="n">
        <f aca="false">SUM(F97:H97)</f>
        <v>21691.79</v>
      </c>
      <c r="H97" s="33" t="n">
        <v>21691.79</v>
      </c>
    </row>
    <row r="98" customFormat="false" ht="15" hidden="false" customHeight="false" outlineLevel="0" collapsed="false">
      <c r="B98" s="5" t="s">
        <v>464</v>
      </c>
      <c r="D98" s="33" t="n">
        <f aca="false">SUM(F98:H98)</f>
        <v>31892.38</v>
      </c>
      <c r="H98" s="33" t="n">
        <v>31892.38</v>
      </c>
    </row>
    <row r="99" customFormat="false" ht="15" hidden="false" customHeight="false" outlineLevel="0" collapsed="false">
      <c r="B99" s="5" t="s">
        <v>465</v>
      </c>
      <c r="D99" s="33" t="n">
        <f aca="false">SUM(F99:H99)</f>
        <v>29436.62</v>
      </c>
      <c r="H99" s="33" t="n">
        <v>29436.62</v>
      </c>
    </row>
    <row r="100" customFormat="false" ht="15" hidden="false" customHeight="false" outlineLevel="0" collapsed="false">
      <c r="B100" s="5" t="s">
        <v>466</v>
      </c>
      <c r="D100" s="33" t="n">
        <f aca="false">SUM(F100:H100)</f>
        <v>27723.88</v>
      </c>
      <c r="H100" s="33" t="n">
        <v>27723.88</v>
      </c>
    </row>
    <row r="101" customFormat="false" ht="15" hidden="false" customHeight="false" outlineLevel="0" collapsed="false">
      <c r="B101" s="5" t="s">
        <v>467</v>
      </c>
      <c r="D101" s="33" t="n">
        <f aca="false">SUM(F101:H101)</f>
        <v>1864.29</v>
      </c>
      <c r="H101" s="33" t="n">
        <v>1864.29</v>
      </c>
    </row>
    <row r="102" customFormat="false" ht="15" hidden="false" customHeight="false" outlineLevel="0" collapsed="false">
      <c r="B102" s="5" t="s">
        <v>468</v>
      </c>
      <c r="D102" s="33" t="n">
        <f aca="false">SUM(F102:H102)</f>
        <v>21222.77</v>
      </c>
      <c r="H102" s="33" t="n">
        <v>21222.77</v>
      </c>
    </row>
    <row r="103" customFormat="false" ht="15" hidden="false" customHeight="false" outlineLevel="0" collapsed="false">
      <c r="B103" s="5" t="s">
        <v>469</v>
      </c>
      <c r="D103" s="33" t="n">
        <f aca="false">SUM(F103:H103)</f>
        <v>16292.68</v>
      </c>
      <c r="H103" s="33" t="n">
        <v>16292.68</v>
      </c>
    </row>
    <row r="104" customFormat="false" ht="15" hidden="false" customHeight="false" outlineLevel="0" collapsed="false">
      <c r="B104" s="5" t="s">
        <v>470</v>
      </c>
      <c r="D104" s="33" t="n">
        <f aca="false">SUM(F104:H104)</f>
        <v>12258.17</v>
      </c>
      <c r="H104" s="33" t="n">
        <v>12258.17</v>
      </c>
    </row>
    <row r="105" customFormat="false" ht="15" hidden="false" customHeight="false" outlineLevel="0" collapsed="false">
      <c r="B105" s="5" t="s">
        <v>471</v>
      </c>
      <c r="D105" s="33" t="n">
        <f aca="false">SUM(F105:H105)</f>
        <v>14614.91</v>
      </c>
      <c r="H105" s="33" t="n">
        <v>14614.91</v>
      </c>
    </row>
    <row r="106" customFormat="false" ht="15" hidden="false" customHeight="false" outlineLevel="0" collapsed="false">
      <c r="B106" s="5" t="s">
        <v>472</v>
      </c>
      <c r="D106" s="33" t="n">
        <f aca="false">SUM(F106:H106)</f>
        <v>38542.73</v>
      </c>
      <c r="H106" s="33" t="n">
        <v>38542.73</v>
      </c>
    </row>
    <row r="107" customFormat="false" ht="15" hidden="false" customHeight="false" outlineLevel="0" collapsed="false">
      <c r="B107" s="5" t="s">
        <v>473</v>
      </c>
      <c r="D107" s="33" t="n">
        <f aca="false">SUM(F107:H107)</f>
        <v>15289.77</v>
      </c>
      <c r="H107" s="33" t="n">
        <v>15289.77</v>
      </c>
    </row>
    <row r="108" customFormat="false" ht="15" hidden="false" customHeight="false" outlineLevel="0" collapsed="false">
      <c r="B108" s="5" t="s">
        <v>474</v>
      </c>
      <c r="D108" s="33" t="n">
        <f aca="false">SUM(F108:H108)</f>
        <v>37866.59</v>
      </c>
      <c r="H108" s="33" t="n">
        <v>37866.59</v>
      </c>
    </row>
    <row r="109" customFormat="false" ht="15" hidden="false" customHeight="false" outlineLevel="0" collapsed="false">
      <c r="B109" s="5" t="s">
        <v>475</v>
      </c>
      <c r="D109" s="33" t="n">
        <f aca="false">SUM(F109:H109)</f>
        <v>3514.89</v>
      </c>
      <c r="H109" s="33" t="n">
        <v>3514.89</v>
      </c>
    </row>
    <row r="110" customFormat="false" ht="15" hidden="false" customHeight="false" outlineLevel="0" collapsed="false">
      <c r="B110" s="5" t="s">
        <v>476</v>
      </c>
      <c r="D110" s="33" t="n">
        <f aca="false">SUM(F110:H110)</f>
        <v>3740.86</v>
      </c>
      <c r="H110" s="33" t="n">
        <v>3740.86</v>
      </c>
    </row>
    <row r="111" customFormat="false" ht="15" hidden="false" customHeight="false" outlineLevel="0" collapsed="false">
      <c r="B111" s="5" t="s">
        <v>477</v>
      </c>
      <c r="D111" s="33" t="n">
        <f aca="false">SUM(F111:H111)</f>
        <v>1880.89</v>
      </c>
      <c r="H111" s="33" t="n">
        <v>1880.89</v>
      </c>
    </row>
    <row r="112" customFormat="false" ht="15" hidden="false" customHeight="false" outlineLevel="0" collapsed="false">
      <c r="B112" s="11" t="s">
        <v>445</v>
      </c>
      <c r="D112" s="34" t="n">
        <f aca="false">SUM(D83:D111)</f>
        <v>398758.21</v>
      </c>
      <c r="F112" s="34" t="n">
        <f aca="false">SUM(F83:F111)</f>
        <v>104668.73</v>
      </c>
      <c r="H112" s="34" t="n">
        <f aca="false">SUM(H83:H111)</f>
        <v>294089.48</v>
      </c>
    </row>
    <row r="113" customFormat="false" ht="15" hidden="false" customHeight="false" outlineLevel="0" collapsed="false">
      <c r="B113" s="30" t="s">
        <v>425</v>
      </c>
      <c r="F113" s="31" t="n">
        <f aca="false">F112/D112</f>
        <v>0.262486708424135</v>
      </c>
      <c r="H113" s="31" t="n">
        <f aca="false">H112/D112</f>
        <v>0.737513291575865</v>
      </c>
    </row>
    <row r="115" customFormat="false" ht="15" hidden="false" customHeight="false" outlineLevel="0" collapsed="false">
      <c r="A115" s="10" t="s">
        <v>440</v>
      </c>
    </row>
    <row r="116" customFormat="false" ht="15" hidden="false" customHeight="false" outlineLevel="0" collapsed="false">
      <c r="B116" s="4" t="s">
        <v>441</v>
      </c>
      <c r="D116" s="4" t="s">
        <v>397</v>
      </c>
      <c r="F116" s="4" t="s">
        <v>448</v>
      </c>
      <c r="H116" s="4" t="s">
        <v>430</v>
      </c>
    </row>
    <row r="117" customFormat="false" ht="15" hidden="false" customHeight="false" outlineLevel="0" collapsed="false">
      <c r="B117" s="5" t="str">
        <f aca="false">'Building 16'!B21</f>
        <v>10-Building-Post Casualty Loss Basis-bldg16-5</v>
      </c>
      <c r="D117" s="33" t="n">
        <f aca="false">SUM(F117:H117)</f>
        <v>16882.61</v>
      </c>
      <c r="F117" s="33" t="n">
        <f aca="false">'Building 16'!D21</f>
        <v>16882.61</v>
      </c>
    </row>
    <row r="118" customFormat="false" ht="15" hidden="false" customHeight="false" outlineLevel="0" collapsed="false">
      <c r="B118" s="5" t="str">
        <f aca="false">'Building 16'!B22</f>
        <v>10-Building-Post Casualty Loss Basis-bldg16-</v>
      </c>
      <c r="D118" s="33" t="n">
        <f aca="false">SUM(F118:H118)</f>
        <v>47435.37</v>
      </c>
      <c r="H118" s="33" t="n">
        <f aca="false">'Building 16'!D22</f>
        <v>47435.37</v>
      </c>
    </row>
    <row r="119" customFormat="false" ht="15" hidden="false" customHeight="false" outlineLevel="0" collapsed="false">
      <c r="B119" s="5" t="str">
        <f aca="false">'Building 16'!B23</f>
        <v>12-New Buildings(16 units)-bldg16-5yr</v>
      </c>
      <c r="D119" s="33" t="n">
        <f aca="false">SUM(F119:H119)</f>
        <v>9054.67</v>
      </c>
      <c r="F119" s="33" t="n">
        <f aca="false">'Building 16'!D23</f>
        <v>9054.67</v>
      </c>
    </row>
    <row r="120" customFormat="false" ht="15" hidden="false" customHeight="false" outlineLevel="0" collapsed="false">
      <c r="B120" s="5" t="str">
        <f aca="false">'Building 16'!B24</f>
        <v>12-New Buildings(16 units)-bldg16-30yr</v>
      </c>
      <c r="D120" s="33" t="n">
        <f aca="false">SUM(F120:H120)</f>
        <v>25441.07</v>
      </c>
      <c r="H120" s="33" t="n">
        <f aca="false">'Building 16'!D24</f>
        <v>25441.07</v>
      </c>
    </row>
    <row r="121" customFormat="false" ht="15" hidden="false" customHeight="false" outlineLevel="0" collapsed="false">
      <c r="B121" s="5" t="str">
        <f aca="false">'Building 16'!B25</f>
        <v>14-New Buildings(105 units)-bldg16-5yr</v>
      </c>
      <c r="D121" s="33" t="n">
        <f aca="false">SUM(F121:H121)</f>
        <v>60688.77</v>
      </c>
      <c r="F121" s="33" t="n">
        <f aca="false">'Building 16'!D25</f>
        <v>60688.77</v>
      </c>
    </row>
    <row r="122" customFormat="false" ht="15" hidden="false" customHeight="false" outlineLevel="0" collapsed="false">
      <c r="B122" s="5" t="str">
        <f aca="false">'Building 16'!B26</f>
        <v>14-New Buildings(105 units)-bldg16-30yr</v>
      </c>
      <c r="D122" s="33" t="n">
        <f aca="false">SUM(F122:H122)</f>
        <v>170518.26</v>
      </c>
      <c r="H122" s="33" t="n">
        <f aca="false">'Building 16'!D26</f>
        <v>170518.26</v>
      </c>
    </row>
    <row r="123" customFormat="false" ht="15" hidden="false" customHeight="false" outlineLevel="0" collapsed="false">
      <c r="B123" s="5" t="str">
        <f aca="false">'Building 16'!B27</f>
        <v>11-Building Imp-Post-Casulty Loss Basis-bld16</v>
      </c>
      <c r="D123" s="33" t="n">
        <f aca="false">SUM(F123:H123)</f>
        <v>424.3</v>
      </c>
      <c r="F123" s="33" t="n">
        <f aca="false">'Building 16'!D27</f>
        <v>424.3</v>
      </c>
    </row>
    <row r="124" customFormat="false" ht="15" hidden="false" customHeight="false" outlineLevel="0" collapsed="false">
      <c r="B124" s="5" t="str">
        <f aca="false">'Building 16'!B28</f>
        <v>11-Building Imp-Post-Casulty Loss Basis-bld16</v>
      </c>
      <c r="D124" s="33" t="n">
        <f aca="false">SUM(F124:H124)</f>
        <v>1192.18</v>
      </c>
      <c r="H124" s="33" t="n">
        <f aca="false">'Building 16'!D28</f>
        <v>1192.18</v>
      </c>
    </row>
    <row r="125" customFormat="false" ht="15" hidden="false" customHeight="false" outlineLevel="0" collapsed="false">
      <c r="B125" s="5" t="str">
        <f aca="false">'Building 16'!B29</f>
        <v>2-Land Improvements-bldg16-5yr</v>
      </c>
      <c r="D125" s="33" t="n">
        <f aca="false">SUM(F125:H125)</f>
        <v>2308.83</v>
      </c>
      <c r="F125" s="33" t="n">
        <f aca="false">'Building 16'!D29</f>
        <v>2308.83</v>
      </c>
    </row>
    <row r="126" customFormat="false" ht="15" hidden="false" customHeight="false" outlineLevel="0" collapsed="false">
      <c r="B126" s="5" t="str">
        <f aca="false">'Building 16'!B30</f>
        <v>2-Land Improvements-bldg16-30yr</v>
      </c>
      <c r="D126" s="33" t="n">
        <f aca="false">SUM(F126:H126)</f>
        <v>6487.14</v>
      </c>
      <c r="H126" s="33" t="n">
        <f aca="false">'Building 16'!D30</f>
        <v>6487.14</v>
      </c>
    </row>
    <row r="127" customFormat="false" ht="15" hidden="false" customHeight="false" outlineLevel="0" collapsed="false">
      <c r="B127" s="5" t="str">
        <f aca="false">'Building 16'!B31</f>
        <v>13-New Equipment(16 units)-bldg16-5yr</v>
      </c>
      <c r="D127" s="33" t="n">
        <f aca="false">SUM(F127:H127)</f>
        <v>1987.61</v>
      </c>
      <c r="F127" s="33" t="n">
        <f aca="false">'Building 16'!D31</f>
        <v>1987.61</v>
      </c>
    </row>
    <row r="128" customFormat="false" ht="15" hidden="false" customHeight="false" outlineLevel="0" collapsed="false">
      <c r="B128" s="5" t="str">
        <f aca="false">'Building 16'!B32</f>
        <v>13-New Equipment(16 units)-bldg16-30yr</v>
      </c>
      <c r="D128" s="33" t="n">
        <f aca="false">SUM(F128:H128)</f>
        <v>5584.62</v>
      </c>
      <c r="H128" s="33" t="n">
        <f aca="false">'Building 16'!D32</f>
        <v>5584.62</v>
      </c>
    </row>
    <row r="129" customFormat="false" ht="15" hidden="false" customHeight="false" outlineLevel="0" collapsed="false">
      <c r="B129" s="5" t="str">
        <f aca="false">'Building 16'!B33</f>
        <v>15-New Equipment(105 units)-bldg16-5yr</v>
      </c>
      <c r="D129" s="33" t="n">
        <f aca="false">SUM(F129:H129)</f>
        <v>13321.94</v>
      </c>
      <c r="F129" s="33" t="n">
        <f aca="false">'Building 16'!D33</f>
        <v>13321.94</v>
      </c>
    </row>
    <row r="130" customFormat="false" ht="15" hidden="false" customHeight="false" outlineLevel="0" collapsed="false">
      <c r="B130" s="5" t="str">
        <f aca="false">'Building 16'!B34</f>
        <v>15-New Equipment(105 units)-bldg16-30yr</v>
      </c>
      <c r="D130" s="33" t="n">
        <f aca="false">SUM(F130:H130)</f>
        <v>37430.84</v>
      </c>
      <c r="H130" s="33" t="n">
        <f aca="false">'Building 16'!D34</f>
        <v>37430.84</v>
      </c>
    </row>
    <row r="131" customFormat="false" ht="15" hidden="false" customHeight="false" outlineLevel="0" collapsed="false">
      <c r="B131" s="11" t="s">
        <v>442</v>
      </c>
      <c r="D131" s="34" t="n">
        <f aca="false">SUM(D117:D130)</f>
        <v>398758.21</v>
      </c>
      <c r="F131" s="34" t="n">
        <f aca="false">SUM(F117:F130)</f>
        <v>104668.73</v>
      </c>
      <c r="H131" s="34" t="n">
        <f aca="false">SUM(H117:H130)</f>
        <v>294089.48</v>
      </c>
    </row>
    <row r="132" customFormat="false" ht="15" hidden="false" customHeight="false" outlineLevel="0" collapsed="false">
      <c r="B132" s="16" t="s">
        <v>443</v>
      </c>
      <c r="D132" s="17" t="n">
        <f aca="false">D131-D112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498</v>
      </c>
    </row>
    <row r="5" customFormat="false" ht="15" hidden="false" customHeight="false" outlineLevel="0" collapsed="false">
      <c r="A5" s="16" t="s">
        <v>391</v>
      </c>
    </row>
    <row r="7" customFormat="false" ht="15" hidden="false" customHeight="false" outlineLevel="0" collapsed="false">
      <c r="A7" s="10" t="s">
        <v>392</v>
      </c>
    </row>
    <row r="8" customFormat="false" ht="15" hidden="false" customHeight="false" outlineLevel="0" collapsed="false">
      <c r="A8" s="21" t="s">
        <v>393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394</v>
      </c>
      <c r="B9" s="4" t="s">
        <v>395</v>
      </c>
      <c r="C9" s="4" t="s">
        <v>396</v>
      </c>
      <c r="D9" s="4" t="s">
        <v>397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405</v>
      </c>
    </row>
    <row r="10" customFormat="false" ht="15" hidden="false" customHeight="false" outlineLevel="0" collapsed="false">
      <c r="A10" s="23" t="n">
        <v>1</v>
      </c>
      <c r="B10" s="23" t="s">
        <v>133</v>
      </c>
      <c r="C10" s="23" t="s">
        <v>25</v>
      </c>
      <c r="D10" s="24" t="n">
        <v>21669.1</v>
      </c>
      <c r="E10" s="24" t="n">
        <v>0</v>
      </c>
      <c r="F10" s="24" t="n">
        <v>0</v>
      </c>
      <c r="G10" s="24" t="n">
        <v>2237.87</v>
      </c>
      <c r="H10" s="24" t="n">
        <v>789.08</v>
      </c>
      <c r="I10" s="24" t="n">
        <f aca="false">G10+H10</f>
        <v>3026.95</v>
      </c>
      <c r="J10" s="24" t="n">
        <f aca="false">D10-I10</f>
        <v>18642.15</v>
      </c>
      <c r="K10" s="25" t="s">
        <v>406</v>
      </c>
      <c r="L10" s="25" t="s">
        <v>407</v>
      </c>
    </row>
    <row r="11" customFormat="false" ht="15" hidden="false" customHeight="false" outlineLevel="0" collapsed="false">
      <c r="A11" s="23" t="n">
        <v>2</v>
      </c>
      <c r="B11" s="23" t="s">
        <v>134</v>
      </c>
      <c r="C11" s="23" t="s">
        <v>27</v>
      </c>
      <c r="D11" s="24" t="n">
        <v>11621.82</v>
      </c>
      <c r="E11" s="24" t="n">
        <v>0</v>
      </c>
      <c r="F11" s="24" t="n">
        <v>0</v>
      </c>
      <c r="G11" s="24" t="n">
        <v>403.54</v>
      </c>
      <c r="H11" s="24" t="n">
        <v>387.39</v>
      </c>
      <c r="I11" s="24" t="n">
        <f aca="false">G11+H11</f>
        <v>790.93</v>
      </c>
      <c r="J11" s="24" t="n">
        <f aca="false">D11-I11</f>
        <v>10830.89</v>
      </c>
      <c r="K11" s="25" t="s">
        <v>406</v>
      </c>
      <c r="L11" s="25" t="s">
        <v>407</v>
      </c>
    </row>
    <row r="12" customFormat="false" ht="15" hidden="false" customHeight="false" outlineLevel="0" collapsed="false">
      <c r="A12" s="23" t="n">
        <v>3</v>
      </c>
      <c r="B12" s="23" t="s">
        <v>135</v>
      </c>
      <c r="C12" s="23" t="s">
        <v>29</v>
      </c>
      <c r="D12" s="24" t="n">
        <v>77895</v>
      </c>
      <c r="E12" s="24" t="n">
        <v>0</v>
      </c>
      <c r="F12" s="24" t="n">
        <v>0</v>
      </c>
      <c r="G12" s="24" t="n">
        <v>1839.19</v>
      </c>
      <c r="H12" s="24" t="n">
        <v>2596.5</v>
      </c>
      <c r="I12" s="24" t="n">
        <f aca="false">G12+H12</f>
        <v>4435.69</v>
      </c>
      <c r="J12" s="24" t="n">
        <f aca="false">D12-I12</f>
        <v>73459.31</v>
      </c>
      <c r="K12" s="25" t="s">
        <v>406</v>
      </c>
      <c r="L12" s="25" t="s">
        <v>407</v>
      </c>
    </row>
    <row r="13" customFormat="false" ht="15" hidden="false" customHeight="false" outlineLevel="0" collapsed="false">
      <c r="A13" s="23" t="n">
        <v>4</v>
      </c>
      <c r="B13" s="23" t="s">
        <v>136</v>
      </c>
      <c r="C13" s="23" t="s">
        <v>31</v>
      </c>
      <c r="D13" s="24" t="n">
        <v>544.6</v>
      </c>
      <c r="E13" s="24" t="n">
        <v>0</v>
      </c>
      <c r="F13" s="24" t="n">
        <v>0</v>
      </c>
      <c r="G13" s="24" t="n">
        <v>41.01</v>
      </c>
      <c r="H13" s="24" t="n">
        <v>18.85</v>
      </c>
      <c r="I13" s="24" t="n">
        <f aca="false">G13+H13</f>
        <v>59.86</v>
      </c>
      <c r="J13" s="24" t="n">
        <f aca="false">D13-I13</f>
        <v>484.74</v>
      </c>
      <c r="K13" s="25" t="s">
        <v>406</v>
      </c>
      <c r="L13" s="25" t="s">
        <v>407</v>
      </c>
    </row>
    <row r="14" customFormat="false" ht="15" hidden="false" customHeight="false" outlineLevel="0" collapsed="false">
      <c r="A14" s="23" t="n">
        <v>5</v>
      </c>
      <c r="B14" s="23" t="s">
        <v>137</v>
      </c>
      <c r="C14" s="23" t="s">
        <v>25</v>
      </c>
      <c r="D14" s="24" t="n">
        <v>2963.4</v>
      </c>
      <c r="E14" s="24" t="n">
        <v>0</v>
      </c>
      <c r="F14" s="24" t="n">
        <v>760.3</v>
      </c>
      <c r="G14" s="24" t="n">
        <v>760.3</v>
      </c>
      <c r="H14" s="24" t="n">
        <v>227.9</v>
      </c>
      <c r="I14" s="24" t="n">
        <f aca="false">G14+H14</f>
        <v>988.2</v>
      </c>
      <c r="J14" s="24" t="n">
        <f aca="false">D14-I14</f>
        <v>1975.2</v>
      </c>
      <c r="K14" s="25" t="s">
        <v>408</v>
      </c>
      <c r="L14" s="25" t="s">
        <v>409</v>
      </c>
    </row>
    <row r="15" customFormat="false" ht="15" hidden="false" customHeight="false" outlineLevel="0" collapsed="false">
      <c r="A15" s="23" t="n">
        <v>6</v>
      </c>
      <c r="B15" s="23" t="s">
        <v>138</v>
      </c>
      <c r="C15" s="23" t="s">
        <v>27</v>
      </c>
      <c r="D15" s="24" t="n">
        <v>2551.13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f aca="false">G15+H15</f>
        <v>0</v>
      </c>
      <c r="J15" s="24" t="n">
        <f aca="false">D15-I15</f>
        <v>2551.13</v>
      </c>
      <c r="K15" s="25" t="s">
        <v>410</v>
      </c>
      <c r="L15" s="25" t="s">
        <v>411</v>
      </c>
    </row>
    <row r="16" customFormat="false" ht="15" hidden="false" customHeight="false" outlineLevel="0" collapsed="false">
      <c r="A16" s="23" t="n">
        <v>7</v>
      </c>
      <c r="B16" s="23" t="s">
        <v>139</v>
      </c>
      <c r="C16" s="23" t="s">
        <v>29</v>
      </c>
      <c r="D16" s="24" t="n">
        <v>17098.91</v>
      </c>
      <c r="E16" s="24" t="n">
        <v>0</v>
      </c>
      <c r="F16" s="24" t="n">
        <v>0</v>
      </c>
      <c r="G16" s="24" t="n">
        <v>683.96</v>
      </c>
      <c r="H16" s="24" t="n">
        <v>1094.33</v>
      </c>
      <c r="I16" s="24" t="n">
        <f aca="false">G16+H16</f>
        <v>1778.29</v>
      </c>
      <c r="J16" s="24" t="n">
        <f aca="false">D16-I16</f>
        <v>15320.62</v>
      </c>
      <c r="K16" s="25" t="s">
        <v>410</v>
      </c>
      <c r="L16" s="25" t="s">
        <v>411</v>
      </c>
    </row>
    <row r="17" customFormat="false" ht="15" hidden="false" customHeight="false" outlineLevel="0" collapsed="false">
      <c r="A17" s="26"/>
      <c r="B17" s="27" t="s">
        <v>140</v>
      </c>
      <c r="C17" s="26"/>
      <c r="D17" s="28" t="n">
        <f aca="false">SUM(D10:D16)</f>
        <v>134343.96</v>
      </c>
      <c r="E17" s="28" t="n">
        <f aca="false">SUM(E10:E16)</f>
        <v>0</v>
      </c>
      <c r="F17" s="28" t="n">
        <f aca="false">SUM(F10:F16)</f>
        <v>760.3</v>
      </c>
      <c r="G17" s="28" t="n">
        <f aca="false">SUM(G10:G16)</f>
        <v>5965.87</v>
      </c>
      <c r="H17" s="28" t="n">
        <f aca="false">SUM(H10:H16)</f>
        <v>5114.05</v>
      </c>
      <c r="I17" s="28" t="n">
        <f aca="false">SUM(I10:I16)</f>
        <v>11079.92</v>
      </c>
      <c r="J17" s="28" t="n">
        <f aca="false">SUM(J10:J16)</f>
        <v>123264.04</v>
      </c>
      <c r="K17" s="26"/>
      <c r="L17" s="26"/>
    </row>
    <row r="19" customFormat="false" ht="15" hidden="false" customHeight="false" outlineLevel="0" collapsed="false">
      <c r="A19" s="21" t="s">
        <v>412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22.35" hidden="false" customHeight="false" outlineLevel="0" collapsed="false">
      <c r="A20" s="4" t="s">
        <v>394</v>
      </c>
      <c r="B20" s="4" t="s">
        <v>395</v>
      </c>
      <c r="C20" s="4" t="s">
        <v>396</v>
      </c>
      <c r="D20" s="4" t="s">
        <v>397</v>
      </c>
      <c r="E20" s="4" t="s">
        <v>398</v>
      </c>
      <c r="F20" s="4" t="s">
        <v>399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405</v>
      </c>
    </row>
    <row r="21" customFormat="false" ht="15" hidden="false" customHeight="false" outlineLevel="0" collapsed="false">
      <c r="A21" s="23" t="n">
        <v>1</v>
      </c>
      <c r="B21" s="23" t="s">
        <v>365</v>
      </c>
      <c r="C21" s="23" t="s">
        <v>25</v>
      </c>
      <c r="D21" s="24" t="n">
        <v>1979.11</v>
      </c>
      <c r="E21" s="24" t="n">
        <v>0</v>
      </c>
      <c r="F21" s="24" t="n">
        <v>1979.11</v>
      </c>
      <c r="G21" s="24" t="n">
        <v>1979.11</v>
      </c>
      <c r="H21" s="24" t="n">
        <v>0</v>
      </c>
      <c r="I21" s="24" t="n">
        <f aca="false">G21+H21</f>
        <v>1979.11</v>
      </c>
      <c r="J21" s="24" t="n">
        <f aca="false">D21-I21</f>
        <v>0</v>
      </c>
      <c r="K21" s="25" t="s">
        <v>410</v>
      </c>
      <c r="L21" s="25" t="s">
        <v>411</v>
      </c>
    </row>
    <row r="22" customFormat="false" ht="15" hidden="false" customHeight="false" outlineLevel="0" collapsed="false">
      <c r="A22" s="23" t="n">
        <v>2</v>
      </c>
      <c r="B22" s="23" t="s">
        <v>366</v>
      </c>
      <c r="C22" s="23" t="s">
        <v>25</v>
      </c>
      <c r="D22" s="24" t="n">
        <v>19689.99</v>
      </c>
      <c r="E22" s="24" t="n">
        <v>0</v>
      </c>
      <c r="F22" s="24" t="n">
        <v>0</v>
      </c>
      <c r="G22" s="24" t="n">
        <v>3527.77</v>
      </c>
      <c r="H22" s="24" t="n">
        <v>656.33</v>
      </c>
      <c r="I22" s="24" t="n">
        <f aca="false">G22+H22</f>
        <v>4184.1</v>
      </c>
      <c r="J22" s="24" t="n">
        <f aca="false">D22-I22</f>
        <v>15505.89</v>
      </c>
      <c r="K22" s="25" t="s">
        <v>406</v>
      </c>
      <c r="L22" s="25" t="s">
        <v>407</v>
      </c>
    </row>
    <row r="23" customFormat="false" ht="15" hidden="false" customHeight="false" outlineLevel="0" collapsed="false">
      <c r="A23" s="23" t="n">
        <v>3</v>
      </c>
      <c r="B23" s="23" t="s">
        <v>367</v>
      </c>
      <c r="C23" s="23" t="s">
        <v>27</v>
      </c>
      <c r="D23" s="24" t="n">
        <v>1061.46</v>
      </c>
      <c r="E23" s="24" t="n">
        <v>0</v>
      </c>
      <c r="F23" s="24" t="n">
        <v>1061.46</v>
      </c>
      <c r="G23" s="24" t="n">
        <v>1061.46</v>
      </c>
      <c r="H23" s="24" t="n">
        <v>0</v>
      </c>
      <c r="I23" s="24" t="n">
        <f aca="false">G23+H23</f>
        <v>1061.46</v>
      </c>
      <c r="J23" s="24" t="n">
        <f aca="false">D23-I23</f>
        <v>0</v>
      </c>
      <c r="K23" s="25" t="s">
        <v>410</v>
      </c>
      <c r="L23" s="25" t="s">
        <v>411</v>
      </c>
    </row>
    <row r="24" customFormat="false" ht="15" hidden="false" customHeight="false" outlineLevel="0" collapsed="false">
      <c r="A24" s="23" t="n">
        <v>4</v>
      </c>
      <c r="B24" s="23" t="s">
        <v>368</v>
      </c>
      <c r="C24" s="23" t="s">
        <v>27</v>
      </c>
      <c r="D24" s="24" t="n">
        <v>10560.36</v>
      </c>
      <c r="E24" s="24" t="n">
        <v>0</v>
      </c>
      <c r="F24" s="24" t="n">
        <v>0</v>
      </c>
      <c r="G24" s="24" t="n">
        <v>366.68</v>
      </c>
      <c r="H24" s="24" t="n">
        <v>352.01</v>
      </c>
      <c r="I24" s="24" t="n">
        <f aca="false">G24+H24</f>
        <v>718.69</v>
      </c>
      <c r="J24" s="24" t="n">
        <f aca="false">D24-I24</f>
        <v>9841.67</v>
      </c>
      <c r="K24" s="25" t="s">
        <v>406</v>
      </c>
      <c r="L24" s="25" t="s">
        <v>407</v>
      </c>
    </row>
    <row r="25" customFormat="false" ht="15" hidden="false" customHeight="false" outlineLevel="0" collapsed="false">
      <c r="A25" s="23" t="n">
        <v>5</v>
      </c>
      <c r="B25" s="23" t="s">
        <v>369</v>
      </c>
      <c r="C25" s="23" t="s">
        <v>29</v>
      </c>
      <c r="D25" s="24" t="n">
        <v>7114.4</v>
      </c>
      <c r="E25" s="24" t="n">
        <v>0</v>
      </c>
      <c r="F25" s="24" t="n">
        <v>5691.52</v>
      </c>
      <c r="G25" s="24" t="n">
        <v>5976.1</v>
      </c>
      <c r="H25" s="24" t="n">
        <v>455.32</v>
      </c>
      <c r="I25" s="24" t="n">
        <f aca="false">G25+H25</f>
        <v>6431.42</v>
      </c>
      <c r="J25" s="24" t="n">
        <f aca="false">D25-I25</f>
        <v>682.98</v>
      </c>
      <c r="K25" s="25" t="s">
        <v>410</v>
      </c>
      <c r="L25" s="25" t="s">
        <v>411</v>
      </c>
    </row>
    <row r="26" customFormat="false" ht="15" hidden="false" customHeight="false" outlineLevel="0" collapsed="false">
      <c r="A26" s="23" t="n">
        <v>6</v>
      </c>
      <c r="B26" s="23" t="s">
        <v>370</v>
      </c>
      <c r="C26" s="23" t="s">
        <v>29</v>
      </c>
      <c r="D26" s="24" t="n">
        <v>70780.6</v>
      </c>
      <c r="E26" s="24" t="n">
        <v>0</v>
      </c>
      <c r="F26" s="24" t="n">
        <v>0</v>
      </c>
      <c r="G26" s="24" t="n">
        <v>1671.21</v>
      </c>
      <c r="H26" s="24" t="n">
        <v>2359.35</v>
      </c>
      <c r="I26" s="24" t="n">
        <f aca="false">G26+H26</f>
        <v>4030.56</v>
      </c>
      <c r="J26" s="24" t="n">
        <f aca="false">D26-I26</f>
        <v>66750.04</v>
      </c>
      <c r="K26" s="25" t="s">
        <v>406</v>
      </c>
      <c r="L26" s="25" t="s">
        <v>407</v>
      </c>
    </row>
    <row r="27" customFormat="false" ht="15" hidden="false" customHeight="false" outlineLevel="0" collapsed="false">
      <c r="A27" s="23" t="n">
        <v>7</v>
      </c>
      <c r="B27" s="23" t="s">
        <v>371</v>
      </c>
      <c r="C27" s="23" t="s">
        <v>31</v>
      </c>
      <c r="D27" s="24" t="n">
        <v>49.74</v>
      </c>
      <c r="E27" s="24" t="n">
        <v>0</v>
      </c>
      <c r="F27" s="24" t="n">
        <v>49.74</v>
      </c>
      <c r="G27" s="24" t="n">
        <v>49.74</v>
      </c>
      <c r="H27" s="24" t="n">
        <v>0</v>
      </c>
      <c r="I27" s="24" t="n">
        <f aca="false">G27+H27</f>
        <v>49.74</v>
      </c>
      <c r="J27" s="24" t="n">
        <f aca="false">D27-I27</f>
        <v>0</v>
      </c>
      <c r="K27" s="25" t="s">
        <v>410</v>
      </c>
      <c r="L27" s="25" t="s">
        <v>411</v>
      </c>
    </row>
    <row r="28" customFormat="false" ht="15" hidden="false" customHeight="false" outlineLevel="0" collapsed="false">
      <c r="A28" s="23" t="n">
        <v>8</v>
      </c>
      <c r="B28" s="23" t="s">
        <v>371</v>
      </c>
      <c r="C28" s="23" t="s">
        <v>31</v>
      </c>
      <c r="D28" s="24" t="n">
        <v>494.86</v>
      </c>
      <c r="E28" s="24" t="n">
        <v>0</v>
      </c>
      <c r="F28" s="24" t="n">
        <v>0</v>
      </c>
      <c r="G28" s="24" t="n">
        <v>54.31</v>
      </c>
      <c r="H28" s="24" t="n">
        <v>16.5</v>
      </c>
      <c r="I28" s="24" t="n">
        <f aca="false">G28+H28</f>
        <v>70.81</v>
      </c>
      <c r="J28" s="24" t="n">
        <f aca="false">D28-I28</f>
        <v>424.05</v>
      </c>
      <c r="K28" s="25" t="s">
        <v>406</v>
      </c>
      <c r="L28" s="25" t="s">
        <v>407</v>
      </c>
    </row>
    <row r="29" customFormat="false" ht="15" hidden="false" customHeight="false" outlineLevel="0" collapsed="false">
      <c r="A29" s="23" t="n">
        <v>9</v>
      </c>
      <c r="B29" s="23" t="s">
        <v>372</v>
      </c>
      <c r="C29" s="23" t="s">
        <v>25</v>
      </c>
      <c r="D29" s="24" t="n">
        <v>270.66</v>
      </c>
      <c r="E29" s="24" t="n">
        <v>0</v>
      </c>
      <c r="F29" s="24" t="n">
        <v>270.66</v>
      </c>
      <c r="G29" s="24" t="n">
        <v>270.66</v>
      </c>
      <c r="H29" s="24" t="n">
        <v>0</v>
      </c>
      <c r="I29" s="24" t="n">
        <f aca="false">G29+H29</f>
        <v>270.66</v>
      </c>
      <c r="J29" s="24" t="n">
        <f aca="false">D29-I29</f>
        <v>0</v>
      </c>
      <c r="K29" s="25" t="s">
        <v>410</v>
      </c>
      <c r="L29" s="25" t="s">
        <v>411</v>
      </c>
    </row>
    <row r="30" customFormat="false" ht="15" hidden="false" customHeight="false" outlineLevel="0" collapsed="false">
      <c r="A30" s="23" t="n">
        <v>10</v>
      </c>
      <c r="B30" s="23" t="s">
        <v>373</v>
      </c>
      <c r="C30" s="23" t="s">
        <v>25</v>
      </c>
      <c r="D30" s="24" t="n">
        <v>2692.74</v>
      </c>
      <c r="E30" s="24" t="n">
        <v>0</v>
      </c>
      <c r="F30" s="24" t="n">
        <v>0</v>
      </c>
      <c r="G30" s="24" t="n">
        <v>482.46</v>
      </c>
      <c r="H30" s="24" t="n">
        <v>89.76</v>
      </c>
      <c r="I30" s="24" t="n">
        <f aca="false">G30+H30</f>
        <v>572.22</v>
      </c>
      <c r="J30" s="24" t="n">
        <f aca="false">D30-I30</f>
        <v>2120.52</v>
      </c>
      <c r="K30" s="25" t="s">
        <v>406</v>
      </c>
      <c r="L30" s="25" t="s">
        <v>407</v>
      </c>
    </row>
    <row r="31" customFormat="false" ht="15" hidden="false" customHeight="false" outlineLevel="0" collapsed="false">
      <c r="A31" s="23" t="n">
        <v>11</v>
      </c>
      <c r="B31" s="23" t="s">
        <v>374</v>
      </c>
      <c r="C31" s="23" t="s">
        <v>27</v>
      </c>
      <c r="D31" s="24" t="n">
        <v>233</v>
      </c>
      <c r="E31" s="24" t="n">
        <v>0</v>
      </c>
      <c r="F31" s="24" t="n">
        <v>233</v>
      </c>
      <c r="G31" s="24" t="n">
        <v>233</v>
      </c>
      <c r="H31" s="24" t="n">
        <v>0</v>
      </c>
      <c r="I31" s="24" t="n">
        <f aca="false">G31+H31</f>
        <v>233</v>
      </c>
      <c r="J31" s="24" t="n">
        <f aca="false">D31-I31</f>
        <v>0</v>
      </c>
      <c r="K31" s="25" t="s">
        <v>410</v>
      </c>
      <c r="L31" s="25" t="s">
        <v>411</v>
      </c>
    </row>
    <row r="32" customFormat="false" ht="15" hidden="false" customHeight="false" outlineLevel="0" collapsed="false">
      <c r="A32" s="23" t="n">
        <v>12</v>
      </c>
      <c r="B32" s="23" t="s">
        <v>375</v>
      </c>
      <c r="C32" s="23" t="s">
        <v>27</v>
      </c>
      <c r="D32" s="24" t="n">
        <v>2318.13</v>
      </c>
      <c r="E32" s="24" t="n">
        <v>0</v>
      </c>
      <c r="F32" s="24" t="n">
        <v>0</v>
      </c>
      <c r="G32" s="24" t="n">
        <v>80.49</v>
      </c>
      <c r="H32" s="24" t="n">
        <v>77.27</v>
      </c>
      <c r="I32" s="24" t="n">
        <f aca="false">G32+H32</f>
        <v>157.76</v>
      </c>
      <c r="J32" s="24" t="n">
        <f aca="false">D32-I32</f>
        <v>2160.37</v>
      </c>
      <c r="K32" s="25" t="s">
        <v>406</v>
      </c>
      <c r="L32" s="25" t="s">
        <v>407</v>
      </c>
    </row>
    <row r="33" customFormat="false" ht="15" hidden="false" customHeight="false" outlineLevel="0" collapsed="false">
      <c r="A33" s="23" t="n">
        <v>13</v>
      </c>
      <c r="B33" s="23" t="s">
        <v>376</v>
      </c>
      <c r="C33" s="23" t="s">
        <v>29</v>
      </c>
      <c r="D33" s="24" t="n">
        <v>1561.69</v>
      </c>
      <c r="E33" s="24" t="n">
        <v>0</v>
      </c>
      <c r="F33" s="24" t="n">
        <v>1249.35</v>
      </c>
      <c r="G33" s="24" t="n">
        <v>1311.82</v>
      </c>
      <c r="H33" s="24" t="n">
        <v>99.95</v>
      </c>
      <c r="I33" s="24" t="n">
        <f aca="false">G33+H33</f>
        <v>1411.77</v>
      </c>
      <c r="J33" s="24" t="n">
        <f aca="false">D33-I33</f>
        <v>149.92</v>
      </c>
      <c r="K33" s="25" t="s">
        <v>410</v>
      </c>
      <c r="L33" s="25" t="s">
        <v>411</v>
      </c>
    </row>
    <row r="34" customFormat="false" ht="15" hidden="false" customHeight="false" outlineLevel="0" collapsed="false">
      <c r="A34" s="23" t="n">
        <v>14</v>
      </c>
      <c r="B34" s="23" t="s">
        <v>377</v>
      </c>
      <c r="C34" s="23" t="s">
        <v>29</v>
      </c>
      <c r="D34" s="24" t="n">
        <v>15537.22</v>
      </c>
      <c r="E34" s="24" t="n">
        <v>0</v>
      </c>
      <c r="F34" s="24" t="n">
        <v>0</v>
      </c>
      <c r="G34" s="24" t="n">
        <v>366.85</v>
      </c>
      <c r="H34" s="24" t="n">
        <v>517.91</v>
      </c>
      <c r="I34" s="24" t="n">
        <f aca="false">G34+H34</f>
        <v>884.76</v>
      </c>
      <c r="J34" s="24" t="n">
        <f aca="false">D34-I34</f>
        <v>14652.46</v>
      </c>
      <c r="K34" s="25" t="s">
        <v>406</v>
      </c>
      <c r="L34" s="25" t="s">
        <v>407</v>
      </c>
    </row>
    <row r="35" customFormat="false" ht="15" hidden="false" customHeight="false" outlineLevel="0" collapsed="false">
      <c r="A35" s="26"/>
      <c r="B35" s="27" t="s">
        <v>140</v>
      </c>
      <c r="C35" s="26"/>
      <c r="D35" s="28" t="n">
        <f aca="false">SUM(D21:D34)</f>
        <v>134343.96</v>
      </c>
      <c r="E35" s="28" t="n">
        <f aca="false">SUM(E21:E34)</f>
        <v>0</v>
      </c>
      <c r="F35" s="28" t="n">
        <f aca="false">SUM(F21:F34)</f>
        <v>10534.84</v>
      </c>
      <c r="G35" s="28" t="n">
        <f aca="false">SUM(G21:G34)</f>
        <v>17431.66</v>
      </c>
      <c r="H35" s="28" t="n">
        <f aca="false">SUM(H21:H34)</f>
        <v>4624.4</v>
      </c>
      <c r="I35" s="28" t="n">
        <f aca="false">SUM(I21:I34)</f>
        <v>22056.06</v>
      </c>
      <c r="J35" s="28" t="n">
        <f aca="false">SUM(J21:J34)</f>
        <v>112287.9</v>
      </c>
      <c r="K35" s="26"/>
      <c r="L35" s="26"/>
    </row>
    <row r="37" customFormat="false" ht="15" hidden="false" customHeight="false" outlineLevel="0" collapsed="false">
      <c r="B37" s="18" t="s">
        <v>413</v>
      </c>
    </row>
    <row r="38" customFormat="false" ht="15" hidden="false" customHeight="false" outlineLevel="0" collapsed="false">
      <c r="B38" s="5" t="s">
        <v>414</v>
      </c>
      <c r="D38" s="6" t="n">
        <f aca="false">I17</f>
        <v>11079.92</v>
      </c>
    </row>
    <row r="39" customFormat="false" ht="15" hidden="false" customHeight="false" outlineLevel="0" collapsed="false">
      <c r="B39" s="5" t="s">
        <v>415</v>
      </c>
      <c r="D39" s="6" t="n">
        <f aca="false">I35</f>
        <v>22056.06</v>
      </c>
    </row>
    <row r="40" customFormat="false" ht="15" hidden="false" customHeight="false" outlineLevel="0" collapsed="false">
      <c r="B40" s="11" t="s">
        <v>413</v>
      </c>
      <c r="D40" s="29" t="n">
        <f aca="false">D38-D39</f>
        <v>-10976.14</v>
      </c>
    </row>
    <row r="42" customFormat="false" ht="15" hidden="false" customHeight="false" outlineLevel="0" collapsed="false">
      <c r="A42" s="10" t="s">
        <v>416</v>
      </c>
    </row>
    <row r="43" customFormat="false" ht="15" hidden="false" customHeight="false" outlineLevel="0" collapsed="false">
      <c r="A43" s="21" t="s">
        <v>417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22.35" hidden="false" customHeight="false" outlineLevel="0" collapsed="false">
      <c r="A44" s="4" t="s">
        <v>394</v>
      </c>
      <c r="B44" s="4" t="s">
        <v>395</v>
      </c>
      <c r="C44" s="4" t="s">
        <v>396</v>
      </c>
      <c r="D44" s="4" t="s">
        <v>397</v>
      </c>
      <c r="E44" s="4" t="s">
        <v>398</v>
      </c>
      <c r="F44" s="4" t="s">
        <v>399</v>
      </c>
      <c r="G44" s="4" t="s">
        <v>418</v>
      </c>
      <c r="H44" s="4" t="s">
        <v>419</v>
      </c>
      <c r="I44" s="4" t="s">
        <v>402</v>
      </c>
      <c r="J44" s="4" t="s">
        <v>403</v>
      </c>
      <c r="K44" s="4" t="s">
        <v>404</v>
      </c>
      <c r="L44" s="4" t="s">
        <v>405</v>
      </c>
    </row>
    <row r="45" customFormat="false" ht="15" hidden="false" customHeight="false" outlineLevel="0" collapsed="false">
      <c r="A45" s="23" t="n">
        <v>1</v>
      </c>
      <c r="B45" s="23" t="s">
        <v>133</v>
      </c>
      <c r="C45" s="23" t="s">
        <v>25</v>
      </c>
      <c r="D45" s="24" t="n">
        <v>21669.1</v>
      </c>
      <c r="E45" s="24" t="n">
        <v>0</v>
      </c>
      <c r="F45" s="24" t="n">
        <v>0</v>
      </c>
      <c r="G45" s="24" t="n">
        <v>2237.87</v>
      </c>
      <c r="H45" s="24" t="n">
        <v>789.08</v>
      </c>
      <c r="I45" s="24" t="n">
        <f aca="false">G45+H45</f>
        <v>3026.95</v>
      </c>
      <c r="J45" s="24" t="n">
        <f aca="false">D45-I45</f>
        <v>18642.15</v>
      </c>
      <c r="K45" s="25" t="s">
        <v>406</v>
      </c>
      <c r="L45" s="25" t="s">
        <v>407</v>
      </c>
    </row>
    <row r="46" customFormat="false" ht="15" hidden="false" customHeight="false" outlineLevel="0" collapsed="false">
      <c r="A46" s="23" t="n">
        <v>2</v>
      </c>
      <c r="B46" s="23" t="s">
        <v>134</v>
      </c>
      <c r="C46" s="23" t="s">
        <v>27</v>
      </c>
      <c r="D46" s="24" t="n">
        <v>11621.82</v>
      </c>
      <c r="E46" s="24" t="n">
        <v>0</v>
      </c>
      <c r="F46" s="24" t="n">
        <v>0</v>
      </c>
      <c r="G46" s="24" t="n">
        <v>403.54</v>
      </c>
      <c r="H46" s="24" t="n">
        <v>387.39</v>
      </c>
      <c r="I46" s="24" t="n">
        <f aca="false">G46+H46</f>
        <v>790.93</v>
      </c>
      <c r="J46" s="24" t="n">
        <f aca="false">D46-I46</f>
        <v>10830.89</v>
      </c>
      <c r="K46" s="25" t="s">
        <v>406</v>
      </c>
      <c r="L46" s="25" t="s">
        <v>407</v>
      </c>
    </row>
    <row r="47" customFormat="false" ht="15" hidden="false" customHeight="false" outlineLevel="0" collapsed="false">
      <c r="A47" s="23" t="n">
        <v>3</v>
      </c>
      <c r="B47" s="23" t="s">
        <v>135</v>
      </c>
      <c r="C47" s="23" t="s">
        <v>29</v>
      </c>
      <c r="D47" s="24" t="n">
        <v>77895</v>
      </c>
      <c r="E47" s="24" t="n">
        <v>0</v>
      </c>
      <c r="F47" s="24" t="n">
        <v>0</v>
      </c>
      <c r="G47" s="24" t="n">
        <v>1839.19</v>
      </c>
      <c r="H47" s="24" t="n">
        <v>2596.5</v>
      </c>
      <c r="I47" s="24" t="n">
        <f aca="false">G47+H47</f>
        <v>4435.69</v>
      </c>
      <c r="J47" s="24" t="n">
        <f aca="false">D47-I47</f>
        <v>73459.31</v>
      </c>
      <c r="K47" s="25" t="s">
        <v>406</v>
      </c>
      <c r="L47" s="25" t="s">
        <v>407</v>
      </c>
    </row>
    <row r="48" customFormat="false" ht="15" hidden="false" customHeight="false" outlineLevel="0" collapsed="false">
      <c r="A48" s="23" t="n">
        <v>4</v>
      </c>
      <c r="B48" s="23" t="s">
        <v>136</v>
      </c>
      <c r="C48" s="23" t="s">
        <v>31</v>
      </c>
      <c r="D48" s="24" t="n">
        <v>544.6</v>
      </c>
      <c r="E48" s="24" t="n">
        <v>0</v>
      </c>
      <c r="F48" s="24" t="n">
        <v>0</v>
      </c>
      <c r="G48" s="24" t="n">
        <v>41.01</v>
      </c>
      <c r="H48" s="24" t="n">
        <v>18.85</v>
      </c>
      <c r="I48" s="24" t="n">
        <f aca="false">G48+H48</f>
        <v>59.86</v>
      </c>
      <c r="J48" s="24" t="n">
        <f aca="false">D48-I48</f>
        <v>484.74</v>
      </c>
      <c r="K48" s="25" t="s">
        <v>406</v>
      </c>
      <c r="L48" s="25" t="s">
        <v>407</v>
      </c>
    </row>
    <row r="49" customFormat="false" ht="15" hidden="false" customHeight="false" outlineLevel="0" collapsed="false">
      <c r="A49" s="23" t="n">
        <v>5</v>
      </c>
      <c r="B49" s="23" t="s">
        <v>137</v>
      </c>
      <c r="C49" s="23" t="s">
        <v>25</v>
      </c>
      <c r="D49" s="24" t="n">
        <v>2963.4</v>
      </c>
      <c r="E49" s="24" t="n">
        <v>0</v>
      </c>
      <c r="F49" s="24" t="n">
        <v>760.3</v>
      </c>
      <c r="G49" s="24" t="n">
        <v>760.3</v>
      </c>
      <c r="H49" s="24" t="n">
        <v>227.9</v>
      </c>
      <c r="I49" s="24" t="n">
        <f aca="false">G49+H49</f>
        <v>988.2</v>
      </c>
      <c r="J49" s="24" t="n">
        <f aca="false">D49-I49</f>
        <v>1975.2</v>
      </c>
      <c r="K49" s="25" t="s">
        <v>408</v>
      </c>
      <c r="L49" s="25" t="s">
        <v>409</v>
      </c>
    </row>
    <row r="50" customFormat="false" ht="15" hidden="false" customHeight="false" outlineLevel="0" collapsed="false">
      <c r="A50" s="23" t="n">
        <v>6</v>
      </c>
      <c r="B50" s="23" t="s">
        <v>138</v>
      </c>
      <c r="C50" s="23" t="s">
        <v>27</v>
      </c>
      <c r="D50" s="24" t="n">
        <v>2551.13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f aca="false">G50+H50</f>
        <v>0</v>
      </c>
      <c r="J50" s="24" t="n">
        <f aca="false">D50-I50</f>
        <v>2551.13</v>
      </c>
      <c r="K50" s="25" t="s">
        <v>410</v>
      </c>
      <c r="L50" s="25" t="s">
        <v>411</v>
      </c>
    </row>
    <row r="51" customFormat="false" ht="15" hidden="false" customHeight="false" outlineLevel="0" collapsed="false">
      <c r="A51" s="23" t="n">
        <v>7</v>
      </c>
      <c r="B51" s="23" t="s">
        <v>139</v>
      </c>
      <c r="C51" s="23" t="s">
        <v>29</v>
      </c>
      <c r="D51" s="24" t="n">
        <v>17098.91</v>
      </c>
      <c r="E51" s="24" t="n">
        <v>0</v>
      </c>
      <c r="F51" s="24" t="n">
        <v>0</v>
      </c>
      <c r="G51" s="24" t="n">
        <v>683.96</v>
      </c>
      <c r="H51" s="24" t="n">
        <v>1094.33</v>
      </c>
      <c r="I51" s="24" t="n">
        <f aca="false">G51+H51</f>
        <v>1778.29</v>
      </c>
      <c r="J51" s="24" t="n">
        <f aca="false">D51-I51</f>
        <v>15320.62</v>
      </c>
      <c r="K51" s="25" t="s">
        <v>410</v>
      </c>
      <c r="L51" s="25" t="s">
        <v>411</v>
      </c>
    </row>
    <row r="52" customFormat="false" ht="15" hidden="false" customHeight="false" outlineLevel="0" collapsed="false">
      <c r="A52" s="26"/>
      <c r="B52" s="27" t="s">
        <v>140</v>
      </c>
      <c r="C52" s="26"/>
      <c r="D52" s="28" t="n">
        <f aca="false">SUM(D45:D51)</f>
        <v>134343.96</v>
      </c>
      <c r="E52" s="28" t="n">
        <f aca="false">SUM(E45:E51)</f>
        <v>0</v>
      </c>
      <c r="F52" s="28" t="n">
        <f aca="false">SUM(F45:F51)</f>
        <v>760.3</v>
      </c>
      <c r="G52" s="28" t="n">
        <f aca="false">SUM(G45:G51)</f>
        <v>5965.87</v>
      </c>
      <c r="H52" s="28" t="n">
        <f aca="false">SUM(H45:H51)</f>
        <v>5114.05</v>
      </c>
      <c r="I52" s="28" t="n">
        <f aca="false">SUM(I45:I51)</f>
        <v>11079.92</v>
      </c>
      <c r="J52" s="28" t="n">
        <f aca="false">SUM(J45:J51)</f>
        <v>123264.04</v>
      </c>
      <c r="K52" s="26"/>
      <c r="L52" s="26"/>
    </row>
    <row r="54" customFormat="false" ht="15" hidden="false" customHeight="false" outlineLevel="0" collapsed="false">
      <c r="A54" s="21" t="s">
        <v>420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22.35" hidden="false" customHeight="false" outlineLevel="0" collapsed="false">
      <c r="A55" s="4" t="s">
        <v>394</v>
      </c>
      <c r="B55" s="4" t="s">
        <v>395</v>
      </c>
      <c r="C55" s="4" t="s">
        <v>396</v>
      </c>
      <c r="D55" s="4" t="s">
        <v>397</v>
      </c>
      <c r="E55" s="4" t="s">
        <v>398</v>
      </c>
      <c r="F55" s="4" t="s">
        <v>399</v>
      </c>
      <c r="G55" s="4" t="s">
        <v>418</v>
      </c>
      <c r="H55" s="4" t="s">
        <v>419</v>
      </c>
      <c r="I55" s="4" t="s">
        <v>402</v>
      </c>
      <c r="J55" s="4" t="s">
        <v>403</v>
      </c>
      <c r="K55" s="4" t="s">
        <v>404</v>
      </c>
      <c r="L55" s="4" t="s">
        <v>405</v>
      </c>
    </row>
    <row r="56" customFormat="false" ht="15" hidden="false" customHeight="false" outlineLevel="0" collapsed="false">
      <c r="A56" s="23" t="n">
        <v>1</v>
      </c>
      <c r="B56" s="23" t="s">
        <v>365</v>
      </c>
      <c r="C56" s="23" t="s">
        <v>25</v>
      </c>
      <c r="D56" s="24" t="n">
        <v>1979.11</v>
      </c>
      <c r="E56" s="24" t="n">
        <v>0</v>
      </c>
      <c r="F56" s="24" t="n">
        <v>1979.11</v>
      </c>
      <c r="G56" s="24" t="n">
        <v>1979.11</v>
      </c>
      <c r="H56" s="24" t="n">
        <v>0</v>
      </c>
      <c r="I56" s="24" t="n">
        <f aca="false">G56+H56</f>
        <v>1979.11</v>
      </c>
      <c r="J56" s="24" t="n">
        <f aca="false">D56-I56</f>
        <v>0</v>
      </c>
      <c r="K56" s="25" t="s">
        <v>410</v>
      </c>
      <c r="L56" s="25" t="s">
        <v>411</v>
      </c>
    </row>
    <row r="57" customFormat="false" ht="15" hidden="false" customHeight="false" outlineLevel="0" collapsed="false">
      <c r="A57" s="23" t="n">
        <v>2</v>
      </c>
      <c r="B57" s="23" t="s">
        <v>366</v>
      </c>
      <c r="C57" s="23" t="s">
        <v>25</v>
      </c>
      <c r="D57" s="24" t="n">
        <v>19689.99</v>
      </c>
      <c r="E57" s="24" t="n">
        <v>0</v>
      </c>
      <c r="F57" s="24" t="n">
        <v>0</v>
      </c>
      <c r="G57" s="24" t="n">
        <v>3527.77</v>
      </c>
      <c r="H57" s="24" t="n">
        <v>656.33</v>
      </c>
      <c r="I57" s="24" t="n">
        <f aca="false">G57+H57</f>
        <v>4184.1</v>
      </c>
      <c r="J57" s="24" t="n">
        <f aca="false">D57-I57</f>
        <v>15505.89</v>
      </c>
      <c r="K57" s="25" t="s">
        <v>406</v>
      </c>
      <c r="L57" s="25" t="s">
        <v>407</v>
      </c>
    </row>
    <row r="58" customFormat="false" ht="15" hidden="false" customHeight="false" outlineLevel="0" collapsed="false">
      <c r="A58" s="23" t="n">
        <v>3</v>
      </c>
      <c r="B58" s="23" t="s">
        <v>367</v>
      </c>
      <c r="C58" s="23" t="s">
        <v>27</v>
      </c>
      <c r="D58" s="24" t="n">
        <v>1061.46</v>
      </c>
      <c r="E58" s="24" t="n">
        <v>0</v>
      </c>
      <c r="F58" s="24" t="n">
        <v>1061.46</v>
      </c>
      <c r="G58" s="24" t="n">
        <v>1061.46</v>
      </c>
      <c r="H58" s="24" t="n">
        <v>0</v>
      </c>
      <c r="I58" s="24" t="n">
        <f aca="false">G58+H58</f>
        <v>1061.46</v>
      </c>
      <c r="J58" s="24" t="n">
        <f aca="false">D58-I58</f>
        <v>0</v>
      </c>
      <c r="K58" s="25" t="s">
        <v>410</v>
      </c>
      <c r="L58" s="25" t="s">
        <v>411</v>
      </c>
    </row>
    <row r="59" customFormat="false" ht="15" hidden="false" customHeight="false" outlineLevel="0" collapsed="false">
      <c r="A59" s="23" t="n">
        <v>4</v>
      </c>
      <c r="B59" s="23" t="s">
        <v>368</v>
      </c>
      <c r="C59" s="23" t="s">
        <v>27</v>
      </c>
      <c r="D59" s="24" t="n">
        <v>10560.36</v>
      </c>
      <c r="E59" s="24" t="n">
        <v>0</v>
      </c>
      <c r="F59" s="24" t="n">
        <v>0</v>
      </c>
      <c r="G59" s="24" t="n">
        <v>366.68</v>
      </c>
      <c r="H59" s="24" t="n">
        <v>352.01</v>
      </c>
      <c r="I59" s="24" t="n">
        <f aca="false">G59+H59</f>
        <v>718.69</v>
      </c>
      <c r="J59" s="24" t="n">
        <f aca="false">D59-I59</f>
        <v>9841.67</v>
      </c>
      <c r="K59" s="25" t="s">
        <v>406</v>
      </c>
      <c r="L59" s="25" t="s">
        <v>407</v>
      </c>
    </row>
    <row r="60" customFormat="false" ht="15" hidden="false" customHeight="false" outlineLevel="0" collapsed="false">
      <c r="A60" s="23" t="n">
        <v>5</v>
      </c>
      <c r="B60" s="23" t="s">
        <v>369</v>
      </c>
      <c r="C60" s="23" t="s">
        <v>29</v>
      </c>
      <c r="D60" s="24" t="n">
        <v>7114.4</v>
      </c>
      <c r="E60" s="24" t="n">
        <v>0</v>
      </c>
      <c r="F60" s="24" t="n">
        <v>5691.52</v>
      </c>
      <c r="G60" s="24" t="n">
        <v>5976.1</v>
      </c>
      <c r="H60" s="24" t="n">
        <v>455.32</v>
      </c>
      <c r="I60" s="24" t="n">
        <f aca="false">G60+H60</f>
        <v>6431.42</v>
      </c>
      <c r="J60" s="24" t="n">
        <f aca="false">D60-I60</f>
        <v>682.98</v>
      </c>
      <c r="K60" s="25" t="s">
        <v>410</v>
      </c>
      <c r="L60" s="25" t="s">
        <v>411</v>
      </c>
    </row>
    <row r="61" customFormat="false" ht="15" hidden="false" customHeight="false" outlineLevel="0" collapsed="false">
      <c r="A61" s="23" t="n">
        <v>6</v>
      </c>
      <c r="B61" s="23" t="s">
        <v>370</v>
      </c>
      <c r="C61" s="23" t="s">
        <v>29</v>
      </c>
      <c r="D61" s="24" t="n">
        <v>70780.6</v>
      </c>
      <c r="E61" s="24" t="n">
        <v>0</v>
      </c>
      <c r="F61" s="24" t="n">
        <v>0</v>
      </c>
      <c r="G61" s="24" t="n">
        <v>1671.21</v>
      </c>
      <c r="H61" s="24" t="n">
        <v>2359.35</v>
      </c>
      <c r="I61" s="24" t="n">
        <f aca="false">G61+H61</f>
        <v>4030.56</v>
      </c>
      <c r="J61" s="24" t="n">
        <f aca="false">D61-I61</f>
        <v>66750.04</v>
      </c>
      <c r="K61" s="25" t="s">
        <v>406</v>
      </c>
      <c r="L61" s="25" t="s">
        <v>407</v>
      </c>
    </row>
    <row r="62" customFormat="false" ht="15" hidden="false" customHeight="false" outlineLevel="0" collapsed="false">
      <c r="A62" s="23" t="n">
        <v>7</v>
      </c>
      <c r="B62" s="23" t="s">
        <v>371</v>
      </c>
      <c r="C62" s="23" t="s">
        <v>31</v>
      </c>
      <c r="D62" s="24" t="n">
        <v>49.74</v>
      </c>
      <c r="E62" s="24" t="n">
        <v>0</v>
      </c>
      <c r="F62" s="24" t="n">
        <v>49.74</v>
      </c>
      <c r="G62" s="24" t="n">
        <v>49.74</v>
      </c>
      <c r="H62" s="24" t="n">
        <v>0</v>
      </c>
      <c r="I62" s="24" t="n">
        <f aca="false">G62+H62</f>
        <v>49.74</v>
      </c>
      <c r="J62" s="24" t="n">
        <f aca="false">D62-I62</f>
        <v>0</v>
      </c>
      <c r="K62" s="25" t="s">
        <v>410</v>
      </c>
      <c r="L62" s="25" t="s">
        <v>411</v>
      </c>
    </row>
    <row r="63" customFormat="false" ht="15" hidden="false" customHeight="false" outlineLevel="0" collapsed="false">
      <c r="A63" s="23" t="n">
        <v>8</v>
      </c>
      <c r="B63" s="23" t="s">
        <v>371</v>
      </c>
      <c r="C63" s="23" t="s">
        <v>31</v>
      </c>
      <c r="D63" s="24" t="n">
        <v>494.86</v>
      </c>
      <c r="E63" s="24" t="n">
        <v>0</v>
      </c>
      <c r="F63" s="24" t="n">
        <v>0</v>
      </c>
      <c r="G63" s="24" t="n">
        <v>54.31</v>
      </c>
      <c r="H63" s="24" t="n">
        <v>16.5</v>
      </c>
      <c r="I63" s="24" t="n">
        <f aca="false">G63+H63</f>
        <v>70.81</v>
      </c>
      <c r="J63" s="24" t="n">
        <f aca="false">D63-I63</f>
        <v>424.05</v>
      </c>
      <c r="K63" s="25" t="s">
        <v>406</v>
      </c>
      <c r="L63" s="25" t="s">
        <v>407</v>
      </c>
    </row>
    <row r="64" customFormat="false" ht="15" hidden="false" customHeight="false" outlineLevel="0" collapsed="false">
      <c r="A64" s="23" t="n">
        <v>9</v>
      </c>
      <c r="B64" s="23" t="s">
        <v>372</v>
      </c>
      <c r="C64" s="23" t="s">
        <v>25</v>
      </c>
      <c r="D64" s="24" t="n">
        <v>270.66</v>
      </c>
      <c r="E64" s="24" t="n">
        <v>0</v>
      </c>
      <c r="F64" s="24" t="n">
        <v>270.66</v>
      </c>
      <c r="G64" s="24" t="n">
        <v>270.66</v>
      </c>
      <c r="H64" s="24" t="n">
        <v>0</v>
      </c>
      <c r="I64" s="24" t="n">
        <f aca="false">G64+H64</f>
        <v>270.66</v>
      </c>
      <c r="J64" s="24" t="n">
        <f aca="false">D64-I64</f>
        <v>0</v>
      </c>
      <c r="K64" s="25" t="s">
        <v>410</v>
      </c>
      <c r="L64" s="25" t="s">
        <v>411</v>
      </c>
    </row>
    <row r="65" customFormat="false" ht="15" hidden="false" customHeight="false" outlineLevel="0" collapsed="false">
      <c r="A65" s="23" t="n">
        <v>10</v>
      </c>
      <c r="B65" s="23" t="s">
        <v>373</v>
      </c>
      <c r="C65" s="23" t="s">
        <v>25</v>
      </c>
      <c r="D65" s="24" t="n">
        <v>2692.74</v>
      </c>
      <c r="E65" s="24" t="n">
        <v>0</v>
      </c>
      <c r="F65" s="24" t="n">
        <v>0</v>
      </c>
      <c r="G65" s="24" t="n">
        <v>482.46</v>
      </c>
      <c r="H65" s="24" t="n">
        <v>89.76</v>
      </c>
      <c r="I65" s="24" t="n">
        <f aca="false">G65+H65</f>
        <v>572.22</v>
      </c>
      <c r="J65" s="24" t="n">
        <f aca="false">D65-I65</f>
        <v>2120.52</v>
      </c>
      <c r="K65" s="25" t="s">
        <v>406</v>
      </c>
      <c r="L65" s="25" t="s">
        <v>407</v>
      </c>
    </row>
    <row r="66" customFormat="false" ht="15" hidden="false" customHeight="false" outlineLevel="0" collapsed="false">
      <c r="A66" s="23" t="n">
        <v>11</v>
      </c>
      <c r="B66" s="23" t="s">
        <v>374</v>
      </c>
      <c r="C66" s="23" t="s">
        <v>27</v>
      </c>
      <c r="D66" s="24" t="n">
        <v>233</v>
      </c>
      <c r="E66" s="24" t="n">
        <v>0</v>
      </c>
      <c r="F66" s="24" t="n">
        <v>233</v>
      </c>
      <c r="G66" s="24" t="n">
        <v>233</v>
      </c>
      <c r="H66" s="24" t="n">
        <v>0</v>
      </c>
      <c r="I66" s="24" t="n">
        <f aca="false">G66+H66</f>
        <v>233</v>
      </c>
      <c r="J66" s="24" t="n">
        <f aca="false">D66-I66</f>
        <v>0</v>
      </c>
      <c r="K66" s="25" t="s">
        <v>410</v>
      </c>
      <c r="L66" s="25" t="s">
        <v>411</v>
      </c>
    </row>
    <row r="67" customFormat="false" ht="15" hidden="false" customHeight="false" outlineLevel="0" collapsed="false">
      <c r="A67" s="23" t="n">
        <v>12</v>
      </c>
      <c r="B67" s="23" t="s">
        <v>375</v>
      </c>
      <c r="C67" s="23" t="s">
        <v>27</v>
      </c>
      <c r="D67" s="24" t="n">
        <v>2318.13</v>
      </c>
      <c r="E67" s="24" t="n">
        <v>0</v>
      </c>
      <c r="F67" s="24" t="n">
        <v>0</v>
      </c>
      <c r="G67" s="24" t="n">
        <v>80.49</v>
      </c>
      <c r="H67" s="24" t="n">
        <v>77.27</v>
      </c>
      <c r="I67" s="24" t="n">
        <f aca="false">G67+H67</f>
        <v>157.76</v>
      </c>
      <c r="J67" s="24" t="n">
        <f aca="false">D67-I67</f>
        <v>2160.37</v>
      </c>
      <c r="K67" s="25" t="s">
        <v>406</v>
      </c>
      <c r="L67" s="25" t="s">
        <v>407</v>
      </c>
    </row>
    <row r="68" customFormat="false" ht="15" hidden="false" customHeight="false" outlineLevel="0" collapsed="false">
      <c r="A68" s="23" t="n">
        <v>13</v>
      </c>
      <c r="B68" s="23" t="s">
        <v>376</v>
      </c>
      <c r="C68" s="23" t="s">
        <v>29</v>
      </c>
      <c r="D68" s="24" t="n">
        <v>1561.69</v>
      </c>
      <c r="E68" s="24" t="n">
        <v>0</v>
      </c>
      <c r="F68" s="24" t="n">
        <v>1249.35</v>
      </c>
      <c r="G68" s="24" t="n">
        <v>1311.82</v>
      </c>
      <c r="H68" s="24" t="n">
        <v>99.95</v>
      </c>
      <c r="I68" s="24" t="n">
        <f aca="false">G68+H68</f>
        <v>1411.77</v>
      </c>
      <c r="J68" s="24" t="n">
        <f aca="false">D68-I68</f>
        <v>149.92</v>
      </c>
      <c r="K68" s="25" t="s">
        <v>410</v>
      </c>
      <c r="L68" s="25" t="s">
        <v>411</v>
      </c>
    </row>
    <row r="69" customFormat="false" ht="15" hidden="false" customHeight="false" outlineLevel="0" collapsed="false">
      <c r="A69" s="23" t="n">
        <v>14</v>
      </c>
      <c r="B69" s="23" t="s">
        <v>377</v>
      </c>
      <c r="C69" s="23" t="s">
        <v>29</v>
      </c>
      <c r="D69" s="24" t="n">
        <v>15537.22</v>
      </c>
      <c r="E69" s="24" t="n">
        <v>0</v>
      </c>
      <c r="F69" s="24" t="n">
        <v>0</v>
      </c>
      <c r="G69" s="24" t="n">
        <v>366.85</v>
      </c>
      <c r="H69" s="24" t="n">
        <v>517.91</v>
      </c>
      <c r="I69" s="24" t="n">
        <f aca="false">G69+H69</f>
        <v>884.76</v>
      </c>
      <c r="J69" s="24" t="n">
        <f aca="false">D69-I69</f>
        <v>14652.46</v>
      </c>
      <c r="K69" s="25" t="s">
        <v>406</v>
      </c>
      <c r="L69" s="25" t="s">
        <v>407</v>
      </c>
    </row>
    <row r="70" customFormat="false" ht="15" hidden="false" customHeight="false" outlineLevel="0" collapsed="false">
      <c r="A70" s="26"/>
      <c r="B70" s="27" t="s">
        <v>140</v>
      </c>
      <c r="C70" s="26"/>
      <c r="D70" s="28" t="n">
        <f aca="false">SUM(D56:D69)</f>
        <v>134343.96</v>
      </c>
      <c r="E70" s="28" t="n">
        <f aca="false">SUM(E56:E69)</f>
        <v>0</v>
      </c>
      <c r="F70" s="28" t="n">
        <f aca="false">SUM(F56:F69)</f>
        <v>10534.84</v>
      </c>
      <c r="G70" s="28" t="n">
        <f aca="false">SUM(G56:G69)</f>
        <v>17431.66</v>
      </c>
      <c r="H70" s="28" t="n">
        <f aca="false">SUM(H56:H69)</f>
        <v>4624.4</v>
      </c>
      <c r="I70" s="28" t="n">
        <f aca="false">SUM(I56:I69)</f>
        <v>22056.06</v>
      </c>
      <c r="J70" s="28" t="n">
        <f aca="false">SUM(J56:J69)</f>
        <v>112287.9</v>
      </c>
      <c r="K70" s="26"/>
      <c r="L70" s="26"/>
    </row>
    <row r="72" customFormat="false" ht="15" hidden="false" customHeight="false" outlineLevel="0" collapsed="false">
      <c r="B72" s="18" t="s">
        <v>421</v>
      </c>
    </row>
    <row r="73" customFormat="false" ht="15" hidden="false" customHeight="false" outlineLevel="0" collapsed="false">
      <c r="B73" s="5" t="s">
        <v>414</v>
      </c>
      <c r="D73" s="6" t="n">
        <f aca="false">I52</f>
        <v>11079.92</v>
      </c>
    </row>
    <row r="74" customFormat="false" ht="15" hidden="false" customHeight="false" outlineLevel="0" collapsed="false">
      <c r="B74" s="5" t="s">
        <v>415</v>
      </c>
      <c r="D74" s="6" t="n">
        <f aca="false">I70</f>
        <v>22056.06</v>
      </c>
    </row>
    <row r="75" customFormat="false" ht="15" hidden="false" customHeight="false" outlineLevel="0" collapsed="false">
      <c r="B75" s="11" t="s">
        <v>421</v>
      </c>
      <c r="D75" s="29" t="n">
        <f aca="false">D73-D74</f>
        <v>-10976.14</v>
      </c>
    </row>
    <row r="77" customFormat="false" ht="15" hidden="false" customHeight="false" outlineLevel="0" collapsed="false">
      <c r="A77" s="10" t="s">
        <v>422</v>
      </c>
    </row>
    <row r="78" customFormat="false" ht="15" hidden="false" customHeight="false" outlineLevel="0" collapsed="false">
      <c r="B78" s="11" t="s">
        <v>445</v>
      </c>
      <c r="D78" s="12" t="n">
        <f aca="false">D114</f>
        <v>134343.96</v>
      </c>
    </row>
    <row r="79" customFormat="false" ht="15" hidden="false" customHeight="false" outlineLevel="0" collapsed="false">
      <c r="B79" s="5" t="s">
        <v>446</v>
      </c>
      <c r="D79" s="6" t="n">
        <f aca="false">F114</f>
        <v>12270.06</v>
      </c>
    </row>
    <row r="80" customFormat="false" ht="15" hidden="false" customHeight="false" outlineLevel="0" collapsed="false">
      <c r="B80" s="30" t="s">
        <v>425</v>
      </c>
      <c r="D80" s="31" t="n">
        <f aca="false">F115</f>
        <v>0.0913331719565212</v>
      </c>
    </row>
    <row r="81" customFormat="false" ht="15" hidden="false" customHeight="false" outlineLevel="0" collapsed="false">
      <c r="B81" s="5" t="s">
        <v>447</v>
      </c>
      <c r="D81" s="6" t="n">
        <f aca="false">H114</f>
        <v>122073.9</v>
      </c>
    </row>
    <row r="82" customFormat="false" ht="15" hidden="false" customHeight="false" outlineLevel="0" collapsed="false">
      <c r="B82" s="30" t="s">
        <v>425</v>
      </c>
      <c r="D82" s="31" t="n">
        <f aca="false">H115</f>
        <v>0.908666828043479</v>
      </c>
    </row>
    <row r="84" customFormat="false" ht="15" hidden="false" customHeight="false" outlineLevel="0" collapsed="false">
      <c r="A84" s="10" t="s">
        <v>427</v>
      </c>
    </row>
    <row r="85" customFormat="false" ht="15" hidden="false" customHeight="false" outlineLevel="0" collapsed="false">
      <c r="B85" s="4" t="s">
        <v>428</v>
      </c>
      <c r="D85" s="4" t="s">
        <v>397</v>
      </c>
      <c r="F85" s="4" t="s">
        <v>448</v>
      </c>
      <c r="H85" s="4" t="s">
        <v>430</v>
      </c>
    </row>
    <row r="86" customFormat="false" ht="15" hidden="false" customHeight="false" outlineLevel="0" collapsed="false">
      <c r="B86" s="32" t="s">
        <v>449</v>
      </c>
    </row>
    <row r="87" customFormat="false" ht="15" hidden="false" customHeight="false" outlineLevel="0" collapsed="false">
      <c r="B87" s="5" t="s">
        <v>450</v>
      </c>
      <c r="D87" s="33" t="n">
        <f aca="false">SUM(F87:H87)</f>
        <v>1832.24</v>
      </c>
      <c r="F87" s="33" t="n">
        <v>1832.24</v>
      </c>
    </row>
    <row r="88" customFormat="false" ht="15" hidden="false" customHeight="false" outlineLevel="0" collapsed="false">
      <c r="B88" s="5" t="s">
        <v>451</v>
      </c>
      <c r="D88" s="33" t="n">
        <f aca="false">SUM(F88:H88)</f>
        <v>2378.41</v>
      </c>
      <c r="F88" s="33" t="n">
        <v>2378.41</v>
      </c>
    </row>
    <row r="89" customFormat="false" ht="15" hidden="false" customHeight="false" outlineLevel="0" collapsed="false">
      <c r="B89" s="5" t="s">
        <v>499</v>
      </c>
      <c r="D89" s="33" t="n">
        <f aca="false">SUM(F89:H89)</f>
        <v>1885.68</v>
      </c>
      <c r="F89" s="33" t="n">
        <v>1885.68</v>
      </c>
    </row>
    <row r="90" customFormat="false" ht="15" hidden="false" customHeight="false" outlineLevel="0" collapsed="false">
      <c r="B90" s="5" t="s">
        <v>453</v>
      </c>
      <c r="D90" s="33" t="n">
        <f aca="false">SUM(F90:H90)</f>
        <v>1200.4</v>
      </c>
      <c r="F90" s="33" t="n">
        <v>1200.4</v>
      </c>
    </row>
    <row r="91" customFormat="false" ht="15" hidden="false" customHeight="false" outlineLevel="0" collapsed="false">
      <c r="B91" s="5" t="s">
        <v>454</v>
      </c>
      <c r="D91" s="33" t="n">
        <f aca="false">SUM(F91:H91)</f>
        <v>43.94</v>
      </c>
      <c r="F91" s="33" t="n">
        <v>43.94</v>
      </c>
    </row>
    <row r="92" customFormat="false" ht="15" hidden="false" customHeight="false" outlineLevel="0" collapsed="false">
      <c r="B92" s="5" t="s">
        <v>456</v>
      </c>
      <c r="D92" s="33" t="n">
        <f aca="false">SUM(F92:H92)</f>
        <v>3079.68</v>
      </c>
      <c r="F92" s="33" t="n">
        <v>3079.68</v>
      </c>
    </row>
    <row r="93" customFormat="false" ht="15" hidden="false" customHeight="false" outlineLevel="0" collapsed="false">
      <c r="B93" s="5" t="s">
        <v>500</v>
      </c>
      <c r="D93" s="33" t="n">
        <f aca="false">SUM(F93:H93)</f>
        <v>1210.96</v>
      </c>
      <c r="F93" s="33" t="n">
        <v>1210.96</v>
      </c>
    </row>
    <row r="94" customFormat="false" ht="15" hidden="false" customHeight="false" outlineLevel="0" collapsed="false">
      <c r="B94" s="5" t="s">
        <v>458</v>
      </c>
      <c r="D94" s="33" t="n">
        <f aca="false">SUM(F94:H94)</f>
        <v>492.82</v>
      </c>
      <c r="F94" s="33" t="n">
        <v>492.82</v>
      </c>
    </row>
    <row r="95" customFormat="false" ht="15" hidden="false" customHeight="false" outlineLevel="0" collapsed="false">
      <c r="B95" s="5" t="s">
        <v>501</v>
      </c>
      <c r="D95" s="33" t="n">
        <f aca="false">SUM(F95:H95)</f>
        <v>145.93</v>
      </c>
      <c r="F95" s="33" t="n">
        <v>145.93</v>
      </c>
    </row>
    <row r="96" customFormat="false" ht="15" hidden="false" customHeight="false" outlineLevel="0" collapsed="false">
      <c r="B96" s="32" t="s">
        <v>461</v>
      </c>
    </row>
    <row r="97" customFormat="false" ht="15" hidden="false" customHeight="false" outlineLevel="0" collapsed="false">
      <c r="B97" s="5" t="s">
        <v>462</v>
      </c>
      <c r="D97" s="33" t="n">
        <f aca="false">SUM(F97:H97)</f>
        <v>7912.06</v>
      </c>
      <c r="H97" s="33" t="n">
        <v>7912.06</v>
      </c>
    </row>
    <row r="98" customFormat="false" ht="15" hidden="false" customHeight="false" outlineLevel="0" collapsed="false">
      <c r="B98" s="5" t="s">
        <v>463</v>
      </c>
      <c r="D98" s="33" t="n">
        <f aca="false">SUM(F98:H98)</f>
        <v>13043.7</v>
      </c>
      <c r="H98" s="33" t="n">
        <v>13043.7</v>
      </c>
    </row>
    <row r="99" customFormat="false" ht="15" hidden="false" customHeight="false" outlineLevel="0" collapsed="false">
      <c r="B99" s="5" t="s">
        <v>464</v>
      </c>
      <c r="D99" s="33" t="n">
        <f aca="false">SUM(F99:H99)</f>
        <v>9195.93</v>
      </c>
      <c r="H99" s="33" t="n">
        <v>9195.93</v>
      </c>
    </row>
    <row r="100" customFormat="false" ht="15" hidden="false" customHeight="false" outlineLevel="0" collapsed="false">
      <c r="B100" s="5" t="s">
        <v>465</v>
      </c>
      <c r="D100" s="33" t="n">
        <f aca="false">SUM(F100:H100)</f>
        <v>10028.82</v>
      </c>
      <c r="H100" s="33" t="n">
        <v>10028.82</v>
      </c>
    </row>
    <row r="101" customFormat="false" ht="15" hidden="false" customHeight="false" outlineLevel="0" collapsed="false">
      <c r="B101" s="5" t="s">
        <v>466</v>
      </c>
      <c r="D101" s="33" t="n">
        <f aca="false">SUM(F101:H101)</f>
        <v>6783.02</v>
      </c>
      <c r="H101" s="33" t="n">
        <v>6783.02</v>
      </c>
    </row>
    <row r="102" customFormat="false" ht="15" hidden="false" customHeight="false" outlineLevel="0" collapsed="false">
      <c r="B102" s="5" t="s">
        <v>467</v>
      </c>
      <c r="D102" s="33" t="n">
        <f aca="false">SUM(F102:H102)</f>
        <v>64.86</v>
      </c>
      <c r="H102" s="33" t="n">
        <v>64.86</v>
      </c>
    </row>
    <row r="103" customFormat="false" ht="15" hidden="false" customHeight="false" outlineLevel="0" collapsed="false">
      <c r="B103" s="5" t="s">
        <v>468</v>
      </c>
      <c r="D103" s="33" t="n">
        <f aca="false">SUM(F103:H103)</f>
        <v>4616.95</v>
      </c>
      <c r="H103" s="33" t="n">
        <v>4616.95</v>
      </c>
    </row>
    <row r="104" customFormat="false" ht="15" hidden="false" customHeight="false" outlineLevel="0" collapsed="false">
      <c r="B104" s="5" t="s">
        <v>469</v>
      </c>
      <c r="D104" s="33" t="n">
        <f aca="false">SUM(F104:H104)</f>
        <v>8542.85</v>
      </c>
      <c r="H104" s="33" t="n">
        <v>8542.85</v>
      </c>
    </row>
    <row r="105" customFormat="false" ht="15" hidden="false" customHeight="false" outlineLevel="0" collapsed="false">
      <c r="B105" s="5" t="s">
        <v>470</v>
      </c>
      <c r="D105" s="33" t="n">
        <f aca="false">SUM(F105:H105)</f>
        <v>2140.31</v>
      </c>
      <c r="H105" s="33" t="n">
        <v>2140.31</v>
      </c>
    </row>
    <row r="106" customFormat="false" ht="15" hidden="false" customHeight="false" outlineLevel="0" collapsed="false">
      <c r="B106" s="5" t="s">
        <v>471</v>
      </c>
      <c r="D106" s="33" t="n">
        <f aca="false">SUM(F106:H106)</f>
        <v>4214.1</v>
      </c>
      <c r="H106" s="33" t="n">
        <v>4214.1</v>
      </c>
    </row>
    <row r="107" customFormat="false" ht="15" hidden="false" customHeight="false" outlineLevel="0" collapsed="false">
      <c r="B107" s="5" t="s">
        <v>472</v>
      </c>
      <c r="D107" s="33" t="n">
        <f aca="false">SUM(F107:H107)</f>
        <v>23346.74</v>
      </c>
      <c r="H107" s="33" t="n">
        <v>23346.74</v>
      </c>
    </row>
    <row r="108" customFormat="false" ht="15" hidden="false" customHeight="false" outlineLevel="0" collapsed="false">
      <c r="B108" s="5" t="s">
        <v>473</v>
      </c>
      <c r="D108" s="33" t="n">
        <f aca="false">SUM(F108:H108)</f>
        <v>8173.62</v>
      </c>
      <c r="H108" s="33" t="n">
        <v>8173.62</v>
      </c>
    </row>
    <row r="109" customFormat="false" ht="15" hidden="false" customHeight="false" outlineLevel="0" collapsed="false">
      <c r="B109" s="5" t="s">
        <v>490</v>
      </c>
      <c r="D109" s="33" t="n">
        <f aca="false">SUM(F109:H109)</f>
        <v>1090.01</v>
      </c>
      <c r="H109" s="33" t="n">
        <v>1090.01</v>
      </c>
    </row>
    <row r="110" customFormat="false" ht="15" hidden="false" customHeight="false" outlineLevel="0" collapsed="false">
      <c r="B110" s="5" t="s">
        <v>474</v>
      </c>
      <c r="D110" s="33" t="n">
        <f aca="false">SUM(F110:H110)</f>
        <v>18677.29</v>
      </c>
      <c r="H110" s="33" t="n">
        <v>18677.29</v>
      </c>
    </row>
    <row r="111" customFormat="false" ht="15" hidden="false" customHeight="false" outlineLevel="0" collapsed="false">
      <c r="B111" s="5" t="s">
        <v>502</v>
      </c>
      <c r="D111" s="33" t="n">
        <f aca="false">SUM(F111:H111)</f>
        <v>1692.47</v>
      </c>
      <c r="H111" s="33" t="n">
        <v>1692.47</v>
      </c>
    </row>
    <row r="112" customFormat="false" ht="15" hidden="false" customHeight="false" outlineLevel="0" collapsed="false">
      <c r="B112" s="5" t="s">
        <v>476</v>
      </c>
      <c r="D112" s="33" t="n">
        <f aca="false">SUM(F112:H112)</f>
        <v>2398.17</v>
      </c>
      <c r="H112" s="33" t="n">
        <v>2398.17</v>
      </c>
    </row>
    <row r="113" customFormat="false" ht="15" hidden="false" customHeight="false" outlineLevel="0" collapsed="false">
      <c r="B113" s="5" t="s">
        <v>477</v>
      </c>
      <c r="D113" s="33" t="n">
        <f aca="false">SUM(F113:H113)</f>
        <v>153</v>
      </c>
      <c r="H113" s="33" t="n">
        <v>153</v>
      </c>
    </row>
    <row r="114" customFormat="false" ht="15" hidden="false" customHeight="false" outlineLevel="0" collapsed="false">
      <c r="B114" s="11" t="s">
        <v>445</v>
      </c>
      <c r="D114" s="34" t="n">
        <f aca="false">SUM(D86:D113)</f>
        <v>134343.96</v>
      </c>
      <c r="F114" s="34" t="n">
        <f aca="false">SUM(F86:F113)</f>
        <v>12270.06</v>
      </c>
      <c r="H114" s="34" t="n">
        <f aca="false">SUM(H86:H113)</f>
        <v>122073.9</v>
      </c>
    </row>
    <row r="115" customFormat="false" ht="15" hidden="false" customHeight="false" outlineLevel="0" collapsed="false">
      <c r="B115" s="30" t="s">
        <v>425</v>
      </c>
      <c r="F115" s="31" t="n">
        <f aca="false">F114/D114</f>
        <v>0.0913331719565212</v>
      </c>
      <c r="H115" s="31" t="n">
        <f aca="false">H114/D114</f>
        <v>0.908666828043479</v>
      </c>
    </row>
    <row r="117" customFormat="false" ht="15" hidden="false" customHeight="false" outlineLevel="0" collapsed="false">
      <c r="A117" s="10" t="s">
        <v>440</v>
      </c>
    </row>
    <row r="118" customFormat="false" ht="15" hidden="false" customHeight="false" outlineLevel="0" collapsed="false">
      <c r="B118" s="4" t="s">
        <v>441</v>
      </c>
      <c r="D118" s="4" t="s">
        <v>397</v>
      </c>
      <c r="F118" s="4" t="s">
        <v>448</v>
      </c>
      <c r="H118" s="4" t="s">
        <v>430</v>
      </c>
    </row>
    <row r="119" customFormat="false" ht="15" hidden="false" customHeight="false" outlineLevel="0" collapsed="false">
      <c r="B119" s="5" t="str">
        <f aca="false">Office!B21</f>
        <v>10-Building-Post Casualty Loss Basis-office-5</v>
      </c>
      <c r="D119" s="33" t="n">
        <f aca="false">SUM(F119:H119)</f>
        <v>1979.11</v>
      </c>
      <c r="F119" s="33" t="n">
        <f aca="false">Office!D21</f>
        <v>1979.11</v>
      </c>
    </row>
    <row r="120" customFormat="false" ht="15" hidden="false" customHeight="false" outlineLevel="0" collapsed="false">
      <c r="B120" s="5" t="str">
        <f aca="false">Office!B22</f>
        <v>10-Building-Post Casualty Loss Basis-office-</v>
      </c>
      <c r="D120" s="33" t="n">
        <f aca="false">SUM(F120:H120)</f>
        <v>19689.99</v>
      </c>
      <c r="H120" s="33" t="n">
        <f aca="false">Office!D22</f>
        <v>19689.99</v>
      </c>
    </row>
    <row r="121" customFormat="false" ht="15" hidden="false" customHeight="false" outlineLevel="0" collapsed="false">
      <c r="B121" s="5" t="str">
        <f aca="false">Office!B23</f>
        <v>12-New Buildings(16 units)-office-5yr</v>
      </c>
      <c r="D121" s="33" t="n">
        <f aca="false">SUM(F121:H121)</f>
        <v>1061.46</v>
      </c>
      <c r="F121" s="33" t="n">
        <f aca="false">Office!D23</f>
        <v>1061.46</v>
      </c>
    </row>
    <row r="122" customFormat="false" ht="15" hidden="false" customHeight="false" outlineLevel="0" collapsed="false">
      <c r="B122" s="5" t="str">
        <f aca="false">Office!B24</f>
        <v>12-New Buildings(16 units)-office-30yr</v>
      </c>
      <c r="D122" s="33" t="n">
        <f aca="false">SUM(F122:H122)</f>
        <v>10560.36</v>
      </c>
      <c r="H122" s="33" t="n">
        <f aca="false">Office!D24</f>
        <v>10560.36</v>
      </c>
    </row>
    <row r="123" customFormat="false" ht="15" hidden="false" customHeight="false" outlineLevel="0" collapsed="false">
      <c r="B123" s="5" t="str">
        <f aca="false">Office!B25</f>
        <v>14-New Buildings(105 units)-office-5yr</v>
      </c>
      <c r="D123" s="33" t="n">
        <f aca="false">SUM(F123:H123)</f>
        <v>7114.4</v>
      </c>
      <c r="F123" s="33" t="n">
        <f aca="false">Office!D25</f>
        <v>7114.4</v>
      </c>
    </row>
    <row r="124" customFormat="false" ht="15" hidden="false" customHeight="false" outlineLevel="0" collapsed="false">
      <c r="B124" s="5" t="str">
        <f aca="false">Office!B26</f>
        <v>14-New Buildings(105 units)-office-30yr</v>
      </c>
      <c r="D124" s="33" t="n">
        <f aca="false">SUM(F124:H124)</f>
        <v>70780.6</v>
      </c>
      <c r="H124" s="33" t="n">
        <f aca="false">Office!D26</f>
        <v>70780.6</v>
      </c>
    </row>
    <row r="125" customFormat="false" ht="15" hidden="false" customHeight="false" outlineLevel="0" collapsed="false">
      <c r="B125" s="5" t="str">
        <f aca="false">Office!B27</f>
        <v>11-Building Imp-Post-Casulty Loss Basis-offic</v>
      </c>
      <c r="D125" s="33" t="n">
        <f aca="false">SUM(F125:H125)</f>
        <v>49.74</v>
      </c>
      <c r="F125" s="33" t="n">
        <f aca="false">Office!D27</f>
        <v>49.74</v>
      </c>
    </row>
    <row r="126" customFormat="false" ht="15" hidden="false" customHeight="false" outlineLevel="0" collapsed="false">
      <c r="B126" s="5" t="str">
        <f aca="false">Office!B28</f>
        <v>11-Building Imp-Post-Casulty Loss Basis-offic</v>
      </c>
      <c r="D126" s="33" t="n">
        <f aca="false">SUM(F126:H126)</f>
        <v>494.86</v>
      </c>
      <c r="H126" s="33" t="n">
        <f aca="false">Office!D28</f>
        <v>494.86</v>
      </c>
    </row>
    <row r="127" customFormat="false" ht="15" hidden="false" customHeight="false" outlineLevel="0" collapsed="false">
      <c r="B127" s="5" t="str">
        <f aca="false">Office!B29</f>
        <v>2-Land Improvements-office-5yr</v>
      </c>
      <c r="D127" s="33" t="n">
        <f aca="false">SUM(F127:H127)</f>
        <v>270.66</v>
      </c>
      <c r="F127" s="33" t="n">
        <f aca="false">Office!D29</f>
        <v>270.66</v>
      </c>
    </row>
    <row r="128" customFormat="false" ht="15" hidden="false" customHeight="false" outlineLevel="0" collapsed="false">
      <c r="B128" s="5" t="str">
        <f aca="false">Office!B30</f>
        <v>2-Land Improvements-office-30yr</v>
      </c>
      <c r="D128" s="33" t="n">
        <f aca="false">SUM(F128:H128)</f>
        <v>2692.74</v>
      </c>
      <c r="H128" s="33" t="n">
        <f aca="false">Office!D30</f>
        <v>2692.74</v>
      </c>
    </row>
    <row r="129" customFormat="false" ht="15" hidden="false" customHeight="false" outlineLevel="0" collapsed="false">
      <c r="B129" s="5" t="str">
        <f aca="false">Office!B31</f>
        <v>13-New Equipment(16 units)-office-5yr</v>
      </c>
      <c r="D129" s="33" t="n">
        <f aca="false">SUM(F129:H129)</f>
        <v>233</v>
      </c>
      <c r="F129" s="33" t="n">
        <f aca="false">Office!D31</f>
        <v>233</v>
      </c>
    </row>
    <row r="130" customFormat="false" ht="15" hidden="false" customHeight="false" outlineLevel="0" collapsed="false">
      <c r="B130" s="5" t="str">
        <f aca="false">Office!B32</f>
        <v>13-New Equipment(16 units)-office-30yr</v>
      </c>
      <c r="D130" s="33" t="n">
        <f aca="false">SUM(F130:H130)</f>
        <v>2318.13</v>
      </c>
      <c r="H130" s="33" t="n">
        <f aca="false">Office!D32</f>
        <v>2318.13</v>
      </c>
    </row>
    <row r="131" customFormat="false" ht="15" hidden="false" customHeight="false" outlineLevel="0" collapsed="false">
      <c r="B131" s="5" t="str">
        <f aca="false">Office!B33</f>
        <v>15-New Equipment(105 units)-office-5yr</v>
      </c>
      <c r="D131" s="33" t="n">
        <f aca="false">SUM(F131:H131)</f>
        <v>1561.69</v>
      </c>
      <c r="F131" s="33" t="n">
        <f aca="false">Office!D33</f>
        <v>1561.69</v>
      </c>
    </row>
    <row r="132" customFormat="false" ht="15" hidden="false" customHeight="false" outlineLevel="0" collapsed="false">
      <c r="B132" s="5" t="str">
        <f aca="false">Office!B34</f>
        <v>15-New Equipment(105 units)-office-30yr</v>
      </c>
      <c r="D132" s="33" t="n">
        <f aca="false">SUM(F132:H132)</f>
        <v>15537.22</v>
      </c>
      <c r="H132" s="33" t="n">
        <f aca="false">Office!D34</f>
        <v>15537.22</v>
      </c>
    </row>
    <row r="133" customFormat="false" ht="15" hidden="false" customHeight="false" outlineLevel="0" collapsed="false">
      <c r="B133" s="11" t="s">
        <v>442</v>
      </c>
      <c r="D133" s="34" t="n">
        <f aca="false">SUM(D119:D132)</f>
        <v>134343.96</v>
      </c>
      <c r="F133" s="34" t="n">
        <f aca="false">SUM(F119:F132)</f>
        <v>12270.06</v>
      </c>
      <c r="H133" s="34" t="n">
        <f aca="false">SUM(H119:H132)</f>
        <v>122073.9</v>
      </c>
    </row>
    <row r="134" customFormat="false" ht="15" hidden="false" customHeight="false" outlineLevel="0" collapsed="false">
      <c r="B134" s="16" t="s">
        <v>443</v>
      </c>
      <c r="D134" s="17" t="n">
        <f aca="false">D133-D114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2026-07-17T19:11:05Z</dcterms:created>
  <dc:creator>openpyxl</dc:creator>
  <dc:description/>
  <dc:language>en-US</dc:language>
  <cp:lastModifiedBy/>
  <dcterms:modified xsi:type="dcterms:W3CDTF">2026-07-17T19:11:06Z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