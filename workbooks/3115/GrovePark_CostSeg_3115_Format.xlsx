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uilding 1" sheetId="3" state="visible" r:id="rId5"/>
    <sheet name="Building 2" sheetId="4" state="visible" r:id="rId6"/>
    <sheet name="Building 3" sheetId="5" state="visible" r:id="rId7"/>
    <sheet name="Building 4" sheetId="6" state="visible" r:id="rId8"/>
    <sheet name="Building 5" sheetId="7" state="visible" r:id="rId9"/>
    <sheet name="Office" sheetId="8" state="visible" r:id="rId10"/>
    <sheet name="Asset 8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<sst xmlns="http://schemas.openxmlformats.org/spreadsheetml/2006/main" count="732" uniqueCount="149">
  <si>
    <t xml:space="preserve">Grove Park Terrace</t>
  </si>
  <si>
    <t xml:space="preserve">Summary of Cost Seg Adjustments</t>
  </si>
  <si>
    <t xml:space="preserve">As of December 31, 2024  |  EIN: 85-1924921  |  Report #107752-14</t>
  </si>
  <si>
    <t xml:space="preserve">Acq Date</t>
  </si>
  <si>
    <t xml:space="preserve">Asset Description</t>
  </si>
  <si>
    <t xml:space="preserve">Total</t>
  </si>
  <si>
    <t xml:space="preserve">Site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</si>
  <si>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</si>
  <si>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</si>
  <si>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</si>
  <si>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</si>
  <si>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</si>
  <si>
    <t xml:space="preserve">Office</t>
  </si>
  <si>
    <t xml:space="preserve">Asset 8</t>
  </si>
  <si>
    <t xml:space="preserve">Grand Total</t>
  </si>
  <si>
    <t xml:space="preserve">Property Cost Summary</t>
  </si>
  <si>
    <t xml:space="preserve">10/30/20</t>
  </si>
  <si>
    <t xml:space="preserve">Property - Site</t>
  </si>
  <si>
    <t xml:space="preserve">Property - Building 1</t>
  </si>
  <si>
    <t xml:space="preserve">Property - Building 2</t>
  </si>
  <si>
    <t xml:space="preserve">Property - Building 3</t>
  </si>
  <si>
    <t xml:space="preserve">Property - Building 4</t>
  </si>
  <si>
    <t xml:space="preserve">Property - Building 5</t>
  </si>
  <si>
    <t xml:space="preserve">Property - Office</t>
  </si>
  <si>
    <t xml:space="preserve">Property - Asset 8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</si>
  <si>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</si>
  <si>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</si>
  <si>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</si>
  <si>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</si>
  <si>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Site</t>
  </si>
  <si>
    <t xml:space="preserve">Report #107752-14</t>
  </si>
  <si>
    <t xml:space="preserve">Acquisition Date:</t>
  </si>
  <si>
    <t xml:space="preserve">Grove Park Terrace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</si>
  <si>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</si>
  <si>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</si>
  <si>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</si>
  <si>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</si>
  <si>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</si>
  <si>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</si>
  <si>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</si>
  <si>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</si>
  <si>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</si>
  <si>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</si>
  <si>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</si>
  <si>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</si>
  <si>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</si>
  <si>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</si>
  <si>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</si>
  <si>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</si>
  <si>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Fire Hydrants</t>
  </si>
  <si>
    <t xml:space="preserve">Exterior Equipment Concrete Pads</t>
  </si>
  <si>
    <t xml:space="preserve">Mailboxes</t>
  </si>
  <si>
    <t xml:space="preserve">Mailbox Canopy</t>
  </si>
  <si>
    <t xml:space="preserve">Playground</t>
  </si>
  <si>
    <t xml:space="preserve">Basketball Court</t>
  </si>
  <si>
    <t xml:space="preserve">Site Seating</t>
  </si>
  <si>
    <t xml:space="preserve">Site Utilities</t>
  </si>
  <si>
    <t xml:space="preserve">Total Cost</t>
  </si>
  <si>
    <t xml:space="preserve">Asset Allocation:</t>
  </si>
  <si>
    <t xml:space="preserve">Asset #3-Building</t>
  </si>
  <si>
    <t xml:space="preserve">Asset #2-Land Improvements</t>
  </si>
  <si>
    <t xml:space="preserve">Asset #4-Equipment</t>
  </si>
  <si>
    <t xml:space="preserve">Total Allocation: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</si>
  <si>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</si>
  <si>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</si>
  <si>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</si>
  <si>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</si>
  <si>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</si>
  <si>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</si>
  <si>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</si>
  <si>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</si>
  <si>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</si>
  <si>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</si>
  <si>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2-Land Imp-Peter St-Site</t>
  </si>
  <si>
    <t xml:space="preserve">150DB</t>
  </si>
  <si>
    <t xml:space="preserve">3-Building-Peter St-Site</t>
  </si>
  <si>
    <t xml:space="preserve">S/L</t>
  </si>
  <si>
    <t xml:space="preserve">4-Equipment-Peter St-Site</t>
  </si>
  <si>
    <t xml:space="preserve">200DB</t>
  </si>
  <si>
    <t xml:space="preserve">After Cost Segregation Correction</t>
  </si>
  <si>
    <t xml:space="preserve">2-LI-Site-15yr</t>
  </si>
  <si>
    <t xml:space="preserve">2-LI-Site-27.5yr</t>
  </si>
  <si>
    <t xml:space="preserve">3-Bldg-Site-15yr</t>
  </si>
  <si>
    <t xml:space="preserve">3-Bldg-Site-27.5yr</t>
  </si>
  <si>
    <t xml:space="preserve">4-Equip-Site-15yr</t>
  </si>
  <si>
    <t xml:space="preserve">4-Equip-Site-27.5yr</t>
  </si>
  <si>
    <t xml:space="preserve">Depreciation Reported Previously</t>
  </si>
  <si>
    <t xml:space="preserve">Cost Segregation Corrected Depreciation</t>
  </si>
  <si>
    <t xml:space="preserve">Cost Segregation Study - Building 1</t>
  </si>
  <si>
    <t xml:space="preserve">Grove Park Terrace - Building 1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</si>
  <si>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</si>
  <si>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</si>
  <si>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</si>
  <si>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</si>
  <si>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</si>
  <si>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</si>
  <si>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</si>
  <si>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</si>
  <si>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 / Laundry</t>
  </si>
  <si>
    <t xml:space="preserve">Security / Exterior Lighting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</si>
  <si>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</si>
  <si>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</si>
  <si>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</si>
  <si>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</si>
  <si>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</si>
  <si>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</si>
  <si>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</si>
  <si>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</si>
  <si>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</si>
  <si>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</si>
  <si>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</si>
  <si>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</si>
  <si>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</si>
  <si>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</si>
  <si>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</si>
  <si>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</si>
  <si>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</si>
  <si>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</si>
  <si>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Cabinets / Millwork - Restrooms</t>
  </si>
  <si>
    <t xml:space="preserve">2-LI</t>
  </si>
  <si>
    <t xml:space="preserve">3-Bldg</t>
  </si>
  <si>
    <t xml:space="preserve">4-Equip</t>
  </si>
  <si>
    <t xml:space="preserve">2-LI-5yr</t>
  </si>
  <si>
    <t xml:space="preserve">2-LI-27.5yr</t>
  </si>
  <si>
    <t xml:space="preserve">3-Bldg-5yr</t>
  </si>
  <si>
    <t xml:space="preserve">3-Bldg-27.5yr</t>
  </si>
  <si>
    <t xml:space="preserve">4-Equip-5yr</t>
  </si>
  <si>
    <t xml:space="preserve">4-Equip-27.5yr</t>
  </si>
  <si>
    <t xml:space="preserve">Cost Segregation Study - Building 2</t>
  </si>
  <si>
    <t xml:space="preserve">Grove Park Terrace - Building 2</t>
  </si>
  <si>
    <t xml:space="preserve">Cost Segregation Study - Building 3</t>
  </si>
  <si>
    <t xml:space="preserve">Grove Park Terrace - Building 3</t>
  </si>
  <si>
    <t xml:space="preserve">Cost Segregation Study - Building 4</t>
  </si>
  <si>
    <t xml:space="preserve">Grove Park Terrace - Building 4</t>
  </si>
  <si>
    <t xml:space="preserve">Cost Segregation Study - Building 5</t>
  </si>
  <si>
    <t xml:space="preserve">Grove Park Terrace - Building 5</t>
  </si>
  <si>
    <t xml:space="preserve">Cost Segregation Study - Office</t>
  </si>
  <si>
    <t xml:space="preserve">Grove Park Terrace - Office</t>
  </si>
  <si>
    <t xml:space="preserve">Specialty HVAC - Dryer Vents</t>
  </si>
  <si>
    <t xml:space="preserve">Specialty Plumbing - Laundry</t>
  </si>
  <si>
    <t xml:space="preserve">Interior Windows</t>
  </si>
  <si>
    <t xml:space="preserve">Ceramic Tile Flooring</t>
  </si>
  <si>
    <t xml:space="preserve">Cost Segregation Study - Asset 8</t>
  </si>
  <si>
    <t xml:space="preserve">Grove Park Terrace - Asset 8</t>
  </si>
  <si>
    <t xml:space="preserve">Miscellaneous Building Components</t>
  </si>
  <si>
    <t xml:space="preserve">Asset #8-Building Improvement</t>
  </si>
  <si>
    <t xml:space="preserve">8-Building Improvement</t>
  </si>
  <si>
    <t xml:space="preserve">8-Bldg Imp-5yr</t>
  </si>
  <si>
    <t xml:space="preserve">8-Bldg Imp-27.5yr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</si>
</sst>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14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</row>
    <row r="7" customFormat="false" ht="15" hidden="false" customHeight="false" outlineLevel="0" collapsed="false">
      <c r="A7" s="5"/>
      <c r="B7" s="6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customFormat="false" ht="15" hidden="false" customHeight="false" outlineLevel="0" collapsed="false">
      <c r="B8" s="7" t="s">
        <v>16</v>
      </c>
      <c r="C8" s="8" t="s">
        <v>17</v>
      </c>
      <c r="D8" s="9" t="n">
        <v>315110.14</v>
      </c>
      <c r="E8" s="9" t="n">
        <v>218323.1</v>
      </c>
      <c r="G8" s="9" t="n">
        <v>96787.04</v>
      </c>
    </row>
    <row r="9" customFormat="false" ht="15" hidden="false" customHeight="false" outlineLevel="0" collapsed="false">
      <c r="B9" s="7" t="s">
        <v>16</v>
      </c>
      <c r="C9" s="8" t="s">
        <v>18</v>
      </c>
      <c r="D9" s="9" t="n">
        <v>454085.46</v>
      </c>
      <c r="E9" s="9" t="n">
        <v>94192.7</v>
      </c>
      <c r="G9" s="9" t="n">
        <v>359892.76</v>
      </c>
    </row>
    <row r="10" customFormat="false" ht="15" hidden="false" customHeight="false" outlineLevel="0" collapsed="false">
      <c r="B10" s="7" t="s">
        <v>16</v>
      </c>
      <c r="C10" s="8" t="s">
        <v>19</v>
      </c>
      <c r="D10" s="9" t="n">
        <v>418079.19</v>
      </c>
      <c r="E10" s="9" t="n">
        <v>89624.64</v>
      </c>
      <c r="G10" s="9" t="n">
        <v>328454.55</v>
      </c>
    </row>
    <row r="11" customFormat="false" ht="15" hidden="false" customHeight="false" outlineLevel="0" collapsed="false">
      <c r="B11" s="7" t="s">
        <v>16</v>
      </c>
      <c r="C11" s="8" t="s">
        <v>20</v>
      </c>
      <c r="D11" s="9" t="n">
        <v>453971.22</v>
      </c>
      <c r="E11" s="9" t="n">
        <v>92871.68</v>
      </c>
      <c r="G11" s="9" t="n">
        <v>361099.54</v>
      </c>
    </row>
    <row r="12" customFormat="false" ht="15" hidden="false" customHeight="false" outlineLevel="0" collapsed="false">
      <c r="B12" s="7" t="s">
        <v>16</v>
      </c>
      <c r="C12" s="8" t="s">
        <v>21</v>
      </c>
      <c r="D12" s="9" t="n">
        <v>464824.51</v>
      </c>
      <c r="E12" s="9" t="n">
        <v>96701.44</v>
      </c>
      <c r="G12" s="9" t="n">
        <v>368123.07</v>
      </c>
    </row>
    <row r="13" customFormat="false" ht="15" hidden="false" customHeight="false" outlineLevel="0" collapsed="false">
      <c r="B13" s="7" t="s">
        <v>16</v>
      </c>
      <c r="C13" s="8" t="s">
        <v>22</v>
      </c>
      <c r="D13" s="9" t="n">
        <v>473434.84</v>
      </c>
      <c r="E13" s="9" t="n">
        <v>96701.44</v>
      </c>
      <c r="G13" s="9" t="n">
        <v>376733.4</v>
      </c>
    </row>
    <row r="14" customFormat="false" ht="15" hidden="false" customHeight="false" outlineLevel="0" collapsed="false">
      <c r="B14" s="7" t="s">
        <v>16</v>
      </c>
      <c r="C14" s="8" t="s">
        <v>23</v>
      </c>
      <c r="D14" s="9" t="n">
        <v>204539.64</v>
      </c>
      <c r="E14" s="9" t="n">
        <v>32255.22</v>
      </c>
      <c r="G14" s="9" t="n">
        <v>172284.42</v>
      </c>
    </row>
    <row r="15" customFormat="false" ht="15" hidden="false" customHeight="false" outlineLevel="0" collapsed="false">
      <c r="B15" s="7" t="s">
        <v>16</v>
      </c>
      <c r="C15" s="8" t="s">
        <v>24</v>
      </c>
      <c r="D15" s="9" t="n">
        <v>86347</v>
      </c>
      <c r="E15" s="9" t="n">
        <v>23596</v>
      </c>
      <c r="G15" s="9" t="n">
        <v>62751</v>
      </c>
    </row>
    <row r="16" customFormat="false" ht="15" hidden="false" customHeight="false" outlineLevel="0" collapsed="false">
      <c r="A16" s="10"/>
      <c r="B16" s="11" t="s">
        <v>14</v>
      </c>
      <c r="C16" s="10"/>
      <c r="D16" s="12" t="n">
        <f aca="false">SUM(D8:D15)</f>
        <v>2870392</v>
      </c>
      <c r="E16" s="12" t="n">
        <f aca="false">SUM(E8:E15)</f>
        <v>744266.22</v>
      </c>
      <c r="F16" s="12" t="n">
        <f aca="false">SUM(F8:F15)</f>
        <v>0</v>
      </c>
      <c r="G16" s="12" t="n">
        <f aca="false">SUM(G8:G15)</f>
        <v>2126125.78</v>
      </c>
      <c r="H16" s="10"/>
      <c r="I16" s="10"/>
      <c r="J16" s="10"/>
      <c r="K16" s="10"/>
      <c r="L16" s="10"/>
      <c r="M16" s="10"/>
    </row>
    <row r="18" customFormat="false" ht="15" hidden="false" customHeight="false" outlineLevel="0" collapsed="false">
      <c r="A18" s="13"/>
      <c r="B18" s="14" t="s">
        <v>25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customFormat="false" ht="15" hidden="false" customHeight="false" outlineLevel="0" collapsed="false">
      <c r="C19" s="8" t="s">
        <v>26</v>
      </c>
      <c r="D19" s="15" t="n">
        <f aca="false">SUM(E19:L19)</f>
        <v>810043</v>
      </c>
      <c r="E19" s="16" t="n">
        <v>88679.32</v>
      </c>
      <c r="F19" s="16" t="n">
        <v>127790.21</v>
      </c>
      <c r="G19" s="16" t="n">
        <v>117657.22</v>
      </c>
      <c r="H19" s="16" t="n">
        <v>127758.05</v>
      </c>
      <c r="I19" s="16" t="n">
        <v>130812.43</v>
      </c>
      <c r="J19" s="16" t="n">
        <v>133235.56</v>
      </c>
      <c r="K19" s="16" t="n">
        <v>57562.21</v>
      </c>
      <c r="L19" s="16" t="n">
        <v>26548</v>
      </c>
    </row>
    <row r="20" customFormat="false" ht="15" hidden="false" customHeight="false" outlineLevel="0" collapsed="false">
      <c r="C20" s="8" t="s">
        <v>27</v>
      </c>
      <c r="D20" s="15" t="n">
        <f aca="false">SUM(E20:L20)</f>
        <v>1067916.54</v>
      </c>
      <c r="E20" s="16" t="n">
        <v>233134.46</v>
      </c>
      <c r="F20" s="16" t="n">
        <v>149267.2</v>
      </c>
      <c r="G20" s="16" t="n">
        <v>139888.13</v>
      </c>
      <c r="H20" s="16" t="n">
        <v>148130.89</v>
      </c>
      <c r="I20" s="16" t="n">
        <v>153035.45</v>
      </c>
      <c r="J20" s="16" t="n">
        <v>154353.04</v>
      </c>
      <c r="K20" s="16" t="n">
        <v>58619.97</v>
      </c>
      <c r="L20" s="16" t="n">
        <v>31487.4</v>
      </c>
    </row>
    <row r="21" customFormat="false" ht="15" hidden="false" customHeight="false" outlineLevel="0" collapsed="false">
      <c r="C21" s="17" t="s">
        <v>28</v>
      </c>
      <c r="D21" s="18" t="n">
        <f aca="false">SUM(E21:L21)</f>
        <v>257873.54</v>
      </c>
      <c r="E21" s="18" t="n">
        <f aca="false">E20-E19</f>
        <v>144455.14</v>
      </c>
      <c r="F21" s="18" t="n">
        <f aca="false">F20-F19</f>
        <v>21476.99</v>
      </c>
      <c r="G21" s="18" t="n">
        <f aca="false">G20-G19</f>
        <v>22230.91</v>
      </c>
      <c r="H21" s="18" t="n">
        <f aca="false">H20-H19</f>
        <v>20372.84</v>
      </c>
      <c r="I21" s="18" t="n">
        <f aca="false">I20-I19</f>
        <v>22223.02</v>
      </c>
      <c r="J21" s="18" t="n">
        <f aca="false">J20-J19</f>
        <v>21117.48</v>
      </c>
      <c r="K21" s="18" t="n">
        <f aca="false">K20-K19</f>
        <v>1057.76</v>
      </c>
      <c r="L21" s="18" t="n">
        <f aca="false">L20-L19</f>
        <v>4939.4</v>
      </c>
    </row>
  </sheetData>
  <mergeCells count="5">
    <mergeCell ref="A2:M2"/>
    <mergeCell ref="A3:M3"/>
    <mergeCell ref="A4:M4"/>
    <mergeCell ref="B7:M7"/>
    <mergeCell ref="B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31</v>
      </c>
      <c r="C6" s="8" t="s">
        <v>16</v>
      </c>
    </row>
    <row r="8" customFormat="false" ht="15" hidden="false" customHeight="false" outlineLevel="0" collapsed="false">
      <c r="A8" s="21" t="s">
        <v>32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33</v>
      </c>
      <c r="C9" s="23" t="s">
        <v>34</v>
      </c>
      <c r="D9" s="23" t="s">
        <v>35</v>
      </c>
      <c r="E9" s="23" t="s">
        <v>36</v>
      </c>
      <c r="F9" s="23" t="s">
        <v>37</v>
      </c>
      <c r="G9" s="23" t="s">
        <v>38</v>
      </c>
      <c r="H9" s="23" t="s">
        <v>39</v>
      </c>
    </row>
    <row r="10" customFormat="false" ht="15" hidden="false" customHeight="false" outlineLevel="0" collapsed="false">
      <c r="A10" s="5"/>
      <c r="B10" s="6" t="s">
        <v>40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41</v>
      </c>
      <c r="C11" s="16" t="n">
        <v>8837.71</v>
      </c>
      <c r="F11" s="16" t="n">
        <v>8837.71</v>
      </c>
    </row>
    <row r="12" customFormat="false" ht="15" hidden="false" customHeight="false" outlineLevel="0" collapsed="false">
      <c r="B12" s="8" t="s">
        <v>42</v>
      </c>
      <c r="C12" s="16" t="n">
        <v>95451.19</v>
      </c>
      <c r="F12" s="16" t="n">
        <v>95451.19</v>
      </c>
    </row>
    <row r="13" customFormat="false" ht="15" hidden="false" customHeight="false" outlineLevel="0" collapsed="false">
      <c r="B13" s="8" t="s">
        <v>43</v>
      </c>
      <c r="C13" s="16" t="n">
        <v>1321.09</v>
      </c>
      <c r="F13" s="16" t="n">
        <v>1321.09</v>
      </c>
    </row>
    <row r="14" customFormat="false" ht="15" hidden="false" customHeight="false" outlineLevel="0" collapsed="false">
      <c r="B14" s="8" t="s">
        <v>44</v>
      </c>
      <c r="C14" s="16" t="n">
        <v>1952.9</v>
      </c>
      <c r="F14" s="16" t="n">
        <v>1952.9</v>
      </c>
    </row>
    <row r="15" customFormat="false" ht="15" hidden="false" customHeight="false" outlineLevel="0" collapsed="false">
      <c r="B15" s="8" t="s">
        <v>45</v>
      </c>
      <c r="C15" s="16" t="n">
        <v>59245.72</v>
      </c>
      <c r="F15" s="16" t="n">
        <v>59245.72</v>
      </c>
    </row>
    <row r="16" customFormat="false" ht="15" hidden="false" customHeight="false" outlineLevel="0" collapsed="false">
      <c r="B16" s="8" t="s">
        <v>46</v>
      </c>
      <c r="C16" s="16" t="n">
        <v>618.33</v>
      </c>
      <c r="F16" s="16" t="n">
        <v>618.33</v>
      </c>
    </row>
    <row r="17" customFormat="false" ht="15" hidden="false" customHeight="false" outlineLevel="0" collapsed="false">
      <c r="B17" s="8" t="s">
        <v>47</v>
      </c>
      <c r="C17" s="16" t="n">
        <v>12771.52</v>
      </c>
      <c r="F17" s="16" t="n">
        <v>12771.52</v>
      </c>
    </row>
    <row r="18" customFormat="false" ht="15" hidden="false" customHeight="false" outlineLevel="0" collapsed="false">
      <c r="B18" s="8" t="s">
        <v>48</v>
      </c>
      <c r="C18" s="16" t="n">
        <v>15090.04</v>
      </c>
      <c r="F18" s="16" t="n">
        <v>15090.04</v>
      </c>
    </row>
    <row r="19" customFormat="false" ht="15" hidden="false" customHeight="false" outlineLevel="0" collapsed="false">
      <c r="B19" s="8" t="s">
        <v>49</v>
      </c>
      <c r="C19" s="16" t="n">
        <v>2157.03</v>
      </c>
      <c r="F19" s="16" t="n">
        <v>2157.03</v>
      </c>
    </row>
    <row r="20" customFormat="false" ht="15" hidden="false" customHeight="false" outlineLevel="0" collapsed="false">
      <c r="B20" s="8" t="s">
        <v>50</v>
      </c>
      <c r="C20" s="16" t="n">
        <v>4129.23</v>
      </c>
      <c r="F20" s="16" t="n">
        <v>4129.23</v>
      </c>
    </row>
    <row r="21" customFormat="false" ht="15" hidden="false" customHeight="false" outlineLevel="0" collapsed="false">
      <c r="B21" s="8" t="s">
        <v>51</v>
      </c>
      <c r="C21" s="16" t="n">
        <v>5494.17</v>
      </c>
      <c r="F21" s="16" t="n">
        <v>5494.17</v>
      </c>
    </row>
    <row r="22" customFormat="false" ht="15" hidden="false" customHeight="false" outlineLevel="0" collapsed="false">
      <c r="B22" s="8" t="s">
        <v>52</v>
      </c>
      <c r="C22" s="16" t="n">
        <v>1151.63</v>
      </c>
      <c r="F22" s="16" t="n">
        <v>1151.63</v>
      </c>
    </row>
    <row r="23" customFormat="false" ht="15" hidden="false" customHeight="false" outlineLevel="0" collapsed="false">
      <c r="B23" s="8" t="s">
        <v>53</v>
      </c>
      <c r="C23" s="16" t="n">
        <v>6453.82</v>
      </c>
      <c r="F23" s="16" t="n">
        <v>6453.82</v>
      </c>
    </row>
    <row r="24" customFormat="false" ht="15" hidden="false" customHeight="false" outlineLevel="0" collapsed="false">
      <c r="B24" s="8" t="s">
        <v>54</v>
      </c>
      <c r="C24" s="16" t="n">
        <v>3396.28</v>
      </c>
      <c r="F24" s="16" t="n">
        <v>3396.28</v>
      </c>
    </row>
    <row r="25" customFormat="false" ht="15" hidden="false" customHeight="false" outlineLevel="0" collapsed="false">
      <c r="B25" s="8" t="s">
        <v>55</v>
      </c>
      <c r="C25" s="16" t="n">
        <v>252.44</v>
      </c>
      <c r="F25" s="16" t="n">
        <v>252.44</v>
      </c>
    </row>
    <row r="26" customFormat="false" ht="15" hidden="false" customHeight="false" outlineLevel="0" collapsed="false">
      <c r="A26" s="5"/>
      <c r="B26" s="6" t="s">
        <v>56</v>
      </c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B27" s="8" t="s">
        <v>56</v>
      </c>
      <c r="C27" s="16" t="n">
        <v>96787.04</v>
      </c>
      <c r="G27" s="16" t="n">
        <v>96787.04</v>
      </c>
    </row>
    <row r="28" customFormat="false" ht="15" hidden="false" customHeight="false" outlineLevel="0" collapsed="false">
      <c r="A28" s="24"/>
      <c r="B28" s="25" t="s">
        <v>57</v>
      </c>
      <c r="C28" s="26" t="n">
        <f aca="false">SUM(C10:C27)</f>
        <v>315110.14</v>
      </c>
      <c r="D28" s="26" t="n">
        <f aca="false">SUM(D10:D27)</f>
        <v>0</v>
      </c>
      <c r="E28" s="26" t="n">
        <f aca="false">SUM(E10:E27)</f>
        <v>0</v>
      </c>
      <c r="F28" s="26" t="n">
        <f aca="false">SUM(F10:F27)</f>
        <v>218323.1</v>
      </c>
      <c r="G28" s="26" t="n">
        <f aca="false">SUM(G10:G27)</f>
        <v>96787.04</v>
      </c>
      <c r="H28" s="24"/>
    </row>
    <row r="30" customFormat="false" ht="15" hidden="false" customHeight="false" outlineLevel="0" collapsed="false">
      <c r="A30" s="5"/>
      <c r="B30" s="6" t="s">
        <v>58</v>
      </c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B31" s="8" t="s">
        <v>59</v>
      </c>
      <c r="C31" s="16" t="n">
        <v>267346.37</v>
      </c>
      <c r="F31" s="16" t="n">
        <v>185230.12</v>
      </c>
      <c r="G31" s="16" t="n">
        <v>82116.25</v>
      </c>
    </row>
    <row r="32" customFormat="false" ht="15" hidden="false" customHeight="false" outlineLevel="0" collapsed="false">
      <c r="B32" s="8" t="s">
        <v>60</v>
      </c>
      <c r="C32" s="16" t="n">
        <v>27390.6</v>
      </c>
      <c r="F32" s="16" t="n">
        <v>18977.49</v>
      </c>
      <c r="G32" s="16" t="n">
        <v>8413.11</v>
      </c>
    </row>
    <row r="33" customFormat="false" ht="15" hidden="false" customHeight="false" outlineLevel="0" collapsed="false">
      <c r="B33" s="8" t="s">
        <v>61</v>
      </c>
      <c r="C33" s="16" t="n">
        <v>20373.17</v>
      </c>
      <c r="F33" s="16" t="n">
        <v>14115.49</v>
      </c>
      <c r="G33" s="16" t="n">
        <v>6257.68</v>
      </c>
    </row>
    <row r="34" customFormat="false" ht="15" hidden="false" customHeight="false" outlineLevel="0" collapsed="false">
      <c r="A34" s="24"/>
      <c r="B34" s="25" t="s">
        <v>62</v>
      </c>
      <c r="C34" s="26" t="n">
        <f aca="false">SUM(C31:C33)</f>
        <v>315110.14</v>
      </c>
      <c r="D34" s="26" t="n">
        <f aca="false">SUM(D31:D33)</f>
        <v>0</v>
      </c>
      <c r="E34" s="24"/>
      <c r="F34" s="26" t="n">
        <f aca="false">SUM(F31:F33)</f>
        <v>218323.1</v>
      </c>
      <c r="G34" s="26" t="n">
        <f aca="false">SUM(G31:G33)</f>
        <v>96787.04</v>
      </c>
      <c r="H34" s="24"/>
    </row>
    <row r="36" customFormat="false" ht="15" hidden="false" customHeight="false" outlineLevel="0" collapsed="false">
      <c r="A36" s="27" t="s">
        <v>63</v>
      </c>
      <c r="B36" s="27"/>
      <c r="C36" s="27"/>
      <c r="D36" s="27"/>
      <c r="E36" s="27"/>
      <c r="F36" s="27"/>
      <c r="G36" s="27"/>
      <c r="H36" s="27"/>
      <c r="I36" s="27"/>
      <c r="J36" s="27"/>
    </row>
    <row r="37" customFormat="false" ht="15" hidden="false" customHeight="false" outlineLevel="0" collapsed="false">
      <c r="A37" s="28" t="s">
        <v>26</v>
      </c>
      <c r="B37" s="28"/>
      <c r="C37" s="28"/>
      <c r="D37" s="28"/>
      <c r="E37" s="28"/>
      <c r="F37" s="28"/>
      <c r="G37" s="28"/>
      <c r="H37" s="28"/>
      <c r="I37" s="28"/>
      <c r="J37" s="28"/>
    </row>
    <row r="38" customFormat="false" ht="15" hidden="false" customHeight="false" outlineLevel="0" collapsed="false">
      <c r="A38" s="29"/>
      <c r="B38" s="29" t="s">
        <v>64</v>
      </c>
      <c r="C38" s="30" t="s">
        <v>65</v>
      </c>
      <c r="D38" s="30" t="s">
        <v>66</v>
      </c>
      <c r="E38" s="30" t="s">
        <v>67</v>
      </c>
      <c r="F38" s="30" t="s">
        <v>68</v>
      </c>
      <c r="G38" s="30" t="s">
        <v>69</v>
      </c>
      <c r="H38" s="30" t="s">
        <v>70</v>
      </c>
      <c r="I38" s="30" t="s">
        <v>71</v>
      </c>
      <c r="J38" s="30" t="s">
        <v>72</v>
      </c>
    </row>
    <row r="39" customFormat="false" ht="15" hidden="false" customHeight="false" outlineLevel="0" collapsed="false">
      <c r="B39" s="31" t="s">
        <v>73</v>
      </c>
      <c r="C39" s="32" t="n">
        <v>27390.6</v>
      </c>
      <c r="D39" s="32" t="n">
        <v>27390.6</v>
      </c>
      <c r="E39" s="32" t="n">
        <v>27390.6</v>
      </c>
      <c r="F39" s="32" t="n">
        <v>0</v>
      </c>
      <c r="G39" s="32" t="n">
        <v>27390.6</v>
      </c>
      <c r="H39" s="32" t="n">
        <v>0</v>
      </c>
      <c r="I39" s="33" t="s">
        <v>74</v>
      </c>
      <c r="J39" s="34" t="n">
        <v>15</v>
      </c>
    </row>
    <row r="40" customFormat="false" ht="15" hidden="false" customHeight="false" outlineLevel="0" collapsed="false">
      <c r="B40" s="35" t="s">
        <v>75</v>
      </c>
      <c r="C40" s="36" t="n">
        <v>267346.37</v>
      </c>
      <c r="D40" s="36" t="n">
        <v>0</v>
      </c>
      <c r="E40" s="36" t="n">
        <v>31193.81</v>
      </c>
      <c r="F40" s="36" t="n">
        <v>9721.74</v>
      </c>
      <c r="G40" s="36" t="n">
        <v>40915.55</v>
      </c>
      <c r="H40" s="36" t="n">
        <v>226430.82</v>
      </c>
      <c r="I40" s="37" t="s">
        <v>76</v>
      </c>
      <c r="J40" s="38" t="n">
        <v>27.5</v>
      </c>
    </row>
    <row r="41" customFormat="false" ht="15" hidden="false" customHeight="false" outlineLevel="0" collapsed="false">
      <c r="B41" s="31" t="s">
        <v>77</v>
      </c>
      <c r="C41" s="32" t="n">
        <v>20373.17</v>
      </c>
      <c r="D41" s="32" t="n">
        <v>20373.17</v>
      </c>
      <c r="E41" s="32" t="n">
        <v>20373.17</v>
      </c>
      <c r="F41" s="32" t="n">
        <v>0</v>
      </c>
      <c r="G41" s="32" t="n">
        <v>20373.17</v>
      </c>
      <c r="H41" s="32" t="n">
        <v>0</v>
      </c>
      <c r="I41" s="33" t="s">
        <v>78</v>
      </c>
      <c r="J41" s="34" t="n">
        <v>5</v>
      </c>
    </row>
    <row r="42" customFormat="false" ht="15" hidden="false" customHeight="false" outlineLevel="0" collapsed="false">
      <c r="A42" s="10"/>
      <c r="B42" s="11" t="s">
        <v>14</v>
      </c>
      <c r="C42" s="39" t="n">
        <f aca="false">SUM(C39:C41)</f>
        <v>315110.14</v>
      </c>
      <c r="D42" s="39" t="n">
        <f aca="false">SUM(D39:D41)</f>
        <v>47763.77</v>
      </c>
      <c r="E42" s="39" t="n">
        <f aca="false">SUM(E39:E41)</f>
        <v>78957.58</v>
      </c>
      <c r="F42" s="39" t="n">
        <f aca="false">SUM(F39:F41)</f>
        <v>9721.74</v>
      </c>
      <c r="G42" s="39" t="n">
        <f aca="false">SUM(G39:G41)</f>
        <v>88679.32</v>
      </c>
      <c r="H42" s="39" t="n">
        <f aca="false">SUM(H39:H41)</f>
        <v>226430.82</v>
      </c>
      <c r="I42" s="10"/>
      <c r="J42" s="10"/>
    </row>
    <row r="44" customFormat="false" ht="15" hidden="false" customHeight="false" outlineLevel="0" collapsed="false">
      <c r="A44" s="40" t="s">
        <v>79</v>
      </c>
      <c r="B44" s="40"/>
      <c r="C44" s="40"/>
      <c r="D44" s="40"/>
      <c r="E44" s="40"/>
      <c r="F44" s="40"/>
      <c r="G44" s="40"/>
      <c r="H44" s="40"/>
      <c r="I44" s="40"/>
      <c r="J44" s="40"/>
    </row>
    <row r="45" customFormat="false" ht="15" hidden="false" customHeight="false" outlineLevel="0" collapsed="false">
      <c r="A45" s="29"/>
      <c r="B45" s="29" t="s">
        <v>64</v>
      </c>
      <c r="C45" s="30" t="s">
        <v>65</v>
      </c>
      <c r="D45" s="30" t="s">
        <v>66</v>
      </c>
      <c r="E45" s="30" t="s">
        <v>67</v>
      </c>
      <c r="F45" s="30" t="s">
        <v>68</v>
      </c>
      <c r="G45" s="30" t="s">
        <v>69</v>
      </c>
      <c r="H45" s="30" t="s">
        <v>70</v>
      </c>
      <c r="I45" s="30" t="s">
        <v>71</v>
      </c>
      <c r="J45" s="30" t="s">
        <v>72</v>
      </c>
    </row>
    <row r="46" customFormat="false" ht="15" hidden="false" customHeight="false" outlineLevel="0" collapsed="false">
      <c r="B46" s="31" t="s">
        <v>80</v>
      </c>
      <c r="C46" s="32" t="n">
        <v>18977.49</v>
      </c>
      <c r="D46" s="32" t="n">
        <v>18977.49</v>
      </c>
      <c r="E46" s="32" t="n">
        <v>18977.49</v>
      </c>
      <c r="F46" s="32" t="n">
        <v>0</v>
      </c>
      <c r="G46" s="32" t="n">
        <v>18977.49</v>
      </c>
      <c r="H46" s="32" t="n">
        <v>0</v>
      </c>
      <c r="I46" s="33" t="s">
        <v>74</v>
      </c>
      <c r="J46" s="34" t="n">
        <v>15</v>
      </c>
    </row>
    <row r="47" customFormat="false" ht="15" hidden="false" customHeight="false" outlineLevel="0" collapsed="false">
      <c r="B47" s="35" t="s">
        <v>81</v>
      </c>
      <c r="C47" s="36" t="n">
        <v>8413.11</v>
      </c>
      <c r="D47" s="36" t="n">
        <v>0</v>
      </c>
      <c r="E47" s="36" t="n">
        <v>981.53</v>
      </c>
      <c r="F47" s="36" t="n">
        <v>305.93</v>
      </c>
      <c r="G47" s="36" t="n">
        <v>1287.46</v>
      </c>
      <c r="H47" s="36" t="n">
        <v>7125.65</v>
      </c>
      <c r="I47" s="37" t="s">
        <v>76</v>
      </c>
      <c r="J47" s="38" t="n">
        <v>27.5</v>
      </c>
    </row>
    <row r="48" customFormat="false" ht="15" hidden="false" customHeight="false" outlineLevel="0" collapsed="false">
      <c r="B48" s="31" t="s">
        <v>82</v>
      </c>
      <c r="C48" s="32" t="n">
        <v>185230.12</v>
      </c>
      <c r="D48" s="32" t="n">
        <v>185230.12</v>
      </c>
      <c r="E48" s="32" t="n">
        <v>185230.12</v>
      </c>
      <c r="F48" s="32" t="n">
        <v>0</v>
      </c>
      <c r="G48" s="32" t="n">
        <v>185230.12</v>
      </c>
      <c r="H48" s="32" t="n">
        <v>0</v>
      </c>
      <c r="I48" s="33" t="s">
        <v>74</v>
      </c>
      <c r="J48" s="34" t="n">
        <v>15</v>
      </c>
    </row>
    <row r="49" customFormat="false" ht="15" hidden="false" customHeight="false" outlineLevel="0" collapsed="false">
      <c r="B49" s="35" t="s">
        <v>83</v>
      </c>
      <c r="C49" s="36" t="n">
        <v>82116.25</v>
      </c>
      <c r="D49" s="36" t="n">
        <v>0</v>
      </c>
      <c r="E49" s="36" t="n">
        <v>9580.24</v>
      </c>
      <c r="F49" s="36" t="n">
        <v>2986.05</v>
      </c>
      <c r="G49" s="36" t="n">
        <v>12566.29</v>
      </c>
      <c r="H49" s="36" t="n">
        <v>69549.96</v>
      </c>
      <c r="I49" s="37" t="s">
        <v>76</v>
      </c>
      <c r="J49" s="38" t="n">
        <v>27.5</v>
      </c>
    </row>
    <row r="50" customFormat="false" ht="15" hidden="false" customHeight="false" outlineLevel="0" collapsed="false">
      <c r="B50" s="31" t="s">
        <v>84</v>
      </c>
      <c r="C50" s="32" t="n">
        <v>14115.49</v>
      </c>
      <c r="D50" s="32" t="n">
        <v>14115.49</v>
      </c>
      <c r="E50" s="32" t="n">
        <v>14115.49</v>
      </c>
      <c r="F50" s="32" t="n">
        <v>0</v>
      </c>
      <c r="G50" s="32" t="n">
        <v>14115.49</v>
      </c>
      <c r="H50" s="32" t="n">
        <v>0</v>
      </c>
      <c r="I50" s="33" t="s">
        <v>74</v>
      </c>
      <c r="J50" s="34" t="n">
        <v>15</v>
      </c>
    </row>
    <row r="51" customFormat="false" ht="15" hidden="false" customHeight="false" outlineLevel="0" collapsed="false">
      <c r="B51" s="35" t="s">
        <v>85</v>
      </c>
      <c r="C51" s="36" t="n">
        <v>6257.68</v>
      </c>
      <c r="D51" s="36" t="n">
        <v>0</v>
      </c>
      <c r="E51" s="36" t="n">
        <v>730.06</v>
      </c>
      <c r="F51" s="36" t="n">
        <v>227.55</v>
      </c>
      <c r="G51" s="36" t="n">
        <v>957.61</v>
      </c>
      <c r="H51" s="36" t="n">
        <v>5300.07</v>
      </c>
      <c r="I51" s="37" t="s">
        <v>76</v>
      </c>
      <c r="J51" s="38" t="n">
        <v>27.5</v>
      </c>
    </row>
    <row r="52" customFormat="false" ht="15" hidden="false" customHeight="false" outlineLevel="0" collapsed="false">
      <c r="A52" s="10"/>
      <c r="B52" s="11" t="s">
        <v>14</v>
      </c>
      <c r="C52" s="39" t="n">
        <f aca="false">SUM(C46:C51)</f>
        <v>315110.14</v>
      </c>
      <c r="D52" s="39" t="n">
        <f aca="false">SUM(D46:D51)</f>
        <v>218323.1</v>
      </c>
      <c r="E52" s="39" t="n">
        <f aca="false">SUM(E46:E51)</f>
        <v>229614.93</v>
      </c>
      <c r="F52" s="39" t="n">
        <f aca="false">SUM(F46:F51)</f>
        <v>3519.53</v>
      </c>
      <c r="G52" s="39" t="n">
        <f aca="false">SUM(G46:G51)</f>
        <v>233134.46</v>
      </c>
      <c r="H52" s="39" t="n">
        <f aca="false">SUM(H46:H51)</f>
        <v>81975.68</v>
      </c>
      <c r="I52" s="10"/>
      <c r="J52" s="10"/>
    </row>
    <row r="54" customFormat="false" ht="15" hidden="false" customHeight="false" outlineLevel="0" collapsed="false">
      <c r="A54" s="27" t="s">
        <v>28</v>
      </c>
      <c r="B54" s="27"/>
      <c r="C54" s="27"/>
      <c r="D54" s="27"/>
      <c r="E54" s="27"/>
    </row>
    <row r="55" customFormat="false" ht="15" hidden="false" customHeight="false" outlineLevel="0" collapsed="false">
      <c r="B55" s="8" t="s">
        <v>86</v>
      </c>
      <c r="C55" s="41" t="n">
        <f aca="false">G42</f>
        <v>88679.32</v>
      </c>
    </row>
    <row r="56" customFormat="false" ht="15" hidden="false" customHeight="false" outlineLevel="0" collapsed="false">
      <c r="B56" s="8" t="s">
        <v>87</v>
      </c>
      <c r="C56" s="41" t="n">
        <f aca="false">G52</f>
        <v>233134.46</v>
      </c>
    </row>
    <row r="57" customFormat="false" ht="15" hidden="false" customHeight="false" outlineLevel="0" collapsed="false">
      <c r="B57" s="17" t="s">
        <v>28</v>
      </c>
      <c r="C57" s="42" t="n">
        <f aca="false">C56-C55</f>
        <v>144455.14</v>
      </c>
    </row>
  </sheetData>
  <mergeCells count="11">
    <mergeCell ref="A2:J2"/>
    <mergeCell ref="A3:J3"/>
    <mergeCell ref="A4:J4"/>
    <mergeCell ref="A8:J8"/>
    <mergeCell ref="B10:J10"/>
    <mergeCell ref="B26:J26"/>
    <mergeCell ref="B30:J30"/>
    <mergeCell ref="A36:J36"/>
    <mergeCell ref="A37:J37"/>
    <mergeCell ref="A44:J44"/>
    <mergeCell ref="A54:E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88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31</v>
      </c>
      <c r="C6" s="8" t="s">
        <v>16</v>
      </c>
    </row>
    <row r="8" customFormat="false" ht="15" hidden="false" customHeight="false" outlineLevel="0" collapsed="false">
      <c r="A8" s="21" t="s">
        <v>89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33</v>
      </c>
      <c r="C9" s="23" t="s">
        <v>34</v>
      </c>
      <c r="D9" s="23" t="s">
        <v>35</v>
      </c>
      <c r="E9" s="23" t="s">
        <v>36</v>
      </c>
      <c r="F9" s="23" t="s">
        <v>37</v>
      </c>
      <c r="G9" s="23" t="s">
        <v>38</v>
      </c>
      <c r="H9" s="23" t="s">
        <v>39</v>
      </c>
    </row>
    <row r="10" customFormat="false" ht="15" hidden="false" customHeight="false" outlineLevel="0" collapsed="false">
      <c r="A10" s="5"/>
      <c r="B10" s="6" t="s">
        <v>90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91</v>
      </c>
      <c r="C11" s="16" t="n">
        <v>13460.19</v>
      </c>
      <c r="D11" s="16" t="n">
        <v>13460.19</v>
      </c>
    </row>
    <row r="12" customFormat="false" ht="15" hidden="false" customHeight="false" outlineLevel="0" collapsed="false">
      <c r="B12" s="8" t="s">
        <v>92</v>
      </c>
      <c r="C12" s="16" t="n">
        <v>8863.88</v>
      </c>
      <c r="D12" s="16" t="n">
        <v>8863.88</v>
      </c>
    </row>
    <row r="13" customFormat="false" ht="15" hidden="false" customHeight="false" outlineLevel="0" collapsed="false">
      <c r="B13" s="8" t="s">
        <v>93</v>
      </c>
      <c r="C13" s="16" t="n">
        <v>33857.28</v>
      </c>
      <c r="D13" s="16" t="n">
        <v>33857.28</v>
      </c>
    </row>
    <row r="14" customFormat="false" ht="15" hidden="false" customHeight="false" outlineLevel="0" collapsed="false">
      <c r="B14" s="8" t="s">
        <v>94</v>
      </c>
      <c r="C14" s="16" t="n">
        <v>3263.85</v>
      </c>
      <c r="D14" s="16" t="n">
        <v>3263.85</v>
      </c>
    </row>
    <row r="15" customFormat="false" ht="15" hidden="false" customHeight="false" outlineLevel="0" collapsed="false">
      <c r="B15" s="8" t="s">
        <v>95</v>
      </c>
      <c r="C15" s="16" t="n">
        <v>199.25</v>
      </c>
      <c r="D15" s="16" t="n">
        <v>199.25</v>
      </c>
    </row>
    <row r="16" customFormat="false" ht="15" hidden="false" customHeight="false" outlineLevel="0" collapsed="false">
      <c r="B16" s="8" t="s">
        <v>96</v>
      </c>
      <c r="C16" s="16" t="n">
        <v>7199.04</v>
      </c>
      <c r="D16" s="16" t="n">
        <v>7199.04</v>
      </c>
    </row>
    <row r="17" customFormat="false" ht="15" hidden="false" customHeight="false" outlineLevel="0" collapsed="false">
      <c r="B17" s="8" t="s">
        <v>97</v>
      </c>
      <c r="C17" s="16" t="n">
        <v>2957.54</v>
      </c>
      <c r="D17" s="16" t="n">
        <v>2957.54</v>
      </c>
    </row>
    <row r="18" customFormat="false" ht="15" hidden="false" customHeight="false" outlineLevel="0" collapsed="false">
      <c r="B18" s="8" t="s">
        <v>98</v>
      </c>
      <c r="C18" s="16" t="n">
        <v>10047.72</v>
      </c>
      <c r="D18" s="16" t="n">
        <v>10047.72</v>
      </c>
    </row>
    <row r="19" customFormat="false" ht="15" hidden="false" customHeight="false" outlineLevel="0" collapsed="false">
      <c r="B19" s="8" t="s">
        <v>99</v>
      </c>
      <c r="C19" s="16" t="n">
        <v>1797.27</v>
      </c>
      <c r="D19" s="16" t="n">
        <v>1797.27</v>
      </c>
    </row>
    <row r="20" customFormat="false" ht="15" hidden="false" customHeight="false" outlineLevel="0" collapsed="false">
      <c r="B20" s="8" t="s">
        <v>100</v>
      </c>
      <c r="C20" s="16" t="n">
        <v>12546.68</v>
      </c>
      <c r="D20" s="16" t="n">
        <v>12546.68</v>
      </c>
    </row>
    <row r="21" customFormat="false" ht="15" hidden="false" customHeight="false" outlineLevel="0" collapsed="false">
      <c r="A21" s="5"/>
      <c r="B21" s="6" t="s">
        <v>101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102</v>
      </c>
      <c r="C22" s="16" t="n">
        <v>13938.65</v>
      </c>
      <c r="G22" s="16" t="n">
        <v>13938.65</v>
      </c>
    </row>
    <row r="23" customFormat="false" ht="15" hidden="false" customHeight="false" outlineLevel="0" collapsed="false">
      <c r="B23" s="8" t="s">
        <v>103</v>
      </c>
      <c r="C23" s="16" t="n">
        <v>23175.05</v>
      </c>
      <c r="G23" s="16" t="n">
        <v>23175.05</v>
      </c>
    </row>
    <row r="24" customFormat="false" ht="15" hidden="false" customHeight="false" outlineLevel="0" collapsed="false">
      <c r="B24" s="8" t="s">
        <v>104</v>
      </c>
      <c r="C24" s="16" t="n">
        <v>33234.48</v>
      </c>
      <c r="G24" s="16" t="n">
        <v>33234.48</v>
      </c>
    </row>
    <row r="25" customFormat="false" ht="15" hidden="false" customHeight="false" outlineLevel="0" collapsed="false">
      <c r="B25" s="8" t="s">
        <v>105</v>
      </c>
      <c r="C25" s="16" t="n">
        <v>35980.1</v>
      </c>
      <c r="G25" s="16" t="n">
        <v>35980.1</v>
      </c>
    </row>
    <row r="26" customFormat="false" ht="15" hidden="false" customHeight="false" outlineLevel="0" collapsed="false">
      <c r="B26" s="8" t="s">
        <v>106</v>
      </c>
      <c r="C26" s="16" t="n">
        <v>28890.57</v>
      </c>
      <c r="G26" s="16" t="n">
        <v>28890.57</v>
      </c>
    </row>
    <row r="27" customFormat="false" ht="15" hidden="false" customHeight="false" outlineLevel="0" collapsed="false">
      <c r="B27" s="8" t="s">
        <v>107</v>
      </c>
      <c r="C27" s="16" t="n">
        <v>1919.47</v>
      </c>
      <c r="G27" s="16" t="n">
        <v>1919.47</v>
      </c>
    </row>
    <row r="28" customFormat="false" ht="15" hidden="false" customHeight="false" outlineLevel="0" collapsed="false">
      <c r="B28" s="8" t="s">
        <v>108</v>
      </c>
      <c r="C28" s="16" t="n">
        <v>37996.75</v>
      </c>
      <c r="G28" s="16" t="n">
        <v>37996.75</v>
      </c>
    </row>
    <row r="29" customFormat="false" ht="15" hidden="false" customHeight="false" outlineLevel="0" collapsed="false">
      <c r="B29" s="8" t="s">
        <v>109</v>
      </c>
      <c r="C29" s="16" t="n">
        <v>27657.11</v>
      </c>
      <c r="G29" s="16" t="n">
        <v>27657.11</v>
      </c>
    </row>
    <row r="30" customFormat="false" ht="15" hidden="false" customHeight="false" outlineLevel="0" collapsed="false">
      <c r="B30" s="8" t="s">
        <v>110</v>
      </c>
      <c r="C30" s="16" t="n">
        <v>23044.39</v>
      </c>
      <c r="G30" s="16" t="n">
        <v>23044.39</v>
      </c>
    </row>
    <row r="31" customFormat="false" ht="15" hidden="false" customHeight="false" outlineLevel="0" collapsed="false">
      <c r="B31" s="8" t="s">
        <v>111</v>
      </c>
      <c r="C31" s="16" t="n">
        <v>22614.03</v>
      </c>
      <c r="G31" s="16" t="n">
        <v>22614.03</v>
      </c>
    </row>
    <row r="32" customFormat="false" ht="15" hidden="false" customHeight="false" outlineLevel="0" collapsed="false">
      <c r="B32" s="8" t="s">
        <v>112</v>
      </c>
      <c r="C32" s="16" t="n">
        <v>50011.49</v>
      </c>
      <c r="G32" s="16" t="n">
        <v>50011.49</v>
      </c>
    </row>
    <row r="33" customFormat="false" ht="15" hidden="false" customHeight="false" outlineLevel="0" collapsed="false">
      <c r="B33" s="8" t="s">
        <v>113</v>
      </c>
      <c r="C33" s="16" t="n">
        <v>21741.87</v>
      </c>
      <c r="G33" s="16" t="n">
        <v>21741.87</v>
      </c>
    </row>
    <row r="34" customFormat="false" ht="15" hidden="false" customHeight="false" outlineLevel="0" collapsed="false">
      <c r="B34" s="8" t="s">
        <v>114</v>
      </c>
      <c r="C34" s="16" t="n">
        <v>2242.84</v>
      </c>
      <c r="G34" s="16" t="n">
        <v>2242.84</v>
      </c>
    </row>
    <row r="35" customFormat="false" ht="15" hidden="false" customHeight="false" outlineLevel="0" collapsed="false">
      <c r="B35" s="8" t="s">
        <v>115</v>
      </c>
      <c r="C35" s="16" t="n">
        <v>53406.11</v>
      </c>
      <c r="G35" s="16" t="n">
        <v>53406.11</v>
      </c>
    </row>
    <row r="36" customFormat="false" ht="15" hidden="false" customHeight="false" outlineLevel="0" collapsed="false">
      <c r="B36" s="8" t="s">
        <v>116</v>
      </c>
      <c r="C36" s="16" t="n">
        <v>10699.22</v>
      </c>
      <c r="G36" s="16" t="n">
        <v>10699.22</v>
      </c>
    </row>
    <row r="37" customFormat="false" ht="15" hidden="false" customHeight="false" outlineLevel="0" collapsed="false">
      <c r="B37" s="8" t="s">
        <v>117</v>
      </c>
      <c r="C37" s="16" t="n">
        <v>4753.99</v>
      </c>
      <c r="G37" s="16" t="n">
        <v>4753.99</v>
      </c>
    </row>
    <row r="38" customFormat="false" ht="15" hidden="false" customHeight="false" outlineLevel="0" collapsed="false">
      <c r="B38" s="8" t="s">
        <v>118</v>
      </c>
      <c r="C38" s="16" t="n">
        <v>3733.44</v>
      </c>
      <c r="G38" s="16" t="n">
        <v>3733.44</v>
      </c>
    </row>
    <row r="39" customFormat="false" ht="15" hidden="false" customHeight="false" outlineLevel="0" collapsed="false">
      <c r="A39" s="24"/>
      <c r="B39" s="25" t="s">
        <v>57</v>
      </c>
      <c r="C39" s="26" t="n">
        <f aca="false">SUM(C10:C38)</f>
        <v>489232.26</v>
      </c>
      <c r="D39" s="26" t="n">
        <f aca="false">SUM(D10:D38)</f>
        <v>94192.7</v>
      </c>
      <c r="E39" s="26" t="n">
        <f aca="false">SUM(E10:E38)</f>
        <v>0</v>
      </c>
      <c r="F39" s="26" t="n">
        <f aca="false">SUM(F10:F38)</f>
        <v>0</v>
      </c>
      <c r="G39" s="26" t="n">
        <f aca="false">SUM(G10:G38)</f>
        <v>395039.56</v>
      </c>
      <c r="H39" s="24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6" t="n">
        <v>385256.09</v>
      </c>
      <c r="D42" s="16" t="n">
        <v>79915.16</v>
      </c>
      <c r="G42" s="16" t="n">
        <v>305340.93</v>
      </c>
    </row>
    <row r="43" customFormat="false" ht="15" hidden="false" customHeight="false" outlineLevel="0" collapsed="false">
      <c r="B43" s="8" t="s">
        <v>60</v>
      </c>
      <c r="C43" s="16" t="n">
        <v>39470.87</v>
      </c>
      <c r="D43" s="16" t="n">
        <v>8187.59</v>
      </c>
      <c r="G43" s="16" t="n">
        <v>31283.28</v>
      </c>
    </row>
    <row r="44" customFormat="false" ht="15" hidden="false" customHeight="false" outlineLevel="0" collapsed="false">
      <c r="B44" s="8" t="s">
        <v>61</v>
      </c>
      <c r="C44" s="16" t="n">
        <v>29358.5</v>
      </c>
      <c r="D44" s="16" t="n">
        <v>6089.95</v>
      </c>
      <c r="G44" s="16" t="n">
        <v>23268.55</v>
      </c>
    </row>
    <row r="45" customFormat="false" ht="15" hidden="false" customHeight="false" outlineLevel="0" collapsed="false">
      <c r="A45" s="24"/>
      <c r="B45" s="25" t="s">
        <v>62</v>
      </c>
      <c r="C45" s="26" t="n">
        <f aca="false">SUM(C42:C44)</f>
        <v>454085.46</v>
      </c>
      <c r="D45" s="26" t="n">
        <f aca="false">SUM(D42:D44)</f>
        <v>94192.7</v>
      </c>
      <c r="E45" s="24"/>
      <c r="F45" s="26" t="n">
        <f aca="false">SUM(F42:F44)</f>
        <v>0</v>
      </c>
      <c r="G45" s="26" t="n">
        <f aca="false">SUM(G42:G44)</f>
        <v>359892.76</v>
      </c>
      <c r="H45" s="24"/>
    </row>
    <row r="47" customFormat="false" ht="15" hidden="false" customHeight="false" outlineLevel="0" collapsed="false">
      <c r="A47" s="27" t="s">
        <v>63</v>
      </c>
      <c r="B47" s="27"/>
      <c r="C47" s="27"/>
      <c r="D47" s="27"/>
      <c r="E47" s="27"/>
      <c r="F47" s="27"/>
      <c r="G47" s="27"/>
      <c r="H47" s="27"/>
      <c r="I47" s="27"/>
      <c r="J47" s="27"/>
    </row>
    <row r="48" customFormat="false" ht="15" hidden="false" customHeight="false" outlineLevel="0" collapsed="false">
      <c r="A48" s="28" t="s">
        <v>26</v>
      </c>
      <c r="B48" s="28"/>
      <c r="C48" s="28"/>
      <c r="D48" s="28"/>
      <c r="E48" s="28"/>
      <c r="F48" s="28"/>
      <c r="G48" s="28"/>
      <c r="H48" s="28"/>
      <c r="I48" s="28"/>
      <c r="J48" s="28"/>
    </row>
    <row r="49" customFormat="false" ht="15" hidden="false" customHeight="false" outlineLevel="0" collapsed="false">
      <c r="A49" s="29"/>
      <c r="B49" s="29" t="s">
        <v>64</v>
      </c>
      <c r="C49" s="30" t="s">
        <v>65</v>
      </c>
      <c r="D49" s="30" t="s">
        <v>66</v>
      </c>
      <c r="E49" s="30" t="s">
        <v>67</v>
      </c>
      <c r="F49" s="30" t="s">
        <v>68</v>
      </c>
      <c r="G49" s="30" t="s">
        <v>69</v>
      </c>
      <c r="H49" s="30" t="s">
        <v>70</v>
      </c>
      <c r="I49" s="30" t="s">
        <v>71</v>
      </c>
      <c r="J49" s="30" t="s">
        <v>72</v>
      </c>
    </row>
    <row r="50" customFormat="false" ht="15" hidden="false" customHeight="false" outlineLevel="0" collapsed="false">
      <c r="B50" s="31" t="s">
        <v>119</v>
      </c>
      <c r="C50" s="32" t="n">
        <v>39470.87</v>
      </c>
      <c r="D50" s="32" t="n">
        <v>39470.87</v>
      </c>
      <c r="E50" s="32" t="n">
        <v>39470.87</v>
      </c>
      <c r="F50" s="32" t="n">
        <v>0</v>
      </c>
      <c r="G50" s="32" t="n">
        <v>39470.87</v>
      </c>
      <c r="H50" s="32" t="n">
        <v>0</v>
      </c>
      <c r="I50" s="33" t="s">
        <v>74</v>
      </c>
      <c r="J50" s="34" t="n">
        <v>15</v>
      </c>
    </row>
    <row r="51" customFormat="false" ht="15" hidden="false" customHeight="false" outlineLevel="0" collapsed="false">
      <c r="B51" s="35" t="s">
        <v>120</v>
      </c>
      <c r="C51" s="36" t="n">
        <v>385256.09</v>
      </c>
      <c r="D51" s="36" t="n">
        <v>0</v>
      </c>
      <c r="E51" s="36" t="n">
        <v>44951.45</v>
      </c>
      <c r="F51" s="36" t="n">
        <v>14009.39</v>
      </c>
      <c r="G51" s="36" t="n">
        <v>58960.84</v>
      </c>
      <c r="H51" s="36" t="n">
        <v>326295.25</v>
      </c>
      <c r="I51" s="37" t="s">
        <v>76</v>
      </c>
      <c r="J51" s="38" t="n">
        <v>27.5</v>
      </c>
    </row>
    <row r="52" customFormat="false" ht="15" hidden="false" customHeight="false" outlineLevel="0" collapsed="false">
      <c r="B52" s="31" t="s">
        <v>121</v>
      </c>
      <c r="C52" s="32" t="n">
        <v>29358.5</v>
      </c>
      <c r="D52" s="32" t="n">
        <v>29358.5</v>
      </c>
      <c r="E52" s="32" t="n">
        <v>29358.5</v>
      </c>
      <c r="F52" s="32" t="n">
        <v>0</v>
      </c>
      <c r="G52" s="32" t="n">
        <v>29358.5</v>
      </c>
      <c r="H52" s="32" t="n">
        <v>0</v>
      </c>
      <c r="I52" s="33" t="s">
        <v>78</v>
      </c>
      <c r="J52" s="34" t="n">
        <v>5</v>
      </c>
    </row>
    <row r="53" customFormat="false" ht="15" hidden="false" customHeight="false" outlineLevel="0" collapsed="false">
      <c r="A53" s="10"/>
      <c r="B53" s="11" t="s">
        <v>14</v>
      </c>
      <c r="C53" s="39" t="n">
        <f aca="false">SUM(C50:C52)</f>
        <v>454085.46</v>
      </c>
      <c r="D53" s="39" t="n">
        <f aca="false">SUM(D50:D52)</f>
        <v>68829.37</v>
      </c>
      <c r="E53" s="39" t="n">
        <f aca="false">SUM(E50:E52)</f>
        <v>113780.82</v>
      </c>
      <c r="F53" s="39" t="n">
        <f aca="false">SUM(F50:F52)</f>
        <v>14009.39</v>
      </c>
      <c r="G53" s="39" t="n">
        <f aca="false">SUM(G50:G52)</f>
        <v>127790.21</v>
      </c>
      <c r="H53" s="39" t="n">
        <f aca="false">SUM(H50:H52)</f>
        <v>326295.25</v>
      </c>
      <c r="I53" s="10"/>
      <c r="J53" s="10"/>
    </row>
    <row r="55" customFormat="false" ht="15" hidden="false" customHeight="false" outlineLevel="0" collapsed="false">
      <c r="A55" s="40" t="s">
        <v>79</v>
      </c>
      <c r="B55" s="40"/>
      <c r="C55" s="40"/>
      <c r="D55" s="40"/>
      <c r="E55" s="40"/>
      <c r="F55" s="40"/>
      <c r="G55" s="40"/>
      <c r="H55" s="40"/>
      <c r="I55" s="40"/>
      <c r="J55" s="40"/>
    </row>
    <row r="56" customFormat="false" ht="15" hidden="false" customHeight="false" outlineLevel="0" collapsed="false">
      <c r="A56" s="29"/>
      <c r="B56" s="29" t="s">
        <v>64</v>
      </c>
      <c r="C56" s="30" t="s">
        <v>65</v>
      </c>
      <c r="D56" s="30" t="s">
        <v>66</v>
      </c>
      <c r="E56" s="30" t="s">
        <v>67</v>
      </c>
      <c r="F56" s="30" t="s">
        <v>68</v>
      </c>
      <c r="G56" s="30" t="s">
        <v>69</v>
      </c>
      <c r="H56" s="30" t="s">
        <v>70</v>
      </c>
      <c r="I56" s="30" t="s">
        <v>71</v>
      </c>
      <c r="J56" s="30" t="s">
        <v>72</v>
      </c>
    </row>
    <row r="57" customFormat="false" ht="15" hidden="false" customHeight="false" outlineLevel="0" collapsed="false">
      <c r="B57" s="31" t="s">
        <v>122</v>
      </c>
      <c r="C57" s="32" t="n">
        <v>8187.59</v>
      </c>
      <c r="D57" s="32" t="n">
        <v>8187.59</v>
      </c>
      <c r="E57" s="32" t="n">
        <v>8187.59</v>
      </c>
      <c r="F57" s="32" t="n">
        <v>0</v>
      </c>
      <c r="G57" s="32" t="n">
        <v>8187.59</v>
      </c>
      <c r="H57" s="32" t="n">
        <v>0</v>
      </c>
      <c r="I57" s="33" t="s">
        <v>78</v>
      </c>
      <c r="J57" s="34" t="n">
        <v>5</v>
      </c>
    </row>
    <row r="58" customFormat="false" ht="15" hidden="false" customHeight="false" outlineLevel="0" collapsed="false">
      <c r="B58" s="35" t="s">
        <v>123</v>
      </c>
      <c r="C58" s="36" t="n">
        <v>31283.28</v>
      </c>
      <c r="D58" s="36" t="n">
        <v>0</v>
      </c>
      <c r="E58" s="36" t="n">
        <v>3649.7</v>
      </c>
      <c r="F58" s="36" t="n">
        <v>1137.57</v>
      </c>
      <c r="G58" s="36" t="n">
        <v>4787.27</v>
      </c>
      <c r="H58" s="36" t="n">
        <v>26496.01</v>
      </c>
      <c r="I58" s="37" t="s">
        <v>76</v>
      </c>
      <c r="J58" s="38" t="n">
        <v>27.5</v>
      </c>
    </row>
    <row r="59" customFormat="false" ht="15" hidden="false" customHeight="false" outlineLevel="0" collapsed="false">
      <c r="B59" s="31" t="s">
        <v>124</v>
      </c>
      <c r="C59" s="32" t="n">
        <v>79915.16</v>
      </c>
      <c r="D59" s="32" t="n">
        <v>79915.16</v>
      </c>
      <c r="E59" s="32" t="n">
        <v>79915.16</v>
      </c>
      <c r="F59" s="32" t="n">
        <v>0</v>
      </c>
      <c r="G59" s="32" t="n">
        <v>79915.16</v>
      </c>
      <c r="H59" s="32" t="n">
        <v>0</v>
      </c>
      <c r="I59" s="33" t="s">
        <v>78</v>
      </c>
      <c r="J59" s="34" t="n">
        <v>5</v>
      </c>
    </row>
    <row r="60" customFormat="false" ht="15" hidden="false" customHeight="false" outlineLevel="0" collapsed="false">
      <c r="B60" s="35" t="s">
        <v>125</v>
      </c>
      <c r="C60" s="36" t="n">
        <v>305340.93</v>
      </c>
      <c r="D60" s="36" t="n">
        <v>0</v>
      </c>
      <c r="E60" s="36" t="n">
        <v>35623.12</v>
      </c>
      <c r="F60" s="36" t="n">
        <v>11103.31</v>
      </c>
      <c r="G60" s="36" t="n">
        <v>46726.43</v>
      </c>
      <c r="H60" s="36" t="n">
        <v>258614.5</v>
      </c>
      <c r="I60" s="37" t="s">
        <v>76</v>
      </c>
      <c r="J60" s="38" t="n">
        <v>27.5</v>
      </c>
    </row>
    <row r="61" customFormat="false" ht="15" hidden="false" customHeight="false" outlineLevel="0" collapsed="false">
      <c r="B61" s="31" t="s">
        <v>126</v>
      </c>
      <c r="C61" s="32" t="n">
        <v>6089.95</v>
      </c>
      <c r="D61" s="32" t="n">
        <v>6089.95</v>
      </c>
      <c r="E61" s="32" t="n">
        <v>6089.95</v>
      </c>
      <c r="F61" s="32" t="n">
        <v>0</v>
      </c>
      <c r="G61" s="32" t="n">
        <v>6089.95</v>
      </c>
      <c r="H61" s="32" t="n">
        <v>0</v>
      </c>
      <c r="I61" s="33" t="s">
        <v>78</v>
      </c>
      <c r="J61" s="34" t="n">
        <v>5</v>
      </c>
    </row>
    <row r="62" customFormat="false" ht="15" hidden="false" customHeight="false" outlineLevel="0" collapsed="false">
      <c r="B62" s="35" t="s">
        <v>127</v>
      </c>
      <c r="C62" s="36" t="n">
        <v>23268.55</v>
      </c>
      <c r="D62" s="36" t="n">
        <v>0</v>
      </c>
      <c r="E62" s="36" t="n">
        <v>2714.67</v>
      </c>
      <c r="F62" s="36" t="n">
        <v>846.13</v>
      </c>
      <c r="G62" s="36" t="n">
        <v>3560.8</v>
      </c>
      <c r="H62" s="36" t="n">
        <v>19707.75</v>
      </c>
      <c r="I62" s="37" t="s">
        <v>76</v>
      </c>
      <c r="J62" s="38" t="n">
        <v>27.5</v>
      </c>
    </row>
    <row r="63" customFormat="false" ht="15" hidden="false" customHeight="false" outlineLevel="0" collapsed="false">
      <c r="A63" s="10"/>
      <c r="B63" s="11" t="s">
        <v>14</v>
      </c>
      <c r="C63" s="39" t="n">
        <f aca="false">SUM(C57:C62)</f>
        <v>454085.46</v>
      </c>
      <c r="D63" s="39" t="n">
        <f aca="false">SUM(D57:D62)</f>
        <v>94192.7</v>
      </c>
      <c r="E63" s="39" t="n">
        <f aca="false">SUM(E57:E62)</f>
        <v>136180.19</v>
      </c>
      <c r="F63" s="39" t="n">
        <f aca="false">SUM(F57:F62)</f>
        <v>13087.01</v>
      </c>
      <c r="G63" s="39" t="n">
        <f aca="false">SUM(G57:G62)</f>
        <v>149267.2</v>
      </c>
      <c r="H63" s="39" t="n">
        <f aca="false">SUM(H57:H62)</f>
        <v>304818.26</v>
      </c>
      <c r="I63" s="10"/>
      <c r="J63" s="10"/>
    </row>
    <row r="65" customFormat="false" ht="15" hidden="false" customHeight="false" outlineLevel="0" collapsed="false">
      <c r="A65" s="27" t="s">
        <v>28</v>
      </c>
      <c r="B65" s="27"/>
      <c r="C65" s="27"/>
      <c r="D65" s="27"/>
      <c r="E65" s="27"/>
    </row>
    <row r="66" customFormat="false" ht="15" hidden="false" customHeight="false" outlineLevel="0" collapsed="false">
      <c r="B66" s="8" t="s">
        <v>86</v>
      </c>
      <c r="C66" s="41" t="n">
        <f aca="false">G53</f>
        <v>127790.21</v>
      </c>
    </row>
    <row r="67" customFormat="false" ht="15" hidden="false" customHeight="false" outlineLevel="0" collapsed="false">
      <c r="B67" s="8" t="s">
        <v>87</v>
      </c>
      <c r="C67" s="41" t="n">
        <f aca="false">G63</f>
        <v>149267.2</v>
      </c>
    </row>
    <row r="68" customFormat="false" ht="15" hidden="false" customHeight="false" outlineLevel="0" collapsed="false">
      <c r="B68" s="17" t="s">
        <v>28</v>
      </c>
      <c r="C68" s="42" t="n">
        <f aca="false">C67-C66</f>
        <v>21476.99</v>
      </c>
    </row>
  </sheetData>
  <mergeCells count="11">
    <mergeCell ref="A2:J2"/>
    <mergeCell ref="A3:J3"/>
    <mergeCell ref="A4:J4"/>
    <mergeCell ref="A8:J8"/>
    <mergeCell ref="B10:J10"/>
    <mergeCell ref="B21:J21"/>
    <mergeCell ref="B41:J41"/>
    <mergeCell ref="A47:J47"/>
    <mergeCell ref="A48:J48"/>
    <mergeCell ref="A55:J55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128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31</v>
      </c>
      <c r="C6" s="8" t="s">
        <v>16</v>
      </c>
    </row>
    <row r="8" customFormat="false" ht="15" hidden="false" customHeight="false" outlineLevel="0" collapsed="false">
      <c r="A8" s="21" t="s">
        <v>129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33</v>
      </c>
      <c r="C9" s="23" t="s">
        <v>34</v>
      </c>
      <c r="D9" s="23" t="s">
        <v>35</v>
      </c>
      <c r="E9" s="23" t="s">
        <v>36</v>
      </c>
      <c r="F9" s="23" t="s">
        <v>37</v>
      </c>
      <c r="G9" s="23" t="s">
        <v>38</v>
      </c>
      <c r="H9" s="23" t="s">
        <v>39</v>
      </c>
    </row>
    <row r="10" customFormat="false" ht="15" hidden="false" customHeight="false" outlineLevel="0" collapsed="false">
      <c r="A10" s="5"/>
      <c r="B10" s="6" t="s">
        <v>90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91</v>
      </c>
      <c r="C11" s="16" t="n">
        <v>12955.58</v>
      </c>
      <c r="D11" s="16" t="n">
        <v>12955.58</v>
      </c>
    </row>
    <row r="12" customFormat="false" ht="15" hidden="false" customHeight="false" outlineLevel="0" collapsed="false">
      <c r="B12" s="8" t="s">
        <v>92</v>
      </c>
      <c r="C12" s="16" t="n">
        <v>7814.7</v>
      </c>
      <c r="D12" s="16" t="n">
        <v>7814.7</v>
      </c>
    </row>
    <row r="13" customFormat="false" ht="15" hidden="false" customHeight="false" outlineLevel="0" collapsed="false">
      <c r="B13" s="8" t="s">
        <v>93</v>
      </c>
      <c r="C13" s="16" t="n">
        <v>31009.21</v>
      </c>
      <c r="D13" s="16" t="n">
        <v>31009.21</v>
      </c>
    </row>
    <row r="14" customFormat="false" ht="15" hidden="false" customHeight="false" outlineLevel="0" collapsed="false">
      <c r="B14" s="8" t="s">
        <v>94</v>
      </c>
      <c r="C14" s="16" t="n">
        <v>3263.85</v>
      </c>
      <c r="D14" s="16" t="n">
        <v>3263.85</v>
      </c>
    </row>
    <row r="15" customFormat="false" ht="15" hidden="false" customHeight="false" outlineLevel="0" collapsed="false">
      <c r="B15" s="8" t="s">
        <v>95</v>
      </c>
      <c r="C15" s="16" t="n">
        <v>281.84</v>
      </c>
      <c r="D15" s="16" t="n">
        <v>281.84</v>
      </c>
    </row>
    <row r="16" customFormat="false" ht="15" hidden="false" customHeight="false" outlineLevel="0" collapsed="false">
      <c r="B16" s="8" t="s">
        <v>96</v>
      </c>
      <c r="C16" s="16" t="n">
        <v>7199.04</v>
      </c>
      <c r="D16" s="16" t="n">
        <v>7199.04</v>
      </c>
    </row>
    <row r="17" customFormat="false" ht="15" hidden="false" customHeight="false" outlineLevel="0" collapsed="false">
      <c r="B17" s="8" t="s">
        <v>97</v>
      </c>
      <c r="C17" s="16" t="n">
        <v>2708.75</v>
      </c>
      <c r="D17" s="16" t="n">
        <v>2708.75</v>
      </c>
    </row>
    <row r="18" customFormat="false" ht="15" hidden="false" customHeight="false" outlineLevel="0" collapsed="false">
      <c r="B18" s="8" t="s">
        <v>98</v>
      </c>
      <c r="C18" s="16" t="n">
        <v>10047.72</v>
      </c>
      <c r="D18" s="16" t="n">
        <v>10047.72</v>
      </c>
    </row>
    <row r="19" customFormat="false" ht="15" hidden="false" customHeight="false" outlineLevel="0" collapsed="false">
      <c r="B19" s="8" t="s">
        <v>99</v>
      </c>
      <c r="C19" s="16" t="n">
        <v>1797.27</v>
      </c>
      <c r="D19" s="16" t="n">
        <v>1797.27</v>
      </c>
    </row>
    <row r="20" customFormat="false" ht="15" hidden="false" customHeight="false" outlineLevel="0" collapsed="false">
      <c r="B20" s="8" t="s">
        <v>100</v>
      </c>
      <c r="C20" s="16" t="n">
        <v>12546.68</v>
      </c>
      <c r="D20" s="16" t="n">
        <v>12546.68</v>
      </c>
    </row>
    <row r="21" customFormat="false" ht="15" hidden="false" customHeight="false" outlineLevel="0" collapsed="false">
      <c r="A21" s="5"/>
      <c r="B21" s="6" t="s">
        <v>101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102</v>
      </c>
      <c r="C22" s="16" t="n">
        <v>11905.28</v>
      </c>
      <c r="G22" s="16" t="n">
        <v>11905.28</v>
      </c>
    </row>
    <row r="23" customFormat="false" ht="15" hidden="false" customHeight="false" outlineLevel="0" collapsed="false">
      <c r="B23" s="8" t="s">
        <v>103</v>
      </c>
      <c r="C23" s="16" t="n">
        <v>21103.9</v>
      </c>
      <c r="G23" s="16" t="n">
        <v>21103.9</v>
      </c>
    </row>
    <row r="24" customFormat="false" ht="15" hidden="false" customHeight="false" outlineLevel="0" collapsed="false">
      <c r="B24" s="8" t="s">
        <v>104</v>
      </c>
      <c r="C24" s="16" t="n">
        <v>30438.8</v>
      </c>
      <c r="G24" s="16" t="n">
        <v>30438.8</v>
      </c>
    </row>
    <row r="25" customFormat="false" ht="15" hidden="false" customHeight="false" outlineLevel="0" collapsed="false">
      <c r="B25" s="8" t="s">
        <v>105</v>
      </c>
      <c r="C25" s="16" t="n">
        <v>32953.46</v>
      </c>
      <c r="G25" s="16" t="n">
        <v>32953.46</v>
      </c>
    </row>
    <row r="26" customFormat="false" ht="15" hidden="false" customHeight="false" outlineLevel="0" collapsed="false">
      <c r="B26" s="8" t="s">
        <v>106</v>
      </c>
      <c r="C26" s="16" t="n">
        <v>26460.29</v>
      </c>
      <c r="G26" s="16" t="n">
        <v>26460.29</v>
      </c>
    </row>
    <row r="27" customFormat="false" ht="15" hidden="false" customHeight="false" outlineLevel="0" collapsed="false">
      <c r="B27" s="8" t="s">
        <v>107</v>
      </c>
      <c r="C27" s="16" t="n">
        <v>1706.2</v>
      </c>
      <c r="G27" s="16" t="n">
        <v>1706.2</v>
      </c>
    </row>
    <row r="28" customFormat="false" ht="15" hidden="false" customHeight="false" outlineLevel="0" collapsed="false">
      <c r="B28" s="8" t="s">
        <v>108</v>
      </c>
      <c r="C28" s="16" t="n">
        <v>32377.72</v>
      </c>
      <c r="G28" s="16" t="n">
        <v>32377.72</v>
      </c>
    </row>
    <row r="29" customFormat="false" ht="15" hidden="false" customHeight="false" outlineLevel="0" collapsed="false">
      <c r="B29" s="8" t="s">
        <v>109</v>
      </c>
      <c r="C29" s="16" t="n">
        <v>24677.65</v>
      </c>
      <c r="G29" s="16" t="n">
        <v>24677.65</v>
      </c>
    </row>
    <row r="30" customFormat="false" ht="15" hidden="false" customHeight="false" outlineLevel="0" collapsed="false">
      <c r="B30" s="8" t="s">
        <v>110</v>
      </c>
      <c r="C30" s="16" t="n">
        <v>21285.5</v>
      </c>
      <c r="G30" s="16" t="n">
        <v>21285.5</v>
      </c>
    </row>
    <row r="31" customFormat="false" ht="15" hidden="false" customHeight="false" outlineLevel="0" collapsed="false">
      <c r="B31" s="8" t="s">
        <v>111</v>
      </c>
      <c r="C31" s="16" t="n">
        <v>19813.61</v>
      </c>
      <c r="G31" s="16" t="n">
        <v>19813.61</v>
      </c>
    </row>
    <row r="32" customFormat="false" ht="15" hidden="false" customHeight="false" outlineLevel="0" collapsed="false">
      <c r="B32" s="8" t="s">
        <v>112</v>
      </c>
      <c r="C32" s="16" t="n">
        <v>44705.35</v>
      </c>
      <c r="G32" s="16" t="n">
        <v>44705.35</v>
      </c>
    </row>
    <row r="33" customFormat="false" ht="15" hidden="false" customHeight="false" outlineLevel="0" collapsed="false">
      <c r="B33" s="8" t="s">
        <v>113</v>
      </c>
      <c r="C33" s="16" t="n">
        <v>19487.57</v>
      </c>
      <c r="G33" s="16" t="n">
        <v>19487.57</v>
      </c>
    </row>
    <row r="34" customFormat="false" ht="15" hidden="false" customHeight="false" outlineLevel="0" collapsed="false">
      <c r="B34" s="8" t="s">
        <v>114</v>
      </c>
      <c r="C34" s="16" t="n">
        <v>1926.79</v>
      </c>
      <c r="G34" s="16" t="n">
        <v>1926.79</v>
      </c>
    </row>
    <row r="35" customFormat="false" ht="15" hidden="false" customHeight="false" outlineLevel="0" collapsed="false">
      <c r="B35" s="8" t="s">
        <v>115</v>
      </c>
      <c r="C35" s="16" t="n">
        <v>47929.59</v>
      </c>
      <c r="G35" s="16" t="n">
        <v>47929.59</v>
      </c>
    </row>
    <row r="36" customFormat="false" ht="15" hidden="false" customHeight="false" outlineLevel="0" collapsed="false">
      <c r="B36" s="8" t="s">
        <v>116</v>
      </c>
      <c r="C36" s="16" t="n">
        <v>8618.01</v>
      </c>
      <c r="G36" s="16" t="n">
        <v>8618.01</v>
      </c>
    </row>
    <row r="37" customFormat="false" ht="15" hidden="false" customHeight="false" outlineLevel="0" collapsed="false">
      <c r="B37" s="8" t="s">
        <v>117</v>
      </c>
      <c r="C37" s="16" t="n">
        <v>4055.88</v>
      </c>
      <c r="G37" s="16" t="n">
        <v>4055.88</v>
      </c>
    </row>
    <row r="38" customFormat="false" ht="15" hidden="false" customHeight="false" outlineLevel="0" collapsed="false">
      <c r="B38" s="8" t="s">
        <v>118</v>
      </c>
      <c r="C38" s="16" t="n">
        <v>3091.94</v>
      </c>
      <c r="G38" s="16" t="n">
        <v>3091.94</v>
      </c>
    </row>
    <row r="39" customFormat="false" ht="15" hidden="false" customHeight="false" outlineLevel="0" collapsed="false">
      <c r="A39" s="24"/>
      <c r="B39" s="25" t="s">
        <v>57</v>
      </c>
      <c r="C39" s="26" t="n">
        <f aca="false">SUM(C10:C38)</f>
        <v>442162.18</v>
      </c>
      <c r="D39" s="26" t="n">
        <f aca="false">SUM(D10:D38)</f>
        <v>89624.64</v>
      </c>
      <c r="E39" s="26" t="n">
        <f aca="false">SUM(E10:E38)</f>
        <v>0</v>
      </c>
      <c r="F39" s="26" t="n">
        <f aca="false">SUM(F10:F38)</f>
        <v>0</v>
      </c>
      <c r="G39" s="26" t="n">
        <f aca="false">SUM(G10:G38)</f>
        <v>352537.54</v>
      </c>
      <c r="H39" s="24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6" t="n">
        <v>354707.57</v>
      </c>
      <c r="D42" s="16" t="n">
        <v>76039.51</v>
      </c>
      <c r="G42" s="16" t="n">
        <v>278668.06</v>
      </c>
    </row>
    <row r="43" customFormat="false" ht="15" hidden="false" customHeight="false" outlineLevel="0" collapsed="false">
      <c r="B43" s="8" t="s">
        <v>60</v>
      </c>
      <c r="C43" s="16" t="n">
        <v>36341.07</v>
      </c>
      <c r="D43" s="16" t="n">
        <v>7790.52</v>
      </c>
      <c r="G43" s="16" t="n">
        <v>28550.55</v>
      </c>
    </row>
    <row r="44" customFormat="false" ht="15" hidden="false" customHeight="false" outlineLevel="0" collapsed="false">
      <c r="B44" s="8" t="s">
        <v>61</v>
      </c>
      <c r="C44" s="16" t="n">
        <v>27030.55</v>
      </c>
      <c r="D44" s="16" t="n">
        <v>5794.61</v>
      </c>
      <c r="G44" s="16" t="n">
        <v>21235.94</v>
      </c>
    </row>
    <row r="45" customFormat="false" ht="15" hidden="false" customHeight="false" outlineLevel="0" collapsed="false">
      <c r="A45" s="24"/>
      <c r="B45" s="25" t="s">
        <v>62</v>
      </c>
      <c r="C45" s="26" t="n">
        <f aca="false">SUM(C42:C44)</f>
        <v>418079.19</v>
      </c>
      <c r="D45" s="26" t="n">
        <f aca="false">SUM(D42:D44)</f>
        <v>89624.64</v>
      </c>
      <c r="E45" s="24"/>
      <c r="F45" s="26" t="n">
        <f aca="false">SUM(F42:F44)</f>
        <v>0</v>
      </c>
      <c r="G45" s="26" t="n">
        <f aca="false">SUM(G42:G44)</f>
        <v>328454.55</v>
      </c>
      <c r="H45" s="24"/>
    </row>
    <row r="47" customFormat="false" ht="15" hidden="false" customHeight="false" outlineLevel="0" collapsed="false">
      <c r="A47" s="27" t="s">
        <v>63</v>
      </c>
      <c r="B47" s="27"/>
      <c r="C47" s="27"/>
      <c r="D47" s="27"/>
      <c r="E47" s="27"/>
      <c r="F47" s="27"/>
      <c r="G47" s="27"/>
      <c r="H47" s="27"/>
      <c r="I47" s="27"/>
      <c r="J47" s="27"/>
    </row>
    <row r="48" customFormat="false" ht="15" hidden="false" customHeight="false" outlineLevel="0" collapsed="false">
      <c r="A48" s="28" t="s">
        <v>26</v>
      </c>
      <c r="B48" s="28"/>
      <c r="C48" s="28"/>
      <c r="D48" s="28"/>
      <c r="E48" s="28"/>
      <c r="F48" s="28"/>
      <c r="G48" s="28"/>
      <c r="H48" s="28"/>
      <c r="I48" s="28"/>
      <c r="J48" s="28"/>
    </row>
    <row r="49" customFormat="false" ht="15" hidden="false" customHeight="false" outlineLevel="0" collapsed="false">
      <c r="A49" s="29"/>
      <c r="B49" s="29" t="s">
        <v>64</v>
      </c>
      <c r="C49" s="30" t="s">
        <v>65</v>
      </c>
      <c r="D49" s="30" t="s">
        <v>66</v>
      </c>
      <c r="E49" s="30" t="s">
        <v>67</v>
      </c>
      <c r="F49" s="30" t="s">
        <v>68</v>
      </c>
      <c r="G49" s="30" t="s">
        <v>69</v>
      </c>
      <c r="H49" s="30" t="s">
        <v>70</v>
      </c>
      <c r="I49" s="30" t="s">
        <v>71</v>
      </c>
      <c r="J49" s="30" t="s">
        <v>72</v>
      </c>
    </row>
    <row r="50" customFormat="false" ht="15" hidden="false" customHeight="false" outlineLevel="0" collapsed="false">
      <c r="B50" s="31" t="s">
        <v>119</v>
      </c>
      <c r="C50" s="32" t="n">
        <v>36341.07</v>
      </c>
      <c r="D50" s="32" t="n">
        <v>36341.07</v>
      </c>
      <c r="E50" s="32" t="n">
        <v>36341.07</v>
      </c>
      <c r="F50" s="32" t="n">
        <v>0</v>
      </c>
      <c r="G50" s="32" t="n">
        <v>36341.07</v>
      </c>
      <c r="H50" s="32" t="n">
        <v>0</v>
      </c>
      <c r="I50" s="33" t="s">
        <v>74</v>
      </c>
      <c r="J50" s="34" t="n">
        <v>15</v>
      </c>
    </row>
    <row r="51" customFormat="false" ht="15" hidden="false" customHeight="false" outlineLevel="0" collapsed="false">
      <c r="B51" s="35" t="s">
        <v>120</v>
      </c>
      <c r="C51" s="36" t="n">
        <v>354707.57</v>
      </c>
      <c r="D51" s="36" t="n">
        <v>0</v>
      </c>
      <c r="E51" s="36" t="n">
        <v>41387.07</v>
      </c>
      <c r="F51" s="36" t="n">
        <v>12898.53</v>
      </c>
      <c r="G51" s="36" t="n">
        <v>54285.6</v>
      </c>
      <c r="H51" s="36" t="n">
        <v>300421.97</v>
      </c>
      <c r="I51" s="37" t="s">
        <v>76</v>
      </c>
      <c r="J51" s="38" t="n">
        <v>27.5</v>
      </c>
    </row>
    <row r="52" customFormat="false" ht="15" hidden="false" customHeight="false" outlineLevel="0" collapsed="false">
      <c r="B52" s="31" t="s">
        <v>121</v>
      </c>
      <c r="C52" s="32" t="n">
        <v>27030.55</v>
      </c>
      <c r="D52" s="32" t="n">
        <v>27030.55</v>
      </c>
      <c r="E52" s="32" t="n">
        <v>27030.55</v>
      </c>
      <c r="F52" s="32" t="n">
        <v>0</v>
      </c>
      <c r="G52" s="32" t="n">
        <v>27030.55</v>
      </c>
      <c r="H52" s="32" t="n">
        <v>0</v>
      </c>
      <c r="I52" s="33" t="s">
        <v>78</v>
      </c>
      <c r="J52" s="34" t="n">
        <v>5</v>
      </c>
    </row>
    <row r="53" customFormat="false" ht="15" hidden="false" customHeight="false" outlineLevel="0" collapsed="false">
      <c r="A53" s="10"/>
      <c r="B53" s="11" t="s">
        <v>14</v>
      </c>
      <c r="C53" s="39" t="n">
        <f aca="false">SUM(C50:C52)</f>
        <v>418079.19</v>
      </c>
      <c r="D53" s="39" t="n">
        <f aca="false">SUM(D50:D52)</f>
        <v>63371.62</v>
      </c>
      <c r="E53" s="39" t="n">
        <f aca="false">SUM(E50:E52)</f>
        <v>104758.69</v>
      </c>
      <c r="F53" s="39" t="n">
        <f aca="false">SUM(F50:F52)</f>
        <v>12898.53</v>
      </c>
      <c r="G53" s="39" t="n">
        <f aca="false">SUM(G50:G52)</f>
        <v>117657.22</v>
      </c>
      <c r="H53" s="39" t="n">
        <f aca="false">SUM(H50:H52)</f>
        <v>300421.97</v>
      </c>
      <c r="I53" s="10"/>
      <c r="J53" s="10"/>
    </row>
    <row r="55" customFormat="false" ht="15" hidden="false" customHeight="false" outlineLevel="0" collapsed="false">
      <c r="A55" s="40" t="s">
        <v>79</v>
      </c>
      <c r="B55" s="40"/>
      <c r="C55" s="40"/>
      <c r="D55" s="40"/>
      <c r="E55" s="40"/>
      <c r="F55" s="40"/>
      <c r="G55" s="40"/>
      <c r="H55" s="40"/>
      <c r="I55" s="40"/>
      <c r="J55" s="40"/>
    </row>
    <row r="56" customFormat="false" ht="15" hidden="false" customHeight="false" outlineLevel="0" collapsed="false">
      <c r="A56" s="29"/>
      <c r="B56" s="29" t="s">
        <v>64</v>
      </c>
      <c r="C56" s="30" t="s">
        <v>65</v>
      </c>
      <c r="D56" s="30" t="s">
        <v>66</v>
      </c>
      <c r="E56" s="30" t="s">
        <v>67</v>
      </c>
      <c r="F56" s="30" t="s">
        <v>68</v>
      </c>
      <c r="G56" s="30" t="s">
        <v>69</v>
      </c>
      <c r="H56" s="30" t="s">
        <v>70</v>
      </c>
      <c r="I56" s="30" t="s">
        <v>71</v>
      </c>
      <c r="J56" s="30" t="s">
        <v>72</v>
      </c>
    </row>
    <row r="57" customFormat="false" ht="15" hidden="false" customHeight="false" outlineLevel="0" collapsed="false">
      <c r="B57" s="31" t="s">
        <v>122</v>
      </c>
      <c r="C57" s="32" t="n">
        <v>7790.52</v>
      </c>
      <c r="D57" s="32" t="n">
        <v>7790.52</v>
      </c>
      <c r="E57" s="32" t="n">
        <v>7790.52</v>
      </c>
      <c r="F57" s="32" t="n">
        <v>0</v>
      </c>
      <c r="G57" s="32" t="n">
        <v>7790.52</v>
      </c>
      <c r="H57" s="32" t="n">
        <v>0</v>
      </c>
      <c r="I57" s="33" t="s">
        <v>78</v>
      </c>
      <c r="J57" s="34" t="n">
        <v>5</v>
      </c>
    </row>
    <row r="58" customFormat="false" ht="15" hidden="false" customHeight="false" outlineLevel="0" collapsed="false">
      <c r="B58" s="35" t="s">
        <v>123</v>
      </c>
      <c r="C58" s="36" t="n">
        <v>28550.55</v>
      </c>
      <c r="D58" s="36" t="n">
        <v>0</v>
      </c>
      <c r="E58" s="36" t="n">
        <v>3330.89</v>
      </c>
      <c r="F58" s="36" t="n">
        <v>1038.2</v>
      </c>
      <c r="G58" s="36" t="n">
        <v>4369.09</v>
      </c>
      <c r="H58" s="36" t="n">
        <v>24181.46</v>
      </c>
      <c r="I58" s="37" t="s">
        <v>76</v>
      </c>
      <c r="J58" s="38" t="n">
        <v>27.5</v>
      </c>
    </row>
    <row r="59" customFormat="false" ht="15" hidden="false" customHeight="false" outlineLevel="0" collapsed="false">
      <c r="B59" s="31" t="s">
        <v>124</v>
      </c>
      <c r="C59" s="32" t="n">
        <v>76039.51</v>
      </c>
      <c r="D59" s="32" t="n">
        <v>76039.51</v>
      </c>
      <c r="E59" s="32" t="n">
        <v>76039.51</v>
      </c>
      <c r="F59" s="32" t="n">
        <v>0</v>
      </c>
      <c r="G59" s="32" t="n">
        <v>76039.51</v>
      </c>
      <c r="H59" s="32" t="n">
        <v>0</v>
      </c>
      <c r="I59" s="33" t="s">
        <v>78</v>
      </c>
      <c r="J59" s="34" t="n">
        <v>5</v>
      </c>
    </row>
    <row r="60" customFormat="false" ht="15" hidden="false" customHeight="false" outlineLevel="0" collapsed="false">
      <c r="B60" s="35" t="s">
        <v>125</v>
      </c>
      <c r="C60" s="36" t="n">
        <v>278668.06</v>
      </c>
      <c r="D60" s="36" t="n">
        <v>0</v>
      </c>
      <c r="E60" s="36" t="n">
        <v>32511.26</v>
      </c>
      <c r="F60" s="36" t="n">
        <v>10133.38</v>
      </c>
      <c r="G60" s="36" t="n">
        <v>42644.64</v>
      </c>
      <c r="H60" s="36" t="n">
        <v>236023.42</v>
      </c>
      <c r="I60" s="37" t="s">
        <v>76</v>
      </c>
      <c r="J60" s="38" t="n">
        <v>27.5</v>
      </c>
    </row>
    <row r="61" customFormat="false" ht="15" hidden="false" customHeight="false" outlineLevel="0" collapsed="false">
      <c r="B61" s="31" t="s">
        <v>126</v>
      </c>
      <c r="C61" s="32" t="n">
        <v>5794.61</v>
      </c>
      <c r="D61" s="32" t="n">
        <v>5794.61</v>
      </c>
      <c r="E61" s="32" t="n">
        <v>5794.61</v>
      </c>
      <c r="F61" s="32" t="n">
        <v>0</v>
      </c>
      <c r="G61" s="32" t="n">
        <v>5794.61</v>
      </c>
      <c r="H61" s="32" t="n">
        <v>0</v>
      </c>
      <c r="I61" s="33" t="s">
        <v>78</v>
      </c>
      <c r="J61" s="34" t="n">
        <v>5</v>
      </c>
    </row>
    <row r="62" customFormat="false" ht="15" hidden="false" customHeight="false" outlineLevel="0" collapsed="false">
      <c r="B62" s="35" t="s">
        <v>127</v>
      </c>
      <c r="C62" s="36" t="n">
        <v>21235.94</v>
      </c>
      <c r="D62" s="36" t="n">
        <v>0</v>
      </c>
      <c r="E62" s="36" t="n">
        <v>2477.54</v>
      </c>
      <c r="F62" s="36" t="n">
        <v>772.22</v>
      </c>
      <c r="G62" s="36" t="n">
        <v>3249.76</v>
      </c>
      <c r="H62" s="36" t="n">
        <v>17986.18</v>
      </c>
      <c r="I62" s="37" t="s">
        <v>76</v>
      </c>
      <c r="J62" s="38" t="n">
        <v>27.5</v>
      </c>
    </row>
    <row r="63" customFormat="false" ht="15" hidden="false" customHeight="false" outlineLevel="0" collapsed="false">
      <c r="A63" s="10"/>
      <c r="B63" s="11" t="s">
        <v>14</v>
      </c>
      <c r="C63" s="39" t="n">
        <f aca="false">SUM(C57:C62)</f>
        <v>418079.19</v>
      </c>
      <c r="D63" s="39" t="n">
        <f aca="false">SUM(D57:D62)</f>
        <v>89624.64</v>
      </c>
      <c r="E63" s="39" t="n">
        <f aca="false">SUM(E57:E62)</f>
        <v>127944.33</v>
      </c>
      <c r="F63" s="39" t="n">
        <f aca="false">SUM(F57:F62)</f>
        <v>11943.8</v>
      </c>
      <c r="G63" s="39" t="n">
        <f aca="false">SUM(G57:G62)</f>
        <v>139888.13</v>
      </c>
      <c r="H63" s="39" t="n">
        <f aca="false">SUM(H57:H62)</f>
        <v>278191.06</v>
      </c>
      <c r="I63" s="10"/>
      <c r="J63" s="10"/>
    </row>
    <row r="65" customFormat="false" ht="15" hidden="false" customHeight="false" outlineLevel="0" collapsed="false">
      <c r="A65" s="27" t="s">
        <v>28</v>
      </c>
      <c r="B65" s="27"/>
      <c r="C65" s="27"/>
      <c r="D65" s="27"/>
      <c r="E65" s="27"/>
    </row>
    <row r="66" customFormat="false" ht="15" hidden="false" customHeight="false" outlineLevel="0" collapsed="false">
      <c r="B66" s="8" t="s">
        <v>86</v>
      </c>
      <c r="C66" s="41" t="n">
        <f aca="false">G53</f>
        <v>117657.22</v>
      </c>
    </row>
    <row r="67" customFormat="false" ht="15" hidden="false" customHeight="false" outlineLevel="0" collapsed="false">
      <c r="B67" s="8" t="s">
        <v>87</v>
      </c>
      <c r="C67" s="41" t="n">
        <f aca="false">G63</f>
        <v>139888.13</v>
      </c>
    </row>
    <row r="68" customFormat="false" ht="15" hidden="false" customHeight="false" outlineLevel="0" collapsed="false">
      <c r="B68" s="17" t="s">
        <v>28</v>
      </c>
      <c r="C68" s="42" t="n">
        <f aca="false">C67-C66</f>
        <v>22230.91</v>
      </c>
    </row>
  </sheetData>
  <mergeCells count="11">
    <mergeCell ref="A2:J2"/>
    <mergeCell ref="A3:J3"/>
    <mergeCell ref="A4:J4"/>
    <mergeCell ref="A8:J8"/>
    <mergeCell ref="B10:J10"/>
    <mergeCell ref="B21:J21"/>
    <mergeCell ref="B41:J41"/>
    <mergeCell ref="A47:J47"/>
    <mergeCell ref="A48:J48"/>
    <mergeCell ref="A55:J55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130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31</v>
      </c>
      <c r="C6" s="8" t="s">
        <v>16</v>
      </c>
    </row>
    <row r="8" customFormat="false" ht="15" hidden="false" customHeight="false" outlineLevel="0" collapsed="false">
      <c r="A8" s="21" t="s">
        <v>131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33</v>
      </c>
      <c r="C9" s="23" t="s">
        <v>34</v>
      </c>
      <c r="D9" s="23" t="s">
        <v>35</v>
      </c>
      <c r="E9" s="23" t="s">
        <v>36</v>
      </c>
      <c r="F9" s="23" t="s">
        <v>37</v>
      </c>
      <c r="G9" s="23" t="s">
        <v>38</v>
      </c>
      <c r="H9" s="23" t="s">
        <v>39</v>
      </c>
    </row>
    <row r="10" customFormat="false" ht="15" hidden="false" customHeight="false" outlineLevel="0" collapsed="false">
      <c r="A10" s="5"/>
      <c r="B10" s="6" t="s">
        <v>90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91</v>
      </c>
      <c r="C11" s="16" t="n">
        <v>13928.67</v>
      </c>
      <c r="D11" s="16" t="n">
        <v>13928.67</v>
      </c>
    </row>
    <row r="12" customFormat="false" ht="15" hidden="false" customHeight="false" outlineLevel="0" collapsed="false">
      <c r="B12" s="8" t="s">
        <v>92</v>
      </c>
      <c r="C12" s="16" t="n">
        <v>9008.6</v>
      </c>
      <c r="D12" s="16" t="n">
        <v>9008.6</v>
      </c>
    </row>
    <row r="13" customFormat="false" ht="15" hidden="false" customHeight="false" outlineLevel="0" collapsed="false">
      <c r="B13" s="8" t="s">
        <v>93</v>
      </c>
      <c r="C13" s="16" t="n">
        <v>32335.99</v>
      </c>
      <c r="D13" s="16" t="n">
        <v>32335.99</v>
      </c>
    </row>
    <row r="14" customFormat="false" ht="15" hidden="false" customHeight="false" outlineLevel="0" collapsed="false">
      <c r="B14" s="8" t="s">
        <v>94</v>
      </c>
      <c r="C14" s="16" t="n">
        <v>2901.21</v>
      </c>
      <c r="D14" s="16" t="n">
        <v>2901.21</v>
      </c>
    </row>
    <row r="15" customFormat="false" ht="15" hidden="false" customHeight="false" outlineLevel="0" collapsed="false">
      <c r="B15" s="8" t="s">
        <v>95</v>
      </c>
      <c r="C15" s="16" t="n">
        <v>281.84</v>
      </c>
      <c r="D15" s="16" t="n">
        <v>281.84</v>
      </c>
    </row>
    <row r="16" customFormat="false" ht="15" hidden="false" customHeight="false" outlineLevel="0" collapsed="false">
      <c r="B16" s="8" t="s">
        <v>96</v>
      </c>
      <c r="C16" s="16" t="n">
        <v>7199.04</v>
      </c>
      <c r="D16" s="16" t="n">
        <v>7199.04</v>
      </c>
    </row>
    <row r="17" customFormat="false" ht="15" hidden="false" customHeight="false" outlineLevel="0" collapsed="false">
      <c r="B17" s="8" t="s">
        <v>97</v>
      </c>
      <c r="C17" s="16" t="n">
        <v>2824.66</v>
      </c>
      <c r="D17" s="16" t="n">
        <v>2824.66</v>
      </c>
    </row>
    <row r="18" customFormat="false" ht="15" hidden="false" customHeight="false" outlineLevel="0" collapsed="false">
      <c r="B18" s="8" t="s">
        <v>98</v>
      </c>
      <c r="C18" s="16" t="n">
        <v>10047.72</v>
      </c>
      <c r="D18" s="16" t="n">
        <v>10047.72</v>
      </c>
    </row>
    <row r="19" customFormat="false" ht="15" hidden="false" customHeight="false" outlineLevel="0" collapsed="false">
      <c r="B19" s="8" t="s">
        <v>99</v>
      </c>
      <c r="C19" s="16" t="n">
        <v>1797.27</v>
      </c>
      <c r="D19" s="16" t="n">
        <v>1797.27</v>
      </c>
    </row>
    <row r="20" customFormat="false" ht="15" hidden="false" customHeight="false" outlineLevel="0" collapsed="false">
      <c r="B20" s="8" t="s">
        <v>100</v>
      </c>
      <c r="C20" s="16" t="n">
        <v>12546.68</v>
      </c>
      <c r="D20" s="16" t="n">
        <v>12546.68</v>
      </c>
    </row>
    <row r="21" customFormat="false" ht="15" hidden="false" customHeight="false" outlineLevel="0" collapsed="false">
      <c r="A21" s="5"/>
      <c r="B21" s="6" t="s">
        <v>101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102</v>
      </c>
      <c r="C22" s="16" t="n">
        <v>13679.1</v>
      </c>
      <c r="G22" s="16" t="n">
        <v>13679.1</v>
      </c>
    </row>
    <row r="23" customFormat="false" ht="15" hidden="false" customHeight="false" outlineLevel="0" collapsed="false">
      <c r="B23" s="8" t="s">
        <v>103</v>
      </c>
      <c r="C23" s="16" t="n">
        <v>22351.4</v>
      </c>
      <c r="G23" s="16" t="n">
        <v>22351.4</v>
      </c>
    </row>
    <row r="24" customFormat="false" ht="15" hidden="false" customHeight="false" outlineLevel="0" collapsed="false">
      <c r="B24" s="8" t="s">
        <v>104</v>
      </c>
      <c r="C24" s="16" t="n">
        <v>31741.18</v>
      </c>
      <c r="G24" s="16" t="n">
        <v>31741.18</v>
      </c>
    </row>
    <row r="25" customFormat="false" ht="15" hidden="false" customHeight="false" outlineLevel="0" collapsed="false">
      <c r="B25" s="8" t="s">
        <v>105</v>
      </c>
      <c r="C25" s="16" t="n">
        <v>34363.44</v>
      </c>
      <c r="G25" s="16" t="n">
        <v>34363.44</v>
      </c>
    </row>
    <row r="26" customFormat="false" ht="15" hidden="false" customHeight="false" outlineLevel="0" collapsed="false">
      <c r="B26" s="8" t="s">
        <v>106</v>
      </c>
      <c r="C26" s="16" t="n">
        <v>27592.44</v>
      </c>
      <c r="G26" s="16" t="n">
        <v>27592.44</v>
      </c>
    </row>
    <row r="27" customFormat="false" ht="15" hidden="false" customHeight="false" outlineLevel="0" collapsed="false">
      <c r="B27" s="8" t="s">
        <v>107</v>
      </c>
      <c r="C27" s="16" t="n">
        <v>2132.75</v>
      </c>
      <c r="G27" s="16" t="n">
        <v>2132.75</v>
      </c>
    </row>
    <row r="28" customFormat="false" ht="15" hidden="false" customHeight="false" outlineLevel="0" collapsed="false">
      <c r="B28" s="8" t="s">
        <v>108</v>
      </c>
      <c r="C28" s="16" t="n">
        <v>38791.5</v>
      </c>
      <c r="G28" s="16" t="n">
        <v>38791.5</v>
      </c>
    </row>
    <row r="29" customFormat="false" ht="15" hidden="false" customHeight="false" outlineLevel="0" collapsed="false">
      <c r="B29" s="8" t="s">
        <v>109</v>
      </c>
      <c r="C29" s="16" t="n">
        <v>26505.06</v>
      </c>
      <c r="G29" s="16" t="n">
        <v>26505.06</v>
      </c>
    </row>
    <row r="30" customFormat="false" ht="15" hidden="false" customHeight="false" outlineLevel="0" collapsed="false">
      <c r="B30" s="8" t="s">
        <v>110</v>
      </c>
      <c r="C30" s="16" t="n">
        <v>22137.26</v>
      </c>
      <c r="G30" s="16" t="n">
        <v>22137.26</v>
      </c>
    </row>
    <row r="31" customFormat="false" ht="15" hidden="false" customHeight="false" outlineLevel="0" collapsed="false">
      <c r="B31" s="8" t="s">
        <v>111</v>
      </c>
      <c r="C31" s="16" t="n">
        <v>21109.33</v>
      </c>
      <c r="G31" s="16" t="n">
        <v>21109.33</v>
      </c>
    </row>
    <row r="32" customFormat="false" ht="15" hidden="false" customHeight="false" outlineLevel="0" collapsed="false">
      <c r="B32" s="8" t="s">
        <v>112</v>
      </c>
      <c r="C32" s="16" t="n">
        <v>47197.59</v>
      </c>
      <c r="G32" s="16" t="n">
        <v>47197.59</v>
      </c>
    </row>
    <row r="33" customFormat="false" ht="15" hidden="false" customHeight="false" outlineLevel="0" collapsed="false">
      <c r="B33" s="8" t="s">
        <v>113</v>
      </c>
      <c r="C33" s="16" t="n">
        <v>20593.68</v>
      </c>
      <c r="G33" s="16" t="n">
        <v>20593.68</v>
      </c>
    </row>
    <row r="34" customFormat="false" ht="15" hidden="false" customHeight="false" outlineLevel="0" collapsed="false">
      <c r="B34" s="8" t="s">
        <v>114</v>
      </c>
      <c r="C34" s="16" t="n">
        <v>2141.63</v>
      </c>
      <c r="G34" s="16" t="n">
        <v>2141.63</v>
      </c>
    </row>
    <row r="35" customFormat="false" ht="15" hidden="false" customHeight="false" outlineLevel="0" collapsed="false">
      <c r="B35" s="8" t="s">
        <v>115</v>
      </c>
      <c r="C35" s="16" t="n">
        <v>50601.34</v>
      </c>
      <c r="G35" s="16" t="n">
        <v>50601.34</v>
      </c>
    </row>
    <row r="36" customFormat="false" ht="15" hidden="false" customHeight="false" outlineLevel="0" collapsed="false">
      <c r="B36" s="8" t="s">
        <v>116</v>
      </c>
      <c r="C36" s="16" t="n">
        <v>9451.56</v>
      </c>
      <c r="G36" s="16" t="n">
        <v>9451.56</v>
      </c>
    </row>
    <row r="37" customFormat="false" ht="15" hidden="false" customHeight="false" outlineLevel="0" collapsed="false">
      <c r="B37" s="8" t="s">
        <v>117</v>
      </c>
      <c r="C37" s="16" t="n">
        <v>4356.85</v>
      </c>
      <c r="G37" s="16" t="n">
        <v>4356.85</v>
      </c>
    </row>
    <row r="38" customFormat="false" ht="15" hidden="false" customHeight="false" outlineLevel="0" collapsed="false">
      <c r="B38" s="8" t="s">
        <v>118</v>
      </c>
      <c r="C38" s="16" t="n">
        <v>3401.39</v>
      </c>
      <c r="G38" s="16" t="n">
        <v>3401.39</v>
      </c>
    </row>
    <row r="39" customFormat="false" ht="15" hidden="false" customHeight="false" outlineLevel="0" collapsed="false">
      <c r="A39" s="24"/>
      <c r="B39" s="25" t="s">
        <v>57</v>
      </c>
      <c r="C39" s="26" t="n">
        <f aca="false">SUM(C10:C38)</f>
        <v>471019.18</v>
      </c>
      <c r="D39" s="26" t="n">
        <f aca="false">SUM(D10:D38)</f>
        <v>92871.68</v>
      </c>
      <c r="E39" s="26" t="n">
        <f aca="false">SUM(E10:E38)</f>
        <v>0</v>
      </c>
      <c r="F39" s="26" t="n">
        <f aca="false">SUM(F10:F38)</f>
        <v>0</v>
      </c>
      <c r="G39" s="26" t="n">
        <f aca="false">SUM(G10:G38)</f>
        <v>378147.5</v>
      </c>
      <c r="H39" s="24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6" t="n">
        <v>385159.17</v>
      </c>
      <c r="D42" s="16" t="n">
        <v>78794.38</v>
      </c>
      <c r="G42" s="16" t="n">
        <v>306364.79</v>
      </c>
    </row>
    <row r="43" customFormat="false" ht="15" hidden="false" customHeight="false" outlineLevel="0" collapsed="false">
      <c r="B43" s="8" t="s">
        <v>60</v>
      </c>
      <c r="C43" s="16" t="n">
        <v>39460.94</v>
      </c>
      <c r="D43" s="16" t="n">
        <v>8072.77</v>
      </c>
      <c r="G43" s="16" t="n">
        <v>31388.17</v>
      </c>
    </row>
    <row r="44" customFormat="false" ht="15" hidden="false" customHeight="false" outlineLevel="0" collapsed="false">
      <c r="B44" s="8" t="s">
        <v>61</v>
      </c>
      <c r="C44" s="16" t="n">
        <v>29351.11</v>
      </c>
      <c r="D44" s="16" t="n">
        <v>6004.53</v>
      </c>
      <c r="G44" s="16" t="n">
        <v>23346.58</v>
      </c>
    </row>
    <row r="45" customFormat="false" ht="15" hidden="false" customHeight="false" outlineLevel="0" collapsed="false">
      <c r="A45" s="24"/>
      <c r="B45" s="25" t="s">
        <v>62</v>
      </c>
      <c r="C45" s="26" t="n">
        <f aca="false">SUM(C42:C44)</f>
        <v>453971.22</v>
      </c>
      <c r="D45" s="26" t="n">
        <f aca="false">SUM(D42:D44)</f>
        <v>92871.68</v>
      </c>
      <c r="E45" s="24"/>
      <c r="F45" s="26" t="n">
        <f aca="false">SUM(F42:F44)</f>
        <v>0</v>
      </c>
      <c r="G45" s="26" t="n">
        <f aca="false">SUM(G42:G44)</f>
        <v>361099.54</v>
      </c>
      <c r="H45" s="24"/>
    </row>
    <row r="47" customFormat="false" ht="15" hidden="false" customHeight="false" outlineLevel="0" collapsed="false">
      <c r="A47" s="27" t="s">
        <v>63</v>
      </c>
      <c r="B47" s="27"/>
      <c r="C47" s="27"/>
      <c r="D47" s="27"/>
      <c r="E47" s="27"/>
      <c r="F47" s="27"/>
      <c r="G47" s="27"/>
      <c r="H47" s="27"/>
      <c r="I47" s="27"/>
      <c r="J47" s="27"/>
    </row>
    <row r="48" customFormat="false" ht="15" hidden="false" customHeight="false" outlineLevel="0" collapsed="false">
      <c r="A48" s="28" t="s">
        <v>26</v>
      </c>
      <c r="B48" s="28"/>
      <c r="C48" s="28"/>
      <c r="D48" s="28"/>
      <c r="E48" s="28"/>
      <c r="F48" s="28"/>
      <c r="G48" s="28"/>
      <c r="H48" s="28"/>
      <c r="I48" s="28"/>
      <c r="J48" s="28"/>
    </row>
    <row r="49" customFormat="false" ht="15" hidden="false" customHeight="false" outlineLevel="0" collapsed="false">
      <c r="A49" s="29"/>
      <c r="B49" s="29" t="s">
        <v>64</v>
      </c>
      <c r="C49" s="30" t="s">
        <v>65</v>
      </c>
      <c r="D49" s="30" t="s">
        <v>66</v>
      </c>
      <c r="E49" s="30" t="s">
        <v>67</v>
      </c>
      <c r="F49" s="30" t="s">
        <v>68</v>
      </c>
      <c r="G49" s="30" t="s">
        <v>69</v>
      </c>
      <c r="H49" s="30" t="s">
        <v>70</v>
      </c>
      <c r="I49" s="30" t="s">
        <v>71</v>
      </c>
      <c r="J49" s="30" t="s">
        <v>72</v>
      </c>
    </row>
    <row r="50" customFormat="false" ht="15" hidden="false" customHeight="false" outlineLevel="0" collapsed="false">
      <c r="B50" s="31" t="s">
        <v>119</v>
      </c>
      <c r="C50" s="32" t="n">
        <v>39460.94</v>
      </c>
      <c r="D50" s="32" t="n">
        <v>39460.94</v>
      </c>
      <c r="E50" s="32" t="n">
        <v>39460.94</v>
      </c>
      <c r="F50" s="32" t="n">
        <v>0</v>
      </c>
      <c r="G50" s="32" t="n">
        <v>39460.94</v>
      </c>
      <c r="H50" s="32" t="n">
        <v>0</v>
      </c>
      <c r="I50" s="33" t="s">
        <v>74</v>
      </c>
      <c r="J50" s="34" t="n">
        <v>15</v>
      </c>
    </row>
    <row r="51" customFormat="false" ht="15" hidden="false" customHeight="false" outlineLevel="0" collapsed="false">
      <c r="B51" s="35" t="s">
        <v>120</v>
      </c>
      <c r="C51" s="36" t="n">
        <v>385159.17</v>
      </c>
      <c r="D51" s="36" t="n">
        <v>0</v>
      </c>
      <c r="E51" s="36" t="n">
        <v>44940.14</v>
      </c>
      <c r="F51" s="36" t="n">
        <v>14005.86</v>
      </c>
      <c r="G51" s="36" t="n">
        <v>58946</v>
      </c>
      <c r="H51" s="36" t="n">
        <v>326213.17</v>
      </c>
      <c r="I51" s="37" t="s">
        <v>76</v>
      </c>
      <c r="J51" s="38" t="n">
        <v>27.5</v>
      </c>
    </row>
    <row r="52" customFormat="false" ht="15" hidden="false" customHeight="false" outlineLevel="0" collapsed="false">
      <c r="B52" s="31" t="s">
        <v>121</v>
      </c>
      <c r="C52" s="32" t="n">
        <v>29351.11</v>
      </c>
      <c r="D52" s="32" t="n">
        <v>29351.11</v>
      </c>
      <c r="E52" s="32" t="n">
        <v>29351.11</v>
      </c>
      <c r="F52" s="32" t="n">
        <v>0</v>
      </c>
      <c r="G52" s="32" t="n">
        <v>29351.11</v>
      </c>
      <c r="H52" s="32" t="n">
        <v>0</v>
      </c>
      <c r="I52" s="33" t="s">
        <v>78</v>
      </c>
      <c r="J52" s="34" t="n">
        <v>5</v>
      </c>
    </row>
    <row r="53" customFormat="false" ht="15" hidden="false" customHeight="false" outlineLevel="0" collapsed="false">
      <c r="A53" s="10"/>
      <c r="B53" s="11" t="s">
        <v>14</v>
      </c>
      <c r="C53" s="39" t="n">
        <f aca="false">SUM(C50:C52)</f>
        <v>453971.22</v>
      </c>
      <c r="D53" s="39" t="n">
        <f aca="false">SUM(D50:D52)</f>
        <v>68812.05</v>
      </c>
      <c r="E53" s="39" t="n">
        <f aca="false">SUM(E50:E52)</f>
        <v>113752.19</v>
      </c>
      <c r="F53" s="39" t="n">
        <f aca="false">SUM(F50:F52)</f>
        <v>14005.86</v>
      </c>
      <c r="G53" s="39" t="n">
        <f aca="false">SUM(G50:G52)</f>
        <v>127758.05</v>
      </c>
      <c r="H53" s="39" t="n">
        <f aca="false">SUM(H50:H52)</f>
        <v>326213.17</v>
      </c>
      <c r="I53" s="10"/>
      <c r="J53" s="10"/>
    </row>
    <row r="55" customFormat="false" ht="15" hidden="false" customHeight="false" outlineLevel="0" collapsed="false">
      <c r="A55" s="40" t="s">
        <v>79</v>
      </c>
      <c r="B55" s="40"/>
      <c r="C55" s="40"/>
      <c r="D55" s="40"/>
      <c r="E55" s="40"/>
      <c r="F55" s="40"/>
      <c r="G55" s="40"/>
      <c r="H55" s="40"/>
      <c r="I55" s="40"/>
      <c r="J55" s="40"/>
    </row>
    <row r="56" customFormat="false" ht="15" hidden="false" customHeight="false" outlineLevel="0" collapsed="false">
      <c r="A56" s="29"/>
      <c r="B56" s="29" t="s">
        <v>64</v>
      </c>
      <c r="C56" s="30" t="s">
        <v>65</v>
      </c>
      <c r="D56" s="30" t="s">
        <v>66</v>
      </c>
      <c r="E56" s="30" t="s">
        <v>67</v>
      </c>
      <c r="F56" s="30" t="s">
        <v>68</v>
      </c>
      <c r="G56" s="30" t="s">
        <v>69</v>
      </c>
      <c r="H56" s="30" t="s">
        <v>70</v>
      </c>
      <c r="I56" s="30" t="s">
        <v>71</v>
      </c>
      <c r="J56" s="30" t="s">
        <v>72</v>
      </c>
    </row>
    <row r="57" customFormat="false" ht="15" hidden="false" customHeight="false" outlineLevel="0" collapsed="false">
      <c r="B57" s="31" t="s">
        <v>122</v>
      </c>
      <c r="C57" s="32" t="n">
        <v>8072.77</v>
      </c>
      <c r="D57" s="32" t="n">
        <v>8072.77</v>
      </c>
      <c r="E57" s="32" t="n">
        <v>8072.77</v>
      </c>
      <c r="F57" s="32" t="n">
        <v>0</v>
      </c>
      <c r="G57" s="32" t="n">
        <v>8072.77</v>
      </c>
      <c r="H57" s="32" t="n">
        <v>0</v>
      </c>
      <c r="I57" s="33" t="s">
        <v>78</v>
      </c>
      <c r="J57" s="34" t="n">
        <v>5</v>
      </c>
    </row>
    <row r="58" customFormat="false" ht="15" hidden="false" customHeight="false" outlineLevel="0" collapsed="false">
      <c r="B58" s="35" t="s">
        <v>123</v>
      </c>
      <c r="C58" s="36" t="n">
        <v>31388.17</v>
      </c>
      <c r="D58" s="36" t="n">
        <v>0</v>
      </c>
      <c r="E58" s="36" t="n">
        <v>3661.96</v>
      </c>
      <c r="F58" s="36" t="n">
        <v>1141.39</v>
      </c>
      <c r="G58" s="36" t="n">
        <v>4803.35</v>
      </c>
      <c r="H58" s="36" t="n">
        <v>26584.82</v>
      </c>
      <c r="I58" s="37" t="s">
        <v>76</v>
      </c>
      <c r="J58" s="38" t="n">
        <v>27.5</v>
      </c>
    </row>
    <row r="59" customFormat="false" ht="15" hidden="false" customHeight="false" outlineLevel="0" collapsed="false">
      <c r="B59" s="31" t="s">
        <v>124</v>
      </c>
      <c r="C59" s="32" t="n">
        <v>78794.38</v>
      </c>
      <c r="D59" s="32" t="n">
        <v>78794.38</v>
      </c>
      <c r="E59" s="32" t="n">
        <v>78794.38</v>
      </c>
      <c r="F59" s="32" t="n">
        <v>0</v>
      </c>
      <c r="G59" s="32" t="n">
        <v>78794.38</v>
      </c>
      <c r="H59" s="32" t="n">
        <v>0</v>
      </c>
      <c r="I59" s="33" t="s">
        <v>78</v>
      </c>
      <c r="J59" s="34" t="n">
        <v>5</v>
      </c>
    </row>
    <row r="60" customFormat="false" ht="15" hidden="false" customHeight="false" outlineLevel="0" collapsed="false">
      <c r="B60" s="35" t="s">
        <v>125</v>
      </c>
      <c r="C60" s="36" t="n">
        <v>306364.79</v>
      </c>
      <c r="D60" s="36" t="n">
        <v>0</v>
      </c>
      <c r="E60" s="36" t="n">
        <v>35742.57</v>
      </c>
      <c r="F60" s="36" t="n">
        <v>11140.54</v>
      </c>
      <c r="G60" s="36" t="n">
        <v>46883.11</v>
      </c>
      <c r="H60" s="36" t="n">
        <v>259481.68</v>
      </c>
      <c r="I60" s="37" t="s">
        <v>76</v>
      </c>
      <c r="J60" s="38" t="n">
        <v>27.5</v>
      </c>
    </row>
    <row r="61" customFormat="false" ht="15" hidden="false" customHeight="false" outlineLevel="0" collapsed="false">
      <c r="B61" s="31" t="s">
        <v>126</v>
      </c>
      <c r="C61" s="32" t="n">
        <v>6004.53</v>
      </c>
      <c r="D61" s="32" t="n">
        <v>6004.53</v>
      </c>
      <c r="E61" s="32" t="n">
        <v>6004.53</v>
      </c>
      <c r="F61" s="32" t="n">
        <v>0</v>
      </c>
      <c r="G61" s="32" t="n">
        <v>6004.53</v>
      </c>
      <c r="H61" s="32" t="n">
        <v>0</v>
      </c>
      <c r="I61" s="33" t="s">
        <v>78</v>
      </c>
      <c r="J61" s="34" t="n">
        <v>5</v>
      </c>
    </row>
    <row r="62" customFormat="false" ht="15" hidden="false" customHeight="false" outlineLevel="0" collapsed="false">
      <c r="B62" s="35" t="s">
        <v>127</v>
      </c>
      <c r="C62" s="36" t="n">
        <v>23346.58</v>
      </c>
      <c r="D62" s="36" t="n">
        <v>0</v>
      </c>
      <c r="E62" s="36" t="n">
        <v>2723.78</v>
      </c>
      <c r="F62" s="36" t="n">
        <v>848.97</v>
      </c>
      <c r="G62" s="36" t="n">
        <v>3572.75</v>
      </c>
      <c r="H62" s="36" t="n">
        <v>19773.83</v>
      </c>
      <c r="I62" s="37" t="s">
        <v>76</v>
      </c>
      <c r="J62" s="38" t="n">
        <v>27.5</v>
      </c>
    </row>
    <row r="63" customFormat="false" ht="15" hidden="false" customHeight="false" outlineLevel="0" collapsed="false">
      <c r="A63" s="10"/>
      <c r="B63" s="11" t="s">
        <v>14</v>
      </c>
      <c r="C63" s="39" t="n">
        <f aca="false">SUM(C57:C62)</f>
        <v>453971.22</v>
      </c>
      <c r="D63" s="39" t="n">
        <f aca="false">SUM(D57:D62)</f>
        <v>92871.68</v>
      </c>
      <c r="E63" s="39" t="n">
        <f aca="false">SUM(E57:E62)</f>
        <v>134999.99</v>
      </c>
      <c r="F63" s="39" t="n">
        <f aca="false">SUM(F57:F62)</f>
        <v>13130.9</v>
      </c>
      <c r="G63" s="39" t="n">
        <f aca="false">SUM(G57:G62)</f>
        <v>148130.89</v>
      </c>
      <c r="H63" s="39" t="n">
        <f aca="false">SUM(H57:H62)</f>
        <v>305840.33</v>
      </c>
      <c r="I63" s="10"/>
      <c r="J63" s="10"/>
    </row>
    <row r="65" customFormat="false" ht="15" hidden="false" customHeight="false" outlineLevel="0" collapsed="false">
      <c r="A65" s="27" t="s">
        <v>28</v>
      </c>
      <c r="B65" s="27"/>
      <c r="C65" s="27"/>
      <c r="D65" s="27"/>
      <c r="E65" s="27"/>
    </row>
    <row r="66" customFormat="false" ht="15" hidden="false" customHeight="false" outlineLevel="0" collapsed="false">
      <c r="B66" s="8" t="s">
        <v>86</v>
      </c>
      <c r="C66" s="41" t="n">
        <f aca="false">G53</f>
        <v>127758.05</v>
      </c>
    </row>
    <row r="67" customFormat="false" ht="15" hidden="false" customHeight="false" outlineLevel="0" collapsed="false">
      <c r="B67" s="8" t="s">
        <v>87</v>
      </c>
      <c r="C67" s="41" t="n">
        <f aca="false">G63</f>
        <v>148130.89</v>
      </c>
    </row>
    <row r="68" customFormat="false" ht="15" hidden="false" customHeight="false" outlineLevel="0" collapsed="false">
      <c r="B68" s="17" t="s">
        <v>28</v>
      </c>
      <c r="C68" s="42" t="n">
        <f aca="false">C67-C66</f>
        <v>20372.84</v>
      </c>
    </row>
  </sheetData>
  <mergeCells count="11">
    <mergeCell ref="A2:J2"/>
    <mergeCell ref="A3:J3"/>
    <mergeCell ref="A4:J4"/>
    <mergeCell ref="A8:J8"/>
    <mergeCell ref="B10:J10"/>
    <mergeCell ref="B21:J21"/>
    <mergeCell ref="B41:J41"/>
    <mergeCell ref="A47:J47"/>
    <mergeCell ref="A48:J48"/>
    <mergeCell ref="A55:J55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132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31</v>
      </c>
      <c r="C6" s="8" t="s">
        <v>16</v>
      </c>
    </row>
    <row r="8" customFormat="false" ht="15" hidden="false" customHeight="false" outlineLevel="0" collapsed="false">
      <c r="A8" s="21" t="s">
        <v>133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33</v>
      </c>
      <c r="C9" s="23" t="s">
        <v>34</v>
      </c>
      <c r="D9" s="23" t="s">
        <v>35</v>
      </c>
      <c r="E9" s="23" t="s">
        <v>36</v>
      </c>
      <c r="F9" s="23" t="s">
        <v>37</v>
      </c>
      <c r="G9" s="23" t="s">
        <v>38</v>
      </c>
      <c r="H9" s="23" t="s">
        <v>39</v>
      </c>
    </row>
    <row r="10" customFormat="false" ht="15" hidden="false" customHeight="false" outlineLevel="0" collapsed="false">
      <c r="A10" s="5"/>
      <c r="B10" s="6" t="s">
        <v>90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91</v>
      </c>
      <c r="C11" s="16" t="n">
        <v>14397.17</v>
      </c>
      <c r="D11" s="16" t="n">
        <v>14397.17</v>
      </c>
    </row>
    <row r="12" customFormat="false" ht="15" hidden="false" customHeight="false" outlineLevel="0" collapsed="false">
      <c r="B12" s="8" t="s">
        <v>92</v>
      </c>
      <c r="C12" s="16" t="n">
        <v>9008.6</v>
      </c>
      <c r="D12" s="16" t="n">
        <v>9008.6</v>
      </c>
    </row>
    <row r="13" customFormat="false" ht="15" hidden="false" customHeight="false" outlineLevel="0" collapsed="false">
      <c r="B13" s="8" t="s">
        <v>93</v>
      </c>
      <c r="C13" s="16" t="n">
        <v>35260.48</v>
      </c>
      <c r="D13" s="16" t="n">
        <v>35260.48</v>
      </c>
    </row>
    <row r="14" customFormat="false" ht="15" hidden="false" customHeight="false" outlineLevel="0" collapsed="false">
      <c r="B14" s="8" t="s">
        <v>94</v>
      </c>
      <c r="C14" s="16" t="n">
        <v>3082.53</v>
      </c>
      <c r="D14" s="16" t="n">
        <v>3082.53</v>
      </c>
    </row>
    <row r="15" customFormat="false" ht="15" hidden="false" customHeight="false" outlineLevel="0" collapsed="false">
      <c r="B15" s="8" t="s">
        <v>95</v>
      </c>
      <c r="C15" s="16" t="n">
        <v>281.84</v>
      </c>
      <c r="D15" s="16" t="n">
        <v>281.84</v>
      </c>
    </row>
    <row r="16" customFormat="false" ht="15" hidden="false" customHeight="false" outlineLevel="0" collapsed="false">
      <c r="B16" s="8" t="s">
        <v>96</v>
      </c>
      <c r="C16" s="16" t="n">
        <v>7199.04</v>
      </c>
      <c r="D16" s="16" t="n">
        <v>7199.04</v>
      </c>
    </row>
    <row r="17" customFormat="false" ht="15" hidden="false" customHeight="false" outlineLevel="0" collapsed="false">
      <c r="B17" s="8" t="s">
        <v>97</v>
      </c>
      <c r="C17" s="16" t="n">
        <v>3080.11</v>
      </c>
      <c r="D17" s="16" t="n">
        <v>3080.11</v>
      </c>
    </row>
    <row r="18" customFormat="false" ht="15" hidden="false" customHeight="false" outlineLevel="0" collapsed="false">
      <c r="B18" s="8" t="s">
        <v>98</v>
      </c>
      <c r="C18" s="16" t="n">
        <v>10047.72</v>
      </c>
      <c r="D18" s="16" t="n">
        <v>10047.72</v>
      </c>
    </row>
    <row r="19" customFormat="false" ht="15" hidden="false" customHeight="false" outlineLevel="0" collapsed="false">
      <c r="B19" s="8" t="s">
        <v>99</v>
      </c>
      <c r="C19" s="16" t="n">
        <v>1797.27</v>
      </c>
      <c r="D19" s="16" t="n">
        <v>1797.27</v>
      </c>
    </row>
    <row r="20" customFormat="false" ht="15" hidden="false" customHeight="false" outlineLevel="0" collapsed="false">
      <c r="B20" s="8" t="s">
        <v>100</v>
      </c>
      <c r="C20" s="16" t="n">
        <v>12546.68</v>
      </c>
      <c r="D20" s="16" t="n">
        <v>12546.68</v>
      </c>
    </row>
    <row r="21" customFormat="false" ht="15" hidden="false" customHeight="false" outlineLevel="0" collapsed="false">
      <c r="A21" s="5"/>
      <c r="B21" s="6" t="s">
        <v>101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102</v>
      </c>
      <c r="C22" s="16" t="n">
        <v>5968.07</v>
      </c>
      <c r="G22" s="16" t="n">
        <v>5968.07</v>
      </c>
    </row>
    <row r="23" customFormat="false" ht="15" hidden="false" customHeight="false" outlineLevel="0" collapsed="false">
      <c r="B23" s="8" t="s">
        <v>103</v>
      </c>
      <c r="C23" s="16" t="n">
        <v>24046.3</v>
      </c>
      <c r="G23" s="16" t="n">
        <v>24046.3</v>
      </c>
    </row>
    <row r="24" customFormat="false" ht="15" hidden="false" customHeight="false" outlineLevel="0" collapsed="false">
      <c r="B24" s="8" t="s">
        <v>104</v>
      </c>
      <c r="C24" s="16" t="n">
        <v>34611.87</v>
      </c>
      <c r="G24" s="16" t="n">
        <v>34611.87</v>
      </c>
    </row>
    <row r="25" customFormat="false" ht="15" hidden="false" customHeight="false" outlineLevel="0" collapsed="false">
      <c r="B25" s="8" t="s">
        <v>105</v>
      </c>
      <c r="C25" s="16" t="n">
        <v>37471.27</v>
      </c>
      <c r="G25" s="16" t="n">
        <v>37471.27</v>
      </c>
    </row>
    <row r="26" customFormat="false" ht="15" hidden="false" customHeight="false" outlineLevel="0" collapsed="false">
      <c r="B26" s="8" t="s">
        <v>106</v>
      </c>
      <c r="C26" s="16" t="n">
        <v>30087.91</v>
      </c>
      <c r="G26" s="16" t="n">
        <v>30087.91</v>
      </c>
    </row>
    <row r="27" customFormat="false" ht="15" hidden="false" customHeight="false" outlineLevel="0" collapsed="false">
      <c r="B27" s="8" t="s">
        <v>107</v>
      </c>
      <c r="C27" s="16" t="n">
        <v>2346.02</v>
      </c>
      <c r="G27" s="16" t="n">
        <v>2346.02</v>
      </c>
    </row>
    <row r="28" customFormat="false" ht="15" hidden="false" customHeight="false" outlineLevel="0" collapsed="false">
      <c r="B28" s="8" t="s">
        <v>108</v>
      </c>
      <c r="C28" s="16" t="n">
        <v>39682.49</v>
      </c>
      <c r="G28" s="16" t="n">
        <v>39682.49</v>
      </c>
    </row>
    <row r="29" customFormat="false" ht="15" hidden="false" customHeight="false" outlineLevel="0" collapsed="false">
      <c r="B29" s="8" t="s">
        <v>109</v>
      </c>
      <c r="C29" s="16" t="n">
        <v>27903.19</v>
      </c>
      <c r="G29" s="16" t="n">
        <v>27903.19</v>
      </c>
    </row>
    <row r="30" customFormat="false" ht="15" hidden="false" customHeight="false" outlineLevel="0" collapsed="false">
      <c r="B30" s="8" t="s">
        <v>110</v>
      </c>
      <c r="C30" s="16" t="n">
        <v>23520.52</v>
      </c>
      <c r="G30" s="16" t="n">
        <v>23520.52</v>
      </c>
    </row>
    <row r="31" customFormat="false" ht="15" hidden="false" customHeight="false" outlineLevel="0" collapsed="false">
      <c r="B31" s="8" t="s">
        <v>111</v>
      </c>
      <c r="C31" s="16" t="n">
        <v>22580.13</v>
      </c>
      <c r="G31" s="16" t="n">
        <v>22580.13</v>
      </c>
    </row>
    <row r="32" customFormat="false" ht="15" hidden="false" customHeight="false" outlineLevel="0" collapsed="false">
      <c r="B32" s="8" t="s">
        <v>112</v>
      </c>
      <c r="C32" s="16" t="n">
        <v>51098.22</v>
      </c>
      <c r="G32" s="16" t="n">
        <v>51098.22</v>
      </c>
    </row>
    <row r="33" customFormat="false" ht="15" hidden="false" customHeight="false" outlineLevel="0" collapsed="false">
      <c r="B33" s="8" t="s">
        <v>113</v>
      </c>
      <c r="C33" s="16" t="n">
        <v>22218.44</v>
      </c>
      <c r="G33" s="16" t="n">
        <v>22218.44</v>
      </c>
    </row>
    <row r="34" customFormat="false" ht="15" hidden="false" customHeight="false" outlineLevel="0" collapsed="false">
      <c r="B34" s="8" t="s">
        <v>114</v>
      </c>
      <c r="C34" s="16" t="n">
        <v>2432.62</v>
      </c>
      <c r="G34" s="16" t="n">
        <v>2432.62</v>
      </c>
    </row>
    <row r="35" customFormat="false" ht="15" hidden="false" customHeight="false" outlineLevel="0" collapsed="false">
      <c r="B35" s="8" t="s">
        <v>115</v>
      </c>
      <c r="C35" s="16" t="n">
        <v>54440.97</v>
      </c>
      <c r="G35" s="16" t="n">
        <v>54440.97</v>
      </c>
    </row>
    <row r="36" customFormat="false" ht="15" hidden="false" customHeight="false" outlineLevel="0" collapsed="false">
      <c r="B36" s="8" t="s">
        <v>116</v>
      </c>
      <c r="C36" s="16" t="n">
        <v>9451.56</v>
      </c>
      <c r="G36" s="16" t="n">
        <v>9451.56</v>
      </c>
    </row>
    <row r="37" customFormat="false" ht="15" hidden="false" customHeight="false" outlineLevel="0" collapsed="false">
      <c r="B37" s="8" t="s">
        <v>117</v>
      </c>
      <c r="C37" s="16" t="n">
        <v>4356.85</v>
      </c>
      <c r="G37" s="16" t="n">
        <v>4356.85</v>
      </c>
    </row>
    <row r="38" customFormat="false" ht="15" hidden="false" customHeight="false" outlineLevel="0" collapsed="false">
      <c r="B38" s="8" t="s">
        <v>118</v>
      </c>
      <c r="C38" s="16" t="n">
        <v>3401.39</v>
      </c>
      <c r="G38" s="16" t="n">
        <v>3401.39</v>
      </c>
    </row>
    <row r="39" customFormat="false" ht="15" hidden="false" customHeight="false" outlineLevel="0" collapsed="false">
      <c r="A39" s="24"/>
      <c r="B39" s="25" t="s">
        <v>57</v>
      </c>
      <c r="C39" s="26" t="n">
        <f aca="false">SUM(C10:C38)</f>
        <v>492319.26</v>
      </c>
      <c r="D39" s="26" t="n">
        <f aca="false">SUM(D10:D38)</f>
        <v>96701.44</v>
      </c>
      <c r="E39" s="26" t="n">
        <f aca="false">SUM(E10:E38)</f>
        <v>0</v>
      </c>
      <c r="F39" s="26" t="n">
        <f aca="false">SUM(F10:F38)</f>
        <v>0</v>
      </c>
      <c r="G39" s="26" t="n">
        <f aca="false">SUM(G10:G38)</f>
        <v>395617.82</v>
      </c>
      <c r="H39" s="24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6" t="n">
        <v>394367.34</v>
      </c>
      <c r="D42" s="16" t="n">
        <v>82043.63</v>
      </c>
      <c r="G42" s="16" t="n">
        <v>312323.71</v>
      </c>
    </row>
    <row r="43" customFormat="false" ht="15" hidden="false" customHeight="false" outlineLevel="0" collapsed="false">
      <c r="B43" s="8" t="s">
        <v>60</v>
      </c>
      <c r="C43" s="16" t="n">
        <v>40404.35</v>
      </c>
      <c r="D43" s="16" t="n">
        <v>8405.66</v>
      </c>
      <c r="G43" s="16" t="n">
        <v>31998.69</v>
      </c>
    </row>
    <row r="44" customFormat="false" ht="15" hidden="false" customHeight="false" outlineLevel="0" collapsed="false">
      <c r="B44" s="8" t="s">
        <v>61</v>
      </c>
      <c r="C44" s="16" t="n">
        <v>30052.82</v>
      </c>
      <c r="D44" s="16" t="n">
        <v>6252.15</v>
      </c>
      <c r="G44" s="16" t="n">
        <v>23800.67</v>
      </c>
    </row>
    <row r="45" customFormat="false" ht="15" hidden="false" customHeight="false" outlineLevel="0" collapsed="false">
      <c r="A45" s="24"/>
      <c r="B45" s="25" t="s">
        <v>62</v>
      </c>
      <c r="C45" s="26" t="n">
        <f aca="false">SUM(C42:C44)</f>
        <v>464824.51</v>
      </c>
      <c r="D45" s="26" t="n">
        <f aca="false">SUM(D42:D44)</f>
        <v>96701.44</v>
      </c>
      <c r="E45" s="24"/>
      <c r="F45" s="26" t="n">
        <f aca="false">SUM(F42:F44)</f>
        <v>0</v>
      </c>
      <c r="G45" s="26" t="n">
        <f aca="false">SUM(G42:G44)</f>
        <v>368123.07</v>
      </c>
      <c r="H45" s="24"/>
    </row>
    <row r="47" customFormat="false" ht="15" hidden="false" customHeight="false" outlineLevel="0" collapsed="false">
      <c r="A47" s="27" t="s">
        <v>63</v>
      </c>
      <c r="B47" s="27"/>
      <c r="C47" s="27"/>
      <c r="D47" s="27"/>
      <c r="E47" s="27"/>
      <c r="F47" s="27"/>
      <c r="G47" s="27"/>
      <c r="H47" s="27"/>
      <c r="I47" s="27"/>
      <c r="J47" s="27"/>
    </row>
    <row r="48" customFormat="false" ht="15" hidden="false" customHeight="false" outlineLevel="0" collapsed="false">
      <c r="A48" s="28" t="s">
        <v>26</v>
      </c>
      <c r="B48" s="28"/>
      <c r="C48" s="28"/>
      <c r="D48" s="28"/>
      <c r="E48" s="28"/>
      <c r="F48" s="28"/>
      <c r="G48" s="28"/>
      <c r="H48" s="28"/>
      <c r="I48" s="28"/>
      <c r="J48" s="28"/>
    </row>
    <row r="49" customFormat="false" ht="15" hidden="false" customHeight="false" outlineLevel="0" collapsed="false">
      <c r="A49" s="29"/>
      <c r="B49" s="29" t="s">
        <v>64</v>
      </c>
      <c r="C49" s="30" t="s">
        <v>65</v>
      </c>
      <c r="D49" s="30" t="s">
        <v>66</v>
      </c>
      <c r="E49" s="30" t="s">
        <v>67</v>
      </c>
      <c r="F49" s="30" t="s">
        <v>68</v>
      </c>
      <c r="G49" s="30" t="s">
        <v>69</v>
      </c>
      <c r="H49" s="30" t="s">
        <v>70</v>
      </c>
      <c r="I49" s="30" t="s">
        <v>71</v>
      </c>
      <c r="J49" s="30" t="s">
        <v>72</v>
      </c>
    </row>
    <row r="50" customFormat="false" ht="15" hidden="false" customHeight="false" outlineLevel="0" collapsed="false">
      <c r="B50" s="31" t="s">
        <v>119</v>
      </c>
      <c r="C50" s="32" t="n">
        <v>40404.35</v>
      </c>
      <c r="D50" s="32" t="n">
        <v>40404.35</v>
      </c>
      <c r="E50" s="32" t="n">
        <v>40404.35</v>
      </c>
      <c r="F50" s="32" t="n">
        <v>0</v>
      </c>
      <c r="G50" s="32" t="n">
        <v>40404.35</v>
      </c>
      <c r="H50" s="32" t="n">
        <v>0</v>
      </c>
      <c r="I50" s="33" t="s">
        <v>74</v>
      </c>
      <c r="J50" s="34" t="n">
        <v>15</v>
      </c>
    </row>
    <row r="51" customFormat="false" ht="15" hidden="false" customHeight="false" outlineLevel="0" collapsed="false">
      <c r="B51" s="35" t="s">
        <v>120</v>
      </c>
      <c r="C51" s="36" t="n">
        <v>394367.34</v>
      </c>
      <c r="D51" s="36" t="n">
        <v>0</v>
      </c>
      <c r="E51" s="36" t="n">
        <v>46014.55</v>
      </c>
      <c r="F51" s="36" t="n">
        <v>14340.71</v>
      </c>
      <c r="G51" s="36" t="n">
        <v>60355.26</v>
      </c>
      <c r="H51" s="36" t="n">
        <v>334012.08</v>
      </c>
      <c r="I51" s="37" t="s">
        <v>76</v>
      </c>
      <c r="J51" s="38" t="n">
        <v>27.5</v>
      </c>
    </row>
    <row r="52" customFormat="false" ht="15" hidden="false" customHeight="false" outlineLevel="0" collapsed="false">
      <c r="B52" s="31" t="s">
        <v>121</v>
      </c>
      <c r="C52" s="32" t="n">
        <v>30052.82</v>
      </c>
      <c r="D52" s="32" t="n">
        <v>30052.82</v>
      </c>
      <c r="E52" s="32" t="n">
        <v>30052.82</v>
      </c>
      <c r="F52" s="32" t="n">
        <v>0</v>
      </c>
      <c r="G52" s="32" t="n">
        <v>30052.82</v>
      </c>
      <c r="H52" s="32" t="n">
        <v>0</v>
      </c>
      <c r="I52" s="33" t="s">
        <v>78</v>
      </c>
      <c r="J52" s="34" t="n">
        <v>5</v>
      </c>
    </row>
    <row r="53" customFormat="false" ht="15" hidden="false" customHeight="false" outlineLevel="0" collapsed="false">
      <c r="A53" s="10"/>
      <c r="B53" s="11" t="s">
        <v>14</v>
      </c>
      <c r="C53" s="39" t="n">
        <f aca="false">SUM(C50:C52)</f>
        <v>464824.51</v>
      </c>
      <c r="D53" s="39" t="n">
        <f aca="false">SUM(D50:D52)</f>
        <v>70457.17</v>
      </c>
      <c r="E53" s="39" t="n">
        <f aca="false">SUM(E50:E52)</f>
        <v>116471.72</v>
      </c>
      <c r="F53" s="39" t="n">
        <f aca="false">SUM(F50:F52)</f>
        <v>14340.71</v>
      </c>
      <c r="G53" s="39" t="n">
        <f aca="false">SUM(G50:G52)</f>
        <v>130812.43</v>
      </c>
      <c r="H53" s="39" t="n">
        <f aca="false">SUM(H50:H52)</f>
        <v>334012.08</v>
      </c>
      <c r="I53" s="10"/>
      <c r="J53" s="10"/>
    </row>
    <row r="55" customFormat="false" ht="15" hidden="false" customHeight="false" outlineLevel="0" collapsed="false">
      <c r="A55" s="40" t="s">
        <v>79</v>
      </c>
      <c r="B55" s="40"/>
      <c r="C55" s="40"/>
      <c r="D55" s="40"/>
      <c r="E55" s="40"/>
      <c r="F55" s="40"/>
      <c r="G55" s="40"/>
      <c r="H55" s="40"/>
      <c r="I55" s="40"/>
      <c r="J55" s="40"/>
    </row>
    <row r="56" customFormat="false" ht="15" hidden="false" customHeight="false" outlineLevel="0" collapsed="false">
      <c r="A56" s="29"/>
      <c r="B56" s="29" t="s">
        <v>64</v>
      </c>
      <c r="C56" s="30" t="s">
        <v>65</v>
      </c>
      <c r="D56" s="30" t="s">
        <v>66</v>
      </c>
      <c r="E56" s="30" t="s">
        <v>67</v>
      </c>
      <c r="F56" s="30" t="s">
        <v>68</v>
      </c>
      <c r="G56" s="30" t="s">
        <v>69</v>
      </c>
      <c r="H56" s="30" t="s">
        <v>70</v>
      </c>
      <c r="I56" s="30" t="s">
        <v>71</v>
      </c>
      <c r="J56" s="30" t="s">
        <v>72</v>
      </c>
    </row>
    <row r="57" customFormat="false" ht="15" hidden="false" customHeight="false" outlineLevel="0" collapsed="false">
      <c r="B57" s="31" t="s">
        <v>122</v>
      </c>
      <c r="C57" s="32" t="n">
        <v>8405.66</v>
      </c>
      <c r="D57" s="32" t="n">
        <v>8405.66</v>
      </c>
      <c r="E57" s="32" t="n">
        <v>8405.66</v>
      </c>
      <c r="F57" s="32" t="n">
        <v>0</v>
      </c>
      <c r="G57" s="32" t="n">
        <v>8405.66</v>
      </c>
      <c r="H57" s="32" t="n">
        <v>0</v>
      </c>
      <c r="I57" s="33" t="s">
        <v>78</v>
      </c>
      <c r="J57" s="34" t="n">
        <v>5</v>
      </c>
    </row>
    <row r="58" customFormat="false" ht="15" hidden="false" customHeight="false" outlineLevel="0" collapsed="false">
      <c r="B58" s="35" t="s">
        <v>123</v>
      </c>
      <c r="C58" s="36" t="n">
        <v>31998.69</v>
      </c>
      <c r="D58" s="36" t="n">
        <v>0</v>
      </c>
      <c r="E58" s="36" t="n">
        <v>3733.18</v>
      </c>
      <c r="F58" s="36" t="n">
        <v>1163.59</v>
      </c>
      <c r="G58" s="36" t="n">
        <v>4896.77</v>
      </c>
      <c r="H58" s="36" t="n">
        <v>27101.92</v>
      </c>
      <c r="I58" s="37" t="s">
        <v>76</v>
      </c>
      <c r="J58" s="38" t="n">
        <v>27.5</v>
      </c>
    </row>
    <row r="59" customFormat="false" ht="15" hidden="false" customHeight="false" outlineLevel="0" collapsed="false">
      <c r="B59" s="31" t="s">
        <v>124</v>
      </c>
      <c r="C59" s="32" t="n">
        <v>82043.63</v>
      </c>
      <c r="D59" s="32" t="n">
        <v>82043.63</v>
      </c>
      <c r="E59" s="32" t="n">
        <v>82043.63</v>
      </c>
      <c r="F59" s="32" t="n">
        <v>0</v>
      </c>
      <c r="G59" s="32" t="n">
        <v>82043.63</v>
      </c>
      <c r="H59" s="32" t="n">
        <v>0</v>
      </c>
      <c r="I59" s="33" t="s">
        <v>78</v>
      </c>
      <c r="J59" s="34" t="n">
        <v>5</v>
      </c>
    </row>
    <row r="60" customFormat="false" ht="15" hidden="false" customHeight="false" outlineLevel="0" collapsed="false">
      <c r="B60" s="35" t="s">
        <v>125</v>
      </c>
      <c r="C60" s="36" t="n">
        <v>312323.71</v>
      </c>
      <c r="D60" s="36" t="n">
        <v>0</v>
      </c>
      <c r="E60" s="36" t="n">
        <v>36437.78</v>
      </c>
      <c r="F60" s="36" t="n">
        <v>11357.23</v>
      </c>
      <c r="G60" s="36" t="n">
        <v>47795.01</v>
      </c>
      <c r="H60" s="36" t="n">
        <v>264528.7</v>
      </c>
      <c r="I60" s="37" t="s">
        <v>76</v>
      </c>
      <c r="J60" s="38" t="n">
        <v>27.5</v>
      </c>
    </row>
    <row r="61" customFormat="false" ht="15" hidden="false" customHeight="false" outlineLevel="0" collapsed="false">
      <c r="B61" s="31" t="s">
        <v>126</v>
      </c>
      <c r="C61" s="32" t="n">
        <v>6252.15</v>
      </c>
      <c r="D61" s="32" t="n">
        <v>6252.15</v>
      </c>
      <c r="E61" s="32" t="n">
        <v>6252.15</v>
      </c>
      <c r="F61" s="32" t="n">
        <v>0</v>
      </c>
      <c r="G61" s="32" t="n">
        <v>6252.15</v>
      </c>
      <c r="H61" s="32" t="n">
        <v>0</v>
      </c>
      <c r="I61" s="33" t="s">
        <v>78</v>
      </c>
      <c r="J61" s="34" t="n">
        <v>5</v>
      </c>
    </row>
    <row r="62" customFormat="false" ht="15" hidden="false" customHeight="false" outlineLevel="0" collapsed="false">
      <c r="B62" s="35" t="s">
        <v>127</v>
      </c>
      <c r="C62" s="36" t="n">
        <v>23800.67</v>
      </c>
      <c r="D62" s="36" t="n">
        <v>0</v>
      </c>
      <c r="E62" s="36" t="n">
        <v>2776.75</v>
      </c>
      <c r="F62" s="36" t="n">
        <v>865.48</v>
      </c>
      <c r="G62" s="36" t="n">
        <v>3642.23</v>
      </c>
      <c r="H62" s="36" t="n">
        <v>20158.44</v>
      </c>
      <c r="I62" s="37" t="s">
        <v>76</v>
      </c>
      <c r="J62" s="38" t="n">
        <v>27.5</v>
      </c>
    </row>
    <row r="63" customFormat="false" ht="15" hidden="false" customHeight="false" outlineLevel="0" collapsed="false">
      <c r="A63" s="10"/>
      <c r="B63" s="11" t="s">
        <v>14</v>
      </c>
      <c r="C63" s="39" t="n">
        <f aca="false">SUM(C57:C62)</f>
        <v>464824.51</v>
      </c>
      <c r="D63" s="39" t="n">
        <f aca="false">SUM(D57:D62)</f>
        <v>96701.44</v>
      </c>
      <c r="E63" s="39" t="n">
        <f aca="false">SUM(E57:E62)</f>
        <v>139649.15</v>
      </c>
      <c r="F63" s="39" t="n">
        <f aca="false">SUM(F57:F62)</f>
        <v>13386.3</v>
      </c>
      <c r="G63" s="39" t="n">
        <f aca="false">SUM(G57:G62)</f>
        <v>153035.45</v>
      </c>
      <c r="H63" s="39" t="n">
        <f aca="false">SUM(H57:H62)</f>
        <v>311789.06</v>
      </c>
      <c r="I63" s="10"/>
      <c r="J63" s="10"/>
    </row>
    <row r="65" customFormat="false" ht="15" hidden="false" customHeight="false" outlineLevel="0" collapsed="false">
      <c r="A65" s="27" t="s">
        <v>28</v>
      </c>
      <c r="B65" s="27"/>
      <c r="C65" s="27"/>
      <c r="D65" s="27"/>
      <c r="E65" s="27"/>
    </row>
    <row r="66" customFormat="false" ht="15" hidden="false" customHeight="false" outlineLevel="0" collapsed="false">
      <c r="B66" s="8" t="s">
        <v>86</v>
      </c>
      <c r="C66" s="41" t="n">
        <f aca="false">G53</f>
        <v>130812.43</v>
      </c>
    </row>
    <row r="67" customFormat="false" ht="15" hidden="false" customHeight="false" outlineLevel="0" collapsed="false">
      <c r="B67" s="8" t="s">
        <v>87</v>
      </c>
      <c r="C67" s="41" t="n">
        <f aca="false">G63</f>
        <v>153035.45</v>
      </c>
    </row>
    <row r="68" customFormat="false" ht="15" hidden="false" customHeight="false" outlineLevel="0" collapsed="false">
      <c r="B68" s="17" t="s">
        <v>28</v>
      </c>
      <c r="C68" s="42" t="n">
        <f aca="false">C67-C66</f>
        <v>22223.02</v>
      </c>
    </row>
  </sheetData>
  <mergeCells count="11">
    <mergeCell ref="A2:J2"/>
    <mergeCell ref="A3:J3"/>
    <mergeCell ref="A4:J4"/>
    <mergeCell ref="A8:J8"/>
    <mergeCell ref="B10:J10"/>
    <mergeCell ref="B21:J21"/>
    <mergeCell ref="B41:J41"/>
    <mergeCell ref="A47:J47"/>
    <mergeCell ref="A48:J48"/>
    <mergeCell ref="A55:J55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134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31</v>
      </c>
      <c r="C6" s="8" t="s">
        <v>16</v>
      </c>
    </row>
    <row r="8" customFormat="false" ht="15" hidden="false" customHeight="false" outlineLevel="0" collapsed="false">
      <c r="A8" s="21" t="s">
        <v>135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33</v>
      </c>
      <c r="C9" s="23" t="s">
        <v>34</v>
      </c>
      <c r="D9" s="23" t="s">
        <v>35</v>
      </c>
      <c r="E9" s="23" t="s">
        <v>36</v>
      </c>
      <c r="F9" s="23" t="s">
        <v>37</v>
      </c>
      <c r="G9" s="23" t="s">
        <v>38</v>
      </c>
      <c r="H9" s="23" t="s">
        <v>39</v>
      </c>
    </row>
    <row r="10" customFormat="false" ht="15" hidden="false" customHeight="false" outlineLevel="0" collapsed="false">
      <c r="A10" s="5"/>
      <c r="B10" s="6" t="s">
        <v>90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91</v>
      </c>
      <c r="C11" s="16" t="n">
        <v>14397.17</v>
      </c>
      <c r="D11" s="16" t="n">
        <v>14397.17</v>
      </c>
    </row>
    <row r="12" customFormat="false" ht="15" hidden="false" customHeight="false" outlineLevel="0" collapsed="false">
      <c r="B12" s="8" t="s">
        <v>92</v>
      </c>
      <c r="C12" s="16" t="n">
        <v>9008.6</v>
      </c>
      <c r="D12" s="16" t="n">
        <v>9008.6</v>
      </c>
    </row>
    <row r="13" customFormat="false" ht="15" hidden="false" customHeight="false" outlineLevel="0" collapsed="false">
      <c r="B13" s="8" t="s">
        <v>93</v>
      </c>
      <c r="C13" s="16" t="n">
        <v>35260.48</v>
      </c>
      <c r="D13" s="16" t="n">
        <v>35260.48</v>
      </c>
    </row>
    <row r="14" customFormat="false" ht="15" hidden="false" customHeight="false" outlineLevel="0" collapsed="false">
      <c r="B14" s="8" t="s">
        <v>94</v>
      </c>
      <c r="C14" s="16" t="n">
        <v>3082.53</v>
      </c>
      <c r="D14" s="16" t="n">
        <v>3082.53</v>
      </c>
    </row>
    <row r="15" customFormat="false" ht="15" hidden="false" customHeight="false" outlineLevel="0" collapsed="false">
      <c r="B15" s="8" t="s">
        <v>95</v>
      </c>
      <c r="C15" s="16" t="n">
        <v>281.84</v>
      </c>
      <c r="D15" s="16" t="n">
        <v>281.84</v>
      </c>
    </row>
    <row r="16" customFormat="false" ht="15" hidden="false" customHeight="false" outlineLevel="0" collapsed="false">
      <c r="B16" s="8" t="s">
        <v>96</v>
      </c>
      <c r="C16" s="16" t="n">
        <v>7199.04</v>
      </c>
      <c r="D16" s="16" t="n">
        <v>7199.04</v>
      </c>
    </row>
    <row r="17" customFormat="false" ht="15" hidden="false" customHeight="false" outlineLevel="0" collapsed="false">
      <c r="B17" s="8" t="s">
        <v>97</v>
      </c>
      <c r="C17" s="16" t="n">
        <v>3080.11</v>
      </c>
      <c r="D17" s="16" t="n">
        <v>3080.11</v>
      </c>
    </row>
    <row r="18" customFormat="false" ht="15" hidden="false" customHeight="false" outlineLevel="0" collapsed="false">
      <c r="B18" s="8" t="s">
        <v>98</v>
      </c>
      <c r="C18" s="16" t="n">
        <v>10047.72</v>
      </c>
      <c r="D18" s="16" t="n">
        <v>10047.72</v>
      </c>
    </row>
    <row r="19" customFormat="false" ht="15" hidden="false" customHeight="false" outlineLevel="0" collapsed="false">
      <c r="B19" s="8" t="s">
        <v>99</v>
      </c>
      <c r="C19" s="16" t="n">
        <v>1797.27</v>
      </c>
      <c r="D19" s="16" t="n">
        <v>1797.27</v>
      </c>
    </row>
    <row r="20" customFormat="false" ht="15" hidden="false" customHeight="false" outlineLevel="0" collapsed="false">
      <c r="B20" s="8" t="s">
        <v>100</v>
      </c>
      <c r="C20" s="16" t="n">
        <v>12546.68</v>
      </c>
      <c r="D20" s="16" t="n">
        <v>12546.68</v>
      </c>
    </row>
    <row r="21" customFormat="false" ht="15" hidden="false" customHeight="false" outlineLevel="0" collapsed="false">
      <c r="A21" s="5"/>
      <c r="B21" s="6" t="s">
        <v>101</v>
      </c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B22" s="8" t="s">
        <v>102</v>
      </c>
      <c r="C22" s="16" t="n">
        <v>14578.39</v>
      </c>
      <c r="G22" s="16" t="n">
        <v>14578.39</v>
      </c>
    </row>
    <row r="23" customFormat="false" ht="15" hidden="false" customHeight="false" outlineLevel="0" collapsed="false">
      <c r="B23" s="8" t="s">
        <v>103</v>
      </c>
      <c r="C23" s="16" t="n">
        <v>24046.3</v>
      </c>
      <c r="G23" s="16" t="n">
        <v>24046.3</v>
      </c>
    </row>
    <row r="24" customFormat="false" ht="15" hidden="false" customHeight="false" outlineLevel="0" collapsed="false">
      <c r="B24" s="8" t="s">
        <v>104</v>
      </c>
      <c r="C24" s="16" t="n">
        <v>34611.88</v>
      </c>
      <c r="G24" s="16" t="n">
        <v>34611.88</v>
      </c>
    </row>
    <row r="25" customFormat="false" ht="15" hidden="false" customHeight="false" outlineLevel="0" collapsed="false">
      <c r="B25" s="8" t="s">
        <v>105</v>
      </c>
      <c r="C25" s="16" t="n">
        <v>37471.27</v>
      </c>
      <c r="G25" s="16" t="n">
        <v>37471.27</v>
      </c>
    </row>
    <row r="26" customFormat="false" ht="15" hidden="false" customHeight="false" outlineLevel="0" collapsed="false">
      <c r="B26" s="8" t="s">
        <v>106</v>
      </c>
      <c r="C26" s="16" t="n">
        <v>30087.91</v>
      </c>
      <c r="G26" s="16" t="n">
        <v>30087.91</v>
      </c>
    </row>
    <row r="27" customFormat="false" ht="15" hidden="false" customHeight="false" outlineLevel="0" collapsed="false">
      <c r="B27" s="8" t="s">
        <v>107</v>
      </c>
      <c r="C27" s="16" t="n">
        <v>2346.02</v>
      </c>
      <c r="G27" s="16" t="n">
        <v>2346.02</v>
      </c>
    </row>
    <row r="28" customFormat="false" ht="15" hidden="false" customHeight="false" outlineLevel="0" collapsed="false">
      <c r="B28" s="8" t="s">
        <v>108</v>
      </c>
      <c r="C28" s="16" t="n">
        <v>39682.49</v>
      </c>
      <c r="G28" s="16" t="n">
        <v>39682.49</v>
      </c>
    </row>
    <row r="29" customFormat="false" ht="15" hidden="false" customHeight="false" outlineLevel="0" collapsed="false">
      <c r="B29" s="8" t="s">
        <v>109</v>
      </c>
      <c r="C29" s="16" t="n">
        <v>27903.19</v>
      </c>
      <c r="G29" s="16" t="n">
        <v>27903.19</v>
      </c>
    </row>
    <row r="30" customFormat="false" ht="15" hidden="false" customHeight="false" outlineLevel="0" collapsed="false">
      <c r="B30" s="8" t="s">
        <v>110</v>
      </c>
      <c r="C30" s="16" t="n">
        <v>23520.52</v>
      </c>
      <c r="G30" s="16" t="n">
        <v>23520.52</v>
      </c>
    </row>
    <row r="31" customFormat="false" ht="15" hidden="false" customHeight="false" outlineLevel="0" collapsed="false">
      <c r="B31" s="8" t="s">
        <v>111</v>
      </c>
      <c r="C31" s="16" t="n">
        <v>22580.13</v>
      </c>
      <c r="G31" s="16" t="n">
        <v>22580.13</v>
      </c>
    </row>
    <row r="32" customFormat="false" ht="15" hidden="false" customHeight="false" outlineLevel="0" collapsed="false">
      <c r="B32" s="8" t="s">
        <v>112</v>
      </c>
      <c r="C32" s="16" t="n">
        <v>51098.22</v>
      </c>
      <c r="G32" s="16" t="n">
        <v>51098.22</v>
      </c>
    </row>
    <row r="33" customFormat="false" ht="15" hidden="false" customHeight="false" outlineLevel="0" collapsed="false">
      <c r="B33" s="8" t="s">
        <v>113</v>
      </c>
      <c r="C33" s="16" t="n">
        <v>22218.44</v>
      </c>
      <c r="G33" s="16" t="n">
        <v>22218.44</v>
      </c>
    </row>
    <row r="34" customFormat="false" ht="15" hidden="false" customHeight="false" outlineLevel="0" collapsed="false">
      <c r="B34" s="8" t="s">
        <v>114</v>
      </c>
      <c r="C34" s="16" t="n">
        <v>2432.62</v>
      </c>
      <c r="G34" s="16" t="n">
        <v>2432.62</v>
      </c>
    </row>
    <row r="35" customFormat="false" ht="15" hidden="false" customHeight="false" outlineLevel="0" collapsed="false">
      <c r="B35" s="8" t="s">
        <v>115</v>
      </c>
      <c r="C35" s="16" t="n">
        <v>54440.97</v>
      </c>
      <c r="G35" s="16" t="n">
        <v>54440.97</v>
      </c>
    </row>
    <row r="36" customFormat="false" ht="15" hidden="false" customHeight="false" outlineLevel="0" collapsed="false">
      <c r="B36" s="8" t="s">
        <v>116</v>
      </c>
      <c r="C36" s="16" t="n">
        <v>9451.56</v>
      </c>
      <c r="G36" s="16" t="n">
        <v>9451.56</v>
      </c>
    </row>
    <row r="37" customFormat="false" ht="15" hidden="false" customHeight="false" outlineLevel="0" collapsed="false">
      <c r="B37" s="8" t="s">
        <v>117</v>
      </c>
      <c r="C37" s="16" t="n">
        <v>4356.85</v>
      </c>
      <c r="G37" s="16" t="n">
        <v>4356.85</v>
      </c>
    </row>
    <row r="38" customFormat="false" ht="15" hidden="false" customHeight="false" outlineLevel="0" collapsed="false">
      <c r="B38" s="8" t="s">
        <v>118</v>
      </c>
      <c r="C38" s="16" t="n">
        <v>3401.39</v>
      </c>
      <c r="G38" s="16" t="n">
        <v>3401.39</v>
      </c>
    </row>
    <row r="39" customFormat="false" ht="15" hidden="false" customHeight="false" outlineLevel="0" collapsed="false">
      <c r="A39" s="24"/>
      <c r="B39" s="25" t="s">
        <v>57</v>
      </c>
      <c r="C39" s="26" t="n">
        <f aca="false">SUM(C10:C38)</f>
        <v>500929.59</v>
      </c>
      <c r="D39" s="26" t="n">
        <f aca="false">SUM(D10:D38)</f>
        <v>96701.44</v>
      </c>
      <c r="E39" s="26" t="n">
        <f aca="false">SUM(E10:E38)</f>
        <v>0</v>
      </c>
      <c r="F39" s="26" t="n">
        <f aca="false">SUM(F10:F38)</f>
        <v>0</v>
      </c>
      <c r="G39" s="26" t="n">
        <f aca="false">SUM(G10:G38)</f>
        <v>404228.15</v>
      </c>
      <c r="H39" s="24"/>
    </row>
    <row r="41" customFormat="false" ht="15" hidden="false" customHeight="false" outlineLevel="0" collapsed="false">
      <c r="A41" s="5"/>
      <c r="B41" s="6" t="s">
        <v>58</v>
      </c>
      <c r="C41" s="6"/>
      <c r="D41" s="6"/>
      <c r="E41" s="6"/>
      <c r="F41" s="6"/>
      <c r="G41" s="6"/>
      <c r="H41" s="6"/>
      <c r="I41" s="6"/>
      <c r="J41" s="6"/>
    </row>
    <row r="42" customFormat="false" ht="15" hidden="false" customHeight="false" outlineLevel="0" collapsed="false">
      <c r="B42" s="8" t="s">
        <v>59</v>
      </c>
      <c r="C42" s="16" t="n">
        <v>401672.53</v>
      </c>
      <c r="D42" s="16" t="n">
        <v>82043.63</v>
      </c>
      <c r="G42" s="16" t="n">
        <v>319628.9</v>
      </c>
    </row>
    <row r="43" customFormat="false" ht="15" hidden="false" customHeight="false" outlineLevel="0" collapsed="false">
      <c r="B43" s="8" t="s">
        <v>60</v>
      </c>
      <c r="C43" s="16" t="n">
        <v>41152.79</v>
      </c>
      <c r="D43" s="16" t="n">
        <v>8405.66</v>
      </c>
      <c r="G43" s="16" t="n">
        <v>32747.13</v>
      </c>
    </row>
    <row r="44" customFormat="false" ht="15" hidden="false" customHeight="false" outlineLevel="0" collapsed="false">
      <c r="B44" s="8" t="s">
        <v>61</v>
      </c>
      <c r="C44" s="16" t="n">
        <v>30609.52</v>
      </c>
      <c r="D44" s="16" t="n">
        <v>6252.15</v>
      </c>
      <c r="G44" s="16" t="n">
        <v>24357.37</v>
      </c>
    </row>
    <row r="45" customFormat="false" ht="15" hidden="false" customHeight="false" outlineLevel="0" collapsed="false">
      <c r="A45" s="24"/>
      <c r="B45" s="25" t="s">
        <v>62</v>
      </c>
      <c r="C45" s="26" t="n">
        <f aca="false">SUM(C42:C44)</f>
        <v>473434.84</v>
      </c>
      <c r="D45" s="26" t="n">
        <f aca="false">SUM(D42:D44)</f>
        <v>96701.44</v>
      </c>
      <c r="E45" s="24"/>
      <c r="F45" s="26" t="n">
        <f aca="false">SUM(F42:F44)</f>
        <v>0</v>
      </c>
      <c r="G45" s="26" t="n">
        <f aca="false">SUM(G42:G44)</f>
        <v>376733.4</v>
      </c>
      <c r="H45" s="24"/>
    </row>
    <row r="47" customFormat="false" ht="15" hidden="false" customHeight="false" outlineLevel="0" collapsed="false">
      <c r="A47" s="27" t="s">
        <v>63</v>
      </c>
      <c r="B47" s="27"/>
      <c r="C47" s="27"/>
      <c r="D47" s="27"/>
      <c r="E47" s="27"/>
      <c r="F47" s="27"/>
      <c r="G47" s="27"/>
      <c r="H47" s="27"/>
      <c r="I47" s="27"/>
      <c r="J47" s="27"/>
    </row>
    <row r="48" customFormat="false" ht="15" hidden="false" customHeight="false" outlineLevel="0" collapsed="false">
      <c r="A48" s="28" t="s">
        <v>26</v>
      </c>
      <c r="B48" s="28"/>
      <c r="C48" s="28"/>
      <c r="D48" s="28"/>
      <c r="E48" s="28"/>
      <c r="F48" s="28"/>
      <c r="G48" s="28"/>
      <c r="H48" s="28"/>
      <c r="I48" s="28"/>
      <c r="J48" s="28"/>
    </row>
    <row r="49" customFormat="false" ht="15" hidden="false" customHeight="false" outlineLevel="0" collapsed="false">
      <c r="A49" s="29"/>
      <c r="B49" s="29" t="s">
        <v>64</v>
      </c>
      <c r="C49" s="30" t="s">
        <v>65</v>
      </c>
      <c r="D49" s="30" t="s">
        <v>66</v>
      </c>
      <c r="E49" s="30" t="s">
        <v>67</v>
      </c>
      <c r="F49" s="30" t="s">
        <v>68</v>
      </c>
      <c r="G49" s="30" t="s">
        <v>69</v>
      </c>
      <c r="H49" s="30" t="s">
        <v>70</v>
      </c>
      <c r="I49" s="30" t="s">
        <v>71</v>
      </c>
      <c r="J49" s="30" t="s">
        <v>72</v>
      </c>
    </row>
    <row r="50" customFormat="false" ht="15" hidden="false" customHeight="false" outlineLevel="0" collapsed="false">
      <c r="B50" s="31" t="s">
        <v>119</v>
      </c>
      <c r="C50" s="32" t="n">
        <v>41152.79</v>
      </c>
      <c r="D50" s="32" t="n">
        <v>41152.79</v>
      </c>
      <c r="E50" s="32" t="n">
        <v>41152.79</v>
      </c>
      <c r="F50" s="32" t="n">
        <v>0</v>
      </c>
      <c r="G50" s="32" t="n">
        <v>41152.79</v>
      </c>
      <c r="H50" s="32" t="n">
        <v>0</v>
      </c>
      <c r="I50" s="33" t="s">
        <v>74</v>
      </c>
      <c r="J50" s="34" t="n">
        <v>15</v>
      </c>
    </row>
    <row r="51" customFormat="false" ht="15" hidden="false" customHeight="false" outlineLevel="0" collapsed="false">
      <c r="B51" s="35" t="s">
        <v>120</v>
      </c>
      <c r="C51" s="36" t="n">
        <v>401672.53</v>
      </c>
      <c r="D51" s="36" t="n">
        <v>0</v>
      </c>
      <c r="E51" s="36" t="n">
        <v>46866.91</v>
      </c>
      <c r="F51" s="36" t="n">
        <v>14606.34</v>
      </c>
      <c r="G51" s="36" t="n">
        <v>61473.25</v>
      </c>
      <c r="H51" s="36" t="n">
        <v>340199.28</v>
      </c>
      <c r="I51" s="37" t="s">
        <v>76</v>
      </c>
      <c r="J51" s="38" t="n">
        <v>27.5</v>
      </c>
    </row>
    <row r="52" customFormat="false" ht="15" hidden="false" customHeight="false" outlineLevel="0" collapsed="false">
      <c r="B52" s="31" t="s">
        <v>121</v>
      </c>
      <c r="C52" s="32" t="n">
        <v>30609.52</v>
      </c>
      <c r="D52" s="32" t="n">
        <v>30609.52</v>
      </c>
      <c r="E52" s="32" t="n">
        <v>30609.52</v>
      </c>
      <c r="F52" s="32" t="n">
        <v>0</v>
      </c>
      <c r="G52" s="32" t="n">
        <v>30609.52</v>
      </c>
      <c r="H52" s="32" t="n">
        <v>0</v>
      </c>
      <c r="I52" s="33" t="s">
        <v>78</v>
      </c>
      <c r="J52" s="34" t="n">
        <v>5</v>
      </c>
    </row>
    <row r="53" customFormat="false" ht="15" hidden="false" customHeight="false" outlineLevel="0" collapsed="false">
      <c r="A53" s="10"/>
      <c r="B53" s="11" t="s">
        <v>14</v>
      </c>
      <c r="C53" s="39" t="n">
        <f aca="false">SUM(C50:C52)</f>
        <v>473434.84</v>
      </c>
      <c r="D53" s="39" t="n">
        <f aca="false">SUM(D50:D52)</f>
        <v>71762.31</v>
      </c>
      <c r="E53" s="39" t="n">
        <f aca="false">SUM(E50:E52)</f>
        <v>118629.22</v>
      </c>
      <c r="F53" s="39" t="n">
        <f aca="false">SUM(F50:F52)</f>
        <v>14606.34</v>
      </c>
      <c r="G53" s="39" t="n">
        <f aca="false">SUM(G50:G52)</f>
        <v>133235.56</v>
      </c>
      <c r="H53" s="39" t="n">
        <f aca="false">SUM(H50:H52)</f>
        <v>340199.28</v>
      </c>
      <c r="I53" s="10"/>
      <c r="J53" s="10"/>
    </row>
    <row r="55" customFormat="false" ht="15" hidden="false" customHeight="false" outlineLevel="0" collapsed="false">
      <c r="A55" s="40" t="s">
        <v>79</v>
      </c>
      <c r="B55" s="40"/>
      <c r="C55" s="40"/>
      <c r="D55" s="40"/>
      <c r="E55" s="40"/>
      <c r="F55" s="40"/>
      <c r="G55" s="40"/>
      <c r="H55" s="40"/>
      <c r="I55" s="40"/>
      <c r="J55" s="40"/>
    </row>
    <row r="56" customFormat="false" ht="15" hidden="false" customHeight="false" outlineLevel="0" collapsed="false">
      <c r="A56" s="29"/>
      <c r="B56" s="29" t="s">
        <v>64</v>
      </c>
      <c r="C56" s="30" t="s">
        <v>65</v>
      </c>
      <c r="D56" s="30" t="s">
        <v>66</v>
      </c>
      <c r="E56" s="30" t="s">
        <v>67</v>
      </c>
      <c r="F56" s="30" t="s">
        <v>68</v>
      </c>
      <c r="G56" s="30" t="s">
        <v>69</v>
      </c>
      <c r="H56" s="30" t="s">
        <v>70</v>
      </c>
      <c r="I56" s="30" t="s">
        <v>71</v>
      </c>
      <c r="J56" s="30" t="s">
        <v>72</v>
      </c>
    </row>
    <row r="57" customFormat="false" ht="15" hidden="false" customHeight="false" outlineLevel="0" collapsed="false">
      <c r="B57" s="31" t="s">
        <v>122</v>
      </c>
      <c r="C57" s="32" t="n">
        <v>8405.66</v>
      </c>
      <c r="D57" s="32" t="n">
        <v>8405.66</v>
      </c>
      <c r="E57" s="32" t="n">
        <v>8405.66</v>
      </c>
      <c r="F57" s="32" t="n">
        <v>0</v>
      </c>
      <c r="G57" s="32" t="n">
        <v>8405.66</v>
      </c>
      <c r="H57" s="32" t="n">
        <v>0</v>
      </c>
      <c r="I57" s="33" t="s">
        <v>78</v>
      </c>
      <c r="J57" s="34" t="n">
        <v>5</v>
      </c>
    </row>
    <row r="58" customFormat="false" ht="15" hidden="false" customHeight="false" outlineLevel="0" collapsed="false">
      <c r="B58" s="35" t="s">
        <v>123</v>
      </c>
      <c r="C58" s="36" t="n">
        <v>32747.13</v>
      </c>
      <c r="D58" s="36" t="n">
        <v>0</v>
      </c>
      <c r="E58" s="36" t="n">
        <v>3820.48</v>
      </c>
      <c r="F58" s="36" t="n">
        <v>1190.8</v>
      </c>
      <c r="G58" s="36" t="n">
        <v>5011.28</v>
      </c>
      <c r="H58" s="36" t="n">
        <v>27735.85</v>
      </c>
      <c r="I58" s="37" t="s">
        <v>76</v>
      </c>
      <c r="J58" s="38" t="n">
        <v>27.5</v>
      </c>
    </row>
    <row r="59" customFormat="false" ht="15" hidden="false" customHeight="false" outlineLevel="0" collapsed="false">
      <c r="B59" s="31" t="s">
        <v>124</v>
      </c>
      <c r="C59" s="32" t="n">
        <v>82043.63</v>
      </c>
      <c r="D59" s="32" t="n">
        <v>82043.63</v>
      </c>
      <c r="E59" s="32" t="n">
        <v>82043.63</v>
      </c>
      <c r="F59" s="32" t="n">
        <v>0</v>
      </c>
      <c r="G59" s="32" t="n">
        <v>82043.63</v>
      </c>
      <c r="H59" s="32" t="n">
        <v>0</v>
      </c>
      <c r="I59" s="33" t="s">
        <v>78</v>
      </c>
      <c r="J59" s="34" t="n">
        <v>5</v>
      </c>
    </row>
    <row r="60" customFormat="false" ht="15" hidden="false" customHeight="false" outlineLevel="0" collapsed="false">
      <c r="B60" s="35" t="s">
        <v>125</v>
      </c>
      <c r="C60" s="36" t="n">
        <v>319628.9</v>
      </c>
      <c r="D60" s="36" t="n">
        <v>0</v>
      </c>
      <c r="E60" s="36" t="n">
        <v>37290.04</v>
      </c>
      <c r="F60" s="36" t="n">
        <v>11622.87</v>
      </c>
      <c r="G60" s="36" t="n">
        <v>48912.91</v>
      </c>
      <c r="H60" s="36" t="n">
        <v>270715.99</v>
      </c>
      <c r="I60" s="37" t="s">
        <v>76</v>
      </c>
      <c r="J60" s="38" t="n">
        <v>27.5</v>
      </c>
    </row>
    <row r="61" customFormat="false" ht="15" hidden="false" customHeight="false" outlineLevel="0" collapsed="false">
      <c r="B61" s="31" t="s">
        <v>126</v>
      </c>
      <c r="C61" s="32" t="n">
        <v>6252.15</v>
      </c>
      <c r="D61" s="32" t="n">
        <v>6252.15</v>
      </c>
      <c r="E61" s="32" t="n">
        <v>6252.15</v>
      </c>
      <c r="F61" s="32" t="n">
        <v>0</v>
      </c>
      <c r="G61" s="32" t="n">
        <v>6252.15</v>
      </c>
      <c r="H61" s="32" t="n">
        <v>0</v>
      </c>
      <c r="I61" s="33" t="s">
        <v>78</v>
      </c>
      <c r="J61" s="34" t="n">
        <v>5</v>
      </c>
    </row>
    <row r="62" customFormat="false" ht="15" hidden="false" customHeight="false" outlineLevel="0" collapsed="false">
      <c r="B62" s="35" t="s">
        <v>127</v>
      </c>
      <c r="C62" s="36" t="n">
        <v>24357.37</v>
      </c>
      <c r="D62" s="36" t="n">
        <v>0</v>
      </c>
      <c r="E62" s="36" t="n">
        <v>2841.69</v>
      </c>
      <c r="F62" s="36" t="n">
        <v>885.72</v>
      </c>
      <c r="G62" s="36" t="n">
        <v>3727.41</v>
      </c>
      <c r="H62" s="36" t="n">
        <v>20629.96</v>
      </c>
      <c r="I62" s="37" t="s">
        <v>76</v>
      </c>
      <c r="J62" s="38" t="n">
        <v>27.5</v>
      </c>
    </row>
    <row r="63" customFormat="false" ht="15" hidden="false" customHeight="false" outlineLevel="0" collapsed="false">
      <c r="A63" s="10"/>
      <c r="B63" s="11" t="s">
        <v>14</v>
      </c>
      <c r="C63" s="39" t="n">
        <f aca="false">SUM(C57:C62)</f>
        <v>473434.84</v>
      </c>
      <c r="D63" s="39" t="n">
        <f aca="false">SUM(D57:D62)</f>
        <v>96701.44</v>
      </c>
      <c r="E63" s="39" t="n">
        <f aca="false">SUM(E57:E62)</f>
        <v>140653.65</v>
      </c>
      <c r="F63" s="39" t="n">
        <f aca="false">SUM(F57:F62)</f>
        <v>13699.39</v>
      </c>
      <c r="G63" s="39" t="n">
        <f aca="false">SUM(G57:G62)</f>
        <v>154353.04</v>
      </c>
      <c r="H63" s="39" t="n">
        <f aca="false">SUM(H57:H62)</f>
        <v>319081.8</v>
      </c>
      <c r="I63" s="10"/>
      <c r="J63" s="10"/>
    </row>
    <row r="65" customFormat="false" ht="15" hidden="false" customHeight="false" outlineLevel="0" collapsed="false">
      <c r="A65" s="27" t="s">
        <v>28</v>
      </c>
      <c r="B65" s="27"/>
      <c r="C65" s="27"/>
      <c r="D65" s="27"/>
      <c r="E65" s="27"/>
    </row>
    <row r="66" customFormat="false" ht="15" hidden="false" customHeight="false" outlineLevel="0" collapsed="false">
      <c r="B66" s="8" t="s">
        <v>86</v>
      </c>
      <c r="C66" s="41" t="n">
        <f aca="false">G53</f>
        <v>133235.56</v>
      </c>
    </row>
    <row r="67" customFormat="false" ht="15" hidden="false" customHeight="false" outlineLevel="0" collapsed="false">
      <c r="B67" s="8" t="s">
        <v>87</v>
      </c>
      <c r="C67" s="41" t="n">
        <f aca="false">G63</f>
        <v>154353.04</v>
      </c>
    </row>
    <row r="68" customFormat="false" ht="15" hidden="false" customHeight="false" outlineLevel="0" collapsed="false">
      <c r="B68" s="17" t="s">
        <v>28</v>
      </c>
      <c r="C68" s="42" t="n">
        <f aca="false">C67-C66</f>
        <v>21117.48</v>
      </c>
    </row>
  </sheetData>
  <mergeCells count="11">
    <mergeCell ref="A2:J2"/>
    <mergeCell ref="A3:J3"/>
    <mergeCell ref="A4:J4"/>
    <mergeCell ref="A8:J8"/>
    <mergeCell ref="B10:J10"/>
    <mergeCell ref="B21:J21"/>
    <mergeCell ref="B41:J41"/>
    <mergeCell ref="A47:J47"/>
    <mergeCell ref="A48:J48"/>
    <mergeCell ref="A55:J55"/>
    <mergeCell ref="A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136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31</v>
      </c>
      <c r="C6" s="8" t="s">
        <v>16</v>
      </c>
    </row>
    <row r="8" customFormat="false" ht="15" hidden="false" customHeight="false" outlineLevel="0" collapsed="false">
      <c r="A8" s="21" t="s">
        <v>137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33</v>
      </c>
      <c r="C9" s="23" t="s">
        <v>34</v>
      </c>
      <c r="D9" s="23" t="s">
        <v>35</v>
      </c>
      <c r="E9" s="23" t="s">
        <v>36</v>
      </c>
      <c r="F9" s="23" t="s">
        <v>37</v>
      </c>
      <c r="G9" s="23" t="s">
        <v>38</v>
      </c>
      <c r="H9" s="23" t="s">
        <v>39</v>
      </c>
    </row>
    <row r="10" customFormat="false" ht="15" hidden="false" customHeight="false" outlineLevel="0" collapsed="false">
      <c r="A10" s="5"/>
      <c r="B10" s="6" t="s">
        <v>90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91</v>
      </c>
      <c r="C11" s="16" t="n">
        <v>303.64</v>
      </c>
      <c r="D11" s="16" t="n">
        <v>303.64</v>
      </c>
    </row>
    <row r="12" customFormat="false" ht="15" hidden="false" customHeight="false" outlineLevel="0" collapsed="false">
      <c r="B12" s="8" t="s">
        <v>92</v>
      </c>
      <c r="C12" s="16" t="n">
        <v>2289.4</v>
      </c>
      <c r="D12" s="16" t="n">
        <v>2289.4</v>
      </c>
    </row>
    <row r="13" customFormat="false" ht="15" hidden="false" customHeight="false" outlineLevel="0" collapsed="false">
      <c r="B13" s="8" t="s">
        <v>93</v>
      </c>
      <c r="C13" s="16" t="n">
        <v>16164.52</v>
      </c>
      <c r="D13" s="16" t="n">
        <v>16164.52</v>
      </c>
    </row>
    <row r="14" customFormat="false" ht="15" hidden="false" customHeight="false" outlineLevel="0" collapsed="false">
      <c r="B14" s="8" t="s">
        <v>94</v>
      </c>
      <c r="C14" s="16" t="n">
        <v>1679.16</v>
      </c>
      <c r="D14" s="16" t="n">
        <v>1679.16</v>
      </c>
    </row>
    <row r="15" customFormat="false" ht="15" hidden="false" customHeight="false" outlineLevel="0" collapsed="false">
      <c r="B15" s="8" t="s">
        <v>138</v>
      </c>
      <c r="C15" s="16" t="n">
        <v>230.59</v>
      </c>
      <c r="D15" s="16" t="n">
        <v>230.59</v>
      </c>
    </row>
    <row r="16" customFormat="false" ht="15" hidden="false" customHeight="false" outlineLevel="0" collapsed="false">
      <c r="B16" s="8" t="s">
        <v>96</v>
      </c>
      <c r="C16" s="16" t="n">
        <v>1250.74</v>
      </c>
      <c r="D16" s="16" t="n">
        <v>1250.74</v>
      </c>
    </row>
    <row r="17" customFormat="false" ht="15" hidden="false" customHeight="false" outlineLevel="0" collapsed="false">
      <c r="B17" s="8" t="s">
        <v>97</v>
      </c>
      <c r="C17" s="16" t="n">
        <v>5275.08</v>
      </c>
      <c r="D17" s="16" t="n">
        <v>5275.08</v>
      </c>
    </row>
    <row r="18" customFormat="false" ht="15" hidden="false" customHeight="false" outlineLevel="0" collapsed="false">
      <c r="B18" s="8" t="s">
        <v>139</v>
      </c>
      <c r="C18" s="16" t="n">
        <v>962.76</v>
      </c>
      <c r="D18" s="16" t="n">
        <v>962.76</v>
      </c>
    </row>
    <row r="19" customFormat="false" ht="15" hidden="false" customHeight="false" outlineLevel="0" collapsed="false">
      <c r="B19" s="8" t="s">
        <v>99</v>
      </c>
      <c r="C19" s="16" t="n">
        <v>645.41</v>
      </c>
      <c r="D19" s="16" t="n">
        <v>645.41</v>
      </c>
    </row>
    <row r="20" customFormat="false" ht="15" hidden="false" customHeight="false" outlineLevel="0" collapsed="false">
      <c r="B20" s="8" t="s">
        <v>140</v>
      </c>
      <c r="C20" s="16" t="n">
        <v>99.9</v>
      </c>
      <c r="D20" s="16" t="n">
        <v>99.9</v>
      </c>
    </row>
    <row r="21" customFormat="false" ht="15" hidden="false" customHeight="false" outlineLevel="0" collapsed="false">
      <c r="B21" s="8" t="s">
        <v>51</v>
      </c>
      <c r="C21" s="16" t="n">
        <v>45.48</v>
      </c>
      <c r="D21" s="16" t="n">
        <v>45.48</v>
      </c>
    </row>
    <row r="22" customFormat="false" ht="15" hidden="false" customHeight="false" outlineLevel="0" collapsed="false">
      <c r="B22" s="8" t="s">
        <v>100</v>
      </c>
      <c r="C22" s="16" t="n">
        <v>3308.54</v>
      </c>
      <c r="D22" s="16" t="n">
        <v>3308.54</v>
      </c>
    </row>
    <row r="23" customFormat="false" ht="15" hidden="false" customHeight="false" outlineLevel="0" collapsed="false">
      <c r="A23" s="5"/>
      <c r="B23" s="6" t="s">
        <v>101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102</v>
      </c>
      <c r="C24" s="16" t="n">
        <v>11830.03</v>
      </c>
      <c r="G24" s="16" t="n">
        <v>11830.03</v>
      </c>
    </row>
    <row r="25" customFormat="false" ht="15" hidden="false" customHeight="false" outlineLevel="0" collapsed="false">
      <c r="B25" s="8" t="s">
        <v>103</v>
      </c>
      <c r="C25" s="16" t="n">
        <v>21317.77</v>
      </c>
      <c r="G25" s="16" t="n">
        <v>21317.77</v>
      </c>
    </row>
    <row r="26" customFormat="false" ht="15" hidden="false" customHeight="false" outlineLevel="0" collapsed="false">
      <c r="B26" s="8" t="s">
        <v>104</v>
      </c>
      <c r="C26" s="16" t="n">
        <v>15636.59</v>
      </c>
      <c r="G26" s="16" t="n">
        <v>15636.59</v>
      </c>
    </row>
    <row r="27" customFormat="false" ht="15" hidden="false" customHeight="false" outlineLevel="0" collapsed="false">
      <c r="B27" s="8" t="s">
        <v>105</v>
      </c>
      <c r="C27" s="16" t="n">
        <v>15927.28</v>
      </c>
      <c r="G27" s="16" t="n">
        <v>15927.28</v>
      </c>
    </row>
    <row r="28" customFormat="false" ht="15" hidden="false" customHeight="false" outlineLevel="0" collapsed="false">
      <c r="B28" s="8" t="s">
        <v>106</v>
      </c>
      <c r="C28" s="16" t="n">
        <v>12830.5</v>
      </c>
      <c r="G28" s="16" t="n">
        <v>12830.5</v>
      </c>
    </row>
    <row r="29" customFormat="false" ht="15" hidden="false" customHeight="false" outlineLevel="0" collapsed="false">
      <c r="B29" s="8" t="s">
        <v>107</v>
      </c>
      <c r="C29" s="16" t="n">
        <v>1203.33</v>
      </c>
      <c r="G29" s="16" t="n">
        <v>1203.33</v>
      </c>
    </row>
    <row r="30" customFormat="false" ht="15" hidden="false" customHeight="false" outlineLevel="0" collapsed="false">
      <c r="B30" s="8" t="s">
        <v>108</v>
      </c>
      <c r="C30" s="16" t="n">
        <v>14199.52</v>
      </c>
      <c r="G30" s="16" t="n">
        <v>14199.52</v>
      </c>
    </row>
    <row r="31" customFormat="false" ht="15" hidden="false" customHeight="false" outlineLevel="0" collapsed="false">
      <c r="B31" s="8" t="s">
        <v>109</v>
      </c>
      <c r="C31" s="16" t="n">
        <v>12025.08</v>
      </c>
      <c r="G31" s="16" t="n">
        <v>12025.08</v>
      </c>
    </row>
    <row r="32" customFormat="false" ht="15" hidden="false" customHeight="false" outlineLevel="0" collapsed="false">
      <c r="B32" s="8" t="s">
        <v>110</v>
      </c>
      <c r="C32" s="16" t="n">
        <v>7729.84</v>
      </c>
      <c r="G32" s="16" t="n">
        <v>7729.84</v>
      </c>
    </row>
    <row r="33" customFormat="false" ht="15" hidden="false" customHeight="false" outlineLevel="0" collapsed="false">
      <c r="B33" s="8" t="s">
        <v>111</v>
      </c>
      <c r="C33" s="16" t="n">
        <v>9261.75</v>
      </c>
      <c r="G33" s="16" t="n">
        <v>9261.75</v>
      </c>
    </row>
    <row r="34" customFormat="false" ht="15" hidden="false" customHeight="false" outlineLevel="0" collapsed="false">
      <c r="B34" s="8" t="s">
        <v>112</v>
      </c>
      <c r="C34" s="16" t="n">
        <v>20618.7</v>
      </c>
      <c r="G34" s="16" t="n">
        <v>20618.7</v>
      </c>
    </row>
    <row r="35" customFormat="false" ht="15" hidden="false" customHeight="false" outlineLevel="0" collapsed="false">
      <c r="B35" s="8" t="s">
        <v>113</v>
      </c>
      <c r="C35" s="16" t="n">
        <v>8726.93</v>
      </c>
      <c r="G35" s="16" t="n">
        <v>8726.93</v>
      </c>
    </row>
    <row r="36" customFormat="false" ht="15" hidden="false" customHeight="false" outlineLevel="0" collapsed="false">
      <c r="B36" s="8" t="s">
        <v>114</v>
      </c>
      <c r="C36" s="16" t="n">
        <v>952.55</v>
      </c>
      <c r="G36" s="16" t="n">
        <v>952.55</v>
      </c>
    </row>
    <row r="37" customFormat="false" ht="15" hidden="false" customHeight="false" outlineLevel="0" collapsed="false">
      <c r="B37" s="8" t="s">
        <v>115</v>
      </c>
      <c r="C37" s="16" t="n">
        <v>27066.57</v>
      </c>
      <c r="G37" s="16" t="n">
        <v>27066.57</v>
      </c>
    </row>
    <row r="38" customFormat="false" ht="15" hidden="false" customHeight="false" outlineLevel="0" collapsed="false">
      <c r="B38" s="8" t="s">
        <v>117</v>
      </c>
      <c r="C38" s="16" t="n">
        <v>3020.87</v>
      </c>
      <c r="G38" s="16" t="n">
        <v>3020.87</v>
      </c>
    </row>
    <row r="39" customFormat="false" ht="15" hidden="false" customHeight="false" outlineLevel="0" collapsed="false">
      <c r="B39" s="8" t="s">
        <v>141</v>
      </c>
      <c r="C39" s="16" t="n">
        <v>515.99</v>
      </c>
      <c r="G39" s="16" t="n">
        <v>515.99</v>
      </c>
    </row>
    <row r="40" customFormat="false" ht="15" hidden="false" customHeight="false" outlineLevel="0" collapsed="false">
      <c r="A40" s="24"/>
      <c r="B40" s="25" t="s">
        <v>57</v>
      </c>
      <c r="C40" s="26" t="n">
        <f aca="false">SUM(C10:C39)</f>
        <v>215118.52</v>
      </c>
      <c r="D40" s="26" t="n">
        <f aca="false">SUM(D10:D39)</f>
        <v>32255.22</v>
      </c>
      <c r="E40" s="26" t="n">
        <f aca="false">SUM(E10:E39)</f>
        <v>0</v>
      </c>
      <c r="F40" s="26" t="n">
        <f aca="false">SUM(F10:F39)</f>
        <v>0</v>
      </c>
      <c r="G40" s="26" t="n">
        <f aca="false">SUM(G10:G39)</f>
        <v>182863.3</v>
      </c>
      <c r="H40" s="24"/>
    </row>
    <row r="42" customFormat="false" ht="15" hidden="false" customHeight="false" outlineLevel="0" collapsed="false">
      <c r="A42" s="5"/>
      <c r="B42" s="6" t="s">
        <v>58</v>
      </c>
      <c r="C42" s="6"/>
      <c r="D42" s="6"/>
      <c r="E42" s="6"/>
      <c r="F42" s="6"/>
      <c r="G42" s="6"/>
      <c r="H42" s="6"/>
      <c r="I42" s="6"/>
      <c r="J42" s="6"/>
    </row>
    <row r="43" customFormat="false" ht="15" hidden="false" customHeight="false" outlineLevel="0" collapsed="false">
      <c r="B43" s="8" t="s">
        <v>59</v>
      </c>
      <c r="C43" s="16" t="n">
        <v>173535.93</v>
      </c>
      <c r="D43" s="16" t="n">
        <v>27366.04</v>
      </c>
      <c r="G43" s="16" t="n">
        <v>146169.89</v>
      </c>
    </row>
    <row r="44" customFormat="false" ht="15" hidden="false" customHeight="false" outlineLevel="0" collapsed="false">
      <c r="B44" s="8" t="s">
        <v>60</v>
      </c>
      <c r="C44" s="16" t="n">
        <v>17779.38</v>
      </c>
      <c r="D44" s="16" t="n">
        <v>2803.75</v>
      </c>
      <c r="G44" s="16" t="n">
        <v>14975.63</v>
      </c>
    </row>
    <row r="45" customFormat="false" ht="15" hidden="false" customHeight="false" outlineLevel="0" collapsed="false">
      <c r="B45" s="8" t="s">
        <v>61</v>
      </c>
      <c r="C45" s="16" t="n">
        <v>13224.33</v>
      </c>
      <c r="D45" s="16" t="n">
        <v>2085.43</v>
      </c>
      <c r="G45" s="16" t="n">
        <v>11138.9</v>
      </c>
    </row>
    <row r="46" customFormat="false" ht="15" hidden="false" customHeight="false" outlineLevel="0" collapsed="false">
      <c r="A46" s="24"/>
      <c r="B46" s="25" t="s">
        <v>62</v>
      </c>
      <c r="C46" s="26" t="n">
        <f aca="false">SUM(C43:C45)</f>
        <v>204539.64</v>
      </c>
      <c r="D46" s="26" t="n">
        <f aca="false">SUM(D43:D45)</f>
        <v>32255.22</v>
      </c>
      <c r="E46" s="24"/>
      <c r="F46" s="26" t="n">
        <f aca="false">SUM(F43:F45)</f>
        <v>0</v>
      </c>
      <c r="G46" s="26" t="n">
        <f aca="false">SUM(G43:G45)</f>
        <v>172284.42</v>
      </c>
      <c r="H46" s="24"/>
    </row>
    <row r="48" customFormat="false" ht="15" hidden="false" customHeight="false" outlineLevel="0" collapsed="false">
      <c r="A48" s="27" t="s">
        <v>63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26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64</v>
      </c>
      <c r="C50" s="30" t="s">
        <v>65</v>
      </c>
      <c r="D50" s="30" t="s">
        <v>66</v>
      </c>
      <c r="E50" s="30" t="s">
        <v>67</v>
      </c>
      <c r="F50" s="30" t="s">
        <v>68</v>
      </c>
      <c r="G50" s="30" t="s">
        <v>69</v>
      </c>
      <c r="H50" s="30" t="s">
        <v>70</v>
      </c>
      <c r="I50" s="30" t="s">
        <v>71</v>
      </c>
      <c r="J50" s="30" t="s">
        <v>72</v>
      </c>
    </row>
    <row r="51" customFormat="false" ht="15" hidden="false" customHeight="false" outlineLevel="0" collapsed="false">
      <c r="B51" s="31" t="s">
        <v>119</v>
      </c>
      <c r="C51" s="32" t="n">
        <v>17779.38</v>
      </c>
      <c r="D51" s="32" t="n">
        <v>17779.38</v>
      </c>
      <c r="E51" s="32" t="n">
        <v>17779.38</v>
      </c>
      <c r="F51" s="32" t="n">
        <v>0</v>
      </c>
      <c r="G51" s="32" t="n">
        <v>17779.38</v>
      </c>
      <c r="H51" s="32" t="n">
        <v>0</v>
      </c>
      <c r="I51" s="33" t="s">
        <v>74</v>
      </c>
      <c r="J51" s="34" t="n">
        <v>15</v>
      </c>
    </row>
    <row r="52" customFormat="false" ht="15" hidden="false" customHeight="false" outlineLevel="0" collapsed="false">
      <c r="B52" s="35" t="s">
        <v>120</v>
      </c>
      <c r="C52" s="36" t="n">
        <v>173535.93</v>
      </c>
      <c r="D52" s="36" t="n">
        <v>0</v>
      </c>
      <c r="E52" s="36" t="n">
        <v>20248.07</v>
      </c>
      <c r="F52" s="36" t="n">
        <v>6310.43</v>
      </c>
      <c r="G52" s="36" t="n">
        <v>26558.5</v>
      </c>
      <c r="H52" s="36" t="n">
        <v>146977.43</v>
      </c>
      <c r="I52" s="37" t="s">
        <v>76</v>
      </c>
      <c r="J52" s="38" t="n">
        <v>27.5</v>
      </c>
    </row>
    <row r="53" customFormat="false" ht="15" hidden="false" customHeight="false" outlineLevel="0" collapsed="false">
      <c r="B53" s="31" t="s">
        <v>121</v>
      </c>
      <c r="C53" s="32" t="n">
        <v>13224.33</v>
      </c>
      <c r="D53" s="32" t="n">
        <v>13224.33</v>
      </c>
      <c r="E53" s="32" t="n">
        <v>13224.33</v>
      </c>
      <c r="F53" s="32" t="n">
        <v>0</v>
      </c>
      <c r="G53" s="32" t="n">
        <v>13224.33</v>
      </c>
      <c r="H53" s="32" t="n">
        <v>0</v>
      </c>
      <c r="I53" s="33" t="s">
        <v>78</v>
      </c>
      <c r="J53" s="34" t="n">
        <v>5</v>
      </c>
    </row>
    <row r="54" customFormat="false" ht="15" hidden="false" customHeight="false" outlineLevel="0" collapsed="false">
      <c r="A54" s="10"/>
      <c r="B54" s="11" t="s">
        <v>14</v>
      </c>
      <c r="C54" s="39" t="n">
        <f aca="false">SUM(C51:C53)</f>
        <v>204539.64</v>
      </c>
      <c r="D54" s="39" t="n">
        <f aca="false">SUM(D51:D53)</f>
        <v>31003.71</v>
      </c>
      <c r="E54" s="39" t="n">
        <f aca="false">SUM(E51:E53)</f>
        <v>51251.78</v>
      </c>
      <c r="F54" s="39" t="n">
        <f aca="false">SUM(F51:F53)</f>
        <v>6310.43</v>
      </c>
      <c r="G54" s="39" t="n">
        <f aca="false">SUM(G51:G53)</f>
        <v>57562.21</v>
      </c>
      <c r="H54" s="39" t="n">
        <f aca="false">SUM(H51:H53)</f>
        <v>146977.43</v>
      </c>
      <c r="I54" s="10"/>
      <c r="J54" s="10"/>
    </row>
    <row r="56" customFormat="false" ht="15" hidden="false" customHeight="false" outlineLevel="0" collapsed="false">
      <c r="A56" s="40" t="s">
        <v>79</v>
      </c>
      <c r="B56" s="40"/>
      <c r="C56" s="40"/>
      <c r="D56" s="40"/>
      <c r="E56" s="40"/>
      <c r="F56" s="40"/>
      <c r="G56" s="40"/>
      <c r="H56" s="40"/>
      <c r="I56" s="40"/>
      <c r="J56" s="40"/>
    </row>
    <row r="57" customFormat="false" ht="15" hidden="false" customHeight="false" outlineLevel="0" collapsed="false">
      <c r="A57" s="29"/>
      <c r="B57" s="29" t="s">
        <v>64</v>
      </c>
      <c r="C57" s="30" t="s">
        <v>65</v>
      </c>
      <c r="D57" s="30" t="s">
        <v>66</v>
      </c>
      <c r="E57" s="30" t="s">
        <v>67</v>
      </c>
      <c r="F57" s="30" t="s">
        <v>68</v>
      </c>
      <c r="G57" s="30" t="s">
        <v>69</v>
      </c>
      <c r="H57" s="30" t="s">
        <v>70</v>
      </c>
      <c r="I57" s="30" t="s">
        <v>71</v>
      </c>
      <c r="J57" s="30" t="s">
        <v>72</v>
      </c>
    </row>
    <row r="58" customFormat="false" ht="15" hidden="false" customHeight="false" outlineLevel="0" collapsed="false">
      <c r="B58" s="31" t="s">
        <v>122</v>
      </c>
      <c r="C58" s="32" t="n">
        <v>2803.75</v>
      </c>
      <c r="D58" s="32" t="n">
        <v>2803.75</v>
      </c>
      <c r="E58" s="32" t="n">
        <v>2803.75</v>
      </c>
      <c r="F58" s="32" t="n">
        <v>0</v>
      </c>
      <c r="G58" s="32" t="n">
        <v>2803.75</v>
      </c>
      <c r="H58" s="32" t="n">
        <v>0</v>
      </c>
      <c r="I58" s="33" t="s">
        <v>78</v>
      </c>
      <c r="J58" s="34" t="n">
        <v>5</v>
      </c>
    </row>
    <row r="59" customFormat="false" ht="15" hidden="false" customHeight="false" outlineLevel="0" collapsed="false">
      <c r="B59" s="35" t="s">
        <v>123</v>
      </c>
      <c r="C59" s="36" t="n">
        <v>14975.63</v>
      </c>
      <c r="D59" s="36" t="n">
        <v>0</v>
      </c>
      <c r="E59" s="36" t="n">
        <v>1747.16</v>
      </c>
      <c r="F59" s="36" t="n">
        <v>544.57</v>
      </c>
      <c r="G59" s="36" t="n">
        <v>2291.73</v>
      </c>
      <c r="H59" s="36" t="n">
        <v>12683.9</v>
      </c>
      <c r="I59" s="37" t="s">
        <v>76</v>
      </c>
      <c r="J59" s="38" t="n">
        <v>27.5</v>
      </c>
    </row>
    <row r="60" customFormat="false" ht="15" hidden="false" customHeight="false" outlineLevel="0" collapsed="false">
      <c r="B60" s="31" t="s">
        <v>124</v>
      </c>
      <c r="C60" s="32" t="n">
        <v>27366.04</v>
      </c>
      <c r="D60" s="32" t="n">
        <v>27366.04</v>
      </c>
      <c r="E60" s="32" t="n">
        <v>27366.04</v>
      </c>
      <c r="F60" s="32" t="n">
        <v>0</v>
      </c>
      <c r="G60" s="32" t="n">
        <v>27366.04</v>
      </c>
      <c r="H60" s="32" t="n">
        <v>0</v>
      </c>
      <c r="I60" s="33" t="s">
        <v>78</v>
      </c>
      <c r="J60" s="34" t="n">
        <v>5</v>
      </c>
    </row>
    <row r="61" customFormat="false" ht="15" hidden="false" customHeight="false" outlineLevel="0" collapsed="false">
      <c r="B61" s="35" t="s">
        <v>125</v>
      </c>
      <c r="C61" s="36" t="n">
        <v>146169.89</v>
      </c>
      <c r="D61" s="36" t="n">
        <v>0</v>
      </c>
      <c r="E61" s="36" t="n">
        <v>17053.16</v>
      </c>
      <c r="F61" s="36" t="n">
        <v>5315.27</v>
      </c>
      <c r="G61" s="36" t="n">
        <v>22368.43</v>
      </c>
      <c r="H61" s="36" t="n">
        <v>123801.46</v>
      </c>
      <c r="I61" s="37" t="s">
        <v>76</v>
      </c>
      <c r="J61" s="38" t="n">
        <v>27.5</v>
      </c>
    </row>
    <row r="62" customFormat="false" ht="15" hidden="false" customHeight="false" outlineLevel="0" collapsed="false">
      <c r="B62" s="31" t="s">
        <v>126</v>
      </c>
      <c r="C62" s="32" t="n">
        <v>2085.43</v>
      </c>
      <c r="D62" s="32" t="n">
        <v>2085.43</v>
      </c>
      <c r="E62" s="32" t="n">
        <v>2085.43</v>
      </c>
      <c r="F62" s="32" t="n">
        <v>0</v>
      </c>
      <c r="G62" s="32" t="n">
        <v>2085.43</v>
      </c>
      <c r="H62" s="32" t="n">
        <v>0</v>
      </c>
      <c r="I62" s="33" t="s">
        <v>78</v>
      </c>
      <c r="J62" s="34" t="n">
        <v>5</v>
      </c>
    </row>
    <row r="63" customFormat="false" ht="15" hidden="false" customHeight="false" outlineLevel="0" collapsed="false">
      <c r="B63" s="35" t="s">
        <v>127</v>
      </c>
      <c r="C63" s="36" t="n">
        <v>11138.9</v>
      </c>
      <c r="D63" s="36" t="n">
        <v>0</v>
      </c>
      <c r="E63" s="36" t="n">
        <v>1299.54</v>
      </c>
      <c r="F63" s="36" t="n">
        <v>405.05</v>
      </c>
      <c r="G63" s="36" t="n">
        <v>1704.59</v>
      </c>
      <c r="H63" s="36" t="n">
        <v>9434.31</v>
      </c>
      <c r="I63" s="37" t="s">
        <v>76</v>
      </c>
      <c r="J63" s="38" t="n">
        <v>27.5</v>
      </c>
    </row>
    <row r="64" customFormat="false" ht="15" hidden="false" customHeight="false" outlineLevel="0" collapsed="false">
      <c r="A64" s="10"/>
      <c r="B64" s="11" t="s">
        <v>14</v>
      </c>
      <c r="C64" s="39" t="n">
        <f aca="false">SUM(C58:C63)</f>
        <v>204539.64</v>
      </c>
      <c r="D64" s="39" t="n">
        <f aca="false">SUM(D58:D63)</f>
        <v>32255.22</v>
      </c>
      <c r="E64" s="39" t="n">
        <f aca="false">SUM(E58:E63)</f>
        <v>52355.08</v>
      </c>
      <c r="F64" s="39" t="n">
        <f aca="false">SUM(F58:F63)</f>
        <v>6264.89</v>
      </c>
      <c r="G64" s="39" t="n">
        <f aca="false">SUM(G58:G63)</f>
        <v>58619.97</v>
      </c>
      <c r="H64" s="39" t="n">
        <f aca="false">SUM(H58:H63)</f>
        <v>145919.67</v>
      </c>
      <c r="I64" s="10"/>
      <c r="J64" s="10"/>
    </row>
    <row r="66" customFormat="false" ht="15" hidden="false" customHeight="false" outlineLevel="0" collapsed="false">
      <c r="A66" s="27" t="s">
        <v>28</v>
      </c>
      <c r="B66" s="27"/>
      <c r="C66" s="27"/>
      <c r="D66" s="27"/>
      <c r="E66" s="27"/>
    </row>
    <row r="67" customFormat="false" ht="15" hidden="false" customHeight="false" outlineLevel="0" collapsed="false">
      <c r="B67" s="8" t="s">
        <v>86</v>
      </c>
      <c r="C67" s="41" t="n">
        <f aca="false">G54</f>
        <v>57562.21</v>
      </c>
    </row>
    <row r="68" customFormat="false" ht="15" hidden="false" customHeight="false" outlineLevel="0" collapsed="false">
      <c r="B68" s="8" t="s">
        <v>87</v>
      </c>
      <c r="C68" s="41" t="n">
        <f aca="false">G64</f>
        <v>58619.97</v>
      </c>
    </row>
    <row r="69" customFormat="false" ht="15" hidden="false" customHeight="false" outlineLevel="0" collapsed="false">
      <c r="B69" s="17" t="s">
        <v>28</v>
      </c>
      <c r="C69" s="42" t="n">
        <f aca="false">C68-C67</f>
        <v>1057.76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8:J48"/>
    <mergeCell ref="A49:J49"/>
    <mergeCell ref="A56:J56"/>
    <mergeCell ref="A66:E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142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30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31</v>
      </c>
      <c r="C6" s="8" t="s">
        <v>16</v>
      </c>
    </row>
    <row r="8" customFormat="false" ht="15" hidden="false" customHeight="false" outlineLevel="0" collapsed="false">
      <c r="A8" s="21" t="s">
        <v>143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33</v>
      </c>
      <c r="C9" s="23" t="s">
        <v>34</v>
      </c>
      <c r="D9" s="23" t="s">
        <v>35</v>
      </c>
      <c r="E9" s="23" t="s">
        <v>36</v>
      </c>
      <c r="F9" s="23" t="s">
        <v>37</v>
      </c>
      <c r="G9" s="23" t="s">
        <v>38</v>
      </c>
      <c r="H9" s="23" t="s">
        <v>39</v>
      </c>
    </row>
    <row r="10" customFormat="false" ht="15" hidden="false" customHeight="false" outlineLevel="0" collapsed="false">
      <c r="A10" s="5"/>
      <c r="B10" s="6" t="s">
        <v>90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94</v>
      </c>
      <c r="C11" s="16" t="n">
        <v>23596</v>
      </c>
      <c r="D11" s="16" t="n">
        <v>23596</v>
      </c>
    </row>
    <row r="12" customFormat="false" ht="15" hidden="false" customHeight="false" outlineLevel="0" collapsed="false">
      <c r="A12" s="5"/>
      <c r="B12" s="6" t="s">
        <v>101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B13" s="8" t="s">
        <v>144</v>
      </c>
      <c r="C13" s="16" t="n">
        <v>62751</v>
      </c>
      <c r="G13" s="16" t="n">
        <v>62751</v>
      </c>
    </row>
    <row r="14" customFormat="false" ht="15" hidden="false" customHeight="false" outlineLevel="0" collapsed="false">
      <c r="A14" s="24"/>
      <c r="B14" s="25" t="s">
        <v>57</v>
      </c>
      <c r="C14" s="26" t="n">
        <f aca="false">SUM(C10:C13)</f>
        <v>86347</v>
      </c>
      <c r="D14" s="26" t="n">
        <f aca="false">SUM(D10:D13)</f>
        <v>23596</v>
      </c>
      <c r="E14" s="26" t="n">
        <f aca="false">SUM(E10:E13)</f>
        <v>0</v>
      </c>
      <c r="F14" s="26" t="n">
        <f aca="false">SUM(F10:F13)</f>
        <v>0</v>
      </c>
      <c r="G14" s="26" t="n">
        <f aca="false">SUM(G10:G13)</f>
        <v>62751</v>
      </c>
      <c r="H14" s="24"/>
    </row>
    <row r="16" customFormat="false" ht="15" hidden="false" customHeight="false" outlineLevel="0" collapsed="false">
      <c r="A16" s="5"/>
      <c r="B16" s="6" t="s">
        <v>58</v>
      </c>
      <c r="C16" s="6"/>
      <c r="D16" s="6"/>
      <c r="E16" s="6"/>
      <c r="F16" s="6"/>
      <c r="G16" s="6"/>
      <c r="H16" s="6"/>
      <c r="I16" s="6"/>
      <c r="J16" s="6"/>
    </row>
    <row r="17" customFormat="false" ht="15" hidden="false" customHeight="false" outlineLevel="0" collapsed="false">
      <c r="B17" s="8" t="s">
        <v>145</v>
      </c>
      <c r="C17" s="16" t="n">
        <v>86347</v>
      </c>
      <c r="D17" s="16" t="n">
        <v>23596</v>
      </c>
      <c r="G17" s="16" t="n">
        <v>62751</v>
      </c>
    </row>
    <row r="18" customFormat="false" ht="15" hidden="false" customHeight="false" outlineLevel="0" collapsed="false">
      <c r="A18" s="24"/>
      <c r="B18" s="25" t="s">
        <v>62</v>
      </c>
      <c r="C18" s="26" t="n">
        <f aca="false">SUM(C17:C17)</f>
        <v>86347</v>
      </c>
      <c r="D18" s="26" t="n">
        <f aca="false">SUM(D17:D17)</f>
        <v>23596</v>
      </c>
      <c r="E18" s="24"/>
      <c r="F18" s="26" t="n">
        <f aca="false">SUM(F17:F17)</f>
        <v>0</v>
      </c>
      <c r="G18" s="26" t="n">
        <f aca="false">SUM(G17:G17)</f>
        <v>62751</v>
      </c>
      <c r="H18" s="24"/>
    </row>
    <row r="20" customFormat="false" ht="15" hidden="false" customHeight="false" outlineLevel="0" collapsed="false">
      <c r="A20" s="27" t="s">
        <v>63</v>
      </c>
      <c r="B20" s="27"/>
      <c r="C20" s="27"/>
      <c r="D20" s="27"/>
      <c r="E20" s="27"/>
      <c r="F20" s="27"/>
      <c r="G20" s="27"/>
      <c r="H20" s="27"/>
      <c r="I20" s="27"/>
      <c r="J20" s="27"/>
    </row>
    <row r="21" customFormat="false" ht="15" hidden="false" customHeight="false" outlineLevel="0" collapsed="false">
      <c r="A21" s="28" t="s">
        <v>26</v>
      </c>
      <c r="B21" s="28"/>
      <c r="C21" s="28"/>
      <c r="D21" s="28"/>
      <c r="E21" s="28"/>
      <c r="F21" s="28"/>
      <c r="G21" s="28"/>
      <c r="H21" s="28"/>
      <c r="I21" s="28"/>
      <c r="J21" s="28"/>
    </row>
    <row r="22" customFormat="false" ht="15" hidden="false" customHeight="false" outlineLevel="0" collapsed="false">
      <c r="A22" s="29"/>
      <c r="B22" s="29" t="s">
        <v>64</v>
      </c>
      <c r="C22" s="30" t="s">
        <v>65</v>
      </c>
      <c r="D22" s="30" t="s">
        <v>66</v>
      </c>
      <c r="E22" s="30" t="s">
        <v>67</v>
      </c>
      <c r="F22" s="30" t="s">
        <v>68</v>
      </c>
      <c r="G22" s="30" t="s">
        <v>69</v>
      </c>
      <c r="H22" s="30" t="s">
        <v>70</v>
      </c>
      <c r="I22" s="30" t="s">
        <v>71</v>
      </c>
      <c r="J22" s="30" t="s">
        <v>72</v>
      </c>
    </row>
    <row r="23" customFormat="false" ht="15" hidden="false" customHeight="false" outlineLevel="0" collapsed="false">
      <c r="B23" s="31" t="s">
        <v>146</v>
      </c>
      <c r="C23" s="32" t="n">
        <v>86347</v>
      </c>
      <c r="D23" s="32" t="n">
        <v>19904</v>
      </c>
      <c r="E23" s="32" t="n">
        <v>19904</v>
      </c>
      <c r="F23" s="32" t="n">
        <v>6644</v>
      </c>
      <c r="G23" s="32" t="n">
        <v>26548</v>
      </c>
      <c r="H23" s="32" t="n">
        <v>33192</v>
      </c>
      <c r="I23" s="33" t="s">
        <v>74</v>
      </c>
      <c r="J23" s="34" t="n">
        <v>15</v>
      </c>
    </row>
    <row r="24" customFormat="false" ht="15" hidden="false" customHeight="false" outlineLevel="0" collapsed="false">
      <c r="A24" s="10"/>
      <c r="B24" s="11" t="s">
        <v>14</v>
      </c>
      <c r="C24" s="39" t="n">
        <f aca="false">SUM(C23:C23)</f>
        <v>86347</v>
      </c>
      <c r="D24" s="39" t="n">
        <f aca="false">SUM(D23:D23)</f>
        <v>19904</v>
      </c>
      <c r="E24" s="39" t="n">
        <f aca="false">SUM(E23:E23)</f>
        <v>19904</v>
      </c>
      <c r="F24" s="39" t="n">
        <f aca="false">SUM(F23:F23)</f>
        <v>6644</v>
      </c>
      <c r="G24" s="39" t="n">
        <f aca="false">SUM(G23:G23)</f>
        <v>26548</v>
      </c>
      <c r="H24" s="39" t="n">
        <f aca="false">SUM(H23:H23)</f>
        <v>33192</v>
      </c>
      <c r="I24" s="10"/>
      <c r="J24" s="10"/>
    </row>
    <row r="26" customFormat="false" ht="15" hidden="false" customHeight="false" outlineLevel="0" collapsed="false">
      <c r="A26" s="40" t="s">
        <v>79</v>
      </c>
      <c r="B26" s="40"/>
      <c r="C26" s="40"/>
      <c r="D26" s="40"/>
      <c r="E26" s="40"/>
      <c r="F26" s="40"/>
      <c r="G26" s="40"/>
      <c r="H26" s="40"/>
      <c r="I26" s="40"/>
      <c r="J26" s="40"/>
    </row>
    <row r="27" customFormat="false" ht="15" hidden="false" customHeight="false" outlineLevel="0" collapsed="false">
      <c r="A27" s="29"/>
      <c r="B27" s="29" t="s">
        <v>64</v>
      </c>
      <c r="C27" s="30" t="s">
        <v>65</v>
      </c>
      <c r="D27" s="30" t="s">
        <v>66</v>
      </c>
      <c r="E27" s="30" t="s">
        <v>67</v>
      </c>
      <c r="F27" s="30" t="s">
        <v>68</v>
      </c>
      <c r="G27" s="30" t="s">
        <v>69</v>
      </c>
      <c r="H27" s="30" t="s">
        <v>70</v>
      </c>
      <c r="I27" s="30" t="s">
        <v>71</v>
      </c>
      <c r="J27" s="30" t="s">
        <v>72</v>
      </c>
    </row>
    <row r="28" customFormat="false" ht="15" hidden="false" customHeight="false" outlineLevel="0" collapsed="false">
      <c r="B28" s="31" t="s">
        <v>147</v>
      </c>
      <c r="C28" s="32" t="n">
        <v>23596</v>
      </c>
      <c r="D28" s="32" t="n">
        <v>23596</v>
      </c>
      <c r="E28" s="32" t="n">
        <v>23596</v>
      </c>
      <c r="F28" s="32" t="n">
        <v>0</v>
      </c>
      <c r="G28" s="32" t="n">
        <v>23596</v>
      </c>
      <c r="H28" s="32" t="n">
        <v>0</v>
      </c>
      <c r="I28" s="33" t="s">
        <v>78</v>
      </c>
      <c r="J28" s="34" t="n">
        <v>5</v>
      </c>
    </row>
    <row r="29" customFormat="false" ht="15" hidden="false" customHeight="false" outlineLevel="0" collapsed="false">
      <c r="B29" s="35" t="s">
        <v>148</v>
      </c>
      <c r="C29" s="36" t="n">
        <v>62751</v>
      </c>
      <c r="D29" s="36" t="n">
        <v>0</v>
      </c>
      <c r="E29" s="36" t="n">
        <v>5609.55</v>
      </c>
      <c r="F29" s="36" t="n">
        <v>2281.85</v>
      </c>
      <c r="G29" s="36" t="n">
        <v>7891.4</v>
      </c>
      <c r="H29" s="36" t="n">
        <v>54859.6</v>
      </c>
      <c r="I29" s="37" t="s">
        <v>76</v>
      </c>
      <c r="J29" s="38" t="n">
        <v>27.5</v>
      </c>
    </row>
    <row r="30" customFormat="false" ht="15" hidden="false" customHeight="false" outlineLevel="0" collapsed="false">
      <c r="A30" s="10"/>
      <c r="B30" s="11" t="s">
        <v>14</v>
      </c>
      <c r="C30" s="39" t="n">
        <f aca="false">SUM(C28:C29)</f>
        <v>86347</v>
      </c>
      <c r="D30" s="39" t="n">
        <f aca="false">SUM(D28:D29)</f>
        <v>23596</v>
      </c>
      <c r="E30" s="39" t="n">
        <f aca="false">SUM(E28:E29)</f>
        <v>29205.55</v>
      </c>
      <c r="F30" s="39" t="n">
        <f aca="false">SUM(F28:F29)</f>
        <v>2281.85</v>
      </c>
      <c r="G30" s="39" t="n">
        <f aca="false">SUM(G28:G29)</f>
        <v>31487.4</v>
      </c>
      <c r="H30" s="39" t="n">
        <f aca="false">SUM(H28:H29)</f>
        <v>54859.6</v>
      </c>
      <c r="I30" s="10"/>
      <c r="J30" s="10"/>
    </row>
    <row r="32" customFormat="false" ht="15" hidden="false" customHeight="false" outlineLevel="0" collapsed="false">
      <c r="A32" s="27" t="s">
        <v>28</v>
      </c>
      <c r="B32" s="27"/>
      <c r="C32" s="27"/>
      <c r="D32" s="27"/>
      <c r="E32" s="27"/>
    </row>
    <row r="33" customFormat="false" ht="15" hidden="false" customHeight="false" outlineLevel="0" collapsed="false">
      <c r="B33" s="8" t="s">
        <v>86</v>
      </c>
      <c r="C33" s="41" t="n">
        <f aca="false">G24</f>
        <v>26548</v>
      </c>
    </row>
    <row r="34" customFormat="false" ht="15" hidden="false" customHeight="false" outlineLevel="0" collapsed="false">
      <c r="B34" s="8" t="s">
        <v>87</v>
      </c>
      <c r="C34" s="41" t="n">
        <f aca="false">G30</f>
        <v>31487.4</v>
      </c>
    </row>
    <row r="35" customFormat="false" ht="15" hidden="false" customHeight="false" outlineLevel="0" collapsed="false">
      <c r="B35" s="17" t="s">
        <v>28</v>
      </c>
      <c r="C35" s="42" t="n">
        <f aca="false">C34-C33</f>
        <v>4939.4</v>
      </c>
    </row>
  </sheetData>
  <mergeCells count="11">
    <mergeCell ref="A2:J2"/>
    <mergeCell ref="A3:J3"/>
    <mergeCell ref="A4:J4"/>
    <mergeCell ref="A8:J8"/>
    <mergeCell ref="B10:J10"/>
    <mergeCell ref="B12:J12"/>
    <mergeCell ref="B16:J16"/>
    <mergeCell ref="A20:J20"/>
    <mergeCell ref="A21:J21"/>
    <mergeCell ref="A26:J26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2026-07-08T23:03:33Z</dcterms:created>
  <dc:creator>openpyxl</dc:creator>
  <dc:description/>
  <dc:language>en-US</dc:language>
  <cp:lastModifiedBy/>
  <dcterms:modified xsi:type="dcterms:W3CDTF">2026-07-08T23:03:33Z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