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ite" sheetId="2" state="visible" r:id="rId4"/>
    <sheet name="Building 1" sheetId="3" state="visible" r:id="rId5"/>
    <sheet name="Building 2" sheetId="4" state="visible" r:id="rId6"/>
    <sheet name="Building 3" sheetId="5" state="visible" r:id="rId7"/>
    <sheet name="Building 4" sheetId="6" state="visible" r:id="rId8"/>
    <sheet name="Building 5" sheetId="7" state="visible" r:id="rId9"/>
    <sheet name="Building 6" sheetId="8" state="visible" r:id="rId10"/>
    <sheet name="Building 7" sheetId="9" state="visible" r:id="rId11"/>
    <sheet name="Building 8" sheetId="10" state="visible" r:id="rId12"/>
    <sheet name="Building 9" sheetId="11" state="visible" r:id="rId13"/>
    <sheet name="Building 10" sheetId="12" state="visible" r:id="rId14"/>
    <sheet name="Building 11" sheetId="13" state="visible" r:id="rId15"/>
    <sheet name="Building 12" sheetId="14" state="visible" r:id="rId16"/>
    <sheet name="Building 13" sheetId="15" state="visible" r:id="rId17"/>
    <sheet name="Building 14" sheetId="16" state="visible" r:id="rId18"/>
    <sheet name="Building 15" sheetId="17" state="visible" r:id="rId19"/>
    <sheet name="Building 16" sheetId="18" state="visible" r:id="rId20"/>
    <sheet name="Office" sheetId="19" state="visible" r:id="rId2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<sst xmlns="http://schemas.openxmlformats.org/spreadsheetml/2006/main" count="2204" uniqueCount="549">
  <si>
    <t xml:space="preserve">St. Charles Housing LP</t>
  </si>
  <si>
    <t xml:space="preserve">Summary of Cost Seg Adjustments</t>
  </si>
  <si>
    <t xml:space="preserve">As of December 31, 2024  |  EIN: 82-5349206  |  Report #107752-24</t>
  </si>
  <si>
    <t xml:space="preserve">Acq Date</t>
  </si>
  <si>
    <t xml:space="preserve">Asset Description</t>
  </si>
  <si>
    <t xml:space="preserve">Total</t>
  </si>
  <si>
    <t xml:space="preserve">Site</t>
  </si>
  <si>
    <t xml:space="preserve">Building 1</t>
  </si>
  <si>
    <t xml:space="preserve">Building 2</t>
  </si>
  <si>
    <t xml:space="preserve">Building 3</t>
  </si>
  <si>
    <t xml:space="preserve">Building 4</t>
  </si>
  <si>
    <t xml:space="preserve">Building 5</t>
  </si>
  <si>
    <t xml:space="preserve">Building 6</t>
  </si>
  <si>
    <t xml:space="preserve">Building 7</t>
  </si>
  <si>
    <t xml:space="preserve">Building 8</t>
  </si>
  <si>
    <t xml:space="preserve">Building 9</t>
  </si>
  <si>
    <t xml:space="preserve">Building 10</t>
  </si>
  <si>
    <t xml:space="preserve">Building 11</t>
  </si>
  <si>
    <t xml:space="preserve">Building 12</t>
  </si>
  <si>
    <t xml:space="preserve">Building 13</t>
  </si>
  <si>
    <t xml:space="preserve">Building 14</t>
  </si>
  <si>
    <t xml:space="preserve">Building 15</t>
  </si>
  <si>
    <t xml:space="preserve">Building 16</t>
  </si>
  <si>
    <t xml:space="preserve">Office</t>
  </si>
  <si>
    <t xml:space="preserve">Grand Total</t>
  </si>
  <si>
    <t xml:space="preserve">Property Cost Summary</t>
  </si>
  <si>
    <t xml:space="preserve">8/15/18</t>
  </si>
  <si>
    <t xml:space="preserve">Property - Site</t>
  </si>
  <si>
    <t xml:space="preserve">Property - Building 1</t>
  </si>
  <si>
    <t xml:space="preserve">Property - Building 2</t>
  </si>
  <si>
    <t xml:space="preserve">Property - Building 3</t>
  </si>
  <si>
    <t xml:space="preserve">Property - Building 4</t>
  </si>
  <si>
    <t xml:space="preserve">Property - Building 5</t>
  </si>
  <si>
    <t xml:space="preserve">Property - Building 6</t>
  </si>
  <si>
    <t xml:space="preserve">Property - Building 7</t>
  </si>
  <si>
    <t xml:space="preserve">Property - Building 8</t>
  </si>
  <si>
    <t xml:space="preserve">Property - Building 9</t>
  </si>
  <si>
    <t xml:space="preserve">Property - Building 10</t>
  </si>
  <si>
    <t xml:space="preserve">Property - Building 11</t>
  </si>
  <si>
    <t xml:space="preserve">Property - Building 12</t>
  </si>
  <si>
    <t xml:space="preserve">Property - Building 13</t>
  </si>
  <si>
    <t xml:space="preserve">Property - Building 14</t>
  </si>
  <si>
    <t xml:space="preserve">Property - Building 15</t>
  </si>
  <si>
    <t xml:space="preserve">Property - Building 16</t>
  </si>
  <si>
    <t xml:space="preserve">Property - Office</t>
  </si>
  <si>
    <t xml:space="preserve">Section 481(a) Adjustment Summary</t>
  </si>
  <si>
    <t xml:space="preserve">Before Cost Segregation (As Previously Filed)</t>
  </si>
  <si>
    <t xml:space="preserve">After Cost Segregation (Corrected)</t>
  </si>
  <si>
    <t xml:space="preserve">Section 481(a) Adjustment</t>
  </si>
  <si>
    <t xml:space="preserve">Cost Segregation Study - Site</t>
  </si>
  <si>
    <t xml:space="preserve">Report #107752-24</t>
  </si>
  <si>
    <t xml:space="preserve">Acquisition Date:</t>
  </si>
  <si>
    <t xml:space="preserve">St. Charles Housing LP - Site</t>
  </si>
  <si>
    <t xml:space="preserve">Property Category</t>
  </si>
  <si>
    <t xml:space="preserve">Cost</t>
  </si>
  <si>
    <t xml:space="preserve">5 Year</t>
  </si>
  <si>
    <t xml:space="preserve">7 Year</t>
  </si>
  <si>
    <t xml:space="preserve">15 Year</t>
  </si>
  <si>
    <t xml:space="preserve">27.5 Year</t>
  </si>
  <si>
    <t xml:space="preserve">15 yr QIP</t>
  </si>
  <si>
    <t xml:space="preserve">Site Work / Improvements</t>
  </si>
  <si>
    <t xml:space="preserve">Parking Lot</t>
  </si>
  <si>
    <t xml:space="preserve">Parking Lot Striping / Barriers</t>
  </si>
  <si>
    <t xml:space="preserve">Sidewalks / Curbs</t>
  </si>
  <si>
    <t xml:space="preserve">Landscaping</t>
  </si>
  <si>
    <t xml:space="preserve">Exterior Fencing</t>
  </si>
  <si>
    <t xml:space="preserve">Exterior Equipment Concrete Pads</t>
  </si>
  <si>
    <t xml:space="preserve">Playground</t>
  </si>
  <si>
    <t xml:space="preserve">Site Utilities</t>
  </si>
  <si>
    <t xml:space="preserve">Total Cost</t>
  </si>
  <si>
    <t xml:space="preserve">Asset Allocation:</t>
  </si>
  <si>
    <t xml:space="preserve">Asset #10-Building</t>
  </si>
  <si>
    <t xml:space="preserve">Asset #12-New Building (16 Units)</t>
  </si>
  <si>
    <t xml:space="preserve">Asset #14-New Buildings (105 Units)</t>
  </si>
  <si>
    <t xml:space="preserve">Asset #111-Building Improvement</t>
  </si>
  <si>
    <t xml:space="preserve">Asset #2-Land Improvements</t>
  </si>
  <si>
    <t xml:space="preserve">Asset #13-New Equipment (16 Units)</t>
  </si>
  <si>
    <t xml:space="preserve">Asset #15-New Equipment (105 Units)</t>
  </si>
  <si>
    <t xml:space="preserve">Total Allocation:</t>
  </si>
  <si>
    <t xml:space="preserve">End Depreciation Reconciliation</t>
  </si>
  <si>
    <t xml:space="preserve">Property Description</t>
  </si>
  <si>
    <t xml:space="preserve">Tax Cost</t>
  </si>
  <si>
    <t xml:space="preserve">Tax Bonus Amt</t>
  </si>
  <si>
    <t xml:space="preserve">Tax Prior Depr</t>
  </si>
  <si>
    <t xml:space="preserve">Tax Current Depr</t>
  </si>
  <si>
    <t xml:space="preserve">Tax End Depr</t>
  </si>
  <si>
    <t xml:space="preserve">Tax Net Book Value</t>
  </si>
  <si>
    <t xml:space="preserve">Tax Method</t>
  </si>
  <si>
    <t xml:space="preserve">Tax Period</t>
  </si>
  <si>
    <t xml:space="preserve">10-Building-site</t>
  </si>
  <si>
    <t xml:space="preserve">S/L</t>
  </si>
  <si>
    <t xml:space="preserve">12-New Bldg(16 units)-site</t>
  </si>
  <si>
    <t xml:space="preserve">14-New Bldgs(105 units)-site</t>
  </si>
  <si>
    <t xml:space="preserve">111-Bldg Imp-site</t>
  </si>
  <si>
    <t xml:space="preserve">2-Land Improvements-site</t>
  </si>
  <si>
    <t xml:space="preserve">150DB</t>
  </si>
  <si>
    <t xml:space="preserve">13-New Equip(16 units)-site</t>
  </si>
  <si>
    <t xml:space="preserve">200DB</t>
  </si>
  <si>
    <t xml:space="preserve">15-New Equip(105 units)-site</t>
  </si>
  <si>
    <t xml:space="preserve">After Cost Segregation Correction</t>
  </si>
  <si>
    <t xml:space="preserve">10-Bldg-site-15yr</t>
  </si>
  <si>
    <t xml:space="preserve">10-Bldg-site-30yr</t>
  </si>
  <si>
    <t xml:space="preserve">12-New Bldg(16)-site-15yr</t>
  </si>
  <si>
    <t xml:space="preserve">12-New Bldg(16)-site-30yr</t>
  </si>
  <si>
    <t xml:space="preserve">14-New Bldgs(105)-site-15yr</t>
  </si>
  <si>
    <t xml:space="preserve">14-New Bldgs(105)-site-30yr</t>
  </si>
  <si>
    <t xml:space="preserve">111-Bldg Imp-site-15yr</t>
  </si>
  <si>
    <t xml:space="preserve">111-Bldg Imp-site-30yr</t>
  </si>
  <si>
    <t xml:space="preserve">2-LI-site-15yr</t>
  </si>
  <si>
    <t xml:space="preserve">2-LI-site-30yr</t>
  </si>
  <si>
    <t xml:space="preserve">13-New Equip(16)-site-15yr</t>
  </si>
  <si>
    <t xml:space="preserve">13-New Equip(16)-site-30yr</t>
  </si>
  <si>
    <t xml:space="preserve">15-New Equip(105)-site-15yr</t>
  </si>
  <si>
    <t xml:space="preserve">15-New Equip(105)-site-30yr</t>
  </si>
  <si>
    <t xml:space="preserve">Depreciation Reported Previously</t>
  </si>
  <si>
    <t xml:space="preserve">Cost Segregation Corrected Depreciation</t>
  </si>
  <si>
    <t xml:space="preserve">Cost Segregation Study - Building 1</t>
  </si>
  <si>
    <t xml:space="preserve">St. Charles Housing LP - Building 1</t>
  </si>
  <si>
    <t xml:space="preserve">Building Components</t>
  </si>
  <si>
    <t xml:space="preserve">Cabinets / Millwork</t>
  </si>
  <si>
    <t xml:space="preserve">Moldings</t>
  </si>
  <si>
    <t xml:space="preserve">Flooring - Vinyl Plank</t>
  </si>
  <si>
    <t xml:space="preserve">Window Treatments</t>
  </si>
  <si>
    <t xml:space="preserve">Building Signage</t>
  </si>
  <si>
    <t xml:space="preserve">Specialty Electrical - Appliances</t>
  </si>
  <si>
    <t xml:space="preserve">Communication / Data</t>
  </si>
  <si>
    <t xml:space="preserve">Specialty Plumbing - Kitchen Sinks</t>
  </si>
  <si>
    <t xml:space="preserve">Security / Exterior Lighting</t>
  </si>
  <si>
    <t xml:space="preserve">Canopies / Awnings</t>
  </si>
  <si>
    <t xml:space="preserve">Appliances</t>
  </si>
  <si>
    <t xml:space="preserve">Building Structure</t>
  </si>
  <si>
    <t xml:space="preserve">Foundations</t>
  </si>
  <si>
    <t xml:space="preserve">HVAC</t>
  </si>
  <si>
    <t xml:space="preserve">Electrical</t>
  </si>
  <si>
    <t xml:space="preserve">Plumbing</t>
  </si>
  <si>
    <t xml:space="preserve">Fire Protection &amp; Alarm</t>
  </si>
  <si>
    <t xml:space="preserve">Exterior Façade / Building Skin</t>
  </si>
  <si>
    <t xml:space="preserve">Doors &amp; Frames</t>
  </si>
  <si>
    <t xml:space="preserve">Windows</t>
  </si>
  <si>
    <t xml:space="preserve">Ceiling Systems</t>
  </si>
  <si>
    <t xml:space="preserve">Interior Framing / Partitions</t>
  </si>
  <si>
    <t xml:space="preserve">Painting</t>
  </si>
  <si>
    <t xml:space="preserve">Gutter Systems</t>
  </si>
  <si>
    <t xml:space="preserve">Structural Framing</t>
  </si>
  <si>
    <t xml:space="preserve">Stairs / Balconies</t>
  </si>
  <si>
    <t xml:space="preserve">Bathroom Accessories</t>
  </si>
  <si>
    <t xml:space="preserve">Asset #12-New Building</t>
  </si>
  <si>
    <t xml:space="preserve">Asset #14-New Buildings</t>
  </si>
  <si>
    <t xml:space="preserve">Asset #111-Building Imp</t>
  </si>
  <si>
    <t xml:space="preserve">Asset #13-New Equipment (16)</t>
  </si>
  <si>
    <t xml:space="preserve">Asset #15-New Equipment (105)</t>
  </si>
  <si>
    <t xml:space="preserve">10-Building-bldg1</t>
  </si>
  <si>
    <t xml:space="preserve">12-New Bldg(16)-bldg1</t>
  </si>
  <si>
    <t xml:space="preserve">14-New Bldgs(105)-bldg1</t>
  </si>
  <si>
    <t xml:space="preserve">111-Bldg Imp-bldg1</t>
  </si>
  <si>
    <t xml:space="preserve">2-LI-bldg1</t>
  </si>
  <si>
    <t xml:space="preserve">13-New Equip(16)-bldg1</t>
  </si>
  <si>
    <t xml:space="preserve">15-New Equip(105)-bldg1</t>
  </si>
  <si>
    <t xml:space="preserve">10-Bldg-bldg1-5yr</t>
  </si>
  <si>
    <t xml:space="preserve">10-Bldg-bldg1-30yr</t>
  </si>
  <si>
    <t xml:space="preserve">12-New Bldg(16)-bldg1-5yr</t>
  </si>
  <si>
    <t xml:space="preserve">12-New Bldg(16)-bldg1-30yr</t>
  </si>
  <si>
    <t xml:space="preserve">14-New Bldgs(105)-bldg1-5yr</t>
  </si>
  <si>
    <t xml:space="preserve">14-New Bldgs(105)-bldg1-30yr</t>
  </si>
  <si>
    <t xml:space="preserve">111-Bldg Imp-bldg1-5yr</t>
  </si>
  <si>
    <t xml:space="preserve">111-Bldg Imp-bldg1-30yr</t>
  </si>
  <si>
    <t xml:space="preserve">2-LI-bldg1-5yr</t>
  </si>
  <si>
    <t xml:space="preserve">2-LI-bldg1-30yr</t>
  </si>
  <si>
    <t xml:space="preserve">13-New Equip(16)-bldg1-5yr</t>
  </si>
  <si>
    <t xml:space="preserve">13-New Equip(16)-bldg1-30yr</t>
  </si>
  <si>
    <t xml:space="preserve">15-New Equip(105)-bldg1-5yr</t>
  </si>
  <si>
    <t xml:space="preserve">15-New Equip(105)-bldg1-30yr</t>
  </si>
  <si>
    <t xml:space="preserve">Cost Segregation Study - Building 2</t>
  </si>
  <si>
    <t xml:space="preserve">St. Charles Housing LP - Building 2</t>
  </si>
  <si>
    <t xml:space="preserve">10-Building-bldg2</t>
  </si>
  <si>
    <t xml:space="preserve">12-New Bldg(16)-bldg2</t>
  </si>
  <si>
    <t xml:space="preserve">14-New Bldgs(105)-bldg2</t>
  </si>
  <si>
    <t xml:space="preserve">111-Bldg Imp-bldg2</t>
  </si>
  <si>
    <t xml:space="preserve">2-LI-bldg2</t>
  </si>
  <si>
    <t xml:space="preserve">13-New Equip(16)-bldg2</t>
  </si>
  <si>
    <t xml:space="preserve">15-New Equip(105)-bldg2</t>
  </si>
  <si>
    <t xml:space="preserve">10-Bldg-bldg2-5yr</t>
  </si>
  <si>
    <t xml:space="preserve">10-Bldg-bldg2-30yr</t>
  </si>
  <si>
    <t xml:space="preserve">12-New Bldg(16)-bldg2-5yr</t>
  </si>
  <si>
    <t xml:space="preserve">12-New Bldg(16)-bldg2-30yr</t>
  </si>
  <si>
    <t xml:space="preserve">14-New Bldgs(105)-bldg2-5yr</t>
  </si>
  <si>
    <t xml:space="preserve">14-New Bldgs(105)-bldg2-30yr</t>
  </si>
  <si>
    <t xml:space="preserve">111-Bldg Imp-bldg2-5yr</t>
  </si>
  <si>
    <t xml:space="preserve">111-Bldg Imp-bldg2-30yr</t>
  </si>
  <si>
    <t xml:space="preserve">2-LI-bldg2-5yr</t>
  </si>
  <si>
    <t xml:space="preserve">2-LI-bldg2-30yr</t>
  </si>
  <si>
    <t xml:space="preserve">13-New Equip(16)-bldg2-5yr</t>
  </si>
  <si>
    <t xml:space="preserve">13-New Equip(16)-bldg2-30yr</t>
  </si>
  <si>
    <t xml:space="preserve">15-New Equip(105)-bldg2-5yr</t>
  </si>
  <si>
    <t xml:space="preserve">15-New Equip(105)-bldg2-30yr</t>
  </si>
  <si>
    <t xml:space="preserve">Cost Segregation Study - Building 3</t>
  </si>
  <si>
    <t xml:space="preserve">St. Charles Housing LP - Building 3</t>
  </si>
  <si>
    <t xml:space="preserve">10-Building-bldg3</t>
  </si>
  <si>
    <t xml:space="preserve">12-New Bldg(16)-bldg3</t>
  </si>
  <si>
    <t xml:space="preserve">14-New Bldgs(105)-bldg3</t>
  </si>
  <si>
    <t xml:space="preserve">111-Bldg Imp-bldg3</t>
  </si>
  <si>
    <t xml:space="preserve">2-LI-bldg3</t>
  </si>
  <si>
    <t xml:space="preserve">13-New Equip(16)-bldg3</t>
  </si>
  <si>
    <t xml:space="preserve">15-New Equip(105)-bldg3</t>
  </si>
  <si>
    <t xml:space="preserve">10-Bldg-bldg3-5yr</t>
  </si>
  <si>
    <t xml:space="preserve">10-Bldg-bldg3-30yr</t>
  </si>
  <si>
    <t xml:space="preserve">12-New Bldg(16)-bldg3-5yr</t>
  </si>
  <si>
    <t xml:space="preserve">12-New Bldg(16)-bldg3-30yr</t>
  </si>
  <si>
    <t xml:space="preserve">14-New Bldgs(105)-bldg3-5yr</t>
  </si>
  <si>
    <t xml:space="preserve">14-New Bldgs(105)-bldg3-30yr</t>
  </si>
  <si>
    <t xml:space="preserve">111-Bldg Imp-bldg3-5yr</t>
  </si>
  <si>
    <t xml:space="preserve">111-Bldg Imp-bldg3-30yr</t>
  </si>
  <si>
    <t xml:space="preserve">2-LI-bldg3-5yr</t>
  </si>
  <si>
    <t xml:space="preserve">2-LI-bldg3-30yr</t>
  </si>
  <si>
    <t xml:space="preserve">13-New Equip(16)-bldg3-5yr</t>
  </si>
  <si>
    <t xml:space="preserve">13-New Equip(16)-bldg3-30yr</t>
  </si>
  <si>
    <t xml:space="preserve">15-New Equip(105)-bldg3-5yr</t>
  </si>
  <si>
    <t xml:space="preserve">15-New Equip(105)-bldg3-30yr</t>
  </si>
  <si>
    <t xml:space="preserve">Cost Segregation Study - Building 4</t>
  </si>
  <si>
    <t xml:space="preserve">St. Charles Housing LP - Building 4</t>
  </si>
  <si>
    <t xml:space="preserve">10-Building-bldg4</t>
  </si>
  <si>
    <t xml:space="preserve">12-New Bldg(16)-bldg4</t>
  </si>
  <si>
    <t xml:space="preserve">14-New Bldgs(105)-bldg4</t>
  </si>
  <si>
    <t xml:space="preserve">111-Bldg Imp-bldg4</t>
  </si>
  <si>
    <t xml:space="preserve">2-LI-bldg4</t>
  </si>
  <si>
    <t xml:space="preserve">13-New Equip(16)-bldg4</t>
  </si>
  <si>
    <t xml:space="preserve">15-New Equip(105)-bldg4</t>
  </si>
  <si>
    <t xml:space="preserve">10-Bldg-bldg4-5yr</t>
  </si>
  <si>
    <t xml:space="preserve">10-Bldg-bldg4-30yr</t>
  </si>
  <si>
    <t xml:space="preserve">12-New Bldg(16)-bldg4-5yr</t>
  </si>
  <si>
    <t xml:space="preserve">12-New Bldg(16)-bldg4-30yr</t>
  </si>
  <si>
    <t xml:space="preserve">14-New Bldgs(105)-bldg4-5yr</t>
  </si>
  <si>
    <t xml:space="preserve">14-New Bldgs(105)-bldg4-30yr</t>
  </si>
  <si>
    <t xml:space="preserve">111-Bldg Imp-bldg4-5yr</t>
  </si>
  <si>
    <t xml:space="preserve">111-Bldg Imp-bldg4-30yr</t>
  </si>
  <si>
    <t xml:space="preserve">2-LI-bldg4-5yr</t>
  </si>
  <si>
    <t xml:space="preserve">2-LI-bldg4-30yr</t>
  </si>
  <si>
    <t xml:space="preserve">13-New Equip(16)-bldg4-5yr</t>
  </si>
  <si>
    <t xml:space="preserve">13-New Equip(16)-bldg4-30yr</t>
  </si>
  <si>
    <t xml:space="preserve">15-New Equip(105)-bldg4-5yr</t>
  </si>
  <si>
    <t xml:space="preserve">15-New Equip(105)-bldg4-30yr</t>
  </si>
  <si>
    <t xml:space="preserve">Cost Segregation Study - Building 5</t>
  </si>
  <si>
    <t xml:space="preserve">St. Charles Housing LP - Building 5</t>
  </si>
  <si>
    <t xml:space="preserve">10-Building-bldg5</t>
  </si>
  <si>
    <t xml:space="preserve">12-New Bldg(16)-bldg5</t>
  </si>
  <si>
    <t xml:space="preserve">14-New Bldgs(105)-bldg5</t>
  </si>
  <si>
    <t xml:space="preserve">111-Bldg Imp-bldg5</t>
  </si>
  <si>
    <t xml:space="preserve">2-LI-bldg5</t>
  </si>
  <si>
    <t xml:space="preserve">13-New Equip(16)-bldg5</t>
  </si>
  <si>
    <t xml:space="preserve">15-New Equip(105)-bldg5</t>
  </si>
  <si>
    <t xml:space="preserve">10-Bldg-bldg5-5yr</t>
  </si>
  <si>
    <t xml:space="preserve">10-Bldg-bldg5-30yr</t>
  </si>
  <si>
    <t xml:space="preserve">12-New Bldg(16)-bldg5-5yr</t>
  </si>
  <si>
    <t xml:space="preserve">12-New Bldg(16)-bldg5-30yr</t>
  </si>
  <si>
    <t xml:space="preserve">14-New Bldgs(105)-bldg5-5yr</t>
  </si>
  <si>
    <t xml:space="preserve">14-New Bldgs(105)-bldg5-30yr</t>
  </si>
  <si>
    <t xml:space="preserve">111-Bldg Imp-bldg5-5yr</t>
  </si>
  <si>
    <t xml:space="preserve">111-Bldg Imp-bldg5-30yr</t>
  </si>
  <si>
    <t xml:space="preserve">2-LI-bldg5-5yr</t>
  </si>
  <si>
    <t xml:space="preserve">2-LI-bldg5-30yr</t>
  </si>
  <si>
    <t xml:space="preserve">13-New Equip(16)-bldg5-5yr</t>
  </si>
  <si>
    <t xml:space="preserve">13-New Equip(16)-bldg5-30yr</t>
  </si>
  <si>
    <t xml:space="preserve">15-New Equip(105)-bldg5-5yr</t>
  </si>
  <si>
    <t xml:space="preserve">15-New Equip(105)-bldg5-30yr</t>
  </si>
  <si>
    <t xml:space="preserve">Cost Segregation Study - Building 6</t>
  </si>
  <si>
    <t xml:space="preserve">St. Charles Housing LP - Building 6</t>
  </si>
  <si>
    <t xml:space="preserve">10-Building-bldg6</t>
  </si>
  <si>
    <t xml:space="preserve">12-New Bldg(16)-bldg6</t>
  </si>
  <si>
    <t xml:space="preserve">14-New Bldgs(105)-bldg6</t>
  </si>
  <si>
    <t xml:space="preserve">111-Bldg Imp-bldg6</t>
  </si>
  <si>
    <t xml:space="preserve">2-LI-bldg6</t>
  </si>
  <si>
    <t xml:space="preserve">13-New Equip(16)-bldg6</t>
  </si>
  <si>
    <t xml:space="preserve">15-New Equip(105)-bldg6</t>
  </si>
  <si>
    <t xml:space="preserve">10-Bldg-bldg6-5yr</t>
  </si>
  <si>
    <t xml:space="preserve">10-Bldg-bldg6-30yr</t>
  </si>
  <si>
    <t xml:space="preserve">12-New Bldg(16)-bldg6-5yr</t>
  </si>
  <si>
    <t xml:space="preserve">12-New Bldg(16)-bldg6-30yr</t>
  </si>
  <si>
    <t xml:space="preserve">14-New Bldgs(105)-bldg6-5yr</t>
  </si>
  <si>
    <t xml:space="preserve">14-New Bldgs(105)-bldg6-30yr</t>
  </si>
  <si>
    <t xml:space="preserve">111-Bldg Imp-bldg6-5yr</t>
  </si>
  <si>
    <t xml:space="preserve">111-Bldg Imp-bldg6-30yr</t>
  </si>
  <si>
    <t xml:space="preserve">2-LI-bldg6-5yr</t>
  </si>
  <si>
    <t xml:space="preserve">2-LI-bldg6-30yr</t>
  </si>
  <si>
    <t xml:space="preserve">13-New Equip(16)-bldg6-5yr</t>
  </si>
  <si>
    <t xml:space="preserve">13-New Equip(16)-bldg6-30yr</t>
  </si>
  <si>
    <t xml:space="preserve">15-New Equip(105)-bldg6-5yr</t>
  </si>
  <si>
    <t xml:space="preserve">15-New Equip(105)-bldg6-30yr</t>
  </si>
  <si>
    <t xml:space="preserve">Cost Segregation Study - Building 7</t>
  </si>
  <si>
    <t xml:space="preserve">St. Charles Housing LP - Building 7</t>
  </si>
  <si>
    <t xml:space="preserve">10-Building-bldg7</t>
  </si>
  <si>
    <t xml:space="preserve">12-New Bldg(16)-bldg7</t>
  </si>
  <si>
    <t xml:space="preserve">14-New Bldgs(105)-bldg7</t>
  </si>
  <si>
    <t xml:space="preserve">111-Bldg Imp-bldg7</t>
  </si>
  <si>
    <t xml:space="preserve">2-LI-bldg7</t>
  </si>
  <si>
    <t xml:space="preserve">13-New Equip(16)-bldg7</t>
  </si>
  <si>
    <t xml:space="preserve">15-New Equip(105)-bldg7</t>
  </si>
  <si>
    <t xml:space="preserve">10-Bldg-bldg7-5yr</t>
  </si>
  <si>
    <t xml:space="preserve">10-Bldg-bldg7-30yr</t>
  </si>
  <si>
    <t xml:space="preserve">12-New Bldg(16)-bldg7-5yr</t>
  </si>
  <si>
    <t xml:space="preserve">12-New Bldg(16)-bldg7-30yr</t>
  </si>
  <si>
    <t xml:space="preserve">14-New Bldgs(105)-bldg7-5yr</t>
  </si>
  <si>
    <t xml:space="preserve">14-New Bldgs(105)-bldg7-30yr</t>
  </si>
  <si>
    <t xml:space="preserve">111-Bldg Imp-bldg7-5yr</t>
  </si>
  <si>
    <t xml:space="preserve">111-Bldg Imp-bldg7-30yr</t>
  </si>
  <si>
    <t xml:space="preserve">2-LI-bldg7-5yr</t>
  </si>
  <si>
    <t xml:space="preserve">2-LI-bldg7-30yr</t>
  </si>
  <si>
    <t xml:space="preserve">13-New Equip(16)-bldg7-5yr</t>
  </si>
  <si>
    <t xml:space="preserve">13-New Equip(16)-bldg7-30yr</t>
  </si>
  <si>
    <t xml:space="preserve">15-New Equip(105)-bldg7-5yr</t>
  </si>
  <si>
    <t xml:space="preserve">15-New Equip(105)-bldg7-30yr</t>
  </si>
  <si>
    <t xml:space="preserve">Cost Segregation Study - Building 8</t>
  </si>
  <si>
    <t xml:space="preserve">St. Charles Housing LP - Building 8</t>
  </si>
  <si>
    <t xml:space="preserve">10-Building-bldg8</t>
  </si>
  <si>
    <t xml:space="preserve">12-New Bldg(16)-bldg8</t>
  </si>
  <si>
    <t xml:space="preserve">14-New Bldgs(105)-bldg8</t>
  </si>
  <si>
    <t xml:space="preserve">111-Bldg Imp-bldg8</t>
  </si>
  <si>
    <t xml:space="preserve">2-LI-bldg8</t>
  </si>
  <si>
    <t xml:space="preserve">13-New Equip(16)-bldg8</t>
  </si>
  <si>
    <t xml:space="preserve">15-New Equip(105)-bldg8</t>
  </si>
  <si>
    <t xml:space="preserve">10-Bldg-bldg8-5yr</t>
  </si>
  <si>
    <t xml:space="preserve">10-Bldg-bldg8-30yr</t>
  </si>
  <si>
    <t xml:space="preserve">12-New Bldg(16)-bldg8-5yr</t>
  </si>
  <si>
    <t xml:space="preserve">12-New Bldg(16)-bldg8-30yr</t>
  </si>
  <si>
    <t xml:space="preserve">14-New Bldgs(105)-bldg8-5yr</t>
  </si>
  <si>
    <t xml:space="preserve">14-New Bldgs(105)-bldg8-30yr</t>
  </si>
  <si>
    <t xml:space="preserve">111-Bldg Imp-bldg8-5yr</t>
  </si>
  <si>
    <t xml:space="preserve">111-Bldg Imp-bldg8-30yr</t>
  </si>
  <si>
    <t xml:space="preserve">2-LI-bldg8-5yr</t>
  </si>
  <si>
    <t xml:space="preserve">2-LI-bldg8-30yr</t>
  </si>
  <si>
    <t xml:space="preserve">13-New Equip(16)-bldg8-5yr</t>
  </si>
  <si>
    <t xml:space="preserve">13-New Equip(16)-bldg8-30yr</t>
  </si>
  <si>
    <t xml:space="preserve">15-New Equip(105)-bldg8-5yr</t>
  </si>
  <si>
    <t xml:space="preserve">15-New Equip(105)-bldg8-30yr</t>
  </si>
  <si>
    <t xml:space="preserve">Cost Segregation Study - Building 9</t>
  </si>
  <si>
    <t xml:space="preserve">St. Charles Housing LP - Building 9</t>
  </si>
  <si>
    <t xml:space="preserve">10-Building-bldg9</t>
  </si>
  <si>
    <t xml:space="preserve">12-New Bldg(16)-bldg9</t>
  </si>
  <si>
    <t xml:space="preserve">14-New Bldgs(105)-bldg9</t>
  </si>
  <si>
    <t xml:space="preserve">111-Bldg Imp-bldg9</t>
  </si>
  <si>
    <t xml:space="preserve">2-LI-bldg9</t>
  </si>
  <si>
    <t xml:space="preserve">13-New Equip(16)-bldg9</t>
  </si>
  <si>
    <t xml:space="preserve">15-New Equip(105)-bldg9</t>
  </si>
  <si>
    <t xml:space="preserve">10-Bldg-bldg9-5yr</t>
  </si>
  <si>
    <t xml:space="preserve">10-Bldg-bldg9-30yr</t>
  </si>
  <si>
    <t xml:space="preserve">12-New Bldg(16)-bldg9-5yr</t>
  </si>
  <si>
    <t xml:space="preserve">12-New Bldg(16)-bldg9-30yr</t>
  </si>
  <si>
    <t xml:space="preserve">14-New Bldgs(105)-bldg9-5yr</t>
  </si>
  <si>
    <t xml:space="preserve">14-New Bldgs(105)-bldg9-30yr</t>
  </si>
  <si>
    <t xml:space="preserve">111-Bldg Imp-bldg9-5yr</t>
  </si>
  <si>
    <t xml:space="preserve">111-Bldg Imp-bldg9-30yr</t>
  </si>
  <si>
    <t xml:space="preserve">2-LI-bldg9-5yr</t>
  </si>
  <si>
    <t xml:space="preserve">2-LI-bldg9-30yr</t>
  </si>
  <si>
    <t xml:space="preserve">13-New Equip(16)-bldg9-5yr</t>
  </si>
  <si>
    <t xml:space="preserve">13-New Equip(16)-bldg9-30yr</t>
  </si>
  <si>
    <t xml:space="preserve">15-New Equip(105)-bldg9-5yr</t>
  </si>
  <si>
    <t xml:space="preserve">15-New Equip(105)-bldg9-30yr</t>
  </si>
  <si>
    <t xml:space="preserve">Cost Segregation Study - Building 10</t>
  </si>
  <si>
    <t xml:space="preserve">St. Charles Housing LP - Building 10</t>
  </si>
  <si>
    <t xml:space="preserve">10-Building-bldg10</t>
  </si>
  <si>
    <t xml:space="preserve">12-New Bldg(16)-bldg10</t>
  </si>
  <si>
    <t xml:space="preserve">14-New Bldgs(105)-bldg10</t>
  </si>
  <si>
    <t xml:space="preserve">111-Bldg Imp-bldg10</t>
  </si>
  <si>
    <t xml:space="preserve">2-LI-bldg10</t>
  </si>
  <si>
    <t xml:space="preserve">13-New Equip(16)-bldg10</t>
  </si>
  <si>
    <t xml:space="preserve">15-New Equip(105)-bldg10</t>
  </si>
  <si>
    <t xml:space="preserve">10-Bldg-bldg10-5yr</t>
  </si>
  <si>
    <t xml:space="preserve">10-Bldg-bldg10-30yr</t>
  </si>
  <si>
    <t xml:space="preserve">12-New Bldg(16)-bldg10-5yr</t>
  </si>
  <si>
    <t xml:space="preserve">12-New Bldg(16)-bldg10-30yr</t>
  </si>
  <si>
    <t xml:space="preserve">14-New Bldgs(105)-bldg10-5yr</t>
  </si>
  <si>
    <t xml:space="preserve">14-New Bldgs(105)-bldg10-30yr</t>
  </si>
  <si>
    <t xml:space="preserve">111-Bldg Imp-bldg10-5yr</t>
  </si>
  <si>
    <t xml:space="preserve">111-Bldg Imp-bldg10-30yr</t>
  </si>
  <si>
    <t xml:space="preserve">2-LI-bldg10-5yr</t>
  </si>
  <si>
    <t xml:space="preserve">2-LI-bldg10-30yr</t>
  </si>
  <si>
    <t xml:space="preserve">13-New Equip(16)-bldg10-5yr</t>
  </si>
  <si>
    <t xml:space="preserve">13-New Equip(16)-bldg10-30yr</t>
  </si>
  <si>
    <t xml:space="preserve">15-New Equip(105)-bldg10-5yr</t>
  </si>
  <si>
    <t xml:space="preserve">15-New Equip(105)-bldg10-30yr</t>
  </si>
  <si>
    <t xml:space="preserve">Cost Segregation Study - Building 11</t>
  </si>
  <si>
    <t xml:space="preserve">St. Charles Housing LP - Building 11</t>
  </si>
  <si>
    <t xml:space="preserve">10-Building-bldg11</t>
  </si>
  <si>
    <t xml:space="preserve">12-New Bldg(16)-bldg11</t>
  </si>
  <si>
    <t xml:space="preserve">14-New Bldgs(105)-bldg11</t>
  </si>
  <si>
    <t xml:space="preserve">111-Bldg Imp-bldg11</t>
  </si>
  <si>
    <t xml:space="preserve">2-LI-bldg11</t>
  </si>
  <si>
    <t xml:space="preserve">13-New Equip(16)-bldg11</t>
  </si>
  <si>
    <t xml:space="preserve">15-New Equip(105)-bldg11</t>
  </si>
  <si>
    <t xml:space="preserve">10-Bldg-bldg11-5yr</t>
  </si>
  <si>
    <t xml:space="preserve">10-Bldg-bldg11-30yr</t>
  </si>
  <si>
    <t xml:space="preserve">12-New Bldg(16)-bldg11-5yr</t>
  </si>
  <si>
    <t xml:space="preserve">12-New Bldg(16)-bldg11-30yr</t>
  </si>
  <si>
    <t xml:space="preserve">14-New Bldgs(105)-bldg11-5yr</t>
  </si>
  <si>
    <t xml:space="preserve">14-New Bldgs(105)-bldg11-30yr</t>
  </si>
  <si>
    <t xml:space="preserve">111-Bldg Imp-bldg11-5yr</t>
  </si>
  <si>
    <t xml:space="preserve">111-Bldg Imp-bldg11-30yr</t>
  </si>
  <si>
    <t xml:space="preserve">2-LI-bldg11-5yr</t>
  </si>
  <si>
    <t xml:space="preserve">2-LI-bldg11-30yr</t>
  </si>
  <si>
    <t xml:space="preserve">13-New Equip(16)-bldg11-5yr</t>
  </si>
  <si>
    <t xml:space="preserve">13-New Equip(16)-bldg11-30yr</t>
  </si>
  <si>
    <t xml:space="preserve">15-New Equip(105)-bldg11-5yr</t>
  </si>
  <si>
    <t xml:space="preserve">15-New Equip(105)-bldg11-30yr</t>
  </si>
  <si>
    <t xml:space="preserve">Cost Segregation Study - Building 12</t>
  </si>
  <si>
    <t xml:space="preserve">St. Charles Housing LP - Building 12</t>
  </si>
  <si>
    <t xml:space="preserve">10-Building-bldg12</t>
  </si>
  <si>
    <t xml:space="preserve">12-New Bldg(16)-bldg12</t>
  </si>
  <si>
    <t xml:space="preserve">14-New Bldgs(105)-bldg12</t>
  </si>
  <si>
    <t xml:space="preserve">111-Bldg Imp-bldg12</t>
  </si>
  <si>
    <t xml:space="preserve">2-LI-bldg12</t>
  </si>
  <si>
    <t xml:space="preserve">13-New Equip(16)-bldg12</t>
  </si>
  <si>
    <t xml:space="preserve">15-New Equip(105)-bldg12</t>
  </si>
  <si>
    <t xml:space="preserve">10-Bldg-bldg12-5yr</t>
  </si>
  <si>
    <t xml:space="preserve">10-Bldg-bldg12-30yr</t>
  </si>
  <si>
    <t xml:space="preserve">12-New Bldg(16)-bldg12-5yr</t>
  </si>
  <si>
    <t xml:space="preserve">12-New Bldg(16)-bldg12-30yr</t>
  </si>
  <si>
    <t xml:space="preserve">14-New Bldgs(105)-bldg12-5yr</t>
  </si>
  <si>
    <t xml:space="preserve">14-New Bldgs(105)-bldg12-30yr</t>
  </si>
  <si>
    <t xml:space="preserve">111-Bldg Imp-bldg12-5yr</t>
  </si>
  <si>
    <t xml:space="preserve">111-Bldg Imp-bldg12-30yr</t>
  </si>
  <si>
    <t xml:space="preserve">2-LI-bldg12-5yr</t>
  </si>
  <si>
    <t xml:space="preserve">2-LI-bldg12-30yr</t>
  </si>
  <si>
    <t xml:space="preserve">13-New Equip(16)-bldg12-5yr</t>
  </si>
  <si>
    <t xml:space="preserve">13-New Equip(16)-bldg12-30yr</t>
  </si>
  <si>
    <t xml:space="preserve">15-New Equip(105)-bldg12-5yr</t>
  </si>
  <si>
    <t xml:space="preserve">15-New Equip(105)-bldg12-30yr</t>
  </si>
  <si>
    <t xml:space="preserve">Cost Segregation Study - Building 13</t>
  </si>
  <si>
    <t xml:space="preserve">St. Charles Housing LP - Building 13</t>
  </si>
  <si>
    <t xml:space="preserve">10-Building-bldg13</t>
  </si>
  <si>
    <t xml:space="preserve">12-New Bldg(16)-bldg13</t>
  </si>
  <si>
    <t xml:space="preserve">14-New Bldgs(105)-bldg13</t>
  </si>
  <si>
    <t xml:space="preserve">111-Bldg Imp-bldg13</t>
  </si>
  <si>
    <t xml:space="preserve">2-LI-bldg13</t>
  </si>
  <si>
    <t xml:space="preserve">13-New Equip(16)-bldg13</t>
  </si>
  <si>
    <t xml:space="preserve">15-New Equip(105)-bldg13</t>
  </si>
  <si>
    <t xml:space="preserve">10-Bldg-bldg13-5yr</t>
  </si>
  <si>
    <t xml:space="preserve">10-Bldg-bldg13-30yr</t>
  </si>
  <si>
    <t xml:space="preserve">12-New Bldg(16)-bldg13-5yr</t>
  </si>
  <si>
    <t xml:space="preserve">12-New Bldg(16)-bldg13-30yr</t>
  </si>
  <si>
    <t xml:space="preserve">14-New Bldgs(105)-bldg13-5yr</t>
  </si>
  <si>
    <t xml:space="preserve">14-New Bldgs(105)-bldg13-30yr</t>
  </si>
  <si>
    <t xml:space="preserve">111-Bldg Imp-bldg13-5yr</t>
  </si>
  <si>
    <t xml:space="preserve">111-Bldg Imp-bldg13-30yr</t>
  </si>
  <si>
    <t xml:space="preserve">2-LI-bldg13-5yr</t>
  </si>
  <si>
    <t xml:space="preserve">2-LI-bldg13-30yr</t>
  </si>
  <si>
    <t xml:space="preserve">13-New Equip(16)-bldg13-5yr</t>
  </si>
  <si>
    <t xml:space="preserve">13-New Equip(16)-bldg13-30yr</t>
  </si>
  <si>
    <t xml:space="preserve">15-New Equip(105)-bldg13-5yr</t>
  </si>
  <si>
    <t xml:space="preserve">15-New Equip(105)-bldg13-30yr</t>
  </si>
  <si>
    <t xml:space="preserve">Cost Segregation Study - Building 14</t>
  </si>
  <si>
    <t xml:space="preserve">St. Charles Housing LP - Building 14</t>
  </si>
  <si>
    <t xml:space="preserve">10-Building-bldg14</t>
  </si>
  <si>
    <t xml:space="preserve">12-New Bldg(16)-bldg14</t>
  </si>
  <si>
    <t xml:space="preserve">14-New Bldgs(105)-bldg14</t>
  </si>
  <si>
    <t xml:space="preserve">111-Bldg Imp-bldg14</t>
  </si>
  <si>
    <t xml:space="preserve">2-LI-bldg14</t>
  </si>
  <si>
    <t xml:space="preserve">13-New Equip(16)-bldg14</t>
  </si>
  <si>
    <t xml:space="preserve">15-New Equip(105)-bldg14</t>
  </si>
  <si>
    <t xml:space="preserve">10-Bldg-bldg14-5yr</t>
  </si>
  <si>
    <t xml:space="preserve">10-Bldg-bldg14-30yr</t>
  </si>
  <si>
    <t xml:space="preserve">12-New Bldg(16)-bldg14-5yr</t>
  </si>
  <si>
    <t xml:space="preserve">12-New Bldg(16)-bldg14-30yr</t>
  </si>
  <si>
    <t xml:space="preserve">14-New Bldgs(105)-bldg14-5yr</t>
  </si>
  <si>
    <t xml:space="preserve">14-New Bldgs(105)-bldg14-30yr</t>
  </si>
  <si>
    <t xml:space="preserve">111-Bldg Imp-bldg14-5yr</t>
  </si>
  <si>
    <t xml:space="preserve">111-Bldg Imp-bldg14-30yr</t>
  </si>
  <si>
    <t xml:space="preserve">2-LI-bldg14-5yr</t>
  </si>
  <si>
    <t xml:space="preserve">2-LI-bldg14-30yr</t>
  </si>
  <si>
    <t xml:space="preserve">13-New Equip(16)-bldg14-5yr</t>
  </si>
  <si>
    <t xml:space="preserve">13-New Equip(16)-bldg14-30yr</t>
  </si>
  <si>
    <t xml:space="preserve">15-New Equip(105)-bldg14-5yr</t>
  </si>
  <si>
    <t xml:space="preserve">15-New Equip(105)-bldg14-30yr</t>
  </si>
  <si>
    <t xml:space="preserve">Cost Segregation Study - Building 15</t>
  </si>
  <si>
    <t xml:space="preserve">St. Charles Housing LP - Building 15</t>
  </si>
  <si>
    <t xml:space="preserve">10-Building-bldg15</t>
  </si>
  <si>
    <t xml:space="preserve">12-New Bldg(16)-bldg15</t>
  </si>
  <si>
    <t xml:space="preserve">14-New Bldgs(105)-bldg15</t>
  </si>
  <si>
    <t xml:space="preserve">111-Bldg Imp-bldg15</t>
  </si>
  <si>
    <t xml:space="preserve">2-LI-bldg15</t>
  </si>
  <si>
    <t xml:space="preserve">13-New Equip(16)-bldg15</t>
  </si>
  <si>
    <t xml:space="preserve">15-New Equip(105)-bldg15</t>
  </si>
  <si>
    <t xml:space="preserve">10-Bldg-bldg15-5yr</t>
  </si>
  <si>
    <t xml:space="preserve">10-Bldg-bldg15-30yr</t>
  </si>
  <si>
    <t xml:space="preserve">12-New Bldg(16)-bldg15-5yr</t>
  </si>
  <si>
    <t xml:space="preserve">12-New Bldg(16)-bldg15-30yr</t>
  </si>
  <si>
    <t xml:space="preserve">14-New Bldgs(105)-bldg15-5yr</t>
  </si>
  <si>
    <t xml:space="preserve">14-New Bldgs(105)-bldg15-30yr</t>
  </si>
  <si>
    <t xml:space="preserve">111-Bldg Imp-bldg15-5yr</t>
  </si>
  <si>
    <t xml:space="preserve">111-Bldg Imp-bldg15-30yr</t>
  </si>
  <si>
    <t xml:space="preserve">2-LI-bldg15-5yr</t>
  </si>
  <si>
    <t xml:space="preserve">2-LI-bldg15-30yr</t>
  </si>
  <si>
    <t xml:space="preserve">13-New Equip(16)-bldg15-5yr</t>
  </si>
  <si>
    <t xml:space="preserve">13-New Equip(16)-bldg15-30yr</t>
  </si>
  <si>
    <t xml:space="preserve">15-New Equip(105)-bldg15-5yr</t>
  </si>
  <si>
    <t xml:space="preserve">15-New Equip(105)-bldg15-30yr</t>
  </si>
  <si>
    <t xml:space="preserve">Cost Segregation Study - Building 16</t>
  </si>
  <si>
    <t xml:space="preserve">St. Charles Housing LP - Building 16</t>
  </si>
  <si>
    <t xml:space="preserve">10-Building-bldg16</t>
  </si>
  <si>
    <t xml:space="preserve">12-New Bldg(16)-bldg16</t>
  </si>
  <si>
    <t xml:space="preserve">14-New Bldgs(105)-bldg16</t>
  </si>
  <si>
    <t xml:space="preserve">111-Bldg Imp-bldg16</t>
  </si>
  <si>
    <t xml:space="preserve">2-LI-bldg16</t>
  </si>
  <si>
    <t xml:space="preserve">13-New Equip(16)-bldg16</t>
  </si>
  <si>
    <t xml:space="preserve">15-New Equip(105)-bldg16</t>
  </si>
  <si>
    <t xml:space="preserve">10-Bldg-bldg16-5yr</t>
  </si>
  <si>
    <t xml:space="preserve">10-Bldg-bldg16-30yr</t>
  </si>
  <si>
    <t xml:space="preserve">12-New Bldg(16)-bldg16-5yr</t>
  </si>
  <si>
    <t xml:space="preserve">12-New Bldg(16)-bldg16-30yr</t>
  </si>
  <si>
    <t xml:space="preserve">14-New Bldgs(105)-bldg16-5yr</t>
  </si>
  <si>
    <t xml:space="preserve">14-New Bldgs(105)-bldg16-30yr</t>
  </si>
  <si>
    <t xml:space="preserve">111-Bldg Imp-bldg16-5yr</t>
  </si>
  <si>
    <t xml:space="preserve">111-Bldg Imp-bldg16-30yr</t>
  </si>
  <si>
    <t xml:space="preserve">2-LI-bldg16-5yr</t>
  </si>
  <si>
    <t xml:space="preserve">2-LI-bldg16-30yr</t>
  </si>
  <si>
    <t xml:space="preserve">13-New Equip(16)-bldg16-5yr</t>
  </si>
  <si>
    <t xml:space="preserve">13-New Equip(16)-bldg16-30yr</t>
  </si>
  <si>
    <t xml:space="preserve">15-New Equip(105)-bldg16-5yr</t>
  </si>
  <si>
    <t xml:space="preserve">15-New Equip(105)-bldg16-30yr</t>
  </si>
  <si>
    <t xml:space="preserve">Cost Segregation Study - Office</t>
  </si>
  <si>
    <t xml:space="preserve">St. Charles Housing LP - Office</t>
  </si>
  <si>
    <t xml:space="preserve">Specialty Plumbing</t>
  </si>
  <si>
    <t xml:space="preserve">Ceramic Tile Flooring</t>
  </si>
  <si>
    <t xml:space="preserve">Asset #10-Bldg</t>
  </si>
  <si>
    <t xml:space="preserve">Asset #12-New Bldg</t>
  </si>
  <si>
    <t xml:space="preserve">Asset #14-New Bldgs</t>
  </si>
  <si>
    <t xml:space="preserve">Asset #111-Bldg Imp</t>
  </si>
  <si>
    <t xml:space="preserve">Asset #2-LI</t>
  </si>
  <si>
    <t xml:space="preserve">Asset #13-New Equip</t>
  </si>
  <si>
    <t xml:space="preserve">Asset #15-New Equip</t>
  </si>
  <si>
    <t xml:space="preserve">10-Bldg-office</t>
  </si>
  <si>
    <t xml:space="preserve">12-New Bldg(16)-office</t>
  </si>
  <si>
    <t xml:space="preserve">14-New Bldgs(105)-office</t>
  </si>
  <si>
    <t xml:space="preserve">111-Bldg Imp-office</t>
  </si>
  <si>
    <t xml:space="preserve">2-LI-office</t>
  </si>
  <si>
    <t xml:space="preserve">13-New Equip(16)-office</t>
  </si>
  <si>
    <t xml:space="preserve">15-New Equip(105)-office</t>
  </si>
  <si>
    <t xml:space="preserve">10-Bldg-office-5yr</t>
  </si>
  <si>
    <t xml:space="preserve">10-Bldg-office-30yr</t>
  </si>
  <si>
    <t xml:space="preserve">12-New Bldg(16)-office-5yr</t>
  </si>
  <si>
    <t xml:space="preserve">12-New Bldg(16)-office-30yr</t>
  </si>
  <si>
    <t xml:space="preserve">14-New Bldgs(105)-office-5yr</t>
  </si>
  <si>
    <t xml:space="preserve">14-New Bldgs(105)-office-30yr</t>
  </si>
  <si>
    <t xml:space="preserve">111-Bldg Imp-office-5yr</t>
  </si>
  <si>
    <t xml:space="preserve">111-Bldg Imp-office-30yr</t>
  </si>
  <si>
    <t xml:space="preserve">2-LI-office-5yr</t>
  </si>
  <si>
    <t xml:space="preserve">2-LI-office-30yr</t>
  </si>
  <si>
    <t xml:space="preserve">13-New Equip(16)-office-5yr</t>
  </si>
  <si>
    <t xml:space="preserve">13-New Equip(16)-office-30yr</t>
  </si>
  <si>
    <t xml:space="preserve">15-New Equip(105)-office-5yr</t>
  </si>
  <si>
    <t xml:space="preserve">15-New Equip(105)-office-30yr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</si>
</sst>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0"/>
    <numFmt numFmtId="167" formatCode="0.0"/>
    <numFmt numFmtId="168" formatCode="\$#,##0.00;&quot;($&quot;#,##0.00\)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F2F2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0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9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9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9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0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W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38"/>
    <col collapsed="false" customWidth="true" hidden="false" outlineLevel="0" max="4" min="4" style="0" width="16"/>
    <col collapsed="false" customWidth="true" hidden="false" outlineLevel="0" max="24" min="5" style="0" width="14"/>
  </cols>
  <sheetData>
    <row r="2" customFormat="false" ht="17.35" hidden="false" customHeight="false" outlineLevel="0" collapsed="false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6" customFormat="false" ht="15" hidden="false" customHeight="false" outlineLevel="0" collapsed="false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  <c r="J6" s="4" t="s">
        <v>11</v>
      </c>
      <c r="K6" s="4" t="s">
        <v>12</v>
      </c>
      <c r="L6" s="4" t="s">
        <v>13</v>
      </c>
      <c r="M6" s="4" t="s">
        <v>14</v>
      </c>
      <c r="N6" s="4" t="s">
        <v>15</v>
      </c>
      <c r="O6" s="4" t="s">
        <v>16</v>
      </c>
      <c r="P6" s="4" t="s">
        <v>17</v>
      </c>
      <c r="Q6" s="4" t="s">
        <v>18</v>
      </c>
      <c r="R6" s="4" t="s">
        <v>19</v>
      </c>
      <c r="S6" s="4" t="s">
        <v>20</v>
      </c>
      <c r="T6" s="4" t="s">
        <v>21</v>
      </c>
      <c r="U6" s="4" t="s">
        <v>22</v>
      </c>
      <c r="V6" s="4" t="s">
        <v>23</v>
      </c>
      <c r="W6" s="4" t="s">
        <v>24</v>
      </c>
    </row>
    <row r="7" customFormat="false" ht="15" hidden="false" customHeight="false" outlineLevel="0" collapsed="false">
      <c r="A7" s="5"/>
      <c r="B7" s="6" t="s">
        <v>25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customFormat="false" ht="15" hidden="false" customHeight="false" outlineLevel="0" collapsed="false">
      <c r="B8" s="7" t="s">
        <v>26</v>
      </c>
      <c r="C8" s="8" t="s">
        <v>27</v>
      </c>
      <c r="D8" s="9" t="n">
        <v>719744.4</v>
      </c>
      <c r="E8" s="9" t="n">
        <v>403555.53</v>
      </c>
      <c r="G8" s="9" t="n">
        <v>316188.87</v>
      </c>
    </row>
    <row r="9" customFormat="false" ht="15" hidden="false" customHeight="false" outlineLevel="0" collapsed="false">
      <c r="B9" s="7" t="s">
        <v>26</v>
      </c>
      <c r="C9" s="8" t="s">
        <v>28</v>
      </c>
      <c r="D9" s="9" t="n">
        <v>398386.46</v>
      </c>
      <c r="E9" s="9" t="n">
        <v>104561.48</v>
      </c>
      <c r="G9" s="9" t="n">
        <v>293824.98</v>
      </c>
    </row>
    <row r="10" customFormat="false" ht="15" hidden="false" customHeight="false" outlineLevel="0" collapsed="false">
      <c r="B10" s="7" t="s">
        <v>26</v>
      </c>
      <c r="C10" s="8" t="s">
        <v>29</v>
      </c>
      <c r="D10" s="9" t="n">
        <v>398480.3</v>
      </c>
      <c r="E10" s="9" t="n">
        <v>104655.32</v>
      </c>
      <c r="G10" s="9" t="n">
        <v>293824.98</v>
      </c>
    </row>
    <row r="11" customFormat="false" ht="15" hidden="false" customHeight="false" outlineLevel="0" collapsed="false">
      <c r="B11" s="7" t="s">
        <v>26</v>
      </c>
      <c r="C11" s="8" t="s">
        <v>30</v>
      </c>
      <c r="D11" s="9" t="n">
        <v>398493.7</v>
      </c>
      <c r="E11" s="9" t="n">
        <v>104668.72</v>
      </c>
      <c r="G11" s="9" t="n">
        <v>293824.98</v>
      </c>
    </row>
    <row r="12" customFormat="false" ht="15" hidden="false" customHeight="false" outlineLevel="0" collapsed="false">
      <c r="B12" s="7" t="s">
        <v>26</v>
      </c>
      <c r="C12" s="8" t="s">
        <v>31</v>
      </c>
      <c r="D12" s="9" t="n">
        <v>396654.71</v>
      </c>
      <c r="E12" s="9" t="n">
        <v>104668.72</v>
      </c>
      <c r="G12" s="9" t="n">
        <v>291985.99</v>
      </c>
    </row>
    <row r="13" customFormat="false" ht="15" hidden="false" customHeight="false" outlineLevel="0" collapsed="false">
      <c r="B13" s="7" t="s">
        <v>26</v>
      </c>
      <c r="C13" s="8" t="s">
        <v>32</v>
      </c>
      <c r="D13" s="9" t="n">
        <v>446298.06</v>
      </c>
      <c r="E13" s="9" t="n">
        <v>111858.03</v>
      </c>
      <c r="G13" s="9" t="n">
        <v>334440.03</v>
      </c>
    </row>
    <row r="14" customFormat="false" ht="15" hidden="false" customHeight="false" outlineLevel="0" collapsed="false">
      <c r="B14" s="7" t="s">
        <v>26</v>
      </c>
      <c r="C14" s="8" t="s">
        <v>33</v>
      </c>
      <c r="D14" s="9" t="n">
        <v>398758.21</v>
      </c>
      <c r="E14" s="9" t="n">
        <v>104668.73</v>
      </c>
      <c r="G14" s="9" t="n">
        <v>294089.48</v>
      </c>
    </row>
    <row r="15" customFormat="false" ht="15" hidden="false" customHeight="false" outlineLevel="0" collapsed="false">
      <c r="B15" s="7" t="s">
        <v>26</v>
      </c>
      <c r="C15" s="8" t="s">
        <v>34</v>
      </c>
      <c r="D15" s="9" t="n">
        <v>448401.53</v>
      </c>
      <c r="E15" s="9" t="n">
        <v>111858.03</v>
      </c>
      <c r="G15" s="9" t="n">
        <v>336543.5</v>
      </c>
    </row>
    <row r="16" customFormat="false" ht="15" hidden="false" customHeight="false" outlineLevel="0" collapsed="false">
      <c r="B16" s="7" t="s">
        <v>26</v>
      </c>
      <c r="C16" s="8" t="s">
        <v>35</v>
      </c>
      <c r="D16" s="9" t="n">
        <v>398758.21</v>
      </c>
      <c r="E16" s="9" t="n">
        <v>104668.73</v>
      </c>
      <c r="G16" s="9" t="n">
        <v>294089.48</v>
      </c>
    </row>
    <row r="17" customFormat="false" ht="15" hidden="false" customHeight="false" outlineLevel="0" collapsed="false">
      <c r="B17" s="7" t="s">
        <v>26</v>
      </c>
      <c r="C17" s="8" t="s">
        <v>36</v>
      </c>
      <c r="D17" s="9" t="n">
        <v>177549.53</v>
      </c>
      <c r="E17" s="9" t="n">
        <v>50846.41</v>
      </c>
      <c r="G17" s="9" t="n">
        <v>126703.12</v>
      </c>
    </row>
    <row r="18" customFormat="false" ht="15" hidden="false" customHeight="false" outlineLevel="0" collapsed="false">
      <c r="B18" s="7" t="s">
        <v>26</v>
      </c>
      <c r="C18" s="8" t="s">
        <v>37</v>
      </c>
      <c r="D18" s="9" t="n">
        <v>448137.03</v>
      </c>
      <c r="E18" s="9" t="n">
        <v>111858.03</v>
      </c>
      <c r="G18" s="9" t="n">
        <v>336279</v>
      </c>
    </row>
    <row r="19" customFormat="false" ht="15" hidden="false" customHeight="false" outlineLevel="0" collapsed="false">
      <c r="B19" s="7" t="s">
        <v>26</v>
      </c>
      <c r="C19" s="8" t="s">
        <v>38</v>
      </c>
      <c r="D19" s="9" t="n">
        <v>398758.21</v>
      </c>
      <c r="E19" s="9" t="n">
        <v>104668.73</v>
      </c>
      <c r="G19" s="9" t="n">
        <v>294089.48</v>
      </c>
    </row>
    <row r="20" customFormat="false" ht="15" hidden="false" customHeight="false" outlineLevel="0" collapsed="false">
      <c r="B20" s="7" t="s">
        <v>26</v>
      </c>
      <c r="C20" s="8" t="s">
        <v>39</v>
      </c>
      <c r="D20" s="9" t="n">
        <v>448401.53</v>
      </c>
      <c r="E20" s="9" t="n">
        <v>111858.03</v>
      </c>
      <c r="G20" s="9" t="n">
        <v>336543.5</v>
      </c>
    </row>
    <row r="21" customFormat="false" ht="15" hidden="false" customHeight="false" outlineLevel="0" collapsed="false">
      <c r="B21" s="7" t="s">
        <v>26</v>
      </c>
      <c r="C21" s="8" t="s">
        <v>40</v>
      </c>
      <c r="D21" s="9" t="n">
        <v>398758.21</v>
      </c>
      <c r="E21" s="9" t="n">
        <v>104668.73</v>
      </c>
      <c r="G21" s="9" t="n">
        <v>294089.48</v>
      </c>
    </row>
    <row r="22" customFormat="false" ht="15" hidden="false" customHeight="false" outlineLevel="0" collapsed="false">
      <c r="B22" s="7" t="s">
        <v>26</v>
      </c>
      <c r="C22" s="8" t="s">
        <v>41</v>
      </c>
      <c r="D22" s="9" t="n">
        <v>448137.03</v>
      </c>
      <c r="E22" s="9" t="n">
        <v>111858.03</v>
      </c>
      <c r="G22" s="9" t="n">
        <v>336279</v>
      </c>
    </row>
    <row r="23" customFormat="false" ht="15" hidden="false" customHeight="false" outlineLevel="0" collapsed="false">
      <c r="B23" s="7" t="s">
        <v>26</v>
      </c>
      <c r="C23" s="8" t="s">
        <v>42</v>
      </c>
      <c r="D23" s="9" t="n">
        <v>396654.71</v>
      </c>
      <c r="E23" s="9" t="n">
        <v>104668.72</v>
      </c>
      <c r="G23" s="9" t="n">
        <v>291985.99</v>
      </c>
    </row>
    <row r="24" customFormat="false" ht="15" hidden="false" customHeight="false" outlineLevel="0" collapsed="false">
      <c r="B24" s="7" t="s">
        <v>26</v>
      </c>
      <c r="C24" s="8" t="s">
        <v>43</v>
      </c>
      <c r="D24" s="9" t="n">
        <v>398758.21</v>
      </c>
      <c r="E24" s="9" t="n">
        <v>104668.73</v>
      </c>
      <c r="G24" s="9" t="n">
        <v>294089.48</v>
      </c>
    </row>
    <row r="25" customFormat="false" ht="15" hidden="false" customHeight="false" outlineLevel="0" collapsed="false">
      <c r="B25" s="7" t="s">
        <v>26</v>
      </c>
      <c r="C25" s="8" t="s">
        <v>44</v>
      </c>
      <c r="D25" s="9" t="n">
        <v>134343.96</v>
      </c>
      <c r="E25" s="9" t="n">
        <v>12270.06</v>
      </c>
      <c r="G25" s="9" t="n">
        <v>122073.9</v>
      </c>
    </row>
    <row r="26" customFormat="false" ht="15" hidden="false" customHeight="false" outlineLevel="0" collapsed="false">
      <c r="A26" s="10"/>
      <c r="B26" s="11" t="s">
        <v>24</v>
      </c>
      <c r="C26" s="10"/>
      <c r="D26" s="12" t="n">
        <f aca="false">SUM(D8:D25)</f>
        <v>7253474</v>
      </c>
      <c r="E26" s="12" t="n">
        <f aca="false">SUM(E8:E25)</f>
        <v>2072528.76</v>
      </c>
      <c r="F26" s="12" t="n">
        <f aca="false">SUM(F8:F25)</f>
        <v>0</v>
      </c>
      <c r="G26" s="12" t="n">
        <f aca="false">SUM(G8:G25)</f>
        <v>5180945.24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</row>
    <row r="28" customFormat="false" ht="15" hidden="false" customHeight="false" outlineLevel="0" collapsed="false">
      <c r="A28" s="13"/>
      <c r="B28" s="14" t="s">
        <v>45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  <row r="29" customFormat="false" ht="15" hidden="false" customHeight="false" outlineLevel="0" collapsed="false">
      <c r="C29" s="8" t="s">
        <v>46</v>
      </c>
      <c r="D29" s="15" t="n">
        <f aca="false">SUM(E29:V29)</f>
        <v>598225.94</v>
      </c>
      <c r="E29" s="16" t="n">
        <v>59360.49</v>
      </c>
      <c r="F29" s="16" t="n">
        <v>32856.69</v>
      </c>
      <c r="G29" s="16" t="n">
        <v>32864.43</v>
      </c>
      <c r="H29" s="16" t="n">
        <v>32865.52</v>
      </c>
      <c r="I29" s="16" t="n">
        <v>32713.87</v>
      </c>
      <c r="J29" s="16" t="n">
        <v>36808.17</v>
      </c>
      <c r="K29" s="16" t="n">
        <v>32887.35</v>
      </c>
      <c r="L29" s="16" t="n">
        <v>36981.64</v>
      </c>
      <c r="M29" s="16" t="n">
        <v>32887.35</v>
      </c>
      <c r="N29" s="16" t="n">
        <v>14643.29</v>
      </c>
      <c r="O29" s="16" t="n">
        <v>36959.83</v>
      </c>
      <c r="P29" s="16" t="n">
        <v>32887.35</v>
      </c>
      <c r="Q29" s="16" t="n">
        <v>36981.64</v>
      </c>
      <c r="R29" s="16" t="n">
        <v>32887.35</v>
      </c>
      <c r="S29" s="16" t="n">
        <v>36959.83</v>
      </c>
      <c r="T29" s="16" t="n">
        <v>32713.87</v>
      </c>
      <c r="U29" s="16" t="n">
        <v>32887.35</v>
      </c>
      <c r="V29" s="16" t="n">
        <v>11079.92</v>
      </c>
    </row>
    <row r="30" customFormat="false" ht="15" hidden="false" customHeight="false" outlineLevel="0" collapsed="false">
      <c r="C30" s="8" t="s">
        <v>47</v>
      </c>
      <c r="D30" s="15" t="n">
        <f aca="false">SUM(E30:V30)</f>
        <v>2361119.07</v>
      </c>
      <c r="E30" s="16" t="n">
        <v>382264.85</v>
      </c>
      <c r="F30" s="16" t="n">
        <v>123022.79</v>
      </c>
      <c r="G30" s="16" t="n">
        <v>123110.27</v>
      </c>
      <c r="H30" s="16" t="n">
        <v>123122.76</v>
      </c>
      <c r="I30" s="16" t="n">
        <v>122962.82</v>
      </c>
      <c r="J30" s="16" t="n">
        <v>133357.07</v>
      </c>
      <c r="K30" s="16" t="n">
        <v>123145.81</v>
      </c>
      <c r="L30" s="16" t="n">
        <v>133540.05</v>
      </c>
      <c r="M30" s="16" t="n">
        <v>123145.81</v>
      </c>
      <c r="N30" s="16" t="n">
        <v>58416.44</v>
      </c>
      <c r="O30" s="16" t="n">
        <v>133517.02</v>
      </c>
      <c r="P30" s="16" t="n">
        <v>123145.81</v>
      </c>
      <c r="Q30" s="16" t="n">
        <v>133540.05</v>
      </c>
      <c r="R30" s="16" t="n">
        <v>123145.81</v>
      </c>
      <c r="S30" s="16" t="n">
        <v>133517.02</v>
      </c>
      <c r="T30" s="16" t="n">
        <v>122962.82</v>
      </c>
      <c r="U30" s="16" t="n">
        <v>123145.81</v>
      </c>
      <c r="V30" s="16" t="n">
        <v>22056.06</v>
      </c>
    </row>
    <row r="31" customFormat="false" ht="15" hidden="false" customHeight="false" outlineLevel="0" collapsed="false">
      <c r="C31" s="17" t="s">
        <v>48</v>
      </c>
      <c r="D31" s="18" t="n">
        <f aca="false">SUM(E31:V31)</f>
        <v>1762893.13</v>
      </c>
      <c r="E31" s="18" t="n">
        <f aca="false">E30-E29</f>
        <v>322904.36</v>
      </c>
      <c r="F31" s="18" t="n">
        <f aca="false">F30-F29</f>
        <v>90166.1</v>
      </c>
      <c r="G31" s="18" t="n">
        <f aca="false">G30-G29</f>
        <v>90245.84</v>
      </c>
      <c r="H31" s="18" t="n">
        <f aca="false">H30-H29</f>
        <v>90257.24</v>
      </c>
      <c r="I31" s="18" t="n">
        <f aca="false">I30-I29</f>
        <v>90248.95</v>
      </c>
      <c r="J31" s="18" t="n">
        <f aca="false">J30-J29</f>
        <v>96548.9</v>
      </c>
      <c r="K31" s="18" t="n">
        <f aca="false">K30-K29</f>
        <v>90258.46</v>
      </c>
      <c r="L31" s="18" t="n">
        <f aca="false">L30-L29</f>
        <v>96558.41</v>
      </c>
      <c r="M31" s="18" t="n">
        <f aca="false">M30-M29</f>
        <v>90258.46</v>
      </c>
      <c r="N31" s="18" t="n">
        <f aca="false">N30-N29</f>
        <v>43773.15</v>
      </c>
      <c r="O31" s="18" t="n">
        <f aca="false">O30-O29</f>
        <v>96557.19</v>
      </c>
      <c r="P31" s="18" t="n">
        <f aca="false">P30-P29</f>
        <v>90258.46</v>
      </c>
      <c r="Q31" s="18" t="n">
        <f aca="false">Q30-Q29</f>
        <v>96558.41</v>
      </c>
      <c r="R31" s="18" t="n">
        <f aca="false">R30-R29</f>
        <v>90258.46</v>
      </c>
      <c r="S31" s="18" t="n">
        <f aca="false">S30-S29</f>
        <v>96557.19</v>
      </c>
      <c r="T31" s="18" t="n">
        <f aca="false">T30-T29</f>
        <v>90248.95</v>
      </c>
      <c r="U31" s="18" t="n">
        <f aca="false">U30-U29</f>
        <v>90258.46</v>
      </c>
      <c r="V31" s="18" t="n">
        <f aca="false">V30-V29</f>
        <v>10976.14</v>
      </c>
    </row>
  </sheetData>
  <mergeCells count="5">
    <mergeCell ref="A2:W2"/>
    <mergeCell ref="A3:W3"/>
    <mergeCell ref="A4:W4"/>
    <mergeCell ref="B7:W7"/>
    <mergeCell ref="B28:W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49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50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51</v>
      </c>
      <c r="C6" s="8" t="s">
        <v>26</v>
      </c>
    </row>
    <row r="8" customFormat="false" ht="15" hidden="false" customHeight="false" outlineLevel="0" collapsed="false">
      <c r="A8" s="21" t="s">
        <v>52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53</v>
      </c>
      <c r="C9" s="23" t="s">
        <v>54</v>
      </c>
      <c r="D9" s="23" t="s">
        <v>55</v>
      </c>
      <c r="E9" s="23" t="s">
        <v>56</v>
      </c>
      <c r="F9" s="23" t="s">
        <v>57</v>
      </c>
      <c r="G9" s="23" t="s">
        <v>58</v>
      </c>
      <c r="H9" s="23" t="s">
        <v>59</v>
      </c>
    </row>
    <row r="10" customFormat="false" ht="15" hidden="false" customHeight="false" outlineLevel="0" collapsed="false">
      <c r="A10" s="5"/>
      <c r="B10" s="6" t="s">
        <v>60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61</v>
      </c>
      <c r="C11" s="16" t="n">
        <v>195356.18</v>
      </c>
      <c r="F11" s="16" t="n">
        <v>195356.18</v>
      </c>
    </row>
    <row r="12" customFormat="false" ht="15" hidden="false" customHeight="false" outlineLevel="0" collapsed="false">
      <c r="B12" s="8" t="s">
        <v>62</v>
      </c>
      <c r="C12" s="16" t="n">
        <v>4120.58</v>
      </c>
      <c r="F12" s="16" t="n">
        <v>4120.58</v>
      </c>
    </row>
    <row r="13" customFormat="false" ht="15" hidden="false" customHeight="false" outlineLevel="0" collapsed="false">
      <c r="B13" s="8" t="s">
        <v>63</v>
      </c>
      <c r="C13" s="16" t="n">
        <v>136600.91</v>
      </c>
      <c r="F13" s="16" t="n">
        <v>136600.91</v>
      </c>
    </row>
    <row r="14" customFormat="false" ht="15" hidden="false" customHeight="false" outlineLevel="0" collapsed="false">
      <c r="B14" s="8" t="s">
        <v>64</v>
      </c>
      <c r="C14" s="16" t="n">
        <v>4236.31</v>
      </c>
      <c r="F14" s="16" t="n">
        <v>4236.31</v>
      </c>
    </row>
    <row r="15" customFormat="false" ht="15" hidden="false" customHeight="false" outlineLevel="0" collapsed="false">
      <c r="B15" s="8" t="s">
        <v>65</v>
      </c>
      <c r="C15" s="16" t="n">
        <v>53960.1</v>
      </c>
      <c r="F15" s="16" t="n">
        <v>53960.1</v>
      </c>
    </row>
    <row r="16" customFormat="false" ht="15" hidden="false" customHeight="false" outlineLevel="0" collapsed="false">
      <c r="B16" s="8" t="s">
        <v>66</v>
      </c>
      <c r="C16" s="16" t="n">
        <v>6941.9</v>
      </c>
      <c r="F16" s="16" t="n">
        <v>6941.9</v>
      </c>
    </row>
    <row r="17" customFormat="false" ht="15" hidden="false" customHeight="false" outlineLevel="0" collapsed="false">
      <c r="B17" s="8" t="s">
        <v>67</v>
      </c>
      <c r="C17" s="16" t="n">
        <v>2339.55</v>
      </c>
      <c r="F17" s="16" t="n">
        <v>2339.55</v>
      </c>
    </row>
    <row r="18" customFormat="false" ht="15" hidden="false" customHeight="false" outlineLevel="0" collapsed="false">
      <c r="A18" s="5"/>
      <c r="B18" s="6" t="s">
        <v>68</v>
      </c>
      <c r="C18" s="6"/>
      <c r="D18" s="6"/>
      <c r="E18" s="6"/>
      <c r="F18" s="6"/>
      <c r="G18" s="6"/>
      <c r="H18" s="6"/>
      <c r="I18" s="6"/>
      <c r="J18" s="6"/>
    </row>
    <row r="19" customFormat="false" ht="15" hidden="false" customHeight="false" outlineLevel="0" collapsed="false">
      <c r="B19" s="8" t="s">
        <v>68</v>
      </c>
      <c r="C19" s="16" t="n">
        <v>316188.87</v>
      </c>
      <c r="G19" s="16" t="n">
        <v>316188.87</v>
      </c>
    </row>
    <row r="20" customFormat="false" ht="15" hidden="false" customHeight="false" outlineLevel="0" collapsed="false">
      <c r="A20" s="24"/>
      <c r="B20" s="25" t="s">
        <v>69</v>
      </c>
      <c r="C20" s="26" t="n">
        <f aca="false">SUM(C10:C19)</f>
        <v>719744.4</v>
      </c>
      <c r="D20" s="26" t="n">
        <f aca="false">SUM(D10:D19)</f>
        <v>0</v>
      </c>
      <c r="E20" s="26" t="n">
        <f aca="false">SUM(E10:E19)</f>
        <v>0</v>
      </c>
      <c r="F20" s="26" t="n">
        <f aca="false">SUM(F10:F19)</f>
        <v>403555.53</v>
      </c>
      <c r="G20" s="26" t="n">
        <f aca="false">SUM(G10:G19)</f>
        <v>316188.87</v>
      </c>
      <c r="H20" s="24"/>
    </row>
    <row r="22" customFormat="false" ht="15" hidden="false" customHeight="false" outlineLevel="0" collapsed="false">
      <c r="A22" s="5"/>
      <c r="B22" s="6" t="s">
        <v>70</v>
      </c>
      <c r="C22" s="6"/>
      <c r="D22" s="6"/>
      <c r="E22" s="6"/>
      <c r="F22" s="6"/>
      <c r="G22" s="6"/>
      <c r="H22" s="6"/>
      <c r="I22" s="6"/>
      <c r="J22" s="6"/>
    </row>
    <row r="23" customFormat="false" ht="15" hidden="false" customHeight="false" outlineLevel="0" collapsed="false">
      <c r="B23" s="8" t="s">
        <v>71</v>
      </c>
      <c r="C23" s="16" t="n">
        <v>116091.65</v>
      </c>
      <c r="F23" s="16" t="n">
        <v>65091.76</v>
      </c>
      <c r="G23" s="16" t="n">
        <v>50999.89</v>
      </c>
    </row>
    <row r="24" customFormat="false" ht="15" hidden="false" customHeight="false" outlineLevel="0" collapsed="false">
      <c r="B24" s="8" t="s">
        <v>72</v>
      </c>
      <c r="C24" s="16" t="n">
        <v>62263.6</v>
      </c>
      <c r="F24" s="16" t="n">
        <v>34910.75</v>
      </c>
      <c r="G24" s="16" t="n">
        <v>27352.85</v>
      </c>
    </row>
    <row r="25" customFormat="false" ht="15" hidden="false" customHeight="false" outlineLevel="0" collapsed="false">
      <c r="B25" s="8" t="s">
        <v>73</v>
      </c>
      <c r="C25" s="16" t="n">
        <v>417320.48</v>
      </c>
      <c r="F25" s="16" t="n">
        <v>233988.6</v>
      </c>
      <c r="G25" s="16" t="n">
        <v>183331.88</v>
      </c>
    </row>
    <row r="26" customFormat="false" ht="15" hidden="false" customHeight="false" outlineLevel="0" collapsed="false">
      <c r="B26" s="8" t="s">
        <v>74</v>
      </c>
      <c r="C26" s="16" t="n">
        <v>2917.69</v>
      </c>
      <c r="F26" s="16" t="n">
        <v>1635.93</v>
      </c>
      <c r="G26" s="16" t="n">
        <v>1281.76</v>
      </c>
    </row>
    <row r="27" customFormat="false" ht="15" hidden="false" customHeight="false" outlineLevel="0" collapsed="false">
      <c r="B27" s="8" t="s">
        <v>75</v>
      </c>
      <c r="C27" s="16" t="n">
        <v>15876.41</v>
      </c>
      <c r="F27" s="16" t="n">
        <v>8901.79</v>
      </c>
      <c r="G27" s="16" t="n">
        <v>6974.62</v>
      </c>
    </row>
    <row r="28" customFormat="false" ht="15" hidden="false" customHeight="false" outlineLevel="0" collapsed="false">
      <c r="B28" s="8" t="s">
        <v>76</v>
      </c>
      <c r="C28" s="16" t="n">
        <v>13667.6</v>
      </c>
      <c r="F28" s="16" t="n">
        <v>7663.33</v>
      </c>
      <c r="G28" s="16" t="n">
        <v>6004.27</v>
      </c>
    </row>
    <row r="29" customFormat="false" ht="15" hidden="false" customHeight="false" outlineLevel="0" collapsed="false">
      <c r="B29" s="8" t="s">
        <v>77</v>
      </c>
      <c r="C29" s="16" t="n">
        <v>91606.97</v>
      </c>
      <c r="F29" s="16" t="n">
        <v>51363.37</v>
      </c>
      <c r="G29" s="16" t="n">
        <v>40243.6</v>
      </c>
    </row>
    <row r="30" customFormat="false" ht="15" hidden="false" customHeight="false" outlineLevel="0" collapsed="false">
      <c r="A30" s="24"/>
      <c r="B30" s="25" t="s">
        <v>78</v>
      </c>
      <c r="C30" s="26" t="n">
        <f aca="false">SUM(C23:C29)</f>
        <v>719744.4</v>
      </c>
      <c r="D30" s="26" t="n">
        <f aca="false">SUM(D23:D29)</f>
        <v>0</v>
      </c>
      <c r="E30" s="24"/>
      <c r="F30" s="26" t="n">
        <f aca="false">SUM(F23:F29)</f>
        <v>403555.53</v>
      </c>
      <c r="G30" s="26" t="n">
        <f aca="false">SUM(G23:G29)</f>
        <v>316188.87</v>
      </c>
      <c r="H30" s="24"/>
    </row>
    <row r="32" customFormat="false" ht="15" hidden="false" customHeight="false" outlineLevel="0" collapsed="false">
      <c r="A32" s="27" t="s">
        <v>79</v>
      </c>
      <c r="B32" s="27"/>
      <c r="C32" s="27"/>
      <c r="D32" s="27"/>
      <c r="E32" s="27"/>
      <c r="F32" s="27"/>
      <c r="G32" s="27"/>
      <c r="H32" s="27"/>
      <c r="I32" s="27"/>
      <c r="J32" s="27"/>
    </row>
    <row r="33" customFormat="false" ht="15" hidden="false" customHeight="false" outlineLevel="0" collapsed="false">
      <c r="A33" s="28" t="s">
        <v>46</v>
      </c>
      <c r="B33" s="28"/>
      <c r="C33" s="28"/>
      <c r="D33" s="28"/>
      <c r="E33" s="28"/>
      <c r="F33" s="28"/>
      <c r="G33" s="28"/>
      <c r="H33" s="28"/>
      <c r="I33" s="28"/>
      <c r="J33" s="28"/>
    </row>
    <row r="34" customFormat="false" ht="15" hidden="false" customHeight="false" outlineLevel="0" collapsed="false">
      <c r="A34" s="29"/>
      <c r="B34" s="29" t="s">
        <v>80</v>
      </c>
      <c r="C34" s="30" t="s">
        <v>81</v>
      </c>
      <c r="D34" s="30" t="s">
        <v>82</v>
      </c>
      <c r="E34" s="30" t="s">
        <v>83</v>
      </c>
      <c r="F34" s="30" t="s">
        <v>84</v>
      </c>
      <c r="G34" s="30" t="s">
        <v>85</v>
      </c>
      <c r="H34" s="30" t="s">
        <v>86</v>
      </c>
      <c r="I34" s="30" t="s">
        <v>87</v>
      </c>
      <c r="J34" s="30" t="s">
        <v>88</v>
      </c>
    </row>
    <row r="35" customFormat="false" ht="15" hidden="false" customHeight="false" outlineLevel="0" collapsed="false">
      <c r="B35" s="31" t="s">
        <v>89</v>
      </c>
      <c r="C35" s="32" t="n">
        <v>116091.65</v>
      </c>
      <c r="D35" s="32" t="n">
        <v>0</v>
      </c>
      <c r="E35" s="32" t="n">
        <v>11989.37</v>
      </c>
      <c r="F35" s="32" t="n">
        <v>4227.49</v>
      </c>
      <c r="G35" s="32" t="n">
        <v>16216.86</v>
      </c>
      <c r="H35" s="32" t="n">
        <v>99874.79</v>
      </c>
      <c r="I35" s="33" t="s">
        <v>90</v>
      </c>
      <c r="J35" s="34" t="n">
        <v>30</v>
      </c>
    </row>
    <row r="36" customFormat="false" ht="15" hidden="false" customHeight="false" outlineLevel="0" collapsed="false">
      <c r="B36" s="35" t="s">
        <v>91</v>
      </c>
      <c r="C36" s="36" t="n">
        <v>62263.6</v>
      </c>
      <c r="D36" s="36" t="n">
        <v>0</v>
      </c>
      <c r="E36" s="36" t="n">
        <v>2161.97</v>
      </c>
      <c r="F36" s="36" t="n">
        <v>2075.44</v>
      </c>
      <c r="G36" s="36" t="n">
        <v>4237.41</v>
      </c>
      <c r="H36" s="36" t="n">
        <v>58026.19</v>
      </c>
      <c r="I36" s="37" t="s">
        <v>90</v>
      </c>
      <c r="J36" s="38" t="n">
        <v>30</v>
      </c>
    </row>
    <row r="37" customFormat="false" ht="15" hidden="false" customHeight="false" outlineLevel="0" collapsed="false">
      <c r="B37" s="31" t="s">
        <v>92</v>
      </c>
      <c r="C37" s="32" t="n">
        <v>417320.48</v>
      </c>
      <c r="D37" s="32" t="n">
        <v>0</v>
      </c>
      <c r="E37" s="32" t="n">
        <v>9853.39</v>
      </c>
      <c r="F37" s="32" t="n">
        <v>13910.71</v>
      </c>
      <c r="G37" s="32" t="n">
        <v>23764.1</v>
      </c>
      <c r="H37" s="32" t="n">
        <v>393556.38</v>
      </c>
      <c r="I37" s="33" t="s">
        <v>90</v>
      </c>
      <c r="J37" s="34" t="n">
        <v>30</v>
      </c>
    </row>
    <row r="38" customFormat="false" ht="15" hidden="false" customHeight="false" outlineLevel="0" collapsed="false">
      <c r="B38" s="35" t="s">
        <v>93</v>
      </c>
      <c r="C38" s="36" t="n">
        <v>2917.69</v>
      </c>
      <c r="D38" s="36" t="n">
        <v>0</v>
      </c>
      <c r="E38" s="36" t="n">
        <v>219.69</v>
      </c>
      <c r="F38" s="36" t="n">
        <v>101.01</v>
      </c>
      <c r="G38" s="36" t="n">
        <v>320.7</v>
      </c>
      <c r="H38" s="36" t="n">
        <v>2596.99</v>
      </c>
      <c r="I38" s="37" t="s">
        <v>90</v>
      </c>
      <c r="J38" s="38" t="n">
        <v>30</v>
      </c>
    </row>
    <row r="39" customFormat="false" ht="15" hidden="false" customHeight="false" outlineLevel="0" collapsed="false">
      <c r="B39" s="31" t="s">
        <v>94</v>
      </c>
      <c r="C39" s="32" t="n">
        <v>15876.41</v>
      </c>
      <c r="D39" s="32" t="n">
        <v>4073.29</v>
      </c>
      <c r="E39" s="32" t="n">
        <v>4073.29</v>
      </c>
      <c r="F39" s="32" t="n">
        <v>1221</v>
      </c>
      <c r="G39" s="32" t="n">
        <v>5294.29</v>
      </c>
      <c r="H39" s="32" t="n">
        <v>10582.12</v>
      </c>
      <c r="I39" s="33" t="s">
        <v>95</v>
      </c>
      <c r="J39" s="34" t="n">
        <v>15</v>
      </c>
    </row>
    <row r="40" customFormat="false" ht="15" hidden="false" customHeight="false" outlineLevel="0" collapsed="false">
      <c r="B40" s="35" t="s">
        <v>96</v>
      </c>
      <c r="C40" s="36" t="n">
        <v>13667.6</v>
      </c>
      <c r="D40" s="36" t="n">
        <v>0</v>
      </c>
      <c r="E40" s="36" t="n">
        <v>0</v>
      </c>
      <c r="F40" s="36" t="n">
        <v>0</v>
      </c>
      <c r="G40" s="36" t="n">
        <v>0</v>
      </c>
      <c r="H40" s="36" t="n">
        <v>13667.6</v>
      </c>
      <c r="I40" s="37" t="s">
        <v>97</v>
      </c>
      <c r="J40" s="38" t="n">
        <v>5</v>
      </c>
    </row>
    <row r="41" customFormat="false" ht="15" hidden="false" customHeight="false" outlineLevel="0" collapsed="false">
      <c r="B41" s="31" t="s">
        <v>98</v>
      </c>
      <c r="C41" s="32" t="n">
        <v>91606.97</v>
      </c>
      <c r="D41" s="32" t="n">
        <v>0</v>
      </c>
      <c r="E41" s="32" t="n">
        <v>3664.27</v>
      </c>
      <c r="F41" s="32" t="n">
        <v>5862.86</v>
      </c>
      <c r="G41" s="32" t="n">
        <v>9527.13</v>
      </c>
      <c r="H41" s="32" t="n">
        <v>82079.84</v>
      </c>
      <c r="I41" s="33" t="s">
        <v>97</v>
      </c>
      <c r="J41" s="34" t="n">
        <v>5</v>
      </c>
    </row>
    <row r="42" customFormat="false" ht="15" hidden="false" customHeight="false" outlineLevel="0" collapsed="false">
      <c r="A42" s="10"/>
      <c r="B42" s="11" t="s">
        <v>24</v>
      </c>
      <c r="C42" s="39" t="n">
        <f aca="false">SUM(C35:C41)</f>
        <v>719744.4</v>
      </c>
      <c r="D42" s="39" t="n">
        <f aca="false">SUM(D35:D41)</f>
        <v>4073.29</v>
      </c>
      <c r="E42" s="39" t="n">
        <f aca="false">SUM(E35:E41)</f>
        <v>31961.98</v>
      </c>
      <c r="F42" s="39" t="n">
        <f aca="false">SUM(F35:F41)</f>
        <v>27398.51</v>
      </c>
      <c r="G42" s="39" t="n">
        <f aca="false">SUM(G35:G41)</f>
        <v>59360.49</v>
      </c>
      <c r="H42" s="39" t="n">
        <f aca="false">SUM(H35:H41)</f>
        <v>660383.91</v>
      </c>
      <c r="I42" s="10"/>
      <c r="J42" s="10"/>
    </row>
    <row r="44" customFormat="false" ht="15" hidden="false" customHeight="false" outlineLevel="0" collapsed="false">
      <c r="A44" s="40" t="s">
        <v>99</v>
      </c>
      <c r="B44" s="40"/>
      <c r="C44" s="40"/>
      <c r="D44" s="40"/>
      <c r="E44" s="40"/>
      <c r="F44" s="40"/>
      <c r="G44" s="40"/>
      <c r="H44" s="40"/>
      <c r="I44" s="40"/>
      <c r="J44" s="40"/>
    </row>
    <row r="45" customFormat="false" ht="15" hidden="false" customHeight="false" outlineLevel="0" collapsed="false">
      <c r="A45" s="29"/>
      <c r="B45" s="29" t="s">
        <v>80</v>
      </c>
      <c r="C45" s="30" t="s">
        <v>81</v>
      </c>
      <c r="D45" s="30" t="s">
        <v>82</v>
      </c>
      <c r="E45" s="30" t="s">
        <v>83</v>
      </c>
      <c r="F45" s="30" t="s">
        <v>84</v>
      </c>
      <c r="G45" s="30" t="s">
        <v>85</v>
      </c>
      <c r="H45" s="30" t="s">
        <v>86</v>
      </c>
      <c r="I45" s="30" t="s">
        <v>87</v>
      </c>
      <c r="J45" s="30" t="s">
        <v>88</v>
      </c>
    </row>
    <row r="46" customFormat="false" ht="15" hidden="false" customHeight="false" outlineLevel="0" collapsed="false">
      <c r="B46" s="31" t="s">
        <v>100</v>
      </c>
      <c r="C46" s="32" t="n">
        <v>65091.76</v>
      </c>
      <c r="D46" s="32" t="n">
        <v>65091.76</v>
      </c>
      <c r="E46" s="32" t="n">
        <v>65091.76</v>
      </c>
      <c r="F46" s="32" t="n">
        <v>0</v>
      </c>
      <c r="G46" s="32" t="n">
        <v>65091.76</v>
      </c>
      <c r="H46" s="32" t="n">
        <v>0</v>
      </c>
      <c r="I46" s="33" t="s">
        <v>95</v>
      </c>
      <c r="J46" s="34" t="n">
        <v>15</v>
      </c>
    </row>
    <row r="47" customFormat="false" ht="15" hidden="false" customHeight="false" outlineLevel="0" collapsed="false">
      <c r="B47" s="35" t="s">
        <v>101</v>
      </c>
      <c r="C47" s="36" t="n">
        <v>50999.89</v>
      </c>
      <c r="D47" s="36" t="n">
        <v>0</v>
      </c>
      <c r="E47" s="36" t="n">
        <v>9137.5</v>
      </c>
      <c r="F47" s="36" t="n">
        <v>1700</v>
      </c>
      <c r="G47" s="36" t="n">
        <v>10837.5</v>
      </c>
      <c r="H47" s="36" t="n">
        <v>40162.39</v>
      </c>
      <c r="I47" s="37" t="s">
        <v>90</v>
      </c>
      <c r="J47" s="38" t="n">
        <v>30</v>
      </c>
    </row>
    <row r="48" customFormat="false" ht="15" hidden="false" customHeight="false" outlineLevel="0" collapsed="false">
      <c r="B48" s="31" t="s">
        <v>102</v>
      </c>
      <c r="C48" s="32" t="n">
        <v>34910.75</v>
      </c>
      <c r="D48" s="32" t="n">
        <v>34910.75</v>
      </c>
      <c r="E48" s="32" t="n">
        <v>34910.75</v>
      </c>
      <c r="F48" s="32" t="n">
        <v>0</v>
      </c>
      <c r="G48" s="32" t="n">
        <v>34910.75</v>
      </c>
      <c r="H48" s="32" t="n">
        <v>0</v>
      </c>
      <c r="I48" s="33" t="s">
        <v>95</v>
      </c>
      <c r="J48" s="34" t="n">
        <v>15</v>
      </c>
    </row>
    <row r="49" customFormat="false" ht="15" hidden="false" customHeight="false" outlineLevel="0" collapsed="false">
      <c r="B49" s="35" t="s">
        <v>103</v>
      </c>
      <c r="C49" s="36" t="n">
        <v>27352.85</v>
      </c>
      <c r="D49" s="36" t="n">
        <v>0</v>
      </c>
      <c r="E49" s="36" t="n">
        <v>949.75</v>
      </c>
      <c r="F49" s="36" t="n">
        <v>911.76</v>
      </c>
      <c r="G49" s="36" t="n">
        <v>1861.51</v>
      </c>
      <c r="H49" s="36" t="n">
        <v>25491.34</v>
      </c>
      <c r="I49" s="37" t="s">
        <v>90</v>
      </c>
      <c r="J49" s="38" t="n">
        <v>30</v>
      </c>
    </row>
    <row r="50" customFormat="false" ht="15" hidden="false" customHeight="false" outlineLevel="0" collapsed="false">
      <c r="B50" s="31" t="s">
        <v>104</v>
      </c>
      <c r="C50" s="32" t="n">
        <v>233988.6</v>
      </c>
      <c r="D50" s="32" t="n">
        <v>187190.88</v>
      </c>
      <c r="E50" s="32" t="n">
        <v>189530.77</v>
      </c>
      <c r="F50" s="32" t="n">
        <v>4445.78</v>
      </c>
      <c r="G50" s="32" t="n">
        <v>193976.55</v>
      </c>
      <c r="H50" s="32" t="n">
        <v>40012.05</v>
      </c>
      <c r="I50" s="33" t="s">
        <v>95</v>
      </c>
      <c r="J50" s="34" t="n">
        <v>15</v>
      </c>
    </row>
    <row r="51" customFormat="false" ht="15" hidden="false" customHeight="false" outlineLevel="0" collapsed="false">
      <c r="B51" s="35" t="s">
        <v>105</v>
      </c>
      <c r="C51" s="36" t="n">
        <v>183331.88</v>
      </c>
      <c r="D51" s="36" t="n">
        <v>0</v>
      </c>
      <c r="E51" s="36" t="n">
        <v>4328.67</v>
      </c>
      <c r="F51" s="36" t="n">
        <v>6111.06</v>
      </c>
      <c r="G51" s="36" t="n">
        <v>10439.73</v>
      </c>
      <c r="H51" s="36" t="n">
        <v>172892.15</v>
      </c>
      <c r="I51" s="37" t="s">
        <v>90</v>
      </c>
      <c r="J51" s="38" t="n">
        <v>30</v>
      </c>
    </row>
    <row r="52" customFormat="false" ht="15" hidden="false" customHeight="false" outlineLevel="0" collapsed="false">
      <c r="B52" s="31" t="s">
        <v>106</v>
      </c>
      <c r="C52" s="32" t="n">
        <v>1635.93</v>
      </c>
      <c r="D52" s="32" t="n">
        <v>1635.93</v>
      </c>
      <c r="E52" s="32" t="n">
        <v>1635.93</v>
      </c>
      <c r="F52" s="32" t="n">
        <v>0</v>
      </c>
      <c r="G52" s="32" t="n">
        <v>1635.93</v>
      </c>
      <c r="H52" s="32" t="n">
        <v>0</v>
      </c>
      <c r="I52" s="33" t="s">
        <v>95</v>
      </c>
      <c r="J52" s="34" t="n">
        <v>15</v>
      </c>
    </row>
    <row r="53" customFormat="false" ht="15" hidden="false" customHeight="false" outlineLevel="0" collapsed="false">
      <c r="B53" s="35" t="s">
        <v>107</v>
      </c>
      <c r="C53" s="36" t="n">
        <v>1281.76</v>
      </c>
      <c r="D53" s="36" t="n">
        <v>0</v>
      </c>
      <c r="E53" s="36" t="n">
        <v>140.65</v>
      </c>
      <c r="F53" s="36" t="n">
        <v>42.73</v>
      </c>
      <c r="G53" s="36" t="n">
        <v>183.38</v>
      </c>
      <c r="H53" s="36" t="n">
        <v>1098.38</v>
      </c>
      <c r="I53" s="37" t="s">
        <v>90</v>
      </c>
      <c r="J53" s="38" t="n">
        <v>30</v>
      </c>
    </row>
    <row r="54" customFormat="false" ht="15" hidden="false" customHeight="false" outlineLevel="0" collapsed="false">
      <c r="B54" s="31" t="s">
        <v>108</v>
      </c>
      <c r="C54" s="32" t="n">
        <v>8901.79</v>
      </c>
      <c r="D54" s="32" t="n">
        <v>8901.79</v>
      </c>
      <c r="E54" s="32" t="n">
        <v>8901.79</v>
      </c>
      <c r="F54" s="32" t="n">
        <v>0</v>
      </c>
      <c r="G54" s="32" t="n">
        <v>8901.79</v>
      </c>
      <c r="H54" s="32" t="n">
        <v>0</v>
      </c>
      <c r="I54" s="33" t="s">
        <v>95</v>
      </c>
      <c r="J54" s="34" t="n">
        <v>15</v>
      </c>
    </row>
    <row r="55" customFormat="false" ht="15" hidden="false" customHeight="false" outlineLevel="0" collapsed="false">
      <c r="B55" s="35" t="s">
        <v>109</v>
      </c>
      <c r="C55" s="36" t="n">
        <v>6974.62</v>
      </c>
      <c r="D55" s="36" t="n">
        <v>0</v>
      </c>
      <c r="E55" s="36" t="n">
        <v>1249.63</v>
      </c>
      <c r="F55" s="36" t="n">
        <v>232.49</v>
      </c>
      <c r="G55" s="36" t="n">
        <v>1482.12</v>
      </c>
      <c r="H55" s="36" t="n">
        <v>5492.5</v>
      </c>
      <c r="I55" s="37" t="s">
        <v>90</v>
      </c>
      <c r="J55" s="38" t="n">
        <v>30</v>
      </c>
    </row>
    <row r="56" customFormat="false" ht="15" hidden="false" customHeight="false" outlineLevel="0" collapsed="false">
      <c r="B56" s="31" t="s">
        <v>110</v>
      </c>
      <c r="C56" s="32" t="n">
        <v>7663.33</v>
      </c>
      <c r="D56" s="32" t="n">
        <v>7663.33</v>
      </c>
      <c r="E56" s="32" t="n">
        <v>7663.33</v>
      </c>
      <c r="F56" s="32" t="n">
        <v>0</v>
      </c>
      <c r="G56" s="32" t="n">
        <v>7663.33</v>
      </c>
      <c r="H56" s="32" t="n">
        <v>0</v>
      </c>
      <c r="I56" s="33" t="s">
        <v>95</v>
      </c>
      <c r="J56" s="34" t="n">
        <v>15</v>
      </c>
    </row>
    <row r="57" customFormat="false" ht="15" hidden="false" customHeight="false" outlineLevel="0" collapsed="false">
      <c r="B57" s="35" t="s">
        <v>111</v>
      </c>
      <c r="C57" s="36" t="n">
        <v>6004.27</v>
      </c>
      <c r="D57" s="36" t="n">
        <v>0</v>
      </c>
      <c r="E57" s="36" t="n">
        <v>208.48</v>
      </c>
      <c r="F57" s="36" t="n">
        <v>200.14</v>
      </c>
      <c r="G57" s="36" t="n">
        <v>408.62</v>
      </c>
      <c r="H57" s="36" t="n">
        <v>5595.65</v>
      </c>
      <c r="I57" s="37" t="s">
        <v>90</v>
      </c>
      <c r="J57" s="38" t="n">
        <v>30</v>
      </c>
    </row>
    <row r="58" customFormat="false" ht="15" hidden="false" customHeight="false" outlineLevel="0" collapsed="false">
      <c r="B58" s="31" t="s">
        <v>112</v>
      </c>
      <c r="C58" s="32" t="n">
        <v>51363.37</v>
      </c>
      <c r="D58" s="32" t="n">
        <v>41090.7</v>
      </c>
      <c r="E58" s="32" t="n">
        <v>41604.33</v>
      </c>
      <c r="F58" s="32" t="n">
        <v>975.9</v>
      </c>
      <c r="G58" s="32" t="n">
        <v>42580.23</v>
      </c>
      <c r="H58" s="32" t="n">
        <v>8783.14</v>
      </c>
      <c r="I58" s="33" t="s">
        <v>95</v>
      </c>
      <c r="J58" s="34" t="n">
        <v>15</v>
      </c>
    </row>
    <row r="59" customFormat="false" ht="15" hidden="false" customHeight="false" outlineLevel="0" collapsed="false">
      <c r="B59" s="35" t="s">
        <v>113</v>
      </c>
      <c r="C59" s="36" t="n">
        <v>40243.6</v>
      </c>
      <c r="D59" s="36" t="n">
        <v>0</v>
      </c>
      <c r="E59" s="36" t="n">
        <v>950.2</v>
      </c>
      <c r="F59" s="36" t="n">
        <v>1341.45</v>
      </c>
      <c r="G59" s="36" t="n">
        <v>2291.65</v>
      </c>
      <c r="H59" s="36" t="n">
        <v>37951.95</v>
      </c>
      <c r="I59" s="37" t="s">
        <v>90</v>
      </c>
      <c r="J59" s="38" t="n">
        <v>30</v>
      </c>
    </row>
    <row r="60" customFormat="false" ht="15" hidden="false" customHeight="false" outlineLevel="0" collapsed="false">
      <c r="A60" s="10"/>
      <c r="B60" s="11" t="s">
        <v>24</v>
      </c>
      <c r="C60" s="39" t="n">
        <f aca="false">SUM(C46:C59)</f>
        <v>719744.4</v>
      </c>
      <c r="D60" s="39" t="n">
        <f aca="false">SUM(D46:D59)</f>
        <v>346485.14</v>
      </c>
      <c r="E60" s="39" t="n">
        <f aca="false">SUM(E46:E59)</f>
        <v>366303.54</v>
      </c>
      <c r="F60" s="39" t="n">
        <f aca="false">SUM(F46:F59)</f>
        <v>15961.31</v>
      </c>
      <c r="G60" s="39" t="n">
        <f aca="false">SUM(G46:G59)</f>
        <v>382264.85</v>
      </c>
      <c r="H60" s="39" t="n">
        <f aca="false">SUM(H46:H59)</f>
        <v>337479.55</v>
      </c>
      <c r="I60" s="10"/>
      <c r="J60" s="10"/>
    </row>
    <row r="62" customFormat="false" ht="15" hidden="false" customHeight="false" outlineLevel="0" collapsed="false">
      <c r="A62" s="27" t="s">
        <v>48</v>
      </c>
      <c r="B62" s="27"/>
      <c r="C62" s="27"/>
      <c r="D62" s="27"/>
      <c r="E62" s="27"/>
    </row>
    <row r="63" customFormat="false" ht="15" hidden="false" customHeight="false" outlineLevel="0" collapsed="false">
      <c r="B63" s="8" t="s">
        <v>114</v>
      </c>
      <c r="C63" s="41" t="n">
        <f aca="false">G42</f>
        <v>59360.49</v>
      </c>
    </row>
    <row r="64" customFormat="false" ht="15" hidden="false" customHeight="false" outlineLevel="0" collapsed="false">
      <c r="B64" s="8" t="s">
        <v>115</v>
      </c>
      <c r="C64" s="41" t="n">
        <f aca="false">G60</f>
        <v>382264.85</v>
      </c>
    </row>
    <row r="65" customFormat="false" ht="15" hidden="false" customHeight="false" outlineLevel="0" collapsed="false">
      <c r="B65" s="17" t="s">
        <v>48</v>
      </c>
      <c r="C65" s="42" t="n">
        <f aca="false">C64-C63</f>
        <v>322904.36</v>
      </c>
    </row>
  </sheetData>
  <mergeCells count="11">
    <mergeCell ref="A2:J2"/>
    <mergeCell ref="A3:J3"/>
    <mergeCell ref="A4:J4"/>
    <mergeCell ref="A8:J8"/>
    <mergeCell ref="B10:J10"/>
    <mergeCell ref="B18:J18"/>
    <mergeCell ref="B22:J22"/>
    <mergeCell ref="A32:J32"/>
    <mergeCell ref="A33:J33"/>
    <mergeCell ref="A44:J44"/>
    <mergeCell ref="A62:E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116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50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51</v>
      </c>
      <c r="C6" s="8" t="s">
        <v>26</v>
      </c>
    </row>
    <row r="8" customFormat="false" ht="15" hidden="false" customHeight="false" outlineLevel="0" collapsed="false">
      <c r="A8" s="21" t="s">
        <v>117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53</v>
      </c>
      <c r="C9" s="23" t="s">
        <v>54</v>
      </c>
      <c r="D9" s="23" t="s">
        <v>55</v>
      </c>
      <c r="E9" s="23" t="s">
        <v>56</v>
      </c>
      <c r="F9" s="23" t="s">
        <v>57</v>
      </c>
      <c r="G9" s="23" t="s">
        <v>58</v>
      </c>
      <c r="H9" s="23" t="s">
        <v>59</v>
      </c>
    </row>
    <row r="10" customFormat="false" ht="15" hidden="false" customHeight="false" outlineLevel="0" collapsed="false">
      <c r="A10" s="5"/>
      <c r="B10" s="6" t="s">
        <v>118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119</v>
      </c>
      <c r="C11" s="16" t="n">
        <v>31452.73</v>
      </c>
      <c r="D11" s="16" t="n">
        <v>31452.73</v>
      </c>
    </row>
    <row r="12" customFormat="false" ht="15" hidden="false" customHeight="false" outlineLevel="0" collapsed="false">
      <c r="B12" s="8" t="s">
        <v>120</v>
      </c>
      <c r="C12" s="16" t="n">
        <v>8394.17</v>
      </c>
      <c r="D12" s="16" t="n">
        <v>8394.17</v>
      </c>
    </row>
    <row r="13" customFormat="false" ht="15" hidden="false" customHeight="false" outlineLevel="0" collapsed="false">
      <c r="B13" s="8" t="s">
        <v>121</v>
      </c>
      <c r="C13" s="16" t="n">
        <v>32815.89</v>
      </c>
      <c r="D13" s="16" t="n">
        <v>32815.89</v>
      </c>
    </row>
    <row r="14" customFormat="false" ht="15" hidden="false" customHeight="false" outlineLevel="0" collapsed="false">
      <c r="B14" s="8" t="s">
        <v>122</v>
      </c>
      <c r="C14" s="16" t="n">
        <v>2648.72</v>
      </c>
      <c r="D14" s="16" t="n">
        <v>2648.72</v>
      </c>
    </row>
    <row r="15" customFormat="false" ht="15" hidden="false" customHeight="false" outlineLevel="0" collapsed="false">
      <c r="B15" s="8" t="s">
        <v>123</v>
      </c>
      <c r="C15" s="16" t="n">
        <v>0.287</v>
      </c>
      <c r="D15" s="16" t="n">
        <v>0.287</v>
      </c>
    </row>
    <row r="16" customFormat="false" ht="15" hidden="false" customHeight="false" outlineLevel="0" collapsed="false">
      <c r="B16" s="8" t="s">
        <v>124</v>
      </c>
      <c r="C16" s="16" t="n">
        <v>5344.3</v>
      </c>
      <c r="D16" s="16" t="n">
        <v>5344.3</v>
      </c>
    </row>
    <row r="17" customFormat="false" ht="15" hidden="false" customHeight="false" outlineLevel="0" collapsed="false">
      <c r="B17" s="8" t="s">
        <v>125</v>
      </c>
      <c r="C17" s="16" t="n">
        <v>2858.97</v>
      </c>
      <c r="D17" s="16" t="n">
        <v>2858.97</v>
      </c>
    </row>
    <row r="18" customFormat="false" ht="15" hidden="false" customHeight="false" outlineLevel="0" collapsed="false">
      <c r="B18" s="8" t="s">
        <v>126</v>
      </c>
      <c r="C18" s="16" t="n">
        <v>9687.68</v>
      </c>
      <c r="D18" s="16" t="n">
        <v>9687.68</v>
      </c>
    </row>
    <row r="19" customFormat="false" ht="15" hidden="false" customHeight="false" outlineLevel="0" collapsed="false">
      <c r="B19" s="8" t="s">
        <v>127</v>
      </c>
      <c r="C19" s="16" t="n">
        <v>2139.23</v>
      </c>
      <c r="D19" s="16" t="n">
        <v>2139.23</v>
      </c>
    </row>
    <row r="20" customFormat="false" ht="15" hidden="false" customHeight="false" outlineLevel="0" collapsed="false">
      <c r="B20" s="8" t="s">
        <v>128</v>
      </c>
      <c r="C20" s="16" t="n">
        <v>605.69</v>
      </c>
      <c r="D20" s="16" t="n">
        <v>605.69</v>
      </c>
    </row>
    <row r="21" customFormat="false" ht="15" hidden="false" customHeight="false" outlineLevel="0" collapsed="false">
      <c r="B21" s="8" t="s">
        <v>129</v>
      </c>
      <c r="C21" s="16" t="n">
        <v>8326.94</v>
      </c>
      <c r="D21" s="16" t="n">
        <v>8326.94</v>
      </c>
    </row>
    <row r="22" customFormat="false" ht="15" hidden="false" customHeight="false" outlineLevel="0" collapsed="false">
      <c r="A22" s="5"/>
      <c r="B22" s="6" t="s">
        <v>130</v>
      </c>
      <c r="C22" s="6"/>
      <c r="D22" s="6"/>
      <c r="E22" s="6"/>
      <c r="F22" s="6"/>
      <c r="G22" s="6"/>
      <c r="H22" s="6"/>
      <c r="I22" s="6"/>
      <c r="J22" s="6"/>
    </row>
    <row r="23" customFormat="false" ht="15" hidden="false" customHeight="false" outlineLevel="0" collapsed="false">
      <c r="B23" s="8" t="s">
        <v>131</v>
      </c>
      <c r="C23" s="16" t="n">
        <v>22000</v>
      </c>
      <c r="G23" s="16" t="n">
        <v>22000</v>
      </c>
    </row>
    <row r="24" customFormat="false" ht="15" hidden="false" customHeight="false" outlineLevel="0" collapsed="false">
      <c r="B24" s="8" t="s">
        <v>132</v>
      </c>
      <c r="C24" s="16" t="n">
        <v>28000</v>
      </c>
      <c r="G24" s="16" t="n">
        <v>28000</v>
      </c>
    </row>
    <row r="25" customFormat="false" ht="15" hidden="false" customHeight="false" outlineLevel="0" collapsed="false">
      <c r="B25" s="8" t="s">
        <v>133</v>
      </c>
      <c r="C25" s="16" t="n">
        <v>29000</v>
      </c>
      <c r="G25" s="16" t="n">
        <v>29000</v>
      </c>
    </row>
    <row r="26" customFormat="false" ht="15" hidden="false" customHeight="false" outlineLevel="0" collapsed="false">
      <c r="B26" s="8" t="s">
        <v>134</v>
      </c>
      <c r="C26" s="16" t="n">
        <v>24000</v>
      </c>
      <c r="G26" s="16" t="n">
        <v>24000</v>
      </c>
    </row>
    <row r="27" customFormat="false" ht="15" hidden="false" customHeight="false" outlineLevel="0" collapsed="false">
      <c r="B27" s="8" t="s">
        <v>135</v>
      </c>
      <c r="C27" s="16" t="n">
        <v>2000</v>
      </c>
      <c r="G27" s="16" t="n">
        <v>2000</v>
      </c>
    </row>
    <row r="28" customFormat="false" ht="15" hidden="false" customHeight="false" outlineLevel="0" collapsed="false">
      <c r="B28" s="8" t="s">
        <v>136</v>
      </c>
      <c r="C28" s="16" t="n">
        <v>18000</v>
      </c>
      <c r="G28" s="16" t="n">
        <v>18000</v>
      </c>
    </row>
    <row r="29" customFormat="false" ht="15" hidden="false" customHeight="false" outlineLevel="0" collapsed="false">
      <c r="B29" s="8" t="s">
        <v>137</v>
      </c>
      <c r="C29" s="16" t="n">
        <v>16000</v>
      </c>
      <c r="G29" s="16" t="n">
        <v>16000</v>
      </c>
    </row>
    <row r="30" customFormat="false" ht="15" hidden="false" customHeight="false" outlineLevel="0" collapsed="false">
      <c r="B30" s="8" t="s">
        <v>138</v>
      </c>
      <c r="C30" s="16" t="n">
        <v>14000</v>
      </c>
      <c r="G30" s="16" t="n">
        <v>14000</v>
      </c>
    </row>
    <row r="31" customFormat="false" ht="15" hidden="false" customHeight="false" outlineLevel="0" collapsed="false">
      <c r="B31" s="8" t="s">
        <v>139</v>
      </c>
      <c r="C31" s="16" t="n">
        <v>13000</v>
      </c>
      <c r="G31" s="16" t="n">
        <v>13000</v>
      </c>
    </row>
    <row r="32" customFormat="false" ht="15" hidden="false" customHeight="false" outlineLevel="0" collapsed="false">
      <c r="B32" s="8" t="s">
        <v>140</v>
      </c>
      <c r="C32" s="16" t="n">
        <v>35000</v>
      </c>
      <c r="G32" s="16" t="n">
        <v>35000</v>
      </c>
    </row>
    <row r="33" customFormat="false" ht="15" hidden="false" customHeight="false" outlineLevel="0" collapsed="false">
      <c r="B33" s="8" t="s">
        <v>141</v>
      </c>
      <c r="C33" s="16" t="n">
        <v>15000</v>
      </c>
      <c r="G33" s="16" t="n">
        <v>15000</v>
      </c>
    </row>
    <row r="34" customFormat="false" ht="15" hidden="false" customHeight="false" outlineLevel="0" collapsed="false">
      <c r="B34" s="8" t="s">
        <v>142</v>
      </c>
      <c r="C34" s="16" t="n">
        <v>1200</v>
      </c>
      <c r="G34" s="16" t="n">
        <v>1200</v>
      </c>
    </row>
    <row r="35" customFormat="false" ht="15" hidden="false" customHeight="false" outlineLevel="0" collapsed="false">
      <c r="B35" s="8" t="s">
        <v>143</v>
      </c>
      <c r="C35" s="16" t="n">
        <v>38000</v>
      </c>
      <c r="G35" s="16" t="n">
        <v>38000</v>
      </c>
    </row>
    <row r="36" customFormat="false" ht="15" hidden="false" customHeight="false" outlineLevel="0" collapsed="false">
      <c r="B36" s="8" t="s">
        <v>144</v>
      </c>
      <c r="C36" s="16" t="n">
        <v>8000</v>
      </c>
      <c r="G36" s="16" t="n">
        <v>8000</v>
      </c>
    </row>
    <row r="37" customFormat="false" ht="15" hidden="false" customHeight="false" outlineLevel="0" collapsed="false">
      <c r="B37" s="8" t="s">
        <v>145</v>
      </c>
      <c r="C37" s="16" t="n">
        <v>3000</v>
      </c>
      <c r="G37" s="16" t="n">
        <v>3000</v>
      </c>
    </row>
    <row r="38" customFormat="false" ht="15" hidden="false" customHeight="false" outlineLevel="0" collapsed="false">
      <c r="A38" s="24"/>
      <c r="B38" s="25" t="s">
        <v>69</v>
      </c>
      <c r="C38" s="26" t="n">
        <f aca="false">SUM(C10:C37)</f>
        <v>370474.607</v>
      </c>
      <c r="D38" s="26" t="n">
        <f aca="false">SUM(D10:D37)</f>
        <v>104274.607</v>
      </c>
      <c r="E38" s="26" t="n">
        <f aca="false">SUM(E10:E37)</f>
        <v>0</v>
      </c>
      <c r="F38" s="26" t="n">
        <f aca="false">SUM(F10:F37)</f>
        <v>0</v>
      </c>
      <c r="G38" s="26" t="n">
        <f aca="false">SUM(G10:G37)</f>
        <v>266200</v>
      </c>
      <c r="H38" s="24"/>
    </row>
    <row r="40" customFormat="false" ht="15" hidden="false" customHeight="false" outlineLevel="0" collapsed="false">
      <c r="A40" s="5"/>
      <c r="B40" s="6" t="s">
        <v>70</v>
      </c>
      <c r="C40" s="6"/>
      <c r="D40" s="6"/>
      <c r="E40" s="6"/>
      <c r="F40" s="6"/>
      <c r="G40" s="6"/>
      <c r="H40" s="6"/>
      <c r="I40" s="6"/>
      <c r="J40" s="6"/>
    </row>
    <row r="41" customFormat="false" ht="15" hidden="false" customHeight="false" outlineLevel="0" collapsed="false">
      <c r="B41" s="8" t="s">
        <v>71</v>
      </c>
      <c r="C41" s="16" t="n">
        <v>64140.22006</v>
      </c>
      <c r="D41" s="16" t="n">
        <v>16834.39828</v>
      </c>
      <c r="G41" s="16" t="n">
        <v>47305.82178</v>
      </c>
    </row>
    <row r="42" customFormat="false" ht="15" hidden="false" customHeight="false" outlineLevel="0" collapsed="false">
      <c r="B42" s="8" t="s">
        <v>146</v>
      </c>
      <c r="C42" s="16" t="n">
        <v>34420.590144</v>
      </c>
      <c r="D42" s="16" t="n">
        <v>9034.111872</v>
      </c>
      <c r="G42" s="16" t="n">
        <v>25386.478272</v>
      </c>
    </row>
    <row r="43" customFormat="false" ht="15" hidden="false" customHeight="false" outlineLevel="0" collapsed="false">
      <c r="B43" s="8" t="s">
        <v>147</v>
      </c>
      <c r="C43" s="16" t="n">
        <v>231462.53326</v>
      </c>
      <c r="D43" s="16" t="n">
        <v>60750.21988</v>
      </c>
      <c r="G43" s="16" t="n">
        <v>170712.31338</v>
      </c>
    </row>
    <row r="44" customFormat="false" ht="15" hidden="false" customHeight="false" outlineLevel="0" collapsed="false">
      <c r="B44" s="8" t="s">
        <v>148</v>
      </c>
      <c r="C44" s="16" t="n">
        <v>1617.4490276</v>
      </c>
      <c r="D44" s="16" t="n">
        <v>424.5196088</v>
      </c>
      <c r="G44" s="16" t="n">
        <v>1192.9294188</v>
      </c>
    </row>
    <row r="45" customFormat="false" ht="15" hidden="false" customHeight="false" outlineLevel="0" collapsed="false">
      <c r="B45" s="8" t="s">
        <v>75</v>
      </c>
      <c r="C45" s="16" t="n">
        <v>8804.340766</v>
      </c>
      <c r="D45" s="16" t="n">
        <v>2310.808708</v>
      </c>
      <c r="G45" s="16" t="n">
        <v>6493.532058</v>
      </c>
    </row>
    <row r="46" customFormat="false" ht="15" hidden="false" customHeight="false" outlineLevel="0" collapsed="false">
      <c r="B46" s="8" t="s">
        <v>149</v>
      </c>
      <c r="C46" s="16" t="n">
        <v>7569.34274</v>
      </c>
      <c r="D46" s="16" t="n">
        <v>1986.66812</v>
      </c>
      <c r="G46" s="16" t="n">
        <v>5582.67462</v>
      </c>
    </row>
    <row r="47" customFormat="false" ht="15" hidden="false" customHeight="false" outlineLevel="0" collapsed="false">
      <c r="B47" s="8" t="s">
        <v>150</v>
      </c>
      <c r="C47" s="16" t="n">
        <v>50595.08042</v>
      </c>
      <c r="D47" s="16" t="n">
        <v>13279.30796</v>
      </c>
      <c r="G47" s="16" t="n">
        <v>37315.77246</v>
      </c>
    </row>
    <row r="48" customFormat="false" ht="15" hidden="false" customHeight="false" outlineLevel="0" collapsed="false">
      <c r="A48" s="24"/>
      <c r="B48" s="25" t="s">
        <v>78</v>
      </c>
      <c r="C48" s="26" t="n">
        <f aca="false">SUM(C41:C47)</f>
        <v>398609.5564176</v>
      </c>
      <c r="D48" s="26" t="n">
        <f aca="false">SUM(D41:D47)</f>
        <v>104620.0344288</v>
      </c>
      <c r="E48" s="24"/>
      <c r="F48" s="26" t="n">
        <f aca="false">SUM(F41:F47)</f>
        <v>0</v>
      </c>
      <c r="G48" s="26" t="n">
        <f aca="false">SUM(G41:G47)</f>
        <v>293989.5219888</v>
      </c>
      <c r="H48" s="24"/>
    </row>
    <row r="50" customFormat="false" ht="15" hidden="false" customHeight="false" outlineLevel="0" collapsed="false">
      <c r="A50" s="27" t="s">
        <v>79</v>
      </c>
      <c r="B50" s="27"/>
      <c r="C50" s="27"/>
      <c r="D50" s="27"/>
      <c r="E50" s="27"/>
      <c r="F50" s="27"/>
      <c r="G50" s="27"/>
      <c r="H50" s="27"/>
      <c r="I50" s="27"/>
      <c r="J50" s="27"/>
    </row>
    <row r="51" customFormat="false" ht="15" hidden="false" customHeight="false" outlineLevel="0" collapsed="false">
      <c r="A51" s="28" t="s">
        <v>46</v>
      </c>
      <c r="B51" s="28"/>
      <c r="C51" s="28"/>
      <c r="D51" s="28"/>
      <c r="E51" s="28"/>
      <c r="F51" s="28"/>
      <c r="G51" s="28"/>
      <c r="H51" s="28"/>
      <c r="I51" s="28"/>
      <c r="J51" s="28"/>
    </row>
    <row r="52" customFormat="false" ht="15" hidden="false" customHeight="false" outlineLevel="0" collapsed="false">
      <c r="A52" s="29"/>
      <c r="B52" s="29" t="s">
        <v>80</v>
      </c>
      <c r="C52" s="30" t="s">
        <v>81</v>
      </c>
      <c r="D52" s="30" t="s">
        <v>82</v>
      </c>
      <c r="E52" s="30" t="s">
        <v>83</v>
      </c>
      <c r="F52" s="30" t="s">
        <v>84</v>
      </c>
      <c r="G52" s="30" t="s">
        <v>85</v>
      </c>
      <c r="H52" s="30" t="s">
        <v>86</v>
      </c>
      <c r="I52" s="30" t="s">
        <v>87</v>
      </c>
      <c r="J52" s="30" t="s">
        <v>88</v>
      </c>
    </row>
    <row r="53" customFormat="false" ht="15" hidden="false" customHeight="false" outlineLevel="0" collapsed="false">
      <c r="B53" s="31" t="s">
        <v>151</v>
      </c>
      <c r="C53" s="32" t="n">
        <v>64140.22006</v>
      </c>
      <c r="D53" s="32" t="n">
        <v>0</v>
      </c>
      <c r="E53" s="32" t="n">
        <v>3942.8028</v>
      </c>
      <c r="F53" s="32" t="n">
        <v>1314.2676</v>
      </c>
      <c r="G53" s="32" t="n">
        <v>5257.0704</v>
      </c>
      <c r="H53" s="32" t="n">
        <v>54519.187051</v>
      </c>
      <c r="I53" s="33" t="s">
        <v>90</v>
      </c>
      <c r="J53" s="34" t="n">
        <v>30</v>
      </c>
    </row>
    <row r="54" customFormat="false" ht="15" hidden="false" customHeight="false" outlineLevel="0" collapsed="false">
      <c r="B54" s="35" t="s">
        <v>152</v>
      </c>
      <c r="C54" s="36" t="n">
        <v>34420.590144</v>
      </c>
      <c r="D54" s="36" t="n">
        <v>0</v>
      </c>
      <c r="E54" s="36" t="n">
        <v>2135.68485</v>
      </c>
      <c r="F54" s="36" t="n">
        <v>722.84718</v>
      </c>
      <c r="G54" s="36" t="n">
        <v>2858.53203</v>
      </c>
      <c r="H54" s="36" t="n">
        <v>30290.11932672</v>
      </c>
      <c r="I54" s="37" t="s">
        <v>90</v>
      </c>
      <c r="J54" s="38" t="n">
        <v>30</v>
      </c>
    </row>
    <row r="55" customFormat="false" ht="15" hidden="false" customHeight="false" outlineLevel="0" collapsed="false">
      <c r="B55" s="31" t="s">
        <v>153</v>
      </c>
      <c r="C55" s="32" t="n">
        <v>231462.53326</v>
      </c>
      <c r="D55" s="32" t="n">
        <v>0</v>
      </c>
      <c r="E55" s="32" t="n">
        <v>14456.9436</v>
      </c>
      <c r="F55" s="32" t="n">
        <v>4928.5035</v>
      </c>
      <c r="G55" s="32" t="n">
        <v>19385.4471</v>
      </c>
      <c r="H55" s="32" t="n">
        <v>208316.279934</v>
      </c>
      <c r="I55" s="33" t="s">
        <v>90</v>
      </c>
      <c r="J55" s="34" t="n">
        <v>30</v>
      </c>
    </row>
    <row r="56" customFormat="false" ht="15" hidden="false" customHeight="false" outlineLevel="0" collapsed="false">
      <c r="B56" s="35" t="s">
        <v>154</v>
      </c>
      <c r="C56" s="36" t="n">
        <v>1617.4490276</v>
      </c>
      <c r="D56" s="36" t="n">
        <v>0</v>
      </c>
      <c r="E56" s="36" t="n">
        <v>98.57007</v>
      </c>
      <c r="F56" s="36" t="n">
        <v>32.85669</v>
      </c>
      <c r="G56" s="36" t="n">
        <v>131.42676</v>
      </c>
      <c r="H56" s="36" t="n">
        <v>1423.355144288</v>
      </c>
      <c r="I56" s="37" t="s">
        <v>90</v>
      </c>
      <c r="J56" s="38" t="n">
        <v>30</v>
      </c>
    </row>
    <row r="57" customFormat="false" ht="15" hidden="false" customHeight="false" outlineLevel="0" collapsed="false">
      <c r="B57" s="31" t="s">
        <v>155</v>
      </c>
      <c r="C57" s="32" t="n">
        <v>8804.340766</v>
      </c>
      <c r="D57" s="32" t="n">
        <v>2253.911236096</v>
      </c>
      <c r="E57" s="32" t="n">
        <v>2253.911236096</v>
      </c>
      <c r="F57" s="32" t="n">
        <v>677.934238982</v>
      </c>
      <c r="G57" s="32" t="n">
        <v>2931.845475078</v>
      </c>
      <c r="H57" s="32" t="n">
        <v>5872.495290922</v>
      </c>
      <c r="I57" s="33" t="s">
        <v>95</v>
      </c>
      <c r="J57" s="34" t="n">
        <v>15</v>
      </c>
    </row>
    <row r="58" customFormat="false" ht="15" hidden="false" customHeight="false" outlineLevel="0" collapsed="false">
      <c r="B58" s="35" t="s">
        <v>156</v>
      </c>
      <c r="C58" s="36" t="n">
        <v>7569.34274</v>
      </c>
      <c r="D58" s="36" t="n">
        <v>0</v>
      </c>
      <c r="E58" s="36" t="n">
        <v>0</v>
      </c>
      <c r="F58" s="36" t="n">
        <v>0</v>
      </c>
      <c r="G58" s="36" t="n">
        <v>0</v>
      </c>
      <c r="H58" s="36" t="n">
        <v>7569.34274</v>
      </c>
      <c r="I58" s="37" t="s">
        <v>97</v>
      </c>
      <c r="J58" s="38" t="n">
        <v>5</v>
      </c>
    </row>
    <row r="59" customFormat="false" ht="15" hidden="false" customHeight="false" outlineLevel="0" collapsed="false">
      <c r="B59" s="31" t="s">
        <v>157</v>
      </c>
      <c r="C59" s="32" t="n">
        <v>50595.08042</v>
      </c>
      <c r="D59" s="32" t="n">
        <v>0</v>
      </c>
      <c r="E59" s="32" t="n">
        <v>1314.2676</v>
      </c>
      <c r="F59" s="32" t="n">
        <v>2102.82816</v>
      </c>
      <c r="G59" s="32" t="n">
        <v>3417.09576</v>
      </c>
      <c r="H59" s="32" t="n">
        <v>45029.6215738</v>
      </c>
      <c r="I59" s="33" t="s">
        <v>97</v>
      </c>
      <c r="J59" s="34" t="n">
        <v>5</v>
      </c>
    </row>
    <row r="60" customFormat="false" ht="15" hidden="false" customHeight="false" outlineLevel="0" collapsed="false">
      <c r="A60" s="10"/>
      <c r="B60" s="11" t="s">
        <v>24</v>
      </c>
      <c r="C60" s="39" t="n">
        <f aca="false">SUM(C53:C59)</f>
        <v>398609.5564176</v>
      </c>
      <c r="D60" s="39" t="n">
        <f aca="false">SUM(D53:D59)</f>
        <v>2253.911236096</v>
      </c>
      <c r="E60" s="39" t="n">
        <f aca="false">SUM(E53:E59)</f>
        <v>24202.180156096</v>
      </c>
      <c r="F60" s="39" t="n">
        <f aca="false">SUM(F53:F59)</f>
        <v>9779.237368982</v>
      </c>
      <c r="G60" s="39" t="n">
        <f aca="false">SUM(G53:G59)</f>
        <v>33981.417525078</v>
      </c>
      <c r="H60" s="39" t="n">
        <f aca="false">SUM(H53:H59)</f>
        <v>353020.40106073</v>
      </c>
      <c r="I60" s="10"/>
      <c r="J60" s="10"/>
    </row>
    <row r="62" customFormat="false" ht="15" hidden="false" customHeight="false" outlineLevel="0" collapsed="false">
      <c r="A62" s="40" t="s">
        <v>99</v>
      </c>
      <c r="B62" s="40"/>
      <c r="C62" s="40"/>
      <c r="D62" s="40"/>
      <c r="E62" s="40"/>
      <c r="F62" s="40"/>
      <c r="G62" s="40"/>
      <c r="H62" s="40"/>
      <c r="I62" s="40"/>
      <c r="J62" s="40"/>
    </row>
    <row r="63" customFormat="false" ht="15" hidden="false" customHeight="false" outlineLevel="0" collapsed="false">
      <c r="A63" s="29"/>
      <c r="B63" s="29" t="s">
        <v>80</v>
      </c>
      <c r="C63" s="30" t="s">
        <v>81</v>
      </c>
      <c r="D63" s="30" t="s">
        <v>82</v>
      </c>
      <c r="E63" s="30" t="s">
        <v>83</v>
      </c>
      <c r="F63" s="30" t="s">
        <v>84</v>
      </c>
      <c r="G63" s="30" t="s">
        <v>85</v>
      </c>
      <c r="H63" s="30" t="s">
        <v>86</v>
      </c>
      <c r="I63" s="30" t="s">
        <v>87</v>
      </c>
      <c r="J63" s="30" t="s">
        <v>88</v>
      </c>
    </row>
    <row r="64" customFormat="false" ht="15" hidden="false" customHeight="false" outlineLevel="0" collapsed="false">
      <c r="B64" s="31" t="s">
        <v>158</v>
      </c>
      <c r="C64" s="32" t="n">
        <v>16732.23132</v>
      </c>
      <c r="D64" s="32" t="n">
        <v>16732.23132</v>
      </c>
      <c r="E64" s="32" t="n">
        <v>16732.23132</v>
      </c>
      <c r="F64" s="32" t="n">
        <v>0</v>
      </c>
      <c r="G64" s="32" t="n">
        <v>16732.23132</v>
      </c>
      <c r="H64" s="32" t="n">
        <v>0</v>
      </c>
      <c r="I64" s="33" t="s">
        <v>97</v>
      </c>
      <c r="J64" s="34" t="n">
        <v>5</v>
      </c>
    </row>
    <row r="65" customFormat="false" ht="15" hidden="false" customHeight="false" outlineLevel="0" collapsed="false">
      <c r="B65" s="35" t="s">
        <v>159</v>
      </c>
      <c r="C65" s="36" t="n">
        <v>47407.98874</v>
      </c>
      <c r="D65" s="36" t="n">
        <v>0</v>
      </c>
      <c r="E65" s="36" t="n">
        <v>8980.66367</v>
      </c>
      <c r="F65" s="36" t="n">
        <v>1599.29627</v>
      </c>
      <c r="G65" s="36" t="n">
        <v>10579.95994</v>
      </c>
      <c r="H65" s="36" t="n">
        <v>38874.5507668</v>
      </c>
      <c r="I65" s="37" t="s">
        <v>90</v>
      </c>
      <c r="J65" s="38" t="n">
        <v>30</v>
      </c>
    </row>
    <row r="66" customFormat="false" ht="15" hidden="false" customHeight="false" outlineLevel="0" collapsed="false">
      <c r="B66" s="31" t="s">
        <v>160</v>
      </c>
      <c r="C66" s="32" t="n">
        <v>9043.372642</v>
      </c>
      <c r="D66" s="32" t="n">
        <v>9043.372642</v>
      </c>
      <c r="E66" s="32" t="n">
        <v>9043.372642</v>
      </c>
      <c r="F66" s="32" t="n">
        <v>0</v>
      </c>
      <c r="G66" s="32" t="n">
        <v>9043.372642</v>
      </c>
      <c r="H66" s="32" t="n">
        <v>0</v>
      </c>
      <c r="I66" s="33" t="s">
        <v>97</v>
      </c>
      <c r="J66" s="34" t="n">
        <v>5</v>
      </c>
    </row>
    <row r="67" customFormat="false" ht="15" hidden="false" customHeight="false" outlineLevel="0" collapsed="false">
      <c r="B67" s="35" t="s">
        <v>161</v>
      </c>
      <c r="C67" s="36" t="n">
        <v>25377.217502</v>
      </c>
      <c r="D67" s="36" t="n">
        <v>0</v>
      </c>
      <c r="E67" s="36" t="n">
        <v>4797.88881</v>
      </c>
      <c r="F67" s="36" t="n">
        <v>848.857251</v>
      </c>
      <c r="G67" s="36" t="n">
        <v>5659.04834</v>
      </c>
      <c r="H67" s="36" t="n">
        <v>23600.81227686</v>
      </c>
      <c r="I67" s="37" t="s">
        <v>90</v>
      </c>
      <c r="J67" s="38" t="n">
        <v>30</v>
      </c>
    </row>
    <row r="68" customFormat="false" ht="15" hidden="false" customHeight="false" outlineLevel="0" collapsed="false">
      <c r="B68" s="31" t="s">
        <v>162</v>
      </c>
      <c r="C68" s="32" t="n">
        <v>60554.74192</v>
      </c>
      <c r="D68" s="32" t="n">
        <v>48603.14812</v>
      </c>
      <c r="E68" s="32" t="n">
        <v>50931.43506</v>
      </c>
      <c r="F68" s="32" t="n">
        <v>3936.72928</v>
      </c>
      <c r="G68" s="32" t="n">
        <v>54868.16434</v>
      </c>
      <c r="H68" s="32" t="n">
        <v>2906.62761216</v>
      </c>
      <c r="I68" s="33" t="s">
        <v>97</v>
      </c>
      <c r="J68" s="34" t="n">
        <v>5</v>
      </c>
    </row>
    <row r="69" customFormat="false" ht="15" hidden="false" customHeight="false" outlineLevel="0" collapsed="false">
      <c r="B69" s="35" t="s">
        <v>163</v>
      </c>
      <c r="C69" s="36" t="n">
        <v>169712.63196</v>
      </c>
      <c r="D69" s="36" t="n">
        <v>0</v>
      </c>
      <c r="E69" s="36" t="n">
        <v>4059.75207</v>
      </c>
      <c r="F69" s="36" t="n">
        <v>5659.04834</v>
      </c>
      <c r="G69" s="36" t="n">
        <v>9718.80041</v>
      </c>
      <c r="H69" s="36" t="n">
        <v>164621.2530012</v>
      </c>
      <c r="I69" s="37" t="s">
        <v>90</v>
      </c>
      <c r="J69" s="38" t="n">
        <v>30</v>
      </c>
    </row>
    <row r="70" customFormat="false" ht="15" hidden="false" customHeight="false" outlineLevel="0" collapsed="false">
      <c r="B70" s="31" t="s">
        <v>164</v>
      </c>
      <c r="C70" s="32" t="n">
        <v>422.2896476</v>
      </c>
      <c r="D70" s="32" t="n">
        <v>422.2896476</v>
      </c>
      <c r="E70" s="32" t="n">
        <v>422.2896476</v>
      </c>
      <c r="F70" s="32" t="n">
        <v>0</v>
      </c>
      <c r="G70" s="32" t="n">
        <v>422.2896476</v>
      </c>
      <c r="H70" s="32" t="n">
        <v>0</v>
      </c>
      <c r="I70" s="33" t="s">
        <v>97</v>
      </c>
      <c r="J70" s="34" t="n">
        <v>5</v>
      </c>
    </row>
    <row r="71" customFormat="false" ht="15" hidden="false" customHeight="false" outlineLevel="0" collapsed="false">
      <c r="B71" s="35" t="s">
        <v>165</v>
      </c>
      <c r="C71" s="36" t="n">
        <v>1195.15938</v>
      </c>
      <c r="D71" s="36" t="n">
        <v>0</v>
      </c>
      <c r="E71" s="36" t="n">
        <v>123.02279</v>
      </c>
      <c r="F71" s="36" t="n">
        <v>36.906837</v>
      </c>
      <c r="G71" s="36" t="n">
        <v>159.929627</v>
      </c>
      <c r="H71" s="36" t="n">
        <v>1159.3045986</v>
      </c>
      <c r="I71" s="37" t="s">
        <v>90</v>
      </c>
      <c r="J71" s="38" t="n">
        <v>30</v>
      </c>
    </row>
    <row r="72" customFormat="false" ht="15" hidden="false" customHeight="false" outlineLevel="0" collapsed="false">
      <c r="B72" s="31" t="s">
        <v>166</v>
      </c>
      <c r="C72" s="32" t="n">
        <v>2310.641468</v>
      </c>
      <c r="D72" s="32" t="n">
        <v>2310.641468</v>
      </c>
      <c r="E72" s="32" t="n">
        <v>2310.641468</v>
      </c>
      <c r="F72" s="32" t="n">
        <v>0</v>
      </c>
      <c r="G72" s="32" t="n">
        <v>2310.641468</v>
      </c>
      <c r="H72" s="32" t="n">
        <v>0</v>
      </c>
      <c r="I72" s="33" t="s">
        <v>97</v>
      </c>
      <c r="J72" s="34" t="n">
        <v>5</v>
      </c>
    </row>
    <row r="73" customFormat="false" ht="15" hidden="false" customHeight="false" outlineLevel="0" collapsed="false">
      <c r="B73" s="35" t="s">
        <v>167</v>
      </c>
      <c r="C73" s="36" t="n">
        <v>6493.699298</v>
      </c>
      <c r="D73" s="36" t="n">
        <v>0</v>
      </c>
      <c r="E73" s="36" t="n">
        <v>1168.716505</v>
      </c>
      <c r="F73" s="36" t="n">
        <v>216.5201104</v>
      </c>
      <c r="G73" s="36" t="n">
        <v>1390.157527</v>
      </c>
      <c r="H73" s="36" t="n">
        <v>6039.14034714</v>
      </c>
      <c r="I73" s="37" t="s">
        <v>90</v>
      </c>
      <c r="J73" s="38" t="n">
        <v>30</v>
      </c>
    </row>
    <row r="74" customFormat="false" ht="15" hidden="false" customHeight="false" outlineLevel="0" collapsed="false">
      <c r="B74" s="31" t="s">
        <v>168</v>
      </c>
      <c r="C74" s="32" t="n">
        <v>1991.9323</v>
      </c>
      <c r="D74" s="32" t="n">
        <v>1991.9323</v>
      </c>
      <c r="E74" s="32" t="n">
        <v>1991.9323</v>
      </c>
      <c r="F74" s="32" t="n">
        <v>0</v>
      </c>
      <c r="G74" s="32" t="n">
        <v>1991.9323</v>
      </c>
      <c r="H74" s="32" t="n">
        <v>0</v>
      </c>
      <c r="I74" s="33" t="s">
        <v>97</v>
      </c>
      <c r="J74" s="34" t="n">
        <v>5</v>
      </c>
    </row>
    <row r="75" customFormat="false" ht="15" hidden="false" customHeight="false" outlineLevel="0" collapsed="false">
      <c r="B75" s="35" t="s">
        <v>169</v>
      </c>
      <c r="C75" s="36" t="n">
        <v>5577.41044</v>
      </c>
      <c r="D75" s="36" t="n">
        <v>0</v>
      </c>
      <c r="E75" s="36" t="n">
        <v>196.836464</v>
      </c>
      <c r="F75" s="36" t="n">
        <v>184.534185</v>
      </c>
      <c r="G75" s="36" t="n">
        <v>381.370649</v>
      </c>
      <c r="H75" s="36" t="n">
        <v>5465.8622312</v>
      </c>
      <c r="I75" s="37" t="s">
        <v>90</v>
      </c>
      <c r="J75" s="38" t="n">
        <v>30</v>
      </c>
    </row>
    <row r="76" customFormat="false" ht="15" hidden="false" customHeight="false" outlineLevel="0" collapsed="false">
      <c r="B76" s="31" t="s">
        <v>170</v>
      </c>
      <c r="C76" s="32" t="n">
        <v>13345.94641</v>
      </c>
      <c r="D76" s="32" t="n">
        <v>10676.757128</v>
      </c>
      <c r="E76" s="32" t="n">
        <v>11957.815188</v>
      </c>
      <c r="F76" s="32" t="n">
        <v>910.368646</v>
      </c>
      <c r="G76" s="32" t="n">
        <v>12868.183834</v>
      </c>
      <c r="H76" s="32" t="n">
        <v>146.80541051</v>
      </c>
      <c r="I76" s="33" t="s">
        <v>97</v>
      </c>
      <c r="J76" s="34" t="n">
        <v>5</v>
      </c>
    </row>
    <row r="77" customFormat="false" ht="15" hidden="false" customHeight="false" outlineLevel="0" collapsed="false">
      <c r="B77" s="35" t="s">
        <v>171</v>
      </c>
      <c r="C77" s="36" t="n">
        <v>37249.13401</v>
      </c>
      <c r="D77" s="36" t="n">
        <v>0</v>
      </c>
      <c r="E77" s="36" t="n">
        <v>1008.786878</v>
      </c>
      <c r="F77" s="36" t="n">
        <v>1427.064364</v>
      </c>
      <c r="G77" s="36" t="n">
        <v>2435.851242</v>
      </c>
      <c r="H77" s="36" t="n">
        <v>36504.1513298</v>
      </c>
      <c r="I77" s="37" t="s">
        <v>90</v>
      </c>
      <c r="J77" s="38" t="n">
        <v>30</v>
      </c>
    </row>
    <row r="78" customFormat="false" ht="15" hidden="false" customHeight="false" outlineLevel="0" collapsed="false">
      <c r="A78" s="10"/>
      <c r="B78" s="11" t="s">
        <v>24</v>
      </c>
      <c r="C78" s="39" t="n">
        <f aca="false">SUM(C64:C77)</f>
        <v>397414.3970376</v>
      </c>
      <c r="D78" s="39" t="n">
        <f aca="false">SUM(D64:D77)</f>
        <v>89780.3726256</v>
      </c>
      <c r="E78" s="39" t="n">
        <f aca="false">SUM(E64:E77)</f>
        <v>113725.3848126</v>
      </c>
      <c r="F78" s="39" t="n">
        <f aca="false">SUM(F64:F77)</f>
        <v>14819.3252834</v>
      </c>
      <c r="G78" s="39" t="n">
        <f aca="false">SUM(G64:G77)</f>
        <v>128561.9332866</v>
      </c>
      <c r="H78" s="39" t="n">
        <f aca="false">SUM(H64:H77)</f>
        <v>279318.50757427</v>
      </c>
      <c r="I78" s="10"/>
      <c r="J78" s="10"/>
    </row>
    <row r="80" customFormat="false" ht="15" hidden="false" customHeight="false" outlineLevel="0" collapsed="false">
      <c r="A80" s="27" t="s">
        <v>48</v>
      </c>
      <c r="B80" s="27"/>
      <c r="C80" s="27"/>
      <c r="D80" s="27"/>
      <c r="E80" s="27"/>
    </row>
    <row r="81" customFormat="false" ht="15" hidden="false" customHeight="false" outlineLevel="0" collapsed="false">
      <c r="B81" s="8" t="s">
        <v>114</v>
      </c>
      <c r="C81" s="41" t="n">
        <f aca="false">G60</f>
        <v>33981.417525078</v>
      </c>
    </row>
    <row r="82" customFormat="false" ht="15" hidden="false" customHeight="false" outlineLevel="0" collapsed="false">
      <c r="B82" s="8" t="s">
        <v>115</v>
      </c>
      <c r="C82" s="41" t="n">
        <f aca="false">G78</f>
        <v>128561.9332866</v>
      </c>
    </row>
    <row r="83" customFormat="false" ht="15" hidden="false" customHeight="false" outlineLevel="0" collapsed="false">
      <c r="B83" s="17" t="s">
        <v>48</v>
      </c>
      <c r="C83" s="42" t="n">
        <f aca="false">C82-C81</f>
        <v>94580.515761522</v>
      </c>
    </row>
  </sheetData>
  <mergeCells count="11">
    <mergeCell ref="A2:J2"/>
    <mergeCell ref="A3:J3"/>
    <mergeCell ref="A4:J4"/>
    <mergeCell ref="A8:J8"/>
    <mergeCell ref="B10:J10"/>
    <mergeCell ref="B22:J22"/>
    <mergeCell ref="B40:J40"/>
    <mergeCell ref="A50:J50"/>
    <mergeCell ref="A51:J51"/>
    <mergeCell ref="A62:J62"/>
    <mergeCell ref="A80:E8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172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50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51</v>
      </c>
      <c r="C6" s="8" t="s">
        <v>26</v>
      </c>
    </row>
    <row r="8" customFormat="false" ht="15" hidden="false" customHeight="false" outlineLevel="0" collapsed="false">
      <c r="A8" s="21" t="s">
        <v>173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53</v>
      </c>
      <c r="C9" s="23" t="s">
        <v>54</v>
      </c>
      <c r="D9" s="23" t="s">
        <v>55</v>
      </c>
      <c r="E9" s="23" t="s">
        <v>56</v>
      </c>
      <c r="F9" s="23" t="s">
        <v>57</v>
      </c>
      <c r="G9" s="23" t="s">
        <v>58</v>
      </c>
      <c r="H9" s="23" t="s">
        <v>59</v>
      </c>
    </row>
    <row r="10" customFormat="false" ht="15" hidden="false" customHeight="false" outlineLevel="0" collapsed="false">
      <c r="A10" s="5"/>
      <c r="B10" s="6" t="s">
        <v>118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119</v>
      </c>
      <c r="C11" s="16" t="n">
        <v>31452.73</v>
      </c>
      <c r="D11" s="16" t="n">
        <v>31452.73</v>
      </c>
    </row>
    <row r="12" customFormat="false" ht="15" hidden="false" customHeight="false" outlineLevel="0" collapsed="false">
      <c r="B12" s="8" t="s">
        <v>120</v>
      </c>
      <c r="C12" s="16" t="n">
        <v>8394.17</v>
      </c>
      <c r="D12" s="16" t="n">
        <v>8394.17</v>
      </c>
    </row>
    <row r="13" customFormat="false" ht="15" hidden="false" customHeight="false" outlineLevel="0" collapsed="false">
      <c r="B13" s="8" t="s">
        <v>121</v>
      </c>
      <c r="C13" s="16" t="n">
        <v>32815.89</v>
      </c>
      <c r="D13" s="16" t="n">
        <v>32815.89</v>
      </c>
    </row>
    <row r="14" customFormat="false" ht="15" hidden="false" customHeight="false" outlineLevel="0" collapsed="false">
      <c r="B14" s="8" t="s">
        <v>122</v>
      </c>
      <c r="C14" s="16" t="n">
        <v>2648.72</v>
      </c>
      <c r="D14" s="16" t="n">
        <v>2648.72</v>
      </c>
    </row>
    <row r="15" customFormat="false" ht="15" hidden="false" customHeight="false" outlineLevel="0" collapsed="false">
      <c r="B15" s="8" t="s">
        <v>123</v>
      </c>
      <c r="C15" s="16" t="n">
        <v>0.381</v>
      </c>
      <c r="D15" s="16" t="n">
        <v>0.381</v>
      </c>
    </row>
    <row r="16" customFormat="false" ht="15" hidden="false" customHeight="false" outlineLevel="0" collapsed="false">
      <c r="B16" s="8" t="s">
        <v>124</v>
      </c>
      <c r="C16" s="16" t="n">
        <v>5344.3</v>
      </c>
      <c r="D16" s="16" t="n">
        <v>5344.3</v>
      </c>
    </row>
    <row r="17" customFormat="false" ht="15" hidden="false" customHeight="false" outlineLevel="0" collapsed="false">
      <c r="B17" s="8" t="s">
        <v>125</v>
      </c>
      <c r="C17" s="16" t="n">
        <v>2858.97</v>
      </c>
      <c r="D17" s="16" t="n">
        <v>2858.97</v>
      </c>
    </row>
    <row r="18" customFormat="false" ht="15" hidden="false" customHeight="false" outlineLevel="0" collapsed="false">
      <c r="B18" s="8" t="s">
        <v>126</v>
      </c>
      <c r="C18" s="16" t="n">
        <v>9687.68</v>
      </c>
      <c r="D18" s="16" t="n">
        <v>9687.68</v>
      </c>
    </row>
    <row r="19" customFormat="false" ht="15" hidden="false" customHeight="false" outlineLevel="0" collapsed="false">
      <c r="B19" s="8" t="s">
        <v>127</v>
      </c>
      <c r="C19" s="16" t="n">
        <v>2139.23</v>
      </c>
      <c r="D19" s="16" t="n">
        <v>2139.23</v>
      </c>
    </row>
    <row r="20" customFormat="false" ht="15" hidden="false" customHeight="false" outlineLevel="0" collapsed="false">
      <c r="B20" s="8" t="s">
        <v>128</v>
      </c>
      <c r="C20" s="16" t="n">
        <v>605.69</v>
      </c>
      <c r="D20" s="16" t="n">
        <v>605.69</v>
      </c>
    </row>
    <row r="21" customFormat="false" ht="15" hidden="false" customHeight="false" outlineLevel="0" collapsed="false">
      <c r="B21" s="8" t="s">
        <v>129</v>
      </c>
      <c r="C21" s="16" t="n">
        <v>8326.94</v>
      </c>
      <c r="D21" s="16" t="n">
        <v>8326.94</v>
      </c>
    </row>
    <row r="22" customFormat="false" ht="15" hidden="false" customHeight="false" outlineLevel="0" collapsed="false">
      <c r="A22" s="5"/>
      <c r="B22" s="6" t="s">
        <v>130</v>
      </c>
      <c r="C22" s="6"/>
      <c r="D22" s="6"/>
      <c r="E22" s="6"/>
      <c r="F22" s="6"/>
      <c r="G22" s="6"/>
      <c r="H22" s="6"/>
      <c r="I22" s="6"/>
      <c r="J22" s="6"/>
    </row>
    <row r="23" customFormat="false" ht="15" hidden="false" customHeight="false" outlineLevel="0" collapsed="false">
      <c r="B23" s="8" t="s">
        <v>131</v>
      </c>
      <c r="C23" s="16" t="n">
        <v>22000</v>
      </c>
      <c r="G23" s="16" t="n">
        <v>22000</v>
      </c>
    </row>
    <row r="24" customFormat="false" ht="15" hidden="false" customHeight="false" outlineLevel="0" collapsed="false">
      <c r="B24" s="8" t="s">
        <v>132</v>
      </c>
      <c r="C24" s="16" t="n">
        <v>28000</v>
      </c>
      <c r="G24" s="16" t="n">
        <v>28000</v>
      </c>
    </row>
    <row r="25" customFormat="false" ht="15" hidden="false" customHeight="false" outlineLevel="0" collapsed="false">
      <c r="B25" s="8" t="s">
        <v>133</v>
      </c>
      <c r="C25" s="16" t="n">
        <v>29000</v>
      </c>
      <c r="G25" s="16" t="n">
        <v>29000</v>
      </c>
    </row>
    <row r="26" customFormat="false" ht="15" hidden="false" customHeight="false" outlineLevel="0" collapsed="false">
      <c r="B26" s="8" t="s">
        <v>134</v>
      </c>
      <c r="C26" s="16" t="n">
        <v>24000</v>
      </c>
      <c r="G26" s="16" t="n">
        <v>24000</v>
      </c>
    </row>
    <row r="27" customFormat="false" ht="15" hidden="false" customHeight="false" outlineLevel="0" collapsed="false">
      <c r="B27" s="8" t="s">
        <v>135</v>
      </c>
      <c r="C27" s="16" t="n">
        <v>2000</v>
      </c>
      <c r="G27" s="16" t="n">
        <v>2000</v>
      </c>
    </row>
    <row r="28" customFormat="false" ht="15" hidden="false" customHeight="false" outlineLevel="0" collapsed="false">
      <c r="B28" s="8" t="s">
        <v>136</v>
      </c>
      <c r="C28" s="16" t="n">
        <v>18000</v>
      </c>
      <c r="G28" s="16" t="n">
        <v>18000</v>
      </c>
    </row>
    <row r="29" customFormat="false" ht="15" hidden="false" customHeight="false" outlineLevel="0" collapsed="false">
      <c r="B29" s="8" t="s">
        <v>137</v>
      </c>
      <c r="C29" s="16" t="n">
        <v>16000</v>
      </c>
      <c r="G29" s="16" t="n">
        <v>16000</v>
      </c>
    </row>
    <row r="30" customFormat="false" ht="15" hidden="false" customHeight="false" outlineLevel="0" collapsed="false">
      <c r="B30" s="8" t="s">
        <v>138</v>
      </c>
      <c r="C30" s="16" t="n">
        <v>14000</v>
      </c>
      <c r="G30" s="16" t="n">
        <v>14000</v>
      </c>
    </row>
    <row r="31" customFormat="false" ht="15" hidden="false" customHeight="false" outlineLevel="0" collapsed="false">
      <c r="B31" s="8" t="s">
        <v>139</v>
      </c>
      <c r="C31" s="16" t="n">
        <v>13000</v>
      </c>
      <c r="G31" s="16" t="n">
        <v>13000</v>
      </c>
    </row>
    <row r="32" customFormat="false" ht="15" hidden="false" customHeight="false" outlineLevel="0" collapsed="false">
      <c r="B32" s="8" t="s">
        <v>140</v>
      </c>
      <c r="C32" s="16" t="n">
        <v>35000</v>
      </c>
      <c r="G32" s="16" t="n">
        <v>35000</v>
      </c>
    </row>
    <row r="33" customFormat="false" ht="15" hidden="false" customHeight="false" outlineLevel="0" collapsed="false">
      <c r="B33" s="8" t="s">
        <v>141</v>
      </c>
      <c r="C33" s="16" t="n">
        <v>15000</v>
      </c>
      <c r="G33" s="16" t="n">
        <v>15000</v>
      </c>
    </row>
    <row r="34" customFormat="false" ht="15" hidden="false" customHeight="false" outlineLevel="0" collapsed="false">
      <c r="B34" s="8" t="s">
        <v>142</v>
      </c>
      <c r="C34" s="16" t="n">
        <v>1200</v>
      </c>
      <c r="G34" s="16" t="n">
        <v>1200</v>
      </c>
    </row>
    <row r="35" customFormat="false" ht="15" hidden="false" customHeight="false" outlineLevel="0" collapsed="false">
      <c r="B35" s="8" t="s">
        <v>143</v>
      </c>
      <c r="C35" s="16" t="n">
        <v>38000</v>
      </c>
      <c r="G35" s="16" t="n">
        <v>38000</v>
      </c>
    </row>
    <row r="36" customFormat="false" ht="15" hidden="false" customHeight="false" outlineLevel="0" collapsed="false">
      <c r="B36" s="8" t="s">
        <v>144</v>
      </c>
      <c r="C36" s="16" t="n">
        <v>8000</v>
      </c>
      <c r="G36" s="16" t="n">
        <v>8000</v>
      </c>
    </row>
    <row r="37" customFormat="false" ht="15" hidden="false" customHeight="false" outlineLevel="0" collapsed="false">
      <c r="B37" s="8" t="s">
        <v>145</v>
      </c>
      <c r="C37" s="16" t="n">
        <v>3000</v>
      </c>
      <c r="G37" s="16" t="n">
        <v>3000</v>
      </c>
    </row>
    <row r="38" customFormat="false" ht="15" hidden="false" customHeight="false" outlineLevel="0" collapsed="false">
      <c r="A38" s="24"/>
      <c r="B38" s="25" t="s">
        <v>69</v>
      </c>
      <c r="C38" s="26" t="n">
        <f aca="false">SUM(C10:C37)</f>
        <v>370474.701</v>
      </c>
      <c r="D38" s="26" t="n">
        <f aca="false">SUM(D10:D37)</f>
        <v>104274.701</v>
      </c>
      <c r="E38" s="26" t="n">
        <f aca="false">SUM(E10:E37)</f>
        <v>0</v>
      </c>
      <c r="F38" s="26" t="n">
        <f aca="false">SUM(F10:F37)</f>
        <v>0</v>
      </c>
      <c r="G38" s="26" t="n">
        <f aca="false">SUM(G10:G37)</f>
        <v>266200</v>
      </c>
      <c r="H38" s="24"/>
    </row>
    <row r="40" customFormat="false" ht="15" hidden="false" customHeight="false" outlineLevel="0" collapsed="false">
      <c r="A40" s="5"/>
      <c r="B40" s="6" t="s">
        <v>70</v>
      </c>
      <c r="C40" s="6"/>
      <c r="D40" s="6"/>
      <c r="E40" s="6"/>
      <c r="F40" s="6"/>
      <c r="G40" s="6"/>
      <c r="H40" s="6"/>
      <c r="I40" s="6"/>
      <c r="J40" s="6"/>
    </row>
    <row r="41" customFormat="false" ht="15" hidden="false" customHeight="false" outlineLevel="0" collapsed="false">
      <c r="B41" s="8" t="s">
        <v>71</v>
      </c>
      <c r="C41" s="16" t="n">
        <v>64155.3283</v>
      </c>
      <c r="D41" s="16" t="n">
        <v>16849.50652</v>
      </c>
      <c r="G41" s="16" t="n">
        <v>47305.82178</v>
      </c>
    </row>
    <row r="42" customFormat="false" ht="15" hidden="false" customHeight="false" outlineLevel="0" collapsed="false">
      <c r="B42" s="8" t="s">
        <v>146</v>
      </c>
      <c r="C42" s="16" t="n">
        <v>34428.69792</v>
      </c>
      <c r="D42" s="16" t="n">
        <v>9042.219648</v>
      </c>
      <c r="G42" s="16" t="n">
        <v>25386.478272</v>
      </c>
    </row>
    <row r="43" customFormat="false" ht="15" hidden="false" customHeight="false" outlineLevel="0" collapsed="false">
      <c r="B43" s="8" t="s">
        <v>147</v>
      </c>
      <c r="C43" s="16" t="n">
        <v>231517.0543</v>
      </c>
      <c r="D43" s="16" t="n">
        <v>60804.74092</v>
      </c>
      <c r="G43" s="16" t="n">
        <v>170712.31338</v>
      </c>
    </row>
    <row r="44" customFormat="false" ht="15" hidden="false" customHeight="false" outlineLevel="0" collapsed="false">
      <c r="B44" s="8" t="s">
        <v>148</v>
      </c>
      <c r="C44" s="16" t="n">
        <v>1617.830018</v>
      </c>
      <c r="D44" s="16" t="n">
        <v>424.9005992</v>
      </c>
      <c r="G44" s="16" t="n">
        <v>1192.9294188</v>
      </c>
    </row>
    <row r="45" customFormat="false" ht="15" hidden="false" customHeight="false" outlineLevel="0" collapsed="false">
      <c r="B45" s="8" t="s">
        <v>75</v>
      </c>
      <c r="C45" s="16" t="n">
        <v>8806.41463</v>
      </c>
      <c r="D45" s="16" t="n">
        <v>2312.882572</v>
      </c>
      <c r="G45" s="16" t="n">
        <v>6493.532058</v>
      </c>
    </row>
    <row r="46" customFormat="false" ht="15" hidden="false" customHeight="false" outlineLevel="0" collapsed="false">
      <c r="B46" s="8" t="s">
        <v>149</v>
      </c>
      <c r="C46" s="16" t="n">
        <v>7571.1257</v>
      </c>
      <c r="D46" s="16" t="n">
        <v>1988.45108</v>
      </c>
      <c r="G46" s="16" t="n">
        <v>5582.67462</v>
      </c>
    </row>
    <row r="47" customFormat="false" ht="15" hidden="false" customHeight="false" outlineLevel="0" collapsed="false">
      <c r="B47" s="8" t="s">
        <v>150</v>
      </c>
      <c r="C47" s="16" t="n">
        <v>50606.9981</v>
      </c>
      <c r="D47" s="16" t="n">
        <v>13291.22564</v>
      </c>
      <c r="G47" s="16" t="n">
        <v>37315.77246</v>
      </c>
    </row>
    <row r="48" customFormat="false" ht="15" hidden="false" customHeight="false" outlineLevel="0" collapsed="false">
      <c r="A48" s="24"/>
      <c r="B48" s="25" t="s">
        <v>78</v>
      </c>
      <c r="C48" s="26" t="n">
        <f aca="false">SUM(C41:C47)</f>
        <v>398703.448968</v>
      </c>
      <c r="D48" s="26" t="n">
        <f aca="false">SUM(D41:D47)</f>
        <v>104713.9269792</v>
      </c>
      <c r="E48" s="24"/>
      <c r="F48" s="26" t="n">
        <f aca="false">SUM(F41:F47)</f>
        <v>0</v>
      </c>
      <c r="G48" s="26" t="n">
        <f aca="false">SUM(G41:G47)</f>
        <v>293989.5219888</v>
      </c>
      <c r="H48" s="24"/>
    </row>
    <row r="50" customFormat="false" ht="15" hidden="false" customHeight="false" outlineLevel="0" collapsed="false">
      <c r="A50" s="27" t="s">
        <v>79</v>
      </c>
      <c r="B50" s="27"/>
      <c r="C50" s="27"/>
      <c r="D50" s="27"/>
      <c r="E50" s="27"/>
      <c r="F50" s="27"/>
      <c r="G50" s="27"/>
      <c r="H50" s="27"/>
      <c r="I50" s="27"/>
      <c r="J50" s="27"/>
    </row>
    <row r="51" customFormat="false" ht="15" hidden="false" customHeight="false" outlineLevel="0" collapsed="false">
      <c r="A51" s="28" t="s">
        <v>46</v>
      </c>
      <c r="B51" s="28"/>
      <c r="C51" s="28"/>
      <c r="D51" s="28"/>
      <c r="E51" s="28"/>
      <c r="F51" s="28"/>
      <c r="G51" s="28"/>
      <c r="H51" s="28"/>
      <c r="I51" s="28"/>
      <c r="J51" s="28"/>
    </row>
    <row r="52" customFormat="false" ht="15" hidden="false" customHeight="false" outlineLevel="0" collapsed="false">
      <c r="A52" s="29"/>
      <c r="B52" s="29" t="s">
        <v>80</v>
      </c>
      <c r="C52" s="30" t="s">
        <v>81</v>
      </c>
      <c r="D52" s="30" t="s">
        <v>82</v>
      </c>
      <c r="E52" s="30" t="s">
        <v>83</v>
      </c>
      <c r="F52" s="30" t="s">
        <v>84</v>
      </c>
      <c r="G52" s="30" t="s">
        <v>85</v>
      </c>
      <c r="H52" s="30" t="s">
        <v>86</v>
      </c>
      <c r="I52" s="30" t="s">
        <v>87</v>
      </c>
      <c r="J52" s="30" t="s">
        <v>88</v>
      </c>
    </row>
    <row r="53" customFormat="false" ht="15" hidden="false" customHeight="false" outlineLevel="0" collapsed="false">
      <c r="B53" s="31" t="s">
        <v>174</v>
      </c>
      <c r="C53" s="32" t="n">
        <v>64155.3283</v>
      </c>
      <c r="D53" s="32" t="n">
        <v>0</v>
      </c>
      <c r="E53" s="32" t="n">
        <v>3943.7316</v>
      </c>
      <c r="F53" s="32" t="n">
        <v>1314.5772</v>
      </c>
      <c r="G53" s="32" t="n">
        <v>5258.3088</v>
      </c>
      <c r="H53" s="32" t="n">
        <v>54532.029055</v>
      </c>
      <c r="I53" s="33" t="s">
        <v>90</v>
      </c>
      <c r="J53" s="34" t="n">
        <v>30</v>
      </c>
    </row>
    <row r="54" customFormat="false" ht="15" hidden="false" customHeight="false" outlineLevel="0" collapsed="false">
      <c r="B54" s="35" t="s">
        <v>175</v>
      </c>
      <c r="C54" s="36" t="n">
        <v>34428.69792</v>
      </c>
      <c r="D54" s="36" t="n">
        <v>0</v>
      </c>
      <c r="E54" s="36" t="n">
        <v>2136.18795</v>
      </c>
      <c r="F54" s="36" t="n">
        <v>723.01746</v>
      </c>
      <c r="G54" s="36" t="n">
        <v>2859.20541</v>
      </c>
      <c r="H54" s="36" t="n">
        <v>30297.2541696</v>
      </c>
      <c r="I54" s="37" t="s">
        <v>90</v>
      </c>
      <c r="J54" s="38" t="n">
        <v>30</v>
      </c>
    </row>
    <row r="55" customFormat="false" ht="15" hidden="false" customHeight="false" outlineLevel="0" collapsed="false">
      <c r="B55" s="31" t="s">
        <v>176</v>
      </c>
      <c r="C55" s="32" t="n">
        <v>231517.0543</v>
      </c>
      <c r="D55" s="32" t="n">
        <v>0</v>
      </c>
      <c r="E55" s="32" t="n">
        <v>14460.3492</v>
      </c>
      <c r="F55" s="32" t="n">
        <v>4929.6645</v>
      </c>
      <c r="G55" s="32" t="n">
        <v>19390.0137</v>
      </c>
      <c r="H55" s="32" t="n">
        <v>208365.34887</v>
      </c>
      <c r="I55" s="33" t="s">
        <v>90</v>
      </c>
      <c r="J55" s="34" t="n">
        <v>30</v>
      </c>
    </row>
    <row r="56" customFormat="false" ht="15" hidden="false" customHeight="false" outlineLevel="0" collapsed="false">
      <c r="B56" s="35" t="s">
        <v>177</v>
      </c>
      <c r="C56" s="36" t="n">
        <v>1617.830018</v>
      </c>
      <c r="D56" s="36" t="n">
        <v>0</v>
      </c>
      <c r="E56" s="36" t="n">
        <v>98.59329</v>
      </c>
      <c r="F56" s="36" t="n">
        <v>32.86443</v>
      </c>
      <c r="G56" s="36" t="n">
        <v>131.45772</v>
      </c>
      <c r="H56" s="36" t="n">
        <v>1423.69041584</v>
      </c>
      <c r="I56" s="37" t="s">
        <v>90</v>
      </c>
      <c r="J56" s="38" t="n">
        <v>30</v>
      </c>
    </row>
    <row r="57" customFormat="false" ht="15" hidden="false" customHeight="false" outlineLevel="0" collapsed="false">
      <c r="B57" s="31" t="s">
        <v>178</v>
      </c>
      <c r="C57" s="32" t="n">
        <v>8806.41463</v>
      </c>
      <c r="D57" s="32" t="n">
        <v>2254.44214528</v>
      </c>
      <c r="E57" s="32" t="n">
        <v>2254.44214528</v>
      </c>
      <c r="F57" s="32" t="n">
        <v>678.09392651</v>
      </c>
      <c r="G57" s="32" t="n">
        <v>2932.53607179</v>
      </c>
      <c r="H57" s="32" t="n">
        <v>5873.87855821</v>
      </c>
      <c r="I57" s="33" t="s">
        <v>95</v>
      </c>
      <c r="J57" s="34" t="n">
        <v>15</v>
      </c>
    </row>
    <row r="58" customFormat="false" ht="15" hidden="false" customHeight="false" outlineLevel="0" collapsed="false">
      <c r="B58" s="35" t="s">
        <v>179</v>
      </c>
      <c r="C58" s="36" t="n">
        <v>7571.1257</v>
      </c>
      <c r="D58" s="36" t="n">
        <v>0</v>
      </c>
      <c r="E58" s="36" t="n">
        <v>0</v>
      </c>
      <c r="F58" s="36" t="n">
        <v>0</v>
      </c>
      <c r="G58" s="36" t="n">
        <v>0</v>
      </c>
      <c r="H58" s="36" t="n">
        <v>7571.1257</v>
      </c>
      <c r="I58" s="37" t="s">
        <v>97</v>
      </c>
      <c r="J58" s="38" t="n">
        <v>5</v>
      </c>
    </row>
    <row r="59" customFormat="false" ht="15" hidden="false" customHeight="false" outlineLevel="0" collapsed="false">
      <c r="B59" s="31" t="s">
        <v>180</v>
      </c>
      <c r="C59" s="32" t="n">
        <v>50606.9981</v>
      </c>
      <c r="D59" s="32" t="n">
        <v>0</v>
      </c>
      <c r="E59" s="32" t="n">
        <v>1314.5772</v>
      </c>
      <c r="F59" s="32" t="n">
        <v>2103.32352</v>
      </c>
      <c r="G59" s="32" t="n">
        <v>3417.90072</v>
      </c>
      <c r="H59" s="32" t="n">
        <v>45040.228309</v>
      </c>
      <c r="I59" s="33" t="s">
        <v>97</v>
      </c>
      <c r="J59" s="34" t="n">
        <v>5</v>
      </c>
    </row>
    <row r="60" customFormat="false" ht="15" hidden="false" customHeight="false" outlineLevel="0" collapsed="false">
      <c r="A60" s="10"/>
      <c r="B60" s="11" t="s">
        <v>24</v>
      </c>
      <c r="C60" s="39" t="n">
        <f aca="false">SUM(C53:C59)</f>
        <v>398703.448968</v>
      </c>
      <c r="D60" s="39" t="n">
        <f aca="false">SUM(D53:D59)</f>
        <v>2254.44214528</v>
      </c>
      <c r="E60" s="39" t="n">
        <f aca="false">SUM(E53:E59)</f>
        <v>24207.88138528</v>
      </c>
      <c r="F60" s="39" t="n">
        <f aca="false">SUM(F53:F59)</f>
        <v>9781.54103651</v>
      </c>
      <c r="G60" s="39" t="n">
        <f aca="false">SUM(G53:G59)</f>
        <v>33989.42242179</v>
      </c>
      <c r="H60" s="39" t="n">
        <f aca="false">SUM(H53:H59)</f>
        <v>353103.55507765</v>
      </c>
      <c r="I60" s="10"/>
      <c r="J60" s="10"/>
    </row>
    <row r="62" customFormat="false" ht="15" hidden="false" customHeight="false" outlineLevel="0" collapsed="false">
      <c r="A62" s="40" t="s">
        <v>99</v>
      </c>
      <c r="B62" s="40"/>
      <c r="C62" s="40"/>
      <c r="D62" s="40"/>
      <c r="E62" s="40"/>
      <c r="F62" s="40"/>
      <c r="G62" s="40"/>
      <c r="H62" s="40"/>
      <c r="I62" s="40"/>
      <c r="J62" s="40"/>
    </row>
    <row r="63" customFormat="false" ht="15" hidden="false" customHeight="false" outlineLevel="0" collapsed="false">
      <c r="A63" s="29"/>
      <c r="B63" s="29" t="s">
        <v>80</v>
      </c>
      <c r="C63" s="30" t="s">
        <v>81</v>
      </c>
      <c r="D63" s="30" t="s">
        <v>82</v>
      </c>
      <c r="E63" s="30" t="s">
        <v>83</v>
      </c>
      <c r="F63" s="30" t="s">
        <v>84</v>
      </c>
      <c r="G63" s="30" t="s">
        <v>85</v>
      </c>
      <c r="H63" s="30" t="s">
        <v>86</v>
      </c>
      <c r="I63" s="30" t="s">
        <v>87</v>
      </c>
      <c r="J63" s="30" t="s">
        <v>88</v>
      </c>
    </row>
    <row r="64" customFormat="false" ht="15" hidden="false" customHeight="false" outlineLevel="0" collapsed="false">
      <c r="B64" s="31" t="s">
        <v>181</v>
      </c>
      <c r="C64" s="32" t="n">
        <v>16736.1726</v>
      </c>
      <c r="D64" s="32" t="n">
        <v>16736.1726</v>
      </c>
      <c r="E64" s="32" t="n">
        <v>16736.1726</v>
      </c>
      <c r="F64" s="32" t="n">
        <v>0</v>
      </c>
      <c r="G64" s="32" t="n">
        <v>16736.1726</v>
      </c>
      <c r="H64" s="32" t="n">
        <v>0</v>
      </c>
      <c r="I64" s="33" t="s">
        <v>97</v>
      </c>
      <c r="J64" s="34" t="n">
        <v>5</v>
      </c>
    </row>
    <row r="65" customFormat="false" ht="15" hidden="false" customHeight="false" outlineLevel="0" collapsed="false">
      <c r="B65" s="35" t="s">
        <v>182</v>
      </c>
      <c r="C65" s="36" t="n">
        <v>47419.1557</v>
      </c>
      <c r="D65" s="36" t="n">
        <v>0</v>
      </c>
      <c r="E65" s="36" t="n">
        <v>8987.04971</v>
      </c>
      <c r="F65" s="36" t="n">
        <v>1600.43351</v>
      </c>
      <c r="G65" s="36" t="n">
        <v>10587.48322</v>
      </c>
      <c r="H65" s="36" t="n">
        <v>38883.707674</v>
      </c>
      <c r="I65" s="37" t="s">
        <v>90</v>
      </c>
      <c r="J65" s="38" t="n">
        <v>30</v>
      </c>
    </row>
    <row r="66" customFormat="false" ht="15" hidden="false" customHeight="false" outlineLevel="0" collapsed="false">
      <c r="B66" s="31" t="s">
        <v>183</v>
      </c>
      <c r="C66" s="32" t="n">
        <v>9045.50281</v>
      </c>
      <c r="D66" s="32" t="n">
        <v>9045.50281</v>
      </c>
      <c r="E66" s="32" t="n">
        <v>9045.50281</v>
      </c>
      <c r="F66" s="32" t="n">
        <v>0</v>
      </c>
      <c r="G66" s="32" t="n">
        <v>9045.50281</v>
      </c>
      <c r="H66" s="32" t="n">
        <v>0</v>
      </c>
      <c r="I66" s="33" t="s">
        <v>97</v>
      </c>
      <c r="J66" s="34" t="n">
        <v>5</v>
      </c>
    </row>
    <row r="67" customFormat="false" ht="15" hidden="false" customHeight="false" outlineLevel="0" collapsed="false">
      <c r="B67" s="35" t="s">
        <v>184</v>
      </c>
      <c r="C67" s="36" t="n">
        <v>25383.19511</v>
      </c>
      <c r="D67" s="36" t="n">
        <v>0</v>
      </c>
      <c r="E67" s="36" t="n">
        <v>4801.30053</v>
      </c>
      <c r="F67" s="36" t="n">
        <v>849.460863</v>
      </c>
      <c r="G67" s="36" t="n">
        <v>5663.07242</v>
      </c>
      <c r="H67" s="36" t="n">
        <v>23606.3714523</v>
      </c>
      <c r="I67" s="37" t="s">
        <v>90</v>
      </c>
      <c r="J67" s="38" t="n">
        <v>30</v>
      </c>
    </row>
    <row r="68" customFormat="false" ht="15" hidden="false" customHeight="false" outlineLevel="0" collapsed="false">
      <c r="B68" s="31" t="s">
        <v>185</v>
      </c>
      <c r="C68" s="32" t="n">
        <v>60569.0056</v>
      </c>
      <c r="D68" s="32" t="n">
        <v>48614.5966</v>
      </c>
      <c r="E68" s="32" t="n">
        <v>50967.65178</v>
      </c>
      <c r="F68" s="32" t="n">
        <v>3939.52864</v>
      </c>
      <c r="G68" s="32" t="n">
        <v>54907.18042</v>
      </c>
      <c r="H68" s="32" t="n">
        <v>2907.3122688</v>
      </c>
      <c r="I68" s="33" t="s">
        <v>97</v>
      </c>
      <c r="J68" s="34" t="n">
        <v>5</v>
      </c>
    </row>
    <row r="69" customFormat="false" ht="15" hidden="false" customHeight="false" outlineLevel="0" collapsed="false">
      <c r="B69" s="35" t="s">
        <v>186</v>
      </c>
      <c r="C69" s="36" t="n">
        <v>169752.6078</v>
      </c>
      <c r="D69" s="36" t="n">
        <v>0</v>
      </c>
      <c r="E69" s="36" t="n">
        <v>4062.63891</v>
      </c>
      <c r="F69" s="36" t="n">
        <v>5663.07242</v>
      </c>
      <c r="G69" s="36" t="n">
        <v>9725.71133</v>
      </c>
      <c r="H69" s="36" t="n">
        <v>164660.029566</v>
      </c>
      <c r="I69" s="37" t="s">
        <v>90</v>
      </c>
      <c r="J69" s="38" t="n">
        <v>30</v>
      </c>
    </row>
    <row r="70" customFormat="false" ht="15" hidden="false" customHeight="false" outlineLevel="0" collapsed="false">
      <c r="B70" s="31" t="s">
        <v>187</v>
      </c>
      <c r="C70" s="32" t="n">
        <v>422.389118</v>
      </c>
      <c r="D70" s="32" t="n">
        <v>422.389118</v>
      </c>
      <c r="E70" s="32" t="n">
        <v>422.389118</v>
      </c>
      <c r="F70" s="32" t="n">
        <v>0</v>
      </c>
      <c r="G70" s="32" t="n">
        <v>422.389118</v>
      </c>
      <c r="H70" s="32" t="n">
        <v>0</v>
      </c>
      <c r="I70" s="33" t="s">
        <v>97</v>
      </c>
      <c r="J70" s="34" t="n">
        <v>5</v>
      </c>
    </row>
    <row r="71" customFormat="false" ht="15" hidden="false" customHeight="false" outlineLevel="0" collapsed="false">
      <c r="B71" s="35" t="s">
        <v>188</v>
      </c>
      <c r="C71" s="36" t="n">
        <v>1195.4409</v>
      </c>
      <c r="D71" s="36" t="n">
        <v>0</v>
      </c>
      <c r="E71" s="36" t="n">
        <v>123.11027</v>
      </c>
      <c r="F71" s="36" t="n">
        <v>36.933081</v>
      </c>
      <c r="G71" s="36" t="n">
        <v>160.043351</v>
      </c>
      <c r="H71" s="36" t="n">
        <v>1159.577673</v>
      </c>
      <c r="I71" s="37" t="s">
        <v>90</v>
      </c>
      <c r="J71" s="38" t="n">
        <v>30</v>
      </c>
    </row>
    <row r="72" customFormat="false" ht="15" hidden="false" customHeight="false" outlineLevel="0" collapsed="false">
      <c r="B72" s="31" t="s">
        <v>189</v>
      </c>
      <c r="C72" s="32" t="n">
        <v>2311.18574</v>
      </c>
      <c r="D72" s="32" t="n">
        <v>2311.18574</v>
      </c>
      <c r="E72" s="32" t="n">
        <v>2311.18574</v>
      </c>
      <c r="F72" s="32" t="n">
        <v>0</v>
      </c>
      <c r="G72" s="32" t="n">
        <v>2311.18574</v>
      </c>
      <c r="H72" s="32" t="n">
        <v>0</v>
      </c>
      <c r="I72" s="33" t="s">
        <v>97</v>
      </c>
      <c r="J72" s="34" t="n">
        <v>5</v>
      </c>
    </row>
    <row r="73" customFormat="false" ht="15" hidden="false" customHeight="false" outlineLevel="0" collapsed="false">
      <c r="B73" s="35" t="s">
        <v>190</v>
      </c>
      <c r="C73" s="36" t="n">
        <v>6495.22889</v>
      </c>
      <c r="D73" s="36" t="n">
        <v>0</v>
      </c>
      <c r="E73" s="36" t="n">
        <v>1169.547565</v>
      </c>
      <c r="F73" s="36" t="n">
        <v>216.6740752</v>
      </c>
      <c r="G73" s="36" t="n">
        <v>1391.146051</v>
      </c>
      <c r="H73" s="36" t="n">
        <v>6040.5628677</v>
      </c>
      <c r="I73" s="37" t="s">
        <v>90</v>
      </c>
      <c r="J73" s="38" t="n">
        <v>30</v>
      </c>
    </row>
    <row r="74" customFormat="false" ht="15" hidden="false" customHeight="false" outlineLevel="0" collapsed="false">
      <c r="B74" s="31" t="s">
        <v>191</v>
      </c>
      <c r="C74" s="32" t="n">
        <v>1992.4015</v>
      </c>
      <c r="D74" s="32" t="n">
        <v>1992.4015</v>
      </c>
      <c r="E74" s="32" t="n">
        <v>1992.4015</v>
      </c>
      <c r="F74" s="32" t="n">
        <v>0</v>
      </c>
      <c r="G74" s="32" t="n">
        <v>1992.4015</v>
      </c>
      <c r="H74" s="32" t="n">
        <v>0</v>
      </c>
      <c r="I74" s="33" t="s">
        <v>97</v>
      </c>
      <c r="J74" s="34" t="n">
        <v>5</v>
      </c>
    </row>
    <row r="75" customFormat="false" ht="15" hidden="false" customHeight="false" outlineLevel="0" collapsed="false">
      <c r="B75" s="35" t="s">
        <v>192</v>
      </c>
      <c r="C75" s="36" t="n">
        <v>5578.7242</v>
      </c>
      <c r="D75" s="36" t="n">
        <v>0</v>
      </c>
      <c r="E75" s="36" t="n">
        <v>196.976432</v>
      </c>
      <c r="F75" s="36" t="n">
        <v>184.665405</v>
      </c>
      <c r="G75" s="36" t="n">
        <v>381.641837</v>
      </c>
      <c r="H75" s="36" t="n">
        <v>5467.149716</v>
      </c>
      <c r="I75" s="37" t="s">
        <v>90</v>
      </c>
      <c r="J75" s="38" t="n">
        <v>30</v>
      </c>
    </row>
    <row r="76" customFormat="false" ht="15" hidden="false" customHeight="false" outlineLevel="0" collapsed="false">
      <c r="B76" s="31" t="s">
        <v>193</v>
      </c>
      <c r="C76" s="32" t="n">
        <v>13349.09005</v>
      </c>
      <c r="D76" s="32" t="n">
        <v>10679.27204</v>
      </c>
      <c r="E76" s="32" t="n">
        <v>11966.318244</v>
      </c>
      <c r="F76" s="32" t="n">
        <v>911.015998</v>
      </c>
      <c r="G76" s="32" t="n">
        <v>12877.334242</v>
      </c>
      <c r="H76" s="32" t="n">
        <v>146.83999055</v>
      </c>
      <c r="I76" s="33" t="s">
        <v>97</v>
      </c>
      <c r="J76" s="34" t="n">
        <v>5</v>
      </c>
    </row>
    <row r="77" customFormat="false" ht="15" hidden="false" customHeight="false" outlineLevel="0" collapsed="false">
      <c r="B77" s="35" t="s">
        <v>194</v>
      </c>
      <c r="C77" s="36" t="n">
        <v>37257.90805</v>
      </c>
      <c r="D77" s="36" t="n">
        <v>0</v>
      </c>
      <c r="E77" s="36" t="n">
        <v>1009.504214</v>
      </c>
      <c r="F77" s="36" t="n">
        <v>1428.079132</v>
      </c>
      <c r="G77" s="36" t="n">
        <v>2437.583346</v>
      </c>
      <c r="H77" s="36" t="n">
        <v>36512.749889</v>
      </c>
      <c r="I77" s="37" t="s">
        <v>90</v>
      </c>
      <c r="J77" s="38" t="n">
        <v>30</v>
      </c>
    </row>
    <row r="78" customFormat="false" ht="15" hidden="false" customHeight="false" outlineLevel="0" collapsed="false">
      <c r="A78" s="10"/>
      <c r="B78" s="11" t="s">
        <v>24</v>
      </c>
      <c r="C78" s="39" t="n">
        <f aca="false">SUM(C64:C77)</f>
        <v>397508.008068</v>
      </c>
      <c r="D78" s="39" t="n">
        <f aca="false">SUM(D64:D77)</f>
        <v>89801.520408</v>
      </c>
      <c r="E78" s="39" t="n">
        <f aca="false">SUM(E64:E77)</f>
        <v>113791.749423</v>
      </c>
      <c r="F78" s="39" t="n">
        <f aca="false">SUM(F64:F77)</f>
        <v>14829.8631242</v>
      </c>
      <c r="G78" s="39" t="n">
        <f aca="false">SUM(G64:G77)</f>
        <v>128638.847985</v>
      </c>
      <c r="H78" s="39" t="n">
        <f aca="false">SUM(H64:H77)</f>
        <v>279384.30109735</v>
      </c>
      <c r="I78" s="10"/>
      <c r="J78" s="10"/>
    </row>
    <row r="80" customFormat="false" ht="15" hidden="false" customHeight="false" outlineLevel="0" collapsed="false">
      <c r="A80" s="27" t="s">
        <v>48</v>
      </c>
      <c r="B80" s="27"/>
      <c r="C80" s="27"/>
      <c r="D80" s="27"/>
      <c r="E80" s="27"/>
    </row>
    <row r="81" customFormat="false" ht="15" hidden="false" customHeight="false" outlineLevel="0" collapsed="false">
      <c r="B81" s="8" t="s">
        <v>114</v>
      </c>
      <c r="C81" s="41" t="n">
        <f aca="false">G60</f>
        <v>33989.42242179</v>
      </c>
    </row>
    <row r="82" customFormat="false" ht="15" hidden="false" customHeight="false" outlineLevel="0" collapsed="false">
      <c r="B82" s="8" t="s">
        <v>115</v>
      </c>
      <c r="C82" s="41" t="n">
        <f aca="false">G78</f>
        <v>128638.847985</v>
      </c>
    </row>
    <row r="83" customFormat="false" ht="15" hidden="false" customHeight="false" outlineLevel="0" collapsed="false">
      <c r="B83" s="17" t="s">
        <v>48</v>
      </c>
      <c r="C83" s="42" t="n">
        <f aca="false">C82-C81</f>
        <v>94649.42556321</v>
      </c>
    </row>
  </sheetData>
  <mergeCells count="11">
    <mergeCell ref="A2:J2"/>
    <mergeCell ref="A3:J3"/>
    <mergeCell ref="A4:J4"/>
    <mergeCell ref="A8:J8"/>
    <mergeCell ref="B10:J10"/>
    <mergeCell ref="B22:J22"/>
    <mergeCell ref="B40:J40"/>
    <mergeCell ref="A50:J50"/>
    <mergeCell ref="A51:J51"/>
    <mergeCell ref="A62:J62"/>
    <mergeCell ref="A80:E8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195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50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51</v>
      </c>
      <c r="C6" s="8" t="s">
        <v>26</v>
      </c>
    </row>
    <row r="8" customFormat="false" ht="15" hidden="false" customHeight="false" outlineLevel="0" collapsed="false">
      <c r="A8" s="21" t="s">
        <v>196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53</v>
      </c>
      <c r="C9" s="23" t="s">
        <v>54</v>
      </c>
      <c r="D9" s="23" t="s">
        <v>55</v>
      </c>
      <c r="E9" s="23" t="s">
        <v>56</v>
      </c>
      <c r="F9" s="23" t="s">
        <v>57</v>
      </c>
      <c r="G9" s="23" t="s">
        <v>58</v>
      </c>
      <c r="H9" s="23" t="s">
        <v>59</v>
      </c>
    </row>
    <row r="10" customFormat="false" ht="15" hidden="false" customHeight="false" outlineLevel="0" collapsed="false">
      <c r="A10" s="5"/>
      <c r="B10" s="6" t="s">
        <v>118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119</v>
      </c>
      <c r="C11" s="16" t="n">
        <v>31452.73</v>
      </c>
      <c r="D11" s="16" t="n">
        <v>31452.73</v>
      </c>
    </row>
    <row r="12" customFormat="false" ht="15" hidden="false" customHeight="false" outlineLevel="0" collapsed="false">
      <c r="B12" s="8" t="s">
        <v>120</v>
      </c>
      <c r="C12" s="16" t="n">
        <v>8394.17</v>
      </c>
      <c r="D12" s="16" t="n">
        <v>8394.17</v>
      </c>
    </row>
    <row r="13" customFormat="false" ht="15" hidden="false" customHeight="false" outlineLevel="0" collapsed="false">
      <c r="B13" s="8" t="s">
        <v>121</v>
      </c>
      <c r="C13" s="16" t="n">
        <v>32815.89</v>
      </c>
      <c r="D13" s="16" t="n">
        <v>32815.89</v>
      </c>
    </row>
    <row r="14" customFormat="false" ht="15" hidden="false" customHeight="false" outlineLevel="0" collapsed="false">
      <c r="B14" s="8" t="s">
        <v>122</v>
      </c>
      <c r="C14" s="16" t="n">
        <v>2648.72</v>
      </c>
      <c r="D14" s="16" t="n">
        <v>2648.72</v>
      </c>
    </row>
    <row r="15" customFormat="false" ht="15" hidden="false" customHeight="false" outlineLevel="0" collapsed="false">
      <c r="B15" s="8" t="s">
        <v>123</v>
      </c>
      <c r="C15" s="16" t="n">
        <v>0.394</v>
      </c>
      <c r="D15" s="16" t="n">
        <v>0.394</v>
      </c>
    </row>
    <row r="16" customFormat="false" ht="15" hidden="false" customHeight="false" outlineLevel="0" collapsed="false">
      <c r="B16" s="8" t="s">
        <v>124</v>
      </c>
      <c r="C16" s="16" t="n">
        <v>5344.3</v>
      </c>
      <c r="D16" s="16" t="n">
        <v>5344.3</v>
      </c>
    </row>
    <row r="17" customFormat="false" ht="15" hidden="false" customHeight="false" outlineLevel="0" collapsed="false">
      <c r="B17" s="8" t="s">
        <v>125</v>
      </c>
      <c r="C17" s="16" t="n">
        <v>2858.97</v>
      </c>
      <c r="D17" s="16" t="n">
        <v>2858.97</v>
      </c>
    </row>
    <row r="18" customFormat="false" ht="15" hidden="false" customHeight="false" outlineLevel="0" collapsed="false">
      <c r="B18" s="8" t="s">
        <v>126</v>
      </c>
      <c r="C18" s="16" t="n">
        <v>9687.68</v>
      </c>
      <c r="D18" s="16" t="n">
        <v>9687.68</v>
      </c>
    </row>
    <row r="19" customFormat="false" ht="15" hidden="false" customHeight="false" outlineLevel="0" collapsed="false">
      <c r="B19" s="8" t="s">
        <v>127</v>
      </c>
      <c r="C19" s="16" t="n">
        <v>2139.23</v>
      </c>
      <c r="D19" s="16" t="n">
        <v>2139.23</v>
      </c>
    </row>
    <row r="20" customFormat="false" ht="15" hidden="false" customHeight="false" outlineLevel="0" collapsed="false">
      <c r="B20" s="8" t="s">
        <v>128</v>
      </c>
      <c r="C20" s="16" t="n">
        <v>605.69</v>
      </c>
      <c r="D20" s="16" t="n">
        <v>605.69</v>
      </c>
    </row>
    <row r="21" customFormat="false" ht="15" hidden="false" customHeight="false" outlineLevel="0" collapsed="false">
      <c r="B21" s="8" t="s">
        <v>129</v>
      </c>
      <c r="C21" s="16" t="n">
        <v>8326.94</v>
      </c>
      <c r="D21" s="16" t="n">
        <v>8326.94</v>
      </c>
    </row>
    <row r="22" customFormat="false" ht="15" hidden="false" customHeight="false" outlineLevel="0" collapsed="false">
      <c r="A22" s="5"/>
      <c r="B22" s="6" t="s">
        <v>130</v>
      </c>
      <c r="C22" s="6"/>
      <c r="D22" s="6"/>
      <c r="E22" s="6"/>
      <c r="F22" s="6"/>
      <c r="G22" s="6"/>
      <c r="H22" s="6"/>
      <c r="I22" s="6"/>
      <c r="J22" s="6"/>
    </row>
    <row r="23" customFormat="false" ht="15" hidden="false" customHeight="false" outlineLevel="0" collapsed="false">
      <c r="B23" s="8" t="s">
        <v>131</v>
      </c>
      <c r="C23" s="16" t="n">
        <v>22000</v>
      </c>
      <c r="G23" s="16" t="n">
        <v>22000</v>
      </c>
    </row>
    <row r="24" customFormat="false" ht="15" hidden="false" customHeight="false" outlineLevel="0" collapsed="false">
      <c r="B24" s="8" t="s">
        <v>132</v>
      </c>
      <c r="C24" s="16" t="n">
        <v>28000</v>
      </c>
      <c r="G24" s="16" t="n">
        <v>28000</v>
      </c>
    </row>
    <row r="25" customFormat="false" ht="15" hidden="false" customHeight="false" outlineLevel="0" collapsed="false">
      <c r="B25" s="8" t="s">
        <v>133</v>
      </c>
      <c r="C25" s="16" t="n">
        <v>29000</v>
      </c>
      <c r="G25" s="16" t="n">
        <v>29000</v>
      </c>
    </row>
    <row r="26" customFormat="false" ht="15" hidden="false" customHeight="false" outlineLevel="0" collapsed="false">
      <c r="B26" s="8" t="s">
        <v>134</v>
      </c>
      <c r="C26" s="16" t="n">
        <v>24000</v>
      </c>
      <c r="G26" s="16" t="n">
        <v>24000</v>
      </c>
    </row>
    <row r="27" customFormat="false" ht="15" hidden="false" customHeight="false" outlineLevel="0" collapsed="false">
      <c r="B27" s="8" t="s">
        <v>135</v>
      </c>
      <c r="C27" s="16" t="n">
        <v>2000</v>
      </c>
      <c r="G27" s="16" t="n">
        <v>2000</v>
      </c>
    </row>
    <row r="28" customFormat="false" ht="15" hidden="false" customHeight="false" outlineLevel="0" collapsed="false">
      <c r="B28" s="8" t="s">
        <v>136</v>
      </c>
      <c r="C28" s="16" t="n">
        <v>18000</v>
      </c>
      <c r="G28" s="16" t="n">
        <v>18000</v>
      </c>
    </row>
    <row r="29" customFormat="false" ht="15" hidden="false" customHeight="false" outlineLevel="0" collapsed="false">
      <c r="B29" s="8" t="s">
        <v>137</v>
      </c>
      <c r="C29" s="16" t="n">
        <v>16000</v>
      </c>
      <c r="G29" s="16" t="n">
        <v>16000</v>
      </c>
    </row>
    <row r="30" customFormat="false" ht="15" hidden="false" customHeight="false" outlineLevel="0" collapsed="false">
      <c r="B30" s="8" t="s">
        <v>138</v>
      </c>
      <c r="C30" s="16" t="n">
        <v>14000</v>
      </c>
      <c r="G30" s="16" t="n">
        <v>14000</v>
      </c>
    </row>
    <row r="31" customFormat="false" ht="15" hidden="false" customHeight="false" outlineLevel="0" collapsed="false">
      <c r="B31" s="8" t="s">
        <v>139</v>
      </c>
      <c r="C31" s="16" t="n">
        <v>13000</v>
      </c>
      <c r="G31" s="16" t="n">
        <v>13000</v>
      </c>
    </row>
    <row r="32" customFormat="false" ht="15" hidden="false" customHeight="false" outlineLevel="0" collapsed="false">
      <c r="B32" s="8" t="s">
        <v>140</v>
      </c>
      <c r="C32" s="16" t="n">
        <v>35000</v>
      </c>
      <c r="G32" s="16" t="n">
        <v>35000</v>
      </c>
    </row>
    <row r="33" customFormat="false" ht="15" hidden="false" customHeight="false" outlineLevel="0" collapsed="false">
      <c r="B33" s="8" t="s">
        <v>141</v>
      </c>
      <c r="C33" s="16" t="n">
        <v>15000</v>
      </c>
      <c r="G33" s="16" t="n">
        <v>15000</v>
      </c>
    </row>
    <row r="34" customFormat="false" ht="15" hidden="false" customHeight="false" outlineLevel="0" collapsed="false">
      <c r="B34" s="8" t="s">
        <v>142</v>
      </c>
      <c r="C34" s="16" t="n">
        <v>1200</v>
      </c>
      <c r="G34" s="16" t="n">
        <v>1200</v>
      </c>
    </row>
    <row r="35" customFormat="false" ht="15" hidden="false" customHeight="false" outlineLevel="0" collapsed="false">
      <c r="B35" s="8" t="s">
        <v>143</v>
      </c>
      <c r="C35" s="16" t="n">
        <v>38000</v>
      </c>
      <c r="G35" s="16" t="n">
        <v>38000</v>
      </c>
    </row>
    <row r="36" customFormat="false" ht="15" hidden="false" customHeight="false" outlineLevel="0" collapsed="false">
      <c r="B36" s="8" t="s">
        <v>144</v>
      </c>
      <c r="C36" s="16" t="n">
        <v>8000</v>
      </c>
      <c r="G36" s="16" t="n">
        <v>8000</v>
      </c>
    </row>
    <row r="37" customFormat="false" ht="15" hidden="false" customHeight="false" outlineLevel="0" collapsed="false">
      <c r="B37" s="8" t="s">
        <v>145</v>
      </c>
      <c r="C37" s="16" t="n">
        <v>3000</v>
      </c>
      <c r="G37" s="16" t="n">
        <v>3000</v>
      </c>
    </row>
    <row r="38" customFormat="false" ht="15" hidden="false" customHeight="false" outlineLevel="0" collapsed="false">
      <c r="A38" s="24"/>
      <c r="B38" s="25" t="s">
        <v>69</v>
      </c>
      <c r="C38" s="26" t="n">
        <f aca="false">SUM(C10:C37)</f>
        <v>370474.714</v>
      </c>
      <c r="D38" s="26" t="n">
        <f aca="false">SUM(D10:D37)</f>
        <v>104274.714</v>
      </c>
      <c r="E38" s="26" t="n">
        <f aca="false">SUM(E10:E37)</f>
        <v>0</v>
      </c>
      <c r="F38" s="26" t="n">
        <f aca="false">SUM(F10:F37)</f>
        <v>0</v>
      </c>
      <c r="G38" s="26" t="n">
        <f aca="false">SUM(G10:G37)</f>
        <v>266200</v>
      </c>
      <c r="H38" s="24"/>
    </row>
    <row r="40" customFormat="false" ht="15" hidden="false" customHeight="false" outlineLevel="0" collapsed="false">
      <c r="A40" s="5"/>
      <c r="B40" s="6" t="s">
        <v>70</v>
      </c>
      <c r="C40" s="6"/>
      <c r="D40" s="6"/>
      <c r="E40" s="6"/>
      <c r="F40" s="6"/>
      <c r="G40" s="6"/>
      <c r="H40" s="6"/>
      <c r="I40" s="6"/>
      <c r="J40" s="6"/>
    </row>
    <row r="41" customFormat="false" ht="15" hidden="false" customHeight="false" outlineLevel="0" collapsed="false">
      <c r="B41" s="8" t="s">
        <v>71</v>
      </c>
      <c r="C41" s="16" t="n">
        <v>64157.4857</v>
      </c>
      <c r="D41" s="16" t="n">
        <v>16851.66392</v>
      </c>
      <c r="G41" s="16" t="n">
        <v>47305.82178</v>
      </c>
    </row>
    <row r="42" customFormat="false" ht="15" hidden="false" customHeight="false" outlineLevel="0" collapsed="false">
      <c r="B42" s="8" t="s">
        <v>146</v>
      </c>
      <c r="C42" s="16" t="n">
        <v>34429.85568</v>
      </c>
      <c r="D42" s="16" t="n">
        <v>9043.377408</v>
      </c>
      <c r="G42" s="16" t="n">
        <v>25386.478272</v>
      </c>
    </row>
    <row r="43" customFormat="false" ht="15" hidden="false" customHeight="false" outlineLevel="0" collapsed="false">
      <c r="B43" s="8" t="s">
        <v>147</v>
      </c>
      <c r="C43" s="16" t="n">
        <v>231524.8397</v>
      </c>
      <c r="D43" s="16" t="n">
        <v>60812.52632</v>
      </c>
      <c r="G43" s="16" t="n">
        <v>170712.31338</v>
      </c>
    </row>
    <row r="44" customFormat="false" ht="15" hidden="false" customHeight="false" outlineLevel="0" collapsed="false">
      <c r="B44" s="8" t="s">
        <v>148</v>
      </c>
      <c r="C44" s="16" t="n">
        <v>1617.884422</v>
      </c>
      <c r="D44" s="16" t="n">
        <v>424.9550032</v>
      </c>
      <c r="G44" s="16" t="n">
        <v>1192.9294188</v>
      </c>
    </row>
    <row r="45" customFormat="false" ht="15" hidden="false" customHeight="false" outlineLevel="0" collapsed="false">
      <c r="B45" s="8" t="s">
        <v>75</v>
      </c>
      <c r="C45" s="16" t="n">
        <v>8806.71077</v>
      </c>
      <c r="D45" s="16" t="n">
        <v>2313.178712</v>
      </c>
      <c r="G45" s="16" t="n">
        <v>6493.532058</v>
      </c>
    </row>
    <row r="46" customFormat="false" ht="15" hidden="false" customHeight="false" outlineLevel="0" collapsed="false">
      <c r="B46" s="8" t="s">
        <v>149</v>
      </c>
      <c r="C46" s="16" t="n">
        <v>7571.3803</v>
      </c>
      <c r="D46" s="16" t="n">
        <v>1988.70568</v>
      </c>
      <c r="G46" s="16" t="n">
        <v>5582.67462</v>
      </c>
    </row>
    <row r="47" customFormat="false" ht="15" hidden="false" customHeight="false" outlineLevel="0" collapsed="false">
      <c r="B47" s="8" t="s">
        <v>150</v>
      </c>
      <c r="C47" s="16" t="n">
        <v>50608.6999</v>
      </c>
      <c r="D47" s="16" t="n">
        <v>13292.92744</v>
      </c>
      <c r="G47" s="16" t="n">
        <v>37315.77246</v>
      </c>
    </row>
    <row r="48" customFormat="false" ht="15" hidden="false" customHeight="false" outlineLevel="0" collapsed="false">
      <c r="A48" s="24"/>
      <c r="B48" s="25" t="s">
        <v>78</v>
      </c>
      <c r="C48" s="26" t="n">
        <f aca="false">SUM(C41:C47)</f>
        <v>398716.856472</v>
      </c>
      <c r="D48" s="26" t="n">
        <f aca="false">SUM(D41:D47)</f>
        <v>104727.3344832</v>
      </c>
      <c r="E48" s="24"/>
      <c r="F48" s="26" t="n">
        <f aca="false">SUM(F41:F47)</f>
        <v>0</v>
      </c>
      <c r="G48" s="26" t="n">
        <f aca="false">SUM(G41:G47)</f>
        <v>293989.5219888</v>
      </c>
      <c r="H48" s="24"/>
    </row>
    <row r="50" customFormat="false" ht="15" hidden="false" customHeight="false" outlineLevel="0" collapsed="false">
      <c r="A50" s="27" t="s">
        <v>79</v>
      </c>
      <c r="B50" s="27"/>
      <c r="C50" s="27"/>
      <c r="D50" s="27"/>
      <c r="E50" s="27"/>
      <c r="F50" s="27"/>
      <c r="G50" s="27"/>
      <c r="H50" s="27"/>
      <c r="I50" s="27"/>
      <c r="J50" s="27"/>
    </row>
    <row r="51" customFormat="false" ht="15" hidden="false" customHeight="false" outlineLevel="0" collapsed="false">
      <c r="A51" s="28" t="s">
        <v>46</v>
      </c>
      <c r="B51" s="28"/>
      <c r="C51" s="28"/>
      <c r="D51" s="28"/>
      <c r="E51" s="28"/>
      <c r="F51" s="28"/>
      <c r="G51" s="28"/>
      <c r="H51" s="28"/>
      <c r="I51" s="28"/>
      <c r="J51" s="28"/>
    </row>
    <row r="52" customFormat="false" ht="15" hidden="false" customHeight="false" outlineLevel="0" collapsed="false">
      <c r="A52" s="29"/>
      <c r="B52" s="29" t="s">
        <v>80</v>
      </c>
      <c r="C52" s="30" t="s">
        <v>81</v>
      </c>
      <c r="D52" s="30" t="s">
        <v>82</v>
      </c>
      <c r="E52" s="30" t="s">
        <v>83</v>
      </c>
      <c r="F52" s="30" t="s">
        <v>84</v>
      </c>
      <c r="G52" s="30" t="s">
        <v>85</v>
      </c>
      <c r="H52" s="30" t="s">
        <v>86</v>
      </c>
      <c r="I52" s="30" t="s">
        <v>87</v>
      </c>
      <c r="J52" s="30" t="s">
        <v>88</v>
      </c>
    </row>
    <row r="53" customFormat="false" ht="15" hidden="false" customHeight="false" outlineLevel="0" collapsed="false">
      <c r="B53" s="31" t="s">
        <v>197</v>
      </c>
      <c r="C53" s="32" t="n">
        <v>64157.4857</v>
      </c>
      <c r="D53" s="32" t="n">
        <v>0</v>
      </c>
      <c r="E53" s="32" t="n">
        <v>3943.8624</v>
      </c>
      <c r="F53" s="32" t="n">
        <v>1314.6208</v>
      </c>
      <c r="G53" s="32" t="n">
        <v>5258.4832</v>
      </c>
      <c r="H53" s="32" t="n">
        <v>54533.862845</v>
      </c>
      <c r="I53" s="33" t="s">
        <v>90</v>
      </c>
      <c r="J53" s="34" t="n">
        <v>30</v>
      </c>
    </row>
    <row r="54" customFormat="false" ht="15" hidden="false" customHeight="false" outlineLevel="0" collapsed="false">
      <c r="B54" s="35" t="s">
        <v>198</v>
      </c>
      <c r="C54" s="36" t="n">
        <v>34429.85568</v>
      </c>
      <c r="D54" s="36" t="n">
        <v>0</v>
      </c>
      <c r="E54" s="36" t="n">
        <v>2136.2588</v>
      </c>
      <c r="F54" s="36" t="n">
        <v>723.04144</v>
      </c>
      <c r="G54" s="36" t="n">
        <v>2859.30024</v>
      </c>
      <c r="H54" s="36" t="n">
        <v>30298.2729984</v>
      </c>
      <c r="I54" s="37" t="s">
        <v>90</v>
      </c>
      <c r="J54" s="38" t="n">
        <v>30</v>
      </c>
    </row>
    <row r="55" customFormat="false" ht="15" hidden="false" customHeight="false" outlineLevel="0" collapsed="false">
      <c r="B55" s="31" t="s">
        <v>199</v>
      </c>
      <c r="C55" s="32" t="n">
        <v>231524.8397</v>
      </c>
      <c r="D55" s="32" t="n">
        <v>0</v>
      </c>
      <c r="E55" s="32" t="n">
        <v>14460.8288</v>
      </c>
      <c r="F55" s="32" t="n">
        <v>4929.828</v>
      </c>
      <c r="G55" s="32" t="n">
        <v>19390.6568</v>
      </c>
      <c r="H55" s="32" t="n">
        <v>208372.35573</v>
      </c>
      <c r="I55" s="33" t="s">
        <v>90</v>
      </c>
      <c r="J55" s="34" t="n">
        <v>30</v>
      </c>
    </row>
    <row r="56" customFormat="false" ht="15" hidden="false" customHeight="false" outlineLevel="0" collapsed="false">
      <c r="B56" s="35" t="s">
        <v>200</v>
      </c>
      <c r="C56" s="36" t="n">
        <v>1617.884422</v>
      </c>
      <c r="D56" s="36" t="n">
        <v>0</v>
      </c>
      <c r="E56" s="36" t="n">
        <v>98.59656</v>
      </c>
      <c r="F56" s="36" t="n">
        <v>32.86552</v>
      </c>
      <c r="G56" s="36" t="n">
        <v>131.46208</v>
      </c>
      <c r="H56" s="36" t="n">
        <v>1423.73829136</v>
      </c>
      <c r="I56" s="37" t="s">
        <v>90</v>
      </c>
      <c r="J56" s="38" t="n">
        <v>30</v>
      </c>
    </row>
    <row r="57" customFormat="false" ht="15" hidden="false" customHeight="false" outlineLevel="0" collapsed="false">
      <c r="B57" s="31" t="s">
        <v>201</v>
      </c>
      <c r="C57" s="32" t="n">
        <v>8806.71077</v>
      </c>
      <c r="D57" s="32" t="n">
        <v>2254.51795712</v>
      </c>
      <c r="E57" s="32" t="n">
        <v>2254.51795712</v>
      </c>
      <c r="F57" s="32" t="n">
        <v>678.11672929</v>
      </c>
      <c r="G57" s="32" t="n">
        <v>2932.63468641</v>
      </c>
      <c r="H57" s="32" t="n">
        <v>5874.07608359</v>
      </c>
      <c r="I57" s="33" t="s">
        <v>95</v>
      </c>
      <c r="J57" s="34" t="n">
        <v>15</v>
      </c>
    </row>
    <row r="58" customFormat="false" ht="15" hidden="false" customHeight="false" outlineLevel="0" collapsed="false">
      <c r="B58" s="35" t="s">
        <v>202</v>
      </c>
      <c r="C58" s="36" t="n">
        <v>7571.3803</v>
      </c>
      <c r="D58" s="36" t="n">
        <v>0</v>
      </c>
      <c r="E58" s="36" t="n">
        <v>0</v>
      </c>
      <c r="F58" s="36" t="n">
        <v>0</v>
      </c>
      <c r="G58" s="36" t="n">
        <v>0</v>
      </c>
      <c r="H58" s="36" t="n">
        <v>7571.3803</v>
      </c>
      <c r="I58" s="37" t="s">
        <v>97</v>
      </c>
      <c r="J58" s="38" t="n">
        <v>5</v>
      </c>
    </row>
    <row r="59" customFormat="false" ht="15" hidden="false" customHeight="false" outlineLevel="0" collapsed="false">
      <c r="B59" s="31" t="s">
        <v>203</v>
      </c>
      <c r="C59" s="32" t="n">
        <v>50608.6999</v>
      </c>
      <c r="D59" s="32" t="n">
        <v>0</v>
      </c>
      <c r="E59" s="32" t="n">
        <v>1314.6208</v>
      </c>
      <c r="F59" s="32" t="n">
        <v>2103.39328</v>
      </c>
      <c r="G59" s="32" t="n">
        <v>3418.01408</v>
      </c>
      <c r="H59" s="32" t="n">
        <v>45041.742911</v>
      </c>
      <c r="I59" s="33" t="s">
        <v>97</v>
      </c>
      <c r="J59" s="34" t="n">
        <v>5</v>
      </c>
    </row>
    <row r="60" customFormat="false" ht="15" hidden="false" customHeight="false" outlineLevel="0" collapsed="false">
      <c r="A60" s="10"/>
      <c r="B60" s="11" t="s">
        <v>24</v>
      </c>
      <c r="C60" s="39" t="n">
        <f aca="false">SUM(C53:C59)</f>
        <v>398716.856472</v>
      </c>
      <c r="D60" s="39" t="n">
        <f aca="false">SUM(D53:D59)</f>
        <v>2254.51795712</v>
      </c>
      <c r="E60" s="39" t="n">
        <f aca="false">SUM(E53:E59)</f>
        <v>24208.68531712</v>
      </c>
      <c r="F60" s="39" t="n">
        <f aca="false">SUM(F53:F59)</f>
        <v>9781.86576929</v>
      </c>
      <c r="G60" s="39" t="n">
        <f aca="false">SUM(G53:G59)</f>
        <v>33990.55108641</v>
      </c>
      <c r="H60" s="39" t="n">
        <f aca="false">SUM(H53:H59)</f>
        <v>353115.42915935</v>
      </c>
      <c r="I60" s="10"/>
      <c r="J60" s="10"/>
    </row>
    <row r="62" customFormat="false" ht="15" hidden="false" customHeight="false" outlineLevel="0" collapsed="false">
      <c r="A62" s="40" t="s">
        <v>99</v>
      </c>
      <c r="B62" s="40"/>
      <c r="C62" s="40"/>
      <c r="D62" s="40"/>
      <c r="E62" s="40"/>
      <c r="F62" s="40"/>
      <c r="G62" s="40"/>
      <c r="H62" s="40"/>
      <c r="I62" s="40"/>
      <c r="J62" s="40"/>
    </row>
    <row r="63" customFormat="false" ht="15" hidden="false" customHeight="false" outlineLevel="0" collapsed="false">
      <c r="A63" s="29"/>
      <c r="B63" s="29" t="s">
        <v>80</v>
      </c>
      <c r="C63" s="30" t="s">
        <v>81</v>
      </c>
      <c r="D63" s="30" t="s">
        <v>82</v>
      </c>
      <c r="E63" s="30" t="s">
        <v>83</v>
      </c>
      <c r="F63" s="30" t="s">
        <v>84</v>
      </c>
      <c r="G63" s="30" t="s">
        <v>85</v>
      </c>
      <c r="H63" s="30" t="s">
        <v>86</v>
      </c>
      <c r="I63" s="30" t="s">
        <v>87</v>
      </c>
      <c r="J63" s="30" t="s">
        <v>88</v>
      </c>
    </row>
    <row r="64" customFormat="false" ht="15" hidden="false" customHeight="false" outlineLevel="0" collapsed="false">
      <c r="B64" s="31" t="s">
        <v>204</v>
      </c>
      <c r="C64" s="32" t="n">
        <v>16736.7354</v>
      </c>
      <c r="D64" s="32" t="n">
        <v>16736.7354</v>
      </c>
      <c r="E64" s="32" t="n">
        <v>16736.7354</v>
      </c>
      <c r="F64" s="32" t="n">
        <v>0</v>
      </c>
      <c r="G64" s="32" t="n">
        <v>16736.7354</v>
      </c>
      <c r="H64" s="32" t="n">
        <v>0</v>
      </c>
      <c r="I64" s="33" t="s">
        <v>97</v>
      </c>
      <c r="J64" s="34" t="n">
        <v>5</v>
      </c>
    </row>
    <row r="65" customFormat="false" ht="15" hidden="false" customHeight="false" outlineLevel="0" collapsed="false">
      <c r="B65" s="35" t="s">
        <v>205</v>
      </c>
      <c r="C65" s="36" t="n">
        <v>47420.7503</v>
      </c>
      <c r="D65" s="36" t="n">
        <v>0</v>
      </c>
      <c r="E65" s="36" t="n">
        <v>8987.96148</v>
      </c>
      <c r="F65" s="36" t="n">
        <v>1600.59588</v>
      </c>
      <c r="G65" s="36" t="n">
        <v>10588.55736</v>
      </c>
      <c r="H65" s="36" t="n">
        <v>38885.015246</v>
      </c>
      <c r="I65" s="37" t="s">
        <v>90</v>
      </c>
      <c r="J65" s="38" t="n">
        <v>30</v>
      </c>
    </row>
    <row r="66" customFormat="false" ht="15" hidden="false" customHeight="false" outlineLevel="0" collapsed="false">
      <c r="B66" s="31" t="s">
        <v>206</v>
      </c>
      <c r="C66" s="32" t="n">
        <v>9045.80699</v>
      </c>
      <c r="D66" s="32" t="n">
        <v>9045.80699</v>
      </c>
      <c r="E66" s="32" t="n">
        <v>9045.80699</v>
      </c>
      <c r="F66" s="32" t="n">
        <v>0</v>
      </c>
      <c r="G66" s="32" t="n">
        <v>9045.80699</v>
      </c>
      <c r="H66" s="32" t="n">
        <v>0</v>
      </c>
      <c r="I66" s="33" t="s">
        <v>97</v>
      </c>
      <c r="J66" s="34" t="n">
        <v>5</v>
      </c>
    </row>
    <row r="67" customFormat="false" ht="15" hidden="false" customHeight="false" outlineLevel="0" collapsed="false">
      <c r="B67" s="35" t="s">
        <v>207</v>
      </c>
      <c r="C67" s="36" t="n">
        <v>25384.04869</v>
      </c>
      <c r="D67" s="36" t="n">
        <v>0</v>
      </c>
      <c r="E67" s="36" t="n">
        <v>4801.78764</v>
      </c>
      <c r="F67" s="36" t="n">
        <v>849.547044</v>
      </c>
      <c r="G67" s="36" t="n">
        <v>5663.64696</v>
      </c>
      <c r="H67" s="36" t="n">
        <v>23607.1652817</v>
      </c>
      <c r="I67" s="37" t="s">
        <v>90</v>
      </c>
      <c r="J67" s="38" t="n">
        <v>30</v>
      </c>
    </row>
    <row r="68" customFormat="false" ht="15" hidden="false" customHeight="false" outlineLevel="0" collapsed="false">
      <c r="B68" s="31" t="s">
        <v>208</v>
      </c>
      <c r="C68" s="32" t="n">
        <v>60571.0424</v>
      </c>
      <c r="D68" s="32" t="n">
        <v>48616.2314</v>
      </c>
      <c r="E68" s="32" t="n">
        <v>50972.82264</v>
      </c>
      <c r="F68" s="32" t="n">
        <v>3939.92832</v>
      </c>
      <c r="G68" s="32" t="n">
        <v>54912.75096</v>
      </c>
      <c r="H68" s="32" t="n">
        <v>2907.4100352</v>
      </c>
      <c r="I68" s="33" t="s">
        <v>97</v>
      </c>
      <c r="J68" s="34" t="n">
        <v>5</v>
      </c>
    </row>
    <row r="69" customFormat="false" ht="15" hidden="false" customHeight="false" outlineLevel="0" collapsed="false">
      <c r="B69" s="35" t="s">
        <v>209</v>
      </c>
      <c r="C69" s="36" t="n">
        <v>169758.3162</v>
      </c>
      <c r="D69" s="36" t="n">
        <v>0</v>
      </c>
      <c r="E69" s="36" t="n">
        <v>4063.05108</v>
      </c>
      <c r="F69" s="36" t="n">
        <v>5663.64696</v>
      </c>
      <c r="G69" s="36" t="n">
        <v>9726.69804</v>
      </c>
      <c r="H69" s="36" t="n">
        <v>164665.566714</v>
      </c>
      <c r="I69" s="37" t="s">
        <v>90</v>
      </c>
      <c r="J69" s="38" t="n">
        <v>30</v>
      </c>
    </row>
    <row r="70" customFormat="false" ht="15" hidden="false" customHeight="false" outlineLevel="0" collapsed="false">
      <c r="B70" s="31" t="s">
        <v>210</v>
      </c>
      <c r="C70" s="32" t="n">
        <v>422.403322</v>
      </c>
      <c r="D70" s="32" t="n">
        <v>422.403322</v>
      </c>
      <c r="E70" s="32" t="n">
        <v>422.403322</v>
      </c>
      <c r="F70" s="32" t="n">
        <v>0</v>
      </c>
      <c r="G70" s="32" t="n">
        <v>422.403322</v>
      </c>
      <c r="H70" s="32" t="n">
        <v>0</v>
      </c>
      <c r="I70" s="33" t="s">
        <v>97</v>
      </c>
      <c r="J70" s="34" t="n">
        <v>5</v>
      </c>
    </row>
    <row r="71" customFormat="false" ht="15" hidden="false" customHeight="false" outlineLevel="0" collapsed="false">
      <c r="B71" s="35" t="s">
        <v>211</v>
      </c>
      <c r="C71" s="36" t="n">
        <v>1195.4811</v>
      </c>
      <c r="D71" s="36" t="n">
        <v>0</v>
      </c>
      <c r="E71" s="36" t="n">
        <v>123.12276</v>
      </c>
      <c r="F71" s="36" t="n">
        <v>36.936828</v>
      </c>
      <c r="G71" s="36" t="n">
        <v>160.059588</v>
      </c>
      <c r="H71" s="36" t="n">
        <v>1159.616667</v>
      </c>
      <c r="I71" s="37" t="s">
        <v>90</v>
      </c>
      <c r="J71" s="38" t="n">
        <v>30</v>
      </c>
    </row>
    <row r="72" customFormat="false" ht="15" hidden="false" customHeight="false" outlineLevel="0" collapsed="false">
      <c r="B72" s="31" t="s">
        <v>212</v>
      </c>
      <c r="C72" s="32" t="n">
        <v>2311.26346</v>
      </c>
      <c r="D72" s="32" t="n">
        <v>2311.26346</v>
      </c>
      <c r="E72" s="32" t="n">
        <v>2311.26346</v>
      </c>
      <c r="F72" s="32" t="n">
        <v>0</v>
      </c>
      <c r="G72" s="32" t="n">
        <v>2311.26346</v>
      </c>
      <c r="H72" s="32" t="n">
        <v>0</v>
      </c>
      <c r="I72" s="33" t="s">
        <v>97</v>
      </c>
      <c r="J72" s="34" t="n">
        <v>5</v>
      </c>
    </row>
    <row r="73" customFormat="false" ht="15" hidden="false" customHeight="false" outlineLevel="0" collapsed="false">
      <c r="B73" s="35" t="s">
        <v>213</v>
      </c>
      <c r="C73" s="36" t="n">
        <v>6495.44731</v>
      </c>
      <c r="D73" s="36" t="n">
        <v>0</v>
      </c>
      <c r="E73" s="36" t="n">
        <v>1169.66622</v>
      </c>
      <c r="F73" s="36" t="n">
        <v>216.6960576</v>
      </c>
      <c r="G73" s="36" t="n">
        <v>1391.287188</v>
      </c>
      <c r="H73" s="36" t="n">
        <v>6040.7659983</v>
      </c>
      <c r="I73" s="37" t="s">
        <v>90</v>
      </c>
      <c r="J73" s="38" t="n">
        <v>30</v>
      </c>
    </row>
    <row r="74" customFormat="false" ht="15" hidden="false" customHeight="false" outlineLevel="0" collapsed="false">
      <c r="B74" s="31" t="s">
        <v>214</v>
      </c>
      <c r="C74" s="32" t="n">
        <v>1992.4685</v>
      </c>
      <c r="D74" s="32" t="n">
        <v>1992.4685</v>
      </c>
      <c r="E74" s="32" t="n">
        <v>1992.4685</v>
      </c>
      <c r="F74" s="32" t="n">
        <v>0</v>
      </c>
      <c r="G74" s="32" t="n">
        <v>1992.4685</v>
      </c>
      <c r="H74" s="32" t="n">
        <v>0</v>
      </c>
      <c r="I74" s="33" t="s">
        <v>97</v>
      </c>
      <c r="J74" s="34" t="n">
        <v>5</v>
      </c>
    </row>
    <row r="75" customFormat="false" ht="15" hidden="false" customHeight="false" outlineLevel="0" collapsed="false">
      <c r="B75" s="35" t="s">
        <v>215</v>
      </c>
      <c r="C75" s="36" t="n">
        <v>5578.9118</v>
      </c>
      <c r="D75" s="36" t="n">
        <v>0</v>
      </c>
      <c r="E75" s="36" t="n">
        <v>196.996416</v>
      </c>
      <c r="F75" s="36" t="n">
        <v>184.68414</v>
      </c>
      <c r="G75" s="36" t="n">
        <v>381.680556</v>
      </c>
      <c r="H75" s="36" t="n">
        <v>5467.333564</v>
      </c>
      <c r="I75" s="37" t="s">
        <v>90</v>
      </c>
      <c r="J75" s="38" t="n">
        <v>30</v>
      </c>
    </row>
    <row r="76" customFormat="false" ht="15" hidden="false" customHeight="false" outlineLevel="0" collapsed="false">
      <c r="B76" s="31" t="s">
        <v>216</v>
      </c>
      <c r="C76" s="32" t="n">
        <v>13349.53895</v>
      </c>
      <c r="D76" s="32" t="n">
        <v>10679.63116</v>
      </c>
      <c r="E76" s="32" t="n">
        <v>11967.532272</v>
      </c>
      <c r="F76" s="32" t="n">
        <v>911.108424</v>
      </c>
      <c r="G76" s="32" t="n">
        <v>12878.640696</v>
      </c>
      <c r="H76" s="32" t="n">
        <v>146.84492845</v>
      </c>
      <c r="I76" s="33" t="s">
        <v>97</v>
      </c>
      <c r="J76" s="34" t="n">
        <v>5</v>
      </c>
    </row>
    <row r="77" customFormat="false" ht="15" hidden="false" customHeight="false" outlineLevel="0" collapsed="false">
      <c r="B77" s="35" t="s">
        <v>217</v>
      </c>
      <c r="C77" s="36" t="n">
        <v>37259.16095</v>
      </c>
      <c r="D77" s="36" t="n">
        <v>0</v>
      </c>
      <c r="E77" s="36" t="n">
        <v>1009.606632</v>
      </c>
      <c r="F77" s="36" t="n">
        <v>1428.224016</v>
      </c>
      <c r="G77" s="36" t="n">
        <v>2437.830648</v>
      </c>
      <c r="H77" s="36" t="n">
        <v>36513.977731</v>
      </c>
      <c r="I77" s="37" t="s">
        <v>90</v>
      </c>
      <c r="J77" s="38" t="n">
        <v>30</v>
      </c>
    </row>
    <row r="78" customFormat="false" ht="15" hidden="false" customHeight="false" outlineLevel="0" collapsed="false">
      <c r="A78" s="10"/>
      <c r="B78" s="11" t="s">
        <v>24</v>
      </c>
      <c r="C78" s="39" t="n">
        <f aca="false">SUM(C64:C77)</f>
        <v>397521.375372</v>
      </c>
      <c r="D78" s="39" t="n">
        <f aca="false">SUM(D64:D77)</f>
        <v>89804.540232</v>
      </c>
      <c r="E78" s="39" t="n">
        <f aca="false">SUM(E64:E77)</f>
        <v>113801.224812</v>
      </c>
      <c r="F78" s="39" t="n">
        <f aca="false">SUM(F64:F77)</f>
        <v>14831.3676696</v>
      </c>
      <c r="G78" s="39" t="n">
        <f aca="false">SUM(G64:G77)</f>
        <v>128649.829668</v>
      </c>
      <c r="H78" s="39" t="n">
        <f aca="false">SUM(H64:H77)</f>
        <v>279393.69616565</v>
      </c>
      <c r="I78" s="10"/>
      <c r="J78" s="10"/>
    </row>
    <row r="80" customFormat="false" ht="15" hidden="false" customHeight="false" outlineLevel="0" collapsed="false">
      <c r="A80" s="27" t="s">
        <v>48</v>
      </c>
      <c r="B80" s="27"/>
      <c r="C80" s="27"/>
      <c r="D80" s="27"/>
      <c r="E80" s="27"/>
    </row>
    <row r="81" customFormat="false" ht="15" hidden="false" customHeight="false" outlineLevel="0" collapsed="false">
      <c r="B81" s="8" t="s">
        <v>114</v>
      </c>
      <c r="C81" s="41" t="n">
        <f aca="false">G60</f>
        <v>33990.55108641</v>
      </c>
    </row>
    <row r="82" customFormat="false" ht="15" hidden="false" customHeight="false" outlineLevel="0" collapsed="false">
      <c r="B82" s="8" t="s">
        <v>115</v>
      </c>
      <c r="C82" s="41" t="n">
        <f aca="false">G78</f>
        <v>128649.829668</v>
      </c>
    </row>
    <row r="83" customFormat="false" ht="15" hidden="false" customHeight="false" outlineLevel="0" collapsed="false">
      <c r="B83" s="17" t="s">
        <v>48</v>
      </c>
      <c r="C83" s="42" t="n">
        <f aca="false">C82-C81</f>
        <v>94659.27858159</v>
      </c>
    </row>
  </sheetData>
  <mergeCells count="11">
    <mergeCell ref="A2:J2"/>
    <mergeCell ref="A3:J3"/>
    <mergeCell ref="A4:J4"/>
    <mergeCell ref="A8:J8"/>
    <mergeCell ref="B10:J10"/>
    <mergeCell ref="B22:J22"/>
    <mergeCell ref="B40:J40"/>
    <mergeCell ref="A50:J50"/>
    <mergeCell ref="A51:J51"/>
    <mergeCell ref="A62:J62"/>
    <mergeCell ref="A80:E8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218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50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51</v>
      </c>
      <c r="C6" s="8" t="s">
        <v>26</v>
      </c>
    </row>
    <row r="8" customFormat="false" ht="15" hidden="false" customHeight="false" outlineLevel="0" collapsed="false">
      <c r="A8" s="21" t="s">
        <v>219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53</v>
      </c>
      <c r="C9" s="23" t="s">
        <v>54</v>
      </c>
      <c r="D9" s="23" t="s">
        <v>55</v>
      </c>
      <c r="E9" s="23" t="s">
        <v>56</v>
      </c>
      <c r="F9" s="23" t="s">
        <v>57</v>
      </c>
      <c r="G9" s="23" t="s">
        <v>58</v>
      </c>
      <c r="H9" s="23" t="s">
        <v>59</v>
      </c>
    </row>
    <row r="10" customFormat="false" ht="15" hidden="false" customHeight="false" outlineLevel="0" collapsed="false">
      <c r="A10" s="5"/>
      <c r="B10" s="6" t="s">
        <v>118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119</v>
      </c>
      <c r="C11" s="16" t="n">
        <v>31452.73</v>
      </c>
      <c r="D11" s="16" t="n">
        <v>31452.73</v>
      </c>
    </row>
    <row r="12" customFormat="false" ht="15" hidden="false" customHeight="false" outlineLevel="0" collapsed="false">
      <c r="B12" s="8" t="s">
        <v>120</v>
      </c>
      <c r="C12" s="16" t="n">
        <v>8394.17</v>
      </c>
      <c r="D12" s="16" t="n">
        <v>8394.17</v>
      </c>
    </row>
    <row r="13" customFormat="false" ht="15" hidden="false" customHeight="false" outlineLevel="0" collapsed="false">
      <c r="B13" s="8" t="s">
        <v>121</v>
      </c>
      <c r="C13" s="16" t="n">
        <v>32815.89</v>
      </c>
      <c r="D13" s="16" t="n">
        <v>32815.89</v>
      </c>
    </row>
    <row r="14" customFormat="false" ht="15" hidden="false" customHeight="false" outlineLevel="0" collapsed="false">
      <c r="B14" s="8" t="s">
        <v>122</v>
      </c>
      <c r="C14" s="16" t="n">
        <v>2648.72</v>
      </c>
      <c r="D14" s="16" t="n">
        <v>2648.72</v>
      </c>
    </row>
    <row r="15" customFormat="false" ht="15" hidden="false" customHeight="false" outlineLevel="0" collapsed="false">
      <c r="B15" s="8" t="s">
        <v>123</v>
      </c>
      <c r="C15" s="16" t="n">
        <v>0.394</v>
      </c>
      <c r="D15" s="16" t="n">
        <v>0.394</v>
      </c>
    </row>
    <row r="16" customFormat="false" ht="15" hidden="false" customHeight="false" outlineLevel="0" collapsed="false">
      <c r="B16" s="8" t="s">
        <v>124</v>
      </c>
      <c r="C16" s="16" t="n">
        <v>5344.3</v>
      </c>
      <c r="D16" s="16" t="n">
        <v>5344.3</v>
      </c>
    </row>
    <row r="17" customFormat="false" ht="15" hidden="false" customHeight="false" outlineLevel="0" collapsed="false">
      <c r="B17" s="8" t="s">
        <v>125</v>
      </c>
      <c r="C17" s="16" t="n">
        <v>2858.97</v>
      </c>
      <c r="D17" s="16" t="n">
        <v>2858.97</v>
      </c>
    </row>
    <row r="18" customFormat="false" ht="15" hidden="false" customHeight="false" outlineLevel="0" collapsed="false">
      <c r="B18" s="8" t="s">
        <v>126</v>
      </c>
      <c r="C18" s="16" t="n">
        <v>9687.68</v>
      </c>
      <c r="D18" s="16" t="n">
        <v>9687.68</v>
      </c>
    </row>
    <row r="19" customFormat="false" ht="15" hidden="false" customHeight="false" outlineLevel="0" collapsed="false">
      <c r="B19" s="8" t="s">
        <v>127</v>
      </c>
      <c r="C19" s="16" t="n">
        <v>2139.23</v>
      </c>
      <c r="D19" s="16" t="n">
        <v>2139.23</v>
      </c>
    </row>
    <row r="20" customFormat="false" ht="15" hidden="false" customHeight="false" outlineLevel="0" collapsed="false">
      <c r="B20" s="8" t="s">
        <v>128</v>
      </c>
      <c r="C20" s="16" t="n">
        <v>605.69</v>
      </c>
      <c r="D20" s="16" t="n">
        <v>605.69</v>
      </c>
    </row>
    <row r="21" customFormat="false" ht="15" hidden="false" customHeight="false" outlineLevel="0" collapsed="false">
      <c r="B21" s="8" t="s">
        <v>129</v>
      </c>
      <c r="C21" s="16" t="n">
        <v>8326.94</v>
      </c>
      <c r="D21" s="16" t="n">
        <v>8326.94</v>
      </c>
    </row>
    <row r="22" customFormat="false" ht="15" hidden="false" customHeight="false" outlineLevel="0" collapsed="false">
      <c r="A22" s="5"/>
      <c r="B22" s="6" t="s">
        <v>130</v>
      </c>
      <c r="C22" s="6"/>
      <c r="D22" s="6"/>
      <c r="E22" s="6"/>
      <c r="F22" s="6"/>
      <c r="G22" s="6"/>
      <c r="H22" s="6"/>
      <c r="I22" s="6"/>
      <c r="J22" s="6"/>
    </row>
    <row r="23" customFormat="false" ht="15" hidden="false" customHeight="false" outlineLevel="0" collapsed="false">
      <c r="B23" s="8" t="s">
        <v>131</v>
      </c>
      <c r="C23" s="16" t="n">
        <v>22000</v>
      </c>
      <c r="G23" s="16" t="n">
        <v>22000</v>
      </c>
    </row>
    <row r="24" customFormat="false" ht="15" hidden="false" customHeight="false" outlineLevel="0" collapsed="false">
      <c r="B24" s="8" t="s">
        <v>132</v>
      </c>
      <c r="C24" s="16" t="n">
        <v>28000</v>
      </c>
      <c r="G24" s="16" t="n">
        <v>28000</v>
      </c>
    </row>
    <row r="25" customFormat="false" ht="15" hidden="false" customHeight="false" outlineLevel="0" collapsed="false">
      <c r="B25" s="8" t="s">
        <v>133</v>
      </c>
      <c r="C25" s="16" t="n">
        <v>29000</v>
      </c>
      <c r="G25" s="16" t="n">
        <v>29000</v>
      </c>
    </row>
    <row r="26" customFormat="false" ht="15" hidden="false" customHeight="false" outlineLevel="0" collapsed="false">
      <c r="B26" s="8" t="s">
        <v>134</v>
      </c>
      <c r="C26" s="16" t="n">
        <v>24000</v>
      </c>
      <c r="G26" s="16" t="n">
        <v>24000</v>
      </c>
    </row>
    <row r="27" customFormat="false" ht="15" hidden="false" customHeight="false" outlineLevel="0" collapsed="false">
      <c r="B27" s="8" t="s">
        <v>135</v>
      </c>
      <c r="C27" s="16" t="n">
        <v>2000</v>
      </c>
      <c r="G27" s="16" t="n">
        <v>2000</v>
      </c>
    </row>
    <row r="28" customFormat="false" ht="15" hidden="false" customHeight="false" outlineLevel="0" collapsed="false">
      <c r="B28" s="8" t="s">
        <v>136</v>
      </c>
      <c r="C28" s="16" t="n">
        <v>18000</v>
      </c>
      <c r="G28" s="16" t="n">
        <v>18000</v>
      </c>
    </row>
    <row r="29" customFormat="false" ht="15" hidden="false" customHeight="false" outlineLevel="0" collapsed="false">
      <c r="B29" s="8" t="s">
        <v>137</v>
      </c>
      <c r="C29" s="16" t="n">
        <v>16000</v>
      </c>
      <c r="G29" s="16" t="n">
        <v>16000</v>
      </c>
    </row>
    <row r="30" customFormat="false" ht="15" hidden="false" customHeight="false" outlineLevel="0" collapsed="false">
      <c r="B30" s="8" t="s">
        <v>138</v>
      </c>
      <c r="C30" s="16" t="n">
        <v>14000</v>
      </c>
      <c r="G30" s="16" t="n">
        <v>14000</v>
      </c>
    </row>
    <row r="31" customFormat="false" ht="15" hidden="false" customHeight="false" outlineLevel="0" collapsed="false">
      <c r="B31" s="8" t="s">
        <v>139</v>
      </c>
      <c r="C31" s="16" t="n">
        <v>13000</v>
      </c>
      <c r="G31" s="16" t="n">
        <v>13000</v>
      </c>
    </row>
    <row r="32" customFormat="false" ht="15" hidden="false" customHeight="false" outlineLevel="0" collapsed="false">
      <c r="B32" s="8" t="s">
        <v>140</v>
      </c>
      <c r="C32" s="16" t="n">
        <v>35000</v>
      </c>
      <c r="G32" s="16" t="n">
        <v>35000</v>
      </c>
    </row>
    <row r="33" customFormat="false" ht="15" hidden="false" customHeight="false" outlineLevel="0" collapsed="false">
      <c r="B33" s="8" t="s">
        <v>141</v>
      </c>
      <c r="C33" s="16" t="n">
        <v>15000</v>
      </c>
      <c r="G33" s="16" t="n">
        <v>15000</v>
      </c>
    </row>
    <row r="34" customFormat="false" ht="15" hidden="false" customHeight="false" outlineLevel="0" collapsed="false">
      <c r="B34" s="8" t="s">
        <v>142</v>
      </c>
      <c r="C34" s="16" t="n">
        <v>1200</v>
      </c>
      <c r="G34" s="16" t="n">
        <v>1200</v>
      </c>
    </row>
    <row r="35" customFormat="false" ht="15" hidden="false" customHeight="false" outlineLevel="0" collapsed="false">
      <c r="B35" s="8" t="s">
        <v>143</v>
      </c>
      <c r="C35" s="16" t="n">
        <v>38000</v>
      </c>
      <c r="G35" s="16" t="n">
        <v>38000</v>
      </c>
    </row>
    <row r="36" customFormat="false" ht="15" hidden="false" customHeight="false" outlineLevel="0" collapsed="false">
      <c r="B36" s="8" t="s">
        <v>144</v>
      </c>
      <c r="C36" s="16" t="n">
        <v>8000</v>
      </c>
      <c r="G36" s="16" t="n">
        <v>8000</v>
      </c>
    </row>
    <row r="37" customFormat="false" ht="15" hidden="false" customHeight="false" outlineLevel="0" collapsed="false">
      <c r="B37" s="8" t="s">
        <v>145</v>
      </c>
      <c r="C37" s="16" t="n">
        <v>3000</v>
      </c>
      <c r="G37" s="16" t="n">
        <v>3000</v>
      </c>
    </row>
    <row r="38" customFormat="false" ht="15" hidden="false" customHeight="false" outlineLevel="0" collapsed="false">
      <c r="A38" s="24"/>
      <c r="B38" s="25" t="s">
        <v>69</v>
      </c>
      <c r="C38" s="26" t="n">
        <f aca="false">SUM(C10:C37)</f>
        <v>370474.714</v>
      </c>
      <c r="D38" s="26" t="n">
        <f aca="false">SUM(D10:D37)</f>
        <v>104274.714</v>
      </c>
      <c r="E38" s="26" t="n">
        <f aca="false">SUM(E10:E37)</f>
        <v>0</v>
      </c>
      <c r="F38" s="26" t="n">
        <f aca="false">SUM(F10:F37)</f>
        <v>0</v>
      </c>
      <c r="G38" s="26" t="n">
        <f aca="false">SUM(G10:G37)</f>
        <v>266200</v>
      </c>
      <c r="H38" s="24"/>
    </row>
    <row r="40" customFormat="false" ht="15" hidden="false" customHeight="false" outlineLevel="0" collapsed="false">
      <c r="A40" s="5"/>
      <c r="B40" s="6" t="s">
        <v>70</v>
      </c>
      <c r="C40" s="6"/>
      <c r="D40" s="6"/>
      <c r="E40" s="6"/>
      <c r="F40" s="6"/>
      <c r="G40" s="6"/>
      <c r="H40" s="6"/>
      <c r="I40" s="6"/>
      <c r="J40" s="6"/>
    </row>
    <row r="41" customFormat="false" ht="15" hidden="false" customHeight="false" outlineLevel="0" collapsed="false">
      <c r="B41" s="8" t="s">
        <v>71</v>
      </c>
      <c r="C41" s="16" t="n">
        <v>63861.40831</v>
      </c>
      <c r="D41" s="16" t="n">
        <v>16851.66392</v>
      </c>
      <c r="G41" s="16" t="n">
        <v>47009.74439</v>
      </c>
    </row>
    <row r="42" customFormat="false" ht="15" hidden="false" customHeight="false" outlineLevel="0" collapsed="false">
      <c r="B42" s="8" t="s">
        <v>146</v>
      </c>
      <c r="C42" s="16" t="n">
        <v>34270.966944</v>
      </c>
      <c r="D42" s="16" t="n">
        <v>9043.377408</v>
      </c>
      <c r="G42" s="16" t="n">
        <v>25227.589536</v>
      </c>
    </row>
    <row r="43" customFormat="false" ht="15" hidden="false" customHeight="false" outlineLevel="0" collapsed="false">
      <c r="B43" s="8" t="s">
        <v>147</v>
      </c>
      <c r="C43" s="16" t="n">
        <v>230456.38651</v>
      </c>
      <c r="D43" s="16" t="n">
        <v>60812.52632</v>
      </c>
      <c r="G43" s="16" t="n">
        <v>169643.86019</v>
      </c>
    </row>
    <row r="44" customFormat="false" ht="15" hidden="false" customHeight="false" outlineLevel="0" collapsed="false">
      <c r="B44" s="8" t="s">
        <v>148</v>
      </c>
      <c r="C44" s="16" t="n">
        <v>1610.4181226</v>
      </c>
      <c r="D44" s="16" t="n">
        <v>424.9550032</v>
      </c>
      <c r="G44" s="16" t="n">
        <v>1185.4631194</v>
      </c>
    </row>
    <row r="45" customFormat="false" ht="15" hidden="false" customHeight="false" outlineLevel="0" collapsed="false">
      <c r="B45" s="8" t="s">
        <v>75</v>
      </c>
      <c r="C45" s="16" t="n">
        <v>8766.069091</v>
      </c>
      <c r="D45" s="16" t="n">
        <v>2313.178712</v>
      </c>
      <c r="G45" s="16" t="n">
        <v>6452.890379</v>
      </c>
    </row>
    <row r="46" customFormat="false" ht="15" hidden="false" customHeight="false" outlineLevel="0" collapsed="false">
      <c r="B46" s="8" t="s">
        <v>149</v>
      </c>
      <c r="C46" s="16" t="n">
        <v>7536.43949</v>
      </c>
      <c r="D46" s="16" t="n">
        <v>1988.70568</v>
      </c>
      <c r="G46" s="16" t="n">
        <v>5547.73381</v>
      </c>
    </row>
    <row r="47" customFormat="false" ht="15" hidden="false" customHeight="false" outlineLevel="0" collapsed="false">
      <c r="B47" s="8" t="s">
        <v>150</v>
      </c>
      <c r="C47" s="16" t="n">
        <v>50375.14817</v>
      </c>
      <c r="D47" s="16" t="n">
        <v>13292.92744</v>
      </c>
      <c r="G47" s="16" t="n">
        <v>37082.22073</v>
      </c>
    </row>
    <row r="48" customFormat="false" ht="15" hidden="false" customHeight="false" outlineLevel="0" collapsed="false">
      <c r="A48" s="24"/>
      <c r="B48" s="25" t="s">
        <v>78</v>
      </c>
      <c r="C48" s="26" t="n">
        <f aca="false">SUM(C41:C47)</f>
        <v>396876.8366376</v>
      </c>
      <c r="D48" s="26" t="n">
        <f aca="false">SUM(D41:D47)</f>
        <v>104727.3344832</v>
      </c>
      <c r="E48" s="24"/>
      <c r="F48" s="26" t="n">
        <f aca="false">SUM(F41:F47)</f>
        <v>0</v>
      </c>
      <c r="G48" s="26" t="n">
        <f aca="false">SUM(G41:G47)</f>
        <v>292149.5021544</v>
      </c>
      <c r="H48" s="24"/>
    </row>
    <row r="50" customFormat="false" ht="15" hidden="false" customHeight="false" outlineLevel="0" collapsed="false">
      <c r="A50" s="27" t="s">
        <v>79</v>
      </c>
      <c r="B50" s="27"/>
      <c r="C50" s="27"/>
      <c r="D50" s="27"/>
      <c r="E50" s="27"/>
      <c r="F50" s="27"/>
      <c r="G50" s="27"/>
      <c r="H50" s="27"/>
      <c r="I50" s="27"/>
      <c r="J50" s="27"/>
    </row>
    <row r="51" customFormat="false" ht="15" hidden="false" customHeight="false" outlineLevel="0" collapsed="false">
      <c r="A51" s="28" t="s">
        <v>46</v>
      </c>
      <c r="B51" s="28"/>
      <c r="C51" s="28"/>
      <c r="D51" s="28"/>
      <c r="E51" s="28"/>
      <c r="F51" s="28"/>
      <c r="G51" s="28"/>
      <c r="H51" s="28"/>
      <c r="I51" s="28"/>
      <c r="J51" s="28"/>
    </row>
    <row r="52" customFormat="false" ht="15" hidden="false" customHeight="false" outlineLevel="0" collapsed="false">
      <c r="A52" s="29"/>
      <c r="B52" s="29" t="s">
        <v>80</v>
      </c>
      <c r="C52" s="30" t="s">
        <v>81</v>
      </c>
      <c r="D52" s="30" t="s">
        <v>82</v>
      </c>
      <c r="E52" s="30" t="s">
        <v>83</v>
      </c>
      <c r="F52" s="30" t="s">
        <v>84</v>
      </c>
      <c r="G52" s="30" t="s">
        <v>85</v>
      </c>
      <c r="H52" s="30" t="s">
        <v>86</v>
      </c>
      <c r="I52" s="30" t="s">
        <v>87</v>
      </c>
      <c r="J52" s="30" t="s">
        <v>88</v>
      </c>
    </row>
    <row r="53" customFormat="false" ht="15" hidden="false" customHeight="false" outlineLevel="0" collapsed="false">
      <c r="B53" s="31" t="s">
        <v>220</v>
      </c>
      <c r="C53" s="32" t="n">
        <v>63861.40831</v>
      </c>
      <c r="D53" s="32" t="n">
        <v>0</v>
      </c>
      <c r="E53" s="32" t="n">
        <v>3925.6644</v>
      </c>
      <c r="F53" s="32" t="n">
        <v>1308.5548</v>
      </c>
      <c r="G53" s="32" t="n">
        <v>5234.2192</v>
      </c>
      <c r="H53" s="32" t="n">
        <v>54282.1970635</v>
      </c>
      <c r="I53" s="33" t="s">
        <v>90</v>
      </c>
      <c r="J53" s="34" t="n">
        <v>30</v>
      </c>
    </row>
    <row r="54" customFormat="false" ht="15" hidden="false" customHeight="false" outlineLevel="0" collapsed="false">
      <c r="B54" s="35" t="s">
        <v>221</v>
      </c>
      <c r="C54" s="36" t="n">
        <v>34270.966944</v>
      </c>
      <c r="D54" s="36" t="n">
        <v>0</v>
      </c>
      <c r="E54" s="36" t="n">
        <v>2126.40155</v>
      </c>
      <c r="F54" s="36" t="n">
        <v>719.70514</v>
      </c>
      <c r="G54" s="36" t="n">
        <v>2846.10669</v>
      </c>
      <c r="H54" s="36" t="n">
        <v>30158.45091072</v>
      </c>
      <c r="I54" s="37" t="s">
        <v>90</v>
      </c>
      <c r="J54" s="38" t="n">
        <v>30</v>
      </c>
    </row>
    <row r="55" customFormat="false" ht="15" hidden="false" customHeight="false" outlineLevel="0" collapsed="false">
      <c r="B55" s="31" t="s">
        <v>222</v>
      </c>
      <c r="C55" s="32" t="n">
        <v>230456.38651</v>
      </c>
      <c r="D55" s="32" t="n">
        <v>0</v>
      </c>
      <c r="E55" s="32" t="n">
        <v>14394.1028</v>
      </c>
      <c r="F55" s="32" t="n">
        <v>4907.0805</v>
      </c>
      <c r="G55" s="32" t="n">
        <v>19301.1833</v>
      </c>
      <c r="H55" s="32" t="n">
        <v>207410.747859</v>
      </c>
      <c r="I55" s="33" t="s">
        <v>90</v>
      </c>
      <c r="J55" s="34" t="n">
        <v>30</v>
      </c>
    </row>
    <row r="56" customFormat="false" ht="15" hidden="false" customHeight="false" outlineLevel="0" collapsed="false">
      <c r="B56" s="35" t="s">
        <v>223</v>
      </c>
      <c r="C56" s="36" t="n">
        <v>1610.4181226</v>
      </c>
      <c r="D56" s="36" t="n">
        <v>0</v>
      </c>
      <c r="E56" s="36" t="n">
        <v>98.14161</v>
      </c>
      <c r="F56" s="36" t="n">
        <v>32.71387</v>
      </c>
      <c r="G56" s="36" t="n">
        <v>130.85548</v>
      </c>
      <c r="H56" s="36" t="n">
        <v>1417.167947888</v>
      </c>
      <c r="I56" s="37" t="s">
        <v>90</v>
      </c>
      <c r="J56" s="38" t="n">
        <v>30</v>
      </c>
    </row>
    <row r="57" customFormat="false" ht="15" hidden="false" customHeight="false" outlineLevel="0" collapsed="false">
      <c r="B57" s="31" t="s">
        <v>224</v>
      </c>
      <c r="C57" s="32" t="n">
        <v>8766.069091</v>
      </c>
      <c r="D57" s="32" t="n">
        <v>2244.113687296</v>
      </c>
      <c r="E57" s="32" t="n">
        <v>2244.113687296</v>
      </c>
      <c r="F57" s="32" t="n">
        <v>674.987320007</v>
      </c>
      <c r="G57" s="32" t="n">
        <v>2919.101007303</v>
      </c>
      <c r="H57" s="32" t="n">
        <v>5846.968083697</v>
      </c>
      <c r="I57" s="33" t="s">
        <v>95</v>
      </c>
      <c r="J57" s="34" t="n">
        <v>15</v>
      </c>
    </row>
    <row r="58" customFormat="false" ht="15" hidden="false" customHeight="false" outlineLevel="0" collapsed="false">
      <c r="B58" s="35" t="s">
        <v>225</v>
      </c>
      <c r="C58" s="36" t="n">
        <v>7536.43949</v>
      </c>
      <c r="D58" s="36" t="n">
        <v>0</v>
      </c>
      <c r="E58" s="36" t="n">
        <v>0</v>
      </c>
      <c r="F58" s="36" t="n">
        <v>0</v>
      </c>
      <c r="G58" s="36" t="n">
        <v>0</v>
      </c>
      <c r="H58" s="36" t="n">
        <v>7536.43949</v>
      </c>
      <c r="I58" s="37" t="s">
        <v>97</v>
      </c>
      <c r="J58" s="38" t="n">
        <v>5</v>
      </c>
    </row>
    <row r="59" customFormat="false" ht="15" hidden="false" customHeight="false" outlineLevel="0" collapsed="false">
      <c r="B59" s="31" t="s">
        <v>226</v>
      </c>
      <c r="C59" s="32" t="n">
        <v>50375.14817</v>
      </c>
      <c r="D59" s="32" t="n">
        <v>0</v>
      </c>
      <c r="E59" s="32" t="n">
        <v>1308.5548</v>
      </c>
      <c r="F59" s="32" t="n">
        <v>2093.68768</v>
      </c>
      <c r="G59" s="32" t="n">
        <v>3402.24248</v>
      </c>
      <c r="H59" s="32" t="n">
        <v>44833.8818713</v>
      </c>
      <c r="I59" s="33" t="s">
        <v>97</v>
      </c>
      <c r="J59" s="34" t="n">
        <v>5</v>
      </c>
    </row>
    <row r="60" customFormat="false" ht="15" hidden="false" customHeight="false" outlineLevel="0" collapsed="false">
      <c r="A60" s="10"/>
      <c r="B60" s="11" t="s">
        <v>24</v>
      </c>
      <c r="C60" s="39" t="n">
        <f aca="false">SUM(C53:C59)</f>
        <v>396876.8366376</v>
      </c>
      <c r="D60" s="39" t="n">
        <f aca="false">SUM(D53:D59)</f>
        <v>2244.113687296</v>
      </c>
      <c r="E60" s="39" t="n">
        <f aca="false">SUM(E53:E59)</f>
        <v>24096.978847296</v>
      </c>
      <c r="F60" s="39" t="n">
        <f aca="false">SUM(F53:F59)</f>
        <v>9736.729310007</v>
      </c>
      <c r="G60" s="39" t="n">
        <f aca="false">SUM(G53:G59)</f>
        <v>33833.708157303</v>
      </c>
      <c r="H60" s="39" t="n">
        <f aca="false">SUM(H53:H59)</f>
        <v>351485.853226105</v>
      </c>
      <c r="I60" s="10"/>
      <c r="J60" s="10"/>
    </row>
    <row r="62" customFormat="false" ht="15" hidden="false" customHeight="false" outlineLevel="0" collapsed="false">
      <c r="A62" s="40" t="s">
        <v>99</v>
      </c>
      <c r="B62" s="40"/>
      <c r="C62" s="40"/>
      <c r="D62" s="40"/>
      <c r="E62" s="40"/>
      <c r="F62" s="40"/>
      <c r="G62" s="40"/>
      <c r="H62" s="40"/>
      <c r="I62" s="40"/>
      <c r="J62" s="40"/>
    </row>
    <row r="63" customFormat="false" ht="15" hidden="false" customHeight="false" outlineLevel="0" collapsed="false">
      <c r="A63" s="29"/>
      <c r="B63" s="29" t="s">
        <v>80</v>
      </c>
      <c r="C63" s="30" t="s">
        <v>81</v>
      </c>
      <c r="D63" s="30" t="s">
        <v>82</v>
      </c>
      <c r="E63" s="30" t="s">
        <v>83</v>
      </c>
      <c r="F63" s="30" t="s">
        <v>84</v>
      </c>
      <c r="G63" s="30" t="s">
        <v>85</v>
      </c>
      <c r="H63" s="30" t="s">
        <v>86</v>
      </c>
      <c r="I63" s="30" t="s">
        <v>87</v>
      </c>
      <c r="J63" s="30" t="s">
        <v>88</v>
      </c>
    </row>
    <row r="64" customFormat="false" ht="15" hidden="false" customHeight="false" outlineLevel="0" collapsed="false">
      <c r="B64" s="31" t="s">
        <v>227</v>
      </c>
      <c r="C64" s="32" t="n">
        <v>16659.49782</v>
      </c>
      <c r="D64" s="32" t="n">
        <v>16659.49782</v>
      </c>
      <c r="E64" s="32" t="n">
        <v>16659.49782</v>
      </c>
      <c r="F64" s="32" t="n">
        <v>0</v>
      </c>
      <c r="G64" s="32" t="n">
        <v>16659.49782</v>
      </c>
      <c r="H64" s="32" t="n">
        <v>0</v>
      </c>
      <c r="I64" s="33" t="s">
        <v>97</v>
      </c>
      <c r="J64" s="34" t="n">
        <v>5</v>
      </c>
    </row>
    <row r="65" customFormat="false" ht="15" hidden="false" customHeight="false" outlineLevel="0" collapsed="false">
      <c r="B65" s="35" t="s">
        <v>228</v>
      </c>
      <c r="C65" s="36" t="n">
        <v>47201.91049</v>
      </c>
      <c r="D65" s="36" t="n">
        <v>0</v>
      </c>
      <c r="E65" s="36" t="n">
        <v>8976.28586</v>
      </c>
      <c r="F65" s="36" t="n">
        <v>1598.51666</v>
      </c>
      <c r="G65" s="36" t="n">
        <v>10574.80252</v>
      </c>
      <c r="H65" s="36" t="n">
        <v>38705.5666018</v>
      </c>
      <c r="I65" s="37" t="s">
        <v>90</v>
      </c>
      <c r="J65" s="38" t="n">
        <v>30</v>
      </c>
    </row>
    <row r="66" customFormat="false" ht="15" hidden="false" customHeight="false" outlineLevel="0" collapsed="false">
      <c r="B66" s="31" t="s">
        <v>229</v>
      </c>
      <c r="C66" s="32" t="n">
        <v>9004.061917</v>
      </c>
      <c r="D66" s="32" t="n">
        <v>9004.061917</v>
      </c>
      <c r="E66" s="32" t="n">
        <v>9004.061917</v>
      </c>
      <c r="F66" s="32" t="n">
        <v>0</v>
      </c>
      <c r="G66" s="32" t="n">
        <v>9004.061917</v>
      </c>
      <c r="H66" s="32" t="n">
        <v>0</v>
      </c>
      <c r="I66" s="33" t="s">
        <v>97</v>
      </c>
      <c r="J66" s="34" t="n">
        <v>5</v>
      </c>
    </row>
    <row r="67" customFormat="false" ht="15" hidden="false" customHeight="false" outlineLevel="0" collapsed="false">
      <c r="B67" s="35" t="s">
        <v>230</v>
      </c>
      <c r="C67" s="36" t="n">
        <v>25266.905027</v>
      </c>
      <c r="D67" s="36" t="n">
        <v>0</v>
      </c>
      <c r="E67" s="36" t="n">
        <v>4795.54998</v>
      </c>
      <c r="F67" s="36" t="n">
        <v>848.443458</v>
      </c>
      <c r="G67" s="36" t="n">
        <v>5656.28972</v>
      </c>
      <c r="H67" s="36" t="n">
        <v>23498.22167511</v>
      </c>
      <c r="I67" s="37" t="s">
        <v>90</v>
      </c>
      <c r="J67" s="38" t="n">
        <v>30</v>
      </c>
    </row>
    <row r="68" customFormat="false" ht="15" hidden="false" customHeight="false" outlineLevel="0" collapsed="false">
      <c r="B68" s="31" t="s">
        <v>231</v>
      </c>
      <c r="C68" s="32" t="n">
        <v>60291.51592</v>
      </c>
      <c r="D68" s="32" t="n">
        <v>48391.87462</v>
      </c>
      <c r="E68" s="32" t="n">
        <v>50906.60748</v>
      </c>
      <c r="F68" s="32" t="n">
        <v>3934.81024</v>
      </c>
      <c r="G68" s="32" t="n">
        <v>54841.41772</v>
      </c>
      <c r="H68" s="32" t="n">
        <v>2893.99276416</v>
      </c>
      <c r="I68" s="33" t="s">
        <v>97</v>
      </c>
      <c r="J68" s="34" t="n">
        <v>5</v>
      </c>
    </row>
    <row r="69" customFormat="false" ht="15" hidden="false" customHeight="false" outlineLevel="0" collapsed="false">
      <c r="B69" s="35" t="s">
        <v>232</v>
      </c>
      <c r="C69" s="36" t="n">
        <v>168974.90646</v>
      </c>
      <c r="D69" s="36" t="n">
        <v>0</v>
      </c>
      <c r="E69" s="36" t="n">
        <v>4057.77306</v>
      </c>
      <c r="F69" s="36" t="n">
        <v>5656.28972</v>
      </c>
      <c r="G69" s="36" t="n">
        <v>9714.06278</v>
      </c>
      <c r="H69" s="36" t="n">
        <v>163905.6592662</v>
      </c>
      <c r="I69" s="37" t="s">
        <v>90</v>
      </c>
      <c r="J69" s="38" t="n">
        <v>30</v>
      </c>
    </row>
    <row r="70" customFormat="false" ht="15" hidden="false" customHeight="false" outlineLevel="0" collapsed="false">
      <c r="B70" s="31" t="s">
        <v>233</v>
      </c>
      <c r="C70" s="32" t="n">
        <v>420.4539926</v>
      </c>
      <c r="D70" s="32" t="n">
        <v>420.4539926</v>
      </c>
      <c r="E70" s="32" t="n">
        <v>420.4539926</v>
      </c>
      <c r="F70" s="32" t="n">
        <v>0</v>
      </c>
      <c r="G70" s="32" t="n">
        <v>420.4539926</v>
      </c>
      <c r="H70" s="32" t="n">
        <v>0</v>
      </c>
      <c r="I70" s="33" t="s">
        <v>97</v>
      </c>
      <c r="J70" s="34" t="n">
        <v>5</v>
      </c>
    </row>
    <row r="71" customFormat="false" ht="15" hidden="false" customHeight="false" outlineLevel="0" collapsed="false">
      <c r="B71" s="35" t="s">
        <v>234</v>
      </c>
      <c r="C71" s="36" t="n">
        <v>1189.96413</v>
      </c>
      <c r="D71" s="36" t="n">
        <v>0</v>
      </c>
      <c r="E71" s="36" t="n">
        <v>122.96282</v>
      </c>
      <c r="F71" s="36" t="n">
        <v>36.888846</v>
      </c>
      <c r="G71" s="36" t="n">
        <v>159.851666</v>
      </c>
      <c r="H71" s="36" t="n">
        <v>1154.2652061</v>
      </c>
      <c r="I71" s="37" t="s">
        <v>90</v>
      </c>
      <c r="J71" s="38" t="n">
        <v>30</v>
      </c>
    </row>
    <row r="72" customFormat="false" ht="15" hidden="false" customHeight="false" outlineLevel="0" collapsed="false">
      <c r="B72" s="31" t="s">
        <v>235</v>
      </c>
      <c r="C72" s="32" t="n">
        <v>2300.597318</v>
      </c>
      <c r="D72" s="32" t="n">
        <v>2300.597318</v>
      </c>
      <c r="E72" s="32" t="n">
        <v>2300.597318</v>
      </c>
      <c r="F72" s="32" t="n">
        <v>0</v>
      </c>
      <c r="G72" s="32" t="n">
        <v>2300.597318</v>
      </c>
      <c r="H72" s="32" t="n">
        <v>0</v>
      </c>
      <c r="I72" s="33" t="s">
        <v>97</v>
      </c>
      <c r="J72" s="34" t="n">
        <v>5</v>
      </c>
    </row>
    <row r="73" customFormat="false" ht="15" hidden="false" customHeight="false" outlineLevel="0" collapsed="false">
      <c r="B73" s="35" t="s">
        <v>236</v>
      </c>
      <c r="C73" s="36" t="n">
        <v>6465.471773</v>
      </c>
      <c r="D73" s="36" t="n">
        <v>0</v>
      </c>
      <c r="E73" s="36" t="n">
        <v>1168.14679</v>
      </c>
      <c r="F73" s="36" t="n">
        <v>216.4145632</v>
      </c>
      <c r="G73" s="36" t="n">
        <v>1389.479866</v>
      </c>
      <c r="H73" s="36" t="n">
        <v>6012.88874889</v>
      </c>
      <c r="I73" s="37" t="s">
        <v>90</v>
      </c>
      <c r="J73" s="38" t="n">
        <v>30</v>
      </c>
    </row>
    <row r="74" customFormat="false" ht="15" hidden="false" customHeight="false" outlineLevel="0" collapsed="false">
      <c r="B74" s="31" t="s">
        <v>237</v>
      </c>
      <c r="C74" s="32" t="n">
        <v>1983.27355</v>
      </c>
      <c r="D74" s="32" t="n">
        <v>1983.27355</v>
      </c>
      <c r="E74" s="32" t="n">
        <v>1983.27355</v>
      </c>
      <c r="F74" s="32" t="n">
        <v>0</v>
      </c>
      <c r="G74" s="32" t="n">
        <v>1983.27355</v>
      </c>
      <c r="H74" s="32" t="n">
        <v>0</v>
      </c>
      <c r="I74" s="33" t="s">
        <v>97</v>
      </c>
      <c r="J74" s="34" t="n">
        <v>5</v>
      </c>
    </row>
    <row r="75" customFormat="false" ht="15" hidden="false" customHeight="false" outlineLevel="0" collapsed="false">
      <c r="B75" s="35" t="s">
        <v>238</v>
      </c>
      <c r="C75" s="36" t="n">
        <v>5553.16594</v>
      </c>
      <c r="D75" s="36" t="n">
        <v>0</v>
      </c>
      <c r="E75" s="36" t="n">
        <v>196.740512</v>
      </c>
      <c r="F75" s="36" t="n">
        <v>184.44423</v>
      </c>
      <c r="G75" s="36" t="n">
        <v>381.184742</v>
      </c>
      <c r="H75" s="36" t="n">
        <v>5442.1026212</v>
      </c>
      <c r="I75" s="37" t="s">
        <v>90</v>
      </c>
      <c r="J75" s="38" t="n">
        <v>30</v>
      </c>
    </row>
    <row r="76" customFormat="false" ht="15" hidden="false" customHeight="false" outlineLevel="0" collapsed="false">
      <c r="B76" s="31" t="s">
        <v>239</v>
      </c>
      <c r="C76" s="32" t="n">
        <v>13287.932785</v>
      </c>
      <c r="D76" s="32" t="n">
        <v>10630.346228</v>
      </c>
      <c r="E76" s="32" t="n">
        <v>11951.986104</v>
      </c>
      <c r="F76" s="32" t="n">
        <v>909.924868</v>
      </c>
      <c r="G76" s="32" t="n">
        <v>12861.910972</v>
      </c>
      <c r="H76" s="32" t="n">
        <v>146.167260635</v>
      </c>
      <c r="I76" s="33" t="s">
        <v>97</v>
      </c>
      <c r="J76" s="34" t="n">
        <v>5</v>
      </c>
    </row>
    <row r="77" customFormat="false" ht="15" hidden="false" customHeight="false" outlineLevel="0" collapsed="false">
      <c r="B77" s="35" t="s">
        <v>240</v>
      </c>
      <c r="C77" s="36" t="n">
        <v>37087.215385</v>
      </c>
      <c r="D77" s="36" t="n">
        <v>0</v>
      </c>
      <c r="E77" s="36" t="n">
        <v>1008.295124</v>
      </c>
      <c r="F77" s="36" t="n">
        <v>1426.368712</v>
      </c>
      <c r="G77" s="36" t="n">
        <v>2434.663836</v>
      </c>
      <c r="H77" s="36" t="n">
        <v>36345.4710773</v>
      </c>
      <c r="I77" s="37" t="s">
        <v>90</v>
      </c>
      <c r="J77" s="38" t="n">
        <v>30</v>
      </c>
    </row>
    <row r="78" customFormat="false" ht="15" hidden="false" customHeight="false" outlineLevel="0" collapsed="false">
      <c r="A78" s="10"/>
      <c r="B78" s="11" t="s">
        <v>24</v>
      </c>
      <c r="C78" s="39" t="n">
        <f aca="false">SUM(C64:C77)</f>
        <v>395686.8725076</v>
      </c>
      <c r="D78" s="39" t="n">
        <f aca="false">SUM(D64:D77)</f>
        <v>89390.1054456</v>
      </c>
      <c r="E78" s="39" t="n">
        <f aca="false">SUM(E64:E77)</f>
        <v>113552.2323276</v>
      </c>
      <c r="F78" s="39" t="n">
        <f aca="false">SUM(F64:F77)</f>
        <v>14812.1012972</v>
      </c>
      <c r="G78" s="39" t="n">
        <f aca="false">SUM(G64:G77)</f>
        <v>128381.5484196</v>
      </c>
      <c r="H78" s="39" t="n">
        <f aca="false">SUM(H64:H77)</f>
        <v>278104.335221395</v>
      </c>
      <c r="I78" s="10"/>
      <c r="J78" s="10"/>
    </row>
    <row r="80" customFormat="false" ht="15" hidden="false" customHeight="false" outlineLevel="0" collapsed="false">
      <c r="A80" s="27" t="s">
        <v>48</v>
      </c>
      <c r="B80" s="27"/>
      <c r="C80" s="27"/>
      <c r="D80" s="27"/>
      <c r="E80" s="27"/>
    </row>
    <row r="81" customFormat="false" ht="15" hidden="false" customHeight="false" outlineLevel="0" collapsed="false">
      <c r="B81" s="8" t="s">
        <v>114</v>
      </c>
      <c r="C81" s="41" t="n">
        <f aca="false">G60</f>
        <v>33833.708157303</v>
      </c>
    </row>
    <row r="82" customFormat="false" ht="15" hidden="false" customHeight="false" outlineLevel="0" collapsed="false">
      <c r="B82" s="8" t="s">
        <v>115</v>
      </c>
      <c r="C82" s="41" t="n">
        <f aca="false">G78</f>
        <v>128381.5484196</v>
      </c>
    </row>
    <row r="83" customFormat="false" ht="15" hidden="false" customHeight="false" outlineLevel="0" collapsed="false">
      <c r="B83" s="17" t="s">
        <v>48</v>
      </c>
      <c r="C83" s="42" t="n">
        <f aca="false">C82-C81</f>
        <v>94547.840262297</v>
      </c>
    </row>
  </sheetData>
  <mergeCells count="11">
    <mergeCell ref="A2:J2"/>
    <mergeCell ref="A3:J3"/>
    <mergeCell ref="A4:J4"/>
    <mergeCell ref="A8:J8"/>
    <mergeCell ref="B10:J10"/>
    <mergeCell ref="B22:J22"/>
    <mergeCell ref="B40:J40"/>
    <mergeCell ref="A50:J50"/>
    <mergeCell ref="A51:J51"/>
    <mergeCell ref="A62:J62"/>
    <mergeCell ref="A80:E8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241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50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51</v>
      </c>
      <c r="C6" s="8" t="s">
        <v>26</v>
      </c>
    </row>
    <row r="8" customFormat="false" ht="15" hidden="false" customHeight="false" outlineLevel="0" collapsed="false">
      <c r="A8" s="21" t="s">
        <v>242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53</v>
      </c>
      <c r="C9" s="23" t="s">
        <v>54</v>
      </c>
      <c r="D9" s="23" t="s">
        <v>55</v>
      </c>
      <c r="E9" s="23" t="s">
        <v>56</v>
      </c>
      <c r="F9" s="23" t="s">
        <v>57</v>
      </c>
      <c r="G9" s="23" t="s">
        <v>58</v>
      </c>
      <c r="H9" s="23" t="s">
        <v>59</v>
      </c>
    </row>
    <row r="10" customFormat="false" ht="15" hidden="false" customHeight="false" outlineLevel="0" collapsed="false">
      <c r="A10" s="5"/>
      <c r="B10" s="6" t="s">
        <v>118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119</v>
      </c>
      <c r="C11" s="16" t="n">
        <v>31452.73</v>
      </c>
      <c r="D11" s="16" t="n">
        <v>31452.73</v>
      </c>
    </row>
    <row r="12" customFormat="false" ht="15" hidden="false" customHeight="false" outlineLevel="0" collapsed="false">
      <c r="B12" s="8" t="s">
        <v>120</v>
      </c>
      <c r="C12" s="16" t="n">
        <v>8394.17</v>
      </c>
      <c r="D12" s="16" t="n">
        <v>8394.17</v>
      </c>
    </row>
    <row r="13" customFormat="false" ht="15" hidden="false" customHeight="false" outlineLevel="0" collapsed="false">
      <c r="B13" s="8" t="s">
        <v>121</v>
      </c>
      <c r="C13" s="16" t="n">
        <v>32815.89</v>
      </c>
      <c r="D13" s="16" t="n">
        <v>32815.89</v>
      </c>
    </row>
    <row r="14" customFormat="false" ht="15" hidden="false" customHeight="false" outlineLevel="0" collapsed="false">
      <c r="B14" s="8" t="s">
        <v>122</v>
      </c>
      <c r="C14" s="16" t="n">
        <v>2648.72</v>
      </c>
      <c r="D14" s="16" t="n">
        <v>2648.72</v>
      </c>
    </row>
    <row r="15" customFormat="false" ht="15" hidden="false" customHeight="false" outlineLevel="0" collapsed="false">
      <c r="B15" s="8" t="s">
        <v>123</v>
      </c>
      <c r="C15" s="16" t="n">
        <v>0.394</v>
      </c>
      <c r="D15" s="16" t="n">
        <v>0.394</v>
      </c>
    </row>
    <row r="16" customFormat="false" ht="15" hidden="false" customHeight="false" outlineLevel="0" collapsed="false">
      <c r="B16" s="8" t="s">
        <v>124</v>
      </c>
      <c r="C16" s="16" t="n">
        <v>5344.3</v>
      </c>
      <c r="D16" s="16" t="n">
        <v>5344.3</v>
      </c>
    </row>
    <row r="17" customFormat="false" ht="15" hidden="false" customHeight="false" outlineLevel="0" collapsed="false">
      <c r="B17" s="8" t="s">
        <v>125</v>
      </c>
      <c r="C17" s="16" t="n">
        <v>2858.97</v>
      </c>
      <c r="D17" s="16" t="n">
        <v>2858.97</v>
      </c>
    </row>
    <row r="18" customFormat="false" ht="15" hidden="false" customHeight="false" outlineLevel="0" collapsed="false">
      <c r="B18" s="8" t="s">
        <v>126</v>
      </c>
      <c r="C18" s="16" t="n">
        <v>9687.68</v>
      </c>
      <c r="D18" s="16" t="n">
        <v>9687.68</v>
      </c>
    </row>
    <row r="19" customFormat="false" ht="15" hidden="false" customHeight="false" outlineLevel="0" collapsed="false">
      <c r="B19" s="8" t="s">
        <v>127</v>
      </c>
      <c r="C19" s="16" t="n">
        <v>2139.23</v>
      </c>
      <c r="D19" s="16" t="n">
        <v>2139.23</v>
      </c>
    </row>
    <row r="20" customFormat="false" ht="15" hidden="false" customHeight="false" outlineLevel="0" collapsed="false">
      <c r="B20" s="8" t="s">
        <v>128</v>
      </c>
      <c r="C20" s="16" t="n">
        <v>605.69</v>
      </c>
      <c r="D20" s="16" t="n">
        <v>605.69</v>
      </c>
    </row>
    <row r="21" customFormat="false" ht="15" hidden="false" customHeight="false" outlineLevel="0" collapsed="false">
      <c r="B21" s="8" t="s">
        <v>129</v>
      </c>
      <c r="C21" s="16" t="n">
        <v>8326.94</v>
      </c>
      <c r="D21" s="16" t="n">
        <v>8326.94</v>
      </c>
    </row>
    <row r="22" customFormat="false" ht="15" hidden="false" customHeight="false" outlineLevel="0" collapsed="false">
      <c r="A22" s="5"/>
      <c r="B22" s="6" t="s">
        <v>130</v>
      </c>
      <c r="C22" s="6"/>
      <c r="D22" s="6"/>
      <c r="E22" s="6"/>
      <c r="F22" s="6"/>
      <c r="G22" s="6"/>
      <c r="H22" s="6"/>
      <c r="I22" s="6"/>
      <c r="J22" s="6"/>
    </row>
    <row r="23" customFormat="false" ht="15" hidden="false" customHeight="false" outlineLevel="0" collapsed="false">
      <c r="B23" s="8" t="s">
        <v>131</v>
      </c>
      <c r="C23" s="16" t="n">
        <v>25000</v>
      </c>
      <c r="G23" s="16" t="n">
        <v>25000</v>
      </c>
    </row>
    <row r="24" customFormat="false" ht="15" hidden="false" customHeight="false" outlineLevel="0" collapsed="false">
      <c r="B24" s="8" t="s">
        <v>132</v>
      </c>
      <c r="C24" s="16" t="n">
        <v>32000</v>
      </c>
      <c r="G24" s="16" t="n">
        <v>32000</v>
      </c>
    </row>
    <row r="25" customFormat="false" ht="15" hidden="false" customHeight="false" outlineLevel="0" collapsed="false">
      <c r="B25" s="8" t="s">
        <v>133</v>
      </c>
      <c r="C25" s="16" t="n">
        <v>33000</v>
      </c>
      <c r="G25" s="16" t="n">
        <v>33000</v>
      </c>
    </row>
    <row r="26" customFormat="false" ht="15" hidden="false" customHeight="false" outlineLevel="0" collapsed="false">
      <c r="B26" s="8" t="s">
        <v>134</v>
      </c>
      <c r="C26" s="16" t="n">
        <v>27000</v>
      </c>
      <c r="G26" s="16" t="n">
        <v>27000</v>
      </c>
    </row>
    <row r="27" customFormat="false" ht="15" hidden="false" customHeight="false" outlineLevel="0" collapsed="false">
      <c r="B27" s="8" t="s">
        <v>135</v>
      </c>
      <c r="C27" s="16" t="n">
        <v>2200</v>
      </c>
      <c r="G27" s="16" t="n">
        <v>2200</v>
      </c>
    </row>
    <row r="28" customFormat="false" ht="15" hidden="false" customHeight="false" outlineLevel="0" collapsed="false">
      <c r="B28" s="8" t="s">
        <v>136</v>
      </c>
      <c r="C28" s="16" t="n">
        <v>20000</v>
      </c>
      <c r="G28" s="16" t="n">
        <v>20000</v>
      </c>
    </row>
    <row r="29" customFormat="false" ht="15" hidden="false" customHeight="false" outlineLevel="0" collapsed="false">
      <c r="B29" s="8" t="s">
        <v>137</v>
      </c>
      <c r="C29" s="16" t="n">
        <v>18000</v>
      </c>
      <c r="G29" s="16" t="n">
        <v>18000</v>
      </c>
    </row>
    <row r="30" customFormat="false" ht="15" hidden="false" customHeight="false" outlineLevel="0" collapsed="false">
      <c r="B30" s="8" t="s">
        <v>138</v>
      </c>
      <c r="C30" s="16" t="n">
        <v>16000</v>
      </c>
      <c r="G30" s="16" t="n">
        <v>16000</v>
      </c>
    </row>
    <row r="31" customFormat="false" ht="15" hidden="false" customHeight="false" outlineLevel="0" collapsed="false">
      <c r="B31" s="8" t="s">
        <v>139</v>
      </c>
      <c r="C31" s="16" t="n">
        <v>15000</v>
      </c>
      <c r="G31" s="16" t="n">
        <v>15000</v>
      </c>
    </row>
    <row r="32" customFormat="false" ht="15" hidden="false" customHeight="false" outlineLevel="0" collapsed="false">
      <c r="B32" s="8" t="s">
        <v>140</v>
      </c>
      <c r="C32" s="16" t="n">
        <v>40000</v>
      </c>
      <c r="G32" s="16" t="n">
        <v>40000</v>
      </c>
    </row>
    <row r="33" customFormat="false" ht="15" hidden="false" customHeight="false" outlineLevel="0" collapsed="false">
      <c r="B33" s="8" t="s">
        <v>141</v>
      </c>
      <c r="C33" s="16" t="n">
        <v>17000</v>
      </c>
      <c r="G33" s="16" t="n">
        <v>17000</v>
      </c>
    </row>
    <row r="34" customFormat="false" ht="15" hidden="false" customHeight="false" outlineLevel="0" collapsed="false">
      <c r="B34" s="8" t="s">
        <v>142</v>
      </c>
      <c r="C34" s="16" t="n">
        <v>1400</v>
      </c>
      <c r="G34" s="16" t="n">
        <v>1400</v>
      </c>
    </row>
    <row r="35" customFormat="false" ht="15" hidden="false" customHeight="false" outlineLevel="0" collapsed="false">
      <c r="B35" s="8" t="s">
        <v>143</v>
      </c>
      <c r="C35" s="16" t="n">
        <v>44000</v>
      </c>
      <c r="G35" s="16" t="n">
        <v>44000</v>
      </c>
    </row>
    <row r="36" customFormat="false" ht="15" hidden="false" customHeight="false" outlineLevel="0" collapsed="false">
      <c r="B36" s="8" t="s">
        <v>144</v>
      </c>
      <c r="C36" s="16" t="n">
        <v>9000</v>
      </c>
      <c r="G36" s="16" t="n">
        <v>9000</v>
      </c>
    </row>
    <row r="37" customFormat="false" ht="15" hidden="false" customHeight="false" outlineLevel="0" collapsed="false">
      <c r="B37" s="8" t="s">
        <v>145</v>
      </c>
      <c r="C37" s="16" t="n">
        <v>3500</v>
      </c>
      <c r="G37" s="16" t="n">
        <v>3500</v>
      </c>
    </row>
    <row r="38" customFormat="false" ht="15" hidden="false" customHeight="false" outlineLevel="0" collapsed="false">
      <c r="A38" s="24"/>
      <c r="B38" s="25" t="s">
        <v>69</v>
      </c>
      <c r="C38" s="26" t="n">
        <f aca="false">SUM(C10:C37)</f>
        <v>407374.714</v>
      </c>
      <c r="D38" s="26" t="n">
        <f aca="false">SUM(D10:D37)</f>
        <v>104274.714</v>
      </c>
      <c r="E38" s="26" t="n">
        <f aca="false">SUM(E10:E37)</f>
        <v>0</v>
      </c>
      <c r="F38" s="26" t="n">
        <f aca="false">SUM(F10:F37)</f>
        <v>0</v>
      </c>
      <c r="G38" s="26" t="n">
        <f aca="false">SUM(G10:G37)</f>
        <v>303100</v>
      </c>
      <c r="H38" s="24"/>
    </row>
    <row r="40" customFormat="false" ht="15" hidden="false" customHeight="false" outlineLevel="0" collapsed="false">
      <c r="A40" s="5"/>
      <c r="B40" s="6" t="s">
        <v>70</v>
      </c>
      <c r="C40" s="6"/>
      <c r="D40" s="6"/>
      <c r="E40" s="6"/>
      <c r="F40" s="6"/>
      <c r="G40" s="6"/>
      <c r="H40" s="6"/>
      <c r="I40" s="6"/>
      <c r="J40" s="6"/>
    </row>
    <row r="41" customFormat="false" ht="15" hidden="false" customHeight="false" outlineLevel="0" collapsed="false">
      <c r="B41" s="8" t="s">
        <v>71</v>
      </c>
      <c r="C41" s="16" t="n">
        <v>71853.98766</v>
      </c>
      <c r="D41" s="16" t="n">
        <v>18009.14283</v>
      </c>
      <c r="G41" s="16" t="n">
        <v>53844.84483</v>
      </c>
    </row>
    <row r="42" customFormat="false" ht="15" hidden="false" customHeight="false" outlineLevel="0" collapsed="false">
      <c r="B42" s="8" t="s">
        <v>146</v>
      </c>
      <c r="C42" s="16" t="n">
        <v>38560.152384</v>
      </c>
      <c r="D42" s="16" t="n">
        <v>9664.533792</v>
      </c>
      <c r="G42" s="16" t="n">
        <v>28895.618592</v>
      </c>
    </row>
    <row r="43" customFormat="false" ht="15" hidden="false" customHeight="false" outlineLevel="0" collapsed="false">
      <c r="B43" s="8" t="s">
        <v>147</v>
      </c>
      <c r="C43" s="16" t="n">
        <v>259299.17286</v>
      </c>
      <c r="D43" s="16" t="n">
        <v>64989.51543</v>
      </c>
      <c r="G43" s="16" t="n">
        <v>194309.65743</v>
      </c>
    </row>
    <row r="44" customFormat="false" ht="15" hidden="false" customHeight="false" outlineLevel="0" collapsed="false">
      <c r="B44" s="8" t="s">
        <v>148</v>
      </c>
      <c r="C44" s="16" t="n">
        <v>1811.9701236</v>
      </c>
      <c r="D44" s="16" t="n">
        <v>454.1436018</v>
      </c>
      <c r="G44" s="16" t="n">
        <v>1357.8265218</v>
      </c>
    </row>
    <row r="45" customFormat="false" ht="15" hidden="false" customHeight="false" outlineLevel="0" collapsed="false">
      <c r="B45" s="8" t="s">
        <v>75</v>
      </c>
      <c r="C45" s="16" t="n">
        <v>9863.187126</v>
      </c>
      <c r="D45" s="16" t="n">
        <v>2472.062463</v>
      </c>
      <c r="G45" s="16" t="n">
        <v>7391.124663</v>
      </c>
    </row>
    <row r="46" customFormat="false" ht="15" hidden="false" customHeight="false" outlineLevel="0" collapsed="false">
      <c r="B46" s="8" t="s">
        <v>149</v>
      </c>
      <c r="C46" s="16" t="n">
        <v>8479.66314</v>
      </c>
      <c r="D46" s="16" t="n">
        <v>2125.30257</v>
      </c>
      <c r="G46" s="16" t="n">
        <v>6354.36057</v>
      </c>
    </row>
    <row r="47" customFormat="false" ht="15" hidden="false" customHeight="false" outlineLevel="0" collapsed="false">
      <c r="B47" s="8" t="s">
        <v>150</v>
      </c>
      <c r="C47" s="16" t="n">
        <v>56679.85362</v>
      </c>
      <c r="D47" s="16" t="n">
        <v>14205.96981</v>
      </c>
      <c r="G47" s="16" t="n">
        <v>42473.88381</v>
      </c>
    </row>
    <row r="48" customFormat="false" ht="15" hidden="false" customHeight="false" outlineLevel="0" collapsed="false">
      <c r="A48" s="24"/>
      <c r="B48" s="25" t="s">
        <v>78</v>
      </c>
      <c r="C48" s="26" t="n">
        <f aca="false">SUM(C41:C47)</f>
        <v>446547.9869136</v>
      </c>
      <c r="D48" s="26" t="n">
        <f aca="false">SUM(D41:D47)</f>
        <v>111920.6704968</v>
      </c>
      <c r="E48" s="24"/>
      <c r="F48" s="26" t="n">
        <f aca="false">SUM(F41:F47)</f>
        <v>0</v>
      </c>
      <c r="G48" s="26" t="n">
        <f aca="false">SUM(G41:G47)</f>
        <v>334627.3164168</v>
      </c>
      <c r="H48" s="24"/>
    </row>
    <row r="50" customFormat="false" ht="15" hidden="false" customHeight="false" outlineLevel="0" collapsed="false">
      <c r="A50" s="27" t="s">
        <v>79</v>
      </c>
      <c r="B50" s="27"/>
      <c r="C50" s="27"/>
      <c r="D50" s="27"/>
      <c r="E50" s="27"/>
      <c r="F50" s="27"/>
      <c r="G50" s="27"/>
      <c r="H50" s="27"/>
      <c r="I50" s="27"/>
      <c r="J50" s="27"/>
    </row>
    <row r="51" customFormat="false" ht="15" hidden="false" customHeight="false" outlineLevel="0" collapsed="false">
      <c r="A51" s="28" t="s">
        <v>46</v>
      </c>
      <c r="B51" s="28"/>
      <c r="C51" s="28"/>
      <c r="D51" s="28"/>
      <c r="E51" s="28"/>
      <c r="F51" s="28"/>
      <c r="G51" s="28"/>
      <c r="H51" s="28"/>
      <c r="I51" s="28"/>
      <c r="J51" s="28"/>
    </row>
    <row r="52" customFormat="false" ht="15" hidden="false" customHeight="false" outlineLevel="0" collapsed="false">
      <c r="A52" s="29"/>
      <c r="B52" s="29" t="s">
        <v>80</v>
      </c>
      <c r="C52" s="30" t="s">
        <v>81</v>
      </c>
      <c r="D52" s="30" t="s">
        <v>82</v>
      </c>
      <c r="E52" s="30" t="s">
        <v>83</v>
      </c>
      <c r="F52" s="30" t="s">
        <v>84</v>
      </c>
      <c r="G52" s="30" t="s">
        <v>85</v>
      </c>
      <c r="H52" s="30" t="s">
        <v>86</v>
      </c>
      <c r="I52" s="30" t="s">
        <v>87</v>
      </c>
      <c r="J52" s="30" t="s">
        <v>88</v>
      </c>
    </row>
    <row r="53" customFormat="false" ht="15" hidden="false" customHeight="false" outlineLevel="0" collapsed="false">
      <c r="B53" s="31" t="s">
        <v>243</v>
      </c>
      <c r="C53" s="32" t="n">
        <v>71853.98766</v>
      </c>
      <c r="D53" s="32" t="n">
        <v>0</v>
      </c>
      <c r="E53" s="32" t="n">
        <v>4416.9804</v>
      </c>
      <c r="F53" s="32" t="n">
        <v>1472.3268</v>
      </c>
      <c r="G53" s="32" t="n">
        <v>5889.3072</v>
      </c>
      <c r="H53" s="32" t="n">
        <v>61075.889511</v>
      </c>
      <c r="I53" s="33" t="s">
        <v>90</v>
      </c>
      <c r="J53" s="34" t="n">
        <v>30</v>
      </c>
    </row>
    <row r="54" customFormat="false" ht="15" hidden="false" customHeight="false" outlineLevel="0" collapsed="false">
      <c r="B54" s="35" t="s">
        <v>244</v>
      </c>
      <c r="C54" s="36" t="n">
        <v>38560.152384</v>
      </c>
      <c r="D54" s="36" t="n">
        <v>0</v>
      </c>
      <c r="E54" s="36" t="n">
        <v>2392.53105</v>
      </c>
      <c r="F54" s="36" t="n">
        <v>809.77974</v>
      </c>
      <c r="G54" s="36" t="n">
        <v>3202.31079</v>
      </c>
      <c r="H54" s="36" t="n">
        <v>33932.93409792</v>
      </c>
      <c r="I54" s="37" t="s">
        <v>90</v>
      </c>
      <c r="J54" s="38" t="n">
        <v>30</v>
      </c>
    </row>
    <row r="55" customFormat="false" ht="15" hidden="false" customHeight="false" outlineLevel="0" collapsed="false">
      <c r="B55" s="31" t="s">
        <v>245</v>
      </c>
      <c r="C55" s="32" t="n">
        <v>259299.17286</v>
      </c>
      <c r="D55" s="32" t="n">
        <v>0</v>
      </c>
      <c r="E55" s="32" t="n">
        <v>16195.5948</v>
      </c>
      <c r="F55" s="32" t="n">
        <v>5521.2255</v>
      </c>
      <c r="G55" s="32" t="n">
        <v>21716.8203</v>
      </c>
      <c r="H55" s="32" t="n">
        <v>233369.255574</v>
      </c>
      <c r="I55" s="33" t="s">
        <v>90</v>
      </c>
      <c r="J55" s="34" t="n">
        <v>30</v>
      </c>
    </row>
    <row r="56" customFormat="false" ht="15" hidden="false" customHeight="false" outlineLevel="0" collapsed="false">
      <c r="B56" s="35" t="s">
        <v>246</v>
      </c>
      <c r="C56" s="36" t="n">
        <v>1811.9701236</v>
      </c>
      <c r="D56" s="36" t="n">
        <v>0</v>
      </c>
      <c r="E56" s="36" t="n">
        <v>110.42451</v>
      </c>
      <c r="F56" s="36" t="n">
        <v>36.80817</v>
      </c>
      <c r="G56" s="36" t="n">
        <v>147.23268</v>
      </c>
      <c r="H56" s="36" t="n">
        <v>1594.533708768</v>
      </c>
      <c r="I56" s="37" t="s">
        <v>90</v>
      </c>
      <c r="J56" s="38" t="n">
        <v>30</v>
      </c>
    </row>
    <row r="57" customFormat="false" ht="15" hidden="false" customHeight="false" outlineLevel="0" collapsed="false">
      <c r="B57" s="31" t="s">
        <v>247</v>
      </c>
      <c r="C57" s="32" t="n">
        <v>9863.187126</v>
      </c>
      <c r="D57" s="32" t="n">
        <v>2524.975904256</v>
      </c>
      <c r="E57" s="32" t="n">
        <v>2524.975904256</v>
      </c>
      <c r="F57" s="32" t="n">
        <v>759.465408702</v>
      </c>
      <c r="G57" s="32" t="n">
        <v>3284.441312958</v>
      </c>
      <c r="H57" s="32" t="n">
        <v>6578.745813042</v>
      </c>
      <c r="I57" s="33" t="s">
        <v>95</v>
      </c>
      <c r="J57" s="34" t="n">
        <v>15</v>
      </c>
    </row>
    <row r="58" customFormat="false" ht="15" hidden="false" customHeight="false" outlineLevel="0" collapsed="false">
      <c r="B58" s="35" t="s">
        <v>248</v>
      </c>
      <c r="C58" s="36" t="n">
        <v>8479.66314</v>
      </c>
      <c r="D58" s="36" t="n">
        <v>0</v>
      </c>
      <c r="E58" s="36" t="n">
        <v>0</v>
      </c>
      <c r="F58" s="36" t="n">
        <v>0</v>
      </c>
      <c r="G58" s="36" t="n">
        <v>0</v>
      </c>
      <c r="H58" s="36" t="n">
        <v>8479.66314</v>
      </c>
      <c r="I58" s="37" t="s">
        <v>97</v>
      </c>
      <c r="J58" s="38" t="n">
        <v>5</v>
      </c>
    </row>
    <row r="59" customFormat="false" ht="15" hidden="false" customHeight="false" outlineLevel="0" collapsed="false">
      <c r="B59" s="31" t="s">
        <v>249</v>
      </c>
      <c r="C59" s="32" t="n">
        <v>56679.85362</v>
      </c>
      <c r="D59" s="32" t="n">
        <v>0</v>
      </c>
      <c r="E59" s="32" t="n">
        <v>1472.3268</v>
      </c>
      <c r="F59" s="32" t="n">
        <v>2355.72288</v>
      </c>
      <c r="G59" s="32" t="n">
        <v>3828.04968</v>
      </c>
      <c r="H59" s="32" t="n">
        <v>50445.0697218</v>
      </c>
      <c r="I59" s="33" t="s">
        <v>97</v>
      </c>
      <c r="J59" s="34" t="n">
        <v>5</v>
      </c>
    </row>
    <row r="60" customFormat="false" ht="15" hidden="false" customHeight="false" outlineLevel="0" collapsed="false">
      <c r="A60" s="10"/>
      <c r="B60" s="11" t="s">
        <v>24</v>
      </c>
      <c r="C60" s="39" t="n">
        <f aca="false">SUM(C53:C59)</f>
        <v>446547.9869136</v>
      </c>
      <c r="D60" s="39" t="n">
        <f aca="false">SUM(D53:D59)</f>
        <v>2524.975904256</v>
      </c>
      <c r="E60" s="39" t="n">
        <f aca="false">SUM(E53:E59)</f>
        <v>27112.833464256</v>
      </c>
      <c r="F60" s="39" t="n">
        <f aca="false">SUM(F53:F59)</f>
        <v>10955.328498702</v>
      </c>
      <c r="G60" s="39" t="n">
        <f aca="false">SUM(G53:G59)</f>
        <v>38068.161962958</v>
      </c>
      <c r="H60" s="39" t="n">
        <f aca="false">SUM(H53:H59)</f>
        <v>395476.09156653</v>
      </c>
      <c r="I60" s="10"/>
      <c r="J60" s="10"/>
    </row>
    <row r="62" customFormat="false" ht="15" hidden="false" customHeight="false" outlineLevel="0" collapsed="false">
      <c r="A62" s="40" t="s">
        <v>99</v>
      </c>
      <c r="B62" s="40"/>
      <c r="C62" s="40"/>
      <c r="D62" s="40"/>
      <c r="E62" s="40"/>
      <c r="F62" s="40"/>
      <c r="G62" s="40"/>
      <c r="H62" s="40"/>
      <c r="I62" s="40"/>
      <c r="J62" s="40"/>
    </row>
    <row r="63" customFormat="false" ht="15" hidden="false" customHeight="false" outlineLevel="0" collapsed="false">
      <c r="A63" s="29"/>
      <c r="B63" s="29" t="s">
        <v>80</v>
      </c>
      <c r="C63" s="30" t="s">
        <v>81</v>
      </c>
      <c r="D63" s="30" t="s">
        <v>82</v>
      </c>
      <c r="E63" s="30" t="s">
        <v>83</v>
      </c>
      <c r="F63" s="30" t="s">
        <v>84</v>
      </c>
      <c r="G63" s="30" t="s">
        <v>85</v>
      </c>
      <c r="H63" s="30" t="s">
        <v>86</v>
      </c>
      <c r="I63" s="30" t="s">
        <v>87</v>
      </c>
      <c r="J63" s="30" t="s">
        <v>88</v>
      </c>
    </row>
    <row r="64" customFormat="false" ht="15" hidden="false" customHeight="false" outlineLevel="0" collapsed="false">
      <c r="B64" s="31" t="s">
        <v>250</v>
      </c>
      <c r="C64" s="32" t="n">
        <v>18744.51852</v>
      </c>
      <c r="D64" s="32" t="n">
        <v>18744.51852</v>
      </c>
      <c r="E64" s="32" t="n">
        <v>18744.51852</v>
      </c>
      <c r="F64" s="32" t="n">
        <v>0</v>
      </c>
      <c r="G64" s="32" t="n">
        <v>18744.51852</v>
      </c>
      <c r="H64" s="32" t="n">
        <v>0</v>
      </c>
      <c r="I64" s="33" t="s">
        <v>97</v>
      </c>
      <c r="J64" s="34" t="n">
        <v>5</v>
      </c>
    </row>
    <row r="65" customFormat="false" ht="15" hidden="false" customHeight="false" outlineLevel="0" collapsed="false">
      <c r="B65" s="35" t="s">
        <v>251</v>
      </c>
      <c r="C65" s="36" t="n">
        <v>53109.46914</v>
      </c>
      <c r="D65" s="36" t="n">
        <v>0</v>
      </c>
      <c r="E65" s="36" t="n">
        <v>9735.06611</v>
      </c>
      <c r="F65" s="36" t="n">
        <v>1733.64191</v>
      </c>
      <c r="G65" s="36" t="n">
        <v>11468.70802</v>
      </c>
      <c r="H65" s="36" t="n">
        <v>43549.7646948</v>
      </c>
      <c r="I65" s="37" t="s">
        <v>90</v>
      </c>
      <c r="J65" s="38" t="n">
        <v>30</v>
      </c>
    </row>
    <row r="66" customFormat="false" ht="15" hidden="false" customHeight="false" outlineLevel="0" collapsed="false">
      <c r="B66" s="31" t="s">
        <v>252</v>
      </c>
      <c r="C66" s="32" t="n">
        <v>10130.965962</v>
      </c>
      <c r="D66" s="32" t="n">
        <v>10130.965962</v>
      </c>
      <c r="E66" s="32" t="n">
        <v>10130.965962</v>
      </c>
      <c r="F66" s="32" t="n">
        <v>0</v>
      </c>
      <c r="G66" s="32" t="n">
        <v>10130.965962</v>
      </c>
      <c r="H66" s="32" t="n">
        <v>0</v>
      </c>
      <c r="I66" s="33" t="s">
        <v>97</v>
      </c>
      <c r="J66" s="34" t="n">
        <v>5</v>
      </c>
    </row>
    <row r="67" customFormat="false" ht="15" hidden="false" customHeight="false" outlineLevel="0" collapsed="false">
      <c r="B67" s="35" t="s">
        <v>253</v>
      </c>
      <c r="C67" s="36" t="n">
        <v>28429.186422</v>
      </c>
      <c r="D67" s="36" t="n">
        <v>0</v>
      </c>
      <c r="E67" s="36" t="n">
        <v>5200.92573</v>
      </c>
      <c r="F67" s="36" t="n">
        <v>920.163783</v>
      </c>
      <c r="G67" s="36" t="n">
        <v>6134.42522</v>
      </c>
      <c r="H67" s="36" t="n">
        <v>26439.14337246</v>
      </c>
      <c r="I67" s="37" t="s">
        <v>90</v>
      </c>
      <c r="J67" s="38" t="n">
        <v>30</v>
      </c>
    </row>
    <row r="68" customFormat="false" ht="15" hidden="false" customHeight="false" outlineLevel="0" collapsed="false">
      <c r="B68" s="31" t="s">
        <v>254</v>
      </c>
      <c r="C68" s="32" t="n">
        <v>67837.30512</v>
      </c>
      <c r="D68" s="32" t="n">
        <v>54448.36332</v>
      </c>
      <c r="E68" s="32" t="n">
        <v>55209.82698</v>
      </c>
      <c r="F68" s="32" t="n">
        <v>4267.42624</v>
      </c>
      <c r="G68" s="32" t="n">
        <v>59477.25322</v>
      </c>
      <c r="H68" s="32" t="n">
        <v>3256.19064576</v>
      </c>
      <c r="I68" s="33" t="s">
        <v>97</v>
      </c>
      <c r="J68" s="34" t="n">
        <v>5</v>
      </c>
    </row>
    <row r="69" customFormat="false" ht="15" hidden="false" customHeight="false" outlineLevel="0" collapsed="false">
      <c r="B69" s="35" t="s">
        <v>255</v>
      </c>
      <c r="C69" s="36" t="n">
        <v>190122.97356</v>
      </c>
      <c r="D69" s="36" t="n">
        <v>0</v>
      </c>
      <c r="E69" s="36" t="n">
        <v>4400.78331</v>
      </c>
      <c r="F69" s="36" t="n">
        <v>6134.42522</v>
      </c>
      <c r="G69" s="36" t="n">
        <v>10535.20853</v>
      </c>
      <c r="H69" s="36" t="n">
        <v>184419.2843532</v>
      </c>
      <c r="I69" s="37" t="s">
        <v>90</v>
      </c>
      <c r="J69" s="38" t="n">
        <v>30</v>
      </c>
    </row>
    <row r="70" customFormat="false" ht="15" hidden="false" customHeight="false" outlineLevel="0" collapsed="false">
      <c r="B70" s="31" t="s">
        <v>256</v>
      </c>
      <c r="C70" s="32" t="n">
        <v>473.0759436</v>
      </c>
      <c r="D70" s="32" t="n">
        <v>473.0759436</v>
      </c>
      <c r="E70" s="32" t="n">
        <v>473.0759436</v>
      </c>
      <c r="F70" s="32" t="n">
        <v>0</v>
      </c>
      <c r="G70" s="32" t="n">
        <v>473.0759436</v>
      </c>
      <c r="H70" s="32" t="n">
        <v>0</v>
      </c>
      <c r="I70" s="33" t="s">
        <v>97</v>
      </c>
      <c r="J70" s="34" t="n">
        <v>5</v>
      </c>
    </row>
    <row r="71" customFormat="false" ht="15" hidden="false" customHeight="false" outlineLevel="0" collapsed="false">
      <c r="B71" s="35" t="s">
        <v>257</v>
      </c>
      <c r="C71" s="36" t="n">
        <v>1338.89418</v>
      </c>
      <c r="D71" s="36" t="n">
        <v>0</v>
      </c>
      <c r="E71" s="36" t="n">
        <v>133.35707</v>
      </c>
      <c r="F71" s="36" t="n">
        <v>40.007121</v>
      </c>
      <c r="G71" s="36" t="n">
        <v>173.364191</v>
      </c>
      <c r="H71" s="36" t="n">
        <v>1298.7273546</v>
      </c>
      <c r="I71" s="37" t="s">
        <v>90</v>
      </c>
      <c r="J71" s="38" t="n">
        <v>30</v>
      </c>
    </row>
    <row r="72" customFormat="false" ht="15" hidden="false" customHeight="false" outlineLevel="0" collapsed="false">
      <c r="B72" s="31" t="s">
        <v>258</v>
      </c>
      <c r="C72" s="32" t="n">
        <v>2588.528748</v>
      </c>
      <c r="D72" s="32" t="n">
        <v>2588.528748</v>
      </c>
      <c r="E72" s="32" t="n">
        <v>2588.528748</v>
      </c>
      <c r="F72" s="32" t="n">
        <v>0</v>
      </c>
      <c r="G72" s="32" t="n">
        <v>2588.528748</v>
      </c>
      <c r="H72" s="32" t="n">
        <v>0</v>
      </c>
      <c r="I72" s="33" t="s">
        <v>97</v>
      </c>
      <c r="J72" s="34" t="n">
        <v>5</v>
      </c>
    </row>
    <row r="73" customFormat="false" ht="15" hidden="false" customHeight="false" outlineLevel="0" collapsed="false">
      <c r="B73" s="35" t="s">
        <v>259</v>
      </c>
      <c r="C73" s="36" t="n">
        <v>7274.658378</v>
      </c>
      <c r="D73" s="36" t="n">
        <v>0</v>
      </c>
      <c r="E73" s="36" t="n">
        <v>1266.892165</v>
      </c>
      <c r="F73" s="36" t="n">
        <v>234.7084432</v>
      </c>
      <c r="G73" s="36" t="n">
        <v>1506.934891</v>
      </c>
      <c r="H73" s="36" t="n">
        <v>6765.43229154</v>
      </c>
      <c r="I73" s="37" t="s">
        <v>90</v>
      </c>
      <c r="J73" s="38" t="n">
        <v>30</v>
      </c>
    </row>
    <row r="74" customFormat="false" ht="15" hidden="false" customHeight="false" outlineLevel="0" collapsed="false">
      <c r="B74" s="31" t="s">
        <v>260</v>
      </c>
      <c r="C74" s="32" t="n">
        <v>2231.4903</v>
      </c>
      <c r="D74" s="32" t="n">
        <v>2231.4903</v>
      </c>
      <c r="E74" s="32" t="n">
        <v>2231.4903</v>
      </c>
      <c r="F74" s="32" t="n">
        <v>0</v>
      </c>
      <c r="G74" s="32" t="n">
        <v>2231.4903</v>
      </c>
      <c r="H74" s="32" t="n">
        <v>0</v>
      </c>
      <c r="I74" s="33" t="s">
        <v>97</v>
      </c>
      <c r="J74" s="34" t="n">
        <v>5</v>
      </c>
    </row>
    <row r="75" customFormat="false" ht="15" hidden="false" customHeight="false" outlineLevel="0" collapsed="false">
      <c r="B75" s="35" t="s">
        <v>261</v>
      </c>
      <c r="C75" s="36" t="n">
        <v>6248.17284</v>
      </c>
      <c r="D75" s="36" t="n">
        <v>0</v>
      </c>
      <c r="E75" s="36" t="n">
        <v>213.371312</v>
      </c>
      <c r="F75" s="36" t="n">
        <v>200.035605</v>
      </c>
      <c r="G75" s="36" t="n">
        <v>413.406917</v>
      </c>
      <c r="H75" s="36" t="n">
        <v>6123.2093832</v>
      </c>
      <c r="I75" s="37" t="s">
        <v>90</v>
      </c>
      <c r="J75" s="38" t="n">
        <v>30</v>
      </c>
    </row>
    <row r="76" customFormat="false" ht="15" hidden="false" customHeight="false" outlineLevel="0" collapsed="false">
      <c r="B76" s="31" t="s">
        <v>262</v>
      </c>
      <c r="C76" s="32" t="n">
        <v>14950.98501</v>
      </c>
      <c r="D76" s="32" t="n">
        <v>11960.788008</v>
      </c>
      <c r="E76" s="32" t="n">
        <v>12962.307204</v>
      </c>
      <c r="F76" s="32" t="n">
        <v>986.842318</v>
      </c>
      <c r="G76" s="32" t="n">
        <v>13949.149522</v>
      </c>
      <c r="H76" s="32" t="n">
        <v>164.46083511</v>
      </c>
      <c r="I76" s="33" t="s">
        <v>97</v>
      </c>
      <c r="J76" s="34" t="n">
        <v>5</v>
      </c>
    </row>
    <row r="77" customFormat="false" ht="15" hidden="false" customHeight="false" outlineLevel="0" collapsed="false">
      <c r="B77" s="35" t="s">
        <v>263</v>
      </c>
      <c r="C77" s="36" t="n">
        <v>41728.86861</v>
      </c>
      <c r="D77" s="36" t="n">
        <v>0</v>
      </c>
      <c r="E77" s="36" t="n">
        <v>1093.527974</v>
      </c>
      <c r="F77" s="36" t="n">
        <v>1546.942012</v>
      </c>
      <c r="G77" s="36" t="n">
        <v>2640.469986</v>
      </c>
      <c r="H77" s="36" t="n">
        <v>40894.2912378</v>
      </c>
      <c r="I77" s="37" t="s">
        <v>90</v>
      </c>
      <c r="J77" s="38" t="n">
        <v>30</v>
      </c>
    </row>
    <row r="78" customFormat="false" ht="15" hidden="false" customHeight="false" outlineLevel="0" collapsed="false">
      <c r="A78" s="10"/>
      <c r="B78" s="11" t="s">
        <v>24</v>
      </c>
      <c r="C78" s="39" t="n">
        <f aca="false">SUM(C64:C77)</f>
        <v>445209.0927336</v>
      </c>
      <c r="D78" s="39" t="n">
        <f aca="false">SUM(D64:D77)</f>
        <v>100577.7308016</v>
      </c>
      <c r="E78" s="39" t="n">
        <f aca="false">SUM(E64:E77)</f>
        <v>124384.6373286</v>
      </c>
      <c r="F78" s="39" t="n">
        <f aca="false">SUM(F64:F77)</f>
        <v>16064.1926522</v>
      </c>
      <c r="G78" s="39" t="n">
        <f aca="false">SUM(G64:G77)</f>
        <v>140467.4999706</v>
      </c>
      <c r="H78" s="39" t="n">
        <f aca="false">SUM(H64:H77)</f>
        <v>312910.50416847</v>
      </c>
      <c r="I78" s="10"/>
      <c r="J78" s="10"/>
    </row>
    <row r="80" customFormat="false" ht="15" hidden="false" customHeight="false" outlineLevel="0" collapsed="false">
      <c r="A80" s="27" t="s">
        <v>48</v>
      </c>
      <c r="B80" s="27"/>
      <c r="C80" s="27"/>
      <c r="D80" s="27"/>
      <c r="E80" s="27"/>
    </row>
    <row r="81" customFormat="false" ht="15" hidden="false" customHeight="false" outlineLevel="0" collapsed="false">
      <c r="B81" s="8" t="s">
        <v>114</v>
      </c>
      <c r="C81" s="41" t="n">
        <f aca="false">G60</f>
        <v>38068.161962958</v>
      </c>
    </row>
    <row r="82" customFormat="false" ht="15" hidden="false" customHeight="false" outlineLevel="0" collapsed="false">
      <c r="B82" s="8" t="s">
        <v>115</v>
      </c>
      <c r="C82" s="41" t="n">
        <f aca="false">G78</f>
        <v>140467.4999706</v>
      </c>
    </row>
    <row r="83" customFormat="false" ht="15" hidden="false" customHeight="false" outlineLevel="0" collapsed="false">
      <c r="B83" s="17" t="s">
        <v>48</v>
      </c>
      <c r="C83" s="42" t="n">
        <f aca="false">C82-C81</f>
        <v>102399.338007642</v>
      </c>
    </row>
  </sheetData>
  <mergeCells count="11">
    <mergeCell ref="A2:J2"/>
    <mergeCell ref="A3:J3"/>
    <mergeCell ref="A4:J4"/>
    <mergeCell ref="A8:J8"/>
    <mergeCell ref="B10:J10"/>
    <mergeCell ref="B22:J22"/>
    <mergeCell ref="B40:J40"/>
    <mergeCell ref="A50:J50"/>
    <mergeCell ref="A51:J51"/>
    <mergeCell ref="A62:J62"/>
    <mergeCell ref="A80:E8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264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50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51</v>
      </c>
      <c r="C6" s="8" t="s">
        <v>26</v>
      </c>
    </row>
    <row r="8" customFormat="false" ht="15" hidden="false" customHeight="false" outlineLevel="0" collapsed="false">
      <c r="A8" s="21" t="s">
        <v>265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53</v>
      </c>
      <c r="C9" s="23" t="s">
        <v>54</v>
      </c>
      <c r="D9" s="23" t="s">
        <v>55</v>
      </c>
      <c r="E9" s="23" t="s">
        <v>56</v>
      </c>
      <c r="F9" s="23" t="s">
        <v>57</v>
      </c>
      <c r="G9" s="23" t="s">
        <v>58</v>
      </c>
      <c r="H9" s="23" t="s">
        <v>59</v>
      </c>
    </row>
    <row r="10" customFormat="false" ht="15" hidden="false" customHeight="false" outlineLevel="0" collapsed="false">
      <c r="A10" s="5"/>
      <c r="B10" s="6" t="s">
        <v>118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119</v>
      </c>
      <c r="C11" s="16" t="n">
        <v>31452.73</v>
      </c>
      <c r="D11" s="16" t="n">
        <v>31452.73</v>
      </c>
    </row>
    <row r="12" customFormat="false" ht="15" hidden="false" customHeight="false" outlineLevel="0" collapsed="false">
      <c r="B12" s="8" t="s">
        <v>120</v>
      </c>
      <c r="C12" s="16" t="n">
        <v>8394.17</v>
      </c>
      <c r="D12" s="16" t="n">
        <v>8394.17</v>
      </c>
    </row>
    <row r="13" customFormat="false" ht="15" hidden="false" customHeight="false" outlineLevel="0" collapsed="false">
      <c r="B13" s="8" t="s">
        <v>121</v>
      </c>
      <c r="C13" s="16" t="n">
        <v>32815.89</v>
      </c>
      <c r="D13" s="16" t="n">
        <v>32815.89</v>
      </c>
    </row>
    <row r="14" customFormat="false" ht="15" hidden="false" customHeight="false" outlineLevel="0" collapsed="false">
      <c r="B14" s="8" t="s">
        <v>122</v>
      </c>
      <c r="C14" s="16" t="n">
        <v>2648.72</v>
      </c>
      <c r="D14" s="16" t="n">
        <v>2648.72</v>
      </c>
    </row>
    <row r="15" customFormat="false" ht="15" hidden="false" customHeight="false" outlineLevel="0" collapsed="false">
      <c r="B15" s="8" t="s">
        <v>123</v>
      </c>
      <c r="C15" s="16" t="n">
        <v>0.394</v>
      </c>
      <c r="D15" s="16" t="n">
        <v>0.394</v>
      </c>
    </row>
    <row r="16" customFormat="false" ht="15" hidden="false" customHeight="false" outlineLevel="0" collapsed="false">
      <c r="B16" s="8" t="s">
        <v>124</v>
      </c>
      <c r="C16" s="16" t="n">
        <v>5344.3</v>
      </c>
      <c r="D16" s="16" t="n">
        <v>5344.3</v>
      </c>
    </row>
    <row r="17" customFormat="false" ht="15" hidden="false" customHeight="false" outlineLevel="0" collapsed="false">
      <c r="B17" s="8" t="s">
        <v>125</v>
      </c>
      <c r="C17" s="16" t="n">
        <v>2858.97</v>
      </c>
      <c r="D17" s="16" t="n">
        <v>2858.97</v>
      </c>
    </row>
    <row r="18" customFormat="false" ht="15" hidden="false" customHeight="false" outlineLevel="0" collapsed="false">
      <c r="B18" s="8" t="s">
        <v>126</v>
      </c>
      <c r="C18" s="16" t="n">
        <v>9687.68</v>
      </c>
      <c r="D18" s="16" t="n">
        <v>9687.68</v>
      </c>
    </row>
    <row r="19" customFormat="false" ht="15" hidden="false" customHeight="false" outlineLevel="0" collapsed="false">
      <c r="B19" s="8" t="s">
        <v>127</v>
      </c>
      <c r="C19" s="16" t="n">
        <v>2139.23</v>
      </c>
      <c r="D19" s="16" t="n">
        <v>2139.23</v>
      </c>
    </row>
    <row r="20" customFormat="false" ht="15" hidden="false" customHeight="false" outlineLevel="0" collapsed="false">
      <c r="B20" s="8" t="s">
        <v>128</v>
      </c>
      <c r="C20" s="16" t="n">
        <v>605.69</v>
      </c>
      <c r="D20" s="16" t="n">
        <v>605.69</v>
      </c>
    </row>
    <row r="21" customFormat="false" ht="15" hidden="false" customHeight="false" outlineLevel="0" collapsed="false">
      <c r="B21" s="8" t="s">
        <v>129</v>
      </c>
      <c r="C21" s="16" t="n">
        <v>8326.94</v>
      </c>
      <c r="D21" s="16" t="n">
        <v>8326.94</v>
      </c>
    </row>
    <row r="22" customFormat="false" ht="15" hidden="false" customHeight="false" outlineLevel="0" collapsed="false">
      <c r="A22" s="5"/>
      <c r="B22" s="6" t="s">
        <v>130</v>
      </c>
      <c r="C22" s="6"/>
      <c r="D22" s="6"/>
      <c r="E22" s="6"/>
      <c r="F22" s="6"/>
      <c r="G22" s="6"/>
      <c r="H22" s="6"/>
      <c r="I22" s="6"/>
      <c r="J22" s="6"/>
    </row>
    <row r="23" customFormat="false" ht="15" hidden="false" customHeight="false" outlineLevel="0" collapsed="false">
      <c r="B23" s="8" t="s">
        <v>131</v>
      </c>
      <c r="C23" s="16" t="n">
        <v>22000</v>
      </c>
      <c r="G23" s="16" t="n">
        <v>22000</v>
      </c>
    </row>
    <row r="24" customFormat="false" ht="15" hidden="false" customHeight="false" outlineLevel="0" collapsed="false">
      <c r="B24" s="8" t="s">
        <v>132</v>
      </c>
      <c r="C24" s="16" t="n">
        <v>28000</v>
      </c>
      <c r="G24" s="16" t="n">
        <v>28000</v>
      </c>
    </row>
    <row r="25" customFormat="false" ht="15" hidden="false" customHeight="false" outlineLevel="0" collapsed="false">
      <c r="B25" s="8" t="s">
        <v>133</v>
      </c>
      <c r="C25" s="16" t="n">
        <v>29000</v>
      </c>
      <c r="G25" s="16" t="n">
        <v>29000</v>
      </c>
    </row>
    <row r="26" customFormat="false" ht="15" hidden="false" customHeight="false" outlineLevel="0" collapsed="false">
      <c r="B26" s="8" t="s">
        <v>134</v>
      </c>
      <c r="C26" s="16" t="n">
        <v>24000</v>
      </c>
      <c r="G26" s="16" t="n">
        <v>24000</v>
      </c>
    </row>
    <row r="27" customFormat="false" ht="15" hidden="false" customHeight="false" outlineLevel="0" collapsed="false">
      <c r="B27" s="8" t="s">
        <v>135</v>
      </c>
      <c r="C27" s="16" t="n">
        <v>2000</v>
      </c>
      <c r="G27" s="16" t="n">
        <v>2000</v>
      </c>
    </row>
    <row r="28" customFormat="false" ht="15" hidden="false" customHeight="false" outlineLevel="0" collapsed="false">
      <c r="B28" s="8" t="s">
        <v>136</v>
      </c>
      <c r="C28" s="16" t="n">
        <v>18000</v>
      </c>
      <c r="G28" s="16" t="n">
        <v>18000</v>
      </c>
    </row>
    <row r="29" customFormat="false" ht="15" hidden="false" customHeight="false" outlineLevel="0" collapsed="false">
      <c r="B29" s="8" t="s">
        <v>137</v>
      </c>
      <c r="C29" s="16" t="n">
        <v>16000</v>
      </c>
      <c r="G29" s="16" t="n">
        <v>16000</v>
      </c>
    </row>
    <row r="30" customFormat="false" ht="15" hidden="false" customHeight="false" outlineLevel="0" collapsed="false">
      <c r="B30" s="8" t="s">
        <v>138</v>
      </c>
      <c r="C30" s="16" t="n">
        <v>14000</v>
      </c>
      <c r="G30" s="16" t="n">
        <v>14000</v>
      </c>
    </row>
    <row r="31" customFormat="false" ht="15" hidden="false" customHeight="false" outlineLevel="0" collapsed="false">
      <c r="B31" s="8" t="s">
        <v>139</v>
      </c>
      <c r="C31" s="16" t="n">
        <v>13000</v>
      </c>
      <c r="G31" s="16" t="n">
        <v>13000</v>
      </c>
    </row>
    <row r="32" customFormat="false" ht="15" hidden="false" customHeight="false" outlineLevel="0" collapsed="false">
      <c r="B32" s="8" t="s">
        <v>140</v>
      </c>
      <c r="C32" s="16" t="n">
        <v>35000</v>
      </c>
      <c r="G32" s="16" t="n">
        <v>35000</v>
      </c>
    </row>
    <row r="33" customFormat="false" ht="15" hidden="false" customHeight="false" outlineLevel="0" collapsed="false">
      <c r="B33" s="8" t="s">
        <v>141</v>
      </c>
      <c r="C33" s="16" t="n">
        <v>15000</v>
      </c>
      <c r="G33" s="16" t="n">
        <v>15000</v>
      </c>
    </row>
    <row r="34" customFormat="false" ht="15" hidden="false" customHeight="false" outlineLevel="0" collapsed="false">
      <c r="B34" s="8" t="s">
        <v>142</v>
      </c>
      <c r="C34" s="16" t="n">
        <v>1200</v>
      </c>
      <c r="G34" s="16" t="n">
        <v>1200</v>
      </c>
    </row>
    <row r="35" customFormat="false" ht="15" hidden="false" customHeight="false" outlineLevel="0" collapsed="false">
      <c r="B35" s="8" t="s">
        <v>143</v>
      </c>
      <c r="C35" s="16" t="n">
        <v>38000</v>
      </c>
      <c r="G35" s="16" t="n">
        <v>38000</v>
      </c>
    </row>
    <row r="36" customFormat="false" ht="15" hidden="false" customHeight="false" outlineLevel="0" collapsed="false">
      <c r="B36" s="8" t="s">
        <v>144</v>
      </c>
      <c r="C36" s="16" t="n">
        <v>8000</v>
      </c>
      <c r="G36" s="16" t="n">
        <v>8000</v>
      </c>
    </row>
    <row r="37" customFormat="false" ht="15" hidden="false" customHeight="false" outlineLevel="0" collapsed="false">
      <c r="B37" s="8" t="s">
        <v>145</v>
      </c>
      <c r="C37" s="16" t="n">
        <v>3000</v>
      </c>
      <c r="G37" s="16" t="n">
        <v>3000</v>
      </c>
    </row>
    <row r="38" customFormat="false" ht="15" hidden="false" customHeight="false" outlineLevel="0" collapsed="false">
      <c r="A38" s="24"/>
      <c r="B38" s="25" t="s">
        <v>69</v>
      </c>
      <c r="C38" s="26" t="n">
        <f aca="false">SUM(C10:C37)</f>
        <v>370474.714</v>
      </c>
      <c r="D38" s="26" t="n">
        <f aca="false">SUM(D10:D37)</f>
        <v>104274.714</v>
      </c>
      <c r="E38" s="26" t="n">
        <f aca="false">SUM(E10:E37)</f>
        <v>0</v>
      </c>
      <c r="F38" s="26" t="n">
        <f aca="false">SUM(F10:F37)</f>
        <v>0</v>
      </c>
      <c r="G38" s="26" t="n">
        <f aca="false">SUM(G10:G37)</f>
        <v>266200</v>
      </c>
      <c r="H38" s="24"/>
    </row>
    <row r="40" customFormat="false" ht="15" hidden="false" customHeight="false" outlineLevel="0" collapsed="false">
      <c r="A40" s="5"/>
      <c r="B40" s="6" t="s">
        <v>70</v>
      </c>
      <c r="C40" s="6"/>
      <c r="D40" s="6"/>
      <c r="E40" s="6"/>
      <c r="F40" s="6"/>
      <c r="G40" s="6"/>
      <c r="H40" s="6"/>
      <c r="I40" s="6"/>
      <c r="J40" s="6"/>
    </row>
    <row r="41" customFormat="false" ht="15" hidden="false" customHeight="false" outlineLevel="0" collapsed="false">
      <c r="B41" s="8" t="s">
        <v>71</v>
      </c>
      <c r="C41" s="16" t="n">
        <v>64200.07181</v>
      </c>
      <c r="D41" s="16" t="n">
        <v>16851.66553</v>
      </c>
      <c r="G41" s="16" t="n">
        <v>47348.40628</v>
      </c>
    </row>
    <row r="42" customFormat="false" ht="15" hidden="false" customHeight="false" outlineLevel="0" collapsed="false">
      <c r="B42" s="8" t="s">
        <v>146</v>
      </c>
      <c r="C42" s="16" t="n">
        <v>34452.709344</v>
      </c>
      <c r="D42" s="16" t="n">
        <v>9043.378272</v>
      </c>
      <c r="G42" s="16" t="n">
        <v>25409.331072</v>
      </c>
    </row>
    <row r="43" customFormat="false" ht="15" hidden="false" customHeight="false" outlineLevel="0" collapsed="false">
      <c r="B43" s="8" t="s">
        <v>147</v>
      </c>
      <c r="C43" s="16" t="n">
        <v>231678.52001</v>
      </c>
      <c r="D43" s="16" t="n">
        <v>60812.53213</v>
      </c>
      <c r="G43" s="16" t="n">
        <v>170865.98788</v>
      </c>
    </row>
    <row r="44" customFormat="false" ht="15" hidden="false" customHeight="false" outlineLevel="0" collapsed="false">
      <c r="B44" s="8" t="s">
        <v>148</v>
      </c>
      <c r="C44" s="16" t="n">
        <v>1618.9583326</v>
      </c>
      <c r="D44" s="16" t="n">
        <v>424.9550438</v>
      </c>
      <c r="G44" s="16" t="n">
        <v>1194.0032888</v>
      </c>
    </row>
    <row r="45" customFormat="false" ht="15" hidden="false" customHeight="false" outlineLevel="0" collapsed="false">
      <c r="B45" s="8" t="s">
        <v>75</v>
      </c>
      <c r="C45" s="16" t="n">
        <v>8812.556441</v>
      </c>
      <c r="D45" s="16" t="n">
        <v>2313.178933</v>
      </c>
      <c r="G45" s="16" t="n">
        <v>6499.377508</v>
      </c>
    </row>
    <row r="46" customFormat="false" ht="15" hidden="false" customHeight="false" outlineLevel="0" collapsed="false">
      <c r="B46" s="8" t="s">
        <v>149</v>
      </c>
      <c r="C46" s="16" t="n">
        <v>7576.40599</v>
      </c>
      <c r="D46" s="16" t="n">
        <v>1988.70587</v>
      </c>
      <c r="G46" s="16" t="n">
        <v>5587.70012</v>
      </c>
    </row>
    <row r="47" customFormat="false" ht="15" hidden="false" customHeight="false" outlineLevel="0" collapsed="false">
      <c r="B47" s="8" t="s">
        <v>150</v>
      </c>
      <c r="C47" s="16" t="n">
        <v>50642.29267</v>
      </c>
      <c r="D47" s="16" t="n">
        <v>13292.92871</v>
      </c>
      <c r="G47" s="16" t="n">
        <v>37349.36396</v>
      </c>
    </row>
    <row r="48" customFormat="false" ht="15" hidden="false" customHeight="false" outlineLevel="0" collapsed="false">
      <c r="A48" s="24"/>
      <c r="B48" s="25" t="s">
        <v>78</v>
      </c>
      <c r="C48" s="26" t="n">
        <f aca="false">SUM(C41:C47)</f>
        <v>398981.5145976</v>
      </c>
      <c r="D48" s="26" t="n">
        <f aca="false">SUM(D41:D47)</f>
        <v>104727.3444888</v>
      </c>
      <c r="E48" s="24"/>
      <c r="F48" s="26" t="n">
        <f aca="false">SUM(F41:F47)</f>
        <v>0</v>
      </c>
      <c r="G48" s="26" t="n">
        <f aca="false">SUM(G41:G47)</f>
        <v>294254.1701088</v>
      </c>
      <c r="H48" s="24"/>
    </row>
    <row r="50" customFormat="false" ht="15" hidden="false" customHeight="false" outlineLevel="0" collapsed="false">
      <c r="A50" s="27" t="s">
        <v>79</v>
      </c>
      <c r="B50" s="27"/>
      <c r="C50" s="27"/>
      <c r="D50" s="27"/>
      <c r="E50" s="27"/>
      <c r="F50" s="27"/>
      <c r="G50" s="27"/>
      <c r="H50" s="27"/>
      <c r="I50" s="27"/>
      <c r="J50" s="27"/>
    </row>
    <row r="51" customFormat="false" ht="15" hidden="false" customHeight="false" outlineLevel="0" collapsed="false">
      <c r="A51" s="28" t="s">
        <v>46</v>
      </c>
      <c r="B51" s="28"/>
      <c r="C51" s="28"/>
      <c r="D51" s="28"/>
      <c r="E51" s="28"/>
      <c r="F51" s="28"/>
      <c r="G51" s="28"/>
      <c r="H51" s="28"/>
      <c r="I51" s="28"/>
      <c r="J51" s="28"/>
    </row>
    <row r="52" customFormat="false" ht="15" hidden="false" customHeight="false" outlineLevel="0" collapsed="false">
      <c r="A52" s="29"/>
      <c r="B52" s="29" t="s">
        <v>80</v>
      </c>
      <c r="C52" s="30" t="s">
        <v>81</v>
      </c>
      <c r="D52" s="30" t="s">
        <v>82</v>
      </c>
      <c r="E52" s="30" t="s">
        <v>83</v>
      </c>
      <c r="F52" s="30" t="s">
        <v>84</v>
      </c>
      <c r="G52" s="30" t="s">
        <v>85</v>
      </c>
      <c r="H52" s="30" t="s">
        <v>86</v>
      </c>
      <c r="I52" s="30" t="s">
        <v>87</v>
      </c>
      <c r="J52" s="30" t="s">
        <v>88</v>
      </c>
    </row>
    <row r="53" customFormat="false" ht="15" hidden="false" customHeight="false" outlineLevel="0" collapsed="false">
      <c r="B53" s="31" t="s">
        <v>266</v>
      </c>
      <c r="C53" s="32" t="n">
        <v>64200.07181</v>
      </c>
      <c r="D53" s="32" t="n">
        <v>0</v>
      </c>
      <c r="E53" s="32" t="n">
        <v>3946.482</v>
      </c>
      <c r="F53" s="32" t="n">
        <v>1315.494</v>
      </c>
      <c r="G53" s="32" t="n">
        <v>5261.976</v>
      </c>
      <c r="H53" s="32" t="n">
        <v>54570.0610385</v>
      </c>
      <c r="I53" s="33" t="s">
        <v>90</v>
      </c>
      <c r="J53" s="34" t="n">
        <v>30</v>
      </c>
    </row>
    <row r="54" customFormat="false" ht="15" hidden="false" customHeight="false" outlineLevel="0" collapsed="false">
      <c r="B54" s="35" t="s">
        <v>267</v>
      </c>
      <c r="C54" s="36" t="n">
        <v>34452.709344</v>
      </c>
      <c r="D54" s="36" t="n">
        <v>0</v>
      </c>
      <c r="E54" s="36" t="n">
        <v>2137.67775</v>
      </c>
      <c r="F54" s="36" t="n">
        <v>723.5217</v>
      </c>
      <c r="G54" s="36" t="n">
        <v>2861.19945</v>
      </c>
      <c r="H54" s="36" t="n">
        <v>30318.38422272</v>
      </c>
      <c r="I54" s="37" t="s">
        <v>90</v>
      </c>
      <c r="J54" s="38" t="n">
        <v>30</v>
      </c>
    </row>
    <row r="55" customFormat="false" ht="15" hidden="false" customHeight="false" outlineLevel="0" collapsed="false">
      <c r="B55" s="31" t="s">
        <v>268</v>
      </c>
      <c r="C55" s="32" t="n">
        <v>231678.52001</v>
      </c>
      <c r="D55" s="32" t="n">
        <v>0</v>
      </c>
      <c r="E55" s="32" t="n">
        <v>14470.434</v>
      </c>
      <c r="F55" s="32" t="n">
        <v>4933.1025</v>
      </c>
      <c r="G55" s="32" t="n">
        <v>19403.5365</v>
      </c>
      <c r="H55" s="32" t="n">
        <v>208510.668009</v>
      </c>
      <c r="I55" s="33" t="s">
        <v>90</v>
      </c>
      <c r="J55" s="34" t="n">
        <v>30</v>
      </c>
    </row>
    <row r="56" customFormat="false" ht="15" hidden="false" customHeight="false" outlineLevel="0" collapsed="false">
      <c r="B56" s="35" t="s">
        <v>269</v>
      </c>
      <c r="C56" s="36" t="n">
        <v>1618.9583326</v>
      </c>
      <c r="D56" s="36" t="n">
        <v>0</v>
      </c>
      <c r="E56" s="36" t="n">
        <v>98.66205</v>
      </c>
      <c r="F56" s="36" t="n">
        <v>32.88735</v>
      </c>
      <c r="G56" s="36" t="n">
        <v>131.5494</v>
      </c>
      <c r="H56" s="36" t="n">
        <v>1424.683332688</v>
      </c>
      <c r="I56" s="37" t="s">
        <v>90</v>
      </c>
      <c r="J56" s="38" t="n">
        <v>30</v>
      </c>
    </row>
    <row r="57" customFormat="false" ht="15" hidden="false" customHeight="false" outlineLevel="0" collapsed="false">
      <c r="B57" s="31" t="s">
        <v>270</v>
      </c>
      <c r="C57" s="32" t="n">
        <v>8812.556441</v>
      </c>
      <c r="D57" s="32" t="n">
        <v>2256.014448896</v>
      </c>
      <c r="E57" s="32" t="n">
        <v>2256.014448896</v>
      </c>
      <c r="F57" s="32" t="n">
        <v>678.566845957</v>
      </c>
      <c r="G57" s="32" t="n">
        <v>2934.581294853</v>
      </c>
      <c r="H57" s="32" t="n">
        <v>5877.975146147</v>
      </c>
      <c r="I57" s="33" t="s">
        <v>95</v>
      </c>
      <c r="J57" s="34" t="n">
        <v>15</v>
      </c>
    </row>
    <row r="58" customFormat="false" ht="15" hidden="false" customHeight="false" outlineLevel="0" collapsed="false">
      <c r="B58" s="35" t="s">
        <v>271</v>
      </c>
      <c r="C58" s="36" t="n">
        <v>7576.40599</v>
      </c>
      <c r="D58" s="36" t="n">
        <v>0</v>
      </c>
      <c r="E58" s="36" t="n">
        <v>0</v>
      </c>
      <c r="F58" s="36" t="n">
        <v>0</v>
      </c>
      <c r="G58" s="36" t="n">
        <v>0</v>
      </c>
      <c r="H58" s="36" t="n">
        <v>7576.40599</v>
      </c>
      <c r="I58" s="37" t="s">
        <v>97</v>
      </c>
      <c r="J58" s="38" t="n">
        <v>5</v>
      </c>
    </row>
    <row r="59" customFormat="false" ht="15" hidden="false" customHeight="false" outlineLevel="0" collapsed="false">
      <c r="B59" s="31" t="s">
        <v>272</v>
      </c>
      <c r="C59" s="32" t="n">
        <v>50642.29267</v>
      </c>
      <c r="D59" s="32" t="n">
        <v>0</v>
      </c>
      <c r="E59" s="32" t="n">
        <v>1315.494</v>
      </c>
      <c r="F59" s="32" t="n">
        <v>2104.7904</v>
      </c>
      <c r="G59" s="32" t="n">
        <v>3420.2844</v>
      </c>
      <c r="H59" s="32" t="n">
        <v>45071.6404763</v>
      </c>
      <c r="I59" s="33" t="s">
        <v>97</v>
      </c>
      <c r="J59" s="34" t="n">
        <v>5</v>
      </c>
    </row>
    <row r="60" customFormat="false" ht="15" hidden="false" customHeight="false" outlineLevel="0" collapsed="false">
      <c r="A60" s="10"/>
      <c r="B60" s="11" t="s">
        <v>24</v>
      </c>
      <c r="C60" s="39" t="n">
        <f aca="false">SUM(C53:C59)</f>
        <v>398981.5145976</v>
      </c>
      <c r="D60" s="39" t="n">
        <f aca="false">SUM(D53:D59)</f>
        <v>2256.014448896</v>
      </c>
      <c r="E60" s="39" t="n">
        <f aca="false">SUM(E53:E59)</f>
        <v>24224.764248896</v>
      </c>
      <c r="F60" s="39" t="n">
        <f aca="false">SUM(F53:F59)</f>
        <v>9788.362795957</v>
      </c>
      <c r="G60" s="39" t="n">
        <f aca="false">SUM(G53:G59)</f>
        <v>34013.127044853</v>
      </c>
      <c r="H60" s="39" t="n">
        <f aca="false">SUM(H53:H59)</f>
        <v>353349.818215355</v>
      </c>
      <c r="I60" s="10"/>
      <c r="J60" s="10"/>
    </row>
    <row r="62" customFormat="false" ht="15" hidden="false" customHeight="false" outlineLevel="0" collapsed="false">
      <c r="A62" s="40" t="s">
        <v>99</v>
      </c>
      <c r="B62" s="40"/>
      <c r="C62" s="40"/>
      <c r="D62" s="40"/>
      <c r="E62" s="40"/>
      <c r="F62" s="40"/>
      <c r="G62" s="40"/>
      <c r="H62" s="40"/>
      <c r="I62" s="40"/>
      <c r="J62" s="40"/>
    </row>
    <row r="63" customFormat="false" ht="15" hidden="false" customHeight="false" outlineLevel="0" collapsed="false">
      <c r="A63" s="29"/>
      <c r="B63" s="29" t="s">
        <v>80</v>
      </c>
      <c r="C63" s="30" t="s">
        <v>81</v>
      </c>
      <c r="D63" s="30" t="s">
        <v>82</v>
      </c>
      <c r="E63" s="30" t="s">
        <v>83</v>
      </c>
      <c r="F63" s="30" t="s">
        <v>84</v>
      </c>
      <c r="G63" s="30" t="s">
        <v>85</v>
      </c>
      <c r="H63" s="30" t="s">
        <v>86</v>
      </c>
      <c r="I63" s="30" t="s">
        <v>87</v>
      </c>
      <c r="J63" s="30" t="s">
        <v>88</v>
      </c>
    </row>
    <row r="64" customFormat="false" ht="15" hidden="false" customHeight="false" outlineLevel="0" collapsed="false">
      <c r="B64" s="31" t="s">
        <v>273</v>
      </c>
      <c r="C64" s="32" t="n">
        <v>16747.84482</v>
      </c>
      <c r="D64" s="32" t="n">
        <v>16747.84482</v>
      </c>
      <c r="E64" s="32" t="n">
        <v>16747.84482</v>
      </c>
      <c r="F64" s="32" t="n">
        <v>0</v>
      </c>
      <c r="G64" s="32" t="n">
        <v>16747.84482</v>
      </c>
      <c r="H64" s="32" t="n">
        <v>0</v>
      </c>
      <c r="I64" s="33" t="s">
        <v>97</v>
      </c>
      <c r="J64" s="34" t="n">
        <v>5</v>
      </c>
    </row>
    <row r="65" customFormat="false" ht="15" hidden="false" customHeight="false" outlineLevel="0" collapsed="false">
      <c r="B65" s="35" t="s">
        <v>274</v>
      </c>
      <c r="C65" s="36" t="n">
        <v>47452.22699</v>
      </c>
      <c r="D65" s="36" t="n">
        <v>0</v>
      </c>
      <c r="E65" s="36" t="n">
        <v>8989.64413</v>
      </c>
      <c r="F65" s="36" t="n">
        <v>1600.89553</v>
      </c>
      <c r="G65" s="36" t="n">
        <v>10590.53966</v>
      </c>
      <c r="H65" s="36" t="n">
        <v>38910.8261318</v>
      </c>
      <c r="I65" s="37" t="s">
        <v>90</v>
      </c>
      <c r="J65" s="38" t="n">
        <v>30</v>
      </c>
    </row>
    <row r="66" customFormat="false" ht="15" hidden="false" customHeight="false" outlineLevel="0" collapsed="false">
      <c r="B66" s="31" t="s">
        <v>275</v>
      </c>
      <c r="C66" s="32" t="n">
        <v>9051.811367</v>
      </c>
      <c r="D66" s="32" t="n">
        <v>9051.811367</v>
      </c>
      <c r="E66" s="32" t="n">
        <v>9051.811367</v>
      </c>
      <c r="F66" s="32" t="n">
        <v>0</v>
      </c>
      <c r="G66" s="32" t="n">
        <v>9051.811367</v>
      </c>
      <c r="H66" s="32" t="n">
        <v>0</v>
      </c>
      <c r="I66" s="33" t="s">
        <v>97</v>
      </c>
      <c r="J66" s="34" t="n">
        <v>5</v>
      </c>
    </row>
    <row r="67" customFormat="false" ht="15" hidden="false" customHeight="false" outlineLevel="0" collapsed="false">
      <c r="B67" s="35" t="s">
        <v>276</v>
      </c>
      <c r="C67" s="36" t="n">
        <v>25400.897977</v>
      </c>
      <c r="D67" s="36" t="n">
        <v>0</v>
      </c>
      <c r="E67" s="36" t="n">
        <v>4802.68659</v>
      </c>
      <c r="F67" s="36" t="n">
        <v>849.706089</v>
      </c>
      <c r="G67" s="36" t="n">
        <v>5664.70726</v>
      </c>
      <c r="H67" s="36" t="n">
        <v>23622.83511861</v>
      </c>
      <c r="I67" s="37" t="s">
        <v>90</v>
      </c>
      <c r="J67" s="38" t="n">
        <v>30</v>
      </c>
    </row>
    <row r="68" customFormat="false" ht="15" hidden="false" customHeight="false" outlineLevel="0" collapsed="false">
      <c r="B68" s="31" t="s">
        <v>277</v>
      </c>
      <c r="C68" s="32" t="n">
        <v>60611.24792</v>
      </c>
      <c r="D68" s="32" t="n">
        <v>48648.50162</v>
      </c>
      <c r="E68" s="32" t="n">
        <v>50982.36534</v>
      </c>
      <c r="F68" s="32" t="n">
        <v>3940.66592</v>
      </c>
      <c r="G68" s="32" t="n">
        <v>54923.03126</v>
      </c>
      <c r="H68" s="32" t="n">
        <v>2909.33990016</v>
      </c>
      <c r="I68" s="33" t="s">
        <v>97</v>
      </c>
      <c r="J68" s="34" t="n">
        <v>5</v>
      </c>
    </row>
    <row r="69" customFormat="false" ht="15" hidden="false" customHeight="false" outlineLevel="0" collapsed="false">
      <c r="B69" s="35" t="s">
        <v>278</v>
      </c>
      <c r="C69" s="36" t="n">
        <v>169870.99746</v>
      </c>
      <c r="D69" s="36" t="n">
        <v>0</v>
      </c>
      <c r="E69" s="36" t="n">
        <v>4063.81173</v>
      </c>
      <c r="F69" s="36" t="n">
        <v>5664.70726</v>
      </c>
      <c r="G69" s="36" t="n">
        <v>9728.51899</v>
      </c>
      <c r="H69" s="36" t="n">
        <v>164774.8675362</v>
      </c>
      <c r="I69" s="37" t="s">
        <v>90</v>
      </c>
      <c r="J69" s="38" t="n">
        <v>30</v>
      </c>
    </row>
    <row r="70" customFormat="false" ht="15" hidden="false" customHeight="false" outlineLevel="0" collapsed="false">
      <c r="B70" s="31" t="s">
        <v>279</v>
      </c>
      <c r="C70" s="32" t="n">
        <v>422.6837026</v>
      </c>
      <c r="D70" s="32" t="n">
        <v>422.6837026</v>
      </c>
      <c r="E70" s="32" t="n">
        <v>422.6837026</v>
      </c>
      <c r="F70" s="32" t="n">
        <v>0</v>
      </c>
      <c r="G70" s="32" t="n">
        <v>422.6837026</v>
      </c>
      <c r="H70" s="32" t="n">
        <v>0</v>
      </c>
      <c r="I70" s="33" t="s">
        <v>97</v>
      </c>
      <c r="J70" s="34" t="n">
        <v>5</v>
      </c>
    </row>
    <row r="71" customFormat="false" ht="15" hidden="false" customHeight="false" outlineLevel="0" collapsed="false">
      <c r="B71" s="35" t="s">
        <v>280</v>
      </c>
      <c r="C71" s="36" t="n">
        <v>1196.27463</v>
      </c>
      <c r="D71" s="36" t="n">
        <v>0</v>
      </c>
      <c r="E71" s="36" t="n">
        <v>123.14581</v>
      </c>
      <c r="F71" s="36" t="n">
        <v>36.943743</v>
      </c>
      <c r="G71" s="36" t="n">
        <v>160.089553</v>
      </c>
      <c r="H71" s="36" t="n">
        <v>1160.3863911</v>
      </c>
      <c r="I71" s="37" t="s">
        <v>90</v>
      </c>
      <c r="J71" s="38" t="n">
        <v>30</v>
      </c>
    </row>
    <row r="72" customFormat="false" ht="15" hidden="false" customHeight="false" outlineLevel="0" collapsed="false">
      <c r="B72" s="31" t="s">
        <v>281</v>
      </c>
      <c r="C72" s="32" t="n">
        <v>2312.797618</v>
      </c>
      <c r="D72" s="32" t="n">
        <v>2312.797618</v>
      </c>
      <c r="E72" s="32" t="n">
        <v>2312.797618</v>
      </c>
      <c r="F72" s="32" t="n">
        <v>0</v>
      </c>
      <c r="G72" s="32" t="n">
        <v>2312.797618</v>
      </c>
      <c r="H72" s="32" t="n">
        <v>0</v>
      </c>
      <c r="I72" s="33" t="s">
        <v>97</v>
      </c>
      <c r="J72" s="34" t="n">
        <v>5</v>
      </c>
    </row>
    <row r="73" customFormat="false" ht="15" hidden="false" customHeight="false" outlineLevel="0" collapsed="false">
      <c r="B73" s="35" t="s">
        <v>282</v>
      </c>
      <c r="C73" s="36" t="n">
        <v>6499.758823</v>
      </c>
      <c r="D73" s="36" t="n">
        <v>0</v>
      </c>
      <c r="E73" s="36" t="n">
        <v>1169.885195</v>
      </c>
      <c r="F73" s="36" t="n">
        <v>216.7366256</v>
      </c>
      <c r="G73" s="36" t="n">
        <v>1391.547653</v>
      </c>
      <c r="H73" s="36" t="n">
        <v>6044.77570539</v>
      </c>
      <c r="I73" s="37" t="s">
        <v>90</v>
      </c>
      <c r="J73" s="38" t="n">
        <v>30</v>
      </c>
    </row>
    <row r="74" customFormat="false" ht="15" hidden="false" customHeight="false" outlineLevel="0" collapsed="false">
      <c r="B74" s="31" t="s">
        <v>283</v>
      </c>
      <c r="C74" s="32" t="n">
        <v>1993.79105</v>
      </c>
      <c r="D74" s="32" t="n">
        <v>1993.79105</v>
      </c>
      <c r="E74" s="32" t="n">
        <v>1993.79105</v>
      </c>
      <c r="F74" s="32" t="n">
        <v>0</v>
      </c>
      <c r="G74" s="32" t="n">
        <v>1993.79105</v>
      </c>
      <c r="H74" s="32" t="n">
        <v>0</v>
      </c>
      <c r="I74" s="33" t="s">
        <v>97</v>
      </c>
      <c r="J74" s="34" t="n">
        <v>5</v>
      </c>
    </row>
    <row r="75" customFormat="false" ht="15" hidden="false" customHeight="false" outlineLevel="0" collapsed="false">
      <c r="B75" s="35" t="s">
        <v>284</v>
      </c>
      <c r="C75" s="36" t="n">
        <v>5582.61494</v>
      </c>
      <c r="D75" s="36" t="n">
        <v>0</v>
      </c>
      <c r="E75" s="36" t="n">
        <v>197.033296</v>
      </c>
      <c r="F75" s="36" t="n">
        <v>184.718715</v>
      </c>
      <c r="G75" s="36" t="n">
        <v>381.752011</v>
      </c>
      <c r="H75" s="36" t="n">
        <v>5470.9626412</v>
      </c>
      <c r="I75" s="37" t="s">
        <v>90</v>
      </c>
      <c r="J75" s="38" t="n">
        <v>30</v>
      </c>
    </row>
    <row r="76" customFormat="false" ht="15" hidden="false" customHeight="false" outlineLevel="0" collapsed="false">
      <c r="B76" s="31" t="s">
        <v>285</v>
      </c>
      <c r="C76" s="32" t="n">
        <v>13358.400035</v>
      </c>
      <c r="D76" s="32" t="n">
        <v>10686.720028</v>
      </c>
      <c r="E76" s="32" t="n">
        <v>11969.772732</v>
      </c>
      <c r="F76" s="32" t="n">
        <v>911.278994</v>
      </c>
      <c r="G76" s="32" t="n">
        <v>12881.051726</v>
      </c>
      <c r="H76" s="32" t="n">
        <v>146.942400385</v>
      </c>
      <c r="I76" s="33" t="s">
        <v>97</v>
      </c>
      <c r="J76" s="34" t="n">
        <v>5</v>
      </c>
    </row>
    <row r="77" customFormat="false" ht="15" hidden="false" customHeight="false" outlineLevel="0" collapsed="false">
      <c r="B77" s="35" t="s">
        <v>286</v>
      </c>
      <c r="C77" s="36" t="n">
        <v>37283.892635</v>
      </c>
      <c r="D77" s="36" t="n">
        <v>0</v>
      </c>
      <c r="E77" s="36" t="n">
        <v>1009.795642</v>
      </c>
      <c r="F77" s="36" t="n">
        <v>1428.491396</v>
      </c>
      <c r="G77" s="36" t="n">
        <v>2438.287038</v>
      </c>
      <c r="H77" s="36" t="n">
        <v>36538.2147823</v>
      </c>
      <c r="I77" s="37" t="s">
        <v>90</v>
      </c>
      <c r="J77" s="38" t="n">
        <v>30</v>
      </c>
    </row>
    <row r="78" customFormat="false" ht="15" hidden="false" customHeight="false" outlineLevel="0" collapsed="false">
      <c r="A78" s="10"/>
      <c r="B78" s="11" t="s">
        <v>24</v>
      </c>
      <c r="C78" s="39" t="n">
        <f aca="false">SUM(C64:C77)</f>
        <v>397785.2399676</v>
      </c>
      <c r="D78" s="39" t="n">
        <f aca="false">SUM(D64:D77)</f>
        <v>89864.1502056</v>
      </c>
      <c r="E78" s="39" t="n">
        <f aca="false">SUM(E64:E77)</f>
        <v>113837.0690226</v>
      </c>
      <c r="F78" s="39" t="n">
        <f aca="false">SUM(F64:F77)</f>
        <v>14834.1442726</v>
      </c>
      <c r="G78" s="39" t="n">
        <f aca="false">SUM(G64:G77)</f>
        <v>128688.4537086</v>
      </c>
      <c r="H78" s="39" t="n">
        <f aca="false">SUM(H64:H77)</f>
        <v>279579.150607145</v>
      </c>
      <c r="I78" s="10"/>
      <c r="J78" s="10"/>
    </row>
    <row r="80" customFormat="false" ht="15" hidden="false" customHeight="false" outlineLevel="0" collapsed="false">
      <c r="A80" s="27" t="s">
        <v>48</v>
      </c>
      <c r="B80" s="27"/>
      <c r="C80" s="27"/>
      <c r="D80" s="27"/>
      <c r="E80" s="27"/>
    </row>
    <row r="81" customFormat="false" ht="15" hidden="false" customHeight="false" outlineLevel="0" collapsed="false">
      <c r="B81" s="8" t="s">
        <v>114</v>
      </c>
      <c r="C81" s="41" t="n">
        <f aca="false">G60</f>
        <v>34013.127044853</v>
      </c>
    </row>
    <row r="82" customFormat="false" ht="15" hidden="false" customHeight="false" outlineLevel="0" collapsed="false">
      <c r="B82" s="8" t="s">
        <v>115</v>
      </c>
      <c r="C82" s="41" t="n">
        <f aca="false">G78</f>
        <v>128688.4537086</v>
      </c>
    </row>
    <row r="83" customFormat="false" ht="15" hidden="false" customHeight="false" outlineLevel="0" collapsed="false">
      <c r="B83" s="17" t="s">
        <v>48</v>
      </c>
      <c r="C83" s="42" t="n">
        <f aca="false">C82-C81</f>
        <v>94675.326663747</v>
      </c>
    </row>
  </sheetData>
  <mergeCells count="11">
    <mergeCell ref="A2:J2"/>
    <mergeCell ref="A3:J3"/>
    <mergeCell ref="A4:J4"/>
    <mergeCell ref="A8:J8"/>
    <mergeCell ref="B10:J10"/>
    <mergeCell ref="B22:J22"/>
    <mergeCell ref="B40:J40"/>
    <mergeCell ref="A50:J50"/>
    <mergeCell ref="A51:J51"/>
    <mergeCell ref="A62:J62"/>
    <mergeCell ref="A80:E8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287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50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51</v>
      </c>
      <c r="C6" s="8" t="s">
        <v>26</v>
      </c>
    </row>
    <row r="8" customFormat="false" ht="15" hidden="false" customHeight="false" outlineLevel="0" collapsed="false">
      <c r="A8" s="21" t="s">
        <v>288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53</v>
      </c>
      <c r="C9" s="23" t="s">
        <v>54</v>
      </c>
      <c r="D9" s="23" t="s">
        <v>55</v>
      </c>
      <c r="E9" s="23" t="s">
        <v>56</v>
      </c>
      <c r="F9" s="23" t="s">
        <v>57</v>
      </c>
      <c r="G9" s="23" t="s">
        <v>58</v>
      </c>
      <c r="H9" s="23" t="s">
        <v>59</v>
      </c>
    </row>
    <row r="10" customFormat="false" ht="15" hidden="false" customHeight="false" outlineLevel="0" collapsed="false">
      <c r="A10" s="5"/>
      <c r="B10" s="6" t="s">
        <v>118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119</v>
      </c>
      <c r="C11" s="16" t="n">
        <v>31452.73</v>
      </c>
      <c r="D11" s="16" t="n">
        <v>31452.73</v>
      </c>
    </row>
    <row r="12" customFormat="false" ht="15" hidden="false" customHeight="false" outlineLevel="0" collapsed="false">
      <c r="B12" s="8" t="s">
        <v>120</v>
      </c>
      <c r="C12" s="16" t="n">
        <v>8394.17</v>
      </c>
      <c r="D12" s="16" t="n">
        <v>8394.17</v>
      </c>
    </row>
    <row r="13" customFormat="false" ht="15" hidden="false" customHeight="false" outlineLevel="0" collapsed="false">
      <c r="B13" s="8" t="s">
        <v>121</v>
      </c>
      <c r="C13" s="16" t="n">
        <v>32815.89</v>
      </c>
      <c r="D13" s="16" t="n">
        <v>32815.89</v>
      </c>
    </row>
    <row r="14" customFormat="false" ht="15" hidden="false" customHeight="false" outlineLevel="0" collapsed="false">
      <c r="B14" s="8" t="s">
        <v>122</v>
      </c>
      <c r="C14" s="16" t="n">
        <v>2648.72</v>
      </c>
      <c r="D14" s="16" t="n">
        <v>2648.72</v>
      </c>
    </row>
    <row r="15" customFormat="false" ht="15" hidden="false" customHeight="false" outlineLevel="0" collapsed="false">
      <c r="B15" s="8" t="s">
        <v>123</v>
      </c>
      <c r="C15" s="16" t="n">
        <v>0.394</v>
      </c>
      <c r="D15" s="16" t="n">
        <v>0.394</v>
      </c>
    </row>
    <row r="16" customFormat="false" ht="15" hidden="false" customHeight="false" outlineLevel="0" collapsed="false">
      <c r="B16" s="8" t="s">
        <v>124</v>
      </c>
      <c r="C16" s="16" t="n">
        <v>5344.3</v>
      </c>
      <c r="D16" s="16" t="n">
        <v>5344.3</v>
      </c>
    </row>
    <row r="17" customFormat="false" ht="15" hidden="false" customHeight="false" outlineLevel="0" collapsed="false">
      <c r="B17" s="8" t="s">
        <v>125</v>
      </c>
      <c r="C17" s="16" t="n">
        <v>2858.97</v>
      </c>
      <c r="D17" s="16" t="n">
        <v>2858.97</v>
      </c>
    </row>
    <row r="18" customFormat="false" ht="15" hidden="false" customHeight="false" outlineLevel="0" collapsed="false">
      <c r="B18" s="8" t="s">
        <v>126</v>
      </c>
      <c r="C18" s="16" t="n">
        <v>9687.68</v>
      </c>
      <c r="D18" s="16" t="n">
        <v>9687.68</v>
      </c>
    </row>
    <row r="19" customFormat="false" ht="15" hidden="false" customHeight="false" outlineLevel="0" collapsed="false">
      <c r="B19" s="8" t="s">
        <v>127</v>
      </c>
      <c r="C19" s="16" t="n">
        <v>2139.23</v>
      </c>
      <c r="D19" s="16" t="n">
        <v>2139.23</v>
      </c>
    </row>
    <row r="20" customFormat="false" ht="15" hidden="false" customHeight="false" outlineLevel="0" collapsed="false">
      <c r="B20" s="8" t="s">
        <v>128</v>
      </c>
      <c r="C20" s="16" t="n">
        <v>605.69</v>
      </c>
      <c r="D20" s="16" t="n">
        <v>605.69</v>
      </c>
    </row>
    <row r="21" customFormat="false" ht="15" hidden="false" customHeight="false" outlineLevel="0" collapsed="false">
      <c r="B21" s="8" t="s">
        <v>129</v>
      </c>
      <c r="C21" s="16" t="n">
        <v>8326.94</v>
      </c>
      <c r="D21" s="16" t="n">
        <v>8326.94</v>
      </c>
    </row>
    <row r="22" customFormat="false" ht="15" hidden="false" customHeight="false" outlineLevel="0" collapsed="false">
      <c r="A22" s="5"/>
      <c r="B22" s="6" t="s">
        <v>130</v>
      </c>
      <c r="C22" s="6"/>
      <c r="D22" s="6"/>
      <c r="E22" s="6"/>
      <c r="F22" s="6"/>
      <c r="G22" s="6"/>
      <c r="H22" s="6"/>
      <c r="I22" s="6"/>
      <c r="J22" s="6"/>
    </row>
    <row r="23" customFormat="false" ht="15" hidden="false" customHeight="false" outlineLevel="0" collapsed="false">
      <c r="B23" s="8" t="s">
        <v>131</v>
      </c>
      <c r="C23" s="16" t="n">
        <v>25000</v>
      </c>
      <c r="G23" s="16" t="n">
        <v>25000</v>
      </c>
    </row>
    <row r="24" customFormat="false" ht="15" hidden="false" customHeight="false" outlineLevel="0" collapsed="false">
      <c r="B24" s="8" t="s">
        <v>132</v>
      </c>
      <c r="C24" s="16" t="n">
        <v>32000</v>
      </c>
      <c r="G24" s="16" t="n">
        <v>32000</v>
      </c>
    </row>
    <row r="25" customFormat="false" ht="15" hidden="false" customHeight="false" outlineLevel="0" collapsed="false">
      <c r="B25" s="8" t="s">
        <v>133</v>
      </c>
      <c r="C25" s="16" t="n">
        <v>33000</v>
      </c>
      <c r="G25" s="16" t="n">
        <v>33000</v>
      </c>
    </row>
    <row r="26" customFormat="false" ht="15" hidden="false" customHeight="false" outlineLevel="0" collapsed="false">
      <c r="B26" s="8" t="s">
        <v>134</v>
      </c>
      <c r="C26" s="16" t="n">
        <v>27000</v>
      </c>
      <c r="G26" s="16" t="n">
        <v>27000</v>
      </c>
    </row>
    <row r="27" customFormat="false" ht="15" hidden="false" customHeight="false" outlineLevel="0" collapsed="false">
      <c r="B27" s="8" t="s">
        <v>135</v>
      </c>
      <c r="C27" s="16" t="n">
        <v>2200</v>
      </c>
      <c r="G27" s="16" t="n">
        <v>2200</v>
      </c>
    </row>
    <row r="28" customFormat="false" ht="15" hidden="false" customHeight="false" outlineLevel="0" collapsed="false">
      <c r="B28" s="8" t="s">
        <v>136</v>
      </c>
      <c r="C28" s="16" t="n">
        <v>20000</v>
      </c>
      <c r="G28" s="16" t="n">
        <v>20000</v>
      </c>
    </row>
    <row r="29" customFormat="false" ht="15" hidden="false" customHeight="false" outlineLevel="0" collapsed="false">
      <c r="B29" s="8" t="s">
        <v>137</v>
      </c>
      <c r="C29" s="16" t="n">
        <v>18000</v>
      </c>
      <c r="G29" s="16" t="n">
        <v>18000</v>
      </c>
    </row>
    <row r="30" customFormat="false" ht="15" hidden="false" customHeight="false" outlineLevel="0" collapsed="false">
      <c r="B30" s="8" t="s">
        <v>138</v>
      </c>
      <c r="C30" s="16" t="n">
        <v>16000</v>
      </c>
      <c r="G30" s="16" t="n">
        <v>16000</v>
      </c>
    </row>
    <row r="31" customFormat="false" ht="15" hidden="false" customHeight="false" outlineLevel="0" collapsed="false">
      <c r="B31" s="8" t="s">
        <v>139</v>
      </c>
      <c r="C31" s="16" t="n">
        <v>15000</v>
      </c>
      <c r="G31" s="16" t="n">
        <v>15000</v>
      </c>
    </row>
    <row r="32" customFormat="false" ht="15" hidden="false" customHeight="false" outlineLevel="0" collapsed="false">
      <c r="B32" s="8" t="s">
        <v>140</v>
      </c>
      <c r="C32" s="16" t="n">
        <v>40000</v>
      </c>
      <c r="G32" s="16" t="n">
        <v>40000</v>
      </c>
    </row>
    <row r="33" customFormat="false" ht="15" hidden="false" customHeight="false" outlineLevel="0" collapsed="false">
      <c r="B33" s="8" t="s">
        <v>141</v>
      </c>
      <c r="C33" s="16" t="n">
        <v>17000</v>
      </c>
      <c r="G33" s="16" t="n">
        <v>17000</v>
      </c>
    </row>
    <row r="34" customFormat="false" ht="15" hidden="false" customHeight="false" outlineLevel="0" collapsed="false">
      <c r="B34" s="8" t="s">
        <v>142</v>
      </c>
      <c r="C34" s="16" t="n">
        <v>1400</v>
      </c>
      <c r="G34" s="16" t="n">
        <v>1400</v>
      </c>
    </row>
    <row r="35" customFormat="false" ht="15" hidden="false" customHeight="false" outlineLevel="0" collapsed="false">
      <c r="B35" s="8" t="s">
        <v>143</v>
      </c>
      <c r="C35" s="16" t="n">
        <v>44000</v>
      </c>
      <c r="G35" s="16" t="n">
        <v>44000</v>
      </c>
    </row>
    <row r="36" customFormat="false" ht="15" hidden="false" customHeight="false" outlineLevel="0" collapsed="false">
      <c r="B36" s="8" t="s">
        <v>144</v>
      </c>
      <c r="C36" s="16" t="n">
        <v>9000</v>
      </c>
      <c r="G36" s="16" t="n">
        <v>9000</v>
      </c>
    </row>
    <row r="37" customFormat="false" ht="15" hidden="false" customHeight="false" outlineLevel="0" collapsed="false">
      <c r="B37" s="8" t="s">
        <v>145</v>
      </c>
      <c r="C37" s="16" t="n">
        <v>3500</v>
      </c>
      <c r="G37" s="16" t="n">
        <v>3500</v>
      </c>
    </row>
    <row r="38" customFormat="false" ht="15" hidden="false" customHeight="false" outlineLevel="0" collapsed="false">
      <c r="A38" s="24"/>
      <c r="B38" s="25" t="s">
        <v>69</v>
      </c>
      <c r="C38" s="26" t="n">
        <f aca="false">SUM(C10:C37)</f>
        <v>407374.714</v>
      </c>
      <c r="D38" s="26" t="n">
        <f aca="false">SUM(D10:D37)</f>
        <v>104274.714</v>
      </c>
      <c r="E38" s="26" t="n">
        <f aca="false">SUM(E10:E37)</f>
        <v>0</v>
      </c>
      <c r="F38" s="26" t="n">
        <f aca="false">SUM(F10:F37)</f>
        <v>0</v>
      </c>
      <c r="G38" s="26" t="n">
        <f aca="false">SUM(G10:G37)</f>
        <v>303100</v>
      </c>
      <c r="H38" s="24"/>
    </row>
    <row r="40" customFormat="false" ht="15" hidden="false" customHeight="false" outlineLevel="0" collapsed="false">
      <c r="A40" s="5"/>
      <c r="B40" s="6" t="s">
        <v>70</v>
      </c>
      <c r="C40" s="6"/>
      <c r="D40" s="6"/>
      <c r="E40" s="6"/>
      <c r="F40" s="6"/>
      <c r="G40" s="6"/>
      <c r="H40" s="6"/>
      <c r="I40" s="6"/>
      <c r="J40" s="6"/>
    </row>
    <row r="41" customFormat="false" ht="15" hidden="false" customHeight="false" outlineLevel="0" collapsed="false">
      <c r="B41" s="8" t="s">
        <v>71</v>
      </c>
      <c r="C41" s="16" t="n">
        <v>72192.64633</v>
      </c>
      <c r="D41" s="16" t="n">
        <v>18009.14283</v>
      </c>
      <c r="G41" s="16" t="n">
        <v>54183.5035</v>
      </c>
    </row>
    <row r="42" customFormat="false" ht="15" hidden="false" customHeight="false" outlineLevel="0" collapsed="false">
      <c r="B42" s="8" t="s">
        <v>146</v>
      </c>
      <c r="C42" s="16" t="n">
        <v>38741.892192</v>
      </c>
      <c r="D42" s="16" t="n">
        <v>9664.533792</v>
      </c>
      <c r="G42" s="16" t="n">
        <v>29077.3584</v>
      </c>
    </row>
    <row r="43" customFormat="false" ht="15" hidden="false" customHeight="false" outlineLevel="0" collapsed="false">
      <c r="B43" s="8" t="s">
        <v>147</v>
      </c>
      <c r="C43" s="16" t="n">
        <v>260521.28893</v>
      </c>
      <c r="D43" s="16" t="n">
        <v>64989.51543</v>
      </c>
      <c r="G43" s="16" t="n">
        <v>195531.7735</v>
      </c>
    </row>
    <row r="44" customFormat="false" ht="15" hidden="false" customHeight="false" outlineLevel="0" collapsed="false">
      <c r="B44" s="8" t="s">
        <v>148</v>
      </c>
      <c r="C44" s="16" t="n">
        <v>1820.5102118</v>
      </c>
      <c r="D44" s="16" t="n">
        <v>454.1436018</v>
      </c>
      <c r="G44" s="16" t="n">
        <v>1366.36661</v>
      </c>
    </row>
    <row r="45" customFormat="false" ht="15" hidden="false" customHeight="false" outlineLevel="0" collapsed="false">
      <c r="B45" s="8" t="s">
        <v>75</v>
      </c>
      <c r="C45" s="16" t="n">
        <v>9909.673813</v>
      </c>
      <c r="D45" s="16" t="n">
        <v>2472.062463</v>
      </c>
      <c r="G45" s="16" t="n">
        <v>7437.61135</v>
      </c>
    </row>
    <row r="46" customFormat="false" ht="15" hidden="false" customHeight="false" outlineLevel="0" collapsed="false">
      <c r="B46" s="8" t="s">
        <v>149</v>
      </c>
      <c r="C46" s="16" t="n">
        <v>8519.62907</v>
      </c>
      <c r="D46" s="16" t="n">
        <v>2125.30257</v>
      </c>
      <c r="G46" s="16" t="n">
        <v>6394.3265</v>
      </c>
    </row>
    <row r="47" customFormat="false" ht="15" hidden="false" customHeight="false" outlineLevel="0" collapsed="false">
      <c r="B47" s="8" t="s">
        <v>150</v>
      </c>
      <c r="C47" s="16" t="n">
        <v>56946.99431</v>
      </c>
      <c r="D47" s="16" t="n">
        <v>14205.96981</v>
      </c>
      <c r="G47" s="16" t="n">
        <v>42741.0245</v>
      </c>
    </row>
    <row r="48" customFormat="false" ht="15" hidden="false" customHeight="false" outlineLevel="0" collapsed="false">
      <c r="A48" s="24"/>
      <c r="B48" s="25" t="s">
        <v>78</v>
      </c>
      <c r="C48" s="26" t="n">
        <f aca="false">SUM(C41:C47)</f>
        <v>448652.6348568</v>
      </c>
      <c r="D48" s="26" t="n">
        <f aca="false">SUM(D41:D47)</f>
        <v>111920.6704968</v>
      </c>
      <c r="E48" s="24"/>
      <c r="F48" s="26" t="n">
        <f aca="false">SUM(F41:F47)</f>
        <v>0</v>
      </c>
      <c r="G48" s="26" t="n">
        <f aca="false">SUM(G41:G47)</f>
        <v>336731.96436</v>
      </c>
      <c r="H48" s="24"/>
    </row>
    <row r="50" customFormat="false" ht="15" hidden="false" customHeight="false" outlineLevel="0" collapsed="false">
      <c r="A50" s="27" t="s">
        <v>79</v>
      </c>
      <c r="B50" s="27"/>
      <c r="C50" s="27"/>
      <c r="D50" s="27"/>
      <c r="E50" s="27"/>
      <c r="F50" s="27"/>
      <c r="G50" s="27"/>
      <c r="H50" s="27"/>
      <c r="I50" s="27"/>
      <c r="J50" s="27"/>
    </row>
    <row r="51" customFormat="false" ht="15" hidden="false" customHeight="false" outlineLevel="0" collapsed="false">
      <c r="A51" s="28" t="s">
        <v>46</v>
      </c>
      <c r="B51" s="28"/>
      <c r="C51" s="28"/>
      <c r="D51" s="28"/>
      <c r="E51" s="28"/>
      <c r="F51" s="28"/>
      <c r="G51" s="28"/>
      <c r="H51" s="28"/>
      <c r="I51" s="28"/>
      <c r="J51" s="28"/>
    </row>
    <row r="52" customFormat="false" ht="15" hidden="false" customHeight="false" outlineLevel="0" collapsed="false">
      <c r="A52" s="29"/>
      <c r="B52" s="29" t="s">
        <v>80</v>
      </c>
      <c r="C52" s="30" t="s">
        <v>81</v>
      </c>
      <c r="D52" s="30" t="s">
        <v>82</v>
      </c>
      <c r="E52" s="30" t="s">
        <v>83</v>
      </c>
      <c r="F52" s="30" t="s">
        <v>84</v>
      </c>
      <c r="G52" s="30" t="s">
        <v>85</v>
      </c>
      <c r="H52" s="30" t="s">
        <v>86</v>
      </c>
      <c r="I52" s="30" t="s">
        <v>87</v>
      </c>
      <c r="J52" s="30" t="s">
        <v>88</v>
      </c>
    </row>
    <row r="53" customFormat="false" ht="15" hidden="false" customHeight="false" outlineLevel="0" collapsed="false">
      <c r="B53" s="31" t="s">
        <v>289</v>
      </c>
      <c r="C53" s="32" t="n">
        <v>72192.64633</v>
      </c>
      <c r="D53" s="32" t="n">
        <v>0</v>
      </c>
      <c r="E53" s="32" t="n">
        <v>4437.7968</v>
      </c>
      <c r="F53" s="32" t="n">
        <v>1479.2656</v>
      </c>
      <c r="G53" s="32" t="n">
        <v>5917.0624</v>
      </c>
      <c r="H53" s="32" t="n">
        <v>61363.7493805</v>
      </c>
      <c r="I53" s="33" t="s">
        <v>90</v>
      </c>
      <c r="J53" s="34" t="n">
        <v>30</v>
      </c>
    </row>
    <row r="54" customFormat="false" ht="15" hidden="false" customHeight="false" outlineLevel="0" collapsed="false">
      <c r="B54" s="35" t="s">
        <v>290</v>
      </c>
      <c r="C54" s="36" t="n">
        <v>38741.892192</v>
      </c>
      <c r="D54" s="36" t="n">
        <v>0</v>
      </c>
      <c r="E54" s="36" t="n">
        <v>2403.8066</v>
      </c>
      <c r="F54" s="36" t="n">
        <v>813.59608</v>
      </c>
      <c r="G54" s="36" t="n">
        <v>3217.40268</v>
      </c>
      <c r="H54" s="36" t="n">
        <v>34092.86512896</v>
      </c>
      <c r="I54" s="37" t="s">
        <v>90</v>
      </c>
      <c r="J54" s="38" t="n">
        <v>30</v>
      </c>
    </row>
    <row r="55" customFormat="false" ht="15" hidden="false" customHeight="false" outlineLevel="0" collapsed="false">
      <c r="B55" s="31" t="s">
        <v>291</v>
      </c>
      <c r="C55" s="32" t="n">
        <v>260521.28893</v>
      </c>
      <c r="D55" s="32" t="n">
        <v>0</v>
      </c>
      <c r="E55" s="32" t="n">
        <v>16271.9216</v>
      </c>
      <c r="F55" s="32" t="n">
        <v>5547.246</v>
      </c>
      <c r="G55" s="32" t="n">
        <v>21819.1676</v>
      </c>
      <c r="H55" s="32" t="n">
        <v>234469.160037</v>
      </c>
      <c r="I55" s="33" t="s">
        <v>90</v>
      </c>
      <c r="J55" s="34" t="n">
        <v>30</v>
      </c>
    </row>
    <row r="56" customFormat="false" ht="15" hidden="false" customHeight="false" outlineLevel="0" collapsed="false">
      <c r="B56" s="35" t="s">
        <v>292</v>
      </c>
      <c r="C56" s="36" t="n">
        <v>1820.5102118</v>
      </c>
      <c r="D56" s="36" t="n">
        <v>0</v>
      </c>
      <c r="E56" s="36" t="n">
        <v>110.94492</v>
      </c>
      <c r="F56" s="36" t="n">
        <v>36.98164</v>
      </c>
      <c r="G56" s="36" t="n">
        <v>147.92656</v>
      </c>
      <c r="H56" s="36" t="n">
        <v>1602.048986384</v>
      </c>
      <c r="I56" s="37" t="s">
        <v>90</v>
      </c>
      <c r="J56" s="38" t="n">
        <v>30</v>
      </c>
    </row>
    <row r="57" customFormat="false" ht="15" hidden="false" customHeight="false" outlineLevel="0" collapsed="false">
      <c r="B57" s="31" t="s">
        <v>293</v>
      </c>
      <c r="C57" s="32" t="n">
        <v>9909.673813</v>
      </c>
      <c r="D57" s="32" t="n">
        <v>2536.876496128</v>
      </c>
      <c r="E57" s="32" t="n">
        <v>2536.876496128</v>
      </c>
      <c r="F57" s="32" t="n">
        <v>763.044883601</v>
      </c>
      <c r="G57" s="32" t="n">
        <v>3299.921379729</v>
      </c>
      <c r="H57" s="32" t="n">
        <v>6609.752433271</v>
      </c>
      <c r="I57" s="33" t="s">
        <v>95</v>
      </c>
      <c r="J57" s="34" t="n">
        <v>15</v>
      </c>
    </row>
    <row r="58" customFormat="false" ht="15" hidden="false" customHeight="false" outlineLevel="0" collapsed="false">
      <c r="B58" s="35" t="s">
        <v>294</v>
      </c>
      <c r="C58" s="36" t="n">
        <v>8519.62907</v>
      </c>
      <c r="D58" s="36" t="n">
        <v>0</v>
      </c>
      <c r="E58" s="36" t="n">
        <v>0</v>
      </c>
      <c r="F58" s="36" t="n">
        <v>0</v>
      </c>
      <c r="G58" s="36" t="n">
        <v>0</v>
      </c>
      <c r="H58" s="36" t="n">
        <v>8519.62907</v>
      </c>
      <c r="I58" s="37" t="s">
        <v>97</v>
      </c>
      <c r="J58" s="38" t="n">
        <v>5</v>
      </c>
    </row>
    <row r="59" customFormat="false" ht="15" hidden="false" customHeight="false" outlineLevel="0" collapsed="false">
      <c r="B59" s="31" t="s">
        <v>295</v>
      </c>
      <c r="C59" s="32" t="n">
        <v>56946.99431</v>
      </c>
      <c r="D59" s="32" t="n">
        <v>0</v>
      </c>
      <c r="E59" s="32" t="n">
        <v>1479.2656</v>
      </c>
      <c r="F59" s="32" t="n">
        <v>2366.82496</v>
      </c>
      <c r="G59" s="32" t="n">
        <v>3846.09056</v>
      </c>
      <c r="H59" s="32" t="n">
        <v>50682.8249359</v>
      </c>
      <c r="I59" s="33" t="s">
        <v>97</v>
      </c>
      <c r="J59" s="34" t="n">
        <v>5</v>
      </c>
    </row>
    <row r="60" customFormat="false" ht="15" hidden="false" customHeight="false" outlineLevel="0" collapsed="false">
      <c r="A60" s="10"/>
      <c r="B60" s="11" t="s">
        <v>24</v>
      </c>
      <c r="C60" s="39" t="n">
        <f aca="false">SUM(C53:C59)</f>
        <v>448652.6348568</v>
      </c>
      <c r="D60" s="39" t="n">
        <f aca="false">SUM(D53:D59)</f>
        <v>2536.876496128</v>
      </c>
      <c r="E60" s="39" t="n">
        <f aca="false">SUM(E53:E59)</f>
        <v>27240.612016128</v>
      </c>
      <c r="F60" s="39" t="n">
        <f aca="false">SUM(F53:F59)</f>
        <v>11006.959163601</v>
      </c>
      <c r="G60" s="39" t="n">
        <f aca="false">SUM(G53:G59)</f>
        <v>38247.571179729</v>
      </c>
      <c r="H60" s="39" t="n">
        <f aca="false">SUM(H53:H59)</f>
        <v>397340.029972015</v>
      </c>
      <c r="I60" s="10"/>
      <c r="J60" s="10"/>
    </row>
    <row r="62" customFormat="false" ht="15" hidden="false" customHeight="false" outlineLevel="0" collapsed="false">
      <c r="A62" s="40" t="s">
        <v>99</v>
      </c>
      <c r="B62" s="40"/>
      <c r="C62" s="40"/>
      <c r="D62" s="40"/>
      <c r="E62" s="40"/>
      <c r="F62" s="40"/>
      <c r="G62" s="40"/>
      <c r="H62" s="40"/>
      <c r="I62" s="40"/>
      <c r="J62" s="40"/>
    </row>
    <row r="63" customFormat="false" ht="15" hidden="false" customHeight="false" outlineLevel="0" collapsed="false">
      <c r="A63" s="29"/>
      <c r="B63" s="29" t="s">
        <v>80</v>
      </c>
      <c r="C63" s="30" t="s">
        <v>81</v>
      </c>
      <c r="D63" s="30" t="s">
        <v>82</v>
      </c>
      <c r="E63" s="30" t="s">
        <v>83</v>
      </c>
      <c r="F63" s="30" t="s">
        <v>84</v>
      </c>
      <c r="G63" s="30" t="s">
        <v>85</v>
      </c>
      <c r="H63" s="30" t="s">
        <v>86</v>
      </c>
      <c r="I63" s="30" t="s">
        <v>87</v>
      </c>
      <c r="J63" s="30" t="s">
        <v>88</v>
      </c>
    </row>
    <row r="64" customFormat="false" ht="15" hidden="false" customHeight="false" outlineLevel="0" collapsed="false">
      <c r="B64" s="31" t="s">
        <v>296</v>
      </c>
      <c r="C64" s="32" t="n">
        <v>18832.86426</v>
      </c>
      <c r="D64" s="32" t="n">
        <v>18832.86426</v>
      </c>
      <c r="E64" s="32" t="n">
        <v>18832.86426</v>
      </c>
      <c r="F64" s="32" t="n">
        <v>0</v>
      </c>
      <c r="G64" s="32" t="n">
        <v>18832.86426</v>
      </c>
      <c r="H64" s="32" t="n">
        <v>0</v>
      </c>
      <c r="I64" s="33" t="s">
        <v>97</v>
      </c>
      <c r="J64" s="34" t="n">
        <v>5</v>
      </c>
    </row>
    <row r="65" customFormat="false" ht="15" hidden="false" customHeight="false" outlineLevel="0" collapsed="false">
      <c r="B65" s="35" t="s">
        <v>297</v>
      </c>
      <c r="C65" s="36" t="n">
        <v>53359.78207</v>
      </c>
      <c r="D65" s="36" t="n">
        <v>0</v>
      </c>
      <c r="E65" s="36" t="n">
        <v>9748.42365</v>
      </c>
      <c r="F65" s="36" t="n">
        <v>1736.02065</v>
      </c>
      <c r="G65" s="36" t="n">
        <v>11484.4443</v>
      </c>
      <c r="H65" s="36" t="n">
        <v>43755.0212974</v>
      </c>
      <c r="I65" s="37" t="s">
        <v>90</v>
      </c>
      <c r="J65" s="38" t="n">
        <v>30</v>
      </c>
    </row>
    <row r="66" customFormat="false" ht="15" hidden="false" customHeight="false" outlineLevel="0" collapsed="false">
      <c r="B66" s="31" t="s">
        <v>298</v>
      </c>
      <c r="C66" s="32" t="n">
        <v>10178.714731</v>
      </c>
      <c r="D66" s="32" t="n">
        <v>10178.714731</v>
      </c>
      <c r="E66" s="32" t="n">
        <v>10178.714731</v>
      </c>
      <c r="F66" s="32" t="n">
        <v>0</v>
      </c>
      <c r="G66" s="32" t="n">
        <v>10178.714731</v>
      </c>
      <c r="H66" s="32" t="n">
        <v>0</v>
      </c>
      <c r="I66" s="33" t="s">
        <v>97</v>
      </c>
      <c r="J66" s="34" t="n">
        <v>5</v>
      </c>
    </row>
    <row r="67" customFormat="false" ht="15" hidden="false" customHeight="false" outlineLevel="0" collapsed="false">
      <c r="B67" s="35" t="s">
        <v>299</v>
      </c>
      <c r="C67" s="36" t="n">
        <v>28563.177461</v>
      </c>
      <c r="D67" s="36" t="n">
        <v>0</v>
      </c>
      <c r="E67" s="36" t="n">
        <v>5208.06195</v>
      </c>
      <c r="F67" s="36" t="n">
        <v>921.426345</v>
      </c>
      <c r="G67" s="36" t="n">
        <v>6142.8423</v>
      </c>
      <c r="H67" s="36" t="n">
        <v>26563.75503873</v>
      </c>
      <c r="I67" s="37" t="s">
        <v>90</v>
      </c>
      <c r="J67" s="38" t="n">
        <v>30</v>
      </c>
    </row>
    <row r="68" customFormat="false" ht="15" hidden="false" customHeight="false" outlineLevel="0" collapsed="false">
      <c r="B68" s="31" t="s">
        <v>300</v>
      </c>
      <c r="C68" s="32" t="n">
        <v>68157.03256</v>
      </c>
      <c r="D68" s="32" t="n">
        <v>54704.98666</v>
      </c>
      <c r="E68" s="32" t="n">
        <v>55285.5807</v>
      </c>
      <c r="F68" s="32" t="n">
        <v>4273.2816</v>
      </c>
      <c r="G68" s="32" t="n">
        <v>59558.8623</v>
      </c>
      <c r="H68" s="32" t="n">
        <v>3271.53756288</v>
      </c>
      <c r="I68" s="33" t="s">
        <v>97</v>
      </c>
      <c r="J68" s="34" t="n">
        <v>5</v>
      </c>
    </row>
    <row r="69" customFormat="false" ht="15" hidden="false" customHeight="false" outlineLevel="0" collapsed="false">
      <c r="B69" s="35" t="s">
        <v>301</v>
      </c>
      <c r="C69" s="36" t="n">
        <v>191019.05178</v>
      </c>
      <c r="D69" s="36" t="n">
        <v>0</v>
      </c>
      <c r="E69" s="36" t="n">
        <v>4406.82165</v>
      </c>
      <c r="F69" s="36" t="n">
        <v>6142.8423</v>
      </c>
      <c r="G69" s="36" t="n">
        <v>10549.66395</v>
      </c>
      <c r="H69" s="36" t="n">
        <v>185288.4802266</v>
      </c>
      <c r="I69" s="37" t="s">
        <v>90</v>
      </c>
      <c r="J69" s="38" t="n">
        <v>30</v>
      </c>
    </row>
    <row r="70" customFormat="false" ht="15" hidden="false" customHeight="false" outlineLevel="0" collapsed="false">
      <c r="B70" s="31" t="s">
        <v>302</v>
      </c>
      <c r="C70" s="32" t="n">
        <v>475.3056218</v>
      </c>
      <c r="D70" s="32" t="n">
        <v>475.3056218</v>
      </c>
      <c r="E70" s="32" t="n">
        <v>475.3056218</v>
      </c>
      <c r="F70" s="32" t="n">
        <v>0</v>
      </c>
      <c r="G70" s="32" t="n">
        <v>475.3056218</v>
      </c>
      <c r="H70" s="32" t="n">
        <v>0</v>
      </c>
      <c r="I70" s="33" t="s">
        <v>97</v>
      </c>
      <c r="J70" s="34" t="n">
        <v>5</v>
      </c>
    </row>
    <row r="71" customFormat="false" ht="15" hidden="false" customHeight="false" outlineLevel="0" collapsed="false">
      <c r="B71" s="35" t="s">
        <v>303</v>
      </c>
      <c r="C71" s="36" t="n">
        <v>1345.20459</v>
      </c>
      <c r="D71" s="36" t="n">
        <v>0</v>
      </c>
      <c r="E71" s="36" t="n">
        <v>133.54005</v>
      </c>
      <c r="F71" s="36" t="n">
        <v>40.062015</v>
      </c>
      <c r="G71" s="36" t="n">
        <v>173.602065</v>
      </c>
      <c r="H71" s="36" t="n">
        <v>1304.8484523</v>
      </c>
      <c r="I71" s="37" t="s">
        <v>90</v>
      </c>
      <c r="J71" s="38" t="n">
        <v>30</v>
      </c>
    </row>
    <row r="72" customFormat="false" ht="15" hidden="false" customHeight="false" outlineLevel="0" collapsed="false">
      <c r="B72" s="31" t="s">
        <v>304</v>
      </c>
      <c r="C72" s="32" t="n">
        <v>2600.728874</v>
      </c>
      <c r="D72" s="32" t="n">
        <v>2600.728874</v>
      </c>
      <c r="E72" s="32" t="n">
        <v>2600.728874</v>
      </c>
      <c r="F72" s="32" t="n">
        <v>0</v>
      </c>
      <c r="G72" s="32" t="n">
        <v>2600.728874</v>
      </c>
      <c r="H72" s="32" t="n">
        <v>0</v>
      </c>
      <c r="I72" s="33" t="s">
        <v>97</v>
      </c>
      <c r="J72" s="34" t="n">
        <v>5</v>
      </c>
    </row>
    <row r="73" customFormat="false" ht="15" hidden="false" customHeight="false" outlineLevel="0" collapsed="false">
      <c r="B73" s="35" t="s">
        <v>305</v>
      </c>
      <c r="C73" s="36" t="n">
        <v>7308.944939</v>
      </c>
      <c r="D73" s="36" t="n">
        <v>0</v>
      </c>
      <c r="E73" s="36" t="n">
        <v>1268.630475</v>
      </c>
      <c r="F73" s="36" t="n">
        <v>235.030488</v>
      </c>
      <c r="G73" s="36" t="n">
        <v>1509.002565</v>
      </c>
      <c r="H73" s="36" t="n">
        <v>6797.31879327</v>
      </c>
      <c r="I73" s="37" t="s">
        <v>90</v>
      </c>
      <c r="J73" s="38" t="n">
        <v>30</v>
      </c>
    </row>
    <row r="74" customFormat="false" ht="15" hidden="false" customHeight="false" outlineLevel="0" collapsed="false">
      <c r="B74" s="31" t="s">
        <v>306</v>
      </c>
      <c r="C74" s="32" t="n">
        <v>2242.00765</v>
      </c>
      <c r="D74" s="32" t="n">
        <v>2242.00765</v>
      </c>
      <c r="E74" s="32" t="n">
        <v>2242.00765</v>
      </c>
      <c r="F74" s="32" t="n">
        <v>0</v>
      </c>
      <c r="G74" s="32" t="n">
        <v>2242.00765</v>
      </c>
      <c r="H74" s="32" t="n">
        <v>0</v>
      </c>
      <c r="I74" s="33" t="s">
        <v>97</v>
      </c>
      <c r="J74" s="34" t="n">
        <v>5</v>
      </c>
    </row>
    <row r="75" customFormat="false" ht="15" hidden="false" customHeight="false" outlineLevel="0" collapsed="false">
      <c r="B75" s="35" t="s">
        <v>307</v>
      </c>
      <c r="C75" s="36" t="n">
        <v>6277.62142</v>
      </c>
      <c r="D75" s="36" t="n">
        <v>0</v>
      </c>
      <c r="E75" s="36" t="n">
        <v>213.66408</v>
      </c>
      <c r="F75" s="36" t="n">
        <v>200.310075</v>
      </c>
      <c r="G75" s="36" t="n">
        <v>413.974155</v>
      </c>
      <c r="H75" s="36" t="n">
        <v>6152.0689916</v>
      </c>
      <c r="I75" s="37" t="s">
        <v>90</v>
      </c>
      <c r="J75" s="38" t="n">
        <v>30</v>
      </c>
    </row>
    <row r="76" customFormat="false" ht="15" hidden="false" customHeight="false" outlineLevel="0" collapsed="false">
      <c r="B76" s="31" t="s">
        <v>308</v>
      </c>
      <c r="C76" s="32" t="n">
        <v>15021.451255</v>
      </c>
      <c r="D76" s="32" t="n">
        <v>12017.161004</v>
      </c>
      <c r="E76" s="32" t="n">
        <v>12980.09286</v>
      </c>
      <c r="F76" s="32" t="n">
        <v>988.19637</v>
      </c>
      <c r="G76" s="32" t="n">
        <v>13968.28923</v>
      </c>
      <c r="H76" s="32" t="n">
        <v>165.235963805</v>
      </c>
      <c r="I76" s="33" t="s">
        <v>97</v>
      </c>
      <c r="J76" s="34" t="n">
        <v>5</v>
      </c>
    </row>
    <row r="77" customFormat="false" ht="15" hidden="false" customHeight="false" outlineLevel="0" collapsed="false">
      <c r="B77" s="35" t="s">
        <v>309</v>
      </c>
      <c r="C77" s="36" t="n">
        <v>41925.543055</v>
      </c>
      <c r="D77" s="36" t="n">
        <v>0</v>
      </c>
      <c r="E77" s="36" t="n">
        <v>1095.02841</v>
      </c>
      <c r="F77" s="36" t="n">
        <v>1549.06458</v>
      </c>
      <c r="G77" s="36" t="n">
        <v>2644.09299</v>
      </c>
      <c r="H77" s="36" t="n">
        <v>41087.0321939</v>
      </c>
      <c r="I77" s="37" t="s">
        <v>90</v>
      </c>
      <c r="J77" s="38" t="n">
        <v>30</v>
      </c>
    </row>
    <row r="78" customFormat="false" ht="15" hidden="false" customHeight="false" outlineLevel="0" collapsed="false">
      <c r="A78" s="10"/>
      <c r="B78" s="11" t="s">
        <v>24</v>
      </c>
      <c r="C78" s="39" t="n">
        <f aca="false">SUM(C64:C77)</f>
        <v>447307.4302668</v>
      </c>
      <c r="D78" s="39" t="n">
        <f aca="false">SUM(D64:D77)</f>
        <v>101051.7688008</v>
      </c>
      <c r="E78" s="39" t="n">
        <f aca="false">SUM(E64:E77)</f>
        <v>124669.4649618</v>
      </c>
      <c r="F78" s="39" t="n">
        <f aca="false">SUM(F64:F77)</f>
        <v>16086.234423</v>
      </c>
      <c r="G78" s="39" t="n">
        <f aca="false">SUM(G64:G77)</f>
        <v>140774.3949918</v>
      </c>
      <c r="H78" s="39" t="n">
        <f aca="false">SUM(H64:H77)</f>
        <v>314385.298520485</v>
      </c>
      <c r="I78" s="10"/>
      <c r="J78" s="10"/>
    </row>
    <row r="80" customFormat="false" ht="15" hidden="false" customHeight="false" outlineLevel="0" collapsed="false">
      <c r="A80" s="27" t="s">
        <v>48</v>
      </c>
      <c r="B80" s="27"/>
      <c r="C80" s="27"/>
      <c r="D80" s="27"/>
      <c r="E80" s="27"/>
    </row>
    <row r="81" customFormat="false" ht="15" hidden="false" customHeight="false" outlineLevel="0" collapsed="false">
      <c r="B81" s="8" t="s">
        <v>114</v>
      </c>
      <c r="C81" s="41" t="n">
        <f aca="false">G60</f>
        <v>38247.571179729</v>
      </c>
    </row>
    <row r="82" customFormat="false" ht="15" hidden="false" customHeight="false" outlineLevel="0" collapsed="false">
      <c r="B82" s="8" t="s">
        <v>115</v>
      </c>
      <c r="C82" s="41" t="n">
        <f aca="false">G78</f>
        <v>140774.3949918</v>
      </c>
    </row>
    <row r="83" customFormat="false" ht="15" hidden="false" customHeight="false" outlineLevel="0" collapsed="false">
      <c r="B83" s="17" t="s">
        <v>48</v>
      </c>
      <c r="C83" s="42" t="n">
        <f aca="false">C82-C81</f>
        <v>102526.823812071</v>
      </c>
    </row>
  </sheetData>
  <mergeCells count="11">
    <mergeCell ref="A2:J2"/>
    <mergeCell ref="A3:J3"/>
    <mergeCell ref="A4:J4"/>
    <mergeCell ref="A8:J8"/>
    <mergeCell ref="B10:J10"/>
    <mergeCell ref="B22:J22"/>
    <mergeCell ref="B40:J40"/>
    <mergeCell ref="A50:J50"/>
    <mergeCell ref="A51:J51"/>
    <mergeCell ref="A62:J62"/>
    <mergeCell ref="A80:E8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310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50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51</v>
      </c>
      <c r="C6" s="8" t="s">
        <v>26</v>
      </c>
    </row>
    <row r="8" customFormat="false" ht="15" hidden="false" customHeight="false" outlineLevel="0" collapsed="false">
      <c r="A8" s="21" t="s">
        <v>311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53</v>
      </c>
      <c r="C9" s="23" t="s">
        <v>54</v>
      </c>
      <c r="D9" s="23" t="s">
        <v>55</v>
      </c>
      <c r="E9" s="23" t="s">
        <v>56</v>
      </c>
      <c r="F9" s="23" t="s">
        <v>57</v>
      </c>
      <c r="G9" s="23" t="s">
        <v>58</v>
      </c>
      <c r="H9" s="23" t="s">
        <v>59</v>
      </c>
    </row>
    <row r="10" customFormat="false" ht="15" hidden="false" customHeight="false" outlineLevel="0" collapsed="false">
      <c r="A10" s="5"/>
      <c r="B10" s="6" t="s">
        <v>118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119</v>
      </c>
      <c r="C11" s="16" t="n">
        <v>31452.73</v>
      </c>
      <c r="D11" s="16" t="n">
        <v>31452.73</v>
      </c>
    </row>
    <row r="12" customFormat="false" ht="15" hidden="false" customHeight="false" outlineLevel="0" collapsed="false">
      <c r="B12" s="8" t="s">
        <v>120</v>
      </c>
      <c r="C12" s="16" t="n">
        <v>8394.17</v>
      </c>
      <c r="D12" s="16" t="n">
        <v>8394.17</v>
      </c>
    </row>
    <row r="13" customFormat="false" ht="15" hidden="false" customHeight="false" outlineLevel="0" collapsed="false">
      <c r="B13" s="8" t="s">
        <v>121</v>
      </c>
      <c r="C13" s="16" t="n">
        <v>32815.89</v>
      </c>
      <c r="D13" s="16" t="n">
        <v>32815.89</v>
      </c>
    </row>
    <row r="14" customFormat="false" ht="15" hidden="false" customHeight="false" outlineLevel="0" collapsed="false">
      <c r="B14" s="8" t="s">
        <v>122</v>
      </c>
      <c r="C14" s="16" t="n">
        <v>2648.72</v>
      </c>
      <c r="D14" s="16" t="n">
        <v>2648.72</v>
      </c>
    </row>
    <row r="15" customFormat="false" ht="15" hidden="false" customHeight="false" outlineLevel="0" collapsed="false">
      <c r="B15" s="8" t="s">
        <v>123</v>
      </c>
      <c r="C15" s="16" t="n">
        <v>0.394</v>
      </c>
      <c r="D15" s="16" t="n">
        <v>0.394</v>
      </c>
    </row>
    <row r="16" customFormat="false" ht="15" hidden="false" customHeight="false" outlineLevel="0" collapsed="false">
      <c r="B16" s="8" t="s">
        <v>124</v>
      </c>
      <c r="C16" s="16" t="n">
        <v>5344.3</v>
      </c>
      <c r="D16" s="16" t="n">
        <v>5344.3</v>
      </c>
    </row>
    <row r="17" customFormat="false" ht="15" hidden="false" customHeight="false" outlineLevel="0" collapsed="false">
      <c r="B17" s="8" t="s">
        <v>125</v>
      </c>
      <c r="C17" s="16" t="n">
        <v>2858.97</v>
      </c>
      <c r="D17" s="16" t="n">
        <v>2858.97</v>
      </c>
    </row>
    <row r="18" customFormat="false" ht="15" hidden="false" customHeight="false" outlineLevel="0" collapsed="false">
      <c r="B18" s="8" t="s">
        <v>126</v>
      </c>
      <c r="C18" s="16" t="n">
        <v>9687.68</v>
      </c>
      <c r="D18" s="16" t="n">
        <v>9687.68</v>
      </c>
    </row>
    <row r="19" customFormat="false" ht="15" hidden="false" customHeight="false" outlineLevel="0" collapsed="false">
      <c r="B19" s="8" t="s">
        <v>127</v>
      </c>
      <c r="C19" s="16" t="n">
        <v>2139.23</v>
      </c>
      <c r="D19" s="16" t="n">
        <v>2139.23</v>
      </c>
    </row>
    <row r="20" customFormat="false" ht="15" hidden="false" customHeight="false" outlineLevel="0" collapsed="false">
      <c r="B20" s="8" t="s">
        <v>128</v>
      </c>
      <c r="C20" s="16" t="n">
        <v>605.69</v>
      </c>
      <c r="D20" s="16" t="n">
        <v>605.69</v>
      </c>
    </row>
    <row r="21" customFormat="false" ht="15" hidden="false" customHeight="false" outlineLevel="0" collapsed="false">
      <c r="B21" s="8" t="s">
        <v>129</v>
      </c>
      <c r="C21" s="16" t="n">
        <v>8326.94</v>
      </c>
      <c r="D21" s="16" t="n">
        <v>8326.94</v>
      </c>
    </row>
    <row r="22" customFormat="false" ht="15" hidden="false" customHeight="false" outlineLevel="0" collapsed="false">
      <c r="A22" s="5"/>
      <c r="B22" s="6" t="s">
        <v>130</v>
      </c>
      <c r="C22" s="6"/>
      <c r="D22" s="6"/>
      <c r="E22" s="6"/>
      <c r="F22" s="6"/>
      <c r="G22" s="6"/>
      <c r="H22" s="6"/>
      <c r="I22" s="6"/>
      <c r="J22" s="6"/>
    </row>
    <row r="23" customFormat="false" ht="15" hidden="false" customHeight="false" outlineLevel="0" collapsed="false">
      <c r="B23" s="8" t="s">
        <v>131</v>
      </c>
      <c r="C23" s="16" t="n">
        <v>22000</v>
      </c>
      <c r="G23" s="16" t="n">
        <v>22000</v>
      </c>
    </row>
    <row r="24" customFormat="false" ht="15" hidden="false" customHeight="false" outlineLevel="0" collapsed="false">
      <c r="B24" s="8" t="s">
        <v>132</v>
      </c>
      <c r="C24" s="16" t="n">
        <v>28000</v>
      </c>
      <c r="G24" s="16" t="n">
        <v>28000</v>
      </c>
    </row>
    <row r="25" customFormat="false" ht="15" hidden="false" customHeight="false" outlineLevel="0" collapsed="false">
      <c r="B25" s="8" t="s">
        <v>133</v>
      </c>
      <c r="C25" s="16" t="n">
        <v>29000</v>
      </c>
      <c r="G25" s="16" t="n">
        <v>29000</v>
      </c>
    </row>
    <row r="26" customFormat="false" ht="15" hidden="false" customHeight="false" outlineLevel="0" collapsed="false">
      <c r="B26" s="8" t="s">
        <v>134</v>
      </c>
      <c r="C26" s="16" t="n">
        <v>24000</v>
      </c>
      <c r="G26" s="16" t="n">
        <v>24000</v>
      </c>
    </row>
    <row r="27" customFormat="false" ht="15" hidden="false" customHeight="false" outlineLevel="0" collapsed="false">
      <c r="B27" s="8" t="s">
        <v>135</v>
      </c>
      <c r="C27" s="16" t="n">
        <v>2000</v>
      </c>
      <c r="G27" s="16" t="n">
        <v>2000</v>
      </c>
    </row>
    <row r="28" customFormat="false" ht="15" hidden="false" customHeight="false" outlineLevel="0" collapsed="false">
      <c r="B28" s="8" t="s">
        <v>136</v>
      </c>
      <c r="C28" s="16" t="n">
        <v>18000</v>
      </c>
      <c r="G28" s="16" t="n">
        <v>18000</v>
      </c>
    </row>
    <row r="29" customFormat="false" ht="15" hidden="false" customHeight="false" outlineLevel="0" collapsed="false">
      <c r="B29" s="8" t="s">
        <v>137</v>
      </c>
      <c r="C29" s="16" t="n">
        <v>16000</v>
      </c>
      <c r="G29" s="16" t="n">
        <v>16000</v>
      </c>
    </row>
    <row r="30" customFormat="false" ht="15" hidden="false" customHeight="false" outlineLevel="0" collapsed="false">
      <c r="B30" s="8" t="s">
        <v>138</v>
      </c>
      <c r="C30" s="16" t="n">
        <v>14000</v>
      </c>
      <c r="G30" s="16" t="n">
        <v>14000</v>
      </c>
    </row>
    <row r="31" customFormat="false" ht="15" hidden="false" customHeight="false" outlineLevel="0" collapsed="false">
      <c r="B31" s="8" t="s">
        <v>139</v>
      </c>
      <c r="C31" s="16" t="n">
        <v>13000</v>
      </c>
      <c r="G31" s="16" t="n">
        <v>13000</v>
      </c>
    </row>
    <row r="32" customFormat="false" ht="15" hidden="false" customHeight="false" outlineLevel="0" collapsed="false">
      <c r="B32" s="8" t="s">
        <v>140</v>
      </c>
      <c r="C32" s="16" t="n">
        <v>35000</v>
      </c>
      <c r="G32" s="16" t="n">
        <v>35000</v>
      </c>
    </row>
    <row r="33" customFormat="false" ht="15" hidden="false" customHeight="false" outlineLevel="0" collapsed="false">
      <c r="B33" s="8" t="s">
        <v>141</v>
      </c>
      <c r="C33" s="16" t="n">
        <v>15000</v>
      </c>
      <c r="G33" s="16" t="n">
        <v>15000</v>
      </c>
    </row>
    <row r="34" customFormat="false" ht="15" hidden="false" customHeight="false" outlineLevel="0" collapsed="false">
      <c r="B34" s="8" t="s">
        <v>142</v>
      </c>
      <c r="C34" s="16" t="n">
        <v>1200</v>
      </c>
      <c r="G34" s="16" t="n">
        <v>1200</v>
      </c>
    </row>
    <row r="35" customFormat="false" ht="15" hidden="false" customHeight="false" outlineLevel="0" collapsed="false">
      <c r="B35" s="8" t="s">
        <v>143</v>
      </c>
      <c r="C35" s="16" t="n">
        <v>38000</v>
      </c>
      <c r="G35" s="16" t="n">
        <v>38000</v>
      </c>
    </row>
    <row r="36" customFormat="false" ht="15" hidden="false" customHeight="false" outlineLevel="0" collapsed="false">
      <c r="B36" s="8" t="s">
        <v>144</v>
      </c>
      <c r="C36" s="16" t="n">
        <v>8000</v>
      </c>
      <c r="G36" s="16" t="n">
        <v>8000</v>
      </c>
    </row>
    <row r="37" customFormat="false" ht="15" hidden="false" customHeight="false" outlineLevel="0" collapsed="false">
      <c r="B37" s="8" t="s">
        <v>145</v>
      </c>
      <c r="C37" s="16" t="n">
        <v>3000</v>
      </c>
      <c r="G37" s="16" t="n">
        <v>3000</v>
      </c>
    </row>
    <row r="38" customFormat="false" ht="15" hidden="false" customHeight="false" outlineLevel="0" collapsed="false">
      <c r="A38" s="24"/>
      <c r="B38" s="25" t="s">
        <v>69</v>
      </c>
      <c r="C38" s="26" t="n">
        <f aca="false">SUM(C10:C37)</f>
        <v>370474.714</v>
      </c>
      <c r="D38" s="26" t="n">
        <f aca="false">SUM(D10:D37)</f>
        <v>104274.714</v>
      </c>
      <c r="E38" s="26" t="n">
        <f aca="false">SUM(E10:E37)</f>
        <v>0</v>
      </c>
      <c r="F38" s="26" t="n">
        <f aca="false">SUM(F10:F37)</f>
        <v>0</v>
      </c>
      <c r="G38" s="26" t="n">
        <f aca="false">SUM(G10:G37)</f>
        <v>266200</v>
      </c>
      <c r="H38" s="24"/>
    </row>
    <row r="40" customFormat="false" ht="15" hidden="false" customHeight="false" outlineLevel="0" collapsed="false">
      <c r="A40" s="5"/>
      <c r="B40" s="6" t="s">
        <v>70</v>
      </c>
      <c r="C40" s="6"/>
      <c r="D40" s="6"/>
      <c r="E40" s="6"/>
      <c r="F40" s="6"/>
      <c r="G40" s="6"/>
      <c r="H40" s="6"/>
      <c r="I40" s="6"/>
      <c r="J40" s="6"/>
    </row>
    <row r="41" customFormat="false" ht="15" hidden="false" customHeight="false" outlineLevel="0" collapsed="false">
      <c r="B41" s="8" t="s">
        <v>71</v>
      </c>
      <c r="C41" s="16" t="n">
        <v>64200.07181</v>
      </c>
      <c r="D41" s="16" t="n">
        <v>16851.66553</v>
      </c>
      <c r="G41" s="16" t="n">
        <v>47348.40628</v>
      </c>
    </row>
    <row r="42" customFormat="false" ht="15" hidden="false" customHeight="false" outlineLevel="0" collapsed="false">
      <c r="B42" s="8" t="s">
        <v>146</v>
      </c>
      <c r="C42" s="16" t="n">
        <v>34452.709344</v>
      </c>
      <c r="D42" s="16" t="n">
        <v>9043.378272</v>
      </c>
      <c r="G42" s="16" t="n">
        <v>25409.331072</v>
      </c>
    </row>
    <row r="43" customFormat="false" ht="15" hidden="false" customHeight="false" outlineLevel="0" collapsed="false">
      <c r="B43" s="8" t="s">
        <v>147</v>
      </c>
      <c r="C43" s="16" t="n">
        <v>231678.52001</v>
      </c>
      <c r="D43" s="16" t="n">
        <v>60812.53213</v>
      </c>
      <c r="G43" s="16" t="n">
        <v>170865.98788</v>
      </c>
    </row>
    <row r="44" customFormat="false" ht="15" hidden="false" customHeight="false" outlineLevel="0" collapsed="false">
      <c r="B44" s="8" t="s">
        <v>148</v>
      </c>
      <c r="C44" s="16" t="n">
        <v>1618.9583326</v>
      </c>
      <c r="D44" s="16" t="n">
        <v>424.9550438</v>
      </c>
      <c r="G44" s="16" t="n">
        <v>1194.0032888</v>
      </c>
    </row>
    <row r="45" customFormat="false" ht="15" hidden="false" customHeight="false" outlineLevel="0" collapsed="false">
      <c r="B45" s="8" t="s">
        <v>75</v>
      </c>
      <c r="C45" s="16" t="n">
        <v>8812.556441</v>
      </c>
      <c r="D45" s="16" t="n">
        <v>2313.178933</v>
      </c>
      <c r="G45" s="16" t="n">
        <v>6499.377508</v>
      </c>
    </row>
    <row r="46" customFormat="false" ht="15" hidden="false" customHeight="false" outlineLevel="0" collapsed="false">
      <c r="B46" s="8" t="s">
        <v>149</v>
      </c>
      <c r="C46" s="16" t="n">
        <v>7576.40599</v>
      </c>
      <c r="D46" s="16" t="n">
        <v>1988.70587</v>
      </c>
      <c r="G46" s="16" t="n">
        <v>5587.70012</v>
      </c>
    </row>
    <row r="47" customFormat="false" ht="15" hidden="false" customHeight="false" outlineLevel="0" collapsed="false">
      <c r="B47" s="8" t="s">
        <v>150</v>
      </c>
      <c r="C47" s="16" t="n">
        <v>50642.29267</v>
      </c>
      <c r="D47" s="16" t="n">
        <v>13292.92871</v>
      </c>
      <c r="G47" s="16" t="n">
        <v>37349.36396</v>
      </c>
    </row>
    <row r="48" customFormat="false" ht="15" hidden="false" customHeight="false" outlineLevel="0" collapsed="false">
      <c r="A48" s="24"/>
      <c r="B48" s="25" t="s">
        <v>78</v>
      </c>
      <c r="C48" s="26" t="n">
        <f aca="false">SUM(C41:C47)</f>
        <v>398981.5145976</v>
      </c>
      <c r="D48" s="26" t="n">
        <f aca="false">SUM(D41:D47)</f>
        <v>104727.3444888</v>
      </c>
      <c r="E48" s="24"/>
      <c r="F48" s="26" t="n">
        <f aca="false">SUM(F41:F47)</f>
        <v>0</v>
      </c>
      <c r="G48" s="26" t="n">
        <f aca="false">SUM(G41:G47)</f>
        <v>294254.1701088</v>
      </c>
      <c r="H48" s="24"/>
    </row>
    <row r="50" customFormat="false" ht="15" hidden="false" customHeight="false" outlineLevel="0" collapsed="false">
      <c r="A50" s="27" t="s">
        <v>79</v>
      </c>
      <c r="B50" s="27"/>
      <c r="C50" s="27"/>
      <c r="D50" s="27"/>
      <c r="E50" s="27"/>
      <c r="F50" s="27"/>
      <c r="G50" s="27"/>
      <c r="H50" s="27"/>
      <c r="I50" s="27"/>
      <c r="J50" s="27"/>
    </row>
    <row r="51" customFormat="false" ht="15" hidden="false" customHeight="false" outlineLevel="0" collapsed="false">
      <c r="A51" s="28" t="s">
        <v>46</v>
      </c>
      <c r="B51" s="28"/>
      <c r="C51" s="28"/>
      <c r="D51" s="28"/>
      <c r="E51" s="28"/>
      <c r="F51" s="28"/>
      <c r="G51" s="28"/>
      <c r="H51" s="28"/>
      <c r="I51" s="28"/>
      <c r="J51" s="28"/>
    </row>
    <row r="52" customFormat="false" ht="15" hidden="false" customHeight="false" outlineLevel="0" collapsed="false">
      <c r="A52" s="29"/>
      <c r="B52" s="29" t="s">
        <v>80</v>
      </c>
      <c r="C52" s="30" t="s">
        <v>81</v>
      </c>
      <c r="D52" s="30" t="s">
        <v>82</v>
      </c>
      <c r="E52" s="30" t="s">
        <v>83</v>
      </c>
      <c r="F52" s="30" t="s">
        <v>84</v>
      </c>
      <c r="G52" s="30" t="s">
        <v>85</v>
      </c>
      <c r="H52" s="30" t="s">
        <v>86</v>
      </c>
      <c r="I52" s="30" t="s">
        <v>87</v>
      </c>
      <c r="J52" s="30" t="s">
        <v>88</v>
      </c>
    </row>
    <row r="53" customFormat="false" ht="15" hidden="false" customHeight="false" outlineLevel="0" collapsed="false">
      <c r="B53" s="31" t="s">
        <v>312</v>
      </c>
      <c r="C53" s="32" t="n">
        <v>64200.07181</v>
      </c>
      <c r="D53" s="32" t="n">
        <v>0</v>
      </c>
      <c r="E53" s="32" t="n">
        <v>3946.482</v>
      </c>
      <c r="F53" s="32" t="n">
        <v>1315.494</v>
      </c>
      <c r="G53" s="32" t="n">
        <v>5261.976</v>
      </c>
      <c r="H53" s="32" t="n">
        <v>54570.0610385</v>
      </c>
      <c r="I53" s="33" t="s">
        <v>90</v>
      </c>
      <c r="J53" s="34" t="n">
        <v>30</v>
      </c>
    </row>
    <row r="54" customFormat="false" ht="15" hidden="false" customHeight="false" outlineLevel="0" collapsed="false">
      <c r="B54" s="35" t="s">
        <v>313</v>
      </c>
      <c r="C54" s="36" t="n">
        <v>34452.709344</v>
      </c>
      <c r="D54" s="36" t="n">
        <v>0</v>
      </c>
      <c r="E54" s="36" t="n">
        <v>2137.67775</v>
      </c>
      <c r="F54" s="36" t="n">
        <v>723.5217</v>
      </c>
      <c r="G54" s="36" t="n">
        <v>2861.19945</v>
      </c>
      <c r="H54" s="36" t="n">
        <v>30318.38422272</v>
      </c>
      <c r="I54" s="37" t="s">
        <v>90</v>
      </c>
      <c r="J54" s="38" t="n">
        <v>30</v>
      </c>
    </row>
    <row r="55" customFormat="false" ht="15" hidden="false" customHeight="false" outlineLevel="0" collapsed="false">
      <c r="B55" s="31" t="s">
        <v>314</v>
      </c>
      <c r="C55" s="32" t="n">
        <v>231678.52001</v>
      </c>
      <c r="D55" s="32" t="n">
        <v>0</v>
      </c>
      <c r="E55" s="32" t="n">
        <v>14470.434</v>
      </c>
      <c r="F55" s="32" t="n">
        <v>4933.1025</v>
      </c>
      <c r="G55" s="32" t="n">
        <v>19403.5365</v>
      </c>
      <c r="H55" s="32" t="n">
        <v>208510.668009</v>
      </c>
      <c r="I55" s="33" t="s">
        <v>90</v>
      </c>
      <c r="J55" s="34" t="n">
        <v>30</v>
      </c>
    </row>
    <row r="56" customFormat="false" ht="15" hidden="false" customHeight="false" outlineLevel="0" collapsed="false">
      <c r="B56" s="35" t="s">
        <v>315</v>
      </c>
      <c r="C56" s="36" t="n">
        <v>1618.9583326</v>
      </c>
      <c r="D56" s="36" t="n">
        <v>0</v>
      </c>
      <c r="E56" s="36" t="n">
        <v>98.66205</v>
      </c>
      <c r="F56" s="36" t="n">
        <v>32.88735</v>
      </c>
      <c r="G56" s="36" t="n">
        <v>131.5494</v>
      </c>
      <c r="H56" s="36" t="n">
        <v>1424.683332688</v>
      </c>
      <c r="I56" s="37" t="s">
        <v>90</v>
      </c>
      <c r="J56" s="38" t="n">
        <v>30</v>
      </c>
    </row>
    <row r="57" customFormat="false" ht="15" hidden="false" customHeight="false" outlineLevel="0" collapsed="false">
      <c r="B57" s="31" t="s">
        <v>316</v>
      </c>
      <c r="C57" s="32" t="n">
        <v>8812.556441</v>
      </c>
      <c r="D57" s="32" t="n">
        <v>2256.014448896</v>
      </c>
      <c r="E57" s="32" t="n">
        <v>2256.014448896</v>
      </c>
      <c r="F57" s="32" t="n">
        <v>678.566845957</v>
      </c>
      <c r="G57" s="32" t="n">
        <v>2934.581294853</v>
      </c>
      <c r="H57" s="32" t="n">
        <v>5877.975146147</v>
      </c>
      <c r="I57" s="33" t="s">
        <v>95</v>
      </c>
      <c r="J57" s="34" t="n">
        <v>15</v>
      </c>
    </row>
    <row r="58" customFormat="false" ht="15" hidden="false" customHeight="false" outlineLevel="0" collapsed="false">
      <c r="B58" s="35" t="s">
        <v>317</v>
      </c>
      <c r="C58" s="36" t="n">
        <v>7576.40599</v>
      </c>
      <c r="D58" s="36" t="n">
        <v>0</v>
      </c>
      <c r="E58" s="36" t="n">
        <v>0</v>
      </c>
      <c r="F58" s="36" t="n">
        <v>0</v>
      </c>
      <c r="G58" s="36" t="n">
        <v>0</v>
      </c>
      <c r="H58" s="36" t="n">
        <v>7576.40599</v>
      </c>
      <c r="I58" s="37" t="s">
        <v>97</v>
      </c>
      <c r="J58" s="38" t="n">
        <v>5</v>
      </c>
    </row>
    <row r="59" customFormat="false" ht="15" hidden="false" customHeight="false" outlineLevel="0" collapsed="false">
      <c r="B59" s="31" t="s">
        <v>318</v>
      </c>
      <c r="C59" s="32" t="n">
        <v>50642.29267</v>
      </c>
      <c r="D59" s="32" t="n">
        <v>0</v>
      </c>
      <c r="E59" s="32" t="n">
        <v>1315.494</v>
      </c>
      <c r="F59" s="32" t="n">
        <v>2104.7904</v>
      </c>
      <c r="G59" s="32" t="n">
        <v>3420.2844</v>
      </c>
      <c r="H59" s="32" t="n">
        <v>45071.6404763</v>
      </c>
      <c r="I59" s="33" t="s">
        <v>97</v>
      </c>
      <c r="J59" s="34" t="n">
        <v>5</v>
      </c>
    </row>
    <row r="60" customFormat="false" ht="15" hidden="false" customHeight="false" outlineLevel="0" collapsed="false">
      <c r="A60" s="10"/>
      <c r="B60" s="11" t="s">
        <v>24</v>
      </c>
      <c r="C60" s="39" t="n">
        <f aca="false">SUM(C53:C59)</f>
        <v>398981.5145976</v>
      </c>
      <c r="D60" s="39" t="n">
        <f aca="false">SUM(D53:D59)</f>
        <v>2256.014448896</v>
      </c>
      <c r="E60" s="39" t="n">
        <f aca="false">SUM(E53:E59)</f>
        <v>24224.764248896</v>
      </c>
      <c r="F60" s="39" t="n">
        <f aca="false">SUM(F53:F59)</f>
        <v>9788.362795957</v>
      </c>
      <c r="G60" s="39" t="n">
        <f aca="false">SUM(G53:G59)</f>
        <v>34013.127044853</v>
      </c>
      <c r="H60" s="39" t="n">
        <f aca="false">SUM(H53:H59)</f>
        <v>353349.818215355</v>
      </c>
      <c r="I60" s="10"/>
      <c r="J60" s="10"/>
    </row>
    <row r="62" customFormat="false" ht="15" hidden="false" customHeight="false" outlineLevel="0" collapsed="false">
      <c r="A62" s="40" t="s">
        <v>99</v>
      </c>
      <c r="B62" s="40"/>
      <c r="C62" s="40"/>
      <c r="D62" s="40"/>
      <c r="E62" s="40"/>
      <c r="F62" s="40"/>
      <c r="G62" s="40"/>
      <c r="H62" s="40"/>
      <c r="I62" s="40"/>
      <c r="J62" s="40"/>
    </row>
    <row r="63" customFormat="false" ht="15" hidden="false" customHeight="false" outlineLevel="0" collapsed="false">
      <c r="A63" s="29"/>
      <c r="B63" s="29" t="s">
        <v>80</v>
      </c>
      <c r="C63" s="30" t="s">
        <v>81</v>
      </c>
      <c r="D63" s="30" t="s">
        <v>82</v>
      </c>
      <c r="E63" s="30" t="s">
        <v>83</v>
      </c>
      <c r="F63" s="30" t="s">
        <v>84</v>
      </c>
      <c r="G63" s="30" t="s">
        <v>85</v>
      </c>
      <c r="H63" s="30" t="s">
        <v>86</v>
      </c>
      <c r="I63" s="30" t="s">
        <v>87</v>
      </c>
      <c r="J63" s="30" t="s">
        <v>88</v>
      </c>
    </row>
    <row r="64" customFormat="false" ht="15" hidden="false" customHeight="false" outlineLevel="0" collapsed="false">
      <c r="B64" s="31" t="s">
        <v>319</v>
      </c>
      <c r="C64" s="32" t="n">
        <v>16747.84482</v>
      </c>
      <c r="D64" s="32" t="n">
        <v>16747.84482</v>
      </c>
      <c r="E64" s="32" t="n">
        <v>16747.84482</v>
      </c>
      <c r="F64" s="32" t="n">
        <v>0</v>
      </c>
      <c r="G64" s="32" t="n">
        <v>16747.84482</v>
      </c>
      <c r="H64" s="32" t="n">
        <v>0</v>
      </c>
      <c r="I64" s="33" t="s">
        <v>97</v>
      </c>
      <c r="J64" s="34" t="n">
        <v>5</v>
      </c>
    </row>
    <row r="65" customFormat="false" ht="15" hidden="false" customHeight="false" outlineLevel="0" collapsed="false">
      <c r="B65" s="35" t="s">
        <v>320</v>
      </c>
      <c r="C65" s="36" t="n">
        <v>47452.22699</v>
      </c>
      <c r="D65" s="36" t="n">
        <v>0</v>
      </c>
      <c r="E65" s="36" t="n">
        <v>8989.64413</v>
      </c>
      <c r="F65" s="36" t="n">
        <v>1600.89553</v>
      </c>
      <c r="G65" s="36" t="n">
        <v>10590.53966</v>
      </c>
      <c r="H65" s="36" t="n">
        <v>38910.8261318</v>
      </c>
      <c r="I65" s="37" t="s">
        <v>90</v>
      </c>
      <c r="J65" s="38" t="n">
        <v>30</v>
      </c>
    </row>
    <row r="66" customFormat="false" ht="15" hidden="false" customHeight="false" outlineLevel="0" collapsed="false">
      <c r="B66" s="31" t="s">
        <v>321</v>
      </c>
      <c r="C66" s="32" t="n">
        <v>9051.811367</v>
      </c>
      <c r="D66" s="32" t="n">
        <v>9051.811367</v>
      </c>
      <c r="E66" s="32" t="n">
        <v>9051.811367</v>
      </c>
      <c r="F66" s="32" t="n">
        <v>0</v>
      </c>
      <c r="G66" s="32" t="n">
        <v>9051.811367</v>
      </c>
      <c r="H66" s="32" t="n">
        <v>0</v>
      </c>
      <c r="I66" s="33" t="s">
        <v>97</v>
      </c>
      <c r="J66" s="34" t="n">
        <v>5</v>
      </c>
    </row>
    <row r="67" customFormat="false" ht="15" hidden="false" customHeight="false" outlineLevel="0" collapsed="false">
      <c r="B67" s="35" t="s">
        <v>322</v>
      </c>
      <c r="C67" s="36" t="n">
        <v>25400.897977</v>
      </c>
      <c r="D67" s="36" t="n">
        <v>0</v>
      </c>
      <c r="E67" s="36" t="n">
        <v>4802.68659</v>
      </c>
      <c r="F67" s="36" t="n">
        <v>849.706089</v>
      </c>
      <c r="G67" s="36" t="n">
        <v>5664.70726</v>
      </c>
      <c r="H67" s="36" t="n">
        <v>23622.83511861</v>
      </c>
      <c r="I67" s="37" t="s">
        <v>90</v>
      </c>
      <c r="J67" s="38" t="n">
        <v>30</v>
      </c>
    </row>
    <row r="68" customFormat="false" ht="15" hidden="false" customHeight="false" outlineLevel="0" collapsed="false">
      <c r="B68" s="31" t="s">
        <v>323</v>
      </c>
      <c r="C68" s="32" t="n">
        <v>60611.24792</v>
      </c>
      <c r="D68" s="32" t="n">
        <v>48648.50162</v>
      </c>
      <c r="E68" s="32" t="n">
        <v>50982.36534</v>
      </c>
      <c r="F68" s="32" t="n">
        <v>3940.66592</v>
      </c>
      <c r="G68" s="32" t="n">
        <v>54923.03126</v>
      </c>
      <c r="H68" s="32" t="n">
        <v>2909.33990016</v>
      </c>
      <c r="I68" s="33" t="s">
        <v>97</v>
      </c>
      <c r="J68" s="34" t="n">
        <v>5</v>
      </c>
    </row>
    <row r="69" customFormat="false" ht="15" hidden="false" customHeight="false" outlineLevel="0" collapsed="false">
      <c r="B69" s="35" t="s">
        <v>324</v>
      </c>
      <c r="C69" s="36" t="n">
        <v>169870.99746</v>
      </c>
      <c r="D69" s="36" t="n">
        <v>0</v>
      </c>
      <c r="E69" s="36" t="n">
        <v>4063.81173</v>
      </c>
      <c r="F69" s="36" t="n">
        <v>5664.70726</v>
      </c>
      <c r="G69" s="36" t="n">
        <v>9728.51899</v>
      </c>
      <c r="H69" s="36" t="n">
        <v>164774.8675362</v>
      </c>
      <c r="I69" s="37" t="s">
        <v>90</v>
      </c>
      <c r="J69" s="38" t="n">
        <v>30</v>
      </c>
    </row>
    <row r="70" customFormat="false" ht="15" hidden="false" customHeight="false" outlineLevel="0" collapsed="false">
      <c r="B70" s="31" t="s">
        <v>325</v>
      </c>
      <c r="C70" s="32" t="n">
        <v>422.6837026</v>
      </c>
      <c r="D70" s="32" t="n">
        <v>422.6837026</v>
      </c>
      <c r="E70" s="32" t="n">
        <v>422.6837026</v>
      </c>
      <c r="F70" s="32" t="n">
        <v>0</v>
      </c>
      <c r="G70" s="32" t="n">
        <v>422.6837026</v>
      </c>
      <c r="H70" s="32" t="n">
        <v>0</v>
      </c>
      <c r="I70" s="33" t="s">
        <v>97</v>
      </c>
      <c r="J70" s="34" t="n">
        <v>5</v>
      </c>
    </row>
    <row r="71" customFormat="false" ht="15" hidden="false" customHeight="false" outlineLevel="0" collapsed="false">
      <c r="B71" s="35" t="s">
        <v>326</v>
      </c>
      <c r="C71" s="36" t="n">
        <v>1196.27463</v>
      </c>
      <c r="D71" s="36" t="n">
        <v>0</v>
      </c>
      <c r="E71" s="36" t="n">
        <v>123.14581</v>
      </c>
      <c r="F71" s="36" t="n">
        <v>36.943743</v>
      </c>
      <c r="G71" s="36" t="n">
        <v>160.089553</v>
      </c>
      <c r="H71" s="36" t="n">
        <v>1160.3863911</v>
      </c>
      <c r="I71" s="37" t="s">
        <v>90</v>
      </c>
      <c r="J71" s="38" t="n">
        <v>30</v>
      </c>
    </row>
    <row r="72" customFormat="false" ht="15" hidden="false" customHeight="false" outlineLevel="0" collapsed="false">
      <c r="B72" s="31" t="s">
        <v>327</v>
      </c>
      <c r="C72" s="32" t="n">
        <v>2312.797618</v>
      </c>
      <c r="D72" s="32" t="n">
        <v>2312.797618</v>
      </c>
      <c r="E72" s="32" t="n">
        <v>2312.797618</v>
      </c>
      <c r="F72" s="32" t="n">
        <v>0</v>
      </c>
      <c r="G72" s="32" t="n">
        <v>2312.797618</v>
      </c>
      <c r="H72" s="32" t="n">
        <v>0</v>
      </c>
      <c r="I72" s="33" t="s">
        <v>97</v>
      </c>
      <c r="J72" s="34" t="n">
        <v>5</v>
      </c>
    </row>
    <row r="73" customFormat="false" ht="15" hidden="false" customHeight="false" outlineLevel="0" collapsed="false">
      <c r="B73" s="35" t="s">
        <v>328</v>
      </c>
      <c r="C73" s="36" t="n">
        <v>6499.758823</v>
      </c>
      <c r="D73" s="36" t="n">
        <v>0</v>
      </c>
      <c r="E73" s="36" t="n">
        <v>1169.885195</v>
      </c>
      <c r="F73" s="36" t="n">
        <v>216.7366256</v>
      </c>
      <c r="G73" s="36" t="n">
        <v>1391.547653</v>
      </c>
      <c r="H73" s="36" t="n">
        <v>6044.77570539</v>
      </c>
      <c r="I73" s="37" t="s">
        <v>90</v>
      </c>
      <c r="J73" s="38" t="n">
        <v>30</v>
      </c>
    </row>
    <row r="74" customFormat="false" ht="15" hidden="false" customHeight="false" outlineLevel="0" collapsed="false">
      <c r="B74" s="31" t="s">
        <v>329</v>
      </c>
      <c r="C74" s="32" t="n">
        <v>1993.79105</v>
      </c>
      <c r="D74" s="32" t="n">
        <v>1993.79105</v>
      </c>
      <c r="E74" s="32" t="n">
        <v>1993.79105</v>
      </c>
      <c r="F74" s="32" t="n">
        <v>0</v>
      </c>
      <c r="G74" s="32" t="n">
        <v>1993.79105</v>
      </c>
      <c r="H74" s="32" t="n">
        <v>0</v>
      </c>
      <c r="I74" s="33" t="s">
        <v>97</v>
      </c>
      <c r="J74" s="34" t="n">
        <v>5</v>
      </c>
    </row>
    <row r="75" customFormat="false" ht="15" hidden="false" customHeight="false" outlineLevel="0" collapsed="false">
      <c r="B75" s="35" t="s">
        <v>330</v>
      </c>
      <c r="C75" s="36" t="n">
        <v>5582.61494</v>
      </c>
      <c r="D75" s="36" t="n">
        <v>0</v>
      </c>
      <c r="E75" s="36" t="n">
        <v>197.033296</v>
      </c>
      <c r="F75" s="36" t="n">
        <v>184.718715</v>
      </c>
      <c r="G75" s="36" t="n">
        <v>381.752011</v>
      </c>
      <c r="H75" s="36" t="n">
        <v>5470.9626412</v>
      </c>
      <c r="I75" s="37" t="s">
        <v>90</v>
      </c>
      <c r="J75" s="38" t="n">
        <v>30</v>
      </c>
    </row>
    <row r="76" customFormat="false" ht="15" hidden="false" customHeight="false" outlineLevel="0" collapsed="false">
      <c r="B76" s="31" t="s">
        <v>331</v>
      </c>
      <c r="C76" s="32" t="n">
        <v>13358.400035</v>
      </c>
      <c r="D76" s="32" t="n">
        <v>10686.720028</v>
      </c>
      <c r="E76" s="32" t="n">
        <v>11969.772732</v>
      </c>
      <c r="F76" s="32" t="n">
        <v>911.278994</v>
      </c>
      <c r="G76" s="32" t="n">
        <v>12881.051726</v>
      </c>
      <c r="H76" s="32" t="n">
        <v>146.942400385</v>
      </c>
      <c r="I76" s="33" t="s">
        <v>97</v>
      </c>
      <c r="J76" s="34" t="n">
        <v>5</v>
      </c>
    </row>
    <row r="77" customFormat="false" ht="15" hidden="false" customHeight="false" outlineLevel="0" collapsed="false">
      <c r="B77" s="35" t="s">
        <v>332</v>
      </c>
      <c r="C77" s="36" t="n">
        <v>37283.892635</v>
      </c>
      <c r="D77" s="36" t="n">
        <v>0</v>
      </c>
      <c r="E77" s="36" t="n">
        <v>1009.795642</v>
      </c>
      <c r="F77" s="36" t="n">
        <v>1428.491396</v>
      </c>
      <c r="G77" s="36" t="n">
        <v>2438.287038</v>
      </c>
      <c r="H77" s="36" t="n">
        <v>36538.2147823</v>
      </c>
      <c r="I77" s="37" t="s">
        <v>90</v>
      </c>
      <c r="J77" s="38" t="n">
        <v>30</v>
      </c>
    </row>
    <row r="78" customFormat="false" ht="15" hidden="false" customHeight="false" outlineLevel="0" collapsed="false">
      <c r="A78" s="10"/>
      <c r="B78" s="11" t="s">
        <v>24</v>
      </c>
      <c r="C78" s="39" t="n">
        <f aca="false">SUM(C64:C77)</f>
        <v>397785.2399676</v>
      </c>
      <c r="D78" s="39" t="n">
        <f aca="false">SUM(D64:D77)</f>
        <v>89864.1502056</v>
      </c>
      <c r="E78" s="39" t="n">
        <f aca="false">SUM(E64:E77)</f>
        <v>113837.0690226</v>
      </c>
      <c r="F78" s="39" t="n">
        <f aca="false">SUM(F64:F77)</f>
        <v>14834.1442726</v>
      </c>
      <c r="G78" s="39" t="n">
        <f aca="false">SUM(G64:G77)</f>
        <v>128688.4537086</v>
      </c>
      <c r="H78" s="39" t="n">
        <f aca="false">SUM(H64:H77)</f>
        <v>279579.150607145</v>
      </c>
      <c r="I78" s="10"/>
      <c r="J78" s="10"/>
    </row>
    <row r="80" customFormat="false" ht="15" hidden="false" customHeight="false" outlineLevel="0" collapsed="false">
      <c r="A80" s="27" t="s">
        <v>48</v>
      </c>
      <c r="B80" s="27"/>
      <c r="C80" s="27"/>
      <c r="D80" s="27"/>
      <c r="E80" s="27"/>
    </row>
    <row r="81" customFormat="false" ht="15" hidden="false" customHeight="false" outlineLevel="0" collapsed="false">
      <c r="B81" s="8" t="s">
        <v>114</v>
      </c>
      <c r="C81" s="41" t="n">
        <f aca="false">G60</f>
        <v>34013.127044853</v>
      </c>
    </row>
    <row r="82" customFormat="false" ht="15" hidden="false" customHeight="false" outlineLevel="0" collapsed="false">
      <c r="B82" s="8" t="s">
        <v>115</v>
      </c>
      <c r="C82" s="41" t="n">
        <f aca="false">G78</f>
        <v>128688.4537086</v>
      </c>
    </row>
    <row r="83" customFormat="false" ht="15" hidden="false" customHeight="false" outlineLevel="0" collapsed="false">
      <c r="B83" s="17" t="s">
        <v>48</v>
      </c>
      <c r="C83" s="42" t="n">
        <f aca="false">C82-C81</f>
        <v>94675.326663747</v>
      </c>
    </row>
  </sheetData>
  <mergeCells count="11">
    <mergeCell ref="A2:J2"/>
    <mergeCell ref="A3:J3"/>
    <mergeCell ref="A4:J4"/>
    <mergeCell ref="A8:J8"/>
    <mergeCell ref="B10:J10"/>
    <mergeCell ref="B22:J22"/>
    <mergeCell ref="B40:J40"/>
    <mergeCell ref="A50:J50"/>
    <mergeCell ref="A51:J51"/>
    <mergeCell ref="A62:J62"/>
    <mergeCell ref="A80:E8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333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50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51</v>
      </c>
      <c r="C6" s="8" t="s">
        <v>26</v>
      </c>
    </row>
    <row r="8" customFormat="false" ht="15" hidden="false" customHeight="false" outlineLevel="0" collapsed="false">
      <c r="A8" s="21" t="s">
        <v>334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53</v>
      </c>
      <c r="C9" s="23" t="s">
        <v>54</v>
      </c>
      <c r="D9" s="23" t="s">
        <v>55</v>
      </c>
      <c r="E9" s="23" t="s">
        <v>56</v>
      </c>
      <c r="F9" s="23" t="s">
        <v>57</v>
      </c>
      <c r="G9" s="23" t="s">
        <v>58</v>
      </c>
      <c r="H9" s="23" t="s">
        <v>59</v>
      </c>
    </row>
    <row r="10" customFormat="false" ht="15" hidden="false" customHeight="false" outlineLevel="0" collapsed="false">
      <c r="A10" s="5"/>
      <c r="B10" s="6" t="s">
        <v>118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119</v>
      </c>
      <c r="C11" s="16" t="n">
        <v>31452.73</v>
      </c>
      <c r="D11" s="16" t="n">
        <v>31452.73</v>
      </c>
    </row>
    <row r="12" customFormat="false" ht="15" hidden="false" customHeight="false" outlineLevel="0" collapsed="false">
      <c r="B12" s="8" t="s">
        <v>120</v>
      </c>
      <c r="C12" s="16" t="n">
        <v>8394.17</v>
      </c>
      <c r="D12" s="16" t="n">
        <v>8394.17</v>
      </c>
    </row>
    <row r="13" customFormat="false" ht="15" hidden="false" customHeight="false" outlineLevel="0" collapsed="false">
      <c r="B13" s="8" t="s">
        <v>121</v>
      </c>
      <c r="C13" s="16" t="n">
        <v>32815.89</v>
      </c>
      <c r="D13" s="16" t="n">
        <v>32815.89</v>
      </c>
    </row>
    <row r="14" customFormat="false" ht="15" hidden="false" customHeight="false" outlineLevel="0" collapsed="false">
      <c r="B14" s="8" t="s">
        <v>122</v>
      </c>
      <c r="C14" s="16" t="n">
        <v>2648.72</v>
      </c>
      <c r="D14" s="16" t="n">
        <v>2648.72</v>
      </c>
    </row>
    <row r="15" customFormat="false" ht="15" hidden="false" customHeight="false" outlineLevel="0" collapsed="false">
      <c r="B15" s="8" t="s">
        <v>123</v>
      </c>
      <c r="C15" s="16" t="n">
        <v>0.394</v>
      </c>
      <c r="D15" s="16" t="n">
        <v>0.394</v>
      </c>
    </row>
    <row r="16" customFormat="false" ht="15" hidden="false" customHeight="false" outlineLevel="0" collapsed="false">
      <c r="B16" s="8" t="s">
        <v>124</v>
      </c>
      <c r="C16" s="16" t="n">
        <v>5344.3</v>
      </c>
      <c r="D16" s="16" t="n">
        <v>5344.3</v>
      </c>
    </row>
    <row r="17" customFormat="false" ht="15" hidden="false" customHeight="false" outlineLevel="0" collapsed="false">
      <c r="B17" s="8" t="s">
        <v>125</v>
      </c>
      <c r="C17" s="16" t="n">
        <v>2858.97</v>
      </c>
      <c r="D17" s="16" t="n">
        <v>2858.97</v>
      </c>
    </row>
    <row r="18" customFormat="false" ht="15" hidden="false" customHeight="false" outlineLevel="0" collapsed="false">
      <c r="B18" s="8" t="s">
        <v>126</v>
      </c>
      <c r="C18" s="16" t="n">
        <v>9687.68</v>
      </c>
      <c r="D18" s="16" t="n">
        <v>9687.68</v>
      </c>
    </row>
    <row r="19" customFormat="false" ht="15" hidden="false" customHeight="false" outlineLevel="0" collapsed="false">
      <c r="B19" s="8" t="s">
        <v>127</v>
      </c>
      <c r="C19" s="16" t="n">
        <v>2139.23</v>
      </c>
      <c r="D19" s="16" t="n">
        <v>2139.23</v>
      </c>
    </row>
    <row r="20" customFormat="false" ht="15" hidden="false" customHeight="false" outlineLevel="0" collapsed="false">
      <c r="B20" s="8" t="s">
        <v>128</v>
      </c>
      <c r="C20" s="16" t="n">
        <v>605.69</v>
      </c>
      <c r="D20" s="16" t="n">
        <v>605.69</v>
      </c>
    </row>
    <row r="21" customFormat="false" ht="15" hidden="false" customHeight="false" outlineLevel="0" collapsed="false">
      <c r="B21" s="8" t="s">
        <v>129</v>
      </c>
      <c r="C21" s="16" t="n">
        <v>8326.94</v>
      </c>
      <c r="D21" s="16" t="n">
        <v>8326.94</v>
      </c>
    </row>
    <row r="22" customFormat="false" ht="15" hidden="false" customHeight="false" outlineLevel="0" collapsed="false">
      <c r="A22" s="5"/>
      <c r="B22" s="6" t="s">
        <v>130</v>
      </c>
      <c r="C22" s="6"/>
      <c r="D22" s="6"/>
      <c r="E22" s="6"/>
      <c r="F22" s="6"/>
      <c r="G22" s="6"/>
      <c r="H22" s="6"/>
      <c r="I22" s="6"/>
      <c r="J22" s="6"/>
    </row>
    <row r="23" customFormat="false" ht="15" hidden="false" customHeight="false" outlineLevel="0" collapsed="false">
      <c r="B23" s="8" t="s">
        <v>131</v>
      </c>
      <c r="C23" s="16" t="n">
        <v>10000</v>
      </c>
      <c r="G23" s="16" t="n">
        <v>10000</v>
      </c>
    </row>
    <row r="24" customFormat="false" ht="15" hidden="false" customHeight="false" outlineLevel="0" collapsed="false">
      <c r="B24" s="8" t="s">
        <v>132</v>
      </c>
      <c r="C24" s="16" t="n">
        <v>12000</v>
      </c>
      <c r="G24" s="16" t="n">
        <v>12000</v>
      </c>
    </row>
    <row r="25" customFormat="false" ht="15" hidden="false" customHeight="false" outlineLevel="0" collapsed="false">
      <c r="B25" s="8" t="s">
        <v>133</v>
      </c>
      <c r="C25" s="16" t="n">
        <v>13000</v>
      </c>
      <c r="G25" s="16" t="n">
        <v>13000</v>
      </c>
    </row>
    <row r="26" customFormat="false" ht="15" hidden="false" customHeight="false" outlineLevel="0" collapsed="false">
      <c r="B26" s="8" t="s">
        <v>134</v>
      </c>
      <c r="C26" s="16" t="n">
        <v>11000</v>
      </c>
      <c r="G26" s="16" t="n">
        <v>11000</v>
      </c>
    </row>
    <row r="27" customFormat="false" ht="15" hidden="false" customHeight="false" outlineLevel="0" collapsed="false">
      <c r="B27" s="8" t="s">
        <v>135</v>
      </c>
      <c r="C27" s="16" t="n">
        <v>900</v>
      </c>
      <c r="G27" s="16" t="n">
        <v>900</v>
      </c>
    </row>
    <row r="28" customFormat="false" ht="15" hidden="false" customHeight="false" outlineLevel="0" collapsed="false">
      <c r="B28" s="8" t="s">
        <v>136</v>
      </c>
      <c r="C28" s="16" t="n">
        <v>8000</v>
      </c>
      <c r="G28" s="16" t="n">
        <v>8000</v>
      </c>
    </row>
    <row r="29" customFormat="false" ht="15" hidden="false" customHeight="false" outlineLevel="0" collapsed="false">
      <c r="B29" s="8" t="s">
        <v>137</v>
      </c>
      <c r="C29" s="16" t="n">
        <v>7000</v>
      </c>
      <c r="G29" s="16" t="n">
        <v>7000</v>
      </c>
    </row>
    <row r="30" customFormat="false" ht="15" hidden="false" customHeight="false" outlineLevel="0" collapsed="false">
      <c r="B30" s="8" t="s">
        <v>138</v>
      </c>
      <c r="C30" s="16" t="n">
        <v>6000</v>
      </c>
      <c r="G30" s="16" t="n">
        <v>6000</v>
      </c>
    </row>
    <row r="31" customFormat="false" ht="15" hidden="false" customHeight="false" outlineLevel="0" collapsed="false">
      <c r="B31" s="8" t="s">
        <v>139</v>
      </c>
      <c r="C31" s="16" t="n">
        <v>5500</v>
      </c>
      <c r="G31" s="16" t="n">
        <v>5500</v>
      </c>
    </row>
    <row r="32" customFormat="false" ht="15" hidden="false" customHeight="false" outlineLevel="0" collapsed="false">
      <c r="B32" s="8" t="s">
        <v>140</v>
      </c>
      <c r="C32" s="16" t="n">
        <v>16000</v>
      </c>
      <c r="G32" s="16" t="n">
        <v>16000</v>
      </c>
    </row>
    <row r="33" customFormat="false" ht="15" hidden="false" customHeight="false" outlineLevel="0" collapsed="false">
      <c r="B33" s="8" t="s">
        <v>141</v>
      </c>
      <c r="C33" s="16" t="n">
        <v>7000</v>
      </c>
      <c r="G33" s="16" t="n">
        <v>7000</v>
      </c>
    </row>
    <row r="34" customFormat="false" ht="15" hidden="false" customHeight="false" outlineLevel="0" collapsed="false">
      <c r="B34" s="8" t="s">
        <v>142</v>
      </c>
      <c r="C34" s="16" t="n">
        <v>600</v>
      </c>
      <c r="G34" s="16" t="n">
        <v>600</v>
      </c>
    </row>
    <row r="35" customFormat="false" ht="15" hidden="false" customHeight="false" outlineLevel="0" collapsed="false">
      <c r="B35" s="8" t="s">
        <v>143</v>
      </c>
      <c r="C35" s="16" t="n">
        <v>18000</v>
      </c>
      <c r="G35" s="16" t="n">
        <v>18000</v>
      </c>
    </row>
    <row r="36" customFormat="false" ht="15" hidden="false" customHeight="false" outlineLevel="0" collapsed="false">
      <c r="B36" s="8" t="s">
        <v>144</v>
      </c>
      <c r="C36" s="16" t="n">
        <v>4000</v>
      </c>
      <c r="G36" s="16" t="n">
        <v>4000</v>
      </c>
    </row>
    <row r="37" customFormat="false" ht="15" hidden="false" customHeight="false" outlineLevel="0" collapsed="false">
      <c r="B37" s="8" t="s">
        <v>145</v>
      </c>
      <c r="C37" s="16" t="n">
        <v>1500</v>
      </c>
      <c r="G37" s="16" t="n">
        <v>1500</v>
      </c>
    </row>
    <row r="38" customFormat="false" ht="15" hidden="false" customHeight="false" outlineLevel="0" collapsed="false">
      <c r="A38" s="24"/>
      <c r="B38" s="25" t="s">
        <v>69</v>
      </c>
      <c r="C38" s="26" t="n">
        <f aca="false">SUM(C10:C37)</f>
        <v>224774.714</v>
      </c>
      <c r="D38" s="26" t="n">
        <f aca="false">SUM(D10:D37)</f>
        <v>104274.714</v>
      </c>
      <c r="E38" s="26" t="n">
        <f aca="false">SUM(E10:E37)</f>
        <v>0</v>
      </c>
      <c r="F38" s="26" t="n">
        <f aca="false">SUM(F10:F37)</f>
        <v>0</v>
      </c>
      <c r="G38" s="26" t="n">
        <f aca="false">SUM(G10:G37)</f>
        <v>120500</v>
      </c>
      <c r="H38" s="24"/>
    </row>
    <row r="40" customFormat="false" ht="15" hidden="false" customHeight="false" outlineLevel="0" collapsed="false">
      <c r="A40" s="5"/>
      <c r="B40" s="6" t="s">
        <v>70</v>
      </c>
      <c r="C40" s="6"/>
      <c r="D40" s="6"/>
      <c r="E40" s="6"/>
      <c r="F40" s="6"/>
      <c r="G40" s="6"/>
      <c r="H40" s="6"/>
      <c r="I40" s="6"/>
      <c r="J40" s="6"/>
    </row>
    <row r="41" customFormat="false" ht="15" hidden="false" customHeight="false" outlineLevel="0" collapsed="false">
      <c r="B41" s="8" t="s">
        <v>71</v>
      </c>
      <c r="C41" s="16" t="n">
        <v>28585.47433</v>
      </c>
      <c r="D41" s="16" t="n">
        <v>8186.27201</v>
      </c>
      <c r="G41" s="16" t="n">
        <v>20399.20232</v>
      </c>
    </row>
    <row r="42" customFormat="false" ht="15" hidden="false" customHeight="false" outlineLevel="0" collapsed="false">
      <c r="B42" s="8" t="s">
        <v>146</v>
      </c>
      <c r="C42" s="16" t="n">
        <v>15340.279392</v>
      </c>
      <c r="D42" s="16" t="n">
        <v>4393.129824</v>
      </c>
      <c r="G42" s="16" t="n">
        <v>10947.149568</v>
      </c>
    </row>
    <row r="43" customFormat="false" ht="15" hidden="false" customHeight="false" outlineLevel="0" collapsed="false">
      <c r="B43" s="8" t="s">
        <v>147</v>
      </c>
      <c r="C43" s="16" t="n">
        <v>103156.27693</v>
      </c>
      <c r="D43" s="16" t="n">
        <v>29541.76421</v>
      </c>
      <c r="G43" s="16" t="n">
        <v>73614.51272</v>
      </c>
    </row>
    <row r="44" customFormat="false" ht="15" hidden="false" customHeight="false" outlineLevel="0" collapsed="false">
      <c r="B44" s="8" t="s">
        <v>148</v>
      </c>
      <c r="C44" s="16" t="n">
        <v>720.8510918</v>
      </c>
      <c r="D44" s="16" t="n">
        <v>206.4364246</v>
      </c>
      <c r="G44" s="16" t="n">
        <v>514.4146672</v>
      </c>
    </row>
    <row r="45" customFormat="false" ht="15" hidden="false" customHeight="false" outlineLevel="0" collapsed="false">
      <c r="B45" s="8" t="s">
        <v>75</v>
      </c>
      <c r="C45" s="16" t="n">
        <v>3923.844613</v>
      </c>
      <c r="D45" s="16" t="n">
        <v>1123.705661</v>
      </c>
      <c r="G45" s="16" t="n">
        <v>2800.138952</v>
      </c>
    </row>
    <row r="46" customFormat="false" ht="15" hidden="false" customHeight="false" outlineLevel="0" collapsed="false">
      <c r="B46" s="8" t="s">
        <v>149</v>
      </c>
      <c r="C46" s="16" t="n">
        <v>3373.44107</v>
      </c>
      <c r="D46" s="16" t="n">
        <v>966.08179</v>
      </c>
      <c r="G46" s="16" t="n">
        <v>2407.35928</v>
      </c>
    </row>
    <row r="47" customFormat="false" ht="15" hidden="false" customHeight="false" outlineLevel="0" collapsed="false">
      <c r="B47" s="8" t="s">
        <v>150</v>
      </c>
      <c r="C47" s="16" t="n">
        <v>22548.79031</v>
      </c>
      <c r="D47" s="16" t="n">
        <v>6457.49407</v>
      </c>
      <c r="G47" s="16" t="n">
        <v>16091.29624</v>
      </c>
    </row>
    <row r="48" customFormat="false" ht="15" hidden="false" customHeight="false" outlineLevel="0" collapsed="false">
      <c r="A48" s="24"/>
      <c r="B48" s="25" t="s">
        <v>78</v>
      </c>
      <c r="C48" s="26" t="n">
        <f aca="false">SUM(C41:C47)</f>
        <v>177648.9577368</v>
      </c>
      <c r="D48" s="26" t="n">
        <f aca="false">SUM(D41:D47)</f>
        <v>50874.8839896</v>
      </c>
      <c r="E48" s="24"/>
      <c r="F48" s="26" t="n">
        <f aca="false">SUM(F41:F47)</f>
        <v>0</v>
      </c>
      <c r="G48" s="26" t="n">
        <f aca="false">SUM(G41:G47)</f>
        <v>126774.0737472</v>
      </c>
      <c r="H48" s="24"/>
    </row>
    <row r="50" customFormat="false" ht="15" hidden="false" customHeight="false" outlineLevel="0" collapsed="false">
      <c r="A50" s="27" t="s">
        <v>79</v>
      </c>
      <c r="B50" s="27"/>
      <c r="C50" s="27"/>
      <c r="D50" s="27"/>
      <c r="E50" s="27"/>
      <c r="F50" s="27"/>
      <c r="G50" s="27"/>
      <c r="H50" s="27"/>
      <c r="I50" s="27"/>
      <c r="J50" s="27"/>
    </row>
    <row r="51" customFormat="false" ht="15" hidden="false" customHeight="false" outlineLevel="0" collapsed="false">
      <c r="A51" s="28" t="s">
        <v>46</v>
      </c>
      <c r="B51" s="28"/>
      <c r="C51" s="28"/>
      <c r="D51" s="28"/>
      <c r="E51" s="28"/>
      <c r="F51" s="28"/>
      <c r="G51" s="28"/>
      <c r="H51" s="28"/>
      <c r="I51" s="28"/>
      <c r="J51" s="28"/>
    </row>
    <row r="52" customFormat="false" ht="15" hidden="false" customHeight="false" outlineLevel="0" collapsed="false">
      <c r="A52" s="29"/>
      <c r="B52" s="29" t="s">
        <v>80</v>
      </c>
      <c r="C52" s="30" t="s">
        <v>81</v>
      </c>
      <c r="D52" s="30" t="s">
        <v>82</v>
      </c>
      <c r="E52" s="30" t="s">
        <v>83</v>
      </c>
      <c r="F52" s="30" t="s">
        <v>84</v>
      </c>
      <c r="G52" s="30" t="s">
        <v>85</v>
      </c>
      <c r="H52" s="30" t="s">
        <v>86</v>
      </c>
      <c r="I52" s="30" t="s">
        <v>87</v>
      </c>
      <c r="J52" s="30" t="s">
        <v>88</v>
      </c>
    </row>
    <row r="53" customFormat="false" ht="15" hidden="false" customHeight="false" outlineLevel="0" collapsed="false">
      <c r="B53" s="31" t="s">
        <v>335</v>
      </c>
      <c r="C53" s="32" t="n">
        <v>28585.47433</v>
      </c>
      <c r="D53" s="32" t="n">
        <v>0</v>
      </c>
      <c r="E53" s="32" t="n">
        <v>1757.1948</v>
      </c>
      <c r="F53" s="32" t="n">
        <v>585.7316</v>
      </c>
      <c r="G53" s="32" t="n">
        <v>2342.9264</v>
      </c>
      <c r="H53" s="32" t="n">
        <v>24297.6531805</v>
      </c>
      <c r="I53" s="33" t="s">
        <v>90</v>
      </c>
      <c r="J53" s="34" t="n">
        <v>30</v>
      </c>
    </row>
    <row r="54" customFormat="false" ht="15" hidden="false" customHeight="false" outlineLevel="0" collapsed="false">
      <c r="B54" s="35" t="s">
        <v>336</v>
      </c>
      <c r="C54" s="36" t="n">
        <v>15340.279392</v>
      </c>
      <c r="D54" s="36" t="n">
        <v>0</v>
      </c>
      <c r="E54" s="36" t="n">
        <v>951.81385</v>
      </c>
      <c r="F54" s="36" t="n">
        <v>322.15238</v>
      </c>
      <c r="G54" s="36" t="n">
        <v>1273.96623</v>
      </c>
      <c r="H54" s="36" t="n">
        <v>13499.44586496</v>
      </c>
      <c r="I54" s="37" t="s">
        <v>90</v>
      </c>
      <c r="J54" s="38" t="n">
        <v>30</v>
      </c>
    </row>
    <row r="55" customFormat="false" ht="15" hidden="false" customHeight="false" outlineLevel="0" collapsed="false">
      <c r="B55" s="31" t="s">
        <v>337</v>
      </c>
      <c r="C55" s="32" t="n">
        <v>103156.27693</v>
      </c>
      <c r="D55" s="32" t="n">
        <v>0</v>
      </c>
      <c r="E55" s="32" t="n">
        <v>6443.0476</v>
      </c>
      <c r="F55" s="32" t="n">
        <v>2196.4935</v>
      </c>
      <c r="G55" s="32" t="n">
        <v>8639.5411</v>
      </c>
      <c r="H55" s="32" t="n">
        <v>92840.649237</v>
      </c>
      <c r="I55" s="33" t="s">
        <v>90</v>
      </c>
      <c r="J55" s="34" t="n">
        <v>30</v>
      </c>
    </row>
    <row r="56" customFormat="false" ht="15" hidden="false" customHeight="false" outlineLevel="0" collapsed="false">
      <c r="B56" s="35" t="s">
        <v>338</v>
      </c>
      <c r="C56" s="36" t="n">
        <v>720.8510918</v>
      </c>
      <c r="D56" s="36" t="n">
        <v>0</v>
      </c>
      <c r="E56" s="36" t="n">
        <v>43.92987</v>
      </c>
      <c r="F56" s="36" t="n">
        <v>14.64329</v>
      </c>
      <c r="G56" s="36" t="n">
        <v>58.57316</v>
      </c>
      <c r="H56" s="36" t="n">
        <v>634.348960784</v>
      </c>
      <c r="I56" s="37" t="s">
        <v>90</v>
      </c>
      <c r="J56" s="38" t="n">
        <v>30</v>
      </c>
    </row>
    <row r="57" customFormat="false" ht="15" hidden="false" customHeight="false" outlineLevel="0" collapsed="false">
      <c r="B57" s="31" t="s">
        <v>339</v>
      </c>
      <c r="C57" s="32" t="n">
        <v>3923.844613</v>
      </c>
      <c r="D57" s="32" t="n">
        <v>1004.504220928</v>
      </c>
      <c r="E57" s="32" t="n">
        <v>1004.504220928</v>
      </c>
      <c r="F57" s="32" t="n">
        <v>302.136035201</v>
      </c>
      <c r="G57" s="32" t="n">
        <v>1306.640256129</v>
      </c>
      <c r="H57" s="32" t="n">
        <v>2617.204356871</v>
      </c>
      <c r="I57" s="33" t="s">
        <v>95</v>
      </c>
      <c r="J57" s="34" t="n">
        <v>15</v>
      </c>
    </row>
    <row r="58" customFormat="false" ht="15" hidden="false" customHeight="false" outlineLevel="0" collapsed="false">
      <c r="B58" s="35" t="s">
        <v>340</v>
      </c>
      <c r="C58" s="36" t="n">
        <v>3373.44107</v>
      </c>
      <c r="D58" s="36" t="n">
        <v>0</v>
      </c>
      <c r="E58" s="36" t="n">
        <v>0</v>
      </c>
      <c r="F58" s="36" t="n">
        <v>0</v>
      </c>
      <c r="G58" s="36" t="n">
        <v>0</v>
      </c>
      <c r="H58" s="36" t="n">
        <v>3373.44107</v>
      </c>
      <c r="I58" s="37" t="s">
        <v>97</v>
      </c>
      <c r="J58" s="38" t="n">
        <v>5</v>
      </c>
    </row>
    <row r="59" customFormat="false" ht="15" hidden="false" customHeight="false" outlineLevel="0" collapsed="false">
      <c r="B59" s="31" t="s">
        <v>341</v>
      </c>
      <c r="C59" s="32" t="n">
        <v>22548.79031</v>
      </c>
      <c r="D59" s="32" t="n">
        <v>0</v>
      </c>
      <c r="E59" s="32" t="n">
        <v>585.7316</v>
      </c>
      <c r="F59" s="32" t="n">
        <v>937.17056</v>
      </c>
      <c r="G59" s="32" t="n">
        <v>1522.90216</v>
      </c>
      <c r="H59" s="32" t="n">
        <v>20068.4233759</v>
      </c>
      <c r="I59" s="33" t="s">
        <v>97</v>
      </c>
      <c r="J59" s="34" t="n">
        <v>5</v>
      </c>
    </row>
    <row r="60" customFormat="false" ht="15" hidden="false" customHeight="false" outlineLevel="0" collapsed="false">
      <c r="A60" s="10"/>
      <c r="B60" s="11" t="s">
        <v>24</v>
      </c>
      <c r="C60" s="39" t="n">
        <f aca="false">SUM(C53:C59)</f>
        <v>177648.9577368</v>
      </c>
      <c r="D60" s="39" t="n">
        <f aca="false">SUM(D53:D59)</f>
        <v>1004.504220928</v>
      </c>
      <c r="E60" s="39" t="n">
        <f aca="false">SUM(E53:E59)</f>
        <v>10786.221940928</v>
      </c>
      <c r="F60" s="39" t="n">
        <f aca="false">SUM(F53:F59)</f>
        <v>4358.327365201</v>
      </c>
      <c r="G60" s="39" t="n">
        <f aca="false">SUM(G53:G59)</f>
        <v>15144.549306129</v>
      </c>
      <c r="H60" s="39" t="n">
        <f aca="false">SUM(H53:H59)</f>
        <v>157331.166046015</v>
      </c>
      <c r="I60" s="10"/>
      <c r="J60" s="10"/>
    </row>
    <row r="62" customFormat="false" ht="15" hidden="false" customHeight="false" outlineLevel="0" collapsed="false">
      <c r="A62" s="40" t="s">
        <v>99</v>
      </c>
      <c r="B62" s="40"/>
      <c r="C62" s="40"/>
      <c r="D62" s="40"/>
      <c r="E62" s="40"/>
      <c r="F62" s="40"/>
      <c r="G62" s="40"/>
      <c r="H62" s="40"/>
      <c r="I62" s="40"/>
      <c r="J62" s="40"/>
    </row>
    <row r="63" customFormat="false" ht="15" hidden="false" customHeight="false" outlineLevel="0" collapsed="false">
      <c r="A63" s="29"/>
      <c r="B63" s="29" t="s">
        <v>80</v>
      </c>
      <c r="C63" s="30" t="s">
        <v>81</v>
      </c>
      <c r="D63" s="30" t="s">
        <v>82</v>
      </c>
      <c r="E63" s="30" t="s">
        <v>83</v>
      </c>
      <c r="F63" s="30" t="s">
        <v>84</v>
      </c>
      <c r="G63" s="30" t="s">
        <v>85</v>
      </c>
      <c r="H63" s="30" t="s">
        <v>86</v>
      </c>
      <c r="I63" s="30" t="s">
        <v>87</v>
      </c>
      <c r="J63" s="30" t="s">
        <v>88</v>
      </c>
    </row>
    <row r="64" customFormat="false" ht="15" hidden="false" customHeight="false" outlineLevel="0" collapsed="false">
      <c r="B64" s="31" t="s">
        <v>342</v>
      </c>
      <c r="C64" s="32" t="n">
        <v>7457.08026</v>
      </c>
      <c r="D64" s="32" t="n">
        <v>7457.08026</v>
      </c>
      <c r="E64" s="32" t="n">
        <v>7457.08026</v>
      </c>
      <c r="F64" s="32" t="n">
        <v>0</v>
      </c>
      <c r="G64" s="32" t="n">
        <v>7457.08026</v>
      </c>
      <c r="H64" s="32" t="n">
        <v>0</v>
      </c>
      <c r="I64" s="33" t="s">
        <v>97</v>
      </c>
      <c r="J64" s="34" t="n">
        <v>5</v>
      </c>
    </row>
    <row r="65" customFormat="false" ht="15" hidden="false" customHeight="false" outlineLevel="0" collapsed="false">
      <c r="B65" s="35" t="s">
        <v>343</v>
      </c>
      <c r="C65" s="36" t="n">
        <v>21128.39407</v>
      </c>
      <c r="D65" s="36" t="n">
        <v>0</v>
      </c>
      <c r="E65" s="36" t="n">
        <v>4264.40012</v>
      </c>
      <c r="F65" s="36" t="n">
        <v>759.41372</v>
      </c>
      <c r="G65" s="36" t="n">
        <v>5023.81384</v>
      </c>
      <c r="H65" s="36" t="n">
        <v>17325.2831374</v>
      </c>
      <c r="I65" s="37" t="s">
        <v>90</v>
      </c>
      <c r="J65" s="38" t="n">
        <v>30</v>
      </c>
    </row>
    <row r="66" customFormat="false" ht="15" hidden="false" customHeight="false" outlineLevel="0" collapsed="false">
      <c r="B66" s="31" t="s">
        <v>344</v>
      </c>
      <c r="C66" s="32" t="n">
        <v>4030.374331</v>
      </c>
      <c r="D66" s="32" t="n">
        <v>4030.374331</v>
      </c>
      <c r="E66" s="32" t="n">
        <v>4030.374331</v>
      </c>
      <c r="F66" s="32" t="n">
        <v>0</v>
      </c>
      <c r="G66" s="32" t="n">
        <v>4030.374331</v>
      </c>
      <c r="H66" s="32" t="n">
        <v>0</v>
      </c>
      <c r="I66" s="33" t="s">
        <v>97</v>
      </c>
      <c r="J66" s="34" t="n">
        <v>5</v>
      </c>
    </row>
    <row r="67" customFormat="false" ht="15" hidden="false" customHeight="false" outlineLevel="0" collapsed="false">
      <c r="B67" s="35" t="s">
        <v>345</v>
      </c>
      <c r="C67" s="36" t="n">
        <v>11309.905061</v>
      </c>
      <c r="D67" s="36" t="n">
        <v>0</v>
      </c>
      <c r="E67" s="36" t="n">
        <v>2278.24116</v>
      </c>
      <c r="F67" s="36" t="n">
        <v>403.073436</v>
      </c>
      <c r="G67" s="36" t="n">
        <v>2687.15624</v>
      </c>
      <c r="H67" s="36" t="n">
        <v>10518.21170673</v>
      </c>
      <c r="I67" s="37" t="s">
        <v>90</v>
      </c>
      <c r="J67" s="38" t="n">
        <v>30</v>
      </c>
    </row>
    <row r="68" customFormat="false" ht="15" hidden="false" customHeight="false" outlineLevel="0" collapsed="false">
      <c r="B68" s="31" t="s">
        <v>346</v>
      </c>
      <c r="C68" s="32" t="n">
        <v>26987.52856</v>
      </c>
      <c r="D68" s="32" t="n">
        <v>21661.04266</v>
      </c>
      <c r="E68" s="32" t="n">
        <v>24184.40616</v>
      </c>
      <c r="F68" s="32" t="n">
        <v>1869.32608</v>
      </c>
      <c r="G68" s="32" t="n">
        <v>26053.73224</v>
      </c>
      <c r="H68" s="32" t="n">
        <v>1295.40137088</v>
      </c>
      <c r="I68" s="33" t="s">
        <v>97</v>
      </c>
      <c r="J68" s="34" t="n">
        <v>5</v>
      </c>
    </row>
    <row r="69" customFormat="false" ht="15" hidden="false" customHeight="false" outlineLevel="0" collapsed="false">
      <c r="B69" s="35" t="s">
        <v>347</v>
      </c>
      <c r="C69" s="36" t="n">
        <v>75636.09978</v>
      </c>
      <c r="D69" s="36" t="n">
        <v>0</v>
      </c>
      <c r="E69" s="36" t="n">
        <v>1927.74252</v>
      </c>
      <c r="F69" s="36" t="n">
        <v>2687.15624</v>
      </c>
      <c r="G69" s="36" t="n">
        <v>4614.89876</v>
      </c>
      <c r="H69" s="36" t="n">
        <v>73367.0167866</v>
      </c>
      <c r="I69" s="37" t="s">
        <v>90</v>
      </c>
      <c r="J69" s="38" t="n">
        <v>30</v>
      </c>
    </row>
    <row r="70" customFormat="false" ht="15" hidden="false" customHeight="false" outlineLevel="0" collapsed="false">
      <c r="B70" s="31" t="s">
        <v>348</v>
      </c>
      <c r="C70" s="32" t="n">
        <v>188.2025018</v>
      </c>
      <c r="D70" s="32" t="n">
        <v>188.2025018</v>
      </c>
      <c r="E70" s="32" t="n">
        <v>188.2025018</v>
      </c>
      <c r="F70" s="32" t="n">
        <v>0</v>
      </c>
      <c r="G70" s="32" t="n">
        <v>188.2025018</v>
      </c>
      <c r="H70" s="32" t="n">
        <v>0</v>
      </c>
      <c r="I70" s="33" t="s">
        <v>97</v>
      </c>
      <c r="J70" s="34" t="n">
        <v>5</v>
      </c>
    </row>
    <row r="71" customFormat="false" ht="15" hidden="false" customHeight="false" outlineLevel="0" collapsed="false">
      <c r="B71" s="35" t="s">
        <v>349</v>
      </c>
      <c r="C71" s="36" t="n">
        <v>532.64859</v>
      </c>
      <c r="D71" s="36" t="n">
        <v>0</v>
      </c>
      <c r="E71" s="36" t="n">
        <v>58.41644</v>
      </c>
      <c r="F71" s="36" t="n">
        <v>17.524932</v>
      </c>
      <c r="G71" s="36" t="n">
        <v>75.941372</v>
      </c>
      <c r="H71" s="36" t="n">
        <v>516.6691323</v>
      </c>
      <c r="I71" s="37" t="s">
        <v>90</v>
      </c>
      <c r="J71" s="38" t="n">
        <v>30</v>
      </c>
    </row>
    <row r="72" customFormat="false" ht="15" hidden="false" customHeight="false" outlineLevel="0" collapsed="false">
      <c r="B72" s="31" t="s">
        <v>350</v>
      </c>
      <c r="C72" s="32" t="n">
        <v>1029.787274</v>
      </c>
      <c r="D72" s="32" t="n">
        <v>1029.787274</v>
      </c>
      <c r="E72" s="32" t="n">
        <v>1029.787274</v>
      </c>
      <c r="F72" s="32" t="n">
        <v>0</v>
      </c>
      <c r="G72" s="32" t="n">
        <v>1029.787274</v>
      </c>
      <c r="H72" s="32" t="n">
        <v>0</v>
      </c>
      <c r="I72" s="33" t="s">
        <v>97</v>
      </c>
      <c r="J72" s="34" t="n">
        <v>5</v>
      </c>
    </row>
    <row r="73" customFormat="false" ht="15" hidden="false" customHeight="false" outlineLevel="0" collapsed="false">
      <c r="B73" s="35" t="s">
        <v>351</v>
      </c>
      <c r="C73" s="36" t="n">
        <v>2894.057339</v>
      </c>
      <c r="D73" s="36" t="n">
        <v>0</v>
      </c>
      <c r="E73" s="36" t="n">
        <v>554.95618</v>
      </c>
      <c r="F73" s="36" t="n">
        <v>102.8129344</v>
      </c>
      <c r="G73" s="36" t="n">
        <v>660.105772</v>
      </c>
      <c r="H73" s="36" t="n">
        <v>2691.47332527</v>
      </c>
      <c r="I73" s="37" t="s">
        <v>90</v>
      </c>
      <c r="J73" s="38" t="n">
        <v>30</v>
      </c>
    </row>
    <row r="74" customFormat="false" ht="15" hidden="false" customHeight="false" outlineLevel="0" collapsed="false">
      <c r="B74" s="31" t="s">
        <v>352</v>
      </c>
      <c r="C74" s="32" t="n">
        <v>887.74765</v>
      </c>
      <c r="D74" s="32" t="n">
        <v>887.74765</v>
      </c>
      <c r="E74" s="32" t="n">
        <v>887.74765</v>
      </c>
      <c r="F74" s="32" t="n">
        <v>0</v>
      </c>
      <c r="G74" s="32" t="n">
        <v>887.74765</v>
      </c>
      <c r="H74" s="32" t="n">
        <v>0</v>
      </c>
      <c r="I74" s="33" t="s">
        <v>97</v>
      </c>
      <c r="J74" s="34" t="n">
        <v>5</v>
      </c>
    </row>
    <row r="75" customFormat="false" ht="15" hidden="false" customHeight="false" outlineLevel="0" collapsed="false">
      <c r="B75" s="35" t="s">
        <v>353</v>
      </c>
      <c r="C75" s="36" t="n">
        <v>2485.69342</v>
      </c>
      <c r="D75" s="36" t="n">
        <v>0</v>
      </c>
      <c r="E75" s="36" t="n">
        <v>93.466304</v>
      </c>
      <c r="F75" s="36" t="n">
        <v>87.62466</v>
      </c>
      <c r="G75" s="36" t="n">
        <v>181.090964</v>
      </c>
      <c r="H75" s="36" t="n">
        <v>2435.9795516</v>
      </c>
      <c r="I75" s="37" t="s">
        <v>90</v>
      </c>
      <c r="J75" s="38" t="n">
        <v>30</v>
      </c>
    </row>
    <row r="76" customFormat="false" ht="15" hidden="false" customHeight="false" outlineLevel="0" collapsed="false">
      <c r="B76" s="31" t="s">
        <v>354</v>
      </c>
      <c r="C76" s="32" t="n">
        <v>5947.909255</v>
      </c>
      <c r="D76" s="32" t="n">
        <v>4758.327404</v>
      </c>
      <c r="E76" s="32" t="n">
        <v>5678.077968</v>
      </c>
      <c r="F76" s="32" t="n">
        <v>432.281656</v>
      </c>
      <c r="G76" s="32" t="n">
        <v>6110.359624</v>
      </c>
      <c r="H76" s="32" t="n">
        <v>65.427001805</v>
      </c>
      <c r="I76" s="33" t="s">
        <v>97</v>
      </c>
      <c r="J76" s="34" t="n">
        <v>5</v>
      </c>
    </row>
    <row r="77" customFormat="false" ht="15" hidden="false" customHeight="false" outlineLevel="0" collapsed="false">
      <c r="B77" s="35" t="s">
        <v>355</v>
      </c>
      <c r="C77" s="36" t="n">
        <v>16600.881055</v>
      </c>
      <c r="D77" s="36" t="n">
        <v>0</v>
      </c>
      <c r="E77" s="36" t="n">
        <v>479.014808</v>
      </c>
      <c r="F77" s="36" t="n">
        <v>677.630704</v>
      </c>
      <c r="G77" s="36" t="n">
        <v>1156.645512</v>
      </c>
      <c r="H77" s="36" t="n">
        <v>16268.8634339</v>
      </c>
      <c r="I77" s="37" t="s">
        <v>90</v>
      </c>
      <c r="J77" s="38" t="n">
        <v>30</v>
      </c>
    </row>
    <row r="78" customFormat="false" ht="15" hidden="false" customHeight="false" outlineLevel="0" collapsed="false">
      <c r="A78" s="10"/>
      <c r="B78" s="11" t="s">
        <v>24</v>
      </c>
      <c r="C78" s="39" t="n">
        <f aca="false">SUM(C64:C77)</f>
        <v>177116.3091468</v>
      </c>
      <c r="D78" s="39" t="n">
        <f aca="false">SUM(D64:D77)</f>
        <v>40012.5620808</v>
      </c>
      <c r="E78" s="39" t="n">
        <f aca="false">SUM(E64:E77)</f>
        <v>53111.9136768</v>
      </c>
      <c r="F78" s="39" t="n">
        <f aca="false">SUM(F64:F77)</f>
        <v>7036.8443624</v>
      </c>
      <c r="G78" s="39" t="n">
        <f aca="false">SUM(G64:G77)</f>
        <v>60156.9363408</v>
      </c>
      <c r="H78" s="39" t="n">
        <f aca="false">SUM(H64:H77)</f>
        <v>124484.325446485</v>
      </c>
      <c r="I78" s="10"/>
      <c r="J78" s="10"/>
    </row>
    <row r="80" customFormat="false" ht="15" hidden="false" customHeight="false" outlineLevel="0" collapsed="false">
      <c r="A80" s="27" t="s">
        <v>48</v>
      </c>
      <c r="B80" s="27"/>
      <c r="C80" s="27"/>
      <c r="D80" s="27"/>
      <c r="E80" s="27"/>
    </row>
    <row r="81" customFormat="false" ht="15" hidden="false" customHeight="false" outlineLevel="0" collapsed="false">
      <c r="B81" s="8" t="s">
        <v>114</v>
      </c>
      <c r="C81" s="41" t="n">
        <f aca="false">G60</f>
        <v>15144.549306129</v>
      </c>
    </row>
    <row r="82" customFormat="false" ht="15" hidden="false" customHeight="false" outlineLevel="0" collapsed="false">
      <c r="B82" s="8" t="s">
        <v>115</v>
      </c>
      <c r="C82" s="41" t="n">
        <f aca="false">G78</f>
        <v>60156.9363408</v>
      </c>
    </row>
    <row r="83" customFormat="false" ht="15" hidden="false" customHeight="false" outlineLevel="0" collapsed="false">
      <c r="B83" s="17" t="s">
        <v>48</v>
      </c>
      <c r="C83" s="42" t="n">
        <f aca="false">C82-C81</f>
        <v>45012.387034671</v>
      </c>
    </row>
  </sheetData>
  <mergeCells count="11">
    <mergeCell ref="A2:J2"/>
    <mergeCell ref="A3:J3"/>
    <mergeCell ref="A4:J4"/>
    <mergeCell ref="A8:J8"/>
    <mergeCell ref="B10:J10"/>
    <mergeCell ref="B22:J22"/>
    <mergeCell ref="B40:J40"/>
    <mergeCell ref="A50:J50"/>
    <mergeCell ref="A51:J51"/>
    <mergeCell ref="A62:J62"/>
    <mergeCell ref="A80:E8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356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50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51</v>
      </c>
      <c r="C6" s="8" t="s">
        <v>26</v>
      </c>
    </row>
    <row r="8" customFormat="false" ht="15" hidden="false" customHeight="false" outlineLevel="0" collapsed="false">
      <c r="A8" s="21" t="s">
        <v>357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53</v>
      </c>
      <c r="C9" s="23" t="s">
        <v>54</v>
      </c>
      <c r="D9" s="23" t="s">
        <v>55</v>
      </c>
      <c r="E9" s="23" t="s">
        <v>56</v>
      </c>
      <c r="F9" s="23" t="s">
        <v>57</v>
      </c>
      <c r="G9" s="23" t="s">
        <v>58</v>
      </c>
      <c r="H9" s="23" t="s">
        <v>59</v>
      </c>
    </row>
    <row r="10" customFormat="false" ht="15" hidden="false" customHeight="false" outlineLevel="0" collapsed="false">
      <c r="A10" s="5"/>
      <c r="B10" s="6" t="s">
        <v>118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119</v>
      </c>
      <c r="C11" s="16" t="n">
        <v>31452.73</v>
      </c>
      <c r="D11" s="16" t="n">
        <v>31452.73</v>
      </c>
    </row>
    <row r="12" customFormat="false" ht="15" hidden="false" customHeight="false" outlineLevel="0" collapsed="false">
      <c r="B12" s="8" t="s">
        <v>120</v>
      </c>
      <c r="C12" s="16" t="n">
        <v>8394.17</v>
      </c>
      <c r="D12" s="16" t="n">
        <v>8394.17</v>
      </c>
    </row>
    <row r="13" customFormat="false" ht="15" hidden="false" customHeight="false" outlineLevel="0" collapsed="false">
      <c r="B13" s="8" t="s">
        <v>121</v>
      </c>
      <c r="C13" s="16" t="n">
        <v>32815.89</v>
      </c>
      <c r="D13" s="16" t="n">
        <v>32815.89</v>
      </c>
    </row>
    <row r="14" customFormat="false" ht="15" hidden="false" customHeight="false" outlineLevel="0" collapsed="false">
      <c r="B14" s="8" t="s">
        <v>122</v>
      </c>
      <c r="C14" s="16" t="n">
        <v>2648.72</v>
      </c>
      <c r="D14" s="16" t="n">
        <v>2648.72</v>
      </c>
    </row>
    <row r="15" customFormat="false" ht="15" hidden="false" customHeight="false" outlineLevel="0" collapsed="false">
      <c r="B15" s="8" t="s">
        <v>123</v>
      </c>
      <c r="C15" s="16" t="n">
        <v>0.394</v>
      </c>
      <c r="D15" s="16" t="n">
        <v>0.394</v>
      </c>
    </row>
    <row r="16" customFormat="false" ht="15" hidden="false" customHeight="false" outlineLevel="0" collapsed="false">
      <c r="B16" s="8" t="s">
        <v>124</v>
      </c>
      <c r="C16" s="16" t="n">
        <v>5344.3</v>
      </c>
      <c r="D16" s="16" t="n">
        <v>5344.3</v>
      </c>
    </row>
    <row r="17" customFormat="false" ht="15" hidden="false" customHeight="false" outlineLevel="0" collapsed="false">
      <c r="B17" s="8" t="s">
        <v>125</v>
      </c>
      <c r="C17" s="16" t="n">
        <v>2858.97</v>
      </c>
      <c r="D17" s="16" t="n">
        <v>2858.97</v>
      </c>
    </row>
    <row r="18" customFormat="false" ht="15" hidden="false" customHeight="false" outlineLevel="0" collapsed="false">
      <c r="B18" s="8" t="s">
        <v>126</v>
      </c>
      <c r="C18" s="16" t="n">
        <v>9687.68</v>
      </c>
      <c r="D18" s="16" t="n">
        <v>9687.68</v>
      </c>
    </row>
    <row r="19" customFormat="false" ht="15" hidden="false" customHeight="false" outlineLevel="0" collapsed="false">
      <c r="B19" s="8" t="s">
        <v>127</v>
      </c>
      <c r="C19" s="16" t="n">
        <v>2139.23</v>
      </c>
      <c r="D19" s="16" t="n">
        <v>2139.23</v>
      </c>
    </row>
    <row r="20" customFormat="false" ht="15" hidden="false" customHeight="false" outlineLevel="0" collapsed="false">
      <c r="B20" s="8" t="s">
        <v>128</v>
      </c>
      <c r="C20" s="16" t="n">
        <v>605.69</v>
      </c>
      <c r="D20" s="16" t="n">
        <v>605.69</v>
      </c>
    </row>
    <row r="21" customFormat="false" ht="15" hidden="false" customHeight="false" outlineLevel="0" collapsed="false">
      <c r="B21" s="8" t="s">
        <v>129</v>
      </c>
      <c r="C21" s="16" t="n">
        <v>8326.94</v>
      </c>
      <c r="D21" s="16" t="n">
        <v>8326.94</v>
      </c>
    </row>
    <row r="22" customFormat="false" ht="15" hidden="false" customHeight="false" outlineLevel="0" collapsed="false">
      <c r="A22" s="5"/>
      <c r="B22" s="6" t="s">
        <v>130</v>
      </c>
      <c r="C22" s="6"/>
      <c r="D22" s="6"/>
      <c r="E22" s="6"/>
      <c r="F22" s="6"/>
      <c r="G22" s="6"/>
      <c r="H22" s="6"/>
      <c r="I22" s="6"/>
      <c r="J22" s="6"/>
    </row>
    <row r="23" customFormat="false" ht="15" hidden="false" customHeight="false" outlineLevel="0" collapsed="false">
      <c r="B23" s="8" t="s">
        <v>131</v>
      </c>
      <c r="C23" s="16" t="n">
        <v>25000</v>
      </c>
      <c r="G23" s="16" t="n">
        <v>25000</v>
      </c>
    </row>
    <row r="24" customFormat="false" ht="15" hidden="false" customHeight="false" outlineLevel="0" collapsed="false">
      <c r="B24" s="8" t="s">
        <v>132</v>
      </c>
      <c r="C24" s="16" t="n">
        <v>32000</v>
      </c>
      <c r="G24" s="16" t="n">
        <v>32000</v>
      </c>
    </row>
    <row r="25" customFormat="false" ht="15" hidden="false" customHeight="false" outlineLevel="0" collapsed="false">
      <c r="B25" s="8" t="s">
        <v>133</v>
      </c>
      <c r="C25" s="16" t="n">
        <v>33000</v>
      </c>
      <c r="G25" s="16" t="n">
        <v>33000</v>
      </c>
    </row>
    <row r="26" customFormat="false" ht="15" hidden="false" customHeight="false" outlineLevel="0" collapsed="false">
      <c r="B26" s="8" t="s">
        <v>134</v>
      </c>
      <c r="C26" s="16" t="n">
        <v>27000</v>
      </c>
      <c r="G26" s="16" t="n">
        <v>27000</v>
      </c>
    </row>
    <row r="27" customFormat="false" ht="15" hidden="false" customHeight="false" outlineLevel="0" collapsed="false">
      <c r="B27" s="8" t="s">
        <v>135</v>
      </c>
      <c r="C27" s="16" t="n">
        <v>2200</v>
      </c>
      <c r="G27" s="16" t="n">
        <v>2200</v>
      </c>
    </row>
    <row r="28" customFormat="false" ht="15" hidden="false" customHeight="false" outlineLevel="0" collapsed="false">
      <c r="B28" s="8" t="s">
        <v>136</v>
      </c>
      <c r="C28" s="16" t="n">
        <v>20000</v>
      </c>
      <c r="G28" s="16" t="n">
        <v>20000</v>
      </c>
    </row>
    <row r="29" customFormat="false" ht="15" hidden="false" customHeight="false" outlineLevel="0" collapsed="false">
      <c r="B29" s="8" t="s">
        <v>137</v>
      </c>
      <c r="C29" s="16" t="n">
        <v>18000</v>
      </c>
      <c r="G29" s="16" t="n">
        <v>18000</v>
      </c>
    </row>
    <row r="30" customFormat="false" ht="15" hidden="false" customHeight="false" outlineLevel="0" collapsed="false">
      <c r="B30" s="8" t="s">
        <v>138</v>
      </c>
      <c r="C30" s="16" t="n">
        <v>16000</v>
      </c>
      <c r="G30" s="16" t="n">
        <v>16000</v>
      </c>
    </row>
    <row r="31" customFormat="false" ht="15" hidden="false" customHeight="false" outlineLevel="0" collapsed="false">
      <c r="B31" s="8" t="s">
        <v>139</v>
      </c>
      <c r="C31" s="16" t="n">
        <v>15000</v>
      </c>
      <c r="G31" s="16" t="n">
        <v>15000</v>
      </c>
    </row>
    <row r="32" customFormat="false" ht="15" hidden="false" customHeight="false" outlineLevel="0" collapsed="false">
      <c r="B32" s="8" t="s">
        <v>140</v>
      </c>
      <c r="C32" s="16" t="n">
        <v>40000</v>
      </c>
      <c r="G32" s="16" t="n">
        <v>40000</v>
      </c>
    </row>
    <row r="33" customFormat="false" ht="15" hidden="false" customHeight="false" outlineLevel="0" collapsed="false">
      <c r="B33" s="8" t="s">
        <v>141</v>
      </c>
      <c r="C33" s="16" t="n">
        <v>17000</v>
      </c>
      <c r="G33" s="16" t="n">
        <v>17000</v>
      </c>
    </row>
    <row r="34" customFormat="false" ht="15" hidden="false" customHeight="false" outlineLevel="0" collapsed="false">
      <c r="B34" s="8" t="s">
        <v>142</v>
      </c>
      <c r="C34" s="16" t="n">
        <v>1400</v>
      </c>
      <c r="G34" s="16" t="n">
        <v>1400</v>
      </c>
    </row>
    <row r="35" customFormat="false" ht="15" hidden="false" customHeight="false" outlineLevel="0" collapsed="false">
      <c r="B35" s="8" t="s">
        <v>143</v>
      </c>
      <c r="C35" s="16" t="n">
        <v>44000</v>
      </c>
      <c r="G35" s="16" t="n">
        <v>44000</v>
      </c>
    </row>
    <row r="36" customFormat="false" ht="15" hidden="false" customHeight="false" outlineLevel="0" collapsed="false">
      <c r="B36" s="8" t="s">
        <v>144</v>
      </c>
      <c r="C36" s="16" t="n">
        <v>9000</v>
      </c>
      <c r="G36" s="16" t="n">
        <v>9000</v>
      </c>
    </row>
    <row r="37" customFormat="false" ht="15" hidden="false" customHeight="false" outlineLevel="0" collapsed="false">
      <c r="B37" s="8" t="s">
        <v>145</v>
      </c>
      <c r="C37" s="16" t="n">
        <v>3500</v>
      </c>
      <c r="G37" s="16" t="n">
        <v>3500</v>
      </c>
    </row>
    <row r="38" customFormat="false" ht="15" hidden="false" customHeight="false" outlineLevel="0" collapsed="false">
      <c r="A38" s="24"/>
      <c r="B38" s="25" t="s">
        <v>69</v>
      </c>
      <c r="C38" s="26" t="n">
        <f aca="false">SUM(C10:C37)</f>
        <v>407374.714</v>
      </c>
      <c r="D38" s="26" t="n">
        <f aca="false">SUM(D10:D37)</f>
        <v>104274.714</v>
      </c>
      <c r="E38" s="26" t="n">
        <f aca="false">SUM(E10:E37)</f>
        <v>0</v>
      </c>
      <c r="F38" s="26" t="n">
        <f aca="false">SUM(F10:F37)</f>
        <v>0</v>
      </c>
      <c r="G38" s="26" t="n">
        <f aca="false">SUM(G10:G37)</f>
        <v>303100</v>
      </c>
      <c r="H38" s="24"/>
    </row>
    <row r="40" customFormat="false" ht="15" hidden="false" customHeight="false" outlineLevel="0" collapsed="false">
      <c r="A40" s="5"/>
      <c r="B40" s="6" t="s">
        <v>70</v>
      </c>
      <c r="C40" s="6"/>
      <c r="D40" s="6"/>
      <c r="E40" s="6"/>
      <c r="F40" s="6"/>
      <c r="G40" s="6"/>
      <c r="H40" s="6"/>
      <c r="I40" s="6"/>
      <c r="J40" s="6"/>
    </row>
    <row r="41" customFormat="false" ht="15" hidden="false" customHeight="false" outlineLevel="0" collapsed="false">
      <c r="B41" s="8" t="s">
        <v>71</v>
      </c>
      <c r="C41" s="16" t="n">
        <v>72150.06183</v>
      </c>
      <c r="D41" s="16" t="n">
        <v>18009.14283</v>
      </c>
      <c r="G41" s="16" t="n">
        <v>54140.919</v>
      </c>
    </row>
    <row r="42" customFormat="false" ht="15" hidden="false" customHeight="false" outlineLevel="0" collapsed="false">
      <c r="B42" s="8" t="s">
        <v>146</v>
      </c>
      <c r="C42" s="16" t="n">
        <v>38719.039392</v>
      </c>
      <c r="D42" s="16" t="n">
        <v>9664.533792</v>
      </c>
      <c r="G42" s="16" t="n">
        <v>29054.5056</v>
      </c>
    </row>
    <row r="43" customFormat="false" ht="15" hidden="false" customHeight="false" outlineLevel="0" collapsed="false">
      <c r="B43" s="8" t="s">
        <v>147</v>
      </c>
      <c r="C43" s="16" t="n">
        <v>260367.61443</v>
      </c>
      <c r="D43" s="16" t="n">
        <v>64989.51543</v>
      </c>
      <c r="G43" s="16" t="n">
        <v>195378.099</v>
      </c>
    </row>
    <row r="44" customFormat="false" ht="15" hidden="false" customHeight="false" outlineLevel="0" collapsed="false">
      <c r="B44" s="8" t="s">
        <v>148</v>
      </c>
      <c r="C44" s="16" t="n">
        <v>1819.4363418</v>
      </c>
      <c r="D44" s="16" t="n">
        <v>454.1436018</v>
      </c>
      <c r="G44" s="16" t="n">
        <v>1365.29274</v>
      </c>
    </row>
    <row r="45" customFormat="false" ht="15" hidden="false" customHeight="false" outlineLevel="0" collapsed="false">
      <c r="B45" s="8" t="s">
        <v>75</v>
      </c>
      <c r="C45" s="16" t="n">
        <v>9903.828363</v>
      </c>
      <c r="D45" s="16" t="n">
        <v>2472.062463</v>
      </c>
      <c r="G45" s="16" t="n">
        <v>7431.7659</v>
      </c>
    </row>
    <row r="46" customFormat="false" ht="15" hidden="false" customHeight="false" outlineLevel="0" collapsed="false">
      <c r="B46" s="8" t="s">
        <v>149</v>
      </c>
      <c r="C46" s="16" t="n">
        <v>8514.60357</v>
      </c>
      <c r="D46" s="16" t="n">
        <v>2125.30257</v>
      </c>
      <c r="G46" s="16" t="n">
        <v>6389.301</v>
      </c>
    </row>
    <row r="47" customFormat="false" ht="15" hidden="false" customHeight="false" outlineLevel="0" collapsed="false">
      <c r="B47" s="8" t="s">
        <v>150</v>
      </c>
      <c r="C47" s="16" t="n">
        <v>56913.40281</v>
      </c>
      <c r="D47" s="16" t="n">
        <v>14205.96981</v>
      </c>
      <c r="G47" s="16" t="n">
        <v>42707.433</v>
      </c>
    </row>
    <row r="48" customFormat="false" ht="15" hidden="false" customHeight="false" outlineLevel="0" collapsed="false">
      <c r="A48" s="24"/>
      <c r="B48" s="25" t="s">
        <v>78</v>
      </c>
      <c r="C48" s="26" t="n">
        <f aca="false">SUM(C41:C47)</f>
        <v>448387.9867368</v>
      </c>
      <c r="D48" s="26" t="n">
        <f aca="false">SUM(D41:D47)</f>
        <v>111920.6704968</v>
      </c>
      <c r="E48" s="24"/>
      <c r="F48" s="26" t="n">
        <f aca="false">SUM(F41:F47)</f>
        <v>0</v>
      </c>
      <c r="G48" s="26" t="n">
        <f aca="false">SUM(G41:G47)</f>
        <v>336467.31624</v>
      </c>
      <c r="H48" s="24"/>
    </row>
    <row r="50" customFormat="false" ht="15" hidden="false" customHeight="false" outlineLevel="0" collapsed="false">
      <c r="A50" s="27" t="s">
        <v>79</v>
      </c>
      <c r="B50" s="27"/>
      <c r="C50" s="27"/>
      <c r="D50" s="27"/>
      <c r="E50" s="27"/>
      <c r="F50" s="27"/>
      <c r="G50" s="27"/>
      <c r="H50" s="27"/>
      <c r="I50" s="27"/>
      <c r="J50" s="27"/>
    </row>
    <row r="51" customFormat="false" ht="15" hidden="false" customHeight="false" outlineLevel="0" collapsed="false">
      <c r="A51" s="28" t="s">
        <v>46</v>
      </c>
      <c r="B51" s="28"/>
      <c r="C51" s="28"/>
      <c r="D51" s="28"/>
      <c r="E51" s="28"/>
      <c r="F51" s="28"/>
      <c r="G51" s="28"/>
      <c r="H51" s="28"/>
      <c r="I51" s="28"/>
      <c r="J51" s="28"/>
    </row>
    <row r="52" customFormat="false" ht="15" hidden="false" customHeight="false" outlineLevel="0" collapsed="false">
      <c r="A52" s="29"/>
      <c r="B52" s="29" t="s">
        <v>80</v>
      </c>
      <c r="C52" s="30" t="s">
        <v>81</v>
      </c>
      <c r="D52" s="30" t="s">
        <v>82</v>
      </c>
      <c r="E52" s="30" t="s">
        <v>83</v>
      </c>
      <c r="F52" s="30" t="s">
        <v>84</v>
      </c>
      <c r="G52" s="30" t="s">
        <v>85</v>
      </c>
      <c r="H52" s="30" t="s">
        <v>86</v>
      </c>
      <c r="I52" s="30" t="s">
        <v>87</v>
      </c>
      <c r="J52" s="30" t="s">
        <v>88</v>
      </c>
    </row>
    <row r="53" customFormat="false" ht="15" hidden="false" customHeight="false" outlineLevel="0" collapsed="false">
      <c r="B53" s="31" t="s">
        <v>358</v>
      </c>
      <c r="C53" s="32" t="n">
        <v>72150.06183</v>
      </c>
      <c r="D53" s="32" t="n">
        <v>0</v>
      </c>
      <c r="E53" s="32" t="n">
        <v>4435.1796</v>
      </c>
      <c r="F53" s="32" t="n">
        <v>1478.3932</v>
      </c>
      <c r="G53" s="32" t="n">
        <v>5913.5728</v>
      </c>
      <c r="H53" s="32" t="n">
        <v>61327.5525555</v>
      </c>
      <c r="I53" s="33" t="s">
        <v>90</v>
      </c>
      <c r="J53" s="34" t="n">
        <v>30</v>
      </c>
    </row>
    <row r="54" customFormat="false" ht="15" hidden="false" customHeight="false" outlineLevel="0" collapsed="false">
      <c r="B54" s="35" t="s">
        <v>359</v>
      </c>
      <c r="C54" s="36" t="n">
        <v>38719.039392</v>
      </c>
      <c r="D54" s="36" t="n">
        <v>0</v>
      </c>
      <c r="E54" s="36" t="n">
        <v>2402.38895</v>
      </c>
      <c r="F54" s="36" t="n">
        <v>813.11626</v>
      </c>
      <c r="G54" s="36" t="n">
        <v>3215.50521</v>
      </c>
      <c r="H54" s="36" t="n">
        <v>34072.75466496</v>
      </c>
      <c r="I54" s="37" t="s">
        <v>90</v>
      </c>
      <c r="J54" s="38" t="n">
        <v>30</v>
      </c>
    </row>
    <row r="55" customFormat="false" ht="15" hidden="false" customHeight="false" outlineLevel="0" collapsed="false">
      <c r="B55" s="31" t="s">
        <v>360</v>
      </c>
      <c r="C55" s="32" t="n">
        <v>260367.61443</v>
      </c>
      <c r="D55" s="32" t="n">
        <v>0</v>
      </c>
      <c r="E55" s="32" t="n">
        <v>16262.3252</v>
      </c>
      <c r="F55" s="32" t="n">
        <v>5543.9745</v>
      </c>
      <c r="G55" s="32" t="n">
        <v>21806.2997</v>
      </c>
      <c r="H55" s="32" t="n">
        <v>234330.852987</v>
      </c>
      <c r="I55" s="33" t="s">
        <v>90</v>
      </c>
      <c r="J55" s="34" t="n">
        <v>30</v>
      </c>
    </row>
    <row r="56" customFormat="false" ht="15" hidden="false" customHeight="false" outlineLevel="0" collapsed="false">
      <c r="B56" s="35" t="s">
        <v>361</v>
      </c>
      <c r="C56" s="36" t="n">
        <v>1819.4363418</v>
      </c>
      <c r="D56" s="36" t="n">
        <v>0</v>
      </c>
      <c r="E56" s="36" t="n">
        <v>110.87949</v>
      </c>
      <c r="F56" s="36" t="n">
        <v>36.95983</v>
      </c>
      <c r="G56" s="36" t="n">
        <v>147.83932</v>
      </c>
      <c r="H56" s="36" t="n">
        <v>1601.103980784</v>
      </c>
      <c r="I56" s="37" t="s">
        <v>90</v>
      </c>
      <c r="J56" s="38" t="n">
        <v>30</v>
      </c>
    </row>
    <row r="57" customFormat="false" ht="15" hidden="false" customHeight="false" outlineLevel="0" collapsed="false">
      <c r="B57" s="31" t="s">
        <v>362</v>
      </c>
      <c r="C57" s="32" t="n">
        <v>9903.828363</v>
      </c>
      <c r="D57" s="32" t="n">
        <v>2535.380060928</v>
      </c>
      <c r="E57" s="32" t="n">
        <v>2535.380060928</v>
      </c>
      <c r="F57" s="32" t="n">
        <v>762.594783951</v>
      </c>
      <c r="G57" s="32" t="n">
        <v>3297.974844879</v>
      </c>
      <c r="H57" s="32" t="n">
        <v>6605.853518121</v>
      </c>
      <c r="I57" s="33" t="s">
        <v>95</v>
      </c>
      <c r="J57" s="34" t="n">
        <v>15</v>
      </c>
    </row>
    <row r="58" customFormat="false" ht="15" hidden="false" customHeight="false" outlineLevel="0" collapsed="false">
      <c r="B58" s="35" t="s">
        <v>363</v>
      </c>
      <c r="C58" s="36" t="n">
        <v>8514.60357</v>
      </c>
      <c r="D58" s="36" t="n">
        <v>0</v>
      </c>
      <c r="E58" s="36" t="n">
        <v>0</v>
      </c>
      <c r="F58" s="36" t="n">
        <v>0</v>
      </c>
      <c r="G58" s="36" t="n">
        <v>0</v>
      </c>
      <c r="H58" s="36" t="n">
        <v>8514.60357</v>
      </c>
      <c r="I58" s="37" t="s">
        <v>97</v>
      </c>
      <c r="J58" s="38" t="n">
        <v>5</v>
      </c>
    </row>
    <row r="59" customFormat="false" ht="15" hidden="false" customHeight="false" outlineLevel="0" collapsed="false">
      <c r="B59" s="31" t="s">
        <v>364</v>
      </c>
      <c r="C59" s="32" t="n">
        <v>56913.40281</v>
      </c>
      <c r="D59" s="32" t="n">
        <v>0</v>
      </c>
      <c r="E59" s="32" t="n">
        <v>1478.3932</v>
      </c>
      <c r="F59" s="32" t="n">
        <v>2365.42912</v>
      </c>
      <c r="G59" s="32" t="n">
        <v>3843.82232</v>
      </c>
      <c r="H59" s="32" t="n">
        <v>50652.9285009</v>
      </c>
      <c r="I59" s="33" t="s">
        <v>97</v>
      </c>
      <c r="J59" s="34" t="n">
        <v>5</v>
      </c>
    </row>
    <row r="60" customFormat="false" ht="15" hidden="false" customHeight="false" outlineLevel="0" collapsed="false">
      <c r="A60" s="10"/>
      <c r="B60" s="11" t="s">
        <v>24</v>
      </c>
      <c r="C60" s="39" t="n">
        <f aca="false">SUM(C53:C59)</f>
        <v>448387.9867368</v>
      </c>
      <c r="D60" s="39" t="n">
        <f aca="false">SUM(D53:D59)</f>
        <v>2535.380060928</v>
      </c>
      <c r="E60" s="39" t="n">
        <f aca="false">SUM(E53:E59)</f>
        <v>27224.546500928</v>
      </c>
      <c r="F60" s="39" t="n">
        <f aca="false">SUM(F53:F59)</f>
        <v>11000.467693951</v>
      </c>
      <c r="G60" s="39" t="n">
        <f aca="false">SUM(G53:G59)</f>
        <v>38225.014194879</v>
      </c>
      <c r="H60" s="39" t="n">
        <f aca="false">SUM(H53:H59)</f>
        <v>397105.649777265</v>
      </c>
      <c r="I60" s="10"/>
      <c r="J60" s="10"/>
    </row>
    <row r="62" customFormat="false" ht="15" hidden="false" customHeight="false" outlineLevel="0" collapsed="false">
      <c r="A62" s="40" t="s">
        <v>99</v>
      </c>
      <c r="B62" s="40"/>
      <c r="C62" s="40"/>
      <c r="D62" s="40"/>
      <c r="E62" s="40"/>
      <c r="F62" s="40"/>
      <c r="G62" s="40"/>
      <c r="H62" s="40"/>
      <c r="I62" s="40"/>
      <c r="J62" s="40"/>
    </row>
    <row r="63" customFormat="false" ht="15" hidden="false" customHeight="false" outlineLevel="0" collapsed="false">
      <c r="A63" s="29"/>
      <c r="B63" s="29" t="s">
        <v>80</v>
      </c>
      <c r="C63" s="30" t="s">
        <v>81</v>
      </c>
      <c r="D63" s="30" t="s">
        <v>82</v>
      </c>
      <c r="E63" s="30" t="s">
        <v>83</v>
      </c>
      <c r="F63" s="30" t="s">
        <v>84</v>
      </c>
      <c r="G63" s="30" t="s">
        <v>85</v>
      </c>
      <c r="H63" s="30" t="s">
        <v>86</v>
      </c>
      <c r="I63" s="30" t="s">
        <v>87</v>
      </c>
      <c r="J63" s="30" t="s">
        <v>88</v>
      </c>
    </row>
    <row r="64" customFormat="false" ht="15" hidden="false" customHeight="false" outlineLevel="0" collapsed="false">
      <c r="B64" s="31" t="s">
        <v>365</v>
      </c>
      <c r="C64" s="32" t="n">
        <v>18821.75526</v>
      </c>
      <c r="D64" s="32" t="n">
        <v>18821.75526</v>
      </c>
      <c r="E64" s="32" t="n">
        <v>18821.75526</v>
      </c>
      <c r="F64" s="32" t="n">
        <v>0</v>
      </c>
      <c r="G64" s="32" t="n">
        <v>18821.75526</v>
      </c>
      <c r="H64" s="32" t="n">
        <v>0</v>
      </c>
      <c r="I64" s="33" t="s">
        <v>97</v>
      </c>
      <c r="J64" s="34" t="n">
        <v>5</v>
      </c>
    </row>
    <row r="65" customFormat="false" ht="15" hidden="false" customHeight="false" outlineLevel="0" collapsed="false">
      <c r="B65" s="35" t="s">
        <v>366</v>
      </c>
      <c r="C65" s="36" t="n">
        <v>53328.30657</v>
      </c>
      <c r="D65" s="36" t="n">
        <v>0</v>
      </c>
      <c r="E65" s="36" t="n">
        <v>9746.74246</v>
      </c>
      <c r="F65" s="36" t="n">
        <v>1735.72126</v>
      </c>
      <c r="G65" s="36" t="n">
        <v>11482.46372</v>
      </c>
      <c r="H65" s="36" t="n">
        <v>43729.2113874</v>
      </c>
      <c r="I65" s="37" t="s">
        <v>90</v>
      </c>
      <c r="J65" s="38" t="n">
        <v>30</v>
      </c>
    </row>
    <row r="66" customFormat="false" ht="15" hidden="false" customHeight="false" outlineLevel="0" collapsed="false">
      <c r="B66" s="31" t="s">
        <v>367</v>
      </c>
      <c r="C66" s="32" t="n">
        <v>10172.710581</v>
      </c>
      <c r="D66" s="32" t="n">
        <v>10172.710581</v>
      </c>
      <c r="E66" s="32" t="n">
        <v>10172.710581</v>
      </c>
      <c r="F66" s="32" t="n">
        <v>0</v>
      </c>
      <c r="G66" s="32" t="n">
        <v>10172.710581</v>
      </c>
      <c r="H66" s="32" t="n">
        <v>0</v>
      </c>
      <c r="I66" s="33" t="s">
        <v>97</v>
      </c>
      <c r="J66" s="34" t="n">
        <v>5</v>
      </c>
    </row>
    <row r="67" customFormat="false" ht="15" hidden="false" customHeight="false" outlineLevel="0" collapsed="false">
      <c r="B67" s="35" t="s">
        <v>368</v>
      </c>
      <c r="C67" s="36" t="n">
        <v>28546.328811</v>
      </c>
      <c r="D67" s="36" t="n">
        <v>0</v>
      </c>
      <c r="E67" s="36" t="n">
        <v>5207.16378</v>
      </c>
      <c r="F67" s="36" t="n">
        <v>921.267438</v>
      </c>
      <c r="G67" s="36" t="n">
        <v>6141.78292</v>
      </c>
      <c r="H67" s="36" t="n">
        <v>26548.08579423</v>
      </c>
      <c r="I67" s="37" t="s">
        <v>90</v>
      </c>
      <c r="J67" s="38" t="n">
        <v>30</v>
      </c>
    </row>
    <row r="68" customFormat="false" ht="15" hidden="false" customHeight="false" outlineLevel="0" collapsed="false">
      <c r="B68" s="31" t="s">
        <v>369</v>
      </c>
      <c r="C68" s="32" t="n">
        <v>68116.82856</v>
      </c>
      <c r="D68" s="32" t="n">
        <v>54672.71766</v>
      </c>
      <c r="E68" s="32" t="n">
        <v>55276.04628</v>
      </c>
      <c r="F68" s="32" t="n">
        <v>4272.54464</v>
      </c>
      <c r="G68" s="32" t="n">
        <v>59548.59092</v>
      </c>
      <c r="H68" s="32" t="n">
        <v>3269.60777088</v>
      </c>
      <c r="I68" s="33" t="s">
        <v>97</v>
      </c>
      <c r="J68" s="34" t="n">
        <v>5</v>
      </c>
    </row>
    <row r="69" customFormat="false" ht="15" hidden="false" customHeight="false" outlineLevel="0" collapsed="false">
      <c r="B69" s="35" t="s">
        <v>370</v>
      </c>
      <c r="C69" s="36" t="n">
        <v>190906.37478</v>
      </c>
      <c r="D69" s="36" t="n">
        <v>0</v>
      </c>
      <c r="E69" s="36" t="n">
        <v>4406.06166</v>
      </c>
      <c r="F69" s="36" t="n">
        <v>6141.78292</v>
      </c>
      <c r="G69" s="36" t="n">
        <v>10547.84458</v>
      </c>
      <c r="H69" s="36" t="n">
        <v>185179.1835366</v>
      </c>
      <c r="I69" s="37" t="s">
        <v>90</v>
      </c>
      <c r="J69" s="38" t="n">
        <v>30</v>
      </c>
    </row>
    <row r="70" customFormat="false" ht="15" hidden="false" customHeight="false" outlineLevel="0" collapsed="false">
      <c r="B70" s="31" t="s">
        <v>371</v>
      </c>
      <c r="C70" s="32" t="n">
        <v>475.0252518</v>
      </c>
      <c r="D70" s="32" t="n">
        <v>475.0252518</v>
      </c>
      <c r="E70" s="32" t="n">
        <v>475.0252518</v>
      </c>
      <c r="F70" s="32" t="n">
        <v>0</v>
      </c>
      <c r="G70" s="32" t="n">
        <v>475.0252518</v>
      </c>
      <c r="H70" s="32" t="n">
        <v>0</v>
      </c>
      <c r="I70" s="33" t="s">
        <v>97</v>
      </c>
      <c r="J70" s="34" t="n">
        <v>5</v>
      </c>
    </row>
    <row r="71" customFormat="false" ht="15" hidden="false" customHeight="false" outlineLevel="0" collapsed="false">
      <c r="B71" s="35" t="s">
        <v>372</v>
      </c>
      <c r="C71" s="36" t="n">
        <v>1344.41109</v>
      </c>
      <c r="D71" s="36" t="n">
        <v>0</v>
      </c>
      <c r="E71" s="36" t="n">
        <v>133.51702</v>
      </c>
      <c r="F71" s="36" t="n">
        <v>40.055106</v>
      </c>
      <c r="G71" s="36" t="n">
        <v>173.572126</v>
      </c>
      <c r="H71" s="36" t="n">
        <v>1304.0787573</v>
      </c>
      <c r="I71" s="37" t="s">
        <v>90</v>
      </c>
      <c r="J71" s="38" t="n">
        <v>30</v>
      </c>
    </row>
    <row r="72" customFormat="false" ht="15" hidden="false" customHeight="false" outlineLevel="0" collapsed="false">
      <c r="B72" s="31" t="s">
        <v>373</v>
      </c>
      <c r="C72" s="32" t="n">
        <v>2599.194774</v>
      </c>
      <c r="D72" s="32" t="n">
        <v>2599.194774</v>
      </c>
      <c r="E72" s="32" t="n">
        <v>2599.194774</v>
      </c>
      <c r="F72" s="32" t="n">
        <v>0</v>
      </c>
      <c r="G72" s="32" t="n">
        <v>2599.194774</v>
      </c>
      <c r="H72" s="32" t="n">
        <v>0</v>
      </c>
      <c r="I72" s="33" t="s">
        <v>97</v>
      </c>
      <c r="J72" s="34" t="n">
        <v>5</v>
      </c>
    </row>
    <row r="73" customFormat="false" ht="15" hidden="false" customHeight="false" outlineLevel="0" collapsed="false">
      <c r="B73" s="35" t="s">
        <v>374</v>
      </c>
      <c r="C73" s="36" t="n">
        <v>7304.633589</v>
      </c>
      <c r="D73" s="36" t="n">
        <v>0</v>
      </c>
      <c r="E73" s="36" t="n">
        <v>1268.41169</v>
      </c>
      <c r="F73" s="36" t="n">
        <v>234.9899552</v>
      </c>
      <c r="G73" s="36" t="n">
        <v>1508.742326</v>
      </c>
      <c r="H73" s="36" t="n">
        <v>6793.30923777</v>
      </c>
      <c r="I73" s="37" t="s">
        <v>90</v>
      </c>
      <c r="J73" s="38" t="n">
        <v>30</v>
      </c>
    </row>
    <row r="74" customFormat="false" ht="15" hidden="false" customHeight="false" outlineLevel="0" collapsed="false">
      <c r="B74" s="31" t="s">
        <v>375</v>
      </c>
      <c r="C74" s="32" t="n">
        <v>2240.68515</v>
      </c>
      <c r="D74" s="32" t="n">
        <v>2240.68515</v>
      </c>
      <c r="E74" s="32" t="n">
        <v>2240.68515</v>
      </c>
      <c r="F74" s="32" t="n">
        <v>0</v>
      </c>
      <c r="G74" s="32" t="n">
        <v>2240.68515</v>
      </c>
      <c r="H74" s="32" t="n">
        <v>0</v>
      </c>
      <c r="I74" s="33" t="s">
        <v>97</v>
      </c>
      <c r="J74" s="34" t="n">
        <v>5</v>
      </c>
    </row>
    <row r="75" customFormat="false" ht="15" hidden="false" customHeight="false" outlineLevel="0" collapsed="false">
      <c r="B75" s="35" t="s">
        <v>376</v>
      </c>
      <c r="C75" s="36" t="n">
        <v>6273.91842</v>
      </c>
      <c r="D75" s="36" t="n">
        <v>0</v>
      </c>
      <c r="E75" s="36" t="n">
        <v>213.627232</v>
      </c>
      <c r="F75" s="36" t="n">
        <v>200.27553</v>
      </c>
      <c r="G75" s="36" t="n">
        <v>413.902762</v>
      </c>
      <c r="H75" s="36" t="n">
        <v>6148.4400516</v>
      </c>
      <c r="I75" s="37" t="s">
        <v>90</v>
      </c>
      <c r="J75" s="38" t="n">
        <v>30</v>
      </c>
    </row>
    <row r="76" customFormat="false" ht="15" hidden="false" customHeight="false" outlineLevel="0" collapsed="false">
      <c r="B76" s="31" t="s">
        <v>377</v>
      </c>
      <c r="C76" s="32" t="n">
        <v>15012.590505</v>
      </c>
      <c r="D76" s="32" t="n">
        <v>12010.072404</v>
      </c>
      <c r="E76" s="32" t="n">
        <v>12977.854344</v>
      </c>
      <c r="F76" s="32" t="n">
        <v>988.025948</v>
      </c>
      <c r="G76" s="32" t="n">
        <v>13965.880292</v>
      </c>
      <c r="H76" s="32" t="n">
        <v>165.138495555</v>
      </c>
      <c r="I76" s="33" t="s">
        <v>97</v>
      </c>
      <c r="J76" s="34" t="n">
        <v>5</v>
      </c>
    </row>
    <row r="77" customFormat="false" ht="15" hidden="false" customHeight="false" outlineLevel="0" collapsed="false">
      <c r="B77" s="35" t="s">
        <v>378</v>
      </c>
      <c r="C77" s="36" t="n">
        <v>41900.812305</v>
      </c>
      <c r="D77" s="36" t="n">
        <v>0</v>
      </c>
      <c r="E77" s="36" t="n">
        <v>1094.839564</v>
      </c>
      <c r="F77" s="36" t="n">
        <v>1548.797432</v>
      </c>
      <c r="G77" s="36" t="n">
        <v>2643.636996</v>
      </c>
      <c r="H77" s="36" t="n">
        <v>41062.7960589</v>
      </c>
      <c r="I77" s="37" t="s">
        <v>90</v>
      </c>
      <c r="J77" s="38" t="n">
        <v>30</v>
      </c>
    </row>
    <row r="78" customFormat="false" ht="15" hidden="false" customHeight="false" outlineLevel="0" collapsed="false">
      <c r="A78" s="10"/>
      <c r="B78" s="11" t="s">
        <v>24</v>
      </c>
      <c r="C78" s="39" t="n">
        <f aca="false">SUM(C64:C77)</f>
        <v>447043.5756468</v>
      </c>
      <c r="D78" s="39" t="n">
        <f aca="false">SUM(D64:D77)</f>
        <v>100992.1610808</v>
      </c>
      <c r="E78" s="39" t="n">
        <f aca="false">SUM(E64:E77)</f>
        <v>124633.6350468</v>
      </c>
      <c r="F78" s="39" t="n">
        <f aca="false">SUM(F64:F77)</f>
        <v>16083.4602292</v>
      </c>
      <c r="G78" s="39" t="n">
        <f aca="false">SUM(G64:G77)</f>
        <v>140735.7876588</v>
      </c>
      <c r="H78" s="39" t="n">
        <f aca="false">SUM(H64:H77)</f>
        <v>314199.851090235</v>
      </c>
      <c r="I78" s="10"/>
      <c r="J78" s="10"/>
    </row>
    <row r="80" customFormat="false" ht="15" hidden="false" customHeight="false" outlineLevel="0" collapsed="false">
      <c r="A80" s="27" t="s">
        <v>48</v>
      </c>
      <c r="B80" s="27"/>
      <c r="C80" s="27"/>
      <c r="D80" s="27"/>
      <c r="E80" s="27"/>
    </row>
    <row r="81" customFormat="false" ht="15" hidden="false" customHeight="false" outlineLevel="0" collapsed="false">
      <c r="B81" s="8" t="s">
        <v>114</v>
      </c>
      <c r="C81" s="41" t="n">
        <f aca="false">G60</f>
        <v>38225.014194879</v>
      </c>
    </row>
    <row r="82" customFormat="false" ht="15" hidden="false" customHeight="false" outlineLevel="0" collapsed="false">
      <c r="B82" s="8" t="s">
        <v>115</v>
      </c>
      <c r="C82" s="41" t="n">
        <f aca="false">G78</f>
        <v>140735.7876588</v>
      </c>
    </row>
    <row r="83" customFormat="false" ht="15" hidden="false" customHeight="false" outlineLevel="0" collapsed="false">
      <c r="B83" s="17" t="s">
        <v>48</v>
      </c>
      <c r="C83" s="42" t="n">
        <f aca="false">C82-C81</f>
        <v>102510.773463921</v>
      </c>
    </row>
  </sheetData>
  <mergeCells count="11">
    <mergeCell ref="A2:J2"/>
    <mergeCell ref="A3:J3"/>
    <mergeCell ref="A4:J4"/>
    <mergeCell ref="A8:J8"/>
    <mergeCell ref="B10:J10"/>
    <mergeCell ref="B22:J22"/>
    <mergeCell ref="B40:J40"/>
    <mergeCell ref="A50:J50"/>
    <mergeCell ref="A51:J51"/>
    <mergeCell ref="A62:J62"/>
    <mergeCell ref="A80:E8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379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50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51</v>
      </c>
      <c r="C6" s="8" t="s">
        <v>26</v>
      </c>
    </row>
    <row r="8" customFormat="false" ht="15" hidden="false" customHeight="false" outlineLevel="0" collapsed="false">
      <c r="A8" s="21" t="s">
        <v>380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53</v>
      </c>
      <c r="C9" s="23" t="s">
        <v>54</v>
      </c>
      <c r="D9" s="23" t="s">
        <v>55</v>
      </c>
      <c r="E9" s="23" t="s">
        <v>56</v>
      </c>
      <c r="F9" s="23" t="s">
        <v>57</v>
      </c>
      <c r="G9" s="23" t="s">
        <v>58</v>
      </c>
      <c r="H9" s="23" t="s">
        <v>59</v>
      </c>
    </row>
    <row r="10" customFormat="false" ht="15" hidden="false" customHeight="false" outlineLevel="0" collapsed="false">
      <c r="A10" s="5"/>
      <c r="B10" s="6" t="s">
        <v>118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119</v>
      </c>
      <c r="C11" s="16" t="n">
        <v>31452.73</v>
      </c>
      <c r="D11" s="16" t="n">
        <v>31452.73</v>
      </c>
    </row>
    <row r="12" customFormat="false" ht="15" hidden="false" customHeight="false" outlineLevel="0" collapsed="false">
      <c r="B12" s="8" t="s">
        <v>120</v>
      </c>
      <c r="C12" s="16" t="n">
        <v>8394.17</v>
      </c>
      <c r="D12" s="16" t="n">
        <v>8394.17</v>
      </c>
    </row>
    <row r="13" customFormat="false" ht="15" hidden="false" customHeight="false" outlineLevel="0" collapsed="false">
      <c r="B13" s="8" t="s">
        <v>121</v>
      </c>
      <c r="C13" s="16" t="n">
        <v>32815.89</v>
      </c>
      <c r="D13" s="16" t="n">
        <v>32815.89</v>
      </c>
    </row>
    <row r="14" customFormat="false" ht="15" hidden="false" customHeight="false" outlineLevel="0" collapsed="false">
      <c r="B14" s="8" t="s">
        <v>122</v>
      </c>
      <c r="C14" s="16" t="n">
        <v>2648.72</v>
      </c>
      <c r="D14" s="16" t="n">
        <v>2648.72</v>
      </c>
    </row>
    <row r="15" customFormat="false" ht="15" hidden="false" customHeight="false" outlineLevel="0" collapsed="false">
      <c r="B15" s="8" t="s">
        <v>123</v>
      </c>
      <c r="C15" s="16" t="n">
        <v>0.394</v>
      </c>
      <c r="D15" s="16" t="n">
        <v>0.394</v>
      </c>
    </row>
    <row r="16" customFormat="false" ht="15" hidden="false" customHeight="false" outlineLevel="0" collapsed="false">
      <c r="B16" s="8" t="s">
        <v>124</v>
      </c>
      <c r="C16" s="16" t="n">
        <v>5344.3</v>
      </c>
      <c r="D16" s="16" t="n">
        <v>5344.3</v>
      </c>
    </row>
    <row r="17" customFormat="false" ht="15" hidden="false" customHeight="false" outlineLevel="0" collapsed="false">
      <c r="B17" s="8" t="s">
        <v>125</v>
      </c>
      <c r="C17" s="16" t="n">
        <v>2858.97</v>
      </c>
      <c r="D17" s="16" t="n">
        <v>2858.97</v>
      </c>
    </row>
    <row r="18" customFormat="false" ht="15" hidden="false" customHeight="false" outlineLevel="0" collapsed="false">
      <c r="B18" s="8" t="s">
        <v>126</v>
      </c>
      <c r="C18" s="16" t="n">
        <v>9687.68</v>
      </c>
      <c r="D18" s="16" t="n">
        <v>9687.68</v>
      </c>
    </row>
    <row r="19" customFormat="false" ht="15" hidden="false" customHeight="false" outlineLevel="0" collapsed="false">
      <c r="B19" s="8" t="s">
        <v>127</v>
      </c>
      <c r="C19" s="16" t="n">
        <v>2139.23</v>
      </c>
      <c r="D19" s="16" t="n">
        <v>2139.23</v>
      </c>
    </row>
    <row r="20" customFormat="false" ht="15" hidden="false" customHeight="false" outlineLevel="0" collapsed="false">
      <c r="B20" s="8" t="s">
        <v>128</v>
      </c>
      <c r="C20" s="16" t="n">
        <v>605.69</v>
      </c>
      <c r="D20" s="16" t="n">
        <v>605.69</v>
      </c>
    </row>
    <row r="21" customFormat="false" ht="15" hidden="false" customHeight="false" outlineLevel="0" collapsed="false">
      <c r="B21" s="8" t="s">
        <v>129</v>
      </c>
      <c r="C21" s="16" t="n">
        <v>8326.94</v>
      </c>
      <c r="D21" s="16" t="n">
        <v>8326.94</v>
      </c>
    </row>
    <row r="22" customFormat="false" ht="15" hidden="false" customHeight="false" outlineLevel="0" collapsed="false">
      <c r="A22" s="5"/>
      <c r="B22" s="6" t="s">
        <v>130</v>
      </c>
      <c r="C22" s="6"/>
      <c r="D22" s="6"/>
      <c r="E22" s="6"/>
      <c r="F22" s="6"/>
      <c r="G22" s="6"/>
      <c r="H22" s="6"/>
      <c r="I22" s="6"/>
      <c r="J22" s="6"/>
    </row>
    <row r="23" customFormat="false" ht="15" hidden="false" customHeight="false" outlineLevel="0" collapsed="false">
      <c r="B23" s="8" t="s">
        <v>131</v>
      </c>
      <c r="C23" s="16" t="n">
        <v>22000</v>
      </c>
      <c r="G23" s="16" t="n">
        <v>22000</v>
      </c>
    </row>
    <row r="24" customFormat="false" ht="15" hidden="false" customHeight="false" outlineLevel="0" collapsed="false">
      <c r="B24" s="8" t="s">
        <v>132</v>
      </c>
      <c r="C24" s="16" t="n">
        <v>28000</v>
      </c>
      <c r="G24" s="16" t="n">
        <v>28000</v>
      </c>
    </row>
    <row r="25" customFormat="false" ht="15" hidden="false" customHeight="false" outlineLevel="0" collapsed="false">
      <c r="B25" s="8" t="s">
        <v>133</v>
      </c>
      <c r="C25" s="16" t="n">
        <v>29000</v>
      </c>
      <c r="G25" s="16" t="n">
        <v>29000</v>
      </c>
    </row>
    <row r="26" customFormat="false" ht="15" hidden="false" customHeight="false" outlineLevel="0" collapsed="false">
      <c r="B26" s="8" t="s">
        <v>134</v>
      </c>
      <c r="C26" s="16" t="n">
        <v>24000</v>
      </c>
      <c r="G26" s="16" t="n">
        <v>24000</v>
      </c>
    </row>
    <row r="27" customFormat="false" ht="15" hidden="false" customHeight="false" outlineLevel="0" collapsed="false">
      <c r="B27" s="8" t="s">
        <v>135</v>
      </c>
      <c r="C27" s="16" t="n">
        <v>2000</v>
      </c>
      <c r="G27" s="16" t="n">
        <v>2000</v>
      </c>
    </row>
    <row r="28" customFormat="false" ht="15" hidden="false" customHeight="false" outlineLevel="0" collapsed="false">
      <c r="B28" s="8" t="s">
        <v>136</v>
      </c>
      <c r="C28" s="16" t="n">
        <v>18000</v>
      </c>
      <c r="G28" s="16" t="n">
        <v>18000</v>
      </c>
    </row>
    <row r="29" customFormat="false" ht="15" hidden="false" customHeight="false" outlineLevel="0" collapsed="false">
      <c r="B29" s="8" t="s">
        <v>137</v>
      </c>
      <c r="C29" s="16" t="n">
        <v>16000</v>
      </c>
      <c r="G29" s="16" t="n">
        <v>16000</v>
      </c>
    </row>
    <row r="30" customFormat="false" ht="15" hidden="false" customHeight="false" outlineLevel="0" collapsed="false">
      <c r="B30" s="8" t="s">
        <v>138</v>
      </c>
      <c r="C30" s="16" t="n">
        <v>14000</v>
      </c>
      <c r="G30" s="16" t="n">
        <v>14000</v>
      </c>
    </row>
    <row r="31" customFormat="false" ht="15" hidden="false" customHeight="false" outlineLevel="0" collapsed="false">
      <c r="B31" s="8" t="s">
        <v>139</v>
      </c>
      <c r="C31" s="16" t="n">
        <v>13000</v>
      </c>
      <c r="G31" s="16" t="n">
        <v>13000</v>
      </c>
    </row>
    <row r="32" customFormat="false" ht="15" hidden="false" customHeight="false" outlineLevel="0" collapsed="false">
      <c r="B32" s="8" t="s">
        <v>140</v>
      </c>
      <c r="C32" s="16" t="n">
        <v>35000</v>
      </c>
      <c r="G32" s="16" t="n">
        <v>35000</v>
      </c>
    </row>
    <row r="33" customFormat="false" ht="15" hidden="false" customHeight="false" outlineLevel="0" collapsed="false">
      <c r="B33" s="8" t="s">
        <v>141</v>
      </c>
      <c r="C33" s="16" t="n">
        <v>15000</v>
      </c>
      <c r="G33" s="16" t="n">
        <v>15000</v>
      </c>
    </row>
    <row r="34" customFormat="false" ht="15" hidden="false" customHeight="false" outlineLevel="0" collapsed="false">
      <c r="B34" s="8" t="s">
        <v>142</v>
      </c>
      <c r="C34" s="16" t="n">
        <v>1200</v>
      </c>
      <c r="G34" s="16" t="n">
        <v>1200</v>
      </c>
    </row>
    <row r="35" customFormat="false" ht="15" hidden="false" customHeight="false" outlineLevel="0" collapsed="false">
      <c r="B35" s="8" t="s">
        <v>143</v>
      </c>
      <c r="C35" s="16" t="n">
        <v>38000</v>
      </c>
      <c r="G35" s="16" t="n">
        <v>38000</v>
      </c>
    </row>
    <row r="36" customFormat="false" ht="15" hidden="false" customHeight="false" outlineLevel="0" collapsed="false">
      <c r="B36" s="8" t="s">
        <v>144</v>
      </c>
      <c r="C36" s="16" t="n">
        <v>8000</v>
      </c>
      <c r="G36" s="16" t="n">
        <v>8000</v>
      </c>
    </row>
    <row r="37" customFormat="false" ht="15" hidden="false" customHeight="false" outlineLevel="0" collapsed="false">
      <c r="B37" s="8" t="s">
        <v>145</v>
      </c>
      <c r="C37" s="16" t="n">
        <v>3000</v>
      </c>
      <c r="G37" s="16" t="n">
        <v>3000</v>
      </c>
    </row>
    <row r="38" customFormat="false" ht="15" hidden="false" customHeight="false" outlineLevel="0" collapsed="false">
      <c r="A38" s="24"/>
      <c r="B38" s="25" t="s">
        <v>69</v>
      </c>
      <c r="C38" s="26" t="n">
        <f aca="false">SUM(C10:C37)</f>
        <v>370474.714</v>
      </c>
      <c r="D38" s="26" t="n">
        <f aca="false">SUM(D10:D37)</f>
        <v>104274.714</v>
      </c>
      <c r="E38" s="26" t="n">
        <f aca="false">SUM(E10:E37)</f>
        <v>0</v>
      </c>
      <c r="F38" s="26" t="n">
        <f aca="false">SUM(F10:F37)</f>
        <v>0</v>
      </c>
      <c r="G38" s="26" t="n">
        <f aca="false">SUM(G10:G37)</f>
        <v>266200</v>
      </c>
      <c r="H38" s="24"/>
    </row>
    <row r="40" customFormat="false" ht="15" hidden="false" customHeight="false" outlineLevel="0" collapsed="false">
      <c r="A40" s="5"/>
      <c r="B40" s="6" t="s">
        <v>70</v>
      </c>
      <c r="C40" s="6"/>
      <c r="D40" s="6"/>
      <c r="E40" s="6"/>
      <c r="F40" s="6"/>
      <c r="G40" s="6"/>
      <c r="H40" s="6"/>
      <c r="I40" s="6"/>
      <c r="J40" s="6"/>
    </row>
    <row r="41" customFormat="false" ht="15" hidden="false" customHeight="false" outlineLevel="0" collapsed="false">
      <c r="B41" s="8" t="s">
        <v>71</v>
      </c>
      <c r="C41" s="16" t="n">
        <v>64200.07181</v>
      </c>
      <c r="D41" s="16" t="n">
        <v>16851.66553</v>
      </c>
      <c r="G41" s="16" t="n">
        <v>47348.40628</v>
      </c>
    </row>
    <row r="42" customFormat="false" ht="15" hidden="false" customHeight="false" outlineLevel="0" collapsed="false">
      <c r="B42" s="8" t="s">
        <v>146</v>
      </c>
      <c r="C42" s="16" t="n">
        <v>34452.709344</v>
      </c>
      <c r="D42" s="16" t="n">
        <v>9043.378272</v>
      </c>
      <c r="G42" s="16" t="n">
        <v>25409.331072</v>
      </c>
    </row>
    <row r="43" customFormat="false" ht="15" hidden="false" customHeight="false" outlineLevel="0" collapsed="false">
      <c r="B43" s="8" t="s">
        <v>147</v>
      </c>
      <c r="C43" s="16" t="n">
        <v>231678.52001</v>
      </c>
      <c r="D43" s="16" t="n">
        <v>60812.53213</v>
      </c>
      <c r="G43" s="16" t="n">
        <v>170865.98788</v>
      </c>
    </row>
    <row r="44" customFormat="false" ht="15" hidden="false" customHeight="false" outlineLevel="0" collapsed="false">
      <c r="B44" s="8" t="s">
        <v>148</v>
      </c>
      <c r="C44" s="16" t="n">
        <v>1618.9583326</v>
      </c>
      <c r="D44" s="16" t="n">
        <v>424.9550438</v>
      </c>
      <c r="G44" s="16" t="n">
        <v>1194.0032888</v>
      </c>
    </row>
    <row r="45" customFormat="false" ht="15" hidden="false" customHeight="false" outlineLevel="0" collapsed="false">
      <c r="B45" s="8" t="s">
        <v>75</v>
      </c>
      <c r="C45" s="16" t="n">
        <v>8812.556441</v>
      </c>
      <c r="D45" s="16" t="n">
        <v>2313.178933</v>
      </c>
      <c r="G45" s="16" t="n">
        <v>6499.377508</v>
      </c>
    </row>
    <row r="46" customFormat="false" ht="15" hidden="false" customHeight="false" outlineLevel="0" collapsed="false">
      <c r="B46" s="8" t="s">
        <v>149</v>
      </c>
      <c r="C46" s="16" t="n">
        <v>7576.40599</v>
      </c>
      <c r="D46" s="16" t="n">
        <v>1988.70587</v>
      </c>
      <c r="G46" s="16" t="n">
        <v>5587.70012</v>
      </c>
    </row>
    <row r="47" customFormat="false" ht="15" hidden="false" customHeight="false" outlineLevel="0" collapsed="false">
      <c r="B47" s="8" t="s">
        <v>150</v>
      </c>
      <c r="C47" s="16" t="n">
        <v>50642.29267</v>
      </c>
      <c r="D47" s="16" t="n">
        <v>13292.92871</v>
      </c>
      <c r="G47" s="16" t="n">
        <v>37349.36396</v>
      </c>
    </row>
    <row r="48" customFormat="false" ht="15" hidden="false" customHeight="false" outlineLevel="0" collapsed="false">
      <c r="A48" s="24"/>
      <c r="B48" s="25" t="s">
        <v>78</v>
      </c>
      <c r="C48" s="26" t="n">
        <f aca="false">SUM(C41:C47)</f>
        <v>398981.5145976</v>
      </c>
      <c r="D48" s="26" t="n">
        <f aca="false">SUM(D41:D47)</f>
        <v>104727.3444888</v>
      </c>
      <c r="E48" s="24"/>
      <c r="F48" s="26" t="n">
        <f aca="false">SUM(F41:F47)</f>
        <v>0</v>
      </c>
      <c r="G48" s="26" t="n">
        <f aca="false">SUM(G41:G47)</f>
        <v>294254.1701088</v>
      </c>
      <c r="H48" s="24"/>
    </row>
    <row r="50" customFormat="false" ht="15" hidden="false" customHeight="false" outlineLevel="0" collapsed="false">
      <c r="A50" s="27" t="s">
        <v>79</v>
      </c>
      <c r="B50" s="27"/>
      <c r="C50" s="27"/>
      <c r="D50" s="27"/>
      <c r="E50" s="27"/>
      <c r="F50" s="27"/>
      <c r="G50" s="27"/>
      <c r="H50" s="27"/>
      <c r="I50" s="27"/>
      <c r="J50" s="27"/>
    </row>
    <row r="51" customFormat="false" ht="15" hidden="false" customHeight="false" outlineLevel="0" collapsed="false">
      <c r="A51" s="28" t="s">
        <v>46</v>
      </c>
      <c r="B51" s="28"/>
      <c r="C51" s="28"/>
      <c r="D51" s="28"/>
      <c r="E51" s="28"/>
      <c r="F51" s="28"/>
      <c r="G51" s="28"/>
      <c r="H51" s="28"/>
      <c r="I51" s="28"/>
      <c r="J51" s="28"/>
    </row>
    <row r="52" customFormat="false" ht="15" hidden="false" customHeight="false" outlineLevel="0" collapsed="false">
      <c r="A52" s="29"/>
      <c r="B52" s="29" t="s">
        <v>80</v>
      </c>
      <c r="C52" s="30" t="s">
        <v>81</v>
      </c>
      <c r="D52" s="30" t="s">
        <v>82</v>
      </c>
      <c r="E52" s="30" t="s">
        <v>83</v>
      </c>
      <c r="F52" s="30" t="s">
        <v>84</v>
      </c>
      <c r="G52" s="30" t="s">
        <v>85</v>
      </c>
      <c r="H52" s="30" t="s">
        <v>86</v>
      </c>
      <c r="I52" s="30" t="s">
        <v>87</v>
      </c>
      <c r="J52" s="30" t="s">
        <v>88</v>
      </c>
    </row>
    <row r="53" customFormat="false" ht="15" hidden="false" customHeight="false" outlineLevel="0" collapsed="false">
      <c r="B53" s="31" t="s">
        <v>381</v>
      </c>
      <c r="C53" s="32" t="n">
        <v>64200.07181</v>
      </c>
      <c r="D53" s="32" t="n">
        <v>0</v>
      </c>
      <c r="E53" s="32" t="n">
        <v>3946.482</v>
      </c>
      <c r="F53" s="32" t="n">
        <v>1315.494</v>
      </c>
      <c r="G53" s="32" t="n">
        <v>5261.976</v>
      </c>
      <c r="H53" s="32" t="n">
        <v>54570.0610385</v>
      </c>
      <c r="I53" s="33" t="s">
        <v>90</v>
      </c>
      <c r="J53" s="34" t="n">
        <v>30</v>
      </c>
    </row>
    <row r="54" customFormat="false" ht="15" hidden="false" customHeight="false" outlineLevel="0" collapsed="false">
      <c r="B54" s="35" t="s">
        <v>382</v>
      </c>
      <c r="C54" s="36" t="n">
        <v>34452.709344</v>
      </c>
      <c r="D54" s="36" t="n">
        <v>0</v>
      </c>
      <c r="E54" s="36" t="n">
        <v>2137.67775</v>
      </c>
      <c r="F54" s="36" t="n">
        <v>723.5217</v>
      </c>
      <c r="G54" s="36" t="n">
        <v>2861.19945</v>
      </c>
      <c r="H54" s="36" t="n">
        <v>30318.38422272</v>
      </c>
      <c r="I54" s="37" t="s">
        <v>90</v>
      </c>
      <c r="J54" s="38" t="n">
        <v>30</v>
      </c>
    </row>
    <row r="55" customFormat="false" ht="15" hidden="false" customHeight="false" outlineLevel="0" collapsed="false">
      <c r="B55" s="31" t="s">
        <v>383</v>
      </c>
      <c r="C55" s="32" t="n">
        <v>231678.52001</v>
      </c>
      <c r="D55" s="32" t="n">
        <v>0</v>
      </c>
      <c r="E55" s="32" t="n">
        <v>14470.434</v>
      </c>
      <c r="F55" s="32" t="n">
        <v>4933.1025</v>
      </c>
      <c r="G55" s="32" t="n">
        <v>19403.5365</v>
      </c>
      <c r="H55" s="32" t="n">
        <v>208510.668009</v>
      </c>
      <c r="I55" s="33" t="s">
        <v>90</v>
      </c>
      <c r="J55" s="34" t="n">
        <v>30</v>
      </c>
    </row>
    <row r="56" customFormat="false" ht="15" hidden="false" customHeight="false" outlineLevel="0" collapsed="false">
      <c r="B56" s="35" t="s">
        <v>384</v>
      </c>
      <c r="C56" s="36" t="n">
        <v>1618.9583326</v>
      </c>
      <c r="D56" s="36" t="n">
        <v>0</v>
      </c>
      <c r="E56" s="36" t="n">
        <v>98.66205</v>
      </c>
      <c r="F56" s="36" t="n">
        <v>32.88735</v>
      </c>
      <c r="G56" s="36" t="n">
        <v>131.5494</v>
      </c>
      <c r="H56" s="36" t="n">
        <v>1424.683332688</v>
      </c>
      <c r="I56" s="37" t="s">
        <v>90</v>
      </c>
      <c r="J56" s="38" t="n">
        <v>30</v>
      </c>
    </row>
    <row r="57" customFormat="false" ht="15" hidden="false" customHeight="false" outlineLevel="0" collapsed="false">
      <c r="B57" s="31" t="s">
        <v>385</v>
      </c>
      <c r="C57" s="32" t="n">
        <v>8812.556441</v>
      </c>
      <c r="D57" s="32" t="n">
        <v>2256.014448896</v>
      </c>
      <c r="E57" s="32" t="n">
        <v>2256.014448896</v>
      </c>
      <c r="F57" s="32" t="n">
        <v>678.566845957</v>
      </c>
      <c r="G57" s="32" t="n">
        <v>2934.581294853</v>
      </c>
      <c r="H57" s="32" t="n">
        <v>5877.975146147</v>
      </c>
      <c r="I57" s="33" t="s">
        <v>95</v>
      </c>
      <c r="J57" s="34" t="n">
        <v>15</v>
      </c>
    </row>
    <row r="58" customFormat="false" ht="15" hidden="false" customHeight="false" outlineLevel="0" collapsed="false">
      <c r="B58" s="35" t="s">
        <v>386</v>
      </c>
      <c r="C58" s="36" t="n">
        <v>7576.40599</v>
      </c>
      <c r="D58" s="36" t="n">
        <v>0</v>
      </c>
      <c r="E58" s="36" t="n">
        <v>0</v>
      </c>
      <c r="F58" s="36" t="n">
        <v>0</v>
      </c>
      <c r="G58" s="36" t="n">
        <v>0</v>
      </c>
      <c r="H58" s="36" t="n">
        <v>7576.40599</v>
      </c>
      <c r="I58" s="37" t="s">
        <v>97</v>
      </c>
      <c r="J58" s="38" t="n">
        <v>5</v>
      </c>
    </row>
    <row r="59" customFormat="false" ht="15" hidden="false" customHeight="false" outlineLevel="0" collapsed="false">
      <c r="B59" s="31" t="s">
        <v>387</v>
      </c>
      <c r="C59" s="32" t="n">
        <v>50642.29267</v>
      </c>
      <c r="D59" s="32" t="n">
        <v>0</v>
      </c>
      <c r="E59" s="32" t="n">
        <v>1315.494</v>
      </c>
      <c r="F59" s="32" t="n">
        <v>2104.7904</v>
      </c>
      <c r="G59" s="32" t="n">
        <v>3420.2844</v>
      </c>
      <c r="H59" s="32" t="n">
        <v>45071.6404763</v>
      </c>
      <c r="I59" s="33" t="s">
        <v>97</v>
      </c>
      <c r="J59" s="34" t="n">
        <v>5</v>
      </c>
    </row>
    <row r="60" customFormat="false" ht="15" hidden="false" customHeight="false" outlineLevel="0" collapsed="false">
      <c r="A60" s="10"/>
      <c r="B60" s="11" t="s">
        <v>24</v>
      </c>
      <c r="C60" s="39" t="n">
        <f aca="false">SUM(C53:C59)</f>
        <v>398981.5145976</v>
      </c>
      <c r="D60" s="39" t="n">
        <f aca="false">SUM(D53:D59)</f>
        <v>2256.014448896</v>
      </c>
      <c r="E60" s="39" t="n">
        <f aca="false">SUM(E53:E59)</f>
        <v>24224.764248896</v>
      </c>
      <c r="F60" s="39" t="n">
        <f aca="false">SUM(F53:F59)</f>
        <v>9788.362795957</v>
      </c>
      <c r="G60" s="39" t="n">
        <f aca="false">SUM(G53:G59)</f>
        <v>34013.127044853</v>
      </c>
      <c r="H60" s="39" t="n">
        <f aca="false">SUM(H53:H59)</f>
        <v>353349.818215355</v>
      </c>
      <c r="I60" s="10"/>
      <c r="J60" s="10"/>
    </row>
    <row r="62" customFormat="false" ht="15" hidden="false" customHeight="false" outlineLevel="0" collapsed="false">
      <c r="A62" s="40" t="s">
        <v>99</v>
      </c>
      <c r="B62" s="40"/>
      <c r="C62" s="40"/>
      <c r="D62" s="40"/>
      <c r="E62" s="40"/>
      <c r="F62" s="40"/>
      <c r="G62" s="40"/>
      <c r="H62" s="40"/>
      <c r="I62" s="40"/>
      <c r="J62" s="40"/>
    </row>
    <row r="63" customFormat="false" ht="15" hidden="false" customHeight="false" outlineLevel="0" collapsed="false">
      <c r="A63" s="29"/>
      <c r="B63" s="29" t="s">
        <v>80</v>
      </c>
      <c r="C63" s="30" t="s">
        <v>81</v>
      </c>
      <c r="D63" s="30" t="s">
        <v>82</v>
      </c>
      <c r="E63" s="30" t="s">
        <v>83</v>
      </c>
      <c r="F63" s="30" t="s">
        <v>84</v>
      </c>
      <c r="G63" s="30" t="s">
        <v>85</v>
      </c>
      <c r="H63" s="30" t="s">
        <v>86</v>
      </c>
      <c r="I63" s="30" t="s">
        <v>87</v>
      </c>
      <c r="J63" s="30" t="s">
        <v>88</v>
      </c>
    </row>
    <row r="64" customFormat="false" ht="15" hidden="false" customHeight="false" outlineLevel="0" collapsed="false">
      <c r="B64" s="31" t="s">
        <v>388</v>
      </c>
      <c r="C64" s="32" t="n">
        <v>16747.84482</v>
      </c>
      <c r="D64" s="32" t="n">
        <v>16747.84482</v>
      </c>
      <c r="E64" s="32" t="n">
        <v>16747.84482</v>
      </c>
      <c r="F64" s="32" t="n">
        <v>0</v>
      </c>
      <c r="G64" s="32" t="n">
        <v>16747.84482</v>
      </c>
      <c r="H64" s="32" t="n">
        <v>0</v>
      </c>
      <c r="I64" s="33" t="s">
        <v>97</v>
      </c>
      <c r="J64" s="34" t="n">
        <v>5</v>
      </c>
    </row>
    <row r="65" customFormat="false" ht="15" hidden="false" customHeight="false" outlineLevel="0" collapsed="false">
      <c r="B65" s="35" t="s">
        <v>389</v>
      </c>
      <c r="C65" s="36" t="n">
        <v>47452.22699</v>
      </c>
      <c r="D65" s="36" t="n">
        <v>0</v>
      </c>
      <c r="E65" s="36" t="n">
        <v>8989.64413</v>
      </c>
      <c r="F65" s="36" t="n">
        <v>1600.89553</v>
      </c>
      <c r="G65" s="36" t="n">
        <v>10590.53966</v>
      </c>
      <c r="H65" s="36" t="n">
        <v>38910.8261318</v>
      </c>
      <c r="I65" s="37" t="s">
        <v>90</v>
      </c>
      <c r="J65" s="38" t="n">
        <v>30</v>
      </c>
    </row>
    <row r="66" customFormat="false" ht="15" hidden="false" customHeight="false" outlineLevel="0" collapsed="false">
      <c r="B66" s="31" t="s">
        <v>390</v>
      </c>
      <c r="C66" s="32" t="n">
        <v>9051.811367</v>
      </c>
      <c r="D66" s="32" t="n">
        <v>9051.811367</v>
      </c>
      <c r="E66" s="32" t="n">
        <v>9051.811367</v>
      </c>
      <c r="F66" s="32" t="n">
        <v>0</v>
      </c>
      <c r="G66" s="32" t="n">
        <v>9051.811367</v>
      </c>
      <c r="H66" s="32" t="n">
        <v>0</v>
      </c>
      <c r="I66" s="33" t="s">
        <v>97</v>
      </c>
      <c r="J66" s="34" t="n">
        <v>5</v>
      </c>
    </row>
    <row r="67" customFormat="false" ht="15" hidden="false" customHeight="false" outlineLevel="0" collapsed="false">
      <c r="B67" s="35" t="s">
        <v>391</v>
      </c>
      <c r="C67" s="36" t="n">
        <v>25400.897977</v>
      </c>
      <c r="D67" s="36" t="n">
        <v>0</v>
      </c>
      <c r="E67" s="36" t="n">
        <v>4802.68659</v>
      </c>
      <c r="F67" s="36" t="n">
        <v>849.706089</v>
      </c>
      <c r="G67" s="36" t="n">
        <v>5664.70726</v>
      </c>
      <c r="H67" s="36" t="n">
        <v>23622.83511861</v>
      </c>
      <c r="I67" s="37" t="s">
        <v>90</v>
      </c>
      <c r="J67" s="38" t="n">
        <v>30</v>
      </c>
    </row>
    <row r="68" customFormat="false" ht="15" hidden="false" customHeight="false" outlineLevel="0" collapsed="false">
      <c r="B68" s="31" t="s">
        <v>392</v>
      </c>
      <c r="C68" s="32" t="n">
        <v>60611.24792</v>
      </c>
      <c r="D68" s="32" t="n">
        <v>48648.50162</v>
      </c>
      <c r="E68" s="32" t="n">
        <v>50982.36534</v>
      </c>
      <c r="F68" s="32" t="n">
        <v>3940.66592</v>
      </c>
      <c r="G68" s="32" t="n">
        <v>54923.03126</v>
      </c>
      <c r="H68" s="32" t="n">
        <v>2909.33990016</v>
      </c>
      <c r="I68" s="33" t="s">
        <v>97</v>
      </c>
      <c r="J68" s="34" t="n">
        <v>5</v>
      </c>
    </row>
    <row r="69" customFormat="false" ht="15" hidden="false" customHeight="false" outlineLevel="0" collapsed="false">
      <c r="B69" s="35" t="s">
        <v>393</v>
      </c>
      <c r="C69" s="36" t="n">
        <v>169870.99746</v>
      </c>
      <c r="D69" s="36" t="n">
        <v>0</v>
      </c>
      <c r="E69" s="36" t="n">
        <v>4063.81173</v>
      </c>
      <c r="F69" s="36" t="n">
        <v>5664.70726</v>
      </c>
      <c r="G69" s="36" t="n">
        <v>9728.51899</v>
      </c>
      <c r="H69" s="36" t="n">
        <v>164774.8675362</v>
      </c>
      <c r="I69" s="37" t="s">
        <v>90</v>
      </c>
      <c r="J69" s="38" t="n">
        <v>30</v>
      </c>
    </row>
    <row r="70" customFormat="false" ht="15" hidden="false" customHeight="false" outlineLevel="0" collapsed="false">
      <c r="B70" s="31" t="s">
        <v>394</v>
      </c>
      <c r="C70" s="32" t="n">
        <v>422.6837026</v>
      </c>
      <c r="D70" s="32" t="n">
        <v>422.6837026</v>
      </c>
      <c r="E70" s="32" t="n">
        <v>422.6837026</v>
      </c>
      <c r="F70" s="32" t="n">
        <v>0</v>
      </c>
      <c r="G70" s="32" t="n">
        <v>422.6837026</v>
      </c>
      <c r="H70" s="32" t="n">
        <v>0</v>
      </c>
      <c r="I70" s="33" t="s">
        <v>97</v>
      </c>
      <c r="J70" s="34" t="n">
        <v>5</v>
      </c>
    </row>
    <row r="71" customFormat="false" ht="15" hidden="false" customHeight="false" outlineLevel="0" collapsed="false">
      <c r="B71" s="35" t="s">
        <v>395</v>
      </c>
      <c r="C71" s="36" t="n">
        <v>1196.27463</v>
      </c>
      <c r="D71" s="36" t="n">
        <v>0</v>
      </c>
      <c r="E71" s="36" t="n">
        <v>123.14581</v>
      </c>
      <c r="F71" s="36" t="n">
        <v>36.943743</v>
      </c>
      <c r="G71" s="36" t="n">
        <v>160.089553</v>
      </c>
      <c r="H71" s="36" t="n">
        <v>1160.3863911</v>
      </c>
      <c r="I71" s="37" t="s">
        <v>90</v>
      </c>
      <c r="J71" s="38" t="n">
        <v>30</v>
      </c>
    </row>
    <row r="72" customFormat="false" ht="15" hidden="false" customHeight="false" outlineLevel="0" collapsed="false">
      <c r="B72" s="31" t="s">
        <v>396</v>
      </c>
      <c r="C72" s="32" t="n">
        <v>2312.797618</v>
      </c>
      <c r="D72" s="32" t="n">
        <v>2312.797618</v>
      </c>
      <c r="E72" s="32" t="n">
        <v>2312.797618</v>
      </c>
      <c r="F72" s="32" t="n">
        <v>0</v>
      </c>
      <c r="G72" s="32" t="n">
        <v>2312.797618</v>
      </c>
      <c r="H72" s="32" t="n">
        <v>0</v>
      </c>
      <c r="I72" s="33" t="s">
        <v>97</v>
      </c>
      <c r="J72" s="34" t="n">
        <v>5</v>
      </c>
    </row>
    <row r="73" customFormat="false" ht="15" hidden="false" customHeight="false" outlineLevel="0" collapsed="false">
      <c r="B73" s="35" t="s">
        <v>397</v>
      </c>
      <c r="C73" s="36" t="n">
        <v>6499.758823</v>
      </c>
      <c r="D73" s="36" t="n">
        <v>0</v>
      </c>
      <c r="E73" s="36" t="n">
        <v>1169.885195</v>
      </c>
      <c r="F73" s="36" t="n">
        <v>216.7366256</v>
      </c>
      <c r="G73" s="36" t="n">
        <v>1391.547653</v>
      </c>
      <c r="H73" s="36" t="n">
        <v>6044.77570539</v>
      </c>
      <c r="I73" s="37" t="s">
        <v>90</v>
      </c>
      <c r="J73" s="38" t="n">
        <v>30</v>
      </c>
    </row>
    <row r="74" customFormat="false" ht="15" hidden="false" customHeight="false" outlineLevel="0" collapsed="false">
      <c r="B74" s="31" t="s">
        <v>398</v>
      </c>
      <c r="C74" s="32" t="n">
        <v>1993.79105</v>
      </c>
      <c r="D74" s="32" t="n">
        <v>1993.79105</v>
      </c>
      <c r="E74" s="32" t="n">
        <v>1993.79105</v>
      </c>
      <c r="F74" s="32" t="n">
        <v>0</v>
      </c>
      <c r="G74" s="32" t="n">
        <v>1993.79105</v>
      </c>
      <c r="H74" s="32" t="n">
        <v>0</v>
      </c>
      <c r="I74" s="33" t="s">
        <v>97</v>
      </c>
      <c r="J74" s="34" t="n">
        <v>5</v>
      </c>
    </row>
    <row r="75" customFormat="false" ht="15" hidden="false" customHeight="false" outlineLevel="0" collapsed="false">
      <c r="B75" s="35" t="s">
        <v>399</v>
      </c>
      <c r="C75" s="36" t="n">
        <v>5582.61494</v>
      </c>
      <c r="D75" s="36" t="n">
        <v>0</v>
      </c>
      <c r="E75" s="36" t="n">
        <v>197.033296</v>
      </c>
      <c r="F75" s="36" t="n">
        <v>184.718715</v>
      </c>
      <c r="G75" s="36" t="n">
        <v>381.752011</v>
      </c>
      <c r="H75" s="36" t="n">
        <v>5470.9626412</v>
      </c>
      <c r="I75" s="37" t="s">
        <v>90</v>
      </c>
      <c r="J75" s="38" t="n">
        <v>30</v>
      </c>
    </row>
    <row r="76" customFormat="false" ht="15" hidden="false" customHeight="false" outlineLevel="0" collapsed="false">
      <c r="B76" s="31" t="s">
        <v>400</v>
      </c>
      <c r="C76" s="32" t="n">
        <v>13358.400035</v>
      </c>
      <c r="D76" s="32" t="n">
        <v>10686.720028</v>
      </c>
      <c r="E76" s="32" t="n">
        <v>11969.772732</v>
      </c>
      <c r="F76" s="32" t="n">
        <v>911.278994</v>
      </c>
      <c r="G76" s="32" t="n">
        <v>12881.051726</v>
      </c>
      <c r="H76" s="32" t="n">
        <v>146.942400385</v>
      </c>
      <c r="I76" s="33" t="s">
        <v>97</v>
      </c>
      <c r="J76" s="34" t="n">
        <v>5</v>
      </c>
    </row>
    <row r="77" customFormat="false" ht="15" hidden="false" customHeight="false" outlineLevel="0" collapsed="false">
      <c r="B77" s="35" t="s">
        <v>401</v>
      </c>
      <c r="C77" s="36" t="n">
        <v>37283.892635</v>
      </c>
      <c r="D77" s="36" t="n">
        <v>0</v>
      </c>
      <c r="E77" s="36" t="n">
        <v>1009.795642</v>
      </c>
      <c r="F77" s="36" t="n">
        <v>1428.491396</v>
      </c>
      <c r="G77" s="36" t="n">
        <v>2438.287038</v>
      </c>
      <c r="H77" s="36" t="n">
        <v>36538.2147823</v>
      </c>
      <c r="I77" s="37" t="s">
        <v>90</v>
      </c>
      <c r="J77" s="38" t="n">
        <v>30</v>
      </c>
    </row>
    <row r="78" customFormat="false" ht="15" hidden="false" customHeight="false" outlineLevel="0" collapsed="false">
      <c r="A78" s="10"/>
      <c r="B78" s="11" t="s">
        <v>24</v>
      </c>
      <c r="C78" s="39" t="n">
        <f aca="false">SUM(C64:C77)</f>
        <v>397785.2399676</v>
      </c>
      <c r="D78" s="39" t="n">
        <f aca="false">SUM(D64:D77)</f>
        <v>89864.1502056</v>
      </c>
      <c r="E78" s="39" t="n">
        <f aca="false">SUM(E64:E77)</f>
        <v>113837.0690226</v>
      </c>
      <c r="F78" s="39" t="n">
        <f aca="false">SUM(F64:F77)</f>
        <v>14834.1442726</v>
      </c>
      <c r="G78" s="39" t="n">
        <f aca="false">SUM(G64:G77)</f>
        <v>128688.4537086</v>
      </c>
      <c r="H78" s="39" t="n">
        <f aca="false">SUM(H64:H77)</f>
        <v>279579.150607145</v>
      </c>
      <c r="I78" s="10"/>
      <c r="J78" s="10"/>
    </row>
    <row r="80" customFormat="false" ht="15" hidden="false" customHeight="false" outlineLevel="0" collapsed="false">
      <c r="A80" s="27" t="s">
        <v>48</v>
      </c>
      <c r="B80" s="27"/>
      <c r="C80" s="27"/>
      <c r="D80" s="27"/>
      <c r="E80" s="27"/>
    </row>
    <row r="81" customFormat="false" ht="15" hidden="false" customHeight="false" outlineLevel="0" collapsed="false">
      <c r="B81" s="8" t="s">
        <v>114</v>
      </c>
      <c r="C81" s="41" t="n">
        <f aca="false">G60</f>
        <v>34013.127044853</v>
      </c>
    </row>
    <row r="82" customFormat="false" ht="15" hidden="false" customHeight="false" outlineLevel="0" collapsed="false">
      <c r="B82" s="8" t="s">
        <v>115</v>
      </c>
      <c r="C82" s="41" t="n">
        <f aca="false">G78</f>
        <v>128688.4537086</v>
      </c>
    </row>
    <row r="83" customFormat="false" ht="15" hidden="false" customHeight="false" outlineLevel="0" collapsed="false">
      <c r="B83" s="17" t="s">
        <v>48</v>
      </c>
      <c r="C83" s="42" t="n">
        <f aca="false">C82-C81</f>
        <v>94675.326663747</v>
      </c>
    </row>
  </sheetData>
  <mergeCells count="11">
    <mergeCell ref="A2:J2"/>
    <mergeCell ref="A3:J3"/>
    <mergeCell ref="A4:J4"/>
    <mergeCell ref="A8:J8"/>
    <mergeCell ref="B10:J10"/>
    <mergeCell ref="B22:J22"/>
    <mergeCell ref="B40:J40"/>
    <mergeCell ref="A50:J50"/>
    <mergeCell ref="A51:J51"/>
    <mergeCell ref="A62:J62"/>
    <mergeCell ref="A80:E8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402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50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51</v>
      </c>
      <c r="C6" s="8" t="s">
        <v>26</v>
      </c>
    </row>
    <row r="8" customFormat="false" ht="15" hidden="false" customHeight="false" outlineLevel="0" collapsed="false">
      <c r="A8" s="21" t="s">
        <v>403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53</v>
      </c>
      <c r="C9" s="23" t="s">
        <v>54</v>
      </c>
      <c r="D9" s="23" t="s">
        <v>55</v>
      </c>
      <c r="E9" s="23" t="s">
        <v>56</v>
      </c>
      <c r="F9" s="23" t="s">
        <v>57</v>
      </c>
      <c r="G9" s="23" t="s">
        <v>58</v>
      </c>
      <c r="H9" s="23" t="s">
        <v>59</v>
      </c>
    </row>
    <row r="10" customFormat="false" ht="15" hidden="false" customHeight="false" outlineLevel="0" collapsed="false">
      <c r="A10" s="5"/>
      <c r="B10" s="6" t="s">
        <v>118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119</v>
      </c>
      <c r="C11" s="16" t="n">
        <v>31452.73</v>
      </c>
      <c r="D11" s="16" t="n">
        <v>31452.73</v>
      </c>
    </row>
    <row r="12" customFormat="false" ht="15" hidden="false" customHeight="false" outlineLevel="0" collapsed="false">
      <c r="B12" s="8" t="s">
        <v>120</v>
      </c>
      <c r="C12" s="16" t="n">
        <v>8394.17</v>
      </c>
      <c r="D12" s="16" t="n">
        <v>8394.17</v>
      </c>
    </row>
    <row r="13" customFormat="false" ht="15" hidden="false" customHeight="false" outlineLevel="0" collapsed="false">
      <c r="B13" s="8" t="s">
        <v>121</v>
      </c>
      <c r="C13" s="16" t="n">
        <v>32815.89</v>
      </c>
      <c r="D13" s="16" t="n">
        <v>32815.89</v>
      </c>
    </row>
    <row r="14" customFormat="false" ht="15" hidden="false" customHeight="false" outlineLevel="0" collapsed="false">
      <c r="B14" s="8" t="s">
        <v>122</v>
      </c>
      <c r="C14" s="16" t="n">
        <v>2648.72</v>
      </c>
      <c r="D14" s="16" t="n">
        <v>2648.72</v>
      </c>
    </row>
    <row r="15" customFormat="false" ht="15" hidden="false" customHeight="false" outlineLevel="0" collapsed="false">
      <c r="B15" s="8" t="s">
        <v>123</v>
      </c>
      <c r="C15" s="16" t="n">
        <v>0.394</v>
      </c>
      <c r="D15" s="16" t="n">
        <v>0.394</v>
      </c>
    </row>
    <row r="16" customFormat="false" ht="15" hidden="false" customHeight="false" outlineLevel="0" collapsed="false">
      <c r="B16" s="8" t="s">
        <v>124</v>
      </c>
      <c r="C16" s="16" t="n">
        <v>5344.3</v>
      </c>
      <c r="D16" s="16" t="n">
        <v>5344.3</v>
      </c>
    </row>
    <row r="17" customFormat="false" ht="15" hidden="false" customHeight="false" outlineLevel="0" collapsed="false">
      <c r="B17" s="8" t="s">
        <v>125</v>
      </c>
      <c r="C17" s="16" t="n">
        <v>2858.97</v>
      </c>
      <c r="D17" s="16" t="n">
        <v>2858.97</v>
      </c>
    </row>
    <row r="18" customFormat="false" ht="15" hidden="false" customHeight="false" outlineLevel="0" collapsed="false">
      <c r="B18" s="8" t="s">
        <v>126</v>
      </c>
      <c r="C18" s="16" t="n">
        <v>9687.68</v>
      </c>
      <c r="D18" s="16" t="n">
        <v>9687.68</v>
      </c>
    </row>
    <row r="19" customFormat="false" ht="15" hidden="false" customHeight="false" outlineLevel="0" collapsed="false">
      <c r="B19" s="8" t="s">
        <v>127</v>
      </c>
      <c r="C19" s="16" t="n">
        <v>2139.23</v>
      </c>
      <c r="D19" s="16" t="n">
        <v>2139.23</v>
      </c>
    </row>
    <row r="20" customFormat="false" ht="15" hidden="false" customHeight="false" outlineLevel="0" collapsed="false">
      <c r="B20" s="8" t="s">
        <v>128</v>
      </c>
      <c r="C20" s="16" t="n">
        <v>605.69</v>
      </c>
      <c r="D20" s="16" t="n">
        <v>605.69</v>
      </c>
    </row>
    <row r="21" customFormat="false" ht="15" hidden="false" customHeight="false" outlineLevel="0" collapsed="false">
      <c r="B21" s="8" t="s">
        <v>129</v>
      </c>
      <c r="C21" s="16" t="n">
        <v>8326.94</v>
      </c>
      <c r="D21" s="16" t="n">
        <v>8326.94</v>
      </c>
    </row>
    <row r="22" customFormat="false" ht="15" hidden="false" customHeight="false" outlineLevel="0" collapsed="false">
      <c r="A22" s="5"/>
      <c r="B22" s="6" t="s">
        <v>130</v>
      </c>
      <c r="C22" s="6"/>
      <c r="D22" s="6"/>
      <c r="E22" s="6"/>
      <c r="F22" s="6"/>
      <c r="G22" s="6"/>
      <c r="H22" s="6"/>
      <c r="I22" s="6"/>
      <c r="J22" s="6"/>
    </row>
    <row r="23" customFormat="false" ht="15" hidden="false" customHeight="false" outlineLevel="0" collapsed="false">
      <c r="B23" s="8" t="s">
        <v>131</v>
      </c>
      <c r="C23" s="16" t="n">
        <v>25000</v>
      </c>
      <c r="G23" s="16" t="n">
        <v>25000</v>
      </c>
    </row>
    <row r="24" customFormat="false" ht="15" hidden="false" customHeight="false" outlineLevel="0" collapsed="false">
      <c r="B24" s="8" t="s">
        <v>132</v>
      </c>
      <c r="C24" s="16" t="n">
        <v>32000</v>
      </c>
      <c r="G24" s="16" t="n">
        <v>32000</v>
      </c>
    </row>
    <row r="25" customFormat="false" ht="15" hidden="false" customHeight="false" outlineLevel="0" collapsed="false">
      <c r="B25" s="8" t="s">
        <v>133</v>
      </c>
      <c r="C25" s="16" t="n">
        <v>33000</v>
      </c>
      <c r="G25" s="16" t="n">
        <v>33000</v>
      </c>
    </row>
    <row r="26" customFormat="false" ht="15" hidden="false" customHeight="false" outlineLevel="0" collapsed="false">
      <c r="B26" s="8" t="s">
        <v>134</v>
      </c>
      <c r="C26" s="16" t="n">
        <v>27000</v>
      </c>
      <c r="G26" s="16" t="n">
        <v>27000</v>
      </c>
    </row>
    <row r="27" customFormat="false" ht="15" hidden="false" customHeight="false" outlineLevel="0" collapsed="false">
      <c r="B27" s="8" t="s">
        <v>135</v>
      </c>
      <c r="C27" s="16" t="n">
        <v>2200</v>
      </c>
      <c r="G27" s="16" t="n">
        <v>2200</v>
      </c>
    </row>
    <row r="28" customFormat="false" ht="15" hidden="false" customHeight="false" outlineLevel="0" collapsed="false">
      <c r="B28" s="8" t="s">
        <v>136</v>
      </c>
      <c r="C28" s="16" t="n">
        <v>20000</v>
      </c>
      <c r="G28" s="16" t="n">
        <v>20000</v>
      </c>
    </row>
    <row r="29" customFormat="false" ht="15" hidden="false" customHeight="false" outlineLevel="0" collapsed="false">
      <c r="B29" s="8" t="s">
        <v>137</v>
      </c>
      <c r="C29" s="16" t="n">
        <v>18000</v>
      </c>
      <c r="G29" s="16" t="n">
        <v>18000</v>
      </c>
    </row>
    <row r="30" customFormat="false" ht="15" hidden="false" customHeight="false" outlineLevel="0" collapsed="false">
      <c r="B30" s="8" t="s">
        <v>138</v>
      </c>
      <c r="C30" s="16" t="n">
        <v>16000</v>
      </c>
      <c r="G30" s="16" t="n">
        <v>16000</v>
      </c>
    </row>
    <row r="31" customFormat="false" ht="15" hidden="false" customHeight="false" outlineLevel="0" collapsed="false">
      <c r="B31" s="8" t="s">
        <v>139</v>
      </c>
      <c r="C31" s="16" t="n">
        <v>15000</v>
      </c>
      <c r="G31" s="16" t="n">
        <v>15000</v>
      </c>
    </row>
    <row r="32" customFormat="false" ht="15" hidden="false" customHeight="false" outlineLevel="0" collapsed="false">
      <c r="B32" s="8" t="s">
        <v>140</v>
      </c>
      <c r="C32" s="16" t="n">
        <v>40000</v>
      </c>
      <c r="G32" s="16" t="n">
        <v>40000</v>
      </c>
    </row>
    <row r="33" customFormat="false" ht="15" hidden="false" customHeight="false" outlineLevel="0" collapsed="false">
      <c r="B33" s="8" t="s">
        <v>141</v>
      </c>
      <c r="C33" s="16" t="n">
        <v>17000</v>
      </c>
      <c r="G33" s="16" t="n">
        <v>17000</v>
      </c>
    </row>
    <row r="34" customFormat="false" ht="15" hidden="false" customHeight="false" outlineLevel="0" collapsed="false">
      <c r="B34" s="8" t="s">
        <v>142</v>
      </c>
      <c r="C34" s="16" t="n">
        <v>1400</v>
      </c>
      <c r="G34" s="16" t="n">
        <v>1400</v>
      </c>
    </row>
    <row r="35" customFormat="false" ht="15" hidden="false" customHeight="false" outlineLevel="0" collapsed="false">
      <c r="B35" s="8" t="s">
        <v>143</v>
      </c>
      <c r="C35" s="16" t="n">
        <v>44000</v>
      </c>
      <c r="G35" s="16" t="n">
        <v>44000</v>
      </c>
    </row>
    <row r="36" customFormat="false" ht="15" hidden="false" customHeight="false" outlineLevel="0" collapsed="false">
      <c r="B36" s="8" t="s">
        <v>144</v>
      </c>
      <c r="C36" s="16" t="n">
        <v>9000</v>
      </c>
      <c r="G36" s="16" t="n">
        <v>9000</v>
      </c>
    </row>
    <row r="37" customFormat="false" ht="15" hidden="false" customHeight="false" outlineLevel="0" collapsed="false">
      <c r="B37" s="8" t="s">
        <v>145</v>
      </c>
      <c r="C37" s="16" t="n">
        <v>3500</v>
      </c>
      <c r="G37" s="16" t="n">
        <v>3500</v>
      </c>
    </row>
    <row r="38" customFormat="false" ht="15" hidden="false" customHeight="false" outlineLevel="0" collapsed="false">
      <c r="A38" s="24"/>
      <c r="B38" s="25" t="s">
        <v>69</v>
      </c>
      <c r="C38" s="26" t="n">
        <f aca="false">SUM(C10:C37)</f>
        <v>407374.714</v>
      </c>
      <c r="D38" s="26" t="n">
        <f aca="false">SUM(D10:D37)</f>
        <v>104274.714</v>
      </c>
      <c r="E38" s="26" t="n">
        <f aca="false">SUM(E10:E37)</f>
        <v>0</v>
      </c>
      <c r="F38" s="26" t="n">
        <f aca="false">SUM(F10:F37)</f>
        <v>0</v>
      </c>
      <c r="G38" s="26" t="n">
        <f aca="false">SUM(G10:G37)</f>
        <v>303100</v>
      </c>
      <c r="H38" s="24"/>
    </row>
    <row r="40" customFormat="false" ht="15" hidden="false" customHeight="false" outlineLevel="0" collapsed="false">
      <c r="A40" s="5"/>
      <c r="B40" s="6" t="s">
        <v>70</v>
      </c>
      <c r="C40" s="6"/>
      <c r="D40" s="6"/>
      <c r="E40" s="6"/>
      <c r="F40" s="6"/>
      <c r="G40" s="6"/>
      <c r="H40" s="6"/>
      <c r="I40" s="6"/>
      <c r="J40" s="6"/>
    </row>
    <row r="41" customFormat="false" ht="15" hidden="false" customHeight="false" outlineLevel="0" collapsed="false">
      <c r="B41" s="8" t="s">
        <v>71</v>
      </c>
      <c r="C41" s="16" t="n">
        <v>72192.64633</v>
      </c>
      <c r="D41" s="16" t="n">
        <v>18009.14283</v>
      </c>
      <c r="G41" s="16" t="n">
        <v>54183.5035</v>
      </c>
    </row>
    <row r="42" customFormat="false" ht="15" hidden="false" customHeight="false" outlineLevel="0" collapsed="false">
      <c r="B42" s="8" t="s">
        <v>146</v>
      </c>
      <c r="C42" s="16" t="n">
        <v>38741.892192</v>
      </c>
      <c r="D42" s="16" t="n">
        <v>9664.533792</v>
      </c>
      <c r="G42" s="16" t="n">
        <v>29077.3584</v>
      </c>
    </row>
    <row r="43" customFormat="false" ht="15" hidden="false" customHeight="false" outlineLevel="0" collapsed="false">
      <c r="B43" s="8" t="s">
        <v>147</v>
      </c>
      <c r="C43" s="16" t="n">
        <v>260521.28893</v>
      </c>
      <c r="D43" s="16" t="n">
        <v>64989.51543</v>
      </c>
      <c r="G43" s="16" t="n">
        <v>195531.7735</v>
      </c>
    </row>
    <row r="44" customFormat="false" ht="15" hidden="false" customHeight="false" outlineLevel="0" collapsed="false">
      <c r="B44" s="8" t="s">
        <v>148</v>
      </c>
      <c r="C44" s="16" t="n">
        <v>1820.5102118</v>
      </c>
      <c r="D44" s="16" t="n">
        <v>454.1436018</v>
      </c>
      <c r="G44" s="16" t="n">
        <v>1366.36661</v>
      </c>
    </row>
    <row r="45" customFormat="false" ht="15" hidden="false" customHeight="false" outlineLevel="0" collapsed="false">
      <c r="B45" s="8" t="s">
        <v>75</v>
      </c>
      <c r="C45" s="16" t="n">
        <v>9909.673813</v>
      </c>
      <c r="D45" s="16" t="n">
        <v>2472.062463</v>
      </c>
      <c r="G45" s="16" t="n">
        <v>7437.61135</v>
      </c>
    </row>
    <row r="46" customFormat="false" ht="15" hidden="false" customHeight="false" outlineLevel="0" collapsed="false">
      <c r="B46" s="8" t="s">
        <v>149</v>
      </c>
      <c r="C46" s="16" t="n">
        <v>8519.62907</v>
      </c>
      <c r="D46" s="16" t="n">
        <v>2125.30257</v>
      </c>
      <c r="G46" s="16" t="n">
        <v>6394.3265</v>
      </c>
    </row>
    <row r="47" customFormat="false" ht="15" hidden="false" customHeight="false" outlineLevel="0" collapsed="false">
      <c r="B47" s="8" t="s">
        <v>150</v>
      </c>
      <c r="C47" s="16" t="n">
        <v>56946.99431</v>
      </c>
      <c r="D47" s="16" t="n">
        <v>14205.96981</v>
      </c>
      <c r="G47" s="16" t="n">
        <v>42741.0245</v>
      </c>
    </row>
    <row r="48" customFormat="false" ht="15" hidden="false" customHeight="false" outlineLevel="0" collapsed="false">
      <c r="A48" s="24"/>
      <c r="B48" s="25" t="s">
        <v>78</v>
      </c>
      <c r="C48" s="26" t="n">
        <f aca="false">SUM(C41:C47)</f>
        <v>448652.6348568</v>
      </c>
      <c r="D48" s="26" t="n">
        <f aca="false">SUM(D41:D47)</f>
        <v>111920.6704968</v>
      </c>
      <c r="E48" s="24"/>
      <c r="F48" s="26" t="n">
        <f aca="false">SUM(F41:F47)</f>
        <v>0</v>
      </c>
      <c r="G48" s="26" t="n">
        <f aca="false">SUM(G41:G47)</f>
        <v>336731.96436</v>
      </c>
      <c r="H48" s="24"/>
    </row>
    <row r="50" customFormat="false" ht="15" hidden="false" customHeight="false" outlineLevel="0" collapsed="false">
      <c r="A50" s="27" t="s">
        <v>79</v>
      </c>
      <c r="B50" s="27"/>
      <c r="C50" s="27"/>
      <c r="D50" s="27"/>
      <c r="E50" s="27"/>
      <c r="F50" s="27"/>
      <c r="G50" s="27"/>
      <c r="H50" s="27"/>
      <c r="I50" s="27"/>
      <c r="J50" s="27"/>
    </row>
    <row r="51" customFormat="false" ht="15" hidden="false" customHeight="false" outlineLevel="0" collapsed="false">
      <c r="A51" s="28" t="s">
        <v>46</v>
      </c>
      <c r="B51" s="28"/>
      <c r="C51" s="28"/>
      <c r="D51" s="28"/>
      <c r="E51" s="28"/>
      <c r="F51" s="28"/>
      <c r="G51" s="28"/>
      <c r="H51" s="28"/>
      <c r="I51" s="28"/>
      <c r="J51" s="28"/>
    </row>
    <row r="52" customFormat="false" ht="15" hidden="false" customHeight="false" outlineLevel="0" collapsed="false">
      <c r="A52" s="29"/>
      <c r="B52" s="29" t="s">
        <v>80</v>
      </c>
      <c r="C52" s="30" t="s">
        <v>81</v>
      </c>
      <c r="D52" s="30" t="s">
        <v>82</v>
      </c>
      <c r="E52" s="30" t="s">
        <v>83</v>
      </c>
      <c r="F52" s="30" t="s">
        <v>84</v>
      </c>
      <c r="G52" s="30" t="s">
        <v>85</v>
      </c>
      <c r="H52" s="30" t="s">
        <v>86</v>
      </c>
      <c r="I52" s="30" t="s">
        <v>87</v>
      </c>
      <c r="J52" s="30" t="s">
        <v>88</v>
      </c>
    </row>
    <row r="53" customFormat="false" ht="15" hidden="false" customHeight="false" outlineLevel="0" collapsed="false">
      <c r="B53" s="31" t="s">
        <v>404</v>
      </c>
      <c r="C53" s="32" t="n">
        <v>72192.64633</v>
      </c>
      <c r="D53" s="32" t="n">
        <v>0</v>
      </c>
      <c r="E53" s="32" t="n">
        <v>4437.7968</v>
      </c>
      <c r="F53" s="32" t="n">
        <v>1479.2656</v>
      </c>
      <c r="G53" s="32" t="n">
        <v>5917.0624</v>
      </c>
      <c r="H53" s="32" t="n">
        <v>61363.7493805</v>
      </c>
      <c r="I53" s="33" t="s">
        <v>90</v>
      </c>
      <c r="J53" s="34" t="n">
        <v>30</v>
      </c>
    </row>
    <row r="54" customFormat="false" ht="15" hidden="false" customHeight="false" outlineLevel="0" collapsed="false">
      <c r="B54" s="35" t="s">
        <v>405</v>
      </c>
      <c r="C54" s="36" t="n">
        <v>38741.892192</v>
      </c>
      <c r="D54" s="36" t="n">
        <v>0</v>
      </c>
      <c r="E54" s="36" t="n">
        <v>2403.8066</v>
      </c>
      <c r="F54" s="36" t="n">
        <v>813.59608</v>
      </c>
      <c r="G54" s="36" t="n">
        <v>3217.40268</v>
      </c>
      <c r="H54" s="36" t="n">
        <v>34092.86512896</v>
      </c>
      <c r="I54" s="37" t="s">
        <v>90</v>
      </c>
      <c r="J54" s="38" t="n">
        <v>30</v>
      </c>
    </row>
    <row r="55" customFormat="false" ht="15" hidden="false" customHeight="false" outlineLevel="0" collapsed="false">
      <c r="B55" s="31" t="s">
        <v>406</v>
      </c>
      <c r="C55" s="32" t="n">
        <v>260521.28893</v>
      </c>
      <c r="D55" s="32" t="n">
        <v>0</v>
      </c>
      <c r="E55" s="32" t="n">
        <v>16271.9216</v>
      </c>
      <c r="F55" s="32" t="n">
        <v>5547.246</v>
      </c>
      <c r="G55" s="32" t="n">
        <v>21819.1676</v>
      </c>
      <c r="H55" s="32" t="n">
        <v>234469.160037</v>
      </c>
      <c r="I55" s="33" t="s">
        <v>90</v>
      </c>
      <c r="J55" s="34" t="n">
        <v>30</v>
      </c>
    </row>
    <row r="56" customFormat="false" ht="15" hidden="false" customHeight="false" outlineLevel="0" collapsed="false">
      <c r="B56" s="35" t="s">
        <v>407</v>
      </c>
      <c r="C56" s="36" t="n">
        <v>1820.5102118</v>
      </c>
      <c r="D56" s="36" t="n">
        <v>0</v>
      </c>
      <c r="E56" s="36" t="n">
        <v>110.94492</v>
      </c>
      <c r="F56" s="36" t="n">
        <v>36.98164</v>
      </c>
      <c r="G56" s="36" t="n">
        <v>147.92656</v>
      </c>
      <c r="H56" s="36" t="n">
        <v>1602.048986384</v>
      </c>
      <c r="I56" s="37" t="s">
        <v>90</v>
      </c>
      <c r="J56" s="38" t="n">
        <v>30</v>
      </c>
    </row>
    <row r="57" customFormat="false" ht="15" hidden="false" customHeight="false" outlineLevel="0" collapsed="false">
      <c r="B57" s="31" t="s">
        <v>408</v>
      </c>
      <c r="C57" s="32" t="n">
        <v>9909.673813</v>
      </c>
      <c r="D57" s="32" t="n">
        <v>2536.876496128</v>
      </c>
      <c r="E57" s="32" t="n">
        <v>2536.876496128</v>
      </c>
      <c r="F57" s="32" t="n">
        <v>763.044883601</v>
      </c>
      <c r="G57" s="32" t="n">
        <v>3299.921379729</v>
      </c>
      <c r="H57" s="32" t="n">
        <v>6609.752433271</v>
      </c>
      <c r="I57" s="33" t="s">
        <v>95</v>
      </c>
      <c r="J57" s="34" t="n">
        <v>15</v>
      </c>
    </row>
    <row r="58" customFormat="false" ht="15" hidden="false" customHeight="false" outlineLevel="0" collapsed="false">
      <c r="B58" s="35" t="s">
        <v>409</v>
      </c>
      <c r="C58" s="36" t="n">
        <v>8519.62907</v>
      </c>
      <c r="D58" s="36" t="n">
        <v>0</v>
      </c>
      <c r="E58" s="36" t="n">
        <v>0</v>
      </c>
      <c r="F58" s="36" t="n">
        <v>0</v>
      </c>
      <c r="G58" s="36" t="n">
        <v>0</v>
      </c>
      <c r="H58" s="36" t="n">
        <v>8519.62907</v>
      </c>
      <c r="I58" s="37" t="s">
        <v>97</v>
      </c>
      <c r="J58" s="38" t="n">
        <v>5</v>
      </c>
    </row>
    <row r="59" customFormat="false" ht="15" hidden="false" customHeight="false" outlineLevel="0" collapsed="false">
      <c r="B59" s="31" t="s">
        <v>410</v>
      </c>
      <c r="C59" s="32" t="n">
        <v>56946.99431</v>
      </c>
      <c r="D59" s="32" t="n">
        <v>0</v>
      </c>
      <c r="E59" s="32" t="n">
        <v>1479.2656</v>
      </c>
      <c r="F59" s="32" t="n">
        <v>2366.82496</v>
      </c>
      <c r="G59" s="32" t="n">
        <v>3846.09056</v>
      </c>
      <c r="H59" s="32" t="n">
        <v>50682.8249359</v>
      </c>
      <c r="I59" s="33" t="s">
        <v>97</v>
      </c>
      <c r="J59" s="34" t="n">
        <v>5</v>
      </c>
    </row>
    <row r="60" customFormat="false" ht="15" hidden="false" customHeight="false" outlineLevel="0" collapsed="false">
      <c r="A60" s="10"/>
      <c r="B60" s="11" t="s">
        <v>24</v>
      </c>
      <c r="C60" s="39" t="n">
        <f aca="false">SUM(C53:C59)</f>
        <v>448652.6348568</v>
      </c>
      <c r="D60" s="39" t="n">
        <f aca="false">SUM(D53:D59)</f>
        <v>2536.876496128</v>
      </c>
      <c r="E60" s="39" t="n">
        <f aca="false">SUM(E53:E59)</f>
        <v>27240.612016128</v>
      </c>
      <c r="F60" s="39" t="n">
        <f aca="false">SUM(F53:F59)</f>
        <v>11006.959163601</v>
      </c>
      <c r="G60" s="39" t="n">
        <f aca="false">SUM(G53:G59)</f>
        <v>38247.571179729</v>
      </c>
      <c r="H60" s="39" t="n">
        <f aca="false">SUM(H53:H59)</f>
        <v>397340.029972015</v>
      </c>
      <c r="I60" s="10"/>
      <c r="J60" s="10"/>
    </row>
    <row r="62" customFormat="false" ht="15" hidden="false" customHeight="false" outlineLevel="0" collapsed="false">
      <c r="A62" s="40" t="s">
        <v>99</v>
      </c>
      <c r="B62" s="40"/>
      <c r="C62" s="40"/>
      <c r="D62" s="40"/>
      <c r="E62" s="40"/>
      <c r="F62" s="40"/>
      <c r="G62" s="40"/>
      <c r="H62" s="40"/>
      <c r="I62" s="40"/>
      <c r="J62" s="40"/>
    </row>
    <row r="63" customFormat="false" ht="15" hidden="false" customHeight="false" outlineLevel="0" collapsed="false">
      <c r="A63" s="29"/>
      <c r="B63" s="29" t="s">
        <v>80</v>
      </c>
      <c r="C63" s="30" t="s">
        <v>81</v>
      </c>
      <c r="D63" s="30" t="s">
        <v>82</v>
      </c>
      <c r="E63" s="30" t="s">
        <v>83</v>
      </c>
      <c r="F63" s="30" t="s">
        <v>84</v>
      </c>
      <c r="G63" s="30" t="s">
        <v>85</v>
      </c>
      <c r="H63" s="30" t="s">
        <v>86</v>
      </c>
      <c r="I63" s="30" t="s">
        <v>87</v>
      </c>
      <c r="J63" s="30" t="s">
        <v>88</v>
      </c>
    </row>
    <row r="64" customFormat="false" ht="15" hidden="false" customHeight="false" outlineLevel="0" collapsed="false">
      <c r="B64" s="31" t="s">
        <v>411</v>
      </c>
      <c r="C64" s="32" t="n">
        <v>18832.86426</v>
      </c>
      <c r="D64" s="32" t="n">
        <v>18832.86426</v>
      </c>
      <c r="E64" s="32" t="n">
        <v>18832.86426</v>
      </c>
      <c r="F64" s="32" t="n">
        <v>0</v>
      </c>
      <c r="G64" s="32" t="n">
        <v>18832.86426</v>
      </c>
      <c r="H64" s="32" t="n">
        <v>0</v>
      </c>
      <c r="I64" s="33" t="s">
        <v>97</v>
      </c>
      <c r="J64" s="34" t="n">
        <v>5</v>
      </c>
    </row>
    <row r="65" customFormat="false" ht="15" hidden="false" customHeight="false" outlineLevel="0" collapsed="false">
      <c r="B65" s="35" t="s">
        <v>412</v>
      </c>
      <c r="C65" s="36" t="n">
        <v>53359.78207</v>
      </c>
      <c r="D65" s="36" t="n">
        <v>0</v>
      </c>
      <c r="E65" s="36" t="n">
        <v>9748.42365</v>
      </c>
      <c r="F65" s="36" t="n">
        <v>1736.02065</v>
      </c>
      <c r="G65" s="36" t="n">
        <v>11484.4443</v>
      </c>
      <c r="H65" s="36" t="n">
        <v>43755.0212974</v>
      </c>
      <c r="I65" s="37" t="s">
        <v>90</v>
      </c>
      <c r="J65" s="38" t="n">
        <v>30</v>
      </c>
    </row>
    <row r="66" customFormat="false" ht="15" hidden="false" customHeight="false" outlineLevel="0" collapsed="false">
      <c r="B66" s="31" t="s">
        <v>413</v>
      </c>
      <c r="C66" s="32" t="n">
        <v>10178.714731</v>
      </c>
      <c r="D66" s="32" t="n">
        <v>10178.714731</v>
      </c>
      <c r="E66" s="32" t="n">
        <v>10178.714731</v>
      </c>
      <c r="F66" s="32" t="n">
        <v>0</v>
      </c>
      <c r="G66" s="32" t="n">
        <v>10178.714731</v>
      </c>
      <c r="H66" s="32" t="n">
        <v>0</v>
      </c>
      <c r="I66" s="33" t="s">
        <v>97</v>
      </c>
      <c r="J66" s="34" t="n">
        <v>5</v>
      </c>
    </row>
    <row r="67" customFormat="false" ht="15" hidden="false" customHeight="false" outlineLevel="0" collapsed="false">
      <c r="B67" s="35" t="s">
        <v>414</v>
      </c>
      <c r="C67" s="36" t="n">
        <v>28563.177461</v>
      </c>
      <c r="D67" s="36" t="n">
        <v>0</v>
      </c>
      <c r="E67" s="36" t="n">
        <v>5208.06195</v>
      </c>
      <c r="F67" s="36" t="n">
        <v>921.426345</v>
      </c>
      <c r="G67" s="36" t="n">
        <v>6142.8423</v>
      </c>
      <c r="H67" s="36" t="n">
        <v>26563.75503873</v>
      </c>
      <c r="I67" s="37" t="s">
        <v>90</v>
      </c>
      <c r="J67" s="38" t="n">
        <v>30</v>
      </c>
    </row>
    <row r="68" customFormat="false" ht="15" hidden="false" customHeight="false" outlineLevel="0" collapsed="false">
      <c r="B68" s="31" t="s">
        <v>415</v>
      </c>
      <c r="C68" s="32" t="n">
        <v>68157.03256</v>
      </c>
      <c r="D68" s="32" t="n">
        <v>54704.98666</v>
      </c>
      <c r="E68" s="32" t="n">
        <v>55285.5807</v>
      </c>
      <c r="F68" s="32" t="n">
        <v>4273.2816</v>
      </c>
      <c r="G68" s="32" t="n">
        <v>59558.8623</v>
      </c>
      <c r="H68" s="32" t="n">
        <v>3271.53756288</v>
      </c>
      <c r="I68" s="33" t="s">
        <v>97</v>
      </c>
      <c r="J68" s="34" t="n">
        <v>5</v>
      </c>
    </row>
    <row r="69" customFormat="false" ht="15" hidden="false" customHeight="false" outlineLevel="0" collapsed="false">
      <c r="B69" s="35" t="s">
        <v>416</v>
      </c>
      <c r="C69" s="36" t="n">
        <v>191019.05178</v>
      </c>
      <c r="D69" s="36" t="n">
        <v>0</v>
      </c>
      <c r="E69" s="36" t="n">
        <v>4406.82165</v>
      </c>
      <c r="F69" s="36" t="n">
        <v>6142.8423</v>
      </c>
      <c r="G69" s="36" t="n">
        <v>10549.66395</v>
      </c>
      <c r="H69" s="36" t="n">
        <v>185288.4802266</v>
      </c>
      <c r="I69" s="37" t="s">
        <v>90</v>
      </c>
      <c r="J69" s="38" t="n">
        <v>30</v>
      </c>
    </row>
    <row r="70" customFormat="false" ht="15" hidden="false" customHeight="false" outlineLevel="0" collapsed="false">
      <c r="B70" s="31" t="s">
        <v>417</v>
      </c>
      <c r="C70" s="32" t="n">
        <v>475.3056218</v>
      </c>
      <c r="D70" s="32" t="n">
        <v>475.3056218</v>
      </c>
      <c r="E70" s="32" t="n">
        <v>475.3056218</v>
      </c>
      <c r="F70" s="32" t="n">
        <v>0</v>
      </c>
      <c r="G70" s="32" t="n">
        <v>475.3056218</v>
      </c>
      <c r="H70" s="32" t="n">
        <v>0</v>
      </c>
      <c r="I70" s="33" t="s">
        <v>97</v>
      </c>
      <c r="J70" s="34" t="n">
        <v>5</v>
      </c>
    </row>
    <row r="71" customFormat="false" ht="15" hidden="false" customHeight="false" outlineLevel="0" collapsed="false">
      <c r="B71" s="35" t="s">
        <v>418</v>
      </c>
      <c r="C71" s="36" t="n">
        <v>1345.20459</v>
      </c>
      <c r="D71" s="36" t="n">
        <v>0</v>
      </c>
      <c r="E71" s="36" t="n">
        <v>133.54005</v>
      </c>
      <c r="F71" s="36" t="n">
        <v>40.062015</v>
      </c>
      <c r="G71" s="36" t="n">
        <v>173.602065</v>
      </c>
      <c r="H71" s="36" t="n">
        <v>1304.8484523</v>
      </c>
      <c r="I71" s="37" t="s">
        <v>90</v>
      </c>
      <c r="J71" s="38" t="n">
        <v>30</v>
      </c>
    </row>
    <row r="72" customFormat="false" ht="15" hidden="false" customHeight="false" outlineLevel="0" collapsed="false">
      <c r="B72" s="31" t="s">
        <v>419</v>
      </c>
      <c r="C72" s="32" t="n">
        <v>2600.728874</v>
      </c>
      <c r="D72" s="32" t="n">
        <v>2600.728874</v>
      </c>
      <c r="E72" s="32" t="n">
        <v>2600.728874</v>
      </c>
      <c r="F72" s="32" t="n">
        <v>0</v>
      </c>
      <c r="G72" s="32" t="n">
        <v>2600.728874</v>
      </c>
      <c r="H72" s="32" t="n">
        <v>0</v>
      </c>
      <c r="I72" s="33" t="s">
        <v>97</v>
      </c>
      <c r="J72" s="34" t="n">
        <v>5</v>
      </c>
    </row>
    <row r="73" customFormat="false" ht="15" hidden="false" customHeight="false" outlineLevel="0" collapsed="false">
      <c r="B73" s="35" t="s">
        <v>420</v>
      </c>
      <c r="C73" s="36" t="n">
        <v>7308.944939</v>
      </c>
      <c r="D73" s="36" t="n">
        <v>0</v>
      </c>
      <c r="E73" s="36" t="n">
        <v>1268.630475</v>
      </c>
      <c r="F73" s="36" t="n">
        <v>235.030488</v>
      </c>
      <c r="G73" s="36" t="n">
        <v>1509.002565</v>
      </c>
      <c r="H73" s="36" t="n">
        <v>6797.31879327</v>
      </c>
      <c r="I73" s="37" t="s">
        <v>90</v>
      </c>
      <c r="J73" s="38" t="n">
        <v>30</v>
      </c>
    </row>
    <row r="74" customFormat="false" ht="15" hidden="false" customHeight="false" outlineLevel="0" collapsed="false">
      <c r="B74" s="31" t="s">
        <v>421</v>
      </c>
      <c r="C74" s="32" t="n">
        <v>2242.00765</v>
      </c>
      <c r="D74" s="32" t="n">
        <v>2242.00765</v>
      </c>
      <c r="E74" s="32" t="n">
        <v>2242.00765</v>
      </c>
      <c r="F74" s="32" t="n">
        <v>0</v>
      </c>
      <c r="G74" s="32" t="n">
        <v>2242.00765</v>
      </c>
      <c r="H74" s="32" t="n">
        <v>0</v>
      </c>
      <c r="I74" s="33" t="s">
        <v>97</v>
      </c>
      <c r="J74" s="34" t="n">
        <v>5</v>
      </c>
    </row>
    <row r="75" customFormat="false" ht="15" hidden="false" customHeight="false" outlineLevel="0" collapsed="false">
      <c r="B75" s="35" t="s">
        <v>422</v>
      </c>
      <c r="C75" s="36" t="n">
        <v>6277.62142</v>
      </c>
      <c r="D75" s="36" t="n">
        <v>0</v>
      </c>
      <c r="E75" s="36" t="n">
        <v>213.66408</v>
      </c>
      <c r="F75" s="36" t="n">
        <v>200.310075</v>
      </c>
      <c r="G75" s="36" t="n">
        <v>413.974155</v>
      </c>
      <c r="H75" s="36" t="n">
        <v>6152.0689916</v>
      </c>
      <c r="I75" s="37" t="s">
        <v>90</v>
      </c>
      <c r="J75" s="38" t="n">
        <v>30</v>
      </c>
    </row>
    <row r="76" customFormat="false" ht="15" hidden="false" customHeight="false" outlineLevel="0" collapsed="false">
      <c r="B76" s="31" t="s">
        <v>423</v>
      </c>
      <c r="C76" s="32" t="n">
        <v>15021.451255</v>
      </c>
      <c r="D76" s="32" t="n">
        <v>12017.161004</v>
      </c>
      <c r="E76" s="32" t="n">
        <v>12980.09286</v>
      </c>
      <c r="F76" s="32" t="n">
        <v>988.19637</v>
      </c>
      <c r="G76" s="32" t="n">
        <v>13968.28923</v>
      </c>
      <c r="H76" s="32" t="n">
        <v>165.235963805</v>
      </c>
      <c r="I76" s="33" t="s">
        <v>97</v>
      </c>
      <c r="J76" s="34" t="n">
        <v>5</v>
      </c>
    </row>
    <row r="77" customFormat="false" ht="15" hidden="false" customHeight="false" outlineLevel="0" collapsed="false">
      <c r="B77" s="35" t="s">
        <v>424</v>
      </c>
      <c r="C77" s="36" t="n">
        <v>41925.543055</v>
      </c>
      <c r="D77" s="36" t="n">
        <v>0</v>
      </c>
      <c r="E77" s="36" t="n">
        <v>1095.02841</v>
      </c>
      <c r="F77" s="36" t="n">
        <v>1549.06458</v>
      </c>
      <c r="G77" s="36" t="n">
        <v>2644.09299</v>
      </c>
      <c r="H77" s="36" t="n">
        <v>41087.0321939</v>
      </c>
      <c r="I77" s="37" t="s">
        <v>90</v>
      </c>
      <c r="J77" s="38" t="n">
        <v>30</v>
      </c>
    </row>
    <row r="78" customFormat="false" ht="15" hidden="false" customHeight="false" outlineLevel="0" collapsed="false">
      <c r="A78" s="10"/>
      <c r="B78" s="11" t="s">
        <v>24</v>
      </c>
      <c r="C78" s="39" t="n">
        <f aca="false">SUM(C64:C77)</f>
        <v>447307.4302668</v>
      </c>
      <c r="D78" s="39" t="n">
        <f aca="false">SUM(D64:D77)</f>
        <v>101051.7688008</v>
      </c>
      <c r="E78" s="39" t="n">
        <f aca="false">SUM(E64:E77)</f>
        <v>124669.4649618</v>
      </c>
      <c r="F78" s="39" t="n">
        <f aca="false">SUM(F64:F77)</f>
        <v>16086.234423</v>
      </c>
      <c r="G78" s="39" t="n">
        <f aca="false">SUM(G64:G77)</f>
        <v>140774.3949918</v>
      </c>
      <c r="H78" s="39" t="n">
        <f aca="false">SUM(H64:H77)</f>
        <v>314385.298520485</v>
      </c>
      <c r="I78" s="10"/>
      <c r="J78" s="10"/>
    </row>
    <row r="80" customFormat="false" ht="15" hidden="false" customHeight="false" outlineLevel="0" collapsed="false">
      <c r="A80" s="27" t="s">
        <v>48</v>
      </c>
      <c r="B80" s="27"/>
      <c r="C80" s="27"/>
      <c r="D80" s="27"/>
      <c r="E80" s="27"/>
    </row>
    <row r="81" customFormat="false" ht="15" hidden="false" customHeight="false" outlineLevel="0" collapsed="false">
      <c r="B81" s="8" t="s">
        <v>114</v>
      </c>
      <c r="C81" s="41" t="n">
        <f aca="false">G60</f>
        <v>38247.571179729</v>
      </c>
    </row>
    <row r="82" customFormat="false" ht="15" hidden="false" customHeight="false" outlineLevel="0" collapsed="false">
      <c r="B82" s="8" t="s">
        <v>115</v>
      </c>
      <c r="C82" s="41" t="n">
        <f aca="false">G78</f>
        <v>140774.3949918</v>
      </c>
    </row>
    <row r="83" customFormat="false" ht="15" hidden="false" customHeight="false" outlineLevel="0" collapsed="false">
      <c r="B83" s="17" t="s">
        <v>48</v>
      </c>
      <c r="C83" s="42" t="n">
        <f aca="false">C82-C81</f>
        <v>102526.823812071</v>
      </c>
    </row>
  </sheetData>
  <mergeCells count="11">
    <mergeCell ref="A2:J2"/>
    <mergeCell ref="A3:J3"/>
    <mergeCell ref="A4:J4"/>
    <mergeCell ref="A8:J8"/>
    <mergeCell ref="B10:J10"/>
    <mergeCell ref="B22:J22"/>
    <mergeCell ref="B40:J40"/>
    <mergeCell ref="A50:J50"/>
    <mergeCell ref="A51:J51"/>
    <mergeCell ref="A62:J62"/>
    <mergeCell ref="A80:E8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425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50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51</v>
      </c>
      <c r="C6" s="8" t="s">
        <v>26</v>
      </c>
    </row>
    <row r="8" customFormat="false" ht="15" hidden="false" customHeight="false" outlineLevel="0" collapsed="false">
      <c r="A8" s="21" t="s">
        <v>426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53</v>
      </c>
      <c r="C9" s="23" t="s">
        <v>54</v>
      </c>
      <c r="D9" s="23" t="s">
        <v>55</v>
      </c>
      <c r="E9" s="23" t="s">
        <v>56</v>
      </c>
      <c r="F9" s="23" t="s">
        <v>57</v>
      </c>
      <c r="G9" s="23" t="s">
        <v>58</v>
      </c>
      <c r="H9" s="23" t="s">
        <v>59</v>
      </c>
    </row>
    <row r="10" customFormat="false" ht="15" hidden="false" customHeight="false" outlineLevel="0" collapsed="false">
      <c r="A10" s="5"/>
      <c r="B10" s="6" t="s">
        <v>118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119</v>
      </c>
      <c r="C11" s="16" t="n">
        <v>31452.73</v>
      </c>
      <c r="D11" s="16" t="n">
        <v>31452.73</v>
      </c>
    </row>
    <row r="12" customFormat="false" ht="15" hidden="false" customHeight="false" outlineLevel="0" collapsed="false">
      <c r="B12" s="8" t="s">
        <v>120</v>
      </c>
      <c r="C12" s="16" t="n">
        <v>8394.17</v>
      </c>
      <c r="D12" s="16" t="n">
        <v>8394.17</v>
      </c>
    </row>
    <row r="13" customFormat="false" ht="15" hidden="false" customHeight="false" outlineLevel="0" collapsed="false">
      <c r="B13" s="8" t="s">
        <v>121</v>
      </c>
      <c r="C13" s="16" t="n">
        <v>32815.89</v>
      </c>
      <c r="D13" s="16" t="n">
        <v>32815.89</v>
      </c>
    </row>
    <row r="14" customFormat="false" ht="15" hidden="false" customHeight="false" outlineLevel="0" collapsed="false">
      <c r="B14" s="8" t="s">
        <v>122</v>
      </c>
      <c r="C14" s="16" t="n">
        <v>2648.72</v>
      </c>
      <c r="D14" s="16" t="n">
        <v>2648.72</v>
      </c>
    </row>
    <row r="15" customFormat="false" ht="15" hidden="false" customHeight="false" outlineLevel="0" collapsed="false">
      <c r="B15" s="8" t="s">
        <v>123</v>
      </c>
      <c r="C15" s="16" t="n">
        <v>0.394</v>
      </c>
      <c r="D15" s="16" t="n">
        <v>0.394</v>
      </c>
    </row>
    <row r="16" customFormat="false" ht="15" hidden="false" customHeight="false" outlineLevel="0" collapsed="false">
      <c r="B16" s="8" t="s">
        <v>124</v>
      </c>
      <c r="C16" s="16" t="n">
        <v>5344.3</v>
      </c>
      <c r="D16" s="16" t="n">
        <v>5344.3</v>
      </c>
    </row>
    <row r="17" customFormat="false" ht="15" hidden="false" customHeight="false" outlineLevel="0" collapsed="false">
      <c r="B17" s="8" t="s">
        <v>125</v>
      </c>
      <c r="C17" s="16" t="n">
        <v>2858.97</v>
      </c>
      <c r="D17" s="16" t="n">
        <v>2858.97</v>
      </c>
    </row>
    <row r="18" customFormat="false" ht="15" hidden="false" customHeight="false" outlineLevel="0" collapsed="false">
      <c r="B18" s="8" t="s">
        <v>126</v>
      </c>
      <c r="C18" s="16" t="n">
        <v>9687.68</v>
      </c>
      <c r="D18" s="16" t="n">
        <v>9687.68</v>
      </c>
    </row>
    <row r="19" customFormat="false" ht="15" hidden="false" customHeight="false" outlineLevel="0" collapsed="false">
      <c r="B19" s="8" t="s">
        <v>127</v>
      </c>
      <c r="C19" s="16" t="n">
        <v>2139.23</v>
      </c>
      <c r="D19" s="16" t="n">
        <v>2139.23</v>
      </c>
    </row>
    <row r="20" customFormat="false" ht="15" hidden="false" customHeight="false" outlineLevel="0" collapsed="false">
      <c r="B20" s="8" t="s">
        <v>128</v>
      </c>
      <c r="C20" s="16" t="n">
        <v>605.69</v>
      </c>
      <c r="D20" s="16" t="n">
        <v>605.69</v>
      </c>
    </row>
    <row r="21" customFormat="false" ht="15" hidden="false" customHeight="false" outlineLevel="0" collapsed="false">
      <c r="B21" s="8" t="s">
        <v>129</v>
      </c>
      <c r="C21" s="16" t="n">
        <v>8326.94</v>
      </c>
      <c r="D21" s="16" t="n">
        <v>8326.94</v>
      </c>
    </row>
    <row r="22" customFormat="false" ht="15" hidden="false" customHeight="false" outlineLevel="0" collapsed="false">
      <c r="A22" s="5"/>
      <c r="B22" s="6" t="s">
        <v>130</v>
      </c>
      <c r="C22" s="6"/>
      <c r="D22" s="6"/>
      <c r="E22" s="6"/>
      <c r="F22" s="6"/>
      <c r="G22" s="6"/>
      <c r="H22" s="6"/>
      <c r="I22" s="6"/>
      <c r="J22" s="6"/>
    </row>
    <row r="23" customFormat="false" ht="15" hidden="false" customHeight="false" outlineLevel="0" collapsed="false">
      <c r="B23" s="8" t="s">
        <v>131</v>
      </c>
      <c r="C23" s="16" t="n">
        <v>22000</v>
      </c>
      <c r="G23" s="16" t="n">
        <v>22000</v>
      </c>
    </row>
    <row r="24" customFormat="false" ht="15" hidden="false" customHeight="false" outlineLevel="0" collapsed="false">
      <c r="B24" s="8" t="s">
        <v>132</v>
      </c>
      <c r="C24" s="16" t="n">
        <v>28000</v>
      </c>
      <c r="G24" s="16" t="n">
        <v>28000</v>
      </c>
    </row>
    <row r="25" customFormat="false" ht="15" hidden="false" customHeight="false" outlineLevel="0" collapsed="false">
      <c r="B25" s="8" t="s">
        <v>133</v>
      </c>
      <c r="C25" s="16" t="n">
        <v>29000</v>
      </c>
      <c r="G25" s="16" t="n">
        <v>29000</v>
      </c>
    </row>
    <row r="26" customFormat="false" ht="15" hidden="false" customHeight="false" outlineLevel="0" collapsed="false">
      <c r="B26" s="8" t="s">
        <v>134</v>
      </c>
      <c r="C26" s="16" t="n">
        <v>24000</v>
      </c>
      <c r="G26" s="16" t="n">
        <v>24000</v>
      </c>
    </row>
    <row r="27" customFormat="false" ht="15" hidden="false" customHeight="false" outlineLevel="0" collapsed="false">
      <c r="B27" s="8" t="s">
        <v>135</v>
      </c>
      <c r="C27" s="16" t="n">
        <v>2000</v>
      </c>
      <c r="G27" s="16" t="n">
        <v>2000</v>
      </c>
    </row>
    <row r="28" customFormat="false" ht="15" hidden="false" customHeight="false" outlineLevel="0" collapsed="false">
      <c r="B28" s="8" t="s">
        <v>136</v>
      </c>
      <c r="C28" s="16" t="n">
        <v>18000</v>
      </c>
      <c r="G28" s="16" t="n">
        <v>18000</v>
      </c>
    </row>
    <row r="29" customFormat="false" ht="15" hidden="false" customHeight="false" outlineLevel="0" collapsed="false">
      <c r="B29" s="8" t="s">
        <v>137</v>
      </c>
      <c r="C29" s="16" t="n">
        <v>16000</v>
      </c>
      <c r="G29" s="16" t="n">
        <v>16000</v>
      </c>
    </row>
    <row r="30" customFormat="false" ht="15" hidden="false" customHeight="false" outlineLevel="0" collapsed="false">
      <c r="B30" s="8" t="s">
        <v>138</v>
      </c>
      <c r="C30" s="16" t="n">
        <v>14000</v>
      </c>
      <c r="G30" s="16" t="n">
        <v>14000</v>
      </c>
    </row>
    <row r="31" customFormat="false" ht="15" hidden="false" customHeight="false" outlineLevel="0" collapsed="false">
      <c r="B31" s="8" t="s">
        <v>139</v>
      </c>
      <c r="C31" s="16" t="n">
        <v>13000</v>
      </c>
      <c r="G31" s="16" t="n">
        <v>13000</v>
      </c>
    </row>
    <row r="32" customFormat="false" ht="15" hidden="false" customHeight="false" outlineLevel="0" collapsed="false">
      <c r="B32" s="8" t="s">
        <v>140</v>
      </c>
      <c r="C32" s="16" t="n">
        <v>35000</v>
      </c>
      <c r="G32" s="16" t="n">
        <v>35000</v>
      </c>
    </row>
    <row r="33" customFormat="false" ht="15" hidden="false" customHeight="false" outlineLevel="0" collapsed="false">
      <c r="B33" s="8" t="s">
        <v>141</v>
      </c>
      <c r="C33" s="16" t="n">
        <v>15000</v>
      </c>
      <c r="G33" s="16" t="n">
        <v>15000</v>
      </c>
    </row>
    <row r="34" customFormat="false" ht="15" hidden="false" customHeight="false" outlineLevel="0" collapsed="false">
      <c r="B34" s="8" t="s">
        <v>142</v>
      </c>
      <c r="C34" s="16" t="n">
        <v>1200</v>
      </c>
      <c r="G34" s="16" t="n">
        <v>1200</v>
      </c>
    </row>
    <row r="35" customFormat="false" ht="15" hidden="false" customHeight="false" outlineLevel="0" collapsed="false">
      <c r="B35" s="8" t="s">
        <v>143</v>
      </c>
      <c r="C35" s="16" t="n">
        <v>38000</v>
      </c>
      <c r="G35" s="16" t="n">
        <v>38000</v>
      </c>
    </row>
    <row r="36" customFormat="false" ht="15" hidden="false" customHeight="false" outlineLevel="0" collapsed="false">
      <c r="B36" s="8" t="s">
        <v>144</v>
      </c>
      <c r="C36" s="16" t="n">
        <v>8000</v>
      </c>
      <c r="G36" s="16" t="n">
        <v>8000</v>
      </c>
    </row>
    <row r="37" customFormat="false" ht="15" hidden="false" customHeight="false" outlineLevel="0" collapsed="false">
      <c r="B37" s="8" t="s">
        <v>145</v>
      </c>
      <c r="C37" s="16" t="n">
        <v>3000</v>
      </c>
      <c r="G37" s="16" t="n">
        <v>3000</v>
      </c>
    </row>
    <row r="38" customFormat="false" ht="15" hidden="false" customHeight="false" outlineLevel="0" collapsed="false">
      <c r="A38" s="24"/>
      <c r="B38" s="25" t="s">
        <v>69</v>
      </c>
      <c r="C38" s="26" t="n">
        <f aca="false">SUM(C10:C37)</f>
        <v>370474.714</v>
      </c>
      <c r="D38" s="26" t="n">
        <f aca="false">SUM(D10:D37)</f>
        <v>104274.714</v>
      </c>
      <c r="E38" s="26" t="n">
        <f aca="false">SUM(E10:E37)</f>
        <v>0</v>
      </c>
      <c r="F38" s="26" t="n">
        <f aca="false">SUM(F10:F37)</f>
        <v>0</v>
      </c>
      <c r="G38" s="26" t="n">
        <f aca="false">SUM(G10:G37)</f>
        <v>266200</v>
      </c>
      <c r="H38" s="24"/>
    </row>
    <row r="40" customFormat="false" ht="15" hidden="false" customHeight="false" outlineLevel="0" collapsed="false">
      <c r="A40" s="5"/>
      <c r="B40" s="6" t="s">
        <v>70</v>
      </c>
      <c r="C40" s="6"/>
      <c r="D40" s="6"/>
      <c r="E40" s="6"/>
      <c r="F40" s="6"/>
      <c r="G40" s="6"/>
      <c r="H40" s="6"/>
      <c r="I40" s="6"/>
      <c r="J40" s="6"/>
    </row>
    <row r="41" customFormat="false" ht="15" hidden="false" customHeight="false" outlineLevel="0" collapsed="false">
      <c r="B41" s="8" t="s">
        <v>71</v>
      </c>
      <c r="C41" s="16" t="n">
        <v>64200.07181</v>
      </c>
      <c r="D41" s="16" t="n">
        <v>16851.66553</v>
      </c>
      <c r="G41" s="16" t="n">
        <v>47348.40628</v>
      </c>
    </row>
    <row r="42" customFormat="false" ht="15" hidden="false" customHeight="false" outlineLevel="0" collapsed="false">
      <c r="B42" s="8" t="s">
        <v>146</v>
      </c>
      <c r="C42" s="16" t="n">
        <v>34452.709344</v>
      </c>
      <c r="D42" s="16" t="n">
        <v>9043.378272</v>
      </c>
      <c r="G42" s="16" t="n">
        <v>25409.331072</v>
      </c>
    </row>
    <row r="43" customFormat="false" ht="15" hidden="false" customHeight="false" outlineLevel="0" collapsed="false">
      <c r="B43" s="8" t="s">
        <v>147</v>
      </c>
      <c r="C43" s="16" t="n">
        <v>231678.52001</v>
      </c>
      <c r="D43" s="16" t="n">
        <v>60812.53213</v>
      </c>
      <c r="G43" s="16" t="n">
        <v>170865.98788</v>
      </c>
    </row>
    <row r="44" customFormat="false" ht="15" hidden="false" customHeight="false" outlineLevel="0" collapsed="false">
      <c r="B44" s="8" t="s">
        <v>148</v>
      </c>
      <c r="C44" s="16" t="n">
        <v>1618.9583326</v>
      </c>
      <c r="D44" s="16" t="n">
        <v>424.9550438</v>
      </c>
      <c r="G44" s="16" t="n">
        <v>1194.0032888</v>
      </c>
    </row>
    <row r="45" customFormat="false" ht="15" hidden="false" customHeight="false" outlineLevel="0" collapsed="false">
      <c r="B45" s="8" t="s">
        <v>75</v>
      </c>
      <c r="C45" s="16" t="n">
        <v>8812.556441</v>
      </c>
      <c r="D45" s="16" t="n">
        <v>2313.178933</v>
      </c>
      <c r="G45" s="16" t="n">
        <v>6499.377508</v>
      </c>
    </row>
    <row r="46" customFormat="false" ht="15" hidden="false" customHeight="false" outlineLevel="0" collapsed="false">
      <c r="B46" s="8" t="s">
        <v>149</v>
      </c>
      <c r="C46" s="16" t="n">
        <v>7576.40599</v>
      </c>
      <c r="D46" s="16" t="n">
        <v>1988.70587</v>
      </c>
      <c r="G46" s="16" t="n">
        <v>5587.70012</v>
      </c>
    </row>
    <row r="47" customFormat="false" ht="15" hidden="false" customHeight="false" outlineLevel="0" collapsed="false">
      <c r="B47" s="8" t="s">
        <v>150</v>
      </c>
      <c r="C47" s="16" t="n">
        <v>50642.29267</v>
      </c>
      <c r="D47" s="16" t="n">
        <v>13292.92871</v>
      </c>
      <c r="G47" s="16" t="n">
        <v>37349.36396</v>
      </c>
    </row>
    <row r="48" customFormat="false" ht="15" hidden="false" customHeight="false" outlineLevel="0" collapsed="false">
      <c r="A48" s="24"/>
      <c r="B48" s="25" t="s">
        <v>78</v>
      </c>
      <c r="C48" s="26" t="n">
        <f aca="false">SUM(C41:C47)</f>
        <v>398981.5145976</v>
      </c>
      <c r="D48" s="26" t="n">
        <f aca="false">SUM(D41:D47)</f>
        <v>104727.3444888</v>
      </c>
      <c r="E48" s="24"/>
      <c r="F48" s="26" t="n">
        <f aca="false">SUM(F41:F47)</f>
        <v>0</v>
      </c>
      <c r="G48" s="26" t="n">
        <f aca="false">SUM(G41:G47)</f>
        <v>294254.1701088</v>
      </c>
      <c r="H48" s="24"/>
    </row>
    <row r="50" customFormat="false" ht="15" hidden="false" customHeight="false" outlineLevel="0" collapsed="false">
      <c r="A50" s="27" t="s">
        <v>79</v>
      </c>
      <c r="B50" s="27"/>
      <c r="C50" s="27"/>
      <c r="D50" s="27"/>
      <c r="E50" s="27"/>
      <c r="F50" s="27"/>
      <c r="G50" s="27"/>
      <c r="H50" s="27"/>
      <c r="I50" s="27"/>
      <c r="J50" s="27"/>
    </row>
    <row r="51" customFormat="false" ht="15" hidden="false" customHeight="false" outlineLevel="0" collapsed="false">
      <c r="A51" s="28" t="s">
        <v>46</v>
      </c>
      <c r="B51" s="28"/>
      <c r="C51" s="28"/>
      <c r="D51" s="28"/>
      <c r="E51" s="28"/>
      <c r="F51" s="28"/>
      <c r="G51" s="28"/>
      <c r="H51" s="28"/>
      <c r="I51" s="28"/>
      <c r="J51" s="28"/>
    </row>
    <row r="52" customFormat="false" ht="15" hidden="false" customHeight="false" outlineLevel="0" collapsed="false">
      <c r="A52" s="29"/>
      <c r="B52" s="29" t="s">
        <v>80</v>
      </c>
      <c r="C52" s="30" t="s">
        <v>81</v>
      </c>
      <c r="D52" s="30" t="s">
        <v>82</v>
      </c>
      <c r="E52" s="30" t="s">
        <v>83</v>
      </c>
      <c r="F52" s="30" t="s">
        <v>84</v>
      </c>
      <c r="G52" s="30" t="s">
        <v>85</v>
      </c>
      <c r="H52" s="30" t="s">
        <v>86</v>
      </c>
      <c r="I52" s="30" t="s">
        <v>87</v>
      </c>
      <c r="J52" s="30" t="s">
        <v>88</v>
      </c>
    </row>
    <row r="53" customFormat="false" ht="15" hidden="false" customHeight="false" outlineLevel="0" collapsed="false">
      <c r="B53" s="31" t="s">
        <v>427</v>
      </c>
      <c r="C53" s="32" t="n">
        <v>64200.07181</v>
      </c>
      <c r="D53" s="32" t="n">
        <v>0</v>
      </c>
      <c r="E53" s="32" t="n">
        <v>3946.482</v>
      </c>
      <c r="F53" s="32" t="n">
        <v>1315.494</v>
      </c>
      <c r="G53" s="32" t="n">
        <v>5261.976</v>
      </c>
      <c r="H53" s="32" t="n">
        <v>54570.0610385</v>
      </c>
      <c r="I53" s="33" t="s">
        <v>90</v>
      </c>
      <c r="J53" s="34" t="n">
        <v>30</v>
      </c>
    </row>
    <row r="54" customFormat="false" ht="15" hidden="false" customHeight="false" outlineLevel="0" collapsed="false">
      <c r="B54" s="35" t="s">
        <v>428</v>
      </c>
      <c r="C54" s="36" t="n">
        <v>34452.709344</v>
      </c>
      <c r="D54" s="36" t="n">
        <v>0</v>
      </c>
      <c r="E54" s="36" t="n">
        <v>2137.67775</v>
      </c>
      <c r="F54" s="36" t="n">
        <v>723.5217</v>
      </c>
      <c r="G54" s="36" t="n">
        <v>2861.19945</v>
      </c>
      <c r="H54" s="36" t="n">
        <v>30318.38422272</v>
      </c>
      <c r="I54" s="37" t="s">
        <v>90</v>
      </c>
      <c r="J54" s="38" t="n">
        <v>30</v>
      </c>
    </row>
    <row r="55" customFormat="false" ht="15" hidden="false" customHeight="false" outlineLevel="0" collapsed="false">
      <c r="B55" s="31" t="s">
        <v>429</v>
      </c>
      <c r="C55" s="32" t="n">
        <v>231678.52001</v>
      </c>
      <c r="D55" s="32" t="n">
        <v>0</v>
      </c>
      <c r="E55" s="32" t="n">
        <v>14470.434</v>
      </c>
      <c r="F55" s="32" t="n">
        <v>4933.1025</v>
      </c>
      <c r="G55" s="32" t="n">
        <v>19403.5365</v>
      </c>
      <c r="H55" s="32" t="n">
        <v>208510.668009</v>
      </c>
      <c r="I55" s="33" t="s">
        <v>90</v>
      </c>
      <c r="J55" s="34" t="n">
        <v>30</v>
      </c>
    </row>
    <row r="56" customFormat="false" ht="15" hidden="false" customHeight="false" outlineLevel="0" collapsed="false">
      <c r="B56" s="35" t="s">
        <v>430</v>
      </c>
      <c r="C56" s="36" t="n">
        <v>1618.9583326</v>
      </c>
      <c r="D56" s="36" t="n">
        <v>0</v>
      </c>
      <c r="E56" s="36" t="n">
        <v>98.66205</v>
      </c>
      <c r="F56" s="36" t="n">
        <v>32.88735</v>
      </c>
      <c r="G56" s="36" t="n">
        <v>131.5494</v>
      </c>
      <c r="H56" s="36" t="n">
        <v>1424.683332688</v>
      </c>
      <c r="I56" s="37" t="s">
        <v>90</v>
      </c>
      <c r="J56" s="38" t="n">
        <v>30</v>
      </c>
    </row>
    <row r="57" customFormat="false" ht="15" hidden="false" customHeight="false" outlineLevel="0" collapsed="false">
      <c r="B57" s="31" t="s">
        <v>431</v>
      </c>
      <c r="C57" s="32" t="n">
        <v>8812.556441</v>
      </c>
      <c r="D57" s="32" t="n">
        <v>2256.014448896</v>
      </c>
      <c r="E57" s="32" t="n">
        <v>2256.014448896</v>
      </c>
      <c r="F57" s="32" t="n">
        <v>678.566845957</v>
      </c>
      <c r="G57" s="32" t="n">
        <v>2934.581294853</v>
      </c>
      <c r="H57" s="32" t="n">
        <v>5877.975146147</v>
      </c>
      <c r="I57" s="33" t="s">
        <v>95</v>
      </c>
      <c r="J57" s="34" t="n">
        <v>15</v>
      </c>
    </row>
    <row r="58" customFormat="false" ht="15" hidden="false" customHeight="false" outlineLevel="0" collapsed="false">
      <c r="B58" s="35" t="s">
        <v>432</v>
      </c>
      <c r="C58" s="36" t="n">
        <v>7576.40599</v>
      </c>
      <c r="D58" s="36" t="n">
        <v>0</v>
      </c>
      <c r="E58" s="36" t="n">
        <v>0</v>
      </c>
      <c r="F58" s="36" t="n">
        <v>0</v>
      </c>
      <c r="G58" s="36" t="n">
        <v>0</v>
      </c>
      <c r="H58" s="36" t="n">
        <v>7576.40599</v>
      </c>
      <c r="I58" s="37" t="s">
        <v>97</v>
      </c>
      <c r="J58" s="38" t="n">
        <v>5</v>
      </c>
    </row>
    <row r="59" customFormat="false" ht="15" hidden="false" customHeight="false" outlineLevel="0" collapsed="false">
      <c r="B59" s="31" t="s">
        <v>433</v>
      </c>
      <c r="C59" s="32" t="n">
        <v>50642.29267</v>
      </c>
      <c r="D59" s="32" t="n">
        <v>0</v>
      </c>
      <c r="E59" s="32" t="n">
        <v>1315.494</v>
      </c>
      <c r="F59" s="32" t="n">
        <v>2104.7904</v>
      </c>
      <c r="G59" s="32" t="n">
        <v>3420.2844</v>
      </c>
      <c r="H59" s="32" t="n">
        <v>45071.6404763</v>
      </c>
      <c r="I59" s="33" t="s">
        <v>97</v>
      </c>
      <c r="J59" s="34" t="n">
        <v>5</v>
      </c>
    </row>
    <row r="60" customFormat="false" ht="15" hidden="false" customHeight="false" outlineLevel="0" collapsed="false">
      <c r="A60" s="10"/>
      <c r="B60" s="11" t="s">
        <v>24</v>
      </c>
      <c r="C60" s="39" t="n">
        <f aca="false">SUM(C53:C59)</f>
        <v>398981.5145976</v>
      </c>
      <c r="D60" s="39" t="n">
        <f aca="false">SUM(D53:D59)</f>
        <v>2256.014448896</v>
      </c>
      <c r="E60" s="39" t="n">
        <f aca="false">SUM(E53:E59)</f>
        <v>24224.764248896</v>
      </c>
      <c r="F60" s="39" t="n">
        <f aca="false">SUM(F53:F59)</f>
        <v>9788.362795957</v>
      </c>
      <c r="G60" s="39" t="n">
        <f aca="false">SUM(G53:G59)</f>
        <v>34013.127044853</v>
      </c>
      <c r="H60" s="39" t="n">
        <f aca="false">SUM(H53:H59)</f>
        <v>353349.818215355</v>
      </c>
      <c r="I60" s="10"/>
      <c r="J60" s="10"/>
    </row>
    <row r="62" customFormat="false" ht="15" hidden="false" customHeight="false" outlineLevel="0" collapsed="false">
      <c r="A62" s="40" t="s">
        <v>99</v>
      </c>
      <c r="B62" s="40"/>
      <c r="C62" s="40"/>
      <c r="D62" s="40"/>
      <c r="E62" s="40"/>
      <c r="F62" s="40"/>
      <c r="G62" s="40"/>
      <c r="H62" s="40"/>
      <c r="I62" s="40"/>
      <c r="J62" s="40"/>
    </row>
    <row r="63" customFormat="false" ht="15" hidden="false" customHeight="false" outlineLevel="0" collapsed="false">
      <c r="A63" s="29"/>
      <c r="B63" s="29" t="s">
        <v>80</v>
      </c>
      <c r="C63" s="30" t="s">
        <v>81</v>
      </c>
      <c r="D63" s="30" t="s">
        <v>82</v>
      </c>
      <c r="E63" s="30" t="s">
        <v>83</v>
      </c>
      <c r="F63" s="30" t="s">
        <v>84</v>
      </c>
      <c r="G63" s="30" t="s">
        <v>85</v>
      </c>
      <c r="H63" s="30" t="s">
        <v>86</v>
      </c>
      <c r="I63" s="30" t="s">
        <v>87</v>
      </c>
      <c r="J63" s="30" t="s">
        <v>88</v>
      </c>
    </row>
    <row r="64" customFormat="false" ht="15" hidden="false" customHeight="false" outlineLevel="0" collapsed="false">
      <c r="B64" s="31" t="s">
        <v>434</v>
      </c>
      <c r="C64" s="32" t="n">
        <v>16747.84482</v>
      </c>
      <c r="D64" s="32" t="n">
        <v>16747.84482</v>
      </c>
      <c r="E64" s="32" t="n">
        <v>16747.84482</v>
      </c>
      <c r="F64" s="32" t="n">
        <v>0</v>
      </c>
      <c r="G64" s="32" t="n">
        <v>16747.84482</v>
      </c>
      <c r="H64" s="32" t="n">
        <v>0</v>
      </c>
      <c r="I64" s="33" t="s">
        <v>97</v>
      </c>
      <c r="J64" s="34" t="n">
        <v>5</v>
      </c>
    </row>
    <row r="65" customFormat="false" ht="15" hidden="false" customHeight="false" outlineLevel="0" collapsed="false">
      <c r="B65" s="35" t="s">
        <v>435</v>
      </c>
      <c r="C65" s="36" t="n">
        <v>47452.22699</v>
      </c>
      <c r="D65" s="36" t="n">
        <v>0</v>
      </c>
      <c r="E65" s="36" t="n">
        <v>8989.64413</v>
      </c>
      <c r="F65" s="36" t="n">
        <v>1600.89553</v>
      </c>
      <c r="G65" s="36" t="n">
        <v>10590.53966</v>
      </c>
      <c r="H65" s="36" t="n">
        <v>38910.8261318</v>
      </c>
      <c r="I65" s="37" t="s">
        <v>90</v>
      </c>
      <c r="J65" s="38" t="n">
        <v>30</v>
      </c>
    </row>
    <row r="66" customFormat="false" ht="15" hidden="false" customHeight="false" outlineLevel="0" collapsed="false">
      <c r="B66" s="31" t="s">
        <v>436</v>
      </c>
      <c r="C66" s="32" t="n">
        <v>9051.811367</v>
      </c>
      <c r="D66" s="32" t="n">
        <v>9051.811367</v>
      </c>
      <c r="E66" s="32" t="n">
        <v>9051.811367</v>
      </c>
      <c r="F66" s="32" t="n">
        <v>0</v>
      </c>
      <c r="G66" s="32" t="n">
        <v>9051.811367</v>
      </c>
      <c r="H66" s="32" t="n">
        <v>0</v>
      </c>
      <c r="I66" s="33" t="s">
        <v>97</v>
      </c>
      <c r="J66" s="34" t="n">
        <v>5</v>
      </c>
    </row>
    <row r="67" customFormat="false" ht="15" hidden="false" customHeight="false" outlineLevel="0" collapsed="false">
      <c r="B67" s="35" t="s">
        <v>437</v>
      </c>
      <c r="C67" s="36" t="n">
        <v>25400.897977</v>
      </c>
      <c r="D67" s="36" t="n">
        <v>0</v>
      </c>
      <c r="E67" s="36" t="n">
        <v>4802.68659</v>
      </c>
      <c r="F67" s="36" t="n">
        <v>849.706089</v>
      </c>
      <c r="G67" s="36" t="n">
        <v>5664.70726</v>
      </c>
      <c r="H67" s="36" t="n">
        <v>23622.83511861</v>
      </c>
      <c r="I67" s="37" t="s">
        <v>90</v>
      </c>
      <c r="J67" s="38" t="n">
        <v>30</v>
      </c>
    </row>
    <row r="68" customFormat="false" ht="15" hidden="false" customHeight="false" outlineLevel="0" collapsed="false">
      <c r="B68" s="31" t="s">
        <v>438</v>
      </c>
      <c r="C68" s="32" t="n">
        <v>60611.24792</v>
      </c>
      <c r="D68" s="32" t="n">
        <v>48648.50162</v>
      </c>
      <c r="E68" s="32" t="n">
        <v>50982.36534</v>
      </c>
      <c r="F68" s="32" t="n">
        <v>3940.66592</v>
      </c>
      <c r="G68" s="32" t="n">
        <v>54923.03126</v>
      </c>
      <c r="H68" s="32" t="n">
        <v>2909.33990016</v>
      </c>
      <c r="I68" s="33" t="s">
        <v>97</v>
      </c>
      <c r="J68" s="34" t="n">
        <v>5</v>
      </c>
    </row>
    <row r="69" customFormat="false" ht="15" hidden="false" customHeight="false" outlineLevel="0" collapsed="false">
      <c r="B69" s="35" t="s">
        <v>439</v>
      </c>
      <c r="C69" s="36" t="n">
        <v>169870.99746</v>
      </c>
      <c r="D69" s="36" t="n">
        <v>0</v>
      </c>
      <c r="E69" s="36" t="n">
        <v>4063.81173</v>
      </c>
      <c r="F69" s="36" t="n">
        <v>5664.70726</v>
      </c>
      <c r="G69" s="36" t="n">
        <v>9728.51899</v>
      </c>
      <c r="H69" s="36" t="n">
        <v>164774.8675362</v>
      </c>
      <c r="I69" s="37" t="s">
        <v>90</v>
      </c>
      <c r="J69" s="38" t="n">
        <v>30</v>
      </c>
    </row>
    <row r="70" customFormat="false" ht="15" hidden="false" customHeight="false" outlineLevel="0" collapsed="false">
      <c r="B70" s="31" t="s">
        <v>440</v>
      </c>
      <c r="C70" s="32" t="n">
        <v>422.6837026</v>
      </c>
      <c r="D70" s="32" t="n">
        <v>422.6837026</v>
      </c>
      <c r="E70" s="32" t="n">
        <v>422.6837026</v>
      </c>
      <c r="F70" s="32" t="n">
        <v>0</v>
      </c>
      <c r="G70" s="32" t="n">
        <v>422.6837026</v>
      </c>
      <c r="H70" s="32" t="n">
        <v>0</v>
      </c>
      <c r="I70" s="33" t="s">
        <v>97</v>
      </c>
      <c r="J70" s="34" t="n">
        <v>5</v>
      </c>
    </row>
    <row r="71" customFormat="false" ht="15" hidden="false" customHeight="false" outlineLevel="0" collapsed="false">
      <c r="B71" s="35" t="s">
        <v>441</v>
      </c>
      <c r="C71" s="36" t="n">
        <v>1196.27463</v>
      </c>
      <c r="D71" s="36" t="n">
        <v>0</v>
      </c>
      <c r="E71" s="36" t="n">
        <v>123.14581</v>
      </c>
      <c r="F71" s="36" t="n">
        <v>36.943743</v>
      </c>
      <c r="G71" s="36" t="n">
        <v>160.089553</v>
      </c>
      <c r="H71" s="36" t="n">
        <v>1160.3863911</v>
      </c>
      <c r="I71" s="37" t="s">
        <v>90</v>
      </c>
      <c r="J71" s="38" t="n">
        <v>30</v>
      </c>
    </row>
    <row r="72" customFormat="false" ht="15" hidden="false" customHeight="false" outlineLevel="0" collapsed="false">
      <c r="B72" s="31" t="s">
        <v>442</v>
      </c>
      <c r="C72" s="32" t="n">
        <v>2312.797618</v>
      </c>
      <c r="D72" s="32" t="n">
        <v>2312.797618</v>
      </c>
      <c r="E72" s="32" t="n">
        <v>2312.797618</v>
      </c>
      <c r="F72" s="32" t="n">
        <v>0</v>
      </c>
      <c r="G72" s="32" t="n">
        <v>2312.797618</v>
      </c>
      <c r="H72" s="32" t="n">
        <v>0</v>
      </c>
      <c r="I72" s="33" t="s">
        <v>97</v>
      </c>
      <c r="J72" s="34" t="n">
        <v>5</v>
      </c>
    </row>
    <row r="73" customFormat="false" ht="15" hidden="false" customHeight="false" outlineLevel="0" collapsed="false">
      <c r="B73" s="35" t="s">
        <v>443</v>
      </c>
      <c r="C73" s="36" t="n">
        <v>6499.758823</v>
      </c>
      <c r="D73" s="36" t="n">
        <v>0</v>
      </c>
      <c r="E73" s="36" t="n">
        <v>1169.885195</v>
      </c>
      <c r="F73" s="36" t="n">
        <v>216.7366256</v>
      </c>
      <c r="G73" s="36" t="n">
        <v>1391.547653</v>
      </c>
      <c r="H73" s="36" t="n">
        <v>6044.77570539</v>
      </c>
      <c r="I73" s="37" t="s">
        <v>90</v>
      </c>
      <c r="J73" s="38" t="n">
        <v>30</v>
      </c>
    </row>
    <row r="74" customFormat="false" ht="15" hidden="false" customHeight="false" outlineLevel="0" collapsed="false">
      <c r="B74" s="31" t="s">
        <v>444</v>
      </c>
      <c r="C74" s="32" t="n">
        <v>1993.79105</v>
      </c>
      <c r="D74" s="32" t="n">
        <v>1993.79105</v>
      </c>
      <c r="E74" s="32" t="n">
        <v>1993.79105</v>
      </c>
      <c r="F74" s="32" t="n">
        <v>0</v>
      </c>
      <c r="G74" s="32" t="n">
        <v>1993.79105</v>
      </c>
      <c r="H74" s="32" t="n">
        <v>0</v>
      </c>
      <c r="I74" s="33" t="s">
        <v>97</v>
      </c>
      <c r="J74" s="34" t="n">
        <v>5</v>
      </c>
    </row>
    <row r="75" customFormat="false" ht="15" hidden="false" customHeight="false" outlineLevel="0" collapsed="false">
      <c r="B75" s="35" t="s">
        <v>445</v>
      </c>
      <c r="C75" s="36" t="n">
        <v>5582.61494</v>
      </c>
      <c r="D75" s="36" t="n">
        <v>0</v>
      </c>
      <c r="E75" s="36" t="n">
        <v>197.033296</v>
      </c>
      <c r="F75" s="36" t="n">
        <v>184.718715</v>
      </c>
      <c r="G75" s="36" t="n">
        <v>381.752011</v>
      </c>
      <c r="H75" s="36" t="n">
        <v>5470.9626412</v>
      </c>
      <c r="I75" s="37" t="s">
        <v>90</v>
      </c>
      <c r="J75" s="38" t="n">
        <v>30</v>
      </c>
    </row>
    <row r="76" customFormat="false" ht="15" hidden="false" customHeight="false" outlineLevel="0" collapsed="false">
      <c r="B76" s="31" t="s">
        <v>446</v>
      </c>
      <c r="C76" s="32" t="n">
        <v>13358.400035</v>
      </c>
      <c r="D76" s="32" t="n">
        <v>10686.720028</v>
      </c>
      <c r="E76" s="32" t="n">
        <v>11969.772732</v>
      </c>
      <c r="F76" s="32" t="n">
        <v>911.278994</v>
      </c>
      <c r="G76" s="32" t="n">
        <v>12881.051726</v>
      </c>
      <c r="H76" s="32" t="n">
        <v>146.942400385</v>
      </c>
      <c r="I76" s="33" t="s">
        <v>97</v>
      </c>
      <c r="J76" s="34" t="n">
        <v>5</v>
      </c>
    </row>
    <row r="77" customFormat="false" ht="15" hidden="false" customHeight="false" outlineLevel="0" collapsed="false">
      <c r="B77" s="35" t="s">
        <v>447</v>
      </c>
      <c r="C77" s="36" t="n">
        <v>37283.892635</v>
      </c>
      <c r="D77" s="36" t="n">
        <v>0</v>
      </c>
      <c r="E77" s="36" t="n">
        <v>1009.795642</v>
      </c>
      <c r="F77" s="36" t="n">
        <v>1428.491396</v>
      </c>
      <c r="G77" s="36" t="n">
        <v>2438.287038</v>
      </c>
      <c r="H77" s="36" t="n">
        <v>36538.2147823</v>
      </c>
      <c r="I77" s="37" t="s">
        <v>90</v>
      </c>
      <c r="J77" s="38" t="n">
        <v>30</v>
      </c>
    </row>
    <row r="78" customFormat="false" ht="15" hidden="false" customHeight="false" outlineLevel="0" collapsed="false">
      <c r="A78" s="10"/>
      <c r="B78" s="11" t="s">
        <v>24</v>
      </c>
      <c r="C78" s="39" t="n">
        <f aca="false">SUM(C64:C77)</f>
        <v>397785.2399676</v>
      </c>
      <c r="D78" s="39" t="n">
        <f aca="false">SUM(D64:D77)</f>
        <v>89864.1502056</v>
      </c>
      <c r="E78" s="39" t="n">
        <f aca="false">SUM(E64:E77)</f>
        <v>113837.0690226</v>
      </c>
      <c r="F78" s="39" t="n">
        <f aca="false">SUM(F64:F77)</f>
        <v>14834.1442726</v>
      </c>
      <c r="G78" s="39" t="n">
        <f aca="false">SUM(G64:G77)</f>
        <v>128688.4537086</v>
      </c>
      <c r="H78" s="39" t="n">
        <f aca="false">SUM(H64:H77)</f>
        <v>279579.150607145</v>
      </c>
      <c r="I78" s="10"/>
      <c r="J78" s="10"/>
    </row>
    <row r="80" customFormat="false" ht="15" hidden="false" customHeight="false" outlineLevel="0" collapsed="false">
      <c r="A80" s="27" t="s">
        <v>48</v>
      </c>
      <c r="B80" s="27"/>
      <c r="C80" s="27"/>
      <c r="D80" s="27"/>
      <c r="E80" s="27"/>
    </row>
    <row r="81" customFormat="false" ht="15" hidden="false" customHeight="false" outlineLevel="0" collapsed="false">
      <c r="B81" s="8" t="s">
        <v>114</v>
      </c>
      <c r="C81" s="41" t="n">
        <f aca="false">G60</f>
        <v>34013.127044853</v>
      </c>
    </row>
    <row r="82" customFormat="false" ht="15" hidden="false" customHeight="false" outlineLevel="0" collapsed="false">
      <c r="B82" s="8" t="s">
        <v>115</v>
      </c>
      <c r="C82" s="41" t="n">
        <f aca="false">G78</f>
        <v>128688.4537086</v>
      </c>
    </row>
    <row r="83" customFormat="false" ht="15" hidden="false" customHeight="false" outlineLevel="0" collapsed="false">
      <c r="B83" s="17" t="s">
        <v>48</v>
      </c>
      <c r="C83" s="42" t="n">
        <f aca="false">C82-C81</f>
        <v>94675.326663747</v>
      </c>
    </row>
  </sheetData>
  <mergeCells count="11">
    <mergeCell ref="A2:J2"/>
    <mergeCell ref="A3:J3"/>
    <mergeCell ref="A4:J4"/>
    <mergeCell ref="A8:J8"/>
    <mergeCell ref="B10:J10"/>
    <mergeCell ref="B22:J22"/>
    <mergeCell ref="B40:J40"/>
    <mergeCell ref="A50:J50"/>
    <mergeCell ref="A51:J51"/>
    <mergeCell ref="A62:J62"/>
    <mergeCell ref="A80:E8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448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50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51</v>
      </c>
      <c r="C6" s="8" t="s">
        <v>26</v>
      </c>
    </row>
    <row r="8" customFormat="false" ht="15" hidden="false" customHeight="false" outlineLevel="0" collapsed="false">
      <c r="A8" s="21" t="s">
        <v>449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53</v>
      </c>
      <c r="C9" s="23" t="s">
        <v>54</v>
      </c>
      <c r="D9" s="23" t="s">
        <v>55</v>
      </c>
      <c r="E9" s="23" t="s">
        <v>56</v>
      </c>
      <c r="F9" s="23" t="s">
        <v>57</v>
      </c>
      <c r="G9" s="23" t="s">
        <v>58</v>
      </c>
      <c r="H9" s="23" t="s">
        <v>59</v>
      </c>
    </row>
    <row r="10" customFormat="false" ht="15" hidden="false" customHeight="false" outlineLevel="0" collapsed="false">
      <c r="A10" s="5"/>
      <c r="B10" s="6" t="s">
        <v>118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119</v>
      </c>
      <c r="C11" s="16" t="n">
        <v>31452.73</v>
      </c>
      <c r="D11" s="16" t="n">
        <v>31452.73</v>
      </c>
    </row>
    <row r="12" customFormat="false" ht="15" hidden="false" customHeight="false" outlineLevel="0" collapsed="false">
      <c r="B12" s="8" t="s">
        <v>120</v>
      </c>
      <c r="C12" s="16" t="n">
        <v>8394.17</v>
      </c>
      <c r="D12" s="16" t="n">
        <v>8394.17</v>
      </c>
    </row>
    <row r="13" customFormat="false" ht="15" hidden="false" customHeight="false" outlineLevel="0" collapsed="false">
      <c r="B13" s="8" t="s">
        <v>121</v>
      </c>
      <c r="C13" s="16" t="n">
        <v>32815.89</v>
      </c>
      <c r="D13" s="16" t="n">
        <v>32815.89</v>
      </c>
    </row>
    <row r="14" customFormat="false" ht="15" hidden="false" customHeight="false" outlineLevel="0" collapsed="false">
      <c r="B14" s="8" t="s">
        <v>122</v>
      </c>
      <c r="C14" s="16" t="n">
        <v>2648.72</v>
      </c>
      <c r="D14" s="16" t="n">
        <v>2648.72</v>
      </c>
    </row>
    <row r="15" customFormat="false" ht="15" hidden="false" customHeight="false" outlineLevel="0" collapsed="false">
      <c r="B15" s="8" t="s">
        <v>123</v>
      </c>
      <c r="C15" s="16" t="n">
        <v>0.394</v>
      </c>
      <c r="D15" s="16" t="n">
        <v>0.394</v>
      </c>
    </row>
    <row r="16" customFormat="false" ht="15" hidden="false" customHeight="false" outlineLevel="0" collapsed="false">
      <c r="B16" s="8" t="s">
        <v>124</v>
      </c>
      <c r="C16" s="16" t="n">
        <v>5344.3</v>
      </c>
      <c r="D16" s="16" t="n">
        <v>5344.3</v>
      </c>
    </row>
    <row r="17" customFormat="false" ht="15" hidden="false" customHeight="false" outlineLevel="0" collapsed="false">
      <c r="B17" s="8" t="s">
        <v>125</v>
      </c>
      <c r="C17" s="16" t="n">
        <v>2858.97</v>
      </c>
      <c r="D17" s="16" t="n">
        <v>2858.97</v>
      </c>
    </row>
    <row r="18" customFormat="false" ht="15" hidden="false" customHeight="false" outlineLevel="0" collapsed="false">
      <c r="B18" s="8" t="s">
        <v>126</v>
      </c>
      <c r="C18" s="16" t="n">
        <v>9687.68</v>
      </c>
      <c r="D18" s="16" t="n">
        <v>9687.68</v>
      </c>
    </row>
    <row r="19" customFormat="false" ht="15" hidden="false" customHeight="false" outlineLevel="0" collapsed="false">
      <c r="B19" s="8" t="s">
        <v>127</v>
      </c>
      <c r="C19" s="16" t="n">
        <v>2139.23</v>
      </c>
      <c r="D19" s="16" t="n">
        <v>2139.23</v>
      </c>
    </row>
    <row r="20" customFormat="false" ht="15" hidden="false" customHeight="false" outlineLevel="0" collapsed="false">
      <c r="B20" s="8" t="s">
        <v>128</v>
      </c>
      <c r="C20" s="16" t="n">
        <v>605.69</v>
      </c>
      <c r="D20" s="16" t="n">
        <v>605.69</v>
      </c>
    </row>
    <row r="21" customFormat="false" ht="15" hidden="false" customHeight="false" outlineLevel="0" collapsed="false">
      <c r="B21" s="8" t="s">
        <v>129</v>
      </c>
      <c r="C21" s="16" t="n">
        <v>8326.94</v>
      </c>
      <c r="D21" s="16" t="n">
        <v>8326.94</v>
      </c>
    </row>
    <row r="22" customFormat="false" ht="15" hidden="false" customHeight="false" outlineLevel="0" collapsed="false">
      <c r="A22" s="5"/>
      <c r="B22" s="6" t="s">
        <v>130</v>
      </c>
      <c r="C22" s="6"/>
      <c r="D22" s="6"/>
      <c r="E22" s="6"/>
      <c r="F22" s="6"/>
      <c r="G22" s="6"/>
      <c r="H22" s="6"/>
      <c r="I22" s="6"/>
      <c r="J22" s="6"/>
    </row>
    <row r="23" customFormat="false" ht="15" hidden="false" customHeight="false" outlineLevel="0" collapsed="false">
      <c r="B23" s="8" t="s">
        <v>131</v>
      </c>
      <c r="C23" s="16" t="n">
        <v>25000</v>
      </c>
      <c r="G23" s="16" t="n">
        <v>25000</v>
      </c>
    </row>
    <row r="24" customFormat="false" ht="15" hidden="false" customHeight="false" outlineLevel="0" collapsed="false">
      <c r="B24" s="8" t="s">
        <v>132</v>
      </c>
      <c r="C24" s="16" t="n">
        <v>32000</v>
      </c>
      <c r="G24" s="16" t="n">
        <v>32000</v>
      </c>
    </row>
    <row r="25" customFormat="false" ht="15" hidden="false" customHeight="false" outlineLevel="0" collapsed="false">
      <c r="B25" s="8" t="s">
        <v>133</v>
      </c>
      <c r="C25" s="16" t="n">
        <v>33000</v>
      </c>
      <c r="G25" s="16" t="n">
        <v>33000</v>
      </c>
    </row>
    <row r="26" customFormat="false" ht="15" hidden="false" customHeight="false" outlineLevel="0" collapsed="false">
      <c r="B26" s="8" t="s">
        <v>134</v>
      </c>
      <c r="C26" s="16" t="n">
        <v>27000</v>
      </c>
      <c r="G26" s="16" t="n">
        <v>27000</v>
      </c>
    </row>
    <row r="27" customFormat="false" ht="15" hidden="false" customHeight="false" outlineLevel="0" collapsed="false">
      <c r="B27" s="8" t="s">
        <v>135</v>
      </c>
      <c r="C27" s="16" t="n">
        <v>2200</v>
      </c>
      <c r="G27" s="16" t="n">
        <v>2200</v>
      </c>
    </row>
    <row r="28" customFormat="false" ht="15" hidden="false" customHeight="false" outlineLevel="0" collapsed="false">
      <c r="B28" s="8" t="s">
        <v>136</v>
      </c>
      <c r="C28" s="16" t="n">
        <v>20000</v>
      </c>
      <c r="G28" s="16" t="n">
        <v>20000</v>
      </c>
    </row>
    <row r="29" customFormat="false" ht="15" hidden="false" customHeight="false" outlineLevel="0" collapsed="false">
      <c r="B29" s="8" t="s">
        <v>137</v>
      </c>
      <c r="C29" s="16" t="n">
        <v>18000</v>
      </c>
      <c r="G29" s="16" t="n">
        <v>18000</v>
      </c>
    </row>
    <row r="30" customFormat="false" ht="15" hidden="false" customHeight="false" outlineLevel="0" collapsed="false">
      <c r="B30" s="8" t="s">
        <v>138</v>
      </c>
      <c r="C30" s="16" t="n">
        <v>16000</v>
      </c>
      <c r="G30" s="16" t="n">
        <v>16000</v>
      </c>
    </row>
    <row r="31" customFormat="false" ht="15" hidden="false" customHeight="false" outlineLevel="0" collapsed="false">
      <c r="B31" s="8" t="s">
        <v>139</v>
      </c>
      <c r="C31" s="16" t="n">
        <v>15000</v>
      </c>
      <c r="G31" s="16" t="n">
        <v>15000</v>
      </c>
    </row>
    <row r="32" customFormat="false" ht="15" hidden="false" customHeight="false" outlineLevel="0" collapsed="false">
      <c r="B32" s="8" t="s">
        <v>140</v>
      </c>
      <c r="C32" s="16" t="n">
        <v>40000</v>
      </c>
      <c r="G32" s="16" t="n">
        <v>40000</v>
      </c>
    </row>
    <row r="33" customFormat="false" ht="15" hidden="false" customHeight="false" outlineLevel="0" collapsed="false">
      <c r="B33" s="8" t="s">
        <v>141</v>
      </c>
      <c r="C33" s="16" t="n">
        <v>17000</v>
      </c>
      <c r="G33" s="16" t="n">
        <v>17000</v>
      </c>
    </row>
    <row r="34" customFormat="false" ht="15" hidden="false" customHeight="false" outlineLevel="0" collapsed="false">
      <c r="B34" s="8" t="s">
        <v>142</v>
      </c>
      <c r="C34" s="16" t="n">
        <v>1400</v>
      </c>
      <c r="G34" s="16" t="n">
        <v>1400</v>
      </c>
    </row>
    <row r="35" customFormat="false" ht="15" hidden="false" customHeight="false" outlineLevel="0" collapsed="false">
      <c r="B35" s="8" t="s">
        <v>143</v>
      </c>
      <c r="C35" s="16" t="n">
        <v>44000</v>
      </c>
      <c r="G35" s="16" t="n">
        <v>44000</v>
      </c>
    </row>
    <row r="36" customFormat="false" ht="15" hidden="false" customHeight="false" outlineLevel="0" collapsed="false">
      <c r="B36" s="8" t="s">
        <v>144</v>
      </c>
      <c r="C36" s="16" t="n">
        <v>9000</v>
      </c>
      <c r="G36" s="16" t="n">
        <v>9000</v>
      </c>
    </row>
    <row r="37" customFormat="false" ht="15" hidden="false" customHeight="false" outlineLevel="0" collapsed="false">
      <c r="B37" s="8" t="s">
        <v>145</v>
      </c>
      <c r="C37" s="16" t="n">
        <v>3500</v>
      </c>
      <c r="G37" s="16" t="n">
        <v>3500</v>
      </c>
    </row>
    <row r="38" customFormat="false" ht="15" hidden="false" customHeight="false" outlineLevel="0" collapsed="false">
      <c r="A38" s="24"/>
      <c r="B38" s="25" t="s">
        <v>69</v>
      </c>
      <c r="C38" s="26" t="n">
        <f aca="false">SUM(C10:C37)</f>
        <v>407374.714</v>
      </c>
      <c r="D38" s="26" t="n">
        <f aca="false">SUM(D10:D37)</f>
        <v>104274.714</v>
      </c>
      <c r="E38" s="26" t="n">
        <f aca="false">SUM(E10:E37)</f>
        <v>0</v>
      </c>
      <c r="F38" s="26" t="n">
        <f aca="false">SUM(F10:F37)</f>
        <v>0</v>
      </c>
      <c r="G38" s="26" t="n">
        <f aca="false">SUM(G10:G37)</f>
        <v>303100</v>
      </c>
      <c r="H38" s="24"/>
    </row>
    <row r="40" customFormat="false" ht="15" hidden="false" customHeight="false" outlineLevel="0" collapsed="false">
      <c r="A40" s="5"/>
      <c r="B40" s="6" t="s">
        <v>70</v>
      </c>
      <c r="C40" s="6"/>
      <c r="D40" s="6"/>
      <c r="E40" s="6"/>
      <c r="F40" s="6"/>
      <c r="G40" s="6"/>
      <c r="H40" s="6"/>
      <c r="I40" s="6"/>
      <c r="J40" s="6"/>
    </row>
    <row r="41" customFormat="false" ht="15" hidden="false" customHeight="false" outlineLevel="0" collapsed="false">
      <c r="B41" s="8" t="s">
        <v>71</v>
      </c>
      <c r="C41" s="16" t="n">
        <v>72150.06183</v>
      </c>
      <c r="D41" s="16" t="n">
        <v>18009.14283</v>
      </c>
      <c r="G41" s="16" t="n">
        <v>54140.919</v>
      </c>
    </row>
    <row r="42" customFormat="false" ht="15" hidden="false" customHeight="false" outlineLevel="0" collapsed="false">
      <c r="B42" s="8" t="s">
        <v>146</v>
      </c>
      <c r="C42" s="16" t="n">
        <v>38719.039392</v>
      </c>
      <c r="D42" s="16" t="n">
        <v>9664.533792</v>
      </c>
      <c r="G42" s="16" t="n">
        <v>29054.5056</v>
      </c>
    </row>
    <row r="43" customFormat="false" ht="15" hidden="false" customHeight="false" outlineLevel="0" collapsed="false">
      <c r="B43" s="8" t="s">
        <v>147</v>
      </c>
      <c r="C43" s="16" t="n">
        <v>260367.61443</v>
      </c>
      <c r="D43" s="16" t="n">
        <v>64989.51543</v>
      </c>
      <c r="G43" s="16" t="n">
        <v>195378.099</v>
      </c>
    </row>
    <row r="44" customFormat="false" ht="15" hidden="false" customHeight="false" outlineLevel="0" collapsed="false">
      <c r="B44" s="8" t="s">
        <v>148</v>
      </c>
      <c r="C44" s="16" t="n">
        <v>1819.4363418</v>
      </c>
      <c r="D44" s="16" t="n">
        <v>454.1436018</v>
      </c>
      <c r="G44" s="16" t="n">
        <v>1365.29274</v>
      </c>
    </row>
    <row r="45" customFormat="false" ht="15" hidden="false" customHeight="false" outlineLevel="0" collapsed="false">
      <c r="B45" s="8" t="s">
        <v>75</v>
      </c>
      <c r="C45" s="16" t="n">
        <v>9903.828363</v>
      </c>
      <c r="D45" s="16" t="n">
        <v>2472.062463</v>
      </c>
      <c r="G45" s="16" t="n">
        <v>7431.7659</v>
      </c>
    </row>
    <row r="46" customFormat="false" ht="15" hidden="false" customHeight="false" outlineLevel="0" collapsed="false">
      <c r="B46" s="8" t="s">
        <v>149</v>
      </c>
      <c r="C46" s="16" t="n">
        <v>8514.60357</v>
      </c>
      <c r="D46" s="16" t="n">
        <v>2125.30257</v>
      </c>
      <c r="G46" s="16" t="n">
        <v>6389.301</v>
      </c>
    </row>
    <row r="47" customFormat="false" ht="15" hidden="false" customHeight="false" outlineLevel="0" collapsed="false">
      <c r="B47" s="8" t="s">
        <v>150</v>
      </c>
      <c r="C47" s="16" t="n">
        <v>56913.40281</v>
      </c>
      <c r="D47" s="16" t="n">
        <v>14205.96981</v>
      </c>
      <c r="G47" s="16" t="n">
        <v>42707.433</v>
      </c>
    </row>
    <row r="48" customFormat="false" ht="15" hidden="false" customHeight="false" outlineLevel="0" collapsed="false">
      <c r="A48" s="24"/>
      <c r="B48" s="25" t="s">
        <v>78</v>
      </c>
      <c r="C48" s="26" t="n">
        <f aca="false">SUM(C41:C47)</f>
        <v>448387.9867368</v>
      </c>
      <c r="D48" s="26" t="n">
        <f aca="false">SUM(D41:D47)</f>
        <v>111920.6704968</v>
      </c>
      <c r="E48" s="24"/>
      <c r="F48" s="26" t="n">
        <f aca="false">SUM(F41:F47)</f>
        <v>0</v>
      </c>
      <c r="G48" s="26" t="n">
        <f aca="false">SUM(G41:G47)</f>
        <v>336467.31624</v>
      </c>
      <c r="H48" s="24"/>
    </row>
    <row r="50" customFormat="false" ht="15" hidden="false" customHeight="false" outlineLevel="0" collapsed="false">
      <c r="A50" s="27" t="s">
        <v>79</v>
      </c>
      <c r="B50" s="27"/>
      <c r="C50" s="27"/>
      <c r="D50" s="27"/>
      <c r="E50" s="27"/>
      <c r="F50" s="27"/>
      <c r="G50" s="27"/>
      <c r="H50" s="27"/>
      <c r="I50" s="27"/>
      <c r="J50" s="27"/>
    </row>
    <row r="51" customFormat="false" ht="15" hidden="false" customHeight="false" outlineLevel="0" collapsed="false">
      <c r="A51" s="28" t="s">
        <v>46</v>
      </c>
      <c r="B51" s="28"/>
      <c r="C51" s="28"/>
      <c r="D51" s="28"/>
      <c r="E51" s="28"/>
      <c r="F51" s="28"/>
      <c r="G51" s="28"/>
      <c r="H51" s="28"/>
      <c r="I51" s="28"/>
      <c r="J51" s="28"/>
    </row>
    <row r="52" customFormat="false" ht="15" hidden="false" customHeight="false" outlineLevel="0" collapsed="false">
      <c r="A52" s="29"/>
      <c r="B52" s="29" t="s">
        <v>80</v>
      </c>
      <c r="C52" s="30" t="s">
        <v>81</v>
      </c>
      <c r="D52" s="30" t="s">
        <v>82</v>
      </c>
      <c r="E52" s="30" t="s">
        <v>83</v>
      </c>
      <c r="F52" s="30" t="s">
        <v>84</v>
      </c>
      <c r="G52" s="30" t="s">
        <v>85</v>
      </c>
      <c r="H52" s="30" t="s">
        <v>86</v>
      </c>
      <c r="I52" s="30" t="s">
        <v>87</v>
      </c>
      <c r="J52" s="30" t="s">
        <v>88</v>
      </c>
    </row>
    <row r="53" customFormat="false" ht="15" hidden="false" customHeight="false" outlineLevel="0" collapsed="false">
      <c r="B53" s="31" t="s">
        <v>450</v>
      </c>
      <c r="C53" s="32" t="n">
        <v>72150.06183</v>
      </c>
      <c r="D53" s="32" t="n">
        <v>0</v>
      </c>
      <c r="E53" s="32" t="n">
        <v>4435.1796</v>
      </c>
      <c r="F53" s="32" t="n">
        <v>1478.3932</v>
      </c>
      <c r="G53" s="32" t="n">
        <v>5913.5728</v>
      </c>
      <c r="H53" s="32" t="n">
        <v>61327.5525555</v>
      </c>
      <c r="I53" s="33" t="s">
        <v>90</v>
      </c>
      <c r="J53" s="34" t="n">
        <v>30</v>
      </c>
    </row>
    <row r="54" customFormat="false" ht="15" hidden="false" customHeight="false" outlineLevel="0" collapsed="false">
      <c r="B54" s="35" t="s">
        <v>451</v>
      </c>
      <c r="C54" s="36" t="n">
        <v>38719.039392</v>
      </c>
      <c r="D54" s="36" t="n">
        <v>0</v>
      </c>
      <c r="E54" s="36" t="n">
        <v>2402.38895</v>
      </c>
      <c r="F54" s="36" t="n">
        <v>813.11626</v>
      </c>
      <c r="G54" s="36" t="n">
        <v>3215.50521</v>
      </c>
      <c r="H54" s="36" t="n">
        <v>34072.75466496</v>
      </c>
      <c r="I54" s="37" t="s">
        <v>90</v>
      </c>
      <c r="J54" s="38" t="n">
        <v>30</v>
      </c>
    </row>
    <row r="55" customFormat="false" ht="15" hidden="false" customHeight="false" outlineLevel="0" collapsed="false">
      <c r="B55" s="31" t="s">
        <v>452</v>
      </c>
      <c r="C55" s="32" t="n">
        <v>260367.61443</v>
      </c>
      <c r="D55" s="32" t="n">
        <v>0</v>
      </c>
      <c r="E55" s="32" t="n">
        <v>16262.3252</v>
      </c>
      <c r="F55" s="32" t="n">
        <v>5543.9745</v>
      </c>
      <c r="G55" s="32" t="n">
        <v>21806.2997</v>
      </c>
      <c r="H55" s="32" t="n">
        <v>234330.852987</v>
      </c>
      <c r="I55" s="33" t="s">
        <v>90</v>
      </c>
      <c r="J55" s="34" t="n">
        <v>30</v>
      </c>
    </row>
    <row r="56" customFormat="false" ht="15" hidden="false" customHeight="false" outlineLevel="0" collapsed="false">
      <c r="B56" s="35" t="s">
        <v>453</v>
      </c>
      <c r="C56" s="36" t="n">
        <v>1819.4363418</v>
      </c>
      <c r="D56" s="36" t="n">
        <v>0</v>
      </c>
      <c r="E56" s="36" t="n">
        <v>110.87949</v>
      </c>
      <c r="F56" s="36" t="n">
        <v>36.95983</v>
      </c>
      <c r="G56" s="36" t="n">
        <v>147.83932</v>
      </c>
      <c r="H56" s="36" t="n">
        <v>1601.103980784</v>
      </c>
      <c r="I56" s="37" t="s">
        <v>90</v>
      </c>
      <c r="J56" s="38" t="n">
        <v>30</v>
      </c>
    </row>
    <row r="57" customFormat="false" ht="15" hidden="false" customHeight="false" outlineLevel="0" collapsed="false">
      <c r="B57" s="31" t="s">
        <v>454</v>
      </c>
      <c r="C57" s="32" t="n">
        <v>9903.828363</v>
      </c>
      <c r="D57" s="32" t="n">
        <v>2535.380060928</v>
      </c>
      <c r="E57" s="32" t="n">
        <v>2535.380060928</v>
      </c>
      <c r="F57" s="32" t="n">
        <v>762.594783951</v>
      </c>
      <c r="G57" s="32" t="n">
        <v>3297.974844879</v>
      </c>
      <c r="H57" s="32" t="n">
        <v>6605.853518121</v>
      </c>
      <c r="I57" s="33" t="s">
        <v>95</v>
      </c>
      <c r="J57" s="34" t="n">
        <v>15</v>
      </c>
    </row>
    <row r="58" customFormat="false" ht="15" hidden="false" customHeight="false" outlineLevel="0" collapsed="false">
      <c r="B58" s="35" t="s">
        <v>455</v>
      </c>
      <c r="C58" s="36" t="n">
        <v>8514.60357</v>
      </c>
      <c r="D58" s="36" t="n">
        <v>0</v>
      </c>
      <c r="E58" s="36" t="n">
        <v>0</v>
      </c>
      <c r="F58" s="36" t="n">
        <v>0</v>
      </c>
      <c r="G58" s="36" t="n">
        <v>0</v>
      </c>
      <c r="H58" s="36" t="n">
        <v>8514.60357</v>
      </c>
      <c r="I58" s="37" t="s">
        <v>97</v>
      </c>
      <c r="J58" s="38" t="n">
        <v>5</v>
      </c>
    </row>
    <row r="59" customFormat="false" ht="15" hidden="false" customHeight="false" outlineLevel="0" collapsed="false">
      <c r="B59" s="31" t="s">
        <v>456</v>
      </c>
      <c r="C59" s="32" t="n">
        <v>56913.40281</v>
      </c>
      <c r="D59" s="32" t="n">
        <v>0</v>
      </c>
      <c r="E59" s="32" t="n">
        <v>1478.3932</v>
      </c>
      <c r="F59" s="32" t="n">
        <v>2365.42912</v>
      </c>
      <c r="G59" s="32" t="n">
        <v>3843.82232</v>
      </c>
      <c r="H59" s="32" t="n">
        <v>50652.9285009</v>
      </c>
      <c r="I59" s="33" t="s">
        <v>97</v>
      </c>
      <c r="J59" s="34" t="n">
        <v>5</v>
      </c>
    </row>
    <row r="60" customFormat="false" ht="15" hidden="false" customHeight="false" outlineLevel="0" collapsed="false">
      <c r="A60" s="10"/>
      <c r="B60" s="11" t="s">
        <v>24</v>
      </c>
      <c r="C60" s="39" t="n">
        <f aca="false">SUM(C53:C59)</f>
        <v>448387.9867368</v>
      </c>
      <c r="D60" s="39" t="n">
        <f aca="false">SUM(D53:D59)</f>
        <v>2535.380060928</v>
      </c>
      <c r="E60" s="39" t="n">
        <f aca="false">SUM(E53:E59)</f>
        <v>27224.546500928</v>
      </c>
      <c r="F60" s="39" t="n">
        <f aca="false">SUM(F53:F59)</f>
        <v>11000.467693951</v>
      </c>
      <c r="G60" s="39" t="n">
        <f aca="false">SUM(G53:G59)</f>
        <v>38225.014194879</v>
      </c>
      <c r="H60" s="39" t="n">
        <f aca="false">SUM(H53:H59)</f>
        <v>397105.649777265</v>
      </c>
      <c r="I60" s="10"/>
      <c r="J60" s="10"/>
    </row>
    <row r="62" customFormat="false" ht="15" hidden="false" customHeight="false" outlineLevel="0" collapsed="false">
      <c r="A62" s="40" t="s">
        <v>99</v>
      </c>
      <c r="B62" s="40"/>
      <c r="C62" s="40"/>
      <c r="D62" s="40"/>
      <c r="E62" s="40"/>
      <c r="F62" s="40"/>
      <c r="G62" s="40"/>
      <c r="H62" s="40"/>
      <c r="I62" s="40"/>
      <c r="J62" s="40"/>
    </row>
    <row r="63" customFormat="false" ht="15" hidden="false" customHeight="false" outlineLevel="0" collapsed="false">
      <c r="A63" s="29"/>
      <c r="B63" s="29" t="s">
        <v>80</v>
      </c>
      <c r="C63" s="30" t="s">
        <v>81</v>
      </c>
      <c r="D63" s="30" t="s">
        <v>82</v>
      </c>
      <c r="E63" s="30" t="s">
        <v>83</v>
      </c>
      <c r="F63" s="30" t="s">
        <v>84</v>
      </c>
      <c r="G63" s="30" t="s">
        <v>85</v>
      </c>
      <c r="H63" s="30" t="s">
        <v>86</v>
      </c>
      <c r="I63" s="30" t="s">
        <v>87</v>
      </c>
      <c r="J63" s="30" t="s">
        <v>88</v>
      </c>
    </row>
    <row r="64" customFormat="false" ht="15" hidden="false" customHeight="false" outlineLevel="0" collapsed="false">
      <c r="B64" s="31" t="s">
        <v>457</v>
      </c>
      <c r="C64" s="32" t="n">
        <v>18821.75526</v>
      </c>
      <c r="D64" s="32" t="n">
        <v>18821.75526</v>
      </c>
      <c r="E64" s="32" t="n">
        <v>18821.75526</v>
      </c>
      <c r="F64" s="32" t="n">
        <v>0</v>
      </c>
      <c r="G64" s="32" t="n">
        <v>18821.75526</v>
      </c>
      <c r="H64" s="32" t="n">
        <v>0</v>
      </c>
      <c r="I64" s="33" t="s">
        <v>97</v>
      </c>
      <c r="J64" s="34" t="n">
        <v>5</v>
      </c>
    </row>
    <row r="65" customFormat="false" ht="15" hidden="false" customHeight="false" outlineLevel="0" collapsed="false">
      <c r="B65" s="35" t="s">
        <v>458</v>
      </c>
      <c r="C65" s="36" t="n">
        <v>53328.30657</v>
      </c>
      <c r="D65" s="36" t="n">
        <v>0</v>
      </c>
      <c r="E65" s="36" t="n">
        <v>9746.74246</v>
      </c>
      <c r="F65" s="36" t="n">
        <v>1735.72126</v>
      </c>
      <c r="G65" s="36" t="n">
        <v>11482.46372</v>
      </c>
      <c r="H65" s="36" t="n">
        <v>43729.2113874</v>
      </c>
      <c r="I65" s="37" t="s">
        <v>90</v>
      </c>
      <c r="J65" s="38" t="n">
        <v>30</v>
      </c>
    </row>
    <row r="66" customFormat="false" ht="15" hidden="false" customHeight="false" outlineLevel="0" collapsed="false">
      <c r="B66" s="31" t="s">
        <v>459</v>
      </c>
      <c r="C66" s="32" t="n">
        <v>10172.710581</v>
      </c>
      <c r="D66" s="32" t="n">
        <v>10172.710581</v>
      </c>
      <c r="E66" s="32" t="n">
        <v>10172.710581</v>
      </c>
      <c r="F66" s="32" t="n">
        <v>0</v>
      </c>
      <c r="G66" s="32" t="n">
        <v>10172.710581</v>
      </c>
      <c r="H66" s="32" t="n">
        <v>0</v>
      </c>
      <c r="I66" s="33" t="s">
        <v>97</v>
      </c>
      <c r="J66" s="34" t="n">
        <v>5</v>
      </c>
    </row>
    <row r="67" customFormat="false" ht="15" hidden="false" customHeight="false" outlineLevel="0" collapsed="false">
      <c r="B67" s="35" t="s">
        <v>460</v>
      </c>
      <c r="C67" s="36" t="n">
        <v>28546.328811</v>
      </c>
      <c r="D67" s="36" t="n">
        <v>0</v>
      </c>
      <c r="E67" s="36" t="n">
        <v>5207.16378</v>
      </c>
      <c r="F67" s="36" t="n">
        <v>921.267438</v>
      </c>
      <c r="G67" s="36" t="n">
        <v>6141.78292</v>
      </c>
      <c r="H67" s="36" t="n">
        <v>26548.08579423</v>
      </c>
      <c r="I67" s="37" t="s">
        <v>90</v>
      </c>
      <c r="J67" s="38" t="n">
        <v>30</v>
      </c>
    </row>
    <row r="68" customFormat="false" ht="15" hidden="false" customHeight="false" outlineLevel="0" collapsed="false">
      <c r="B68" s="31" t="s">
        <v>461</v>
      </c>
      <c r="C68" s="32" t="n">
        <v>68116.82856</v>
      </c>
      <c r="D68" s="32" t="n">
        <v>54672.71766</v>
      </c>
      <c r="E68" s="32" t="n">
        <v>55276.04628</v>
      </c>
      <c r="F68" s="32" t="n">
        <v>4272.54464</v>
      </c>
      <c r="G68" s="32" t="n">
        <v>59548.59092</v>
      </c>
      <c r="H68" s="32" t="n">
        <v>3269.60777088</v>
      </c>
      <c r="I68" s="33" t="s">
        <v>97</v>
      </c>
      <c r="J68" s="34" t="n">
        <v>5</v>
      </c>
    </row>
    <row r="69" customFormat="false" ht="15" hidden="false" customHeight="false" outlineLevel="0" collapsed="false">
      <c r="B69" s="35" t="s">
        <v>462</v>
      </c>
      <c r="C69" s="36" t="n">
        <v>190906.37478</v>
      </c>
      <c r="D69" s="36" t="n">
        <v>0</v>
      </c>
      <c r="E69" s="36" t="n">
        <v>4406.06166</v>
      </c>
      <c r="F69" s="36" t="n">
        <v>6141.78292</v>
      </c>
      <c r="G69" s="36" t="n">
        <v>10547.84458</v>
      </c>
      <c r="H69" s="36" t="n">
        <v>185179.1835366</v>
      </c>
      <c r="I69" s="37" t="s">
        <v>90</v>
      </c>
      <c r="J69" s="38" t="n">
        <v>30</v>
      </c>
    </row>
    <row r="70" customFormat="false" ht="15" hidden="false" customHeight="false" outlineLevel="0" collapsed="false">
      <c r="B70" s="31" t="s">
        <v>463</v>
      </c>
      <c r="C70" s="32" t="n">
        <v>475.0252518</v>
      </c>
      <c r="D70" s="32" t="n">
        <v>475.0252518</v>
      </c>
      <c r="E70" s="32" t="n">
        <v>475.0252518</v>
      </c>
      <c r="F70" s="32" t="n">
        <v>0</v>
      </c>
      <c r="G70" s="32" t="n">
        <v>475.0252518</v>
      </c>
      <c r="H70" s="32" t="n">
        <v>0</v>
      </c>
      <c r="I70" s="33" t="s">
        <v>97</v>
      </c>
      <c r="J70" s="34" t="n">
        <v>5</v>
      </c>
    </row>
    <row r="71" customFormat="false" ht="15" hidden="false" customHeight="false" outlineLevel="0" collapsed="false">
      <c r="B71" s="35" t="s">
        <v>464</v>
      </c>
      <c r="C71" s="36" t="n">
        <v>1344.41109</v>
      </c>
      <c r="D71" s="36" t="n">
        <v>0</v>
      </c>
      <c r="E71" s="36" t="n">
        <v>133.51702</v>
      </c>
      <c r="F71" s="36" t="n">
        <v>40.055106</v>
      </c>
      <c r="G71" s="36" t="n">
        <v>173.572126</v>
      </c>
      <c r="H71" s="36" t="n">
        <v>1304.0787573</v>
      </c>
      <c r="I71" s="37" t="s">
        <v>90</v>
      </c>
      <c r="J71" s="38" t="n">
        <v>30</v>
      </c>
    </row>
    <row r="72" customFormat="false" ht="15" hidden="false" customHeight="false" outlineLevel="0" collapsed="false">
      <c r="B72" s="31" t="s">
        <v>465</v>
      </c>
      <c r="C72" s="32" t="n">
        <v>2599.194774</v>
      </c>
      <c r="D72" s="32" t="n">
        <v>2599.194774</v>
      </c>
      <c r="E72" s="32" t="n">
        <v>2599.194774</v>
      </c>
      <c r="F72" s="32" t="n">
        <v>0</v>
      </c>
      <c r="G72" s="32" t="n">
        <v>2599.194774</v>
      </c>
      <c r="H72" s="32" t="n">
        <v>0</v>
      </c>
      <c r="I72" s="33" t="s">
        <v>97</v>
      </c>
      <c r="J72" s="34" t="n">
        <v>5</v>
      </c>
    </row>
    <row r="73" customFormat="false" ht="15" hidden="false" customHeight="false" outlineLevel="0" collapsed="false">
      <c r="B73" s="35" t="s">
        <v>466</v>
      </c>
      <c r="C73" s="36" t="n">
        <v>7304.633589</v>
      </c>
      <c r="D73" s="36" t="n">
        <v>0</v>
      </c>
      <c r="E73" s="36" t="n">
        <v>1268.41169</v>
      </c>
      <c r="F73" s="36" t="n">
        <v>234.9899552</v>
      </c>
      <c r="G73" s="36" t="n">
        <v>1508.742326</v>
      </c>
      <c r="H73" s="36" t="n">
        <v>6793.30923777</v>
      </c>
      <c r="I73" s="37" t="s">
        <v>90</v>
      </c>
      <c r="J73" s="38" t="n">
        <v>30</v>
      </c>
    </row>
    <row r="74" customFormat="false" ht="15" hidden="false" customHeight="false" outlineLevel="0" collapsed="false">
      <c r="B74" s="31" t="s">
        <v>467</v>
      </c>
      <c r="C74" s="32" t="n">
        <v>2240.68515</v>
      </c>
      <c r="D74" s="32" t="n">
        <v>2240.68515</v>
      </c>
      <c r="E74" s="32" t="n">
        <v>2240.68515</v>
      </c>
      <c r="F74" s="32" t="n">
        <v>0</v>
      </c>
      <c r="G74" s="32" t="n">
        <v>2240.68515</v>
      </c>
      <c r="H74" s="32" t="n">
        <v>0</v>
      </c>
      <c r="I74" s="33" t="s">
        <v>97</v>
      </c>
      <c r="J74" s="34" t="n">
        <v>5</v>
      </c>
    </row>
    <row r="75" customFormat="false" ht="15" hidden="false" customHeight="false" outlineLevel="0" collapsed="false">
      <c r="B75" s="35" t="s">
        <v>468</v>
      </c>
      <c r="C75" s="36" t="n">
        <v>6273.91842</v>
      </c>
      <c r="D75" s="36" t="n">
        <v>0</v>
      </c>
      <c r="E75" s="36" t="n">
        <v>213.627232</v>
      </c>
      <c r="F75" s="36" t="n">
        <v>200.27553</v>
      </c>
      <c r="G75" s="36" t="n">
        <v>413.902762</v>
      </c>
      <c r="H75" s="36" t="n">
        <v>6148.4400516</v>
      </c>
      <c r="I75" s="37" t="s">
        <v>90</v>
      </c>
      <c r="J75" s="38" t="n">
        <v>30</v>
      </c>
    </row>
    <row r="76" customFormat="false" ht="15" hidden="false" customHeight="false" outlineLevel="0" collapsed="false">
      <c r="B76" s="31" t="s">
        <v>469</v>
      </c>
      <c r="C76" s="32" t="n">
        <v>15012.590505</v>
      </c>
      <c r="D76" s="32" t="n">
        <v>12010.072404</v>
      </c>
      <c r="E76" s="32" t="n">
        <v>12977.854344</v>
      </c>
      <c r="F76" s="32" t="n">
        <v>988.025948</v>
      </c>
      <c r="G76" s="32" t="n">
        <v>13965.880292</v>
      </c>
      <c r="H76" s="32" t="n">
        <v>165.138495555</v>
      </c>
      <c r="I76" s="33" t="s">
        <v>97</v>
      </c>
      <c r="J76" s="34" t="n">
        <v>5</v>
      </c>
    </row>
    <row r="77" customFormat="false" ht="15" hidden="false" customHeight="false" outlineLevel="0" collapsed="false">
      <c r="B77" s="35" t="s">
        <v>470</v>
      </c>
      <c r="C77" s="36" t="n">
        <v>41900.812305</v>
      </c>
      <c r="D77" s="36" t="n">
        <v>0</v>
      </c>
      <c r="E77" s="36" t="n">
        <v>1094.839564</v>
      </c>
      <c r="F77" s="36" t="n">
        <v>1548.797432</v>
      </c>
      <c r="G77" s="36" t="n">
        <v>2643.636996</v>
      </c>
      <c r="H77" s="36" t="n">
        <v>41062.7960589</v>
      </c>
      <c r="I77" s="37" t="s">
        <v>90</v>
      </c>
      <c r="J77" s="38" t="n">
        <v>30</v>
      </c>
    </row>
    <row r="78" customFormat="false" ht="15" hidden="false" customHeight="false" outlineLevel="0" collapsed="false">
      <c r="A78" s="10"/>
      <c r="B78" s="11" t="s">
        <v>24</v>
      </c>
      <c r="C78" s="39" t="n">
        <f aca="false">SUM(C64:C77)</f>
        <v>447043.5756468</v>
      </c>
      <c r="D78" s="39" t="n">
        <f aca="false">SUM(D64:D77)</f>
        <v>100992.1610808</v>
      </c>
      <c r="E78" s="39" t="n">
        <f aca="false">SUM(E64:E77)</f>
        <v>124633.6350468</v>
      </c>
      <c r="F78" s="39" t="n">
        <f aca="false">SUM(F64:F77)</f>
        <v>16083.4602292</v>
      </c>
      <c r="G78" s="39" t="n">
        <f aca="false">SUM(G64:G77)</f>
        <v>140735.7876588</v>
      </c>
      <c r="H78" s="39" t="n">
        <f aca="false">SUM(H64:H77)</f>
        <v>314199.851090235</v>
      </c>
      <c r="I78" s="10"/>
      <c r="J78" s="10"/>
    </row>
    <row r="80" customFormat="false" ht="15" hidden="false" customHeight="false" outlineLevel="0" collapsed="false">
      <c r="A80" s="27" t="s">
        <v>48</v>
      </c>
      <c r="B80" s="27"/>
      <c r="C80" s="27"/>
      <c r="D80" s="27"/>
      <c r="E80" s="27"/>
    </row>
    <row r="81" customFormat="false" ht="15" hidden="false" customHeight="false" outlineLevel="0" collapsed="false">
      <c r="B81" s="8" t="s">
        <v>114</v>
      </c>
      <c r="C81" s="41" t="n">
        <f aca="false">G60</f>
        <v>38225.014194879</v>
      </c>
    </row>
    <row r="82" customFormat="false" ht="15" hidden="false" customHeight="false" outlineLevel="0" collapsed="false">
      <c r="B82" s="8" t="s">
        <v>115</v>
      </c>
      <c r="C82" s="41" t="n">
        <f aca="false">G78</f>
        <v>140735.7876588</v>
      </c>
    </row>
    <row r="83" customFormat="false" ht="15" hidden="false" customHeight="false" outlineLevel="0" collapsed="false">
      <c r="B83" s="17" t="s">
        <v>48</v>
      </c>
      <c r="C83" s="42" t="n">
        <f aca="false">C82-C81</f>
        <v>102510.773463921</v>
      </c>
    </row>
  </sheetData>
  <mergeCells count="11">
    <mergeCell ref="A2:J2"/>
    <mergeCell ref="A3:J3"/>
    <mergeCell ref="A4:J4"/>
    <mergeCell ref="A8:J8"/>
    <mergeCell ref="B10:J10"/>
    <mergeCell ref="B22:J22"/>
    <mergeCell ref="B40:J40"/>
    <mergeCell ref="A50:J50"/>
    <mergeCell ref="A51:J51"/>
    <mergeCell ref="A62:J62"/>
    <mergeCell ref="A80:E8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471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50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51</v>
      </c>
      <c r="C6" s="8" t="s">
        <v>26</v>
      </c>
    </row>
    <row r="8" customFormat="false" ht="15" hidden="false" customHeight="false" outlineLevel="0" collapsed="false">
      <c r="A8" s="21" t="s">
        <v>472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53</v>
      </c>
      <c r="C9" s="23" t="s">
        <v>54</v>
      </c>
      <c r="D9" s="23" t="s">
        <v>55</v>
      </c>
      <c r="E9" s="23" t="s">
        <v>56</v>
      </c>
      <c r="F9" s="23" t="s">
        <v>57</v>
      </c>
      <c r="G9" s="23" t="s">
        <v>58</v>
      </c>
      <c r="H9" s="23" t="s">
        <v>59</v>
      </c>
    </row>
    <row r="10" customFormat="false" ht="15" hidden="false" customHeight="false" outlineLevel="0" collapsed="false">
      <c r="A10" s="5"/>
      <c r="B10" s="6" t="s">
        <v>118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119</v>
      </c>
      <c r="C11" s="16" t="n">
        <v>31452.73</v>
      </c>
      <c r="D11" s="16" t="n">
        <v>31452.73</v>
      </c>
    </row>
    <row r="12" customFormat="false" ht="15" hidden="false" customHeight="false" outlineLevel="0" collapsed="false">
      <c r="B12" s="8" t="s">
        <v>120</v>
      </c>
      <c r="C12" s="16" t="n">
        <v>8394.17</v>
      </c>
      <c r="D12" s="16" t="n">
        <v>8394.17</v>
      </c>
    </row>
    <row r="13" customFormat="false" ht="15" hidden="false" customHeight="false" outlineLevel="0" collapsed="false">
      <c r="B13" s="8" t="s">
        <v>121</v>
      </c>
      <c r="C13" s="16" t="n">
        <v>32815.89</v>
      </c>
      <c r="D13" s="16" t="n">
        <v>32815.89</v>
      </c>
    </row>
    <row r="14" customFormat="false" ht="15" hidden="false" customHeight="false" outlineLevel="0" collapsed="false">
      <c r="B14" s="8" t="s">
        <v>122</v>
      </c>
      <c r="C14" s="16" t="n">
        <v>2648.72</v>
      </c>
      <c r="D14" s="16" t="n">
        <v>2648.72</v>
      </c>
    </row>
    <row r="15" customFormat="false" ht="15" hidden="false" customHeight="false" outlineLevel="0" collapsed="false">
      <c r="B15" s="8" t="s">
        <v>123</v>
      </c>
      <c r="C15" s="16" t="n">
        <v>0.394</v>
      </c>
      <c r="D15" s="16" t="n">
        <v>0.394</v>
      </c>
    </row>
    <row r="16" customFormat="false" ht="15" hidden="false" customHeight="false" outlineLevel="0" collapsed="false">
      <c r="B16" s="8" t="s">
        <v>124</v>
      </c>
      <c r="C16" s="16" t="n">
        <v>5344.3</v>
      </c>
      <c r="D16" s="16" t="n">
        <v>5344.3</v>
      </c>
    </row>
    <row r="17" customFormat="false" ht="15" hidden="false" customHeight="false" outlineLevel="0" collapsed="false">
      <c r="B17" s="8" t="s">
        <v>125</v>
      </c>
      <c r="C17" s="16" t="n">
        <v>2858.97</v>
      </c>
      <c r="D17" s="16" t="n">
        <v>2858.97</v>
      </c>
    </row>
    <row r="18" customFormat="false" ht="15" hidden="false" customHeight="false" outlineLevel="0" collapsed="false">
      <c r="B18" s="8" t="s">
        <v>126</v>
      </c>
      <c r="C18" s="16" t="n">
        <v>9687.68</v>
      </c>
      <c r="D18" s="16" t="n">
        <v>9687.68</v>
      </c>
    </row>
    <row r="19" customFormat="false" ht="15" hidden="false" customHeight="false" outlineLevel="0" collapsed="false">
      <c r="B19" s="8" t="s">
        <v>127</v>
      </c>
      <c r="C19" s="16" t="n">
        <v>2139.23</v>
      </c>
      <c r="D19" s="16" t="n">
        <v>2139.23</v>
      </c>
    </row>
    <row r="20" customFormat="false" ht="15" hidden="false" customHeight="false" outlineLevel="0" collapsed="false">
      <c r="B20" s="8" t="s">
        <v>128</v>
      </c>
      <c r="C20" s="16" t="n">
        <v>605.69</v>
      </c>
      <c r="D20" s="16" t="n">
        <v>605.69</v>
      </c>
    </row>
    <row r="21" customFormat="false" ht="15" hidden="false" customHeight="false" outlineLevel="0" collapsed="false">
      <c r="B21" s="8" t="s">
        <v>129</v>
      </c>
      <c r="C21" s="16" t="n">
        <v>8326.94</v>
      </c>
      <c r="D21" s="16" t="n">
        <v>8326.94</v>
      </c>
    </row>
    <row r="22" customFormat="false" ht="15" hidden="false" customHeight="false" outlineLevel="0" collapsed="false">
      <c r="A22" s="5"/>
      <c r="B22" s="6" t="s">
        <v>130</v>
      </c>
      <c r="C22" s="6"/>
      <c r="D22" s="6"/>
      <c r="E22" s="6"/>
      <c r="F22" s="6"/>
      <c r="G22" s="6"/>
      <c r="H22" s="6"/>
      <c r="I22" s="6"/>
      <c r="J22" s="6"/>
    </row>
    <row r="23" customFormat="false" ht="15" hidden="false" customHeight="false" outlineLevel="0" collapsed="false">
      <c r="B23" s="8" t="s">
        <v>131</v>
      </c>
      <c r="C23" s="16" t="n">
        <v>22000</v>
      </c>
      <c r="G23" s="16" t="n">
        <v>22000</v>
      </c>
    </row>
    <row r="24" customFormat="false" ht="15" hidden="false" customHeight="false" outlineLevel="0" collapsed="false">
      <c r="B24" s="8" t="s">
        <v>132</v>
      </c>
      <c r="C24" s="16" t="n">
        <v>28000</v>
      </c>
      <c r="G24" s="16" t="n">
        <v>28000</v>
      </c>
    </row>
    <row r="25" customFormat="false" ht="15" hidden="false" customHeight="false" outlineLevel="0" collapsed="false">
      <c r="B25" s="8" t="s">
        <v>133</v>
      </c>
      <c r="C25" s="16" t="n">
        <v>29000</v>
      </c>
      <c r="G25" s="16" t="n">
        <v>29000</v>
      </c>
    </row>
    <row r="26" customFormat="false" ht="15" hidden="false" customHeight="false" outlineLevel="0" collapsed="false">
      <c r="B26" s="8" t="s">
        <v>134</v>
      </c>
      <c r="C26" s="16" t="n">
        <v>24000</v>
      </c>
      <c r="G26" s="16" t="n">
        <v>24000</v>
      </c>
    </row>
    <row r="27" customFormat="false" ht="15" hidden="false" customHeight="false" outlineLevel="0" collapsed="false">
      <c r="B27" s="8" t="s">
        <v>135</v>
      </c>
      <c r="C27" s="16" t="n">
        <v>2000</v>
      </c>
      <c r="G27" s="16" t="n">
        <v>2000</v>
      </c>
    </row>
    <row r="28" customFormat="false" ht="15" hidden="false" customHeight="false" outlineLevel="0" collapsed="false">
      <c r="B28" s="8" t="s">
        <v>136</v>
      </c>
      <c r="C28" s="16" t="n">
        <v>18000</v>
      </c>
      <c r="G28" s="16" t="n">
        <v>18000</v>
      </c>
    </row>
    <row r="29" customFormat="false" ht="15" hidden="false" customHeight="false" outlineLevel="0" collapsed="false">
      <c r="B29" s="8" t="s">
        <v>137</v>
      </c>
      <c r="C29" s="16" t="n">
        <v>16000</v>
      </c>
      <c r="G29" s="16" t="n">
        <v>16000</v>
      </c>
    </row>
    <row r="30" customFormat="false" ht="15" hidden="false" customHeight="false" outlineLevel="0" collapsed="false">
      <c r="B30" s="8" t="s">
        <v>138</v>
      </c>
      <c r="C30" s="16" t="n">
        <v>14000</v>
      </c>
      <c r="G30" s="16" t="n">
        <v>14000</v>
      </c>
    </row>
    <row r="31" customFormat="false" ht="15" hidden="false" customHeight="false" outlineLevel="0" collapsed="false">
      <c r="B31" s="8" t="s">
        <v>139</v>
      </c>
      <c r="C31" s="16" t="n">
        <v>13000</v>
      </c>
      <c r="G31" s="16" t="n">
        <v>13000</v>
      </c>
    </row>
    <row r="32" customFormat="false" ht="15" hidden="false" customHeight="false" outlineLevel="0" collapsed="false">
      <c r="B32" s="8" t="s">
        <v>140</v>
      </c>
      <c r="C32" s="16" t="n">
        <v>35000</v>
      </c>
      <c r="G32" s="16" t="n">
        <v>35000</v>
      </c>
    </row>
    <row r="33" customFormat="false" ht="15" hidden="false" customHeight="false" outlineLevel="0" collapsed="false">
      <c r="B33" s="8" t="s">
        <v>141</v>
      </c>
      <c r="C33" s="16" t="n">
        <v>15000</v>
      </c>
      <c r="G33" s="16" t="n">
        <v>15000</v>
      </c>
    </row>
    <row r="34" customFormat="false" ht="15" hidden="false" customHeight="false" outlineLevel="0" collapsed="false">
      <c r="B34" s="8" t="s">
        <v>142</v>
      </c>
      <c r="C34" s="16" t="n">
        <v>1200</v>
      </c>
      <c r="G34" s="16" t="n">
        <v>1200</v>
      </c>
    </row>
    <row r="35" customFormat="false" ht="15" hidden="false" customHeight="false" outlineLevel="0" collapsed="false">
      <c r="B35" s="8" t="s">
        <v>143</v>
      </c>
      <c r="C35" s="16" t="n">
        <v>38000</v>
      </c>
      <c r="G35" s="16" t="n">
        <v>38000</v>
      </c>
    </row>
    <row r="36" customFormat="false" ht="15" hidden="false" customHeight="false" outlineLevel="0" collapsed="false">
      <c r="B36" s="8" t="s">
        <v>144</v>
      </c>
      <c r="C36" s="16" t="n">
        <v>8000</v>
      </c>
      <c r="G36" s="16" t="n">
        <v>8000</v>
      </c>
    </row>
    <row r="37" customFormat="false" ht="15" hidden="false" customHeight="false" outlineLevel="0" collapsed="false">
      <c r="B37" s="8" t="s">
        <v>145</v>
      </c>
      <c r="C37" s="16" t="n">
        <v>3000</v>
      </c>
      <c r="G37" s="16" t="n">
        <v>3000</v>
      </c>
    </row>
    <row r="38" customFormat="false" ht="15" hidden="false" customHeight="false" outlineLevel="0" collapsed="false">
      <c r="A38" s="24"/>
      <c r="B38" s="25" t="s">
        <v>69</v>
      </c>
      <c r="C38" s="26" t="n">
        <f aca="false">SUM(C10:C37)</f>
        <v>370474.714</v>
      </c>
      <c r="D38" s="26" t="n">
        <f aca="false">SUM(D10:D37)</f>
        <v>104274.714</v>
      </c>
      <c r="E38" s="26" t="n">
        <f aca="false">SUM(E10:E37)</f>
        <v>0</v>
      </c>
      <c r="F38" s="26" t="n">
        <f aca="false">SUM(F10:F37)</f>
        <v>0</v>
      </c>
      <c r="G38" s="26" t="n">
        <f aca="false">SUM(G10:G37)</f>
        <v>266200</v>
      </c>
      <c r="H38" s="24"/>
    </row>
    <row r="40" customFormat="false" ht="15" hidden="false" customHeight="false" outlineLevel="0" collapsed="false">
      <c r="A40" s="5"/>
      <c r="B40" s="6" t="s">
        <v>70</v>
      </c>
      <c r="C40" s="6"/>
      <c r="D40" s="6"/>
      <c r="E40" s="6"/>
      <c r="F40" s="6"/>
      <c r="G40" s="6"/>
      <c r="H40" s="6"/>
      <c r="I40" s="6"/>
      <c r="J40" s="6"/>
    </row>
    <row r="41" customFormat="false" ht="15" hidden="false" customHeight="false" outlineLevel="0" collapsed="false">
      <c r="B41" s="8" t="s">
        <v>71</v>
      </c>
      <c r="C41" s="16" t="n">
        <v>63861.40831</v>
      </c>
      <c r="D41" s="16" t="n">
        <v>16851.66392</v>
      </c>
      <c r="G41" s="16" t="n">
        <v>47009.74439</v>
      </c>
    </row>
    <row r="42" customFormat="false" ht="15" hidden="false" customHeight="false" outlineLevel="0" collapsed="false">
      <c r="B42" s="8" t="s">
        <v>146</v>
      </c>
      <c r="C42" s="16" t="n">
        <v>34270.966944</v>
      </c>
      <c r="D42" s="16" t="n">
        <v>9043.377408</v>
      </c>
      <c r="G42" s="16" t="n">
        <v>25227.589536</v>
      </c>
    </row>
    <row r="43" customFormat="false" ht="15" hidden="false" customHeight="false" outlineLevel="0" collapsed="false">
      <c r="B43" s="8" t="s">
        <v>147</v>
      </c>
      <c r="C43" s="16" t="n">
        <v>230456.38651</v>
      </c>
      <c r="D43" s="16" t="n">
        <v>60812.52632</v>
      </c>
      <c r="G43" s="16" t="n">
        <v>169643.86019</v>
      </c>
    </row>
    <row r="44" customFormat="false" ht="15" hidden="false" customHeight="false" outlineLevel="0" collapsed="false">
      <c r="B44" s="8" t="s">
        <v>148</v>
      </c>
      <c r="C44" s="16" t="n">
        <v>1610.4181226</v>
      </c>
      <c r="D44" s="16" t="n">
        <v>424.9550032</v>
      </c>
      <c r="G44" s="16" t="n">
        <v>1185.4631194</v>
      </c>
    </row>
    <row r="45" customFormat="false" ht="15" hidden="false" customHeight="false" outlineLevel="0" collapsed="false">
      <c r="B45" s="8" t="s">
        <v>75</v>
      </c>
      <c r="C45" s="16" t="n">
        <v>8766.069091</v>
      </c>
      <c r="D45" s="16" t="n">
        <v>2313.178712</v>
      </c>
      <c r="G45" s="16" t="n">
        <v>6452.890379</v>
      </c>
    </row>
    <row r="46" customFormat="false" ht="15" hidden="false" customHeight="false" outlineLevel="0" collapsed="false">
      <c r="B46" s="8" t="s">
        <v>149</v>
      </c>
      <c r="C46" s="16" t="n">
        <v>7536.43949</v>
      </c>
      <c r="D46" s="16" t="n">
        <v>1988.70568</v>
      </c>
      <c r="G46" s="16" t="n">
        <v>5547.73381</v>
      </c>
    </row>
    <row r="47" customFormat="false" ht="15" hidden="false" customHeight="false" outlineLevel="0" collapsed="false">
      <c r="B47" s="8" t="s">
        <v>150</v>
      </c>
      <c r="C47" s="16" t="n">
        <v>50375.14817</v>
      </c>
      <c r="D47" s="16" t="n">
        <v>13292.92744</v>
      </c>
      <c r="G47" s="16" t="n">
        <v>37082.22073</v>
      </c>
    </row>
    <row r="48" customFormat="false" ht="15" hidden="false" customHeight="false" outlineLevel="0" collapsed="false">
      <c r="A48" s="24"/>
      <c r="B48" s="25" t="s">
        <v>78</v>
      </c>
      <c r="C48" s="26" t="n">
        <f aca="false">SUM(C41:C47)</f>
        <v>396876.8366376</v>
      </c>
      <c r="D48" s="26" t="n">
        <f aca="false">SUM(D41:D47)</f>
        <v>104727.3344832</v>
      </c>
      <c r="E48" s="24"/>
      <c r="F48" s="26" t="n">
        <f aca="false">SUM(F41:F47)</f>
        <v>0</v>
      </c>
      <c r="G48" s="26" t="n">
        <f aca="false">SUM(G41:G47)</f>
        <v>292149.5021544</v>
      </c>
      <c r="H48" s="24"/>
    </row>
    <row r="50" customFormat="false" ht="15" hidden="false" customHeight="false" outlineLevel="0" collapsed="false">
      <c r="A50" s="27" t="s">
        <v>79</v>
      </c>
      <c r="B50" s="27"/>
      <c r="C50" s="27"/>
      <c r="D50" s="27"/>
      <c r="E50" s="27"/>
      <c r="F50" s="27"/>
      <c r="G50" s="27"/>
      <c r="H50" s="27"/>
      <c r="I50" s="27"/>
      <c r="J50" s="27"/>
    </row>
    <row r="51" customFormat="false" ht="15" hidden="false" customHeight="false" outlineLevel="0" collapsed="false">
      <c r="A51" s="28" t="s">
        <v>46</v>
      </c>
      <c r="B51" s="28"/>
      <c r="C51" s="28"/>
      <c r="D51" s="28"/>
      <c r="E51" s="28"/>
      <c r="F51" s="28"/>
      <c r="G51" s="28"/>
      <c r="H51" s="28"/>
      <c r="I51" s="28"/>
      <c r="J51" s="28"/>
    </row>
    <row r="52" customFormat="false" ht="15" hidden="false" customHeight="false" outlineLevel="0" collapsed="false">
      <c r="A52" s="29"/>
      <c r="B52" s="29" t="s">
        <v>80</v>
      </c>
      <c r="C52" s="30" t="s">
        <v>81</v>
      </c>
      <c r="D52" s="30" t="s">
        <v>82</v>
      </c>
      <c r="E52" s="30" t="s">
        <v>83</v>
      </c>
      <c r="F52" s="30" t="s">
        <v>84</v>
      </c>
      <c r="G52" s="30" t="s">
        <v>85</v>
      </c>
      <c r="H52" s="30" t="s">
        <v>86</v>
      </c>
      <c r="I52" s="30" t="s">
        <v>87</v>
      </c>
      <c r="J52" s="30" t="s">
        <v>88</v>
      </c>
    </row>
    <row r="53" customFormat="false" ht="15" hidden="false" customHeight="false" outlineLevel="0" collapsed="false">
      <c r="B53" s="31" t="s">
        <v>473</v>
      </c>
      <c r="C53" s="32" t="n">
        <v>63861.40831</v>
      </c>
      <c r="D53" s="32" t="n">
        <v>0</v>
      </c>
      <c r="E53" s="32" t="n">
        <v>3925.6644</v>
      </c>
      <c r="F53" s="32" t="n">
        <v>1308.5548</v>
      </c>
      <c r="G53" s="32" t="n">
        <v>5234.2192</v>
      </c>
      <c r="H53" s="32" t="n">
        <v>54282.1970635</v>
      </c>
      <c r="I53" s="33" t="s">
        <v>90</v>
      </c>
      <c r="J53" s="34" t="n">
        <v>30</v>
      </c>
    </row>
    <row r="54" customFormat="false" ht="15" hidden="false" customHeight="false" outlineLevel="0" collapsed="false">
      <c r="B54" s="35" t="s">
        <v>474</v>
      </c>
      <c r="C54" s="36" t="n">
        <v>34270.966944</v>
      </c>
      <c r="D54" s="36" t="n">
        <v>0</v>
      </c>
      <c r="E54" s="36" t="n">
        <v>2126.40155</v>
      </c>
      <c r="F54" s="36" t="n">
        <v>719.70514</v>
      </c>
      <c r="G54" s="36" t="n">
        <v>2846.10669</v>
      </c>
      <c r="H54" s="36" t="n">
        <v>30158.45091072</v>
      </c>
      <c r="I54" s="37" t="s">
        <v>90</v>
      </c>
      <c r="J54" s="38" t="n">
        <v>30</v>
      </c>
    </row>
    <row r="55" customFormat="false" ht="15" hidden="false" customHeight="false" outlineLevel="0" collapsed="false">
      <c r="B55" s="31" t="s">
        <v>475</v>
      </c>
      <c r="C55" s="32" t="n">
        <v>230456.38651</v>
      </c>
      <c r="D55" s="32" t="n">
        <v>0</v>
      </c>
      <c r="E55" s="32" t="n">
        <v>14394.1028</v>
      </c>
      <c r="F55" s="32" t="n">
        <v>4907.0805</v>
      </c>
      <c r="G55" s="32" t="n">
        <v>19301.1833</v>
      </c>
      <c r="H55" s="32" t="n">
        <v>207410.747859</v>
      </c>
      <c r="I55" s="33" t="s">
        <v>90</v>
      </c>
      <c r="J55" s="34" t="n">
        <v>30</v>
      </c>
    </row>
    <row r="56" customFormat="false" ht="15" hidden="false" customHeight="false" outlineLevel="0" collapsed="false">
      <c r="B56" s="35" t="s">
        <v>476</v>
      </c>
      <c r="C56" s="36" t="n">
        <v>1610.4181226</v>
      </c>
      <c r="D56" s="36" t="n">
        <v>0</v>
      </c>
      <c r="E56" s="36" t="n">
        <v>98.14161</v>
      </c>
      <c r="F56" s="36" t="n">
        <v>32.71387</v>
      </c>
      <c r="G56" s="36" t="n">
        <v>130.85548</v>
      </c>
      <c r="H56" s="36" t="n">
        <v>1417.167947888</v>
      </c>
      <c r="I56" s="37" t="s">
        <v>90</v>
      </c>
      <c r="J56" s="38" t="n">
        <v>30</v>
      </c>
    </row>
    <row r="57" customFormat="false" ht="15" hidden="false" customHeight="false" outlineLevel="0" collapsed="false">
      <c r="B57" s="31" t="s">
        <v>477</v>
      </c>
      <c r="C57" s="32" t="n">
        <v>8766.069091</v>
      </c>
      <c r="D57" s="32" t="n">
        <v>2244.113687296</v>
      </c>
      <c r="E57" s="32" t="n">
        <v>2244.113687296</v>
      </c>
      <c r="F57" s="32" t="n">
        <v>674.987320007</v>
      </c>
      <c r="G57" s="32" t="n">
        <v>2919.101007303</v>
      </c>
      <c r="H57" s="32" t="n">
        <v>5846.968083697</v>
      </c>
      <c r="I57" s="33" t="s">
        <v>95</v>
      </c>
      <c r="J57" s="34" t="n">
        <v>15</v>
      </c>
    </row>
    <row r="58" customFormat="false" ht="15" hidden="false" customHeight="false" outlineLevel="0" collapsed="false">
      <c r="B58" s="35" t="s">
        <v>478</v>
      </c>
      <c r="C58" s="36" t="n">
        <v>7536.43949</v>
      </c>
      <c r="D58" s="36" t="n">
        <v>0</v>
      </c>
      <c r="E58" s="36" t="n">
        <v>0</v>
      </c>
      <c r="F58" s="36" t="n">
        <v>0</v>
      </c>
      <c r="G58" s="36" t="n">
        <v>0</v>
      </c>
      <c r="H58" s="36" t="n">
        <v>7536.43949</v>
      </c>
      <c r="I58" s="37" t="s">
        <v>97</v>
      </c>
      <c r="J58" s="38" t="n">
        <v>5</v>
      </c>
    </row>
    <row r="59" customFormat="false" ht="15" hidden="false" customHeight="false" outlineLevel="0" collapsed="false">
      <c r="B59" s="31" t="s">
        <v>479</v>
      </c>
      <c r="C59" s="32" t="n">
        <v>50375.14817</v>
      </c>
      <c r="D59" s="32" t="n">
        <v>0</v>
      </c>
      <c r="E59" s="32" t="n">
        <v>1308.5548</v>
      </c>
      <c r="F59" s="32" t="n">
        <v>2093.68768</v>
      </c>
      <c r="G59" s="32" t="n">
        <v>3402.24248</v>
      </c>
      <c r="H59" s="32" t="n">
        <v>44833.8818713</v>
      </c>
      <c r="I59" s="33" t="s">
        <v>97</v>
      </c>
      <c r="J59" s="34" t="n">
        <v>5</v>
      </c>
    </row>
    <row r="60" customFormat="false" ht="15" hidden="false" customHeight="false" outlineLevel="0" collapsed="false">
      <c r="A60" s="10"/>
      <c r="B60" s="11" t="s">
        <v>24</v>
      </c>
      <c r="C60" s="39" t="n">
        <f aca="false">SUM(C53:C59)</f>
        <v>396876.8366376</v>
      </c>
      <c r="D60" s="39" t="n">
        <f aca="false">SUM(D53:D59)</f>
        <v>2244.113687296</v>
      </c>
      <c r="E60" s="39" t="n">
        <f aca="false">SUM(E53:E59)</f>
        <v>24096.978847296</v>
      </c>
      <c r="F60" s="39" t="n">
        <f aca="false">SUM(F53:F59)</f>
        <v>9736.729310007</v>
      </c>
      <c r="G60" s="39" t="n">
        <f aca="false">SUM(G53:G59)</f>
        <v>33833.708157303</v>
      </c>
      <c r="H60" s="39" t="n">
        <f aca="false">SUM(H53:H59)</f>
        <v>351485.853226105</v>
      </c>
      <c r="I60" s="10"/>
      <c r="J60" s="10"/>
    </row>
    <row r="62" customFormat="false" ht="15" hidden="false" customHeight="false" outlineLevel="0" collapsed="false">
      <c r="A62" s="40" t="s">
        <v>99</v>
      </c>
      <c r="B62" s="40"/>
      <c r="C62" s="40"/>
      <c r="D62" s="40"/>
      <c r="E62" s="40"/>
      <c r="F62" s="40"/>
      <c r="G62" s="40"/>
      <c r="H62" s="40"/>
      <c r="I62" s="40"/>
      <c r="J62" s="40"/>
    </row>
    <row r="63" customFormat="false" ht="15" hidden="false" customHeight="false" outlineLevel="0" collapsed="false">
      <c r="A63" s="29"/>
      <c r="B63" s="29" t="s">
        <v>80</v>
      </c>
      <c r="C63" s="30" t="s">
        <v>81</v>
      </c>
      <c r="D63" s="30" t="s">
        <v>82</v>
      </c>
      <c r="E63" s="30" t="s">
        <v>83</v>
      </c>
      <c r="F63" s="30" t="s">
        <v>84</v>
      </c>
      <c r="G63" s="30" t="s">
        <v>85</v>
      </c>
      <c r="H63" s="30" t="s">
        <v>86</v>
      </c>
      <c r="I63" s="30" t="s">
        <v>87</v>
      </c>
      <c r="J63" s="30" t="s">
        <v>88</v>
      </c>
    </row>
    <row r="64" customFormat="false" ht="15" hidden="false" customHeight="false" outlineLevel="0" collapsed="false">
      <c r="B64" s="31" t="s">
        <v>480</v>
      </c>
      <c r="C64" s="32" t="n">
        <v>16659.49782</v>
      </c>
      <c r="D64" s="32" t="n">
        <v>16659.49782</v>
      </c>
      <c r="E64" s="32" t="n">
        <v>16659.49782</v>
      </c>
      <c r="F64" s="32" t="n">
        <v>0</v>
      </c>
      <c r="G64" s="32" t="n">
        <v>16659.49782</v>
      </c>
      <c r="H64" s="32" t="n">
        <v>0</v>
      </c>
      <c r="I64" s="33" t="s">
        <v>97</v>
      </c>
      <c r="J64" s="34" t="n">
        <v>5</v>
      </c>
    </row>
    <row r="65" customFormat="false" ht="15" hidden="false" customHeight="false" outlineLevel="0" collapsed="false">
      <c r="B65" s="35" t="s">
        <v>481</v>
      </c>
      <c r="C65" s="36" t="n">
        <v>47201.91049</v>
      </c>
      <c r="D65" s="36" t="n">
        <v>0</v>
      </c>
      <c r="E65" s="36" t="n">
        <v>8976.28586</v>
      </c>
      <c r="F65" s="36" t="n">
        <v>1598.51666</v>
      </c>
      <c r="G65" s="36" t="n">
        <v>10574.80252</v>
      </c>
      <c r="H65" s="36" t="n">
        <v>38705.5666018</v>
      </c>
      <c r="I65" s="37" t="s">
        <v>90</v>
      </c>
      <c r="J65" s="38" t="n">
        <v>30</v>
      </c>
    </row>
    <row r="66" customFormat="false" ht="15" hidden="false" customHeight="false" outlineLevel="0" collapsed="false">
      <c r="B66" s="31" t="s">
        <v>482</v>
      </c>
      <c r="C66" s="32" t="n">
        <v>9004.061917</v>
      </c>
      <c r="D66" s="32" t="n">
        <v>9004.061917</v>
      </c>
      <c r="E66" s="32" t="n">
        <v>9004.061917</v>
      </c>
      <c r="F66" s="32" t="n">
        <v>0</v>
      </c>
      <c r="G66" s="32" t="n">
        <v>9004.061917</v>
      </c>
      <c r="H66" s="32" t="n">
        <v>0</v>
      </c>
      <c r="I66" s="33" t="s">
        <v>97</v>
      </c>
      <c r="J66" s="34" t="n">
        <v>5</v>
      </c>
    </row>
    <row r="67" customFormat="false" ht="15" hidden="false" customHeight="false" outlineLevel="0" collapsed="false">
      <c r="B67" s="35" t="s">
        <v>483</v>
      </c>
      <c r="C67" s="36" t="n">
        <v>25266.905027</v>
      </c>
      <c r="D67" s="36" t="n">
        <v>0</v>
      </c>
      <c r="E67" s="36" t="n">
        <v>4795.54998</v>
      </c>
      <c r="F67" s="36" t="n">
        <v>848.443458</v>
      </c>
      <c r="G67" s="36" t="n">
        <v>5656.28972</v>
      </c>
      <c r="H67" s="36" t="n">
        <v>23498.22167511</v>
      </c>
      <c r="I67" s="37" t="s">
        <v>90</v>
      </c>
      <c r="J67" s="38" t="n">
        <v>30</v>
      </c>
    </row>
    <row r="68" customFormat="false" ht="15" hidden="false" customHeight="false" outlineLevel="0" collapsed="false">
      <c r="B68" s="31" t="s">
        <v>484</v>
      </c>
      <c r="C68" s="32" t="n">
        <v>60291.51592</v>
      </c>
      <c r="D68" s="32" t="n">
        <v>48391.87462</v>
      </c>
      <c r="E68" s="32" t="n">
        <v>50906.60748</v>
      </c>
      <c r="F68" s="32" t="n">
        <v>3934.81024</v>
      </c>
      <c r="G68" s="32" t="n">
        <v>54841.41772</v>
      </c>
      <c r="H68" s="32" t="n">
        <v>2893.99276416</v>
      </c>
      <c r="I68" s="33" t="s">
        <v>97</v>
      </c>
      <c r="J68" s="34" t="n">
        <v>5</v>
      </c>
    </row>
    <row r="69" customFormat="false" ht="15" hidden="false" customHeight="false" outlineLevel="0" collapsed="false">
      <c r="B69" s="35" t="s">
        <v>485</v>
      </c>
      <c r="C69" s="36" t="n">
        <v>168974.90646</v>
      </c>
      <c r="D69" s="36" t="n">
        <v>0</v>
      </c>
      <c r="E69" s="36" t="n">
        <v>4057.77306</v>
      </c>
      <c r="F69" s="36" t="n">
        <v>5656.28972</v>
      </c>
      <c r="G69" s="36" t="n">
        <v>9714.06278</v>
      </c>
      <c r="H69" s="36" t="n">
        <v>163905.6592662</v>
      </c>
      <c r="I69" s="37" t="s">
        <v>90</v>
      </c>
      <c r="J69" s="38" t="n">
        <v>30</v>
      </c>
    </row>
    <row r="70" customFormat="false" ht="15" hidden="false" customHeight="false" outlineLevel="0" collapsed="false">
      <c r="B70" s="31" t="s">
        <v>486</v>
      </c>
      <c r="C70" s="32" t="n">
        <v>420.4539926</v>
      </c>
      <c r="D70" s="32" t="n">
        <v>420.4539926</v>
      </c>
      <c r="E70" s="32" t="n">
        <v>420.4539926</v>
      </c>
      <c r="F70" s="32" t="n">
        <v>0</v>
      </c>
      <c r="G70" s="32" t="n">
        <v>420.4539926</v>
      </c>
      <c r="H70" s="32" t="n">
        <v>0</v>
      </c>
      <c r="I70" s="33" t="s">
        <v>97</v>
      </c>
      <c r="J70" s="34" t="n">
        <v>5</v>
      </c>
    </row>
    <row r="71" customFormat="false" ht="15" hidden="false" customHeight="false" outlineLevel="0" collapsed="false">
      <c r="B71" s="35" t="s">
        <v>487</v>
      </c>
      <c r="C71" s="36" t="n">
        <v>1189.96413</v>
      </c>
      <c r="D71" s="36" t="n">
        <v>0</v>
      </c>
      <c r="E71" s="36" t="n">
        <v>122.96282</v>
      </c>
      <c r="F71" s="36" t="n">
        <v>36.888846</v>
      </c>
      <c r="G71" s="36" t="n">
        <v>159.851666</v>
      </c>
      <c r="H71" s="36" t="n">
        <v>1154.2652061</v>
      </c>
      <c r="I71" s="37" t="s">
        <v>90</v>
      </c>
      <c r="J71" s="38" t="n">
        <v>30</v>
      </c>
    </row>
    <row r="72" customFormat="false" ht="15" hidden="false" customHeight="false" outlineLevel="0" collapsed="false">
      <c r="B72" s="31" t="s">
        <v>488</v>
      </c>
      <c r="C72" s="32" t="n">
        <v>2300.597318</v>
      </c>
      <c r="D72" s="32" t="n">
        <v>2300.597318</v>
      </c>
      <c r="E72" s="32" t="n">
        <v>2300.597318</v>
      </c>
      <c r="F72" s="32" t="n">
        <v>0</v>
      </c>
      <c r="G72" s="32" t="n">
        <v>2300.597318</v>
      </c>
      <c r="H72" s="32" t="n">
        <v>0</v>
      </c>
      <c r="I72" s="33" t="s">
        <v>97</v>
      </c>
      <c r="J72" s="34" t="n">
        <v>5</v>
      </c>
    </row>
    <row r="73" customFormat="false" ht="15" hidden="false" customHeight="false" outlineLevel="0" collapsed="false">
      <c r="B73" s="35" t="s">
        <v>489</v>
      </c>
      <c r="C73" s="36" t="n">
        <v>6465.471773</v>
      </c>
      <c r="D73" s="36" t="n">
        <v>0</v>
      </c>
      <c r="E73" s="36" t="n">
        <v>1168.14679</v>
      </c>
      <c r="F73" s="36" t="n">
        <v>216.4145632</v>
      </c>
      <c r="G73" s="36" t="n">
        <v>1389.479866</v>
      </c>
      <c r="H73" s="36" t="n">
        <v>6012.88874889</v>
      </c>
      <c r="I73" s="37" t="s">
        <v>90</v>
      </c>
      <c r="J73" s="38" t="n">
        <v>30</v>
      </c>
    </row>
    <row r="74" customFormat="false" ht="15" hidden="false" customHeight="false" outlineLevel="0" collapsed="false">
      <c r="B74" s="31" t="s">
        <v>490</v>
      </c>
      <c r="C74" s="32" t="n">
        <v>1983.27355</v>
      </c>
      <c r="D74" s="32" t="n">
        <v>1983.27355</v>
      </c>
      <c r="E74" s="32" t="n">
        <v>1983.27355</v>
      </c>
      <c r="F74" s="32" t="n">
        <v>0</v>
      </c>
      <c r="G74" s="32" t="n">
        <v>1983.27355</v>
      </c>
      <c r="H74" s="32" t="n">
        <v>0</v>
      </c>
      <c r="I74" s="33" t="s">
        <v>97</v>
      </c>
      <c r="J74" s="34" t="n">
        <v>5</v>
      </c>
    </row>
    <row r="75" customFormat="false" ht="15" hidden="false" customHeight="false" outlineLevel="0" collapsed="false">
      <c r="B75" s="35" t="s">
        <v>491</v>
      </c>
      <c r="C75" s="36" t="n">
        <v>5553.16594</v>
      </c>
      <c r="D75" s="36" t="n">
        <v>0</v>
      </c>
      <c r="E75" s="36" t="n">
        <v>196.740512</v>
      </c>
      <c r="F75" s="36" t="n">
        <v>184.44423</v>
      </c>
      <c r="G75" s="36" t="n">
        <v>381.184742</v>
      </c>
      <c r="H75" s="36" t="n">
        <v>5442.1026212</v>
      </c>
      <c r="I75" s="37" t="s">
        <v>90</v>
      </c>
      <c r="J75" s="38" t="n">
        <v>30</v>
      </c>
    </row>
    <row r="76" customFormat="false" ht="15" hidden="false" customHeight="false" outlineLevel="0" collapsed="false">
      <c r="B76" s="31" t="s">
        <v>492</v>
      </c>
      <c r="C76" s="32" t="n">
        <v>13287.932785</v>
      </c>
      <c r="D76" s="32" t="n">
        <v>10630.346228</v>
      </c>
      <c r="E76" s="32" t="n">
        <v>11951.986104</v>
      </c>
      <c r="F76" s="32" t="n">
        <v>909.924868</v>
      </c>
      <c r="G76" s="32" t="n">
        <v>12861.910972</v>
      </c>
      <c r="H76" s="32" t="n">
        <v>146.167260635</v>
      </c>
      <c r="I76" s="33" t="s">
        <v>97</v>
      </c>
      <c r="J76" s="34" t="n">
        <v>5</v>
      </c>
    </row>
    <row r="77" customFormat="false" ht="15" hidden="false" customHeight="false" outlineLevel="0" collapsed="false">
      <c r="B77" s="35" t="s">
        <v>493</v>
      </c>
      <c r="C77" s="36" t="n">
        <v>37087.215385</v>
      </c>
      <c r="D77" s="36" t="n">
        <v>0</v>
      </c>
      <c r="E77" s="36" t="n">
        <v>1008.295124</v>
      </c>
      <c r="F77" s="36" t="n">
        <v>1426.368712</v>
      </c>
      <c r="G77" s="36" t="n">
        <v>2434.663836</v>
      </c>
      <c r="H77" s="36" t="n">
        <v>36345.4710773</v>
      </c>
      <c r="I77" s="37" t="s">
        <v>90</v>
      </c>
      <c r="J77" s="38" t="n">
        <v>30</v>
      </c>
    </row>
    <row r="78" customFormat="false" ht="15" hidden="false" customHeight="false" outlineLevel="0" collapsed="false">
      <c r="A78" s="10"/>
      <c r="B78" s="11" t="s">
        <v>24</v>
      </c>
      <c r="C78" s="39" t="n">
        <f aca="false">SUM(C64:C77)</f>
        <v>395686.8725076</v>
      </c>
      <c r="D78" s="39" t="n">
        <f aca="false">SUM(D64:D77)</f>
        <v>89390.1054456</v>
      </c>
      <c r="E78" s="39" t="n">
        <f aca="false">SUM(E64:E77)</f>
        <v>113552.2323276</v>
      </c>
      <c r="F78" s="39" t="n">
        <f aca="false">SUM(F64:F77)</f>
        <v>14812.1012972</v>
      </c>
      <c r="G78" s="39" t="n">
        <f aca="false">SUM(G64:G77)</f>
        <v>128381.5484196</v>
      </c>
      <c r="H78" s="39" t="n">
        <f aca="false">SUM(H64:H77)</f>
        <v>278104.335221395</v>
      </c>
      <c r="I78" s="10"/>
      <c r="J78" s="10"/>
    </row>
    <row r="80" customFormat="false" ht="15" hidden="false" customHeight="false" outlineLevel="0" collapsed="false">
      <c r="A80" s="27" t="s">
        <v>48</v>
      </c>
      <c r="B80" s="27"/>
      <c r="C80" s="27"/>
      <c r="D80" s="27"/>
      <c r="E80" s="27"/>
    </row>
    <row r="81" customFormat="false" ht="15" hidden="false" customHeight="false" outlineLevel="0" collapsed="false">
      <c r="B81" s="8" t="s">
        <v>114</v>
      </c>
      <c r="C81" s="41" t="n">
        <f aca="false">G60</f>
        <v>33833.708157303</v>
      </c>
    </row>
    <row r="82" customFormat="false" ht="15" hidden="false" customHeight="false" outlineLevel="0" collapsed="false">
      <c r="B82" s="8" t="s">
        <v>115</v>
      </c>
      <c r="C82" s="41" t="n">
        <f aca="false">G78</f>
        <v>128381.5484196</v>
      </c>
    </row>
    <row r="83" customFormat="false" ht="15" hidden="false" customHeight="false" outlineLevel="0" collapsed="false">
      <c r="B83" s="17" t="s">
        <v>48</v>
      </c>
      <c r="C83" s="42" t="n">
        <f aca="false">C82-C81</f>
        <v>94547.840262297</v>
      </c>
    </row>
  </sheetData>
  <mergeCells count="11">
    <mergeCell ref="A2:J2"/>
    <mergeCell ref="A3:J3"/>
    <mergeCell ref="A4:J4"/>
    <mergeCell ref="A8:J8"/>
    <mergeCell ref="B10:J10"/>
    <mergeCell ref="B22:J22"/>
    <mergeCell ref="B40:J40"/>
    <mergeCell ref="A50:J50"/>
    <mergeCell ref="A51:J51"/>
    <mergeCell ref="A62:J62"/>
    <mergeCell ref="A80:E8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494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50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51</v>
      </c>
      <c r="C6" s="8" t="s">
        <v>26</v>
      </c>
    </row>
    <row r="8" customFormat="false" ht="15" hidden="false" customHeight="false" outlineLevel="0" collapsed="false">
      <c r="A8" s="21" t="s">
        <v>495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53</v>
      </c>
      <c r="C9" s="23" t="s">
        <v>54</v>
      </c>
      <c r="D9" s="23" t="s">
        <v>55</v>
      </c>
      <c r="E9" s="23" t="s">
        <v>56</v>
      </c>
      <c r="F9" s="23" t="s">
        <v>57</v>
      </c>
      <c r="G9" s="23" t="s">
        <v>58</v>
      </c>
      <c r="H9" s="23" t="s">
        <v>59</v>
      </c>
    </row>
    <row r="10" customFormat="false" ht="15" hidden="false" customHeight="false" outlineLevel="0" collapsed="false">
      <c r="A10" s="5"/>
      <c r="B10" s="6" t="s">
        <v>118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119</v>
      </c>
      <c r="C11" s="16" t="n">
        <v>31452.73</v>
      </c>
      <c r="D11" s="16" t="n">
        <v>31452.73</v>
      </c>
    </row>
    <row r="12" customFormat="false" ht="15" hidden="false" customHeight="false" outlineLevel="0" collapsed="false">
      <c r="B12" s="8" t="s">
        <v>120</v>
      </c>
      <c r="C12" s="16" t="n">
        <v>8394.17</v>
      </c>
      <c r="D12" s="16" t="n">
        <v>8394.17</v>
      </c>
    </row>
    <row r="13" customFormat="false" ht="15" hidden="false" customHeight="false" outlineLevel="0" collapsed="false">
      <c r="B13" s="8" t="s">
        <v>121</v>
      </c>
      <c r="C13" s="16" t="n">
        <v>32815.89</v>
      </c>
      <c r="D13" s="16" t="n">
        <v>32815.89</v>
      </c>
    </row>
    <row r="14" customFormat="false" ht="15" hidden="false" customHeight="false" outlineLevel="0" collapsed="false">
      <c r="B14" s="8" t="s">
        <v>122</v>
      </c>
      <c r="C14" s="16" t="n">
        <v>2648.72</v>
      </c>
      <c r="D14" s="16" t="n">
        <v>2648.72</v>
      </c>
    </row>
    <row r="15" customFormat="false" ht="15" hidden="false" customHeight="false" outlineLevel="0" collapsed="false">
      <c r="B15" s="8" t="s">
        <v>123</v>
      </c>
      <c r="C15" s="16" t="n">
        <v>0.394</v>
      </c>
      <c r="D15" s="16" t="n">
        <v>0.394</v>
      </c>
    </row>
    <row r="16" customFormat="false" ht="15" hidden="false" customHeight="false" outlineLevel="0" collapsed="false">
      <c r="B16" s="8" t="s">
        <v>124</v>
      </c>
      <c r="C16" s="16" t="n">
        <v>5344.3</v>
      </c>
      <c r="D16" s="16" t="n">
        <v>5344.3</v>
      </c>
    </row>
    <row r="17" customFormat="false" ht="15" hidden="false" customHeight="false" outlineLevel="0" collapsed="false">
      <c r="B17" s="8" t="s">
        <v>125</v>
      </c>
      <c r="C17" s="16" t="n">
        <v>2858.97</v>
      </c>
      <c r="D17" s="16" t="n">
        <v>2858.97</v>
      </c>
    </row>
    <row r="18" customFormat="false" ht="15" hidden="false" customHeight="false" outlineLevel="0" collapsed="false">
      <c r="B18" s="8" t="s">
        <v>126</v>
      </c>
      <c r="C18" s="16" t="n">
        <v>9687.68</v>
      </c>
      <c r="D18" s="16" t="n">
        <v>9687.68</v>
      </c>
    </row>
    <row r="19" customFormat="false" ht="15" hidden="false" customHeight="false" outlineLevel="0" collapsed="false">
      <c r="B19" s="8" t="s">
        <v>127</v>
      </c>
      <c r="C19" s="16" t="n">
        <v>2139.23</v>
      </c>
      <c r="D19" s="16" t="n">
        <v>2139.23</v>
      </c>
    </row>
    <row r="20" customFormat="false" ht="15" hidden="false" customHeight="false" outlineLevel="0" collapsed="false">
      <c r="B20" s="8" t="s">
        <v>128</v>
      </c>
      <c r="C20" s="16" t="n">
        <v>605.69</v>
      </c>
      <c r="D20" s="16" t="n">
        <v>605.69</v>
      </c>
    </row>
    <row r="21" customFormat="false" ht="15" hidden="false" customHeight="false" outlineLevel="0" collapsed="false">
      <c r="B21" s="8" t="s">
        <v>129</v>
      </c>
      <c r="C21" s="16" t="n">
        <v>8326.94</v>
      </c>
      <c r="D21" s="16" t="n">
        <v>8326.94</v>
      </c>
    </row>
    <row r="22" customFormat="false" ht="15" hidden="false" customHeight="false" outlineLevel="0" collapsed="false">
      <c r="A22" s="5"/>
      <c r="B22" s="6" t="s">
        <v>130</v>
      </c>
      <c r="C22" s="6"/>
      <c r="D22" s="6"/>
      <c r="E22" s="6"/>
      <c r="F22" s="6"/>
      <c r="G22" s="6"/>
      <c r="H22" s="6"/>
      <c r="I22" s="6"/>
      <c r="J22" s="6"/>
    </row>
    <row r="23" customFormat="false" ht="15" hidden="false" customHeight="false" outlineLevel="0" collapsed="false">
      <c r="B23" s="8" t="s">
        <v>131</v>
      </c>
      <c r="C23" s="16" t="n">
        <v>22000</v>
      </c>
      <c r="G23" s="16" t="n">
        <v>22000</v>
      </c>
    </row>
    <row r="24" customFormat="false" ht="15" hidden="false" customHeight="false" outlineLevel="0" collapsed="false">
      <c r="B24" s="8" t="s">
        <v>132</v>
      </c>
      <c r="C24" s="16" t="n">
        <v>28000</v>
      </c>
      <c r="G24" s="16" t="n">
        <v>28000</v>
      </c>
    </row>
    <row r="25" customFormat="false" ht="15" hidden="false" customHeight="false" outlineLevel="0" collapsed="false">
      <c r="B25" s="8" t="s">
        <v>133</v>
      </c>
      <c r="C25" s="16" t="n">
        <v>29000</v>
      </c>
      <c r="G25" s="16" t="n">
        <v>29000</v>
      </c>
    </row>
    <row r="26" customFormat="false" ht="15" hidden="false" customHeight="false" outlineLevel="0" collapsed="false">
      <c r="B26" s="8" t="s">
        <v>134</v>
      </c>
      <c r="C26" s="16" t="n">
        <v>24000</v>
      </c>
      <c r="G26" s="16" t="n">
        <v>24000</v>
      </c>
    </row>
    <row r="27" customFormat="false" ht="15" hidden="false" customHeight="false" outlineLevel="0" collapsed="false">
      <c r="B27" s="8" t="s">
        <v>135</v>
      </c>
      <c r="C27" s="16" t="n">
        <v>2000</v>
      </c>
      <c r="G27" s="16" t="n">
        <v>2000</v>
      </c>
    </row>
    <row r="28" customFormat="false" ht="15" hidden="false" customHeight="false" outlineLevel="0" collapsed="false">
      <c r="B28" s="8" t="s">
        <v>136</v>
      </c>
      <c r="C28" s="16" t="n">
        <v>18000</v>
      </c>
      <c r="G28" s="16" t="n">
        <v>18000</v>
      </c>
    </row>
    <row r="29" customFormat="false" ht="15" hidden="false" customHeight="false" outlineLevel="0" collapsed="false">
      <c r="B29" s="8" t="s">
        <v>137</v>
      </c>
      <c r="C29" s="16" t="n">
        <v>16000</v>
      </c>
      <c r="G29" s="16" t="n">
        <v>16000</v>
      </c>
    </row>
    <row r="30" customFormat="false" ht="15" hidden="false" customHeight="false" outlineLevel="0" collapsed="false">
      <c r="B30" s="8" t="s">
        <v>138</v>
      </c>
      <c r="C30" s="16" t="n">
        <v>14000</v>
      </c>
      <c r="G30" s="16" t="n">
        <v>14000</v>
      </c>
    </row>
    <row r="31" customFormat="false" ht="15" hidden="false" customHeight="false" outlineLevel="0" collapsed="false">
      <c r="B31" s="8" t="s">
        <v>139</v>
      </c>
      <c r="C31" s="16" t="n">
        <v>13000</v>
      </c>
      <c r="G31" s="16" t="n">
        <v>13000</v>
      </c>
    </row>
    <row r="32" customFormat="false" ht="15" hidden="false" customHeight="false" outlineLevel="0" collapsed="false">
      <c r="B32" s="8" t="s">
        <v>140</v>
      </c>
      <c r="C32" s="16" t="n">
        <v>35000</v>
      </c>
      <c r="G32" s="16" t="n">
        <v>35000</v>
      </c>
    </row>
    <row r="33" customFormat="false" ht="15" hidden="false" customHeight="false" outlineLevel="0" collapsed="false">
      <c r="B33" s="8" t="s">
        <v>141</v>
      </c>
      <c r="C33" s="16" t="n">
        <v>15000</v>
      </c>
      <c r="G33" s="16" t="n">
        <v>15000</v>
      </c>
    </row>
    <row r="34" customFormat="false" ht="15" hidden="false" customHeight="false" outlineLevel="0" collapsed="false">
      <c r="B34" s="8" t="s">
        <v>142</v>
      </c>
      <c r="C34" s="16" t="n">
        <v>1200</v>
      </c>
      <c r="G34" s="16" t="n">
        <v>1200</v>
      </c>
    </row>
    <row r="35" customFormat="false" ht="15" hidden="false" customHeight="false" outlineLevel="0" collapsed="false">
      <c r="B35" s="8" t="s">
        <v>143</v>
      </c>
      <c r="C35" s="16" t="n">
        <v>38000</v>
      </c>
      <c r="G35" s="16" t="n">
        <v>38000</v>
      </c>
    </row>
    <row r="36" customFormat="false" ht="15" hidden="false" customHeight="false" outlineLevel="0" collapsed="false">
      <c r="B36" s="8" t="s">
        <v>144</v>
      </c>
      <c r="C36" s="16" t="n">
        <v>8000</v>
      </c>
      <c r="G36" s="16" t="n">
        <v>8000</v>
      </c>
    </row>
    <row r="37" customFormat="false" ht="15" hidden="false" customHeight="false" outlineLevel="0" collapsed="false">
      <c r="B37" s="8" t="s">
        <v>145</v>
      </c>
      <c r="C37" s="16" t="n">
        <v>3000</v>
      </c>
      <c r="G37" s="16" t="n">
        <v>3000</v>
      </c>
    </row>
    <row r="38" customFormat="false" ht="15" hidden="false" customHeight="false" outlineLevel="0" collapsed="false">
      <c r="A38" s="24"/>
      <c r="B38" s="25" t="s">
        <v>69</v>
      </c>
      <c r="C38" s="26" t="n">
        <f aca="false">SUM(C10:C37)</f>
        <v>370474.714</v>
      </c>
      <c r="D38" s="26" t="n">
        <f aca="false">SUM(D10:D37)</f>
        <v>104274.714</v>
      </c>
      <c r="E38" s="26" t="n">
        <f aca="false">SUM(E10:E37)</f>
        <v>0</v>
      </c>
      <c r="F38" s="26" t="n">
        <f aca="false">SUM(F10:F37)</f>
        <v>0</v>
      </c>
      <c r="G38" s="26" t="n">
        <f aca="false">SUM(G10:G37)</f>
        <v>266200</v>
      </c>
      <c r="H38" s="24"/>
    </row>
    <row r="40" customFormat="false" ht="15" hidden="false" customHeight="false" outlineLevel="0" collapsed="false">
      <c r="A40" s="5"/>
      <c r="B40" s="6" t="s">
        <v>70</v>
      </c>
      <c r="C40" s="6"/>
      <c r="D40" s="6"/>
      <c r="E40" s="6"/>
      <c r="F40" s="6"/>
      <c r="G40" s="6"/>
      <c r="H40" s="6"/>
      <c r="I40" s="6"/>
      <c r="J40" s="6"/>
    </row>
    <row r="41" customFormat="false" ht="15" hidden="false" customHeight="false" outlineLevel="0" collapsed="false">
      <c r="B41" s="8" t="s">
        <v>71</v>
      </c>
      <c r="C41" s="16" t="n">
        <v>64200.07181</v>
      </c>
      <c r="D41" s="16" t="n">
        <v>16851.66553</v>
      </c>
      <c r="G41" s="16" t="n">
        <v>47348.40628</v>
      </c>
    </row>
    <row r="42" customFormat="false" ht="15" hidden="false" customHeight="false" outlineLevel="0" collapsed="false">
      <c r="B42" s="8" t="s">
        <v>146</v>
      </c>
      <c r="C42" s="16" t="n">
        <v>34452.709344</v>
      </c>
      <c r="D42" s="16" t="n">
        <v>9043.378272</v>
      </c>
      <c r="G42" s="16" t="n">
        <v>25409.331072</v>
      </c>
    </row>
    <row r="43" customFormat="false" ht="15" hidden="false" customHeight="false" outlineLevel="0" collapsed="false">
      <c r="B43" s="8" t="s">
        <v>147</v>
      </c>
      <c r="C43" s="16" t="n">
        <v>231678.52001</v>
      </c>
      <c r="D43" s="16" t="n">
        <v>60812.53213</v>
      </c>
      <c r="G43" s="16" t="n">
        <v>170865.98788</v>
      </c>
    </row>
    <row r="44" customFormat="false" ht="15" hidden="false" customHeight="false" outlineLevel="0" collapsed="false">
      <c r="B44" s="8" t="s">
        <v>148</v>
      </c>
      <c r="C44" s="16" t="n">
        <v>1618.9583326</v>
      </c>
      <c r="D44" s="16" t="n">
        <v>424.9550438</v>
      </c>
      <c r="G44" s="16" t="n">
        <v>1194.0032888</v>
      </c>
    </row>
    <row r="45" customFormat="false" ht="15" hidden="false" customHeight="false" outlineLevel="0" collapsed="false">
      <c r="B45" s="8" t="s">
        <v>75</v>
      </c>
      <c r="C45" s="16" t="n">
        <v>8812.556441</v>
      </c>
      <c r="D45" s="16" t="n">
        <v>2313.178933</v>
      </c>
      <c r="G45" s="16" t="n">
        <v>6499.377508</v>
      </c>
    </row>
    <row r="46" customFormat="false" ht="15" hidden="false" customHeight="false" outlineLevel="0" collapsed="false">
      <c r="B46" s="8" t="s">
        <v>149</v>
      </c>
      <c r="C46" s="16" t="n">
        <v>7576.40599</v>
      </c>
      <c r="D46" s="16" t="n">
        <v>1988.70587</v>
      </c>
      <c r="G46" s="16" t="n">
        <v>5587.70012</v>
      </c>
    </row>
    <row r="47" customFormat="false" ht="15" hidden="false" customHeight="false" outlineLevel="0" collapsed="false">
      <c r="B47" s="8" t="s">
        <v>150</v>
      </c>
      <c r="C47" s="16" t="n">
        <v>50642.29267</v>
      </c>
      <c r="D47" s="16" t="n">
        <v>13292.92871</v>
      </c>
      <c r="G47" s="16" t="n">
        <v>37349.36396</v>
      </c>
    </row>
    <row r="48" customFormat="false" ht="15" hidden="false" customHeight="false" outlineLevel="0" collapsed="false">
      <c r="A48" s="24"/>
      <c r="B48" s="25" t="s">
        <v>78</v>
      </c>
      <c r="C48" s="26" t="n">
        <f aca="false">SUM(C41:C47)</f>
        <v>398981.5145976</v>
      </c>
      <c r="D48" s="26" t="n">
        <f aca="false">SUM(D41:D47)</f>
        <v>104727.3444888</v>
      </c>
      <c r="E48" s="24"/>
      <c r="F48" s="26" t="n">
        <f aca="false">SUM(F41:F47)</f>
        <v>0</v>
      </c>
      <c r="G48" s="26" t="n">
        <f aca="false">SUM(G41:G47)</f>
        <v>294254.1701088</v>
      </c>
      <c r="H48" s="24"/>
    </row>
    <row r="50" customFormat="false" ht="15" hidden="false" customHeight="false" outlineLevel="0" collapsed="false">
      <c r="A50" s="27" t="s">
        <v>79</v>
      </c>
      <c r="B50" s="27"/>
      <c r="C50" s="27"/>
      <c r="D50" s="27"/>
      <c r="E50" s="27"/>
      <c r="F50" s="27"/>
      <c r="G50" s="27"/>
      <c r="H50" s="27"/>
      <c r="I50" s="27"/>
      <c r="J50" s="27"/>
    </row>
    <row r="51" customFormat="false" ht="15" hidden="false" customHeight="false" outlineLevel="0" collapsed="false">
      <c r="A51" s="28" t="s">
        <v>46</v>
      </c>
      <c r="B51" s="28"/>
      <c r="C51" s="28"/>
      <c r="D51" s="28"/>
      <c r="E51" s="28"/>
      <c r="F51" s="28"/>
      <c r="G51" s="28"/>
      <c r="H51" s="28"/>
      <c r="I51" s="28"/>
      <c r="J51" s="28"/>
    </row>
    <row r="52" customFormat="false" ht="15" hidden="false" customHeight="false" outlineLevel="0" collapsed="false">
      <c r="A52" s="29"/>
      <c r="B52" s="29" t="s">
        <v>80</v>
      </c>
      <c r="C52" s="30" t="s">
        <v>81</v>
      </c>
      <c r="D52" s="30" t="s">
        <v>82</v>
      </c>
      <c r="E52" s="30" t="s">
        <v>83</v>
      </c>
      <c r="F52" s="30" t="s">
        <v>84</v>
      </c>
      <c r="G52" s="30" t="s">
        <v>85</v>
      </c>
      <c r="H52" s="30" t="s">
        <v>86</v>
      </c>
      <c r="I52" s="30" t="s">
        <v>87</v>
      </c>
      <c r="J52" s="30" t="s">
        <v>88</v>
      </c>
    </row>
    <row r="53" customFormat="false" ht="15" hidden="false" customHeight="false" outlineLevel="0" collapsed="false">
      <c r="B53" s="31" t="s">
        <v>496</v>
      </c>
      <c r="C53" s="32" t="n">
        <v>64200.07181</v>
      </c>
      <c r="D53" s="32" t="n">
        <v>0</v>
      </c>
      <c r="E53" s="32" t="n">
        <v>3946.482</v>
      </c>
      <c r="F53" s="32" t="n">
        <v>1315.494</v>
      </c>
      <c r="G53" s="32" t="n">
        <v>5261.976</v>
      </c>
      <c r="H53" s="32" t="n">
        <v>54570.0610385</v>
      </c>
      <c r="I53" s="33" t="s">
        <v>90</v>
      </c>
      <c r="J53" s="34" t="n">
        <v>30</v>
      </c>
    </row>
    <row r="54" customFormat="false" ht="15" hidden="false" customHeight="false" outlineLevel="0" collapsed="false">
      <c r="B54" s="35" t="s">
        <v>497</v>
      </c>
      <c r="C54" s="36" t="n">
        <v>34452.709344</v>
      </c>
      <c r="D54" s="36" t="n">
        <v>0</v>
      </c>
      <c r="E54" s="36" t="n">
        <v>2137.67775</v>
      </c>
      <c r="F54" s="36" t="n">
        <v>723.5217</v>
      </c>
      <c r="G54" s="36" t="n">
        <v>2861.19945</v>
      </c>
      <c r="H54" s="36" t="n">
        <v>30318.38422272</v>
      </c>
      <c r="I54" s="37" t="s">
        <v>90</v>
      </c>
      <c r="J54" s="38" t="n">
        <v>30</v>
      </c>
    </row>
    <row r="55" customFormat="false" ht="15" hidden="false" customHeight="false" outlineLevel="0" collapsed="false">
      <c r="B55" s="31" t="s">
        <v>498</v>
      </c>
      <c r="C55" s="32" t="n">
        <v>231678.52001</v>
      </c>
      <c r="D55" s="32" t="n">
        <v>0</v>
      </c>
      <c r="E55" s="32" t="n">
        <v>14470.434</v>
      </c>
      <c r="F55" s="32" t="n">
        <v>4933.1025</v>
      </c>
      <c r="G55" s="32" t="n">
        <v>19403.5365</v>
      </c>
      <c r="H55" s="32" t="n">
        <v>208510.668009</v>
      </c>
      <c r="I55" s="33" t="s">
        <v>90</v>
      </c>
      <c r="J55" s="34" t="n">
        <v>30</v>
      </c>
    </row>
    <row r="56" customFormat="false" ht="15" hidden="false" customHeight="false" outlineLevel="0" collapsed="false">
      <c r="B56" s="35" t="s">
        <v>499</v>
      </c>
      <c r="C56" s="36" t="n">
        <v>1618.9583326</v>
      </c>
      <c r="D56" s="36" t="n">
        <v>0</v>
      </c>
      <c r="E56" s="36" t="n">
        <v>98.66205</v>
      </c>
      <c r="F56" s="36" t="n">
        <v>32.88735</v>
      </c>
      <c r="G56" s="36" t="n">
        <v>131.5494</v>
      </c>
      <c r="H56" s="36" t="n">
        <v>1424.683332688</v>
      </c>
      <c r="I56" s="37" t="s">
        <v>90</v>
      </c>
      <c r="J56" s="38" t="n">
        <v>30</v>
      </c>
    </row>
    <row r="57" customFormat="false" ht="15" hidden="false" customHeight="false" outlineLevel="0" collapsed="false">
      <c r="B57" s="31" t="s">
        <v>500</v>
      </c>
      <c r="C57" s="32" t="n">
        <v>8812.556441</v>
      </c>
      <c r="D57" s="32" t="n">
        <v>2256.014448896</v>
      </c>
      <c r="E57" s="32" t="n">
        <v>2256.014448896</v>
      </c>
      <c r="F57" s="32" t="n">
        <v>678.566845957</v>
      </c>
      <c r="G57" s="32" t="n">
        <v>2934.581294853</v>
      </c>
      <c r="H57" s="32" t="n">
        <v>5877.975146147</v>
      </c>
      <c r="I57" s="33" t="s">
        <v>95</v>
      </c>
      <c r="J57" s="34" t="n">
        <v>15</v>
      </c>
    </row>
    <row r="58" customFormat="false" ht="15" hidden="false" customHeight="false" outlineLevel="0" collapsed="false">
      <c r="B58" s="35" t="s">
        <v>501</v>
      </c>
      <c r="C58" s="36" t="n">
        <v>7576.40599</v>
      </c>
      <c r="D58" s="36" t="n">
        <v>0</v>
      </c>
      <c r="E58" s="36" t="n">
        <v>0</v>
      </c>
      <c r="F58" s="36" t="n">
        <v>0</v>
      </c>
      <c r="G58" s="36" t="n">
        <v>0</v>
      </c>
      <c r="H58" s="36" t="n">
        <v>7576.40599</v>
      </c>
      <c r="I58" s="37" t="s">
        <v>97</v>
      </c>
      <c r="J58" s="38" t="n">
        <v>5</v>
      </c>
    </row>
    <row r="59" customFormat="false" ht="15" hidden="false" customHeight="false" outlineLevel="0" collapsed="false">
      <c r="B59" s="31" t="s">
        <v>502</v>
      </c>
      <c r="C59" s="32" t="n">
        <v>50642.29267</v>
      </c>
      <c r="D59" s="32" t="n">
        <v>0</v>
      </c>
      <c r="E59" s="32" t="n">
        <v>1315.494</v>
      </c>
      <c r="F59" s="32" t="n">
        <v>2104.7904</v>
      </c>
      <c r="G59" s="32" t="n">
        <v>3420.2844</v>
      </c>
      <c r="H59" s="32" t="n">
        <v>45071.6404763</v>
      </c>
      <c r="I59" s="33" t="s">
        <v>97</v>
      </c>
      <c r="J59" s="34" t="n">
        <v>5</v>
      </c>
    </row>
    <row r="60" customFormat="false" ht="15" hidden="false" customHeight="false" outlineLevel="0" collapsed="false">
      <c r="A60" s="10"/>
      <c r="B60" s="11" t="s">
        <v>24</v>
      </c>
      <c r="C60" s="39" t="n">
        <f aca="false">SUM(C53:C59)</f>
        <v>398981.5145976</v>
      </c>
      <c r="D60" s="39" t="n">
        <f aca="false">SUM(D53:D59)</f>
        <v>2256.014448896</v>
      </c>
      <c r="E60" s="39" t="n">
        <f aca="false">SUM(E53:E59)</f>
        <v>24224.764248896</v>
      </c>
      <c r="F60" s="39" t="n">
        <f aca="false">SUM(F53:F59)</f>
        <v>9788.362795957</v>
      </c>
      <c r="G60" s="39" t="n">
        <f aca="false">SUM(G53:G59)</f>
        <v>34013.127044853</v>
      </c>
      <c r="H60" s="39" t="n">
        <f aca="false">SUM(H53:H59)</f>
        <v>353349.818215355</v>
      </c>
      <c r="I60" s="10"/>
      <c r="J60" s="10"/>
    </row>
    <row r="62" customFormat="false" ht="15" hidden="false" customHeight="false" outlineLevel="0" collapsed="false">
      <c r="A62" s="40" t="s">
        <v>99</v>
      </c>
      <c r="B62" s="40"/>
      <c r="C62" s="40"/>
      <c r="D62" s="40"/>
      <c r="E62" s="40"/>
      <c r="F62" s="40"/>
      <c r="G62" s="40"/>
      <c r="H62" s="40"/>
      <c r="I62" s="40"/>
      <c r="J62" s="40"/>
    </row>
    <row r="63" customFormat="false" ht="15" hidden="false" customHeight="false" outlineLevel="0" collapsed="false">
      <c r="A63" s="29"/>
      <c r="B63" s="29" t="s">
        <v>80</v>
      </c>
      <c r="C63" s="30" t="s">
        <v>81</v>
      </c>
      <c r="D63" s="30" t="s">
        <v>82</v>
      </c>
      <c r="E63" s="30" t="s">
        <v>83</v>
      </c>
      <c r="F63" s="30" t="s">
        <v>84</v>
      </c>
      <c r="G63" s="30" t="s">
        <v>85</v>
      </c>
      <c r="H63" s="30" t="s">
        <v>86</v>
      </c>
      <c r="I63" s="30" t="s">
        <v>87</v>
      </c>
      <c r="J63" s="30" t="s">
        <v>88</v>
      </c>
    </row>
    <row r="64" customFormat="false" ht="15" hidden="false" customHeight="false" outlineLevel="0" collapsed="false">
      <c r="B64" s="31" t="s">
        <v>503</v>
      </c>
      <c r="C64" s="32" t="n">
        <v>16747.84482</v>
      </c>
      <c r="D64" s="32" t="n">
        <v>16747.84482</v>
      </c>
      <c r="E64" s="32" t="n">
        <v>16747.84482</v>
      </c>
      <c r="F64" s="32" t="n">
        <v>0</v>
      </c>
      <c r="G64" s="32" t="n">
        <v>16747.84482</v>
      </c>
      <c r="H64" s="32" t="n">
        <v>0</v>
      </c>
      <c r="I64" s="33" t="s">
        <v>97</v>
      </c>
      <c r="J64" s="34" t="n">
        <v>5</v>
      </c>
    </row>
    <row r="65" customFormat="false" ht="15" hidden="false" customHeight="false" outlineLevel="0" collapsed="false">
      <c r="B65" s="35" t="s">
        <v>504</v>
      </c>
      <c r="C65" s="36" t="n">
        <v>47452.22699</v>
      </c>
      <c r="D65" s="36" t="n">
        <v>0</v>
      </c>
      <c r="E65" s="36" t="n">
        <v>8989.64413</v>
      </c>
      <c r="F65" s="36" t="n">
        <v>1600.89553</v>
      </c>
      <c r="G65" s="36" t="n">
        <v>10590.53966</v>
      </c>
      <c r="H65" s="36" t="n">
        <v>38910.8261318</v>
      </c>
      <c r="I65" s="37" t="s">
        <v>90</v>
      </c>
      <c r="J65" s="38" t="n">
        <v>30</v>
      </c>
    </row>
    <row r="66" customFormat="false" ht="15" hidden="false" customHeight="false" outlineLevel="0" collapsed="false">
      <c r="B66" s="31" t="s">
        <v>505</v>
      </c>
      <c r="C66" s="32" t="n">
        <v>9051.811367</v>
      </c>
      <c r="D66" s="32" t="n">
        <v>9051.811367</v>
      </c>
      <c r="E66" s="32" t="n">
        <v>9051.811367</v>
      </c>
      <c r="F66" s="32" t="n">
        <v>0</v>
      </c>
      <c r="G66" s="32" t="n">
        <v>9051.811367</v>
      </c>
      <c r="H66" s="32" t="n">
        <v>0</v>
      </c>
      <c r="I66" s="33" t="s">
        <v>97</v>
      </c>
      <c r="J66" s="34" t="n">
        <v>5</v>
      </c>
    </row>
    <row r="67" customFormat="false" ht="15" hidden="false" customHeight="false" outlineLevel="0" collapsed="false">
      <c r="B67" s="35" t="s">
        <v>506</v>
      </c>
      <c r="C67" s="36" t="n">
        <v>25400.897977</v>
      </c>
      <c r="D67" s="36" t="n">
        <v>0</v>
      </c>
      <c r="E67" s="36" t="n">
        <v>4802.68659</v>
      </c>
      <c r="F67" s="36" t="n">
        <v>849.706089</v>
      </c>
      <c r="G67" s="36" t="n">
        <v>5664.70726</v>
      </c>
      <c r="H67" s="36" t="n">
        <v>23622.83511861</v>
      </c>
      <c r="I67" s="37" t="s">
        <v>90</v>
      </c>
      <c r="J67" s="38" t="n">
        <v>30</v>
      </c>
    </row>
    <row r="68" customFormat="false" ht="15" hidden="false" customHeight="false" outlineLevel="0" collapsed="false">
      <c r="B68" s="31" t="s">
        <v>507</v>
      </c>
      <c r="C68" s="32" t="n">
        <v>60611.24792</v>
      </c>
      <c r="D68" s="32" t="n">
        <v>48648.50162</v>
      </c>
      <c r="E68" s="32" t="n">
        <v>50982.36534</v>
      </c>
      <c r="F68" s="32" t="n">
        <v>3940.66592</v>
      </c>
      <c r="G68" s="32" t="n">
        <v>54923.03126</v>
      </c>
      <c r="H68" s="32" t="n">
        <v>2909.33990016</v>
      </c>
      <c r="I68" s="33" t="s">
        <v>97</v>
      </c>
      <c r="J68" s="34" t="n">
        <v>5</v>
      </c>
    </row>
    <row r="69" customFormat="false" ht="15" hidden="false" customHeight="false" outlineLevel="0" collapsed="false">
      <c r="B69" s="35" t="s">
        <v>508</v>
      </c>
      <c r="C69" s="36" t="n">
        <v>169870.99746</v>
      </c>
      <c r="D69" s="36" t="n">
        <v>0</v>
      </c>
      <c r="E69" s="36" t="n">
        <v>4063.81173</v>
      </c>
      <c r="F69" s="36" t="n">
        <v>5664.70726</v>
      </c>
      <c r="G69" s="36" t="n">
        <v>9728.51899</v>
      </c>
      <c r="H69" s="36" t="n">
        <v>164774.8675362</v>
      </c>
      <c r="I69" s="37" t="s">
        <v>90</v>
      </c>
      <c r="J69" s="38" t="n">
        <v>30</v>
      </c>
    </row>
    <row r="70" customFormat="false" ht="15" hidden="false" customHeight="false" outlineLevel="0" collapsed="false">
      <c r="B70" s="31" t="s">
        <v>509</v>
      </c>
      <c r="C70" s="32" t="n">
        <v>422.6837026</v>
      </c>
      <c r="D70" s="32" t="n">
        <v>422.6837026</v>
      </c>
      <c r="E70" s="32" t="n">
        <v>422.6837026</v>
      </c>
      <c r="F70" s="32" t="n">
        <v>0</v>
      </c>
      <c r="G70" s="32" t="n">
        <v>422.6837026</v>
      </c>
      <c r="H70" s="32" t="n">
        <v>0</v>
      </c>
      <c r="I70" s="33" t="s">
        <v>97</v>
      </c>
      <c r="J70" s="34" t="n">
        <v>5</v>
      </c>
    </row>
    <row r="71" customFormat="false" ht="15" hidden="false" customHeight="false" outlineLevel="0" collapsed="false">
      <c r="B71" s="35" t="s">
        <v>510</v>
      </c>
      <c r="C71" s="36" t="n">
        <v>1196.27463</v>
      </c>
      <c r="D71" s="36" t="n">
        <v>0</v>
      </c>
      <c r="E71" s="36" t="n">
        <v>123.14581</v>
      </c>
      <c r="F71" s="36" t="n">
        <v>36.943743</v>
      </c>
      <c r="G71" s="36" t="n">
        <v>160.089553</v>
      </c>
      <c r="H71" s="36" t="n">
        <v>1160.3863911</v>
      </c>
      <c r="I71" s="37" t="s">
        <v>90</v>
      </c>
      <c r="J71" s="38" t="n">
        <v>30</v>
      </c>
    </row>
    <row r="72" customFormat="false" ht="15" hidden="false" customHeight="false" outlineLevel="0" collapsed="false">
      <c r="B72" s="31" t="s">
        <v>511</v>
      </c>
      <c r="C72" s="32" t="n">
        <v>2312.797618</v>
      </c>
      <c r="D72" s="32" t="n">
        <v>2312.797618</v>
      </c>
      <c r="E72" s="32" t="n">
        <v>2312.797618</v>
      </c>
      <c r="F72" s="32" t="n">
        <v>0</v>
      </c>
      <c r="G72" s="32" t="n">
        <v>2312.797618</v>
      </c>
      <c r="H72" s="32" t="n">
        <v>0</v>
      </c>
      <c r="I72" s="33" t="s">
        <v>97</v>
      </c>
      <c r="J72" s="34" t="n">
        <v>5</v>
      </c>
    </row>
    <row r="73" customFormat="false" ht="15" hidden="false" customHeight="false" outlineLevel="0" collapsed="false">
      <c r="B73" s="35" t="s">
        <v>512</v>
      </c>
      <c r="C73" s="36" t="n">
        <v>6499.758823</v>
      </c>
      <c r="D73" s="36" t="n">
        <v>0</v>
      </c>
      <c r="E73" s="36" t="n">
        <v>1169.885195</v>
      </c>
      <c r="F73" s="36" t="n">
        <v>216.7366256</v>
      </c>
      <c r="G73" s="36" t="n">
        <v>1391.547653</v>
      </c>
      <c r="H73" s="36" t="n">
        <v>6044.77570539</v>
      </c>
      <c r="I73" s="37" t="s">
        <v>90</v>
      </c>
      <c r="J73" s="38" t="n">
        <v>30</v>
      </c>
    </row>
    <row r="74" customFormat="false" ht="15" hidden="false" customHeight="false" outlineLevel="0" collapsed="false">
      <c r="B74" s="31" t="s">
        <v>513</v>
      </c>
      <c r="C74" s="32" t="n">
        <v>1993.79105</v>
      </c>
      <c r="D74" s="32" t="n">
        <v>1993.79105</v>
      </c>
      <c r="E74" s="32" t="n">
        <v>1993.79105</v>
      </c>
      <c r="F74" s="32" t="n">
        <v>0</v>
      </c>
      <c r="G74" s="32" t="n">
        <v>1993.79105</v>
      </c>
      <c r="H74" s="32" t="n">
        <v>0</v>
      </c>
      <c r="I74" s="33" t="s">
        <v>97</v>
      </c>
      <c r="J74" s="34" t="n">
        <v>5</v>
      </c>
    </row>
    <row r="75" customFormat="false" ht="15" hidden="false" customHeight="false" outlineLevel="0" collapsed="false">
      <c r="B75" s="35" t="s">
        <v>514</v>
      </c>
      <c r="C75" s="36" t="n">
        <v>5582.61494</v>
      </c>
      <c r="D75" s="36" t="n">
        <v>0</v>
      </c>
      <c r="E75" s="36" t="n">
        <v>197.033296</v>
      </c>
      <c r="F75" s="36" t="n">
        <v>184.718715</v>
      </c>
      <c r="G75" s="36" t="n">
        <v>381.752011</v>
      </c>
      <c r="H75" s="36" t="n">
        <v>5470.9626412</v>
      </c>
      <c r="I75" s="37" t="s">
        <v>90</v>
      </c>
      <c r="J75" s="38" t="n">
        <v>30</v>
      </c>
    </row>
    <row r="76" customFormat="false" ht="15" hidden="false" customHeight="false" outlineLevel="0" collapsed="false">
      <c r="B76" s="31" t="s">
        <v>515</v>
      </c>
      <c r="C76" s="32" t="n">
        <v>13358.400035</v>
      </c>
      <c r="D76" s="32" t="n">
        <v>10686.720028</v>
      </c>
      <c r="E76" s="32" t="n">
        <v>11969.772732</v>
      </c>
      <c r="F76" s="32" t="n">
        <v>911.278994</v>
      </c>
      <c r="G76" s="32" t="n">
        <v>12881.051726</v>
      </c>
      <c r="H76" s="32" t="n">
        <v>146.942400385</v>
      </c>
      <c r="I76" s="33" t="s">
        <v>97</v>
      </c>
      <c r="J76" s="34" t="n">
        <v>5</v>
      </c>
    </row>
    <row r="77" customFormat="false" ht="15" hidden="false" customHeight="false" outlineLevel="0" collapsed="false">
      <c r="B77" s="35" t="s">
        <v>516</v>
      </c>
      <c r="C77" s="36" t="n">
        <v>37283.892635</v>
      </c>
      <c r="D77" s="36" t="n">
        <v>0</v>
      </c>
      <c r="E77" s="36" t="n">
        <v>1009.795642</v>
      </c>
      <c r="F77" s="36" t="n">
        <v>1428.491396</v>
      </c>
      <c r="G77" s="36" t="n">
        <v>2438.287038</v>
      </c>
      <c r="H77" s="36" t="n">
        <v>36538.2147823</v>
      </c>
      <c r="I77" s="37" t="s">
        <v>90</v>
      </c>
      <c r="J77" s="38" t="n">
        <v>30</v>
      </c>
    </row>
    <row r="78" customFormat="false" ht="15" hidden="false" customHeight="false" outlineLevel="0" collapsed="false">
      <c r="A78" s="10"/>
      <c r="B78" s="11" t="s">
        <v>24</v>
      </c>
      <c r="C78" s="39" t="n">
        <f aca="false">SUM(C64:C77)</f>
        <v>397785.2399676</v>
      </c>
      <c r="D78" s="39" t="n">
        <f aca="false">SUM(D64:D77)</f>
        <v>89864.1502056</v>
      </c>
      <c r="E78" s="39" t="n">
        <f aca="false">SUM(E64:E77)</f>
        <v>113837.0690226</v>
      </c>
      <c r="F78" s="39" t="n">
        <f aca="false">SUM(F64:F77)</f>
        <v>14834.1442726</v>
      </c>
      <c r="G78" s="39" t="n">
        <f aca="false">SUM(G64:G77)</f>
        <v>128688.4537086</v>
      </c>
      <c r="H78" s="39" t="n">
        <f aca="false">SUM(H64:H77)</f>
        <v>279579.150607145</v>
      </c>
      <c r="I78" s="10"/>
      <c r="J78" s="10"/>
    </row>
    <row r="80" customFormat="false" ht="15" hidden="false" customHeight="false" outlineLevel="0" collapsed="false">
      <c r="A80" s="27" t="s">
        <v>48</v>
      </c>
      <c r="B80" s="27"/>
      <c r="C80" s="27"/>
      <c r="D80" s="27"/>
      <c r="E80" s="27"/>
    </row>
    <row r="81" customFormat="false" ht="15" hidden="false" customHeight="false" outlineLevel="0" collapsed="false">
      <c r="B81" s="8" t="s">
        <v>114</v>
      </c>
      <c r="C81" s="41" t="n">
        <f aca="false">G60</f>
        <v>34013.127044853</v>
      </c>
    </row>
    <row r="82" customFormat="false" ht="15" hidden="false" customHeight="false" outlineLevel="0" collapsed="false">
      <c r="B82" s="8" t="s">
        <v>115</v>
      </c>
      <c r="C82" s="41" t="n">
        <f aca="false">G78</f>
        <v>128688.4537086</v>
      </c>
    </row>
    <row r="83" customFormat="false" ht="15" hidden="false" customHeight="false" outlineLevel="0" collapsed="false">
      <c r="B83" s="17" t="s">
        <v>48</v>
      </c>
      <c r="C83" s="42" t="n">
        <f aca="false">C82-C81</f>
        <v>94675.326663747</v>
      </c>
    </row>
  </sheetData>
  <mergeCells count="11">
    <mergeCell ref="A2:J2"/>
    <mergeCell ref="A3:J3"/>
    <mergeCell ref="A4:J4"/>
    <mergeCell ref="A8:J8"/>
    <mergeCell ref="B10:J10"/>
    <mergeCell ref="B22:J22"/>
    <mergeCell ref="B40:J40"/>
    <mergeCell ref="A50:J50"/>
    <mergeCell ref="A51:J51"/>
    <mergeCell ref="A62:J62"/>
    <mergeCell ref="A80:E8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517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50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51</v>
      </c>
      <c r="C6" s="8" t="s">
        <v>26</v>
      </c>
    </row>
    <row r="8" customFormat="false" ht="15" hidden="false" customHeight="false" outlineLevel="0" collapsed="false">
      <c r="A8" s="21" t="s">
        <v>518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53</v>
      </c>
      <c r="C9" s="23" t="s">
        <v>54</v>
      </c>
      <c r="D9" s="23" t="s">
        <v>55</v>
      </c>
      <c r="E9" s="23" t="s">
        <v>56</v>
      </c>
      <c r="F9" s="23" t="s">
        <v>57</v>
      </c>
      <c r="G9" s="23" t="s">
        <v>58</v>
      </c>
      <c r="H9" s="23" t="s">
        <v>59</v>
      </c>
    </row>
    <row r="10" customFormat="false" ht="15" hidden="false" customHeight="false" outlineLevel="0" collapsed="false">
      <c r="A10" s="5"/>
      <c r="B10" s="6" t="s">
        <v>118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120</v>
      </c>
      <c r="C11" s="16" t="n">
        <v>500</v>
      </c>
      <c r="D11" s="16" t="n">
        <v>500</v>
      </c>
    </row>
    <row r="12" customFormat="false" ht="15" hidden="false" customHeight="false" outlineLevel="0" collapsed="false">
      <c r="B12" s="8" t="s">
        <v>121</v>
      </c>
      <c r="C12" s="16" t="n">
        <v>2000</v>
      </c>
      <c r="D12" s="16" t="n">
        <v>2000</v>
      </c>
    </row>
    <row r="13" customFormat="false" ht="15" hidden="false" customHeight="false" outlineLevel="0" collapsed="false">
      <c r="B13" s="8" t="s">
        <v>124</v>
      </c>
      <c r="C13" s="16" t="n">
        <v>1000</v>
      </c>
      <c r="D13" s="16" t="n">
        <v>1000</v>
      </c>
    </row>
    <row r="14" customFormat="false" ht="15" hidden="false" customHeight="false" outlineLevel="0" collapsed="false">
      <c r="B14" s="8" t="s">
        <v>125</v>
      </c>
      <c r="C14" s="16" t="n">
        <v>3000</v>
      </c>
      <c r="D14" s="16" t="n">
        <v>3000</v>
      </c>
    </row>
    <row r="15" customFormat="false" ht="15" hidden="false" customHeight="false" outlineLevel="0" collapsed="false">
      <c r="B15" s="8" t="s">
        <v>519</v>
      </c>
      <c r="C15" s="16" t="n">
        <v>500</v>
      </c>
      <c r="D15" s="16" t="n">
        <v>500</v>
      </c>
    </row>
    <row r="16" customFormat="false" ht="15" hidden="false" customHeight="false" outlineLevel="0" collapsed="false">
      <c r="B16" s="8" t="s">
        <v>127</v>
      </c>
      <c r="C16" s="16" t="n">
        <v>400</v>
      </c>
      <c r="D16" s="16" t="n">
        <v>400</v>
      </c>
    </row>
    <row r="17" customFormat="false" ht="15" hidden="false" customHeight="false" outlineLevel="0" collapsed="false">
      <c r="B17" s="8" t="s">
        <v>129</v>
      </c>
      <c r="C17" s="16" t="n">
        <v>4370.06</v>
      </c>
      <c r="D17" s="16" t="n">
        <v>4370.06</v>
      </c>
    </row>
    <row r="18" customFormat="false" ht="15" hidden="false" customHeight="false" outlineLevel="0" collapsed="false">
      <c r="A18" s="5"/>
      <c r="B18" s="6" t="s">
        <v>130</v>
      </c>
      <c r="C18" s="6"/>
      <c r="D18" s="6"/>
      <c r="E18" s="6"/>
      <c r="F18" s="6"/>
      <c r="G18" s="6"/>
      <c r="H18" s="6"/>
      <c r="I18" s="6"/>
      <c r="J18" s="6"/>
    </row>
    <row r="19" customFormat="false" ht="15" hidden="false" customHeight="false" outlineLevel="0" collapsed="false">
      <c r="B19" s="8" t="s">
        <v>131</v>
      </c>
      <c r="C19" s="16" t="n">
        <v>10000</v>
      </c>
      <c r="G19" s="16" t="n">
        <v>10000</v>
      </c>
    </row>
    <row r="20" customFormat="false" ht="15" hidden="false" customHeight="false" outlineLevel="0" collapsed="false">
      <c r="B20" s="8" t="s">
        <v>132</v>
      </c>
      <c r="C20" s="16" t="n">
        <v>8000</v>
      </c>
      <c r="G20" s="16" t="n">
        <v>8000</v>
      </c>
    </row>
    <row r="21" customFormat="false" ht="15" hidden="false" customHeight="false" outlineLevel="0" collapsed="false">
      <c r="B21" s="8" t="s">
        <v>133</v>
      </c>
      <c r="C21" s="16" t="n">
        <v>9000</v>
      </c>
      <c r="G21" s="16" t="n">
        <v>9000</v>
      </c>
    </row>
    <row r="22" customFormat="false" ht="15" hidden="false" customHeight="false" outlineLevel="0" collapsed="false">
      <c r="B22" s="8" t="s">
        <v>134</v>
      </c>
      <c r="C22" s="16" t="n">
        <v>7000</v>
      </c>
      <c r="G22" s="16" t="n">
        <v>7000</v>
      </c>
    </row>
    <row r="23" customFormat="false" ht="15" hidden="false" customHeight="false" outlineLevel="0" collapsed="false">
      <c r="B23" s="8" t="s">
        <v>135</v>
      </c>
      <c r="C23" s="16" t="n">
        <v>250</v>
      </c>
      <c r="G23" s="16" t="n">
        <v>250</v>
      </c>
    </row>
    <row r="24" customFormat="false" ht="15" hidden="false" customHeight="false" outlineLevel="0" collapsed="false">
      <c r="B24" s="8" t="s">
        <v>136</v>
      </c>
      <c r="C24" s="16" t="n">
        <v>6000</v>
      </c>
      <c r="G24" s="16" t="n">
        <v>6000</v>
      </c>
    </row>
    <row r="25" customFormat="false" ht="15" hidden="false" customHeight="false" outlineLevel="0" collapsed="false">
      <c r="B25" s="8" t="s">
        <v>137</v>
      </c>
      <c r="C25" s="16" t="n">
        <v>5000</v>
      </c>
      <c r="G25" s="16" t="n">
        <v>5000</v>
      </c>
    </row>
    <row r="26" customFormat="false" ht="15" hidden="false" customHeight="false" outlineLevel="0" collapsed="false">
      <c r="B26" s="8" t="s">
        <v>138</v>
      </c>
      <c r="C26" s="16" t="n">
        <v>4000</v>
      </c>
      <c r="G26" s="16" t="n">
        <v>4000</v>
      </c>
    </row>
    <row r="27" customFormat="false" ht="15" hidden="false" customHeight="false" outlineLevel="0" collapsed="false">
      <c r="B27" s="8" t="s">
        <v>139</v>
      </c>
      <c r="C27" s="16" t="n">
        <v>3500</v>
      </c>
      <c r="G27" s="16" t="n">
        <v>3500</v>
      </c>
    </row>
    <row r="28" customFormat="false" ht="15" hidden="false" customHeight="false" outlineLevel="0" collapsed="false">
      <c r="B28" s="8" t="s">
        <v>140</v>
      </c>
      <c r="C28" s="16" t="n">
        <v>15000</v>
      </c>
      <c r="G28" s="16" t="n">
        <v>15000</v>
      </c>
    </row>
    <row r="29" customFormat="false" ht="15" hidden="false" customHeight="false" outlineLevel="0" collapsed="false">
      <c r="B29" s="8" t="s">
        <v>141</v>
      </c>
      <c r="C29" s="16" t="n">
        <v>5000</v>
      </c>
      <c r="G29" s="16" t="n">
        <v>5000</v>
      </c>
    </row>
    <row r="30" customFormat="false" ht="15" hidden="false" customHeight="false" outlineLevel="0" collapsed="false">
      <c r="B30" s="8" t="s">
        <v>143</v>
      </c>
      <c r="C30" s="16" t="n">
        <v>22873.9</v>
      </c>
      <c r="G30" s="16" t="n">
        <v>22873.9</v>
      </c>
    </row>
    <row r="31" customFormat="false" ht="15" hidden="false" customHeight="false" outlineLevel="0" collapsed="false">
      <c r="B31" s="8" t="s">
        <v>145</v>
      </c>
      <c r="C31" s="16" t="n">
        <v>1500</v>
      </c>
      <c r="G31" s="16" t="n">
        <v>1500</v>
      </c>
    </row>
    <row r="32" customFormat="false" ht="15" hidden="false" customHeight="false" outlineLevel="0" collapsed="false">
      <c r="B32" s="8" t="s">
        <v>520</v>
      </c>
      <c r="C32" s="16" t="n">
        <v>450</v>
      </c>
      <c r="G32" s="16" t="n">
        <v>450</v>
      </c>
    </row>
    <row r="33" customFormat="false" ht="15" hidden="false" customHeight="false" outlineLevel="0" collapsed="false">
      <c r="A33" s="24"/>
      <c r="B33" s="25" t="s">
        <v>69</v>
      </c>
      <c r="C33" s="26" t="n">
        <f aca="false">SUM(C10:C32)</f>
        <v>109343.96</v>
      </c>
      <c r="D33" s="26" t="n">
        <f aca="false">SUM(D10:D32)</f>
        <v>11770.06</v>
      </c>
      <c r="E33" s="26" t="n">
        <f aca="false">SUM(E10:E32)</f>
        <v>0</v>
      </c>
      <c r="F33" s="26" t="n">
        <f aca="false">SUM(F10:F32)</f>
        <v>0</v>
      </c>
      <c r="G33" s="26" t="n">
        <f aca="false">SUM(G10:G32)</f>
        <v>97573.9</v>
      </c>
      <c r="H33" s="24"/>
    </row>
    <row r="35" customFormat="false" ht="15" hidden="false" customHeight="false" outlineLevel="0" collapsed="false">
      <c r="A35" s="5"/>
      <c r="B35" s="6" t="s">
        <v>70</v>
      </c>
      <c r="C35" s="6"/>
      <c r="D35" s="6"/>
      <c r="E35" s="6"/>
      <c r="F35" s="6"/>
      <c r="G35" s="6"/>
      <c r="H35" s="6"/>
      <c r="I35" s="6"/>
      <c r="J35" s="6"/>
    </row>
    <row r="36" customFormat="false" ht="15" hidden="false" customHeight="false" outlineLevel="0" collapsed="false">
      <c r="B36" s="8" t="s">
        <v>521</v>
      </c>
      <c r="C36" s="16" t="n">
        <v>21629.37756</v>
      </c>
      <c r="D36" s="16" t="n">
        <v>1974.856212</v>
      </c>
      <c r="G36" s="16" t="n">
        <v>19654.521348</v>
      </c>
    </row>
    <row r="37" customFormat="false" ht="15" hidden="false" customHeight="false" outlineLevel="0" collapsed="false">
      <c r="B37" s="8" t="s">
        <v>522</v>
      </c>
      <c r="C37" s="16" t="n">
        <v>11607.318144</v>
      </c>
      <c r="D37" s="16" t="n">
        <v>1061.317284</v>
      </c>
      <c r="G37" s="16" t="n">
        <v>10546.00086</v>
      </c>
    </row>
    <row r="38" customFormat="false" ht="15" hidden="false" customHeight="false" outlineLevel="0" collapsed="false">
      <c r="B38" s="8" t="s">
        <v>523</v>
      </c>
      <c r="C38" s="16" t="n">
        <v>78053.84076</v>
      </c>
      <c r="D38" s="16" t="n">
        <v>7120.22988</v>
      </c>
      <c r="G38" s="16" t="n">
        <v>70933.61088</v>
      </c>
    </row>
    <row r="39" customFormat="false" ht="15" hidden="false" customHeight="false" outlineLevel="0" collapsed="false">
      <c r="B39" s="8" t="s">
        <v>524</v>
      </c>
      <c r="C39" s="16" t="n">
        <v>545.4364776</v>
      </c>
      <c r="D39" s="16" t="n">
        <v>49.7072652</v>
      </c>
      <c r="G39" s="16" t="n">
        <v>495.7292124</v>
      </c>
    </row>
    <row r="40" customFormat="false" ht="15" hidden="false" customHeight="false" outlineLevel="0" collapsed="false">
      <c r="B40" s="8" t="s">
        <v>525</v>
      </c>
      <c r="C40" s="16" t="n">
        <v>2969.001516</v>
      </c>
      <c r="D40" s="16" t="n">
        <v>268.68792</v>
      </c>
      <c r="G40" s="16" t="n">
        <v>2700.313596</v>
      </c>
    </row>
    <row r="41" customFormat="false" ht="15" hidden="false" customHeight="false" outlineLevel="0" collapsed="false">
      <c r="B41" s="8" t="s">
        <v>526</v>
      </c>
      <c r="C41" s="16" t="n">
        <v>2552.53524</v>
      </c>
      <c r="D41" s="16" t="n">
        <v>232.4150508</v>
      </c>
      <c r="G41" s="16" t="n">
        <v>2320.1201892</v>
      </c>
    </row>
    <row r="42" customFormat="false" ht="15" hidden="false" customHeight="false" outlineLevel="0" collapsed="false">
      <c r="B42" s="8" t="s">
        <v>527</v>
      </c>
      <c r="C42" s="16" t="n">
        <v>17061.68292</v>
      </c>
      <c r="D42" s="16" t="n">
        <v>1559.7333756</v>
      </c>
      <c r="G42" s="16" t="n">
        <v>15501.9495444</v>
      </c>
    </row>
    <row r="43" customFormat="false" ht="15" hidden="false" customHeight="false" outlineLevel="0" collapsed="false">
      <c r="A43" s="24"/>
      <c r="B43" s="25" t="s">
        <v>78</v>
      </c>
      <c r="C43" s="26" t="n">
        <f aca="false">SUM(C36:C42)</f>
        <v>134419.1926176</v>
      </c>
      <c r="D43" s="26" t="n">
        <f aca="false">SUM(D36:D42)</f>
        <v>12266.9469876</v>
      </c>
      <c r="E43" s="24"/>
      <c r="F43" s="26" t="n">
        <f aca="false">SUM(F36:F42)</f>
        <v>0</v>
      </c>
      <c r="G43" s="26" t="n">
        <f aca="false">SUM(G36:G42)</f>
        <v>122152.24563</v>
      </c>
      <c r="H43" s="24"/>
    </row>
    <row r="45" customFormat="false" ht="15" hidden="false" customHeight="false" outlineLevel="0" collapsed="false">
      <c r="A45" s="27" t="s">
        <v>79</v>
      </c>
      <c r="B45" s="27"/>
      <c r="C45" s="27"/>
      <c r="D45" s="27"/>
      <c r="E45" s="27"/>
      <c r="F45" s="27"/>
      <c r="G45" s="27"/>
      <c r="H45" s="27"/>
      <c r="I45" s="27"/>
      <c r="J45" s="27"/>
    </row>
    <row r="46" customFormat="false" ht="15" hidden="false" customHeight="false" outlineLevel="0" collapsed="false">
      <c r="A46" s="28" t="s">
        <v>46</v>
      </c>
      <c r="B46" s="28"/>
      <c r="C46" s="28"/>
      <c r="D46" s="28"/>
      <c r="E46" s="28"/>
      <c r="F46" s="28"/>
      <c r="G46" s="28"/>
      <c r="H46" s="28"/>
      <c r="I46" s="28"/>
      <c r="J46" s="28"/>
    </row>
    <row r="47" customFormat="false" ht="15" hidden="false" customHeight="false" outlineLevel="0" collapsed="false">
      <c r="A47" s="29"/>
      <c r="B47" s="29" t="s">
        <v>80</v>
      </c>
      <c r="C47" s="30" t="s">
        <v>81</v>
      </c>
      <c r="D47" s="30" t="s">
        <v>82</v>
      </c>
      <c r="E47" s="30" t="s">
        <v>83</v>
      </c>
      <c r="F47" s="30" t="s">
        <v>84</v>
      </c>
      <c r="G47" s="30" t="s">
        <v>85</v>
      </c>
      <c r="H47" s="30" t="s">
        <v>86</v>
      </c>
      <c r="I47" s="30" t="s">
        <v>87</v>
      </c>
      <c r="J47" s="30" t="s">
        <v>88</v>
      </c>
    </row>
    <row r="48" customFormat="false" ht="15" hidden="false" customHeight="false" outlineLevel="0" collapsed="false">
      <c r="B48" s="31" t="s">
        <v>528</v>
      </c>
      <c r="C48" s="32" t="n">
        <v>21669.1</v>
      </c>
      <c r="D48" s="32" t="n">
        <v>0</v>
      </c>
      <c r="E48" s="32" t="n">
        <v>2237.87</v>
      </c>
      <c r="F48" s="32" t="n">
        <v>789.08</v>
      </c>
      <c r="G48" s="32" t="n">
        <v>3026.95</v>
      </c>
      <c r="H48" s="32" t="n">
        <v>18642.15</v>
      </c>
      <c r="I48" s="33" t="s">
        <v>90</v>
      </c>
      <c r="J48" s="34" t="n">
        <v>30</v>
      </c>
    </row>
    <row r="49" customFormat="false" ht="15" hidden="false" customHeight="false" outlineLevel="0" collapsed="false">
      <c r="B49" s="35" t="s">
        <v>529</v>
      </c>
      <c r="C49" s="36" t="n">
        <v>11621.82</v>
      </c>
      <c r="D49" s="36" t="n">
        <v>0</v>
      </c>
      <c r="E49" s="36" t="n">
        <v>403.54</v>
      </c>
      <c r="F49" s="36" t="n">
        <v>387.39</v>
      </c>
      <c r="G49" s="36" t="n">
        <v>790.93</v>
      </c>
      <c r="H49" s="36" t="n">
        <v>10830.89</v>
      </c>
      <c r="I49" s="37" t="s">
        <v>90</v>
      </c>
      <c r="J49" s="38" t="n">
        <v>30</v>
      </c>
    </row>
    <row r="50" customFormat="false" ht="15" hidden="false" customHeight="false" outlineLevel="0" collapsed="false">
      <c r="B50" s="31" t="s">
        <v>530</v>
      </c>
      <c r="C50" s="32" t="n">
        <v>77895</v>
      </c>
      <c r="D50" s="32" t="n">
        <v>0</v>
      </c>
      <c r="E50" s="32" t="n">
        <v>1839.19</v>
      </c>
      <c r="F50" s="32" t="n">
        <v>2596.5</v>
      </c>
      <c r="G50" s="32" t="n">
        <v>4435.69</v>
      </c>
      <c r="H50" s="32" t="n">
        <v>73459.31</v>
      </c>
      <c r="I50" s="33" t="s">
        <v>90</v>
      </c>
      <c r="J50" s="34" t="n">
        <v>30</v>
      </c>
    </row>
    <row r="51" customFormat="false" ht="15" hidden="false" customHeight="false" outlineLevel="0" collapsed="false">
      <c r="B51" s="35" t="s">
        <v>531</v>
      </c>
      <c r="C51" s="36" t="n">
        <v>544.6</v>
      </c>
      <c r="D51" s="36" t="n">
        <v>0</v>
      </c>
      <c r="E51" s="36" t="n">
        <v>41.01</v>
      </c>
      <c r="F51" s="36" t="n">
        <v>18.85</v>
      </c>
      <c r="G51" s="36" t="n">
        <v>59.86</v>
      </c>
      <c r="H51" s="36" t="n">
        <v>484.74</v>
      </c>
      <c r="I51" s="37" t="s">
        <v>90</v>
      </c>
      <c r="J51" s="38" t="n">
        <v>30</v>
      </c>
    </row>
    <row r="52" customFormat="false" ht="15" hidden="false" customHeight="false" outlineLevel="0" collapsed="false">
      <c r="B52" s="31" t="s">
        <v>532</v>
      </c>
      <c r="C52" s="32" t="n">
        <v>2963.4</v>
      </c>
      <c r="D52" s="32" t="n">
        <v>760.3</v>
      </c>
      <c r="E52" s="32" t="n">
        <v>760.3</v>
      </c>
      <c r="F52" s="32" t="n">
        <v>227.9</v>
      </c>
      <c r="G52" s="32" t="n">
        <v>988.2</v>
      </c>
      <c r="H52" s="32" t="n">
        <v>1975.2</v>
      </c>
      <c r="I52" s="33" t="s">
        <v>95</v>
      </c>
      <c r="J52" s="34" t="n">
        <v>15</v>
      </c>
    </row>
    <row r="53" customFormat="false" ht="15" hidden="false" customHeight="false" outlineLevel="0" collapsed="false">
      <c r="B53" s="35" t="s">
        <v>533</v>
      </c>
      <c r="C53" s="36" t="n">
        <v>2551.13</v>
      </c>
      <c r="D53" s="36" t="n">
        <v>0</v>
      </c>
      <c r="E53" s="36" t="n">
        <v>0</v>
      </c>
      <c r="F53" s="36" t="n">
        <v>0</v>
      </c>
      <c r="G53" s="36" t="n">
        <v>0</v>
      </c>
      <c r="H53" s="36" t="n">
        <v>2551.13</v>
      </c>
      <c r="I53" s="37" t="s">
        <v>97</v>
      </c>
      <c r="J53" s="38" t="n">
        <v>5</v>
      </c>
    </row>
    <row r="54" customFormat="false" ht="15" hidden="false" customHeight="false" outlineLevel="0" collapsed="false">
      <c r="B54" s="31" t="s">
        <v>534</v>
      </c>
      <c r="C54" s="32" t="n">
        <v>17098.91</v>
      </c>
      <c r="D54" s="32" t="n">
        <v>0</v>
      </c>
      <c r="E54" s="32" t="n">
        <v>683.96</v>
      </c>
      <c r="F54" s="32" t="n">
        <v>1094.33</v>
      </c>
      <c r="G54" s="32" t="n">
        <v>1778.29</v>
      </c>
      <c r="H54" s="32" t="n">
        <v>15320.62</v>
      </c>
      <c r="I54" s="33" t="s">
        <v>97</v>
      </c>
      <c r="J54" s="34" t="n">
        <v>5</v>
      </c>
    </row>
    <row r="55" customFormat="false" ht="15" hidden="false" customHeight="false" outlineLevel="0" collapsed="false">
      <c r="A55" s="10"/>
      <c r="B55" s="11" t="s">
        <v>24</v>
      </c>
      <c r="C55" s="39" t="n">
        <f aca="false">SUM(C48:C54)</f>
        <v>134343.96</v>
      </c>
      <c r="D55" s="39" t="n">
        <f aca="false">SUM(D48:D54)</f>
        <v>760.3</v>
      </c>
      <c r="E55" s="39" t="n">
        <f aca="false">SUM(E48:E54)</f>
        <v>5965.87</v>
      </c>
      <c r="F55" s="39" t="n">
        <f aca="false">SUM(F48:F54)</f>
        <v>5114.05</v>
      </c>
      <c r="G55" s="39" t="n">
        <f aca="false">SUM(G48:G54)</f>
        <v>11079.92</v>
      </c>
      <c r="H55" s="39" t="n">
        <f aca="false">SUM(H48:H54)</f>
        <v>123264.04</v>
      </c>
      <c r="I55" s="10"/>
      <c r="J55" s="10"/>
    </row>
    <row r="57" customFormat="false" ht="15" hidden="false" customHeight="false" outlineLevel="0" collapsed="false">
      <c r="A57" s="40" t="s">
        <v>99</v>
      </c>
      <c r="B57" s="40"/>
      <c r="C57" s="40"/>
      <c r="D57" s="40"/>
      <c r="E57" s="40"/>
      <c r="F57" s="40"/>
      <c r="G57" s="40"/>
      <c r="H57" s="40"/>
      <c r="I57" s="40"/>
      <c r="J57" s="40"/>
    </row>
    <row r="58" customFormat="false" ht="15" hidden="false" customHeight="false" outlineLevel="0" collapsed="false">
      <c r="A58" s="29"/>
      <c r="B58" s="29" t="s">
        <v>80</v>
      </c>
      <c r="C58" s="30" t="s">
        <v>81</v>
      </c>
      <c r="D58" s="30" t="s">
        <v>82</v>
      </c>
      <c r="E58" s="30" t="s">
        <v>83</v>
      </c>
      <c r="F58" s="30" t="s">
        <v>84</v>
      </c>
      <c r="G58" s="30" t="s">
        <v>85</v>
      </c>
      <c r="H58" s="30" t="s">
        <v>86</v>
      </c>
      <c r="I58" s="30" t="s">
        <v>87</v>
      </c>
      <c r="J58" s="30" t="s">
        <v>88</v>
      </c>
    </row>
    <row r="59" customFormat="false" ht="15" hidden="false" customHeight="false" outlineLevel="0" collapsed="false">
      <c r="B59" s="31" t="s">
        <v>535</v>
      </c>
      <c r="C59" s="32" t="n">
        <v>1979.11</v>
      </c>
      <c r="D59" s="32" t="n">
        <v>1979.11</v>
      </c>
      <c r="E59" s="32" t="n">
        <v>1979.11</v>
      </c>
      <c r="F59" s="32" t="n">
        <v>0</v>
      </c>
      <c r="G59" s="32" t="n">
        <v>1979.11</v>
      </c>
      <c r="H59" s="32" t="n">
        <v>0</v>
      </c>
      <c r="I59" s="33" t="s">
        <v>97</v>
      </c>
      <c r="J59" s="34" t="n">
        <v>5</v>
      </c>
    </row>
    <row r="60" customFormat="false" ht="15" hidden="false" customHeight="false" outlineLevel="0" collapsed="false">
      <c r="B60" s="35" t="s">
        <v>536</v>
      </c>
      <c r="C60" s="36" t="n">
        <v>19689.99</v>
      </c>
      <c r="D60" s="36" t="n">
        <v>0</v>
      </c>
      <c r="E60" s="36" t="n">
        <v>3527.77</v>
      </c>
      <c r="F60" s="36" t="n">
        <v>656.33</v>
      </c>
      <c r="G60" s="36" t="n">
        <v>4184.1</v>
      </c>
      <c r="H60" s="36" t="n">
        <v>15505.89</v>
      </c>
      <c r="I60" s="37" t="s">
        <v>90</v>
      </c>
      <c r="J60" s="38" t="n">
        <v>30</v>
      </c>
    </row>
    <row r="61" customFormat="false" ht="15" hidden="false" customHeight="false" outlineLevel="0" collapsed="false">
      <c r="B61" s="31" t="s">
        <v>537</v>
      </c>
      <c r="C61" s="32" t="n">
        <v>1061.46</v>
      </c>
      <c r="D61" s="32" t="n">
        <v>1061.46</v>
      </c>
      <c r="E61" s="32" t="n">
        <v>1061.46</v>
      </c>
      <c r="F61" s="32" t="n">
        <v>0</v>
      </c>
      <c r="G61" s="32" t="n">
        <v>1061.46</v>
      </c>
      <c r="H61" s="32" t="n">
        <v>0</v>
      </c>
      <c r="I61" s="33" t="s">
        <v>97</v>
      </c>
      <c r="J61" s="34" t="n">
        <v>5</v>
      </c>
    </row>
    <row r="62" customFormat="false" ht="15" hidden="false" customHeight="false" outlineLevel="0" collapsed="false">
      <c r="B62" s="35" t="s">
        <v>538</v>
      </c>
      <c r="C62" s="36" t="n">
        <v>10560.36</v>
      </c>
      <c r="D62" s="36" t="n">
        <v>0</v>
      </c>
      <c r="E62" s="36" t="n">
        <v>366.68</v>
      </c>
      <c r="F62" s="36" t="n">
        <v>352.01</v>
      </c>
      <c r="G62" s="36" t="n">
        <v>718.69</v>
      </c>
      <c r="H62" s="36" t="n">
        <v>9841.67</v>
      </c>
      <c r="I62" s="37" t="s">
        <v>90</v>
      </c>
      <c r="J62" s="38" t="n">
        <v>30</v>
      </c>
    </row>
    <row r="63" customFormat="false" ht="15" hidden="false" customHeight="false" outlineLevel="0" collapsed="false">
      <c r="B63" s="31" t="s">
        <v>539</v>
      </c>
      <c r="C63" s="32" t="n">
        <v>7114.4</v>
      </c>
      <c r="D63" s="32" t="n">
        <v>5691.52</v>
      </c>
      <c r="E63" s="32" t="n">
        <v>5976.1</v>
      </c>
      <c r="F63" s="32" t="n">
        <v>455.32</v>
      </c>
      <c r="G63" s="32" t="n">
        <v>6431.42</v>
      </c>
      <c r="H63" s="32" t="n">
        <v>682.98</v>
      </c>
      <c r="I63" s="33" t="s">
        <v>97</v>
      </c>
      <c r="J63" s="34" t="n">
        <v>5</v>
      </c>
    </row>
    <row r="64" customFormat="false" ht="15" hidden="false" customHeight="false" outlineLevel="0" collapsed="false">
      <c r="B64" s="35" t="s">
        <v>540</v>
      </c>
      <c r="C64" s="36" t="n">
        <v>70780.6</v>
      </c>
      <c r="D64" s="36" t="n">
        <v>0</v>
      </c>
      <c r="E64" s="36" t="n">
        <v>1671.21</v>
      </c>
      <c r="F64" s="36" t="n">
        <v>2359.35</v>
      </c>
      <c r="G64" s="36" t="n">
        <v>4030.56</v>
      </c>
      <c r="H64" s="36" t="n">
        <v>66750.04</v>
      </c>
      <c r="I64" s="37" t="s">
        <v>90</v>
      </c>
      <c r="J64" s="38" t="n">
        <v>30</v>
      </c>
    </row>
    <row r="65" customFormat="false" ht="15" hidden="false" customHeight="false" outlineLevel="0" collapsed="false">
      <c r="B65" s="31" t="s">
        <v>541</v>
      </c>
      <c r="C65" s="32" t="n">
        <v>49.74</v>
      </c>
      <c r="D65" s="32" t="n">
        <v>49.74</v>
      </c>
      <c r="E65" s="32" t="n">
        <v>49.74</v>
      </c>
      <c r="F65" s="32" t="n">
        <v>0</v>
      </c>
      <c r="G65" s="32" t="n">
        <v>49.74</v>
      </c>
      <c r="H65" s="32" t="n">
        <v>0</v>
      </c>
      <c r="I65" s="33" t="s">
        <v>97</v>
      </c>
      <c r="J65" s="34" t="n">
        <v>5</v>
      </c>
    </row>
    <row r="66" customFormat="false" ht="15" hidden="false" customHeight="false" outlineLevel="0" collapsed="false">
      <c r="B66" s="35" t="s">
        <v>542</v>
      </c>
      <c r="C66" s="36" t="n">
        <v>494.86</v>
      </c>
      <c r="D66" s="36" t="n">
        <v>0</v>
      </c>
      <c r="E66" s="36" t="n">
        <v>54.31</v>
      </c>
      <c r="F66" s="36" t="n">
        <v>16.5</v>
      </c>
      <c r="G66" s="36" t="n">
        <v>70.81</v>
      </c>
      <c r="H66" s="36" t="n">
        <v>424.05</v>
      </c>
      <c r="I66" s="37" t="s">
        <v>90</v>
      </c>
      <c r="J66" s="38" t="n">
        <v>30</v>
      </c>
    </row>
    <row r="67" customFormat="false" ht="15" hidden="false" customHeight="false" outlineLevel="0" collapsed="false">
      <c r="B67" s="31" t="s">
        <v>543</v>
      </c>
      <c r="C67" s="32" t="n">
        <v>270.66</v>
      </c>
      <c r="D67" s="32" t="n">
        <v>270.66</v>
      </c>
      <c r="E67" s="32" t="n">
        <v>270.66</v>
      </c>
      <c r="F67" s="32" t="n">
        <v>0</v>
      </c>
      <c r="G67" s="32" t="n">
        <v>270.66</v>
      </c>
      <c r="H67" s="32" t="n">
        <v>0</v>
      </c>
      <c r="I67" s="33" t="s">
        <v>97</v>
      </c>
      <c r="J67" s="34" t="n">
        <v>5</v>
      </c>
    </row>
    <row r="68" customFormat="false" ht="15" hidden="false" customHeight="false" outlineLevel="0" collapsed="false">
      <c r="B68" s="35" t="s">
        <v>544</v>
      </c>
      <c r="C68" s="36" t="n">
        <v>2692.74</v>
      </c>
      <c r="D68" s="36" t="n">
        <v>0</v>
      </c>
      <c r="E68" s="36" t="n">
        <v>482.46</v>
      </c>
      <c r="F68" s="36" t="n">
        <v>89.76</v>
      </c>
      <c r="G68" s="36" t="n">
        <v>572.22</v>
      </c>
      <c r="H68" s="36" t="n">
        <v>2120.52</v>
      </c>
      <c r="I68" s="37" t="s">
        <v>90</v>
      </c>
      <c r="J68" s="38" t="n">
        <v>30</v>
      </c>
    </row>
    <row r="69" customFormat="false" ht="15" hidden="false" customHeight="false" outlineLevel="0" collapsed="false">
      <c r="B69" s="31" t="s">
        <v>545</v>
      </c>
      <c r="C69" s="32" t="n">
        <v>233</v>
      </c>
      <c r="D69" s="32" t="n">
        <v>233</v>
      </c>
      <c r="E69" s="32" t="n">
        <v>233</v>
      </c>
      <c r="F69" s="32" t="n">
        <v>0</v>
      </c>
      <c r="G69" s="32" t="n">
        <v>233</v>
      </c>
      <c r="H69" s="32" t="n">
        <v>0</v>
      </c>
      <c r="I69" s="33" t="s">
        <v>97</v>
      </c>
      <c r="J69" s="34" t="n">
        <v>5</v>
      </c>
    </row>
    <row r="70" customFormat="false" ht="15" hidden="false" customHeight="false" outlineLevel="0" collapsed="false">
      <c r="B70" s="35" t="s">
        <v>546</v>
      </c>
      <c r="C70" s="36" t="n">
        <v>2318.13</v>
      </c>
      <c r="D70" s="36" t="n">
        <v>0</v>
      </c>
      <c r="E70" s="36" t="n">
        <v>80.49</v>
      </c>
      <c r="F70" s="36" t="n">
        <v>77.27</v>
      </c>
      <c r="G70" s="36" t="n">
        <v>157.76</v>
      </c>
      <c r="H70" s="36" t="n">
        <v>2160.37</v>
      </c>
      <c r="I70" s="37" t="s">
        <v>90</v>
      </c>
      <c r="J70" s="38" t="n">
        <v>30</v>
      </c>
    </row>
    <row r="71" customFormat="false" ht="15" hidden="false" customHeight="false" outlineLevel="0" collapsed="false">
      <c r="B71" s="31" t="s">
        <v>547</v>
      </c>
      <c r="C71" s="32" t="n">
        <v>1561.69</v>
      </c>
      <c r="D71" s="32" t="n">
        <v>1249.35</v>
      </c>
      <c r="E71" s="32" t="n">
        <v>1311.82</v>
      </c>
      <c r="F71" s="32" t="n">
        <v>99.95</v>
      </c>
      <c r="G71" s="32" t="n">
        <v>1411.77</v>
      </c>
      <c r="H71" s="32" t="n">
        <v>149.92</v>
      </c>
      <c r="I71" s="33" t="s">
        <v>97</v>
      </c>
      <c r="J71" s="34" t="n">
        <v>5</v>
      </c>
    </row>
    <row r="72" customFormat="false" ht="15" hidden="false" customHeight="false" outlineLevel="0" collapsed="false">
      <c r="B72" s="35" t="s">
        <v>548</v>
      </c>
      <c r="C72" s="36" t="n">
        <v>15537.22</v>
      </c>
      <c r="D72" s="36" t="n">
        <v>0</v>
      </c>
      <c r="E72" s="36" t="n">
        <v>366.85</v>
      </c>
      <c r="F72" s="36" t="n">
        <v>517.91</v>
      </c>
      <c r="G72" s="36" t="n">
        <v>884.76</v>
      </c>
      <c r="H72" s="36" t="n">
        <v>14652.46</v>
      </c>
      <c r="I72" s="37" t="s">
        <v>90</v>
      </c>
      <c r="J72" s="38" t="n">
        <v>30</v>
      </c>
    </row>
    <row r="73" customFormat="false" ht="15" hidden="false" customHeight="false" outlineLevel="0" collapsed="false">
      <c r="A73" s="10"/>
      <c r="B73" s="11" t="s">
        <v>24</v>
      </c>
      <c r="C73" s="39" t="n">
        <f aca="false">SUM(C59:C72)</f>
        <v>134343.96</v>
      </c>
      <c r="D73" s="39" t="n">
        <f aca="false">SUM(D59:D72)</f>
        <v>10534.84</v>
      </c>
      <c r="E73" s="39" t="n">
        <f aca="false">SUM(E59:E72)</f>
        <v>17431.66</v>
      </c>
      <c r="F73" s="39" t="n">
        <f aca="false">SUM(F59:F72)</f>
        <v>4624.4</v>
      </c>
      <c r="G73" s="39" t="n">
        <f aca="false">SUM(G59:G72)</f>
        <v>22056.06</v>
      </c>
      <c r="H73" s="39" t="n">
        <f aca="false">SUM(H59:H72)</f>
        <v>112287.9</v>
      </c>
      <c r="I73" s="10"/>
      <c r="J73" s="10"/>
    </row>
    <row r="75" customFormat="false" ht="15" hidden="false" customHeight="false" outlineLevel="0" collapsed="false">
      <c r="A75" s="27" t="s">
        <v>48</v>
      </c>
      <c r="B75" s="27"/>
      <c r="C75" s="27"/>
      <c r="D75" s="27"/>
      <c r="E75" s="27"/>
    </row>
    <row r="76" customFormat="false" ht="15" hidden="false" customHeight="false" outlineLevel="0" collapsed="false">
      <c r="B76" s="8" t="s">
        <v>114</v>
      </c>
      <c r="C76" s="41" t="n">
        <f aca="false">G55</f>
        <v>11079.92</v>
      </c>
    </row>
    <row r="77" customFormat="false" ht="15" hidden="false" customHeight="false" outlineLevel="0" collapsed="false">
      <c r="B77" s="8" t="s">
        <v>115</v>
      </c>
      <c r="C77" s="41" t="n">
        <f aca="false">G73</f>
        <v>22056.06</v>
      </c>
    </row>
    <row r="78" customFormat="false" ht="15" hidden="false" customHeight="false" outlineLevel="0" collapsed="false">
      <c r="B78" s="17" t="s">
        <v>48</v>
      </c>
      <c r="C78" s="42" t="n">
        <f aca="false">C77-C76</f>
        <v>10976.14</v>
      </c>
    </row>
  </sheetData>
  <mergeCells count="11">
    <mergeCell ref="A2:J2"/>
    <mergeCell ref="A3:J3"/>
    <mergeCell ref="A4:J4"/>
    <mergeCell ref="A8:J8"/>
    <mergeCell ref="B10:J10"/>
    <mergeCell ref="B18:J18"/>
    <mergeCell ref="B35:J35"/>
    <mergeCell ref="A45:J45"/>
    <mergeCell ref="A46:J46"/>
    <mergeCell ref="A57:J57"/>
    <mergeCell ref="A75:E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2026-07-08T23:03:33Z</dcterms:created>
  <dc:creator>openpyxl</dc:creator>
  <dc:description/>
  <dc:language>en-US</dc:language>
  <cp:lastModifiedBy/>
  <dcterms:modified xsi:type="dcterms:W3CDTF">2026-07-08T23:03:34Z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