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ldg 1" sheetId="3" state="visible" r:id="rId5"/>
    <sheet name="Bldg 2" sheetId="4" state="visible" r:id="rId6"/>
    <sheet name="Bldg 3" sheetId="5" state="visible" r:id="rId7"/>
    <sheet name="Office" sheetId="6" state="visible" r:id="rId8"/>
    <sheet name="Bldg 5" sheetId="7" state="visible" r:id="rId9"/>
    <sheet name="Bldg 6" sheetId="8" state="visible" r:id="rId10"/>
    <sheet name="Bldg 7" sheetId="9" state="visible" r:id="rId11"/>
    <sheet name="Bldg 8" sheetId="10" state="visible" r:id="rId12"/>
    <sheet name="Bldg 9" sheetId="11" state="visible" r:id="rId13"/>
    <sheet name="Bldg 10" sheetId="12" state="visible" r:id="rId14"/>
    <sheet name="Bldg 11" sheetId="13" state="visible" r:id="rId15"/>
    <sheet name="Bldg 12" sheetId="14" state="visible" r:id="rId16"/>
    <sheet name="Bldg 13" sheetId="15" state="visible" r:id="rId17"/>
    <sheet name="Bldg 14" sheetId="16" state="visible" r:id="rId18"/>
    <sheet name="Bldg 15" sheetId="17" state="visible" r:id="rId19"/>
    <sheet name="Bldg 16" sheetId="18" state="visible" r:id="rId20"/>
    <sheet name="Bldg 17" sheetId="19" state="visible" r:id="rId21"/>
    <sheet name="Maint Bldg" sheetId="20" state="visible" r:id="rId22"/>
    <sheet name="Improvemen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<sst xmlns="http://schemas.openxmlformats.org/spreadsheetml/2006/main" count="2203" uniqueCount="192">
  <si>
    <t xml:space="preserve">Silver Springs Housing, LP</t>
  </si>
  <si>
    <t xml:space="preserve">Summary of Cost Seg Adjustments — Report #107752-39</t>
  </si>
  <si>
    <t xml:space="preserve">As of December 31, 2024  |  EIN: 82-0773652  |  Silver Spring Terrace Apartments, 950 20th St NE, Hickory, NC 28601</t>
  </si>
  <si>
    <t xml:space="preserve">Acq Date</t>
  </si>
  <si>
    <t xml:space="preserve">Asset Description</t>
  </si>
  <si>
    <t xml:space="preserve">Total</t>
  </si>
  <si>
    <t xml:space="preserve">Site</t>
  </si>
  <si>
    <t xml:space="preserve">Bldg 1</t>
  </si>
  <si>
    <t xml:space="preserve">Bldg 2</t>
  </si>
  <si>
    <t xml:space="preserve">Bldg 3</t>
  </si>
  <si>
    <t xml:space="preserve">Office</t>
  </si>
  <si>
    <t xml:space="preserve">Bldg 5</t>
  </si>
  <si>
    <t xml:space="preserve">Bldg 6</t>
  </si>
  <si>
    <t xml:space="preserve">Bldg 7</t>
  </si>
  <si>
    <t xml:space="preserve">Bldg 8</t>
  </si>
  <si>
    <t xml:space="preserve">Bldg 9</t>
  </si>
  <si>
    <t xml:space="preserve">Bldg 10</t>
  </si>
  <si>
    <t xml:space="preserve">Bldg 11</t>
  </si>
  <si>
    <t xml:space="preserve">Bldg 12</t>
  </si>
  <si>
    <t xml:space="preserve">Bldg 13</t>
  </si>
  <si>
    <t xml:space="preserve">Bldg 14</t>
  </si>
  <si>
    <t xml:space="preserve">Bldg 15</t>
  </si>
  <si>
    <t xml:space="preserve">Bldg 16</t>
  </si>
  <si>
    <t xml:space="preserve">Bldg 17</t>
  </si>
  <si>
    <t xml:space="preserve">Maint Bldg</t>
  </si>
  <si>
    <t xml:space="preserve">Improvement</t>
  </si>
  <si>
    <t xml:space="preserve">Grand Total</t>
  </si>
  <si>
    <t xml:space="preserve">Grand Total Original Cost</t>
  </si>
  <si>
    <t xml:space="preserve">9/15/21</t>
  </si>
  <si>
    <t xml:space="preserve">Building - 754 "Menowitz" - Silver Springs Housing, LP</t>
  </si>
  <si>
    <t xml:space="preserve">5/31/17</t>
  </si>
  <si>
    <t xml:space="preserve">Building - Silver Springs Housing, LP</t>
  </si>
  <si>
    <t xml:space="preserve">Personal Property - Silver Springs Housing, LP</t>
  </si>
  <si>
    <t xml:space="preserve">Land Improvements - Silver Springs Housing, LP</t>
  </si>
  <si>
    <t xml:space="preserve">5/01/21</t>
  </si>
  <si>
    <t xml:space="preserve">Building Improvements - Silver Springs Housing, LP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</si>
  <si>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</si>
  <si>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</si>
  <si>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</si>
  <si>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</si>
  <si>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Note: The CSSI 3115 summary page states a total 481(a) adjustment of ($259,107.40), which equals only the first 10 of its 20 listed line items.</t>
  </si>
  <si>
    <t xml:space="preserve">The sum of all 20 line items per the attached detailed schedules is ($427,882.48). Verify intended total with CSSI / CPA before filing.</t>
  </si>
  <si>
    <t xml:space="preserve">Cost Segregation Study - Site</t>
  </si>
  <si>
    <t xml:space="preserve">Report #107752-39</t>
  </si>
  <si>
    <t xml:space="preserve">Acquisition Date(s):</t>
  </si>
  <si>
    <t xml:space="preserve">5/31/17 / 9/15/21</t>
  </si>
  <si>
    <t xml:space="preserve">Silver Springs Housing, LP - Site</t>
  </si>
  <si>
    <t xml:space="preserve">Property Category</t>
  </si>
  <si>
    <t xml:space="preserve">Cost</t>
  </si>
  <si>
    <t xml:space="preserve">15 Year</t>
  </si>
  <si>
    <t xml:space="preserve">30 Year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</si>
  <si>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</si>
  <si>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</si>
  <si>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</si>
  <si>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</si>
  <si>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</si>
  <si>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</si>
  <si>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</si>
  <si>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</si>
  <si>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</si>
  <si>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Enclosures</t>
  </si>
  <si>
    <t xml:space="preserve">Fabricated Steel - Exterior Bollards</t>
  </si>
  <si>
    <t xml:space="preserve">Fire Hydrants</t>
  </si>
  <si>
    <t xml:space="preserve">Exterior Equipment Concrete Pads</t>
  </si>
  <si>
    <t xml:space="preserve">Mailboxes</t>
  </si>
  <si>
    <t xml:space="preserve">Basketball Court</t>
  </si>
  <si>
    <t xml:space="preserve">Playground</t>
  </si>
  <si>
    <t xml:space="preserve">Site Utilities</t>
  </si>
  <si>
    <t xml:space="preserve">Total Cost</t>
  </si>
  <si>
    <t xml:space="preserve">Asset Allocation:</t>
  </si>
  <si>
    <t xml:space="preserve">Asset #19 - Building - 754 "Menowitz"</t>
  </si>
  <si>
    <t xml:space="preserve">Asset #3 - Building</t>
  </si>
  <si>
    <t xml:space="preserve">Asset #4 - Personal Property</t>
  </si>
  <si>
    <t xml:space="preserve">Asset #2 - Land Improvements</t>
  </si>
  <si>
    <t xml:space="preserve">Total Allocation:</t>
  </si>
  <si>
    <t xml:space="preserve">End Depreciation Reconciliation</t>
  </si>
  <si>
    <t xml:space="preserve">Property Description</t>
  </si>
  <si>
    <t xml:space="preserve">Date In Service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</si>
  <si>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</si>
  <si>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</si>
  <si>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</si>
  <si>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</si>
  <si>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</si>
  <si>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</si>
  <si>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</si>
  <si>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</si>
  <si>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19 - Building - 754 "Menowitz"</t>
  </si>
  <si>
    <t xml:space="preserve">S/L</t>
  </si>
  <si>
    <t xml:space="preserve">3 - Building</t>
  </si>
  <si>
    <t xml:space="preserve">4 - Personal Property</t>
  </si>
  <si>
    <t xml:space="preserve">2 - Land Improvements</t>
  </si>
  <si>
    <t xml:space="preserve">After Cost Segregation Correction</t>
  </si>
  <si>
    <t xml:space="preserve">19 - Building - 754 "Menowitz" - 15 year</t>
  </si>
  <si>
    <t xml:space="preserve">150DB</t>
  </si>
  <si>
    <t xml:space="preserve">19 - Building - 754 "Menowitz" - 30 year</t>
  </si>
  <si>
    <t xml:space="preserve">3 - Building - 15 year</t>
  </si>
  <si>
    <t xml:space="preserve">3 - Building - 30 year</t>
  </si>
  <si>
    <t xml:space="preserve">4 - Personal Property - 15 year</t>
  </si>
  <si>
    <t xml:space="preserve">4 - Personal Property - 30 year</t>
  </si>
  <si>
    <t xml:space="preserve">2 - Land Improvements - 15 year</t>
  </si>
  <si>
    <t xml:space="preserve">2 - Land Improvements - 30 year</t>
  </si>
  <si>
    <t xml:space="preserve">Depreciation Reported Previously</t>
  </si>
  <si>
    <t xml:space="preserve">Cost Segregation Corrected Depreciation</t>
  </si>
  <si>
    <t xml:space="preserve">Cost Segregation Study - Bldg 1</t>
  </si>
  <si>
    <t xml:space="preserve">Silver Springs Housing, LP - Bldg 1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</si>
  <si>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</si>
  <si>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</si>
  <si>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</si>
  <si>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</si>
  <si>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</si>
  <si>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</si>
  <si>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</si>
  <si>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</si>
  <si>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</si>
  <si>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</si>
  <si>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</si>
  <si>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</si>
  <si>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</si>
  <si>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</si>
  <si>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</si>
  <si>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</si>
  <si>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</si>
  <si>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</si>
  <si>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</si>
  <si>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</si>
  <si>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</si>
  <si>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</si>
  <si>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</si>
  <si>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</si>
  <si>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</si>
  <si>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</si>
  <si>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</si>
  <si>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</si>
  <si>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</si>
  <si>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</si>
  <si>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</si>
  <si>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19 - Building - 754 "Menowitz" - 5 year</t>
  </si>
  <si>
    <t xml:space="preserve">200DB</t>
  </si>
  <si>
    <t xml:space="preserve">3 - Building - 5 year</t>
  </si>
  <si>
    <t xml:space="preserve">4 - Personal Property - 5 year</t>
  </si>
  <si>
    <t xml:space="preserve">2 - Land Improvements - 5 year</t>
  </si>
  <si>
    <t xml:space="preserve">Cost Segregation Study - Bldg 2</t>
  </si>
  <si>
    <t xml:space="preserve">Silver Springs Housing, LP - Bldg 2</t>
  </si>
  <si>
    <t xml:space="preserve">Cost Segregation Study - Bldg 3</t>
  </si>
  <si>
    <t xml:space="preserve">Silver Springs Housing, LP - Bldg 3</t>
  </si>
  <si>
    <t xml:space="preserve">Cost Segregation Study - Office</t>
  </si>
  <si>
    <t xml:space="preserve">Silver Springs Housing, LP - Office</t>
  </si>
  <si>
    <t xml:space="preserve">Flooring - Carpet</t>
  </si>
  <si>
    <t xml:space="preserve">Interior Half Walls</t>
  </si>
  <si>
    <t xml:space="preserve">Specialty HVAC - Dryer Vents</t>
  </si>
  <si>
    <t xml:space="preserve">Specialty Plumbing - Breakroom Sink / Laundry</t>
  </si>
  <si>
    <t xml:space="preserve">Interior Windows</t>
  </si>
  <si>
    <t xml:space="preserve">Emergency Lighting</t>
  </si>
  <si>
    <t xml:space="preserve">Flooring - Sealed Concrete</t>
  </si>
  <si>
    <t xml:space="preserve">Cost Segregation Study - Bldg 5</t>
  </si>
  <si>
    <t xml:space="preserve">Silver Springs Housing, LP - Bldg 5</t>
  </si>
  <si>
    <t xml:space="preserve">Cost Segregation Study - Bldg 6</t>
  </si>
  <si>
    <t xml:space="preserve">Silver Springs Housing, LP - Bldg 6</t>
  </si>
  <si>
    <t xml:space="preserve">Cost Segregation Study - Bldg 7</t>
  </si>
  <si>
    <t xml:space="preserve">Silver Springs Housing, LP - Bldg 7</t>
  </si>
  <si>
    <t xml:space="preserve">Cost Segregation Study - Bldg 8</t>
  </si>
  <si>
    <t xml:space="preserve">Silver Springs Housing, LP - Bldg 8</t>
  </si>
  <si>
    <t xml:space="preserve">Cost Segregation Study - Bldg 9</t>
  </si>
  <si>
    <t xml:space="preserve">Silver Springs Housing, LP - Bldg 9</t>
  </si>
  <si>
    <t xml:space="preserve">Cost Segregation Study - Bldg 10</t>
  </si>
  <si>
    <t xml:space="preserve">Silver Springs Housing, LP - Bldg 10</t>
  </si>
  <si>
    <t xml:space="preserve">Cost Segregation Study - Bldg 11</t>
  </si>
  <si>
    <t xml:space="preserve">Silver Springs Housing, LP - Bldg 11</t>
  </si>
  <si>
    <t xml:space="preserve">Cost Segregation Study - Bldg 12</t>
  </si>
  <si>
    <t xml:space="preserve">Silver Springs Housing, LP - Bldg 12</t>
  </si>
  <si>
    <t xml:space="preserve">Cost Segregation Study - Bldg 13</t>
  </si>
  <si>
    <t xml:space="preserve">Silver Springs Housing, LP - Bldg 13</t>
  </si>
  <si>
    <t xml:space="preserve">Cost Segregation Study - Bldg 14</t>
  </si>
  <si>
    <t xml:space="preserve">Silver Springs Housing, LP - Bldg 14</t>
  </si>
  <si>
    <t xml:space="preserve">Cost Segregation Study - Bldg 15</t>
  </si>
  <si>
    <t xml:space="preserve">Silver Springs Housing, LP - Bldg 15</t>
  </si>
  <si>
    <t xml:space="preserve">Cost Segregation Study - Bldg 16</t>
  </si>
  <si>
    <t xml:space="preserve">Silver Springs Housing, LP - Bldg 16</t>
  </si>
  <si>
    <t xml:space="preserve">Cost Segregation Study - Bldg 17</t>
  </si>
  <si>
    <t xml:space="preserve">Silver Springs Housing, LP - Bldg 17</t>
  </si>
  <si>
    <t xml:space="preserve">Cost Segregation Study - Maint Bldg</t>
  </si>
  <si>
    <t xml:space="preserve">Silver Springs Housing, LP - Maint Bldg</t>
  </si>
  <si>
    <t xml:space="preserve">Raised Wood Paneling</t>
  </si>
  <si>
    <t xml:space="preserve">Flooring - Vinyl Tile</t>
  </si>
  <si>
    <t xml:space="preserve">Cost Segregation Study - Improvement</t>
  </si>
  <si>
    <t xml:space="preserve">Silver Springs Housing, LP - Improvement</t>
  </si>
  <si>
    <t xml:space="preserve">Security System</t>
  </si>
  <si>
    <t xml:space="preserve">Miscellaneous Building Components</t>
  </si>
  <si>
    <t xml:space="preserve">Asset #15 - Building Improvements</t>
  </si>
  <si>
    <t xml:space="preserve">15 - Building Improvements</t>
  </si>
  <si>
    <t xml:space="preserve">15 - Building Improvements - 5 year</t>
  </si>
  <si>
    <t xml:space="preserve">15 - Building Improvements - 30 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</si>
</sst>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25" min="5" style="0" width="13"/>
  </cols>
  <sheetData>
    <row r="2" customFormat="false" ht="17.35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15" hidden="false" customHeight="fals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5" t="s">
        <v>21</v>
      </c>
      <c r="U6" s="5" t="s">
        <v>22</v>
      </c>
      <c r="V6" s="5" t="s">
        <v>23</v>
      </c>
      <c r="W6" s="5" t="s">
        <v>24</v>
      </c>
      <c r="X6" s="5" t="s">
        <v>25</v>
      </c>
      <c r="Y6" s="5" t="s">
        <v>26</v>
      </c>
    </row>
    <row r="7" customFormat="false" ht="15" hidden="false" customHeight="false" outlineLevel="0" collapsed="false">
      <c r="B7" s="6" t="s">
        <v>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" hidden="false" customHeight="false" outlineLevel="0" collapsed="false">
      <c r="B8" s="7" t="s">
        <v>28</v>
      </c>
      <c r="C8" s="7" t="s">
        <v>29</v>
      </c>
      <c r="D8" s="8" t="n">
        <f aca="false">SUM(E8:X8)</f>
        <v>10818</v>
      </c>
      <c r="E8" s="9" t="n">
        <v>1183.32</v>
      </c>
      <c r="F8" s="9" t="n">
        <v>662.06</v>
      </c>
      <c r="G8" s="9" t="n">
        <v>662.06</v>
      </c>
      <c r="H8" s="9" t="n">
        <v>662.06</v>
      </c>
      <c r="I8" s="9" t="n">
        <v>262.41</v>
      </c>
      <c r="J8" s="9" t="n">
        <v>479.53</v>
      </c>
      <c r="K8" s="9" t="n">
        <v>750.82</v>
      </c>
      <c r="L8" s="9" t="n">
        <v>750.82</v>
      </c>
      <c r="M8" s="9" t="n">
        <v>479.53</v>
      </c>
      <c r="N8" s="9" t="n">
        <v>750.82</v>
      </c>
      <c r="O8" s="9" t="n">
        <v>750.82</v>
      </c>
      <c r="P8" s="9" t="n">
        <v>662.06</v>
      </c>
      <c r="Q8" s="9" t="n">
        <v>479.53</v>
      </c>
      <c r="R8" s="9" t="n">
        <v>479.53</v>
      </c>
      <c r="S8" s="9" t="n">
        <v>407.79</v>
      </c>
      <c r="T8" s="9" t="n">
        <v>316.3</v>
      </c>
      <c r="U8" s="9" t="n">
        <v>316.3</v>
      </c>
      <c r="V8" s="9" t="n">
        <v>750.82</v>
      </c>
      <c r="W8" s="9" t="n">
        <v>11.42</v>
      </c>
      <c r="Y8" s="8" t="n">
        <f aca="false">SUM(E8:X8)</f>
        <v>10818</v>
      </c>
    </row>
    <row r="9" customFormat="false" ht="15" hidden="false" customHeight="false" outlineLevel="0" collapsed="false">
      <c r="B9" s="7" t="s">
        <v>30</v>
      </c>
      <c r="C9" s="7" t="s">
        <v>31</v>
      </c>
      <c r="D9" s="8" t="n">
        <f aca="false">SUM(E9:X9)</f>
        <v>3219130</v>
      </c>
      <c r="E9" s="9" t="n">
        <v>352122.24</v>
      </c>
      <c r="F9" s="9" t="n">
        <v>197009.25</v>
      </c>
      <c r="G9" s="9" t="n">
        <v>197009.25</v>
      </c>
      <c r="H9" s="9" t="n">
        <v>197009.25</v>
      </c>
      <c r="I9" s="9" t="n">
        <v>78086.63</v>
      </c>
      <c r="J9" s="9" t="n">
        <v>142694.3</v>
      </c>
      <c r="K9" s="9" t="n">
        <v>223422.8</v>
      </c>
      <c r="L9" s="9" t="n">
        <v>223422.8</v>
      </c>
      <c r="M9" s="9" t="n">
        <v>142694.3</v>
      </c>
      <c r="N9" s="9" t="n">
        <v>223422.8</v>
      </c>
      <c r="O9" s="9" t="n">
        <v>223422.8</v>
      </c>
      <c r="P9" s="9" t="n">
        <v>197009.25</v>
      </c>
      <c r="Q9" s="9" t="n">
        <v>142694.3</v>
      </c>
      <c r="R9" s="9" t="n">
        <v>142694.3</v>
      </c>
      <c r="S9" s="9" t="n">
        <v>121347</v>
      </c>
      <c r="T9" s="9" t="n">
        <v>94123.92</v>
      </c>
      <c r="U9" s="9" t="n">
        <v>94123.92</v>
      </c>
      <c r="V9" s="9" t="n">
        <v>223422.8</v>
      </c>
      <c r="W9" s="9" t="n">
        <v>3398.09</v>
      </c>
      <c r="Y9" s="8" t="n">
        <f aca="false">SUM(E9:X9)</f>
        <v>3219130</v>
      </c>
    </row>
    <row r="10" customFormat="false" ht="15" hidden="false" customHeight="false" outlineLevel="0" collapsed="false">
      <c r="B10" s="7" t="s">
        <v>30</v>
      </c>
      <c r="C10" s="7" t="s">
        <v>32</v>
      </c>
      <c r="D10" s="8" t="n">
        <f aca="false">SUM(E10:X10)</f>
        <v>200000</v>
      </c>
      <c r="E10" s="9" t="n">
        <v>21876.86</v>
      </c>
      <c r="F10" s="9" t="n">
        <v>12239.91</v>
      </c>
      <c r="G10" s="9" t="n">
        <v>12239.91</v>
      </c>
      <c r="H10" s="9" t="n">
        <v>12239.91</v>
      </c>
      <c r="I10" s="9" t="n">
        <v>4851.41</v>
      </c>
      <c r="J10" s="9" t="n">
        <v>8865.4</v>
      </c>
      <c r="K10" s="9" t="n">
        <v>13880.94</v>
      </c>
      <c r="L10" s="9" t="n">
        <v>13880.94</v>
      </c>
      <c r="M10" s="9" t="n">
        <v>8865.4</v>
      </c>
      <c r="N10" s="9" t="n">
        <v>13880.94</v>
      </c>
      <c r="O10" s="9" t="n">
        <v>13880.94</v>
      </c>
      <c r="P10" s="9" t="n">
        <v>12239.91</v>
      </c>
      <c r="Q10" s="9" t="n">
        <v>8865.4</v>
      </c>
      <c r="R10" s="9" t="n">
        <v>8865.4</v>
      </c>
      <c r="S10" s="9" t="n">
        <v>7539.11</v>
      </c>
      <c r="T10" s="9" t="n">
        <v>5847.79</v>
      </c>
      <c r="U10" s="9" t="n">
        <v>5847.79</v>
      </c>
      <c r="V10" s="9" t="n">
        <v>13880.94</v>
      </c>
      <c r="W10" s="9" t="n">
        <v>211.1</v>
      </c>
      <c r="Y10" s="8" t="n">
        <f aca="false">SUM(E10:X10)</f>
        <v>200000</v>
      </c>
    </row>
    <row r="11" customFormat="false" ht="15" hidden="false" customHeight="false" outlineLevel="0" collapsed="false">
      <c r="B11" s="7" t="s">
        <v>30</v>
      </c>
      <c r="C11" s="7" t="s">
        <v>33</v>
      </c>
      <c r="D11" s="8" t="n">
        <f aca="false">SUM(E11:X11)</f>
        <v>400000</v>
      </c>
      <c r="E11" s="9" t="n">
        <v>43753.71</v>
      </c>
      <c r="F11" s="9" t="n">
        <v>24479.81</v>
      </c>
      <c r="G11" s="9" t="n">
        <v>24479.81</v>
      </c>
      <c r="H11" s="9" t="n">
        <v>24479.81</v>
      </c>
      <c r="I11" s="9" t="n">
        <v>9702.83</v>
      </c>
      <c r="J11" s="9" t="n">
        <v>17730.79</v>
      </c>
      <c r="K11" s="9" t="n">
        <v>27761.89</v>
      </c>
      <c r="L11" s="9" t="n">
        <v>27761.89</v>
      </c>
      <c r="M11" s="9" t="n">
        <v>17730.79</v>
      </c>
      <c r="N11" s="9" t="n">
        <v>27761.89</v>
      </c>
      <c r="O11" s="9" t="n">
        <v>27761.89</v>
      </c>
      <c r="P11" s="9" t="n">
        <v>24479.81</v>
      </c>
      <c r="Q11" s="9" t="n">
        <v>17730.79</v>
      </c>
      <c r="R11" s="9" t="n">
        <v>17730.79</v>
      </c>
      <c r="S11" s="9" t="n">
        <v>15078.24</v>
      </c>
      <c r="T11" s="9" t="n">
        <v>11695.57</v>
      </c>
      <c r="U11" s="9" t="n">
        <v>11695.57</v>
      </c>
      <c r="V11" s="9" t="n">
        <v>27761.89</v>
      </c>
      <c r="W11" s="9" t="n">
        <v>422.23</v>
      </c>
      <c r="Y11" s="8" t="n">
        <f aca="false">SUM(E11:X11)</f>
        <v>400000</v>
      </c>
    </row>
    <row r="12" customFormat="false" ht="15" hidden="false" customHeight="false" outlineLevel="0" collapsed="false">
      <c r="B12" s="7" t="s">
        <v>34</v>
      </c>
      <c r="C12" s="7" t="s">
        <v>35</v>
      </c>
      <c r="D12" s="8" t="n">
        <f aca="false">SUM(E12:X12)</f>
        <v>87540</v>
      </c>
      <c r="X12" s="9" t="n">
        <v>87540</v>
      </c>
      <c r="Y12" s="8" t="n">
        <f aca="false">SUM(E12:X12)</f>
        <v>87540</v>
      </c>
    </row>
    <row r="14" customFormat="false" ht="15" hidden="false" customHeight="false" outlineLevel="0" collapsed="false">
      <c r="B14" s="2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C15" s="7" t="s">
        <v>37</v>
      </c>
      <c r="D15" s="8" t="n">
        <f aca="false">SUM(E15:X15)</f>
        <v>1180668.89</v>
      </c>
      <c r="E15" s="9" t="n">
        <v>128215.81</v>
      </c>
      <c r="F15" s="9" t="n">
        <v>71735.7</v>
      </c>
      <c r="G15" s="9" t="n">
        <v>71735.7</v>
      </c>
      <c r="H15" s="9" t="n">
        <v>71735.7</v>
      </c>
      <c r="I15" s="9" t="n">
        <v>28433.18</v>
      </c>
      <c r="J15" s="9" t="n">
        <v>51958.37</v>
      </c>
      <c r="K15" s="9" t="n">
        <v>81353.51</v>
      </c>
      <c r="L15" s="9" t="n">
        <v>81353.51</v>
      </c>
      <c r="M15" s="9" t="n">
        <v>51958.37</v>
      </c>
      <c r="N15" s="9" t="n">
        <v>81353.51</v>
      </c>
      <c r="O15" s="9" t="n">
        <v>81353.51</v>
      </c>
      <c r="P15" s="9" t="n">
        <v>71735.7</v>
      </c>
      <c r="Q15" s="9" t="n">
        <v>51958.37</v>
      </c>
      <c r="R15" s="9" t="n">
        <v>51958.37</v>
      </c>
      <c r="S15" s="9" t="n">
        <v>44185.31</v>
      </c>
      <c r="T15" s="9" t="n">
        <v>34272.73</v>
      </c>
      <c r="U15" s="9" t="n">
        <v>34272.73</v>
      </c>
      <c r="V15" s="9" t="n">
        <v>81353.51</v>
      </c>
      <c r="W15" s="9" t="n">
        <v>1237.3</v>
      </c>
      <c r="X15" s="9" t="n">
        <v>8508</v>
      </c>
      <c r="Y15" s="8" t="n">
        <f aca="false">SUM(E15:X15)</f>
        <v>1180668.89</v>
      </c>
    </row>
    <row r="16" customFormat="false" ht="15" hidden="false" customHeight="false" outlineLevel="0" collapsed="false">
      <c r="C16" s="7" t="s">
        <v>38</v>
      </c>
      <c r="D16" s="8" t="n">
        <f aca="false">SUM(E16:X16)</f>
        <v>1608551.37</v>
      </c>
      <c r="E16" s="9" t="n">
        <v>193184.33</v>
      </c>
      <c r="F16" s="9" t="n">
        <v>95724.08</v>
      </c>
      <c r="G16" s="9" t="n">
        <v>95724.08</v>
      </c>
      <c r="H16" s="9" t="n">
        <v>95724.08</v>
      </c>
      <c r="I16" s="9" t="n">
        <v>37693.04</v>
      </c>
      <c r="J16" s="9" t="n">
        <v>66842.36</v>
      </c>
      <c r="K16" s="9" t="n">
        <v>109068.81</v>
      </c>
      <c r="L16" s="9" t="n">
        <v>109068.81</v>
      </c>
      <c r="M16" s="9" t="n">
        <v>66842.36</v>
      </c>
      <c r="N16" s="9" t="n">
        <v>109068.81</v>
      </c>
      <c r="O16" s="9" t="n">
        <v>109068.81</v>
      </c>
      <c r="P16" s="9" t="n">
        <v>95724.08</v>
      </c>
      <c r="Q16" s="9" t="n">
        <v>66842.36</v>
      </c>
      <c r="R16" s="9" t="n">
        <v>66842.36</v>
      </c>
      <c r="S16" s="9" t="n">
        <v>57033.28</v>
      </c>
      <c r="T16" s="9" t="n">
        <v>45148.82</v>
      </c>
      <c r="U16" s="9" t="n">
        <v>45148.82</v>
      </c>
      <c r="V16" s="9" t="n">
        <v>109068.81</v>
      </c>
      <c r="W16" s="9" t="n">
        <v>1385.09</v>
      </c>
      <c r="X16" s="9" t="n">
        <v>33348.18</v>
      </c>
      <c r="Y16" s="8" t="n">
        <f aca="false">SUM(E16:X16)</f>
        <v>1608551.37</v>
      </c>
    </row>
    <row r="17" customFormat="false" ht="15" hidden="false" customHeight="false" outlineLevel="0" collapsed="false">
      <c r="C17" s="10" t="s">
        <v>39</v>
      </c>
      <c r="D17" s="11" t="n">
        <f aca="false">D15-D16</f>
        <v>-427882.48</v>
      </c>
      <c r="E17" s="12" t="n">
        <f aca="false">E15-E16</f>
        <v>-64968.52</v>
      </c>
      <c r="F17" s="12" t="n">
        <f aca="false">F15-F16</f>
        <v>-23988.38</v>
      </c>
      <c r="G17" s="12" t="n">
        <f aca="false">G15-G16</f>
        <v>-23988.38</v>
      </c>
      <c r="H17" s="12" t="n">
        <f aca="false">H15-H16</f>
        <v>-23988.38</v>
      </c>
      <c r="I17" s="12" t="n">
        <f aca="false">I15-I16</f>
        <v>-9259.86</v>
      </c>
      <c r="J17" s="12" t="n">
        <f aca="false">J15-J16</f>
        <v>-14883.99</v>
      </c>
      <c r="K17" s="12" t="n">
        <f aca="false">K15-K16</f>
        <v>-27715.3</v>
      </c>
      <c r="L17" s="12" t="n">
        <f aca="false">L15-L16</f>
        <v>-27715.3</v>
      </c>
      <c r="M17" s="12" t="n">
        <f aca="false">M15-M16</f>
        <v>-14883.99</v>
      </c>
      <c r="N17" s="12" t="n">
        <f aca="false">N15-N16</f>
        <v>-27715.3</v>
      </c>
      <c r="O17" s="12" t="n">
        <f aca="false">O15-O16</f>
        <v>-27715.3</v>
      </c>
      <c r="P17" s="12" t="n">
        <f aca="false">P15-P16</f>
        <v>-23988.38</v>
      </c>
      <c r="Q17" s="12" t="n">
        <f aca="false">Q15-Q16</f>
        <v>-14883.99</v>
      </c>
      <c r="R17" s="12" t="n">
        <f aca="false">R15-R16</f>
        <v>-14883.99</v>
      </c>
      <c r="S17" s="12" t="n">
        <f aca="false">S15-S16</f>
        <v>-12847.97</v>
      </c>
      <c r="T17" s="12" t="n">
        <f aca="false">T15-T16</f>
        <v>-10876.09</v>
      </c>
      <c r="U17" s="12" t="n">
        <f aca="false">U15-U16</f>
        <v>-10876.09</v>
      </c>
      <c r="V17" s="12" t="n">
        <f aca="false">V15-V16</f>
        <v>-27715.3</v>
      </c>
      <c r="W17" s="12" t="n">
        <f aca="false">W15-W16</f>
        <v>-147.79</v>
      </c>
      <c r="X17" s="12" t="n">
        <f aca="false">X15-X16</f>
        <v>-24840.18</v>
      </c>
      <c r="Y17" s="11" t="n">
        <f aca="false">Y15-Y16</f>
        <v>-427882.48</v>
      </c>
    </row>
    <row r="19" customFormat="false" ht="15" hidden="false" customHeight="false" outlineLevel="0" collapsed="false">
      <c r="B19" s="13" t="s">
        <v>40</v>
      </c>
    </row>
    <row r="20" customFormat="false" ht="15" hidden="false" customHeight="false" outlineLevel="0" collapsed="false">
      <c r="B20" s="1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42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46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49</v>
      </c>
      <c r="E9" s="16" t="s">
        <v>50</v>
      </c>
    </row>
    <row r="10" customFormat="false" ht="15" hidden="false" customHeight="false" outlineLevel="0" collapsed="false">
      <c r="B10" s="17" t="s">
        <v>51</v>
      </c>
    </row>
    <row r="11" customFormat="false" ht="15" hidden="false" customHeight="false" outlineLevel="0" collapsed="false">
      <c r="B11" s="7" t="s">
        <v>52</v>
      </c>
      <c r="C11" s="9" t="n">
        <v>18138.39</v>
      </c>
      <c r="D11" s="9" t="n">
        <v>18138.39</v>
      </c>
    </row>
    <row r="12" customFormat="false" ht="15" hidden="false" customHeight="false" outlineLevel="0" collapsed="false">
      <c r="B12" s="7" t="s">
        <v>53</v>
      </c>
      <c r="C12" s="9" t="n">
        <v>108041.17</v>
      </c>
      <c r="D12" s="9" t="n">
        <v>108041.17</v>
      </c>
    </row>
    <row r="13" customFormat="false" ht="15" hidden="false" customHeight="false" outlineLevel="0" collapsed="false">
      <c r="B13" s="7" t="s">
        <v>54</v>
      </c>
      <c r="C13" s="9" t="n">
        <v>1298.37</v>
      </c>
      <c r="D13" s="9" t="n">
        <v>1298.37</v>
      </c>
    </row>
    <row r="14" customFormat="false" ht="15" hidden="false" customHeight="false" outlineLevel="0" collapsed="false">
      <c r="B14" s="7" t="s">
        <v>55</v>
      </c>
      <c r="C14" s="9" t="n">
        <v>2443.43</v>
      </c>
      <c r="D14" s="9" t="n">
        <v>2443.43</v>
      </c>
    </row>
    <row r="15" customFormat="false" ht="15" hidden="false" customHeight="false" outlineLevel="0" collapsed="false">
      <c r="B15" s="7" t="s">
        <v>56</v>
      </c>
      <c r="C15" s="9" t="n">
        <v>90363.64</v>
      </c>
      <c r="D15" s="9" t="n">
        <v>90363.64</v>
      </c>
    </row>
    <row r="16" customFormat="false" ht="15" hidden="false" customHeight="false" outlineLevel="0" collapsed="false">
      <c r="B16" s="7" t="s">
        <v>57</v>
      </c>
      <c r="C16" s="9" t="n">
        <v>8205.48</v>
      </c>
      <c r="D16" s="9" t="n">
        <v>8205.48</v>
      </c>
    </row>
    <row r="17" customFormat="false" ht="15" hidden="false" customHeight="false" outlineLevel="0" collapsed="false">
      <c r="B17" s="7" t="s">
        <v>58</v>
      </c>
      <c r="C17" s="9" t="n">
        <v>11851.54</v>
      </c>
      <c r="D17" s="9" t="n">
        <v>11851.54</v>
      </c>
    </row>
    <row r="18" customFormat="false" ht="15" hidden="false" customHeight="false" outlineLevel="0" collapsed="false">
      <c r="B18" s="7" t="s">
        <v>59</v>
      </c>
      <c r="C18" s="9" t="n">
        <v>246.69</v>
      </c>
      <c r="D18" s="9" t="n">
        <v>246.69</v>
      </c>
    </row>
    <row r="19" customFormat="false" ht="15" hidden="false" customHeight="false" outlineLevel="0" collapsed="false">
      <c r="B19" s="7" t="s">
        <v>60</v>
      </c>
      <c r="C19" s="9" t="n">
        <v>7825.15</v>
      </c>
      <c r="D19" s="9" t="n">
        <v>7825.15</v>
      </c>
    </row>
    <row r="20" customFormat="false" ht="15" hidden="false" customHeight="false" outlineLevel="0" collapsed="false">
      <c r="B20" s="7" t="s">
        <v>61</v>
      </c>
      <c r="C20" s="9" t="n">
        <v>888.97</v>
      </c>
      <c r="D20" s="9" t="n">
        <v>888.97</v>
      </c>
    </row>
    <row r="21" customFormat="false" ht="15" hidden="false" customHeight="false" outlineLevel="0" collapsed="false">
      <c r="B21" s="7" t="s">
        <v>62</v>
      </c>
      <c r="C21" s="9" t="n">
        <v>3748.31</v>
      </c>
      <c r="D21" s="9" t="n">
        <v>3748.31</v>
      </c>
    </row>
    <row r="22" customFormat="false" ht="15" hidden="false" customHeight="false" outlineLevel="0" collapsed="false">
      <c r="B22" s="7" t="s">
        <v>63</v>
      </c>
      <c r="C22" s="9" t="n">
        <v>4557.68</v>
      </c>
      <c r="D22" s="9" t="n">
        <v>4557.68</v>
      </c>
    </row>
    <row r="23" customFormat="false" ht="15" hidden="false" customHeight="false" outlineLevel="0" collapsed="false">
      <c r="B23" s="7" t="s">
        <v>64</v>
      </c>
      <c r="C23" s="9" t="n">
        <v>5241.45</v>
      </c>
      <c r="D23" s="9" t="n">
        <v>5241.45</v>
      </c>
    </row>
    <row r="24" customFormat="false" ht="15" hidden="false" customHeight="false" outlineLevel="0" collapsed="false">
      <c r="B24" s="7" t="s">
        <v>65</v>
      </c>
      <c r="C24" s="9" t="n">
        <v>15339.8</v>
      </c>
      <c r="D24" s="9" t="n">
        <v>15339.8</v>
      </c>
    </row>
    <row r="25" customFormat="false" ht="15" hidden="false" customHeight="false" outlineLevel="0" collapsed="false">
      <c r="B25" s="7" t="s">
        <v>66</v>
      </c>
      <c r="C25" s="9" t="n">
        <v>6071.99</v>
      </c>
      <c r="D25" s="9" t="n">
        <v>6071.99</v>
      </c>
    </row>
    <row r="26" customFormat="false" ht="15" hidden="false" customHeight="false" outlineLevel="0" collapsed="false">
      <c r="B26" s="17" t="s">
        <v>67</v>
      </c>
    </row>
    <row r="27" customFormat="false" ht="15" hidden="false" customHeight="false" outlineLevel="0" collapsed="false">
      <c r="B27" s="7" t="s">
        <v>67</v>
      </c>
      <c r="C27" s="9" t="n">
        <v>134674.07</v>
      </c>
      <c r="E27" s="9" t="n">
        <v>134674.07</v>
      </c>
    </row>
    <row r="28" customFormat="false" ht="15" hidden="false" customHeight="false" outlineLevel="0" collapsed="false">
      <c r="B28" s="18" t="s">
        <v>68</v>
      </c>
      <c r="C28" s="19" t="n">
        <f aca="false">SUM(C10:C27)</f>
        <v>418936.13</v>
      </c>
      <c r="D28" s="19" t="n">
        <f aca="false">SUM(D10:D27)</f>
        <v>284262.06</v>
      </c>
      <c r="E28" s="19" t="n">
        <f aca="false">SUM(E10:E27)</f>
        <v>134674.07</v>
      </c>
    </row>
    <row r="30" customFormat="false" ht="15" hidden="false" customHeight="false" outlineLevel="0" collapsed="false">
      <c r="B30" s="10" t="s">
        <v>69</v>
      </c>
    </row>
    <row r="31" customFormat="false" ht="15" hidden="false" customHeight="false" outlineLevel="0" collapsed="false">
      <c r="B31" s="7" t="s">
        <v>70</v>
      </c>
      <c r="C31" s="9" t="n">
        <v>1183.32</v>
      </c>
      <c r="D31" s="9" t="n">
        <v>802.92</v>
      </c>
      <c r="E31" s="9" t="n">
        <v>380.4</v>
      </c>
    </row>
    <row r="32" customFormat="false" ht="15" hidden="false" customHeight="false" outlineLevel="0" collapsed="false">
      <c r="B32" s="7" t="s">
        <v>71</v>
      </c>
      <c r="C32" s="9" t="n">
        <v>352122.24</v>
      </c>
      <c r="D32" s="9" t="n">
        <v>238926.62</v>
      </c>
      <c r="E32" s="9" t="n">
        <v>113195.62</v>
      </c>
    </row>
    <row r="33" customFormat="false" ht="15" hidden="false" customHeight="false" outlineLevel="0" collapsed="false">
      <c r="B33" s="7" t="s">
        <v>72</v>
      </c>
      <c r="C33" s="9" t="n">
        <v>21876.86</v>
      </c>
      <c r="D33" s="9" t="n">
        <v>14844.18</v>
      </c>
      <c r="E33" s="9" t="n">
        <v>7032.68</v>
      </c>
    </row>
    <row r="34" customFormat="false" ht="15" hidden="false" customHeight="false" outlineLevel="0" collapsed="false">
      <c r="B34" s="7" t="s">
        <v>73</v>
      </c>
      <c r="C34" s="9" t="n">
        <v>43753.71</v>
      </c>
      <c r="D34" s="9" t="n">
        <v>29688.34</v>
      </c>
      <c r="E34" s="9" t="n">
        <v>14065.37</v>
      </c>
    </row>
    <row r="35" customFormat="false" ht="15" hidden="false" customHeight="false" outlineLevel="0" collapsed="false">
      <c r="B35" s="10" t="s">
        <v>74</v>
      </c>
      <c r="C35" s="8" t="n">
        <f aca="false">SUM(C31:C34)</f>
        <v>418936.13</v>
      </c>
      <c r="D35" s="8" t="n">
        <f aca="false">SUM(D31:D34)</f>
        <v>284262.06</v>
      </c>
      <c r="E35" s="8" t="n">
        <f aca="false">SUM(E31:E34)</f>
        <v>134674.07</v>
      </c>
    </row>
    <row r="37" customFormat="false" ht="15" hidden="false" customHeight="false" outlineLevel="0" collapsed="false">
      <c r="A37" s="4" t="s">
        <v>75</v>
      </c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0" t="s">
        <v>37</v>
      </c>
      <c r="B38" s="21"/>
      <c r="C38" s="21"/>
      <c r="D38" s="21"/>
      <c r="E38" s="21"/>
      <c r="F38" s="21"/>
      <c r="G38" s="21"/>
      <c r="H38" s="21"/>
      <c r="I38" s="21"/>
      <c r="J38" s="21"/>
    </row>
    <row r="39" customFormat="false" ht="15" hidden="false" customHeight="false" outlineLevel="0" collapsed="false">
      <c r="A39" s="5" t="s">
        <v>76</v>
      </c>
      <c r="B39" s="5" t="s">
        <v>77</v>
      </c>
      <c r="C39" s="5" t="s">
        <v>78</v>
      </c>
      <c r="D39" s="5" t="s">
        <v>79</v>
      </c>
      <c r="E39" s="5" t="s">
        <v>80</v>
      </c>
      <c r="F39" s="5" t="s">
        <v>81</v>
      </c>
      <c r="G39" s="5" t="s">
        <v>82</v>
      </c>
      <c r="H39" s="5" t="s">
        <v>83</v>
      </c>
      <c r="I39" s="5" t="s">
        <v>84</v>
      </c>
      <c r="J39" s="5" t="s">
        <v>85</v>
      </c>
    </row>
    <row r="40" customFormat="false" ht="15" hidden="false" customHeight="false" outlineLevel="0" collapsed="false">
      <c r="A40" s="22" t="s">
        <v>86</v>
      </c>
      <c r="B40" s="22" t="s">
        <v>28</v>
      </c>
      <c r="C40" s="23" t="n">
        <v>1183.32</v>
      </c>
      <c r="D40" s="22" t="n">
        <v>0</v>
      </c>
      <c r="E40" s="23" t="n">
        <v>71.65</v>
      </c>
      <c r="F40" s="23" t="n">
        <v>29.43</v>
      </c>
      <c r="G40" s="23" t="n">
        <v>101.08</v>
      </c>
      <c r="H40" s="23" t="n">
        <v>1082.24</v>
      </c>
      <c r="I40" s="22" t="s">
        <v>87</v>
      </c>
      <c r="J40" s="22" t="n">
        <v>40</v>
      </c>
    </row>
    <row r="41" customFormat="false" ht="15" hidden="false" customHeight="false" outlineLevel="0" collapsed="false">
      <c r="A41" s="7" t="s">
        <v>88</v>
      </c>
      <c r="B41" s="7" t="s">
        <v>30</v>
      </c>
      <c r="C41" s="9" t="n">
        <v>352122.24</v>
      </c>
      <c r="D41" s="7" t="n">
        <v>0</v>
      </c>
      <c r="E41" s="9" t="n">
        <v>75780.32</v>
      </c>
      <c r="F41" s="9" t="n">
        <v>8280.01</v>
      </c>
      <c r="G41" s="9" t="n">
        <v>84060.33</v>
      </c>
      <c r="H41" s="9" t="n">
        <v>268061.91</v>
      </c>
      <c r="I41" s="7" t="s">
        <v>87</v>
      </c>
      <c r="J41" s="7" t="n">
        <v>40</v>
      </c>
    </row>
    <row r="42" customFormat="false" ht="15" hidden="false" customHeight="false" outlineLevel="0" collapsed="false">
      <c r="A42" s="22" t="s">
        <v>89</v>
      </c>
      <c r="B42" s="22" t="s">
        <v>30</v>
      </c>
      <c r="C42" s="23" t="n">
        <v>21876.86</v>
      </c>
      <c r="D42" s="22" t="n">
        <v>0</v>
      </c>
      <c r="E42" s="23" t="n">
        <v>20418.39</v>
      </c>
      <c r="F42" s="22" t="n">
        <v>0</v>
      </c>
      <c r="G42" s="23" t="n">
        <v>20418.39</v>
      </c>
      <c r="H42" s="23" t="n">
        <v>1458.47</v>
      </c>
      <c r="I42" s="22" t="s">
        <v>87</v>
      </c>
      <c r="J42" s="22" t="n">
        <v>40</v>
      </c>
    </row>
    <row r="43" customFormat="false" ht="15" hidden="false" customHeight="false" outlineLevel="0" collapsed="false">
      <c r="A43" s="7" t="s">
        <v>90</v>
      </c>
      <c r="B43" s="7" t="s">
        <v>30</v>
      </c>
      <c r="C43" s="9" t="n">
        <v>43753.71</v>
      </c>
      <c r="D43" s="7" t="n">
        <v>0</v>
      </c>
      <c r="E43" s="9" t="n">
        <v>21054.54</v>
      </c>
      <c r="F43" s="9" t="n">
        <v>2581.47</v>
      </c>
      <c r="G43" s="9" t="n">
        <v>23636.01</v>
      </c>
      <c r="H43" s="9" t="n">
        <v>20117.7</v>
      </c>
      <c r="I43" s="7" t="s">
        <v>87</v>
      </c>
      <c r="J43" s="7" t="n">
        <v>40</v>
      </c>
    </row>
    <row r="44" customFormat="false" ht="15" hidden="false" customHeight="false" outlineLevel="0" collapsed="false">
      <c r="A44" s="10" t="s">
        <v>26</v>
      </c>
      <c r="C44" s="24" t="n">
        <f aca="false">SUM(C40:C43)</f>
        <v>418936.13</v>
      </c>
      <c r="D44" s="24" t="n">
        <f aca="false">SUM(D40:D43)</f>
        <v>0</v>
      </c>
      <c r="E44" s="24" t="n">
        <f aca="false">SUM(E40:E43)</f>
        <v>117324.9</v>
      </c>
      <c r="F44" s="24" t="n">
        <f aca="false">SUM(F40:F43)</f>
        <v>10890.91</v>
      </c>
      <c r="G44" s="24" t="n">
        <f aca="false">SUM(G40:G43)</f>
        <v>128215.81</v>
      </c>
      <c r="H44" s="24" t="n">
        <f aca="false">SUM(H40:H43)</f>
        <v>290720.32</v>
      </c>
    </row>
    <row r="46" customFormat="false" ht="15" hidden="false" customHeight="false" outlineLevel="0" collapsed="false">
      <c r="A46" s="20" t="s">
        <v>91</v>
      </c>
      <c r="B46" s="21"/>
      <c r="C46" s="21"/>
      <c r="D46" s="21"/>
      <c r="E46" s="21"/>
      <c r="F46" s="21"/>
      <c r="G46" s="21"/>
      <c r="H46" s="21"/>
      <c r="I46" s="21"/>
      <c r="J46" s="21"/>
    </row>
    <row r="47" customFormat="false" ht="15" hidden="false" customHeight="false" outlineLevel="0" collapsed="false">
      <c r="A47" s="5" t="s">
        <v>76</v>
      </c>
      <c r="B47" s="5" t="s">
        <v>77</v>
      </c>
      <c r="C47" s="5" t="s">
        <v>78</v>
      </c>
      <c r="D47" s="5" t="s">
        <v>79</v>
      </c>
      <c r="E47" s="5" t="s">
        <v>80</v>
      </c>
      <c r="F47" s="5" t="s">
        <v>81</v>
      </c>
      <c r="G47" s="5" t="s">
        <v>82</v>
      </c>
      <c r="H47" s="5" t="s">
        <v>83</v>
      </c>
      <c r="I47" s="5" t="s">
        <v>84</v>
      </c>
      <c r="J47" s="5" t="s">
        <v>85</v>
      </c>
    </row>
    <row r="48" customFormat="false" ht="15" hidden="false" customHeight="false" outlineLevel="0" collapsed="false">
      <c r="A48" s="22" t="s">
        <v>92</v>
      </c>
      <c r="B48" s="22" t="s">
        <v>28</v>
      </c>
      <c r="C48" s="23" t="n">
        <v>802.92</v>
      </c>
      <c r="D48" s="23" t="n">
        <v>802.92</v>
      </c>
      <c r="E48" s="23" t="n">
        <v>802.92</v>
      </c>
      <c r="F48" s="22" t="n">
        <v>0</v>
      </c>
      <c r="G48" s="23" t="n">
        <v>802.92</v>
      </c>
      <c r="H48" s="22" t="n">
        <v>0</v>
      </c>
      <c r="I48" s="22" t="s">
        <v>93</v>
      </c>
      <c r="J48" s="22" t="n">
        <v>15</v>
      </c>
    </row>
    <row r="49" customFormat="false" ht="15" hidden="false" customHeight="false" outlineLevel="0" collapsed="false">
      <c r="A49" s="7" t="s">
        <v>94</v>
      </c>
      <c r="B49" s="7" t="s">
        <v>28</v>
      </c>
      <c r="C49" s="9" t="n">
        <v>380.4</v>
      </c>
      <c r="D49" s="7" t="n">
        <v>0</v>
      </c>
      <c r="E49" s="9" t="n">
        <v>29.06</v>
      </c>
      <c r="F49" s="9" t="n">
        <v>12.68</v>
      </c>
      <c r="G49" s="9" t="n">
        <v>41.74</v>
      </c>
      <c r="H49" s="9" t="n">
        <v>338.66</v>
      </c>
      <c r="I49" s="7" t="s">
        <v>87</v>
      </c>
      <c r="J49" s="7" t="n">
        <v>30</v>
      </c>
    </row>
    <row r="50" customFormat="false" ht="15" hidden="false" customHeight="false" outlineLevel="0" collapsed="false">
      <c r="A50" s="22" t="s">
        <v>95</v>
      </c>
      <c r="B50" s="22" t="s">
        <v>30</v>
      </c>
      <c r="C50" s="23" t="n">
        <v>238926.62</v>
      </c>
      <c r="D50" s="22" t="n">
        <v>0</v>
      </c>
      <c r="E50" s="23" t="n">
        <v>119005.41</v>
      </c>
      <c r="F50" s="23" t="n">
        <v>14108.38</v>
      </c>
      <c r="G50" s="23" t="n">
        <v>133113.79</v>
      </c>
      <c r="H50" s="23" t="n">
        <v>105812.83</v>
      </c>
      <c r="I50" s="22" t="s">
        <v>93</v>
      </c>
      <c r="J50" s="22" t="n">
        <v>15</v>
      </c>
    </row>
    <row r="51" customFormat="false" ht="15" hidden="false" customHeight="false" outlineLevel="0" collapsed="false">
      <c r="A51" s="7" t="s">
        <v>96</v>
      </c>
      <c r="B51" s="7" t="s">
        <v>30</v>
      </c>
      <c r="C51" s="9" t="n">
        <v>113195.62</v>
      </c>
      <c r="D51" s="7" t="n">
        <v>0</v>
      </c>
      <c r="E51" s="9" t="n">
        <v>24997.38</v>
      </c>
      <c r="F51" s="9" t="n">
        <v>3773.19</v>
      </c>
      <c r="G51" s="9" t="n">
        <v>28770.57</v>
      </c>
      <c r="H51" s="9" t="n">
        <v>84425.05</v>
      </c>
      <c r="I51" s="7" t="s">
        <v>87</v>
      </c>
      <c r="J51" s="7" t="n">
        <v>30</v>
      </c>
    </row>
    <row r="52" customFormat="false" ht="15" hidden="false" customHeight="false" outlineLevel="0" collapsed="false">
      <c r="A52" s="22" t="s">
        <v>97</v>
      </c>
      <c r="B52" s="22" t="s">
        <v>30</v>
      </c>
      <c r="C52" s="23" t="n">
        <v>14844.18</v>
      </c>
      <c r="D52" s="22" t="n">
        <v>0</v>
      </c>
      <c r="E52" s="23" t="n">
        <v>7393.64</v>
      </c>
      <c r="F52" s="23" t="n">
        <v>876.53</v>
      </c>
      <c r="G52" s="23" t="n">
        <v>8270.17</v>
      </c>
      <c r="H52" s="23" t="n">
        <v>6574.01</v>
      </c>
      <c r="I52" s="22" t="s">
        <v>93</v>
      </c>
      <c r="J52" s="22" t="n">
        <v>15</v>
      </c>
    </row>
    <row r="53" customFormat="false" ht="15" hidden="false" customHeight="false" outlineLevel="0" collapsed="false">
      <c r="A53" s="7" t="s">
        <v>98</v>
      </c>
      <c r="B53" s="7" t="s">
        <v>30</v>
      </c>
      <c r="C53" s="9" t="n">
        <v>7032.68</v>
      </c>
      <c r="D53" s="7" t="n">
        <v>0</v>
      </c>
      <c r="E53" s="9" t="n">
        <v>1553.03</v>
      </c>
      <c r="F53" s="9" t="n">
        <v>234.42</v>
      </c>
      <c r="G53" s="9" t="n">
        <v>1787.45</v>
      </c>
      <c r="H53" s="9" t="n">
        <v>5245.23</v>
      </c>
      <c r="I53" s="7" t="s">
        <v>87</v>
      </c>
      <c r="J53" s="7" t="n">
        <v>30</v>
      </c>
    </row>
    <row r="54" customFormat="false" ht="15" hidden="false" customHeight="false" outlineLevel="0" collapsed="false">
      <c r="A54" s="22" t="s">
        <v>99</v>
      </c>
      <c r="B54" s="22" t="s">
        <v>30</v>
      </c>
      <c r="C54" s="23" t="n">
        <v>29688.34</v>
      </c>
      <c r="D54" s="22" t="n">
        <v>0</v>
      </c>
      <c r="E54" s="23" t="n">
        <v>14787.28</v>
      </c>
      <c r="F54" s="23" t="n">
        <v>1753.07</v>
      </c>
      <c r="G54" s="23" t="n">
        <v>16540.35</v>
      </c>
      <c r="H54" s="23" t="n">
        <v>13147.99</v>
      </c>
      <c r="I54" s="22" t="s">
        <v>93</v>
      </c>
      <c r="J54" s="22" t="n">
        <v>15</v>
      </c>
    </row>
    <row r="55" customFormat="false" ht="15" hidden="false" customHeight="false" outlineLevel="0" collapsed="false">
      <c r="A55" s="7" t="s">
        <v>100</v>
      </c>
      <c r="B55" s="7" t="s">
        <v>30</v>
      </c>
      <c r="C55" s="9" t="n">
        <v>14065.37</v>
      </c>
      <c r="D55" s="7" t="n">
        <v>0</v>
      </c>
      <c r="E55" s="9" t="n">
        <v>3388.49</v>
      </c>
      <c r="F55" s="9" t="n">
        <v>468.85</v>
      </c>
      <c r="G55" s="9" t="n">
        <v>3857.34</v>
      </c>
      <c r="H55" s="9" t="n">
        <v>10208.03</v>
      </c>
      <c r="I55" s="7" t="s">
        <v>87</v>
      </c>
      <c r="J55" s="7" t="n">
        <v>30</v>
      </c>
    </row>
    <row r="56" customFormat="false" ht="15" hidden="false" customHeight="false" outlineLevel="0" collapsed="false">
      <c r="A56" s="10" t="s">
        <v>26</v>
      </c>
      <c r="C56" s="24" t="n">
        <f aca="false">SUM(C48:C55)</f>
        <v>418936.13</v>
      </c>
      <c r="D56" s="24" t="n">
        <f aca="false">SUM(D48:D55)</f>
        <v>802.92</v>
      </c>
      <c r="E56" s="24" t="n">
        <f aca="false">SUM(E48:E55)</f>
        <v>171957.21</v>
      </c>
      <c r="F56" s="24" t="n">
        <f aca="false">SUM(F48:F55)</f>
        <v>21227.12</v>
      </c>
      <c r="G56" s="24" t="n">
        <f aca="false">SUM(G48:G55)</f>
        <v>193184.33</v>
      </c>
      <c r="H56" s="24" t="n">
        <f aca="false">SUM(H48:H55)</f>
        <v>225751.8</v>
      </c>
    </row>
    <row r="58" customFormat="false" ht="15" hidden="false" customHeight="false" outlineLevel="0" collapsed="false">
      <c r="A58" s="4" t="s">
        <v>39</v>
      </c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B59" s="7" t="s">
        <v>101</v>
      </c>
      <c r="C59" s="25" t="n">
        <f aca="false">G44</f>
        <v>128215.81</v>
      </c>
    </row>
    <row r="60" customFormat="false" ht="15" hidden="false" customHeight="false" outlineLevel="0" collapsed="false">
      <c r="B60" s="7" t="s">
        <v>102</v>
      </c>
      <c r="C60" s="25" t="n">
        <f aca="false">G56</f>
        <v>193184.33</v>
      </c>
    </row>
    <row r="61" customFormat="false" ht="15" hidden="false" customHeight="false" outlineLevel="0" collapsed="false">
      <c r="B61" s="10" t="s">
        <v>39</v>
      </c>
      <c r="C61" s="26" t="n">
        <f aca="false">C59-C60</f>
        <v>-64968.52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103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104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11319.08</v>
      </c>
      <c r="D11" s="9" t="n">
        <v>11319.08</v>
      </c>
    </row>
    <row r="12" customFormat="false" ht="15" hidden="false" customHeight="false" outlineLevel="0" collapsed="false">
      <c r="B12" s="7" t="s">
        <v>108</v>
      </c>
      <c r="C12" s="9" t="n">
        <v>4407.51</v>
      </c>
      <c r="D12" s="9" t="n">
        <v>4407.51</v>
      </c>
    </row>
    <row r="13" customFormat="false" ht="15" hidden="false" customHeight="false" outlineLevel="0" collapsed="false">
      <c r="B13" s="7" t="s">
        <v>109</v>
      </c>
      <c r="C13" s="9" t="n">
        <v>17858.88</v>
      </c>
      <c r="D13" s="9" t="n">
        <v>17858.88</v>
      </c>
    </row>
    <row r="14" customFormat="false" ht="15" hidden="false" customHeight="false" outlineLevel="0" collapsed="false">
      <c r="B14" s="7" t="s">
        <v>110</v>
      </c>
      <c r="C14" s="9" t="n">
        <v>1586.91</v>
      </c>
      <c r="D14" s="9" t="n">
        <v>1586.91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1548.16</v>
      </c>
      <c r="D17" s="9" t="n">
        <v>1548.16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7270.82</v>
      </c>
      <c r="E23" s="9" t="n">
        <v>7270.82</v>
      </c>
    </row>
    <row r="24" customFormat="false" ht="15" hidden="false" customHeight="false" outlineLevel="0" collapsed="false">
      <c r="B24" s="7" t="s">
        <v>120</v>
      </c>
      <c r="C24" s="9" t="n">
        <v>12116.84</v>
      </c>
      <c r="E24" s="9" t="n">
        <v>12116.84</v>
      </c>
    </row>
    <row r="25" customFormat="false" ht="15" hidden="false" customHeight="false" outlineLevel="0" collapsed="false">
      <c r="B25" s="7" t="s">
        <v>121</v>
      </c>
      <c r="C25" s="9" t="n">
        <v>17293.33</v>
      </c>
      <c r="E25" s="9" t="n">
        <v>17293.33</v>
      </c>
    </row>
    <row r="26" customFormat="false" ht="15" hidden="false" customHeight="false" outlineLevel="0" collapsed="false">
      <c r="B26" s="7" t="s">
        <v>122</v>
      </c>
      <c r="C26" s="9" t="n">
        <v>16285.45</v>
      </c>
      <c r="E26" s="9" t="n">
        <v>16285.45</v>
      </c>
    </row>
    <row r="27" customFormat="false" ht="15" hidden="false" customHeight="false" outlineLevel="0" collapsed="false">
      <c r="B27" s="7" t="s">
        <v>123</v>
      </c>
      <c r="C27" s="9" t="n">
        <v>15033</v>
      </c>
      <c r="E27" s="9" t="n">
        <v>15033</v>
      </c>
    </row>
    <row r="28" customFormat="false" ht="15" hidden="false" customHeight="false" outlineLevel="0" collapsed="false">
      <c r="B28" s="7" t="s">
        <v>124</v>
      </c>
      <c r="C28" s="9" t="n">
        <v>958.91</v>
      </c>
      <c r="E28" s="9" t="n">
        <v>958.91</v>
      </c>
    </row>
    <row r="29" customFormat="false" ht="15" hidden="false" customHeight="false" outlineLevel="0" collapsed="false">
      <c r="B29" s="7" t="s">
        <v>125</v>
      </c>
      <c r="C29" s="9" t="n">
        <v>26187.51</v>
      </c>
      <c r="E29" s="9" t="n">
        <v>26187.51</v>
      </c>
    </row>
    <row r="30" customFormat="false" ht="15" hidden="false" customHeight="false" outlineLevel="0" collapsed="false">
      <c r="B30" s="7" t="s">
        <v>126</v>
      </c>
      <c r="C30" s="9" t="n">
        <v>11772.85</v>
      </c>
      <c r="E30" s="9" t="n">
        <v>11772.85</v>
      </c>
    </row>
    <row r="31" customFormat="false" ht="15" hidden="false" customHeight="false" outlineLevel="0" collapsed="false">
      <c r="B31" s="7" t="s">
        <v>127</v>
      </c>
      <c r="C31" s="9" t="n">
        <v>6994.46</v>
      </c>
      <c r="E31" s="9" t="n">
        <v>6994.46</v>
      </c>
    </row>
    <row r="32" customFormat="false" ht="15" hidden="false" customHeight="false" outlineLevel="0" collapsed="false">
      <c r="B32" s="7" t="s">
        <v>128</v>
      </c>
      <c r="C32" s="9" t="n">
        <v>7953.64</v>
      </c>
      <c r="E32" s="9" t="n">
        <v>7953.64</v>
      </c>
    </row>
    <row r="33" customFormat="false" ht="15" hidden="false" customHeight="false" outlineLevel="0" collapsed="false">
      <c r="B33" s="7" t="s">
        <v>129</v>
      </c>
      <c r="C33" s="9" t="n">
        <v>19168.95</v>
      </c>
      <c r="E33" s="9" t="n">
        <v>19168.95</v>
      </c>
    </row>
    <row r="34" customFormat="false" ht="15" hidden="false" customHeight="false" outlineLevel="0" collapsed="false">
      <c r="B34" s="7" t="s">
        <v>130</v>
      </c>
      <c r="C34" s="9" t="n">
        <v>7364.73</v>
      </c>
      <c r="E34" s="9" t="n">
        <v>7364.73</v>
      </c>
    </row>
    <row r="35" customFormat="false" ht="15" hidden="false" customHeight="false" outlineLevel="0" collapsed="false">
      <c r="B35" s="7" t="s">
        <v>131</v>
      </c>
      <c r="C35" s="9" t="n">
        <v>1137.92</v>
      </c>
      <c r="E35" s="9" t="n">
        <v>1137.92</v>
      </c>
    </row>
    <row r="36" customFormat="false" ht="15" hidden="false" customHeight="false" outlineLevel="0" collapsed="false">
      <c r="B36" s="7" t="s">
        <v>132</v>
      </c>
      <c r="C36" s="9" t="n">
        <v>28878.51</v>
      </c>
      <c r="E36" s="9" t="n">
        <v>28878.51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234391.03</v>
      </c>
      <c r="D40" s="19" t="n">
        <f aca="false">SUM(D10:D39)</f>
        <v>48570.52</v>
      </c>
      <c r="E40" s="19" t="n">
        <f aca="false">SUM(E10:E39)</f>
        <v>185820.51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662.06</v>
      </c>
      <c r="D43" s="9" t="n">
        <v>137.19</v>
      </c>
      <c r="E43" s="9" t="n">
        <v>524.87</v>
      </c>
    </row>
    <row r="44" customFormat="false" ht="15" hidden="false" customHeight="false" outlineLevel="0" collapsed="false">
      <c r="B44" s="7" t="s">
        <v>71</v>
      </c>
      <c r="C44" s="9" t="n">
        <v>197009.25</v>
      </c>
      <c r="D44" s="9" t="n">
        <v>40824.27</v>
      </c>
      <c r="E44" s="9" t="n">
        <v>156184.98</v>
      </c>
    </row>
    <row r="45" customFormat="false" ht="15" hidden="false" customHeight="false" outlineLevel="0" collapsed="false">
      <c r="B45" s="7" t="s">
        <v>72</v>
      </c>
      <c r="C45" s="9" t="n">
        <v>12239.91</v>
      </c>
      <c r="D45" s="9" t="n">
        <v>2536.35</v>
      </c>
      <c r="E45" s="9" t="n">
        <v>9703.56</v>
      </c>
    </row>
    <row r="46" customFormat="false" ht="15" hidden="false" customHeight="false" outlineLevel="0" collapsed="false">
      <c r="B46" s="7" t="s">
        <v>73</v>
      </c>
      <c r="C46" s="9" t="n">
        <v>24479.81</v>
      </c>
      <c r="D46" s="9" t="n">
        <v>5072.71</v>
      </c>
      <c r="E46" s="9" t="n">
        <v>19407.1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234391.03</v>
      </c>
      <c r="D47" s="8" t="n">
        <f aca="false">SUM(D43:D46)</f>
        <v>48570.52</v>
      </c>
      <c r="E47" s="8" t="n">
        <f aca="false">SUM(E43:E46)</f>
        <v>185820.51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662.06</v>
      </c>
      <c r="D52" s="22" t="n">
        <v>0</v>
      </c>
      <c r="E52" s="23" t="n">
        <v>40.09</v>
      </c>
      <c r="F52" s="23" t="n">
        <v>16.52</v>
      </c>
      <c r="G52" s="23" t="n">
        <v>56.61</v>
      </c>
      <c r="H52" s="23" t="n">
        <v>605.45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197009.25</v>
      </c>
      <c r="D53" s="7" t="n">
        <v>0</v>
      </c>
      <c r="E53" s="9" t="n">
        <v>42398.42</v>
      </c>
      <c r="F53" s="9" t="n">
        <v>4632.55</v>
      </c>
      <c r="G53" s="9" t="n">
        <v>47030.97</v>
      </c>
      <c r="H53" s="9" t="n">
        <v>149978.28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12239.91</v>
      </c>
      <c r="D54" s="22" t="n">
        <v>0</v>
      </c>
      <c r="E54" s="23" t="n">
        <v>11423.94</v>
      </c>
      <c r="F54" s="22" t="n">
        <v>0</v>
      </c>
      <c r="G54" s="23" t="n">
        <v>11423.94</v>
      </c>
      <c r="H54" s="23" t="n">
        <v>815.97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24479.81</v>
      </c>
      <c r="D55" s="7" t="n">
        <v>0</v>
      </c>
      <c r="E55" s="9" t="n">
        <v>11779.87</v>
      </c>
      <c r="F55" s="9" t="n">
        <v>1444.31</v>
      </c>
      <c r="G55" s="9" t="n">
        <v>13224.18</v>
      </c>
      <c r="H55" s="9" t="n">
        <v>11255.63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234391.03</v>
      </c>
      <c r="D56" s="24" t="n">
        <f aca="false">SUM(D52:D55)</f>
        <v>0</v>
      </c>
      <c r="E56" s="24" t="n">
        <f aca="false">SUM(E52:E55)</f>
        <v>65642.32</v>
      </c>
      <c r="F56" s="24" t="n">
        <f aca="false">SUM(F52:F55)</f>
        <v>6093.38</v>
      </c>
      <c r="G56" s="24" t="n">
        <f aca="false">SUM(G52:G55)</f>
        <v>71735.7</v>
      </c>
      <c r="H56" s="24" t="n">
        <f aca="false">SUM(H52:H55)</f>
        <v>162655.33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137.19</v>
      </c>
      <c r="D60" s="23" t="n">
        <v>137.19</v>
      </c>
      <c r="E60" s="23" t="n">
        <v>137.19</v>
      </c>
      <c r="F60" s="22" t="n">
        <v>0</v>
      </c>
      <c r="G60" s="23" t="n">
        <v>137.19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524.87</v>
      </c>
      <c r="D61" s="7" t="n">
        <v>0</v>
      </c>
      <c r="E61" s="9" t="n">
        <v>40.1</v>
      </c>
      <c r="F61" s="9" t="n">
        <v>17.5</v>
      </c>
      <c r="G61" s="9" t="n">
        <v>57.6</v>
      </c>
      <c r="H61" s="9" t="n">
        <v>467.27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40824.27</v>
      </c>
      <c r="D62" s="22" t="n">
        <v>0</v>
      </c>
      <c r="E62" s="23" t="n">
        <v>40824.27</v>
      </c>
      <c r="F62" s="22" t="n">
        <v>0</v>
      </c>
      <c r="G62" s="23" t="n">
        <v>40824.27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156184.98</v>
      </c>
      <c r="D63" s="7" t="n">
        <v>0</v>
      </c>
      <c r="E63" s="9" t="n">
        <v>34490.87</v>
      </c>
      <c r="F63" s="9" t="n">
        <v>5206.17</v>
      </c>
      <c r="G63" s="9" t="n">
        <v>39697.04</v>
      </c>
      <c r="H63" s="9" t="n">
        <v>116487.94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2536.35</v>
      </c>
      <c r="D64" s="22" t="n">
        <v>0</v>
      </c>
      <c r="E64" s="23" t="n">
        <v>2536.35</v>
      </c>
      <c r="F64" s="22" t="n">
        <v>0</v>
      </c>
      <c r="G64" s="23" t="n">
        <v>2536.35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9703.56</v>
      </c>
      <c r="D65" s="7" t="n">
        <v>0</v>
      </c>
      <c r="E65" s="9" t="n">
        <v>2142.86</v>
      </c>
      <c r="F65" s="9" t="n">
        <v>323.45</v>
      </c>
      <c r="G65" s="9" t="n">
        <v>2466.31</v>
      </c>
      <c r="H65" s="9" t="n">
        <v>7237.25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5072.71</v>
      </c>
      <c r="D66" s="22" t="n">
        <v>0</v>
      </c>
      <c r="E66" s="23" t="n">
        <v>5072.71</v>
      </c>
      <c r="F66" s="22" t="n">
        <v>0</v>
      </c>
      <c r="G66" s="23" t="n">
        <v>5072.71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19407.1</v>
      </c>
      <c r="D67" s="7" t="n">
        <v>0</v>
      </c>
      <c r="E67" s="9" t="n">
        <v>4285.71</v>
      </c>
      <c r="F67" s="9" t="n">
        <v>646.9</v>
      </c>
      <c r="G67" s="9" t="n">
        <v>4932.61</v>
      </c>
      <c r="H67" s="9" t="n">
        <v>14474.49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234391.03</v>
      </c>
      <c r="D68" s="24" t="n">
        <f aca="false">SUM(D60:D67)</f>
        <v>137.19</v>
      </c>
      <c r="E68" s="24" t="n">
        <f aca="false">SUM(E60:E67)</f>
        <v>89530.06</v>
      </c>
      <c r="F68" s="24" t="n">
        <f aca="false">SUM(F60:F67)</f>
        <v>6194.02</v>
      </c>
      <c r="G68" s="24" t="n">
        <f aca="false">SUM(G60:G67)</f>
        <v>95724.08</v>
      </c>
      <c r="H68" s="24" t="n">
        <f aca="false">SUM(H60:H67)</f>
        <v>138666.95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71735.7</v>
      </c>
    </row>
    <row r="72" customFormat="false" ht="15" hidden="false" customHeight="false" outlineLevel="0" collapsed="false">
      <c r="B72" s="7" t="s">
        <v>102</v>
      </c>
      <c r="C72" s="25" t="n">
        <f aca="false">G68</f>
        <v>95724.08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-23988.38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141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142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11319.08</v>
      </c>
      <c r="D11" s="9" t="n">
        <v>11319.08</v>
      </c>
    </row>
    <row r="12" customFormat="false" ht="15" hidden="false" customHeight="false" outlineLevel="0" collapsed="false">
      <c r="B12" s="7" t="s">
        <v>108</v>
      </c>
      <c r="C12" s="9" t="n">
        <v>4407.51</v>
      </c>
      <c r="D12" s="9" t="n">
        <v>4407.51</v>
      </c>
    </row>
    <row r="13" customFormat="false" ht="15" hidden="false" customHeight="false" outlineLevel="0" collapsed="false">
      <c r="B13" s="7" t="s">
        <v>109</v>
      </c>
      <c r="C13" s="9" t="n">
        <v>17858.88</v>
      </c>
      <c r="D13" s="9" t="n">
        <v>17858.88</v>
      </c>
    </row>
    <row r="14" customFormat="false" ht="15" hidden="false" customHeight="false" outlineLevel="0" collapsed="false">
      <c r="B14" s="7" t="s">
        <v>110</v>
      </c>
      <c r="C14" s="9" t="n">
        <v>1586.91</v>
      </c>
      <c r="D14" s="9" t="n">
        <v>1586.91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1548.16</v>
      </c>
      <c r="D17" s="9" t="n">
        <v>1548.16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7270.82</v>
      </c>
      <c r="E23" s="9" t="n">
        <v>7270.82</v>
      </c>
    </row>
    <row r="24" customFormat="false" ht="15" hidden="false" customHeight="false" outlineLevel="0" collapsed="false">
      <c r="B24" s="7" t="s">
        <v>120</v>
      </c>
      <c r="C24" s="9" t="n">
        <v>12116.84</v>
      </c>
      <c r="E24" s="9" t="n">
        <v>12116.84</v>
      </c>
    </row>
    <row r="25" customFormat="false" ht="15" hidden="false" customHeight="false" outlineLevel="0" collapsed="false">
      <c r="B25" s="7" t="s">
        <v>121</v>
      </c>
      <c r="C25" s="9" t="n">
        <v>17293.33</v>
      </c>
      <c r="E25" s="9" t="n">
        <v>17293.33</v>
      </c>
    </row>
    <row r="26" customFormat="false" ht="15" hidden="false" customHeight="false" outlineLevel="0" collapsed="false">
      <c r="B26" s="7" t="s">
        <v>122</v>
      </c>
      <c r="C26" s="9" t="n">
        <v>16285.45</v>
      </c>
      <c r="E26" s="9" t="n">
        <v>16285.45</v>
      </c>
    </row>
    <row r="27" customFormat="false" ht="15" hidden="false" customHeight="false" outlineLevel="0" collapsed="false">
      <c r="B27" s="7" t="s">
        <v>123</v>
      </c>
      <c r="C27" s="9" t="n">
        <v>15033</v>
      </c>
      <c r="E27" s="9" t="n">
        <v>15033</v>
      </c>
    </row>
    <row r="28" customFormat="false" ht="15" hidden="false" customHeight="false" outlineLevel="0" collapsed="false">
      <c r="B28" s="7" t="s">
        <v>124</v>
      </c>
      <c r="C28" s="9" t="n">
        <v>958.91</v>
      </c>
      <c r="E28" s="9" t="n">
        <v>958.91</v>
      </c>
    </row>
    <row r="29" customFormat="false" ht="15" hidden="false" customHeight="false" outlineLevel="0" collapsed="false">
      <c r="B29" s="7" t="s">
        <v>125</v>
      </c>
      <c r="C29" s="9" t="n">
        <v>26187.51</v>
      </c>
      <c r="E29" s="9" t="n">
        <v>26187.51</v>
      </c>
    </row>
    <row r="30" customFormat="false" ht="15" hidden="false" customHeight="false" outlineLevel="0" collapsed="false">
      <c r="B30" s="7" t="s">
        <v>126</v>
      </c>
      <c r="C30" s="9" t="n">
        <v>11772.85</v>
      </c>
      <c r="E30" s="9" t="n">
        <v>11772.85</v>
      </c>
    </row>
    <row r="31" customFormat="false" ht="15" hidden="false" customHeight="false" outlineLevel="0" collapsed="false">
      <c r="B31" s="7" t="s">
        <v>127</v>
      </c>
      <c r="C31" s="9" t="n">
        <v>6994.46</v>
      </c>
      <c r="E31" s="9" t="n">
        <v>6994.46</v>
      </c>
    </row>
    <row r="32" customFormat="false" ht="15" hidden="false" customHeight="false" outlineLevel="0" collapsed="false">
      <c r="B32" s="7" t="s">
        <v>128</v>
      </c>
      <c r="C32" s="9" t="n">
        <v>7953.64</v>
      </c>
      <c r="E32" s="9" t="n">
        <v>7953.64</v>
      </c>
    </row>
    <row r="33" customFormat="false" ht="15" hidden="false" customHeight="false" outlineLevel="0" collapsed="false">
      <c r="B33" s="7" t="s">
        <v>129</v>
      </c>
      <c r="C33" s="9" t="n">
        <v>19168.95</v>
      </c>
      <c r="E33" s="9" t="n">
        <v>19168.95</v>
      </c>
    </row>
    <row r="34" customFormat="false" ht="15" hidden="false" customHeight="false" outlineLevel="0" collapsed="false">
      <c r="B34" s="7" t="s">
        <v>130</v>
      </c>
      <c r="C34" s="9" t="n">
        <v>7364.73</v>
      </c>
      <c r="E34" s="9" t="n">
        <v>7364.73</v>
      </c>
    </row>
    <row r="35" customFormat="false" ht="15" hidden="false" customHeight="false" outlineLevel="0" collapsed="false">
      <c r="B35" s="7" t="s">
        <v>131</v>
      </c>
      <c r="C35" s="9" t="n">
        <v>1137.92</v>
      </c>
      <c r="E35" s="9" t="n">
        <v>1137.92</v>
      </c>
    </row>
    <row r="36" customFormat="false" ht="15" hidden="false" customHeight="false" outlineLevel="0" collapsed="false">
      <c r="B36" s="7" t="s">
        <v>132</v>
      </c>
      <c r="C36" s="9" t="n">
        <v>28878.51</v>
      </c>
      <c r="E36" s="9" t="n">
        <v>28878.51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234391.03</v>
      </c>
      <c r="D40" s="19" t="n">
        <f aca="false">SUM(D10:D39)</f>
        <v>48570.52</v>
      </c>
      <c r="E40" s="19" t="n">
        <f aca="false">SUM(E10:E39)</f>
        <v>185820.51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662.06</v>
      </c>
      <c r="D43" s="9" t="n">
        <v>137.19</v>
      </c>
      <c r="E43" s="9" t="n">
        <v>524.87</v>
      </c>
    </row>
    <row r="44" customFormat="false" ht="15" hidden="false" customHeight="false" outlineLevel="0" collapsed="false">
      <c r="B44" s="7" t="s">
        <v>71</v>
      </c>
      <c r="C44" s="9" t="n">
        <v>197009.25</v>
      </c>
      <c r="D44" s="9" t="n">
        <v>40824.27</v>
      </c>
      <c r="E44" s="9" t="n">
        <v>156184.98</v>
      </c>
    </row>
    <row r="45" customFormat="false" ht="15" hidden="false" customHeight="false" outlineLevel="0" collapsed="false">
      <c r="B45" s="7" t="s">
        <v>72</v>
      </c>
      <c r="C45" s="9" t="n">
        <v>12239.91</v>
      </c>
      <c r="D45" s="9" t="n">
        <v>2536.35</v>
      </c>
      <c r="E45" s="9" t="n">
        <v>9703.56</v>
      </c>
    </row>
    <row r="46" customFormat="false" ht="15" hidden="false" customHeight="false" outlineLevel="0" collapsed="false">
      <c r="B46" s="7" t="s">
        <v>73</v>
      </c>
      <c r="C46" s="9" t="n">
        <v>24479.81</v>
      </c>
      <c r="D46" s="9" t="n">
        <v>5072.71</v>
      </c>
      <c r="E46" s="9" t="n">
        <v>19407.1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234391.03</v>
      </c>
      <c r="D47" s="8" t="n">
        <f aca="false">SUM(D43:D46)</f>
        <v>48570.52</v>
      </c>
      <c r="E47" s="8" t="n">
        <f aca="false">SUM(E43:E46)</f>
        <v>185820.51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662.06</v>
      </c>
      <c r="D52" s="22" t="n">
        <v>0</v>
      </c>
      <c r="E52" s="23" t="n">
        <v>40.09</v>
      </c>
      <c r="F52" s="23" t="n">
        <v>16.52</v>
      </c>
      <c r="G52" s="23" t="n">
        <v>56.61</v>
      </c>
      <c r="H52" s="23" t="n">
        <v>605.45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197009.25</v>
      </c>
      <c r="D53" s="7" t="n">
        <v>0</v>
      </c>
      <c r="E53" s="9" t="n">
        <v>42398.42</v>
      </c>
      <c r="F53" s="9" t="n">
        <v>4632.55</v>
      </c>
      <c r="G53" s="9" t="n">
        <v>47030.97</v>
      </c>
      <c r="H53" s="9" t="n">
        <v>149978.28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12239.91</v>
      </c>
      <c r="D54" s="22" t="n">
        <v>0</v>
      </c>
      <c r="E54" s="23" t="n">
        <v>11423.94</v>
      </c>
      <c r="F54" s="22" t="n">
        <v>0</v>
      </c>
      <c r="G54" s="23" t="n">
        <v>11423.94</v>
      </c>
      <c r="H54" s="23" t="n">
        <v>815.97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24479.81</v>
      </c>
      <c r="D55" s="7" t="n">
        <v>0</v>
      </c>
      <c r="E55" s="9" t="n">
        <v>11779.87</v>
      </c>
      <c r="F55" s="9" t="n">
        <v>1444.31</v>
      </c>
      <c r="G55" s="9" t="n">
        <v>13224.18</v>
      </c>
      <c r="H55" s="9" t="n">
        <v>11255.63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234391.03</v>
      </c>
      <c r="D56" s="24" t="n">
        <f aca="false">SUM(D52:D55)</f>
        <v>0</v>
      </c>
      <c r="E56" s="24" t="n">
        <f aca="false">SUM(E52:E55)</f>
        <v>65642.32</v>
      </c>
      <c r="F56" s="24" t="n">
        <f aca="false">SUM(F52:F55)</f>
        <v>6093.38</v>
      </c>
      <c r="G56" s="24" t="n">
        <f aca="false">SUM(G52:G55)</f>
        <v>71735.7</v>
      </c>
      <c r="H56" s="24" t="n">
        <f aca="false">SUM(H52:H55)</f>
        <v>162655.33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137.19</v>
      </c>
      <c r="D60" s="23" t="n">
        <v>137.19</v>
      </c>
      <c r="E60" s="23" t="n">
        <v>137.19</v>
      </c>
      <c r="F60" s="22" t="n">
        <v>0</v>
      </c>
      <c r="G60" s="23" t="n">
        <v>137.19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524.87</v>
      </c>
      <c r="D61" s="7" t="n">
        <v>0</v>
      </c>
      <c r="E61" s="9" t="n">
        <v>40.1</v>
      </c>
      <c r="F61" s="9" t="n">
        <v>17.5</v>
      </c>
      <c r="G61" s="9" t="n">
        <v>57.6</v>
      </c>
      <c r="H61" s="9" t="n">
        <v>467.27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40824.27</v>
      </c>
      <c r="D62" s="22" t="n">
        <v>0</v>
      </c>
      <c r="E62" s="23" t="n">
        <v>40824.27</v>
      </c>
      <c r="F62" s="22" t="n">
        <v>0</v>
      </c>
      <c r="G62" s="23" t="n">
        <v>40824.27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156184.98</v>
      </c>
      <c r="D63" s="7" t="n">
        <v>0</v>
      </c>
      <c r="E63" s="9" t="n">
        <v>34490.87</v>
      </c>
      <c r="F63" s="9" t="n">
        <v>5206.17</v>
      </c>
      <c r="G63" s="9" t="n">
        <v>39697.04</v>
      </c>
      <c r="H63" s="9" t="n">
        <v>116487.94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2536.35</v>
      </c>
      <c r="D64" s="22" t="n">
        <v>0</v>
      </c>
      <c r="E64" s="23" t="n">
        <v>2536.35</v>
      </c>
      <c r="F64" s="22" t="n">
        <v>0</v>
      </c>
      <c r="G64" s="23" t="n">
        <v>2536.35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9703.56</v>
      </c>
      <c r="D65" s="7" t="n">
        <v>0</v>
      </c>
      <c r="E65" s="9" t="n">
        <v>2142.86</v>
      </c>
      <c r="F65" s="9" t="n">
        <v>323.45</v>
      </c>
      <c r="G65" s="9" t="n">
        <v>2466.31</v>
      </c>
      <c r="H65" s="9" t="n">
        <v>7237.25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5072.71</v>
      </c>
      <c r="D66" s="22" t="n">
        <v>0</v>
      </c>
      <c r="E66" s="23" t="n">
        <v>5072.71</v>
      </c>
      <c r="F66" s="22" t="n">
        <v>0</v>
      </c>
      <c r="G66" s="23" t="n">
        <v>5072.71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19407.1</v>
      </c>
      <c r="D67" s="7" t="n">
        <v>0</v>
      </c>
      <c r="E67" s="9" t="n">
        <v>4285.71</v>
      </c>
      <c r="F67" s="9" t="n">
        <v>646.9</v>
      </c>
      <c r="G67" s="9" t="n">
        <v>4932.61</v>
      </c>
      <c r="H67" s="9" t="n">
        <v>14474.49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234391.03</v>
      </c>
      <c r="D68" s="24" t="n">
        <f aca="false">SUM(D60:D67)</f>
        <v>137.19</v>
      </c>
      <c r="E68" s="24" t="n">
        <f aca="false">SUM(E60:E67)</f>
        <v>89530.06</v>
      </c>
      <c r="F68" s="24" t="n">
        <f aca="false">SUM(F60:F67)</f>
        <v>6194.02</v>
      </c>
      <c r="G68" s="24" t="n">
        <f aca="false">SUM(G60:G67)</f>
        <v>95724.08</v>
      </c>
      <c r="H68" s="24" t="n">
        <f aca="false">SUM(H60:H67)</f>
        <v>138666.95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71735.7</v>
      </c>
    </row>
    <row r="72" customFormat="false" ht="15" hidden="false" customHeight="false" outlineLevel="0" collapsed="false">
      <c r="B72" s="7" t="s">
        <v>102</v>
      </c>
      <c r="C72" s="25" t="n">
        <f aca="false">G68</f>
        <v>95724.08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-23988.38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143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144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11319.08</v>
      </c>
      <c r="D11" s="9" t="n">
        <v>11319.08</v>
      </c>
    </row>
    <row r="12" customFormat="false" ht="15" hidden="false" customHeight="false" outlineLevel="0" collapsed="false">
      <c r="B12" s="7" t="s">
        <v>108</v>
      </c>
      <c r="C12" s="9" t="n">
        <v>4407.51</v>
      </c>
      <c r="D12" s="9" t="n">
        <v>4407.51</v>
      </c>
    </row>
    <row r="13" customFormat="false" ht="15" hidden="false" customHeight="false" outlineLevel="0" collapsed="false">
      <c r="B13" s="7" t="s">
        <v>109</v>
      </c>
      <c r="C13" s="9" t="n">
        <v>17858.88</v>
      </c>
      <c r="D13" s="9" t="n">
        <v>17858.88</v>
      </c>
    </row>
    <row r="14" customFormat="false" ht="15" hidden="false" customHeight="false" outlineLevel="0" collapsed="false">
      <c r="B14" s="7" t="s">
        <v>110</v>
      </c>
      <c r="C14" s="9" t="n">
        <v>1586.91</v>
      </c>
      <c r="D14" s="9" t="n">
        <v>1586.91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1548.16</v>
      </c>
      <c r="D17" s="9" t="n">
        <v>1548.16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7270.82</v>
      </c>
      <c r="E23" s="9" t="n">
        <v>7270.82</v>
      </c>
    </row>
    <row r="24" customFormat="false" ht="15" hidden="false" customHeight="false" outlineLevel="0" collapsed="false">
      <c r="B24" s="7" t="s">
        <v>120</v>
      </c>
      <c r="C24" s="9" t="n">
        <v>12116.84</v>
      </c>
      <c r="E24" s="9" t="n">
        <v>12116.84</v>
      </c>
    </row>
    <row r="25" customFormat="false" ht="15" hidden="false" customHeight="false" outlineLevel="0" collapsed="false">
      <c r="B25" s="7" t="s">
        <v>121</v>
      </c>
      <c r="C25" s="9" t="n">
        <v>17293.33</v>
      </c>
      <c r="E25" s="9" t="n">
        <v>17293.33</v>
      </c>
    </row>
    <row r="26" customFormat="false" ht="15" hidden="false" customHeight="false" outlineLevel="0" collapsed="false">
      <c r="B26" s="7" t="s">
        <v>122</v>
      </c>
      <c r="C26" s="9" t="n">
        <v>16285.45</v>
      </c>
      <c r="E26" s="9" t="n">
        <v>16285.45</v>
      </c>
    </row>
    <row r="27" customFormat="false" ht="15" hidden="false" customHeight="false" outlineLevel="0" collapsed="false">
      <c r="B27" s="7" t="s">
        <v>123</v>
      </c>
      <c r="C27" s="9" t="n">
        <v>15033</v>
      </c>
      <c r="E27" s="9" t="n">
        <v>15033</v>
      </c>
    </row>
    <row r="28" customFormat="false" ht="15" hidden="false" customHeight="false" outlineLevel="0" collapsed="false">
      <c r="B28" s="7" t="s">
        <v>124</v>
      </c>
      <c r="C28" s="9" t="n">
        <v>958.91</v>
      </c>
      <c r="E28" s="9" t="n">
        <v>958.91</v>
      </c>
    </row>
    <row r="29" customFormat="false" ht="15" hidden="false" customHeight="false" outlineLevel="0" collapsed="false">
      <c r="B29" s="7" t="s">
        <v>125</v>
      </c>
      <c r="C29" s="9" t="n">
        <v>26187.51</v>
      </c>
      <c r="E29" s="9" t="n">
        <v>26187.51</v>
      </c>
    </row>
    <row r="30" customFormat="false" ht="15" hidden="false" customHeight="false" outlineLevel="0" collapsed="false">
      <c r="B30" s="7" t="s">
        <v>126</v>
      </c>
      <c r="C30" s="9" t="n">
        <v>11772.85</v>
      </c>
      <c r="E30" s="9" t="n">
        <v>11772.85</v>
      </c>
    </row>
    <row r="31" customFormat="false" ht="15" hidden="false" customHeight="false" outlineLevel="0" collapsed="false">
      <c r="B31" s="7" t="s">
        <v>127</v>
      </c>
      <c r="C31" s="9" t="n">
        <v>6994.46</v>
      </c>
      <c r="E31" s="9" t="n">
        <v>6994.46</v>
      </c>
    </row>
    <row r="32" customFormat="false" ht="15" hidden="false" customHeight="false" outlineLevel="0" collapsed="false">
      <c r="B32" s="7" t="s">
        <v>128</v>
      </c>
      <c r="C32" s="9" t="n">
        <v>7953.64</v>
      </c>
      <c r="E32" s="9" t="n">
        <v>7953.64</v>
      </c>
    </row>
    <row r="33" customFormat="false" ht="15" hidden="false" customHeight="false" outlineLevel="0" collapsed="false">
      <c r="B33" s="7" t="s">
        <v>129</v>
      </c>
      <c r="C33" s="9" t="n">
        <v>19168.95</v>
      </c>
      <c r="E33" s="9" t="n">
        <v>19168.95</v>
      </c>
    </row>
    <row r="34" customFormat="false" ht="15" hidden="false" customHeight="false" outlineLevel="0" collapsed="false">
      <c r="B34" s="7" t="s">
        <v>130</v>
      </c>
      <c r="C34" s="9" t="n">
        <v>7364.73</v>
      </c>
      <c r="E34" s="9" t="n">
        <v>7364.73</v>
      </c>
    </row>
    <row r="35" customFormat="false" ht="15" hidden="false" customHeight="false" outlineLevel="0" collapsed="false">
      <c r="B35" s="7" t="s">
        <v>131</v>
      </c>
      <c r="C35" s="9" t="n">
        <v>1137.92</v>
      </c>
      <c r="E35" s="9" t="n">
        <v>1137.92</v>
      </c>
    </row>
    <row r="36" customFormat="false" ht="15" hidden="false" customHeight="false" outlineLevel="0" collapsed="false">
      <c r="B36" s="7" t="s">
        <v>132</v>
      </c>
      <c r="C36" s="9" t="n">
        <v>28878.51</v>
      </c>
      <c r="E36" s="9" t="n">
        <v>28878.51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234391.03</v>
      </c>
      <c r="D40" s="19" t="n">
        <f aca="false">SUM(D10:D39)</f>
        <v>48570.52</v>
      </c>
      <c r="E40" s="19" t="n">
        <f aca="false">SUM(E10:E39)</f>
        <v>185820.51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662.06</v>
      </c>
      <c r="D43" s="9" t="n">
        <v>137.19</v>
      </c>
      <c r="E43" s="9" t="n">
        <v>524.87</v>
      </c>
    </row>
    <row r="44" customFormat="false" ht="15" hidden="false" customHeight="false" outlineLevel="0" collapsed="false">
      <c r="B44" s="7" t="s">
        <v>71</v>
      </c>
      <c r="C44" s="9" t="n">
        <v>197009.25</v>
      </c>
      <c r="D44" s="9" t="n">
        <v>40824.27</v>
      </c>
      <c r="E44" s="9" t="n">
        <v>156184.98</v>
      </c>
    </row>
    <row r="45" customFormat="false" ht="15" hidden="false" customHeight="false" outlineLevel="0" collapsed="false">
      <c r="B45" s="7" t="s">
        <v>72</v>
      </c>
      <c r="C45" s="9" t="n">
        <v>12239.91</v>
      </c>
      <c r="D45" s="9" t="n">
        <v>2536.35</v>
      </c>
      <c r="E45" s="9" t="n">
        <v>9703.56</v>
      </c>
    </row>
    <row r="46" customFormat="false" ht="15" hidden="false" customHeight="false" outlineLevel="0" collapsed="false">
      <c r="B46" s="7" t="s">
        <v>73</v>
      </c>
      <c r="C46" s="9" t="n">
        <v>24479.81</v>
      </c>
      <c r="D46" s="9" t="n">
        <v>5072.71</v>
      </c>
      <c r="E46" s="9" t="n">
        <v>19407.1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234391.03</v>
      </c>
      <c r="D47" s="8" t="n">
        <f aca="false">SUM(D43:D46)</f>
        <v>48570.52</v>
      </c>
      <c r="E47" s="8" t="n">
        <f aca="false">SUM(E43:E46)</f>
        <v>185820.51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662.06</v>
      </c>
      <c r="D52" s="22" t="n">
        <v>0</v>
      </c>
      <c r="E52" s="23" t="n">
        <v>40.09</v>
      </c>
      <c r="F52" s="23" t="n">
        <v>16.52</v>
      </c>
      <c r="G52" s="23" t="n">
        <v>56.61</v>
      </c>
      <c r="H52" s="23" t="n">
        <v>605.45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197009.25</v>
      </c>
      <c r="D53" s="7" t="n">
        <v>0</v>
      </c>
      <c r="E53" s="9" t="n">
        <v>42398.42</v>
      </c>
      <c r="F53" s="9" t="n">
        <v>4632.55</v>
      </c>
      <c r="G53" s="9" t="n">
        <v>47030.97</v>
      </c>
      <c r="H53" s="9" t="n">
        <v>149978.28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12239.91</v>
      </c>
      <c r="D54" s="22" t="n">
        <v>0</v>
      </c>
      <c r="E54" s="23" t="n">
        <v>11423.94</v>
      </c>
      <c r="F54" s="22" t="n">
        <v>0</v>
      </c>
      <c r="G54" s="23" t="n">
        <v>11423.94</v>
      </c>
      <c r="H54" s="23" t="n">
        <v>815.97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24479.81</v>
      </c>
      <c r="D55" s="7" t="n">
        <v>0</v>
      </c>
      <c r="E55" s="9" t="n">
        <v>11779.87</v>
      </c>
      <c r="F55" s="9" t="n">
        <v>1444.31</v>
      </c>
      <c r="G55" s="9" t="n">
        <v>13224.18</v>
      </c>
      <c r="H55" s="9" t="n">
        <v>11255.63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234391.03</v>
      </c>
      <c r="D56" s="24" t="n">
        <f aca="false">SUM(D52:D55)</f>
        <v>0</v>
      </c>
      <c r="E56" s="24" t="n">
        <f aca="false">SUM(E52:E55)</f>
        <v>65642.32</v>
      </c>
      <c r="F56" s="24" t="n">
        <f aca="false">SUM(F52:F55)</f>
        <v>6093.38</v>
      </c>
      <c r="G56" s="24" t="n">
        <f aca="false">SUM(G52:G55)</f>
        <v>71735.7</v>
      </c>
      <c r="H56" s="24" t="n">
        <f aca="false">SUM(H52:H55)</f>
        <v>162655.33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137.19</v>
      </c>
      <c r="D60" s="23" t="n">
        <v>137.19</v>
      </c>
      <c r="E60" s="23" t="n">
        <v>137.19</v>
      </c>
      <c r="F60" s="22" t="n">
        <v>0</v>
      </c>
      <c r="G60" s="23" t="n">
        <v>137.19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524.87</v>
      </c>
      <c r="D61" s="7" t="n">
        <v>0</v>
      </c>
      <c r="E61" s="9" t="n">
        <v>40.1</v>
      </c>
      <c r="F61" s="9" t="n">
        <v>17.5</v>
      </c>
      <c r="G61" s="9" t="n">
        <v>57.6</v>
      </c>
      <c r="H61" s="9" t="n">
        <v>467.27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40824.27</v>
      </c>
      <c r="D62" s="22" t="n">
        <v>0</v>
      </c>
      <c r="E62" s="23" t="n">
        <v>40824.27</v>
      </c>
      <c r="F62" s="22" t="n">
        <v>0</v>
      </c>
      <c r="G62" s="23" t="n">
        <v>40824.27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156184.98</v>
      </c>
      <c r="D63" s="7" t="n">
        <v>0</v>
      </c>
      <c r="E63" s="9" t="n">
        <v>34490.87</v>
      </c>
      <c r="F63" s="9" t="n">
        <v>5206.17</v>
      </c>
      <c r="G63" s="9" t="n">
        <v>39697.04</v>
      </c>
      <c r="H63" s="9" t="n">
        <v>116487.94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2536.35</v>
      </c>
      <c r="D64" s="22" t="n">
        <v>0</v>
      </c>
      <c r="E64" s="23" t="n">
        <v>2536.35</v>
      </c>
      <c r="F64" s="22" t="n">
        <v>0</v>
      </c>
      <c r="G64" s="23" t="n">
        <v>2536.35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9703.56</v>
      </c>
      <c r="D65" s="7" t="n">
        <v>0</v>
      </c>
      <c r="E65" s="9" t="n">
        <v>2142.86</v>
      </c>
      <c r="F65" s="9" t="n">
        <v>323.45</v>
      </c>
      <c r="G65" s="9" t="n">
        <v>2466.31</v>
      </c>
      <c r="H65" s="9" t="n">
        <v>7237.25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5072.71</v>
      </c>
      <c r="D66" s="22" t="n">
        <v>0</v>
      </c>
      <c r="E66" s="23" t="n">
        <v>5072.71</v>
      </c>
      <c r="F66" s="22" t="n">
        <v>0</v>
      </c>
      <c r="G66" s="23" t="n">
        <v>5072.71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19407.1</v>
      </c>
      <c r="D67" s="7" t="n">
        <v>0</v>
      </c>
      <c r="E67" s="9" t="n">
        <v>4285.71</v>
      </c>
      <c r="F67" s="9" t="n">
        <v>646.9</v>
      </c>
      <c r="G67" s="9" t="n">
        <v>4932.61</v>
      </c>
      <c r="H67" s="9" t="n">
        <v>14474.49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234391.03</v>
      </c>
      <c r="D68" s="24" t="n">
        <f aca="false">SUM(D60:D67)</f>
        <v>137.19</v>
      </c>
      <c r="E68" s="24" t="n">
        <f aca="false">SUM(E60:E67)</f>
        <v>89530.06</v>
      </c>
      <c r="F68" s="24" t="n">
        <f aca="false">SUM(F60:F67)</f>
        <v>6194.02</v>
      </c>
      <c r="G68" s="24" t="n">
        <f aca="false">SUM(G60:G67)</f>
        <v>95724.08</v>
      </c>
      <c r="H68" s="24" t="n">
        <f aca="false">SUM(H60:H67)</f>
        <v>138666.95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71735.7</v>
      </c>
    </row>
    <row r="72" customFormat="false" ht="15" hidden="false" customHeight="false" outlineLevel="0" collapsed="false">
      <c r="B72" s="7" t="s">
        <v>102</v>
      </c>
      <c r="C72" s="25" t="n">
        <f aca="false">G68</f>
        <v>95724.08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-23988.38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145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146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520.44</v>
      </c>
      <c r="D11" s="9" t="n">
        <v>520.44</v>
      </c>
    </row>
    <row r="12" customFormat="false" ht="15" hidden="false" customHeight="false" outlineLevel="0" collapsed="false">
      <c r="B12" s="7" t="s">
        <v>108</v>
      </c>
      <c r="C12" s="9" t="n">
        <v>1317.26</v>
      </c>
      <c r="D12" s="9" t="n">
        <v>1317.26</v>
      </c>
    </row>
    <row r="13" customFormat="false" ht="15" hidden="false" customHeight="false" outlineLevel="0" collapsed="false">
      <c r="B13" s="7" t="s">
        <v>147</v>
      </c>
      <c r="C13" s="9" t="n">
        <v>3476.89</v>
      </c>
      <c r="D13" s="9" t="n">
        <v>3476.89</v>
      </c>
    </row>
    <row r="14" customFormat="false" ht="15" hidden="false" customHeight="false" outlineLevel="0" collapsed="false">
      <c r="B14" s="7" t="s">
        <v>109</v>
      </c>
      <c r="C14" s="9" t="n">
        <v>1033.5</v>
      </c>
      <c r="D14" s="9" t="n">
        <v>1033.5</v>
      </c>
    </row>
    <row r="15" customFormat="false" ht="15" hidden="false" customHeight="false" outlineLevel="0" collapsed="false">
      <c r="B15" s="7" t="s">
        <v>148</v>
      </c>
      <c r="C15" s="9" t="n">
        <v>80.4</v>
      </c>
      <c r="D15" s="9" t="n">
        <v>80.4</v>
      </c>
    </row>
    <row r="16" customFormat="false" ht="15" hidden="false" customHeight="false" outlineLevel="0" collapsed="false">
      <c r="B16" s="7" t="s">
        <v>110</v>
      </c>
      <c r="C16" s="9" t="n">
        <v>417.88</v>
      </c>
      <c r="D16" s="9" t="n">
        <v>417.88</v>
      </c>
    </row>
    <row r="17" customFormat="false" ht="15" hidden="false" customHeight="false" outlineLevel="0" collapsed="false">
      <c r="B17" s="7" t="s">
        <v>149</v>
      </c>
      <c r="C17" s="9" t="n">
        <v>318.53</v>
      </c>
      <c r="D17" s="9" t="n">
        <v>318.53</v>
      </c>
    </row>
    <row r="18" customFormat="false" ht="15" hidden="false" customHeight="false" outlineLevel="0" collapsed="false">
      <c r="B18" s="7" t="s">
        <v>112</v>
      </c>
      <c r="C18" s="9" t="n">
        <v>2056.7</v>
      </c>
      <c r="D18" s="9" t="n">
        <v>2056.7</v>
      </c>
    </row>
    <row r="19" customFormat="false" ht="15" hidden="false" customHeight="false" outlineLevel="0" collapsed="false">
      <c r="B19" s="7" t="s">
        <v>113</v>
      </c>
      <c r="C19" s="9" t="n">
        <v>2255.5</v>
      </c>
      <c r="D19" s="9" t="n">
        <v>2255.5</v>
      </c>
    </row>
    <row r="20" customFormat="false" ht="15" hidden="false" customHeight="false" outlineLevel="0" collapsed="false">
      <c r="B20" s="7" t="s">
        <v>150</v>
      </c>
      <c r="C20" s="9" t="n">
        <v>1908.2</v>
      </c>
      <c r="D20" s="9" t="n">
        <v>1908.2</v>
      </c>
    </row>
    <row r="21" customFormat="false" ht="15" hidden="false" customHeight="false" outlineLevel="0" collapsed="false">
      <c r="B21" s="7" t="s">
        <v>115</v>
      </c>
      <c r="C21" s="9" t="n">
        <v>264.96</v>
      </c>
      <c r="D21" s="9" t="n">
        <v>264.96</v>
      </c>
    </row>
    <row r="22" customFormat="false" ht="15" hidden="false" customHeight="false" outlineLevel="0" collapsed="false">
      <c r="B22" s="7" t="s">
        <v>151</v>
      </c>
      <c r="C22" s="9" t="n">
        <v>104.91</v>
      </c>
      <c r="D22" s="9" t="n">
        <v>104.91</v>
      </c>
    </row>
    <row r="23" customFormat="false" ht="15" hidden="false" customHeight="false" outlineLevel="0" collapsed="false">
      <c r="B23" s="7" t="s">
        <v>64</v>
      </c>
      <c r="C23" s="9" t="n">
        <v>31.84</v>
      </c>
      <c r="D23" s="9" t="n">
        <v>31.84</v>
      </c>
    </row>
    <row r="24" customFormat="false" ht="15" hidden="false" customHeight="false" outlineLevel="0" collapsed="false">
      <c r="B24" s="7" t="s">
        <v>117</v>
      </c>
      <c r="C24" s="9" t="n">
        <v>5131.77</v>
      </c>
      <c r="D24" s="9" t="n">
        <v>5131.77</v>
      </c>
    </row>
    <row r="25" customFormat="false" ht="15" hidden="false" customHeight="false" outlineLevel="0" collapsed="false">
      <c r="B25" s="17" t="s">
        <v>118</v>
      </c>
    </row>
    <row r="26" customFormat="false" ht="15" hidden="false" customHeight="false" outlineLevel="0" collapsed="false">
      <c r="B26" s="7" t="s">
        <v>119</v>
      </c>
      <c r="C26" s="9" t="n">
        <v>5390.21</v>
      </c>
      <c r="E26" s="9" t="n">
        <v>5390.21</v>
      </c>
    </row>
    <row r="27" customFormat="false" ht="15" hidden="false" customHeight="false" outlineLevel="0" collapsed="false">
      <c r="B27" s="7" t="s">
        <v>120</v>
      </c>
      <c r="C27" s="9" t="n">
        <v>9199.73</v>
      </c>
      <c r="E27" s="9" t="n">
        <v>9199.73</v>
      </c>
    </row>
    <row r="28" customFormat="false" ht="15" hidden="false" customHeight="false" outlineLevel="0" collapsed="false">
      <c r="B28" s="7" t="s">
        <v>121</v>
      </c>
      <c r="C28" s="9" t="n">
        <v>6425.49</v>
      </c>
      <c r="E28" s="9" t="n">
        <v>6425.49</v>
      </c>
    </row>
    <row r="29" customFormat="false" ht="15" hidden="false" customHeight="false" outlineLevel="0" collapsed="false">
      <c r="B29" s="7" t="s">
        <v>122</v>
      </c>
      <c r="C29" s="9" t="n">
        <v>5288.25</v>
      </c>
      <c r="E29" s="9" t="n">
        <v>5288.25</v>
      </c>
    </row>
    <row r="30" customFormat="false" ht="15" hidden="false" customHeight="false" outlineLevel="0" collapsed="false">
      <c r="B30" s="7" t="s">
        <v>123</v>
      </c>
      <c r="C30" s="9" t="n">
        <v>5862.54</v>
      </c>
      <c r="E30" s="9" t="n">
        <v>5862.54</v>
      </c>
    </row>
    <row r="31" customFormat="false" ht="15" hidden="false" customHeight="false" outlineLevel="0" collapsed="false">
      <c r="B31" s="7" t="s">
        <v>124</v>
      </c>
      <c r="C31" s="9" t="n">
        <v>31.08</v>
      </c>
      <c r="E31" s="9" t="n">
        <v>31.08</v>
      </c>
    </row>
    <row r="32" customFormat="false" ht="15" hidden="false" customHeight="false" outlineLevel="0" collapsed="false">
      <c r="B32" s="7" t="s">
        <v>125</v>
      </c>
      <c r="C32" s="9" t="n">
        <v>7191.13</v>
      </c>
      <c r="E32" s="9" t="n">
        <v>7191.13</v>
      </c>
    </row>
    <row r="33" customFormat="false" ht="15" hidden="false" customHeight="false" outlineLevel="0" collapsed="false">
      <c r="B33" s="7" t="s">
        <v>126</v>
      </c>
      <c r="C33" s="9" t="n">
        <v>3067.26</v>
      </c>
      <c r="E33" s="9" t="n">
        <v>3067.26</v>
      </c>
    </row>
    <row r="34" customFormat="false" ht="15" hidden="false" customHeight="false" outlineLevel="0" collapsed="false">
      <c r="B34" s="7" t="s">
        <v>127</v>
      </c>
      <c r="C34" s="9" t="n">
        <v>1771.93</v>
      </c>
      <c r="E34" s="9" t="n">
        <v>1771.93</v>
      </c>
    </row>
    <row r="35" customFormat="false" ht="15" hidden="false" customHeight="false" outlineLevel="0" collapsed="false">
      <c r="B35" s="7" t="s">
        <v>128</v>
      </c>
      <c r="C35" s="9" t="n">
        <v>3101.74</v>
      </c>
      <c r="E35" s="9" t="n">
        <v>3101.74</v>
      </c>
    </row>
    <row r="36" customFormat="false" ht="15" hidden="false" customHeight="false" outlineLevel="0" collapsed="false">
      <c r="B36" s="7" t="s">
        <v>129</v>
      </c>
      <c r="C36" s="9" t="n">
        <v>10409.1</v>
      </c>
      <c r="E36" s="9" t="n">
        <v>10409.1</v>
      </c>
    </row>
    <row r="37" customFormat="false" ht="15" hidden="false" customHeight="false" outlineLevel="0" collapsed="false">
      <c r="B37" s="7" t="s">
        <v>130</v>
      </c>
      <c r="C37" s="9" t="n">
        <v>3502.1</v>
      </c>
      <c r="E37" s="9" t="n">
        <v>3502.1</v>
      </c>
    </row>
    <row r="38" customFormat="false" ht="15" hidden="false" customHeight="false" outlineLevel="0" collapsed="false">
      <c r="B38" s="7" t="s">
        <v>131</v>
      </c>
      <c r="C38" s="9" t="n">
        <v>499.77</v>
      </c>
      <c r="E38" s="9" t="n">
        <v>499.77</v>
      </c>
    </row>
    <row r="39" customFormat="false" ht="15" hidden="false" customHeight="false" outlineLevel="0" collapsed="false">
      <c r="B39" s="7" t="s">
        <v>152</v>
      </c>
      <c r="C39" s="9" t="n">
        <v>320.27</v>
      </c>
      <c r="E39" s="9" t="n">
        <v>320.27</v>
      </c>
    </row>
    <row r="40" customFormat="false" ht="15" hidden="false" customHeight="false" outlineLevel="0" collapsed="false">
      <c r="B40" s="7" t="s">
        <v>132</v>
      </c>
      <c r="C40" s="9" t="n">
        <v>11487.8</v>
      </c>
      <c r="E40" s="9" t="n">
        <v>11487.8</v>
      </c>
    </row>
    <row r="41" customFormat="false" ht="15" hidden="false" customHeight="false" outlineLevel="0" collapsed="false">
      <c r="B41" s="7" t="s">
        <v>153</v>
      </c>
      <c r="C41" s="9" t="n">
        <v>260.1</v>
      </c>
      <c r="E41" s="9" t="n">
        <v>260.1</v>
      </c>
    </row>
    <row r="42" customFormat="false" ht="15" hidden="false" customHeight="false" outlineLevel="0" collapsed="false">
      <c r="B42" s="7" t="s">
        <v>134</v>
      </c>
      <c r="C42" s="9" t="n">
        <v>176</v>
      </c>
      <c r="E42" s="9" t="n">
        <v>176</v>
      </c>
    </row>
    <row r="43" customFormat="false" ht="15" hidden="false" customHeight="false" outlineLevel="0" collapsed="false">
      <c r="B43" s="18" t="s">
        <v>68</v>
      </c>
      <c r="C43" s="19" t="n">
        <f aca="false">SUM(C10:C42)</f>
        <v>92903.28</v>
      </c>
      <c r="D43" s="19" t="n">
        <f aca="false">SUM(D10:D42)</f>
        <v>18918.78</v>
      </c>
      <c r="E43" s="19" t="n">
        <f aca="false">SUM(E10:E42)</f>
        <v>73984.5</v>
      </c>
    </row>
    <row r="45" customFormat="false" ht="15" hidden="false" customHeight="false" outlineLevel="0" collapsed="false">
      <c r="B45" s="10" t="s">
        <v>69</v>
      </c>
    </row>
    <row r="46" customFormat="false" ht="15" hidden="false" customHeight="false" outlineLevel="0" collapsed="false">
      <c r="B46" s="7" t="s">
        <v>70</v>
      </c>
      <c r="C46" s="9" t="n">
        <v>262.41</v>
      </c>
      <c r="D46" s="9" t="n">
        <v>53.44</v>
      </c>
      <c r="E46" s="9" t="n">
        <v>208.97</v>
      </c>
    </row>
    <row r="47" customFormat="false" ht="15" hidden="false" customHeight="false" outlineLevel="0" collapsed="false">
      <c r="B47" s="7" t="s">
        <v>71</v>
      </c>
      <c r="C47" s="9" t="n">
        <v>78086.63</v>
      </c>
      <c r="D47" s="9" t="n">
        <v>15901.52</v>
      </c>
      <c r="E47" s="9" t="n">
        <v>62185.11</v>
      </c>
    </row>
    <row r="48" customFormat="false" ht="15" hidden="false" customHeight="false" outlineLevel="0" collapsed="false">
      <c r="B48" s="7" t="s">
        <v>72</v>
      </c>
      <c r="C48" s="9" t="n">
        <v>4851.41</v>
      </c>
      <c r="D48" s="9" t="n">
        <v>987.94</v>
      </c>
      <c r="E48" s="9" t="n">
        <v>3863.47</v>
      </c>
    </row>
    <row r="49" customFormat="false" ht="15" hidden="false" customHeight="false" outlineLevel="0" collapsed="false">
      <c r="B49" s="7" t="s">
        <v>73</v>
      </c>
      <c r="C49" s="9" t="n">
        <v>9702.83</v>
      </c>
      <c r="D49" s="9" t="n">
        <v>1975.88</v>
      </c>
      <c r="E49" s="9" t="n">
        <v>7726.95</v>
      </c>
    </row>
    <row r="50" customFormat="false" ht="15" hidden="false" customHeight="false" outlineLevel="0" collapsed="false">
      <c r="B50" s="10" t="s">
        <v>74</v>
      </c>
      <c r="C50" s="8" t="n">
        <f aca="false">SUM(C46:C49)</f>
        <v>92903.28</v>
      </c>
      <c r="D50" s="8" t="n">
        <f aca="false">SUM(D46:D49)</f>
        <v>18918.78</v>
      </c>
      <c r="E50" s="8" t="n">
        <f aca="false">SUM(E46:E49)</f>
        <v>73984.5</v>
      </c>
    </row>
    <row r="52" customFormat="false" ht="15" hidden="false" customHeight="false" outlineLevel="0" collapsed="false">
      <c r="A52" s="4" t="s">
        <v>75</v>
      </c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0" t="s">
        <v>37</v>
      </c>
      <c r="B53" s="21"/>
      <c r="C53" s="21"/>
      <c r="D53" s="21"/>
      <c r="E53" s="21"/>
      <c r="F53" s="21"/>
      <c r="G53" s="21"/>
      <c r="H53" s="21"/>
      <c r="I53" s="21"/>
      <c r="J53" s="21"/>
    </row>
    <row r="54" customFormat="false" ht="15" hidden="false" customHeight="false" outlineLevel="0" collapsed="false">
      <c r="A54" s="5" t="s">
        <v>76</v>
      </c>
      <c r="B54" s="5" t="s">
        <v>77</v>
      </c>
      <c r="C54" s="5" t="s">
        <v>78</v>
      </c>
      <c r="D54" s="5" t="s">
        <v>79</v>
      </c>
      <c r="E54" s="5" t="s">
        <v>80</v>
      </c>
      <c r="F54" s="5" t="s">
        <v>81</v>
      </c>
      <c r="G54" s="5" t="s">
        <v>82</v>
      </c>
      <c r="H54" s="5" t="s">
        <v>83</v>
      </c>
      <c r="I54" s="5" t="s">
        <v>84</v>
      </c>
      <c r="J54" s="5" t="s">
        <v>85</v>
      </c>
    </row>
    <row r="55" customFormat="false" ht="15" hidden="false" customHeight="false" outlineLevel="0" collapsed="false">
      <c r="A55" s="22" t="s">
        <v>86</v>
      </c>
      <c r="B55" s="22" t="s">
        <v>28</v>
      </c>
      <c r="C55" s="23" t="n">
        <v>262.41</v>
      </c>
      <c r="D55" s="22" t="n">
        <v>0</v>
      </c>
      <c r="E55" s="23" t="n">
        <v>15.89</v>
      </c>
      <c r="F55" s="23" t="n">
        <v>6.55</v>
      </c>
      <c r="G55" s="23" t="n">
        <v>22.44</v>
      </c>
      <c r="H55" s="23" t="n">
        <v>239.97</v>
      </c>
      <c r="I55" s="22" t="s">
        <v>87</v>
      </c>
      <c r="J55" s="22" t="n">
        <v>40</v>
      </c>
    </row>
    <row r="56" customFormat="false" ht="15" hidden="false" customHeight="false" outlineLevel="0" collapsed="false">
      <c r="A56" s="7" t="s">
        <v>88</v>
      </c>
      <c r="B56" s="7" t="s">
        <v>30</v>
      </c>
      <c r="C56" s="9" t="n">
        <v>78086.63</v>
      </c>
      <c r="D56" s="7" t="n">
        <v>0</v>
      </c>
      <c r="E56" s="9" t="n">
        <v>16805.05</v>
      </c>
      <c r="F56" s="9" t="n">
        <v>1836.16</v>
      </c>
      <c r="G56" s="9" t="n">
        <v>18641.21</v>
      </c>
      <c r="H56" s="9" t="n">
        <v>59445.42</v>
      </c>
      <c r="I56" s="7" t="s">
        <v>87</v>
      </c>
      <c r="J56" s="7" t="n">
        <v>40</v>
      </c>
    </row>
    <row r="57" customFormat="false" ht="15" hidden="false" customHeight="false" outlineLevel="0" collapsed="false">
      <c r="A57" s="22" t="s">
        <v>89</v>
      </c>
      <c r="B57" s="22" t="s">
        <v>30</v>
      </c>
      <c r="C57" s="23" t="n">
        <v>4851.41</v>
      </c>
      <c r="D57" s="22" t="n">
        <v>0</v>
      </c>
      <c r="E57" s="23" t="n">
        <v>4527.99</v>
      </c>
      <c r="F57" s="22" t="n">
        <v>0</v>
      </c>
      <c r="G57" s="23" t="n">
        <v>4527.99</v>
      </c>
      <c r="H57" s="23" t="n">
        <v>323.42</v>
      </c>
      <c r="I57" s="22" t="s">
        <v>87</v>
      </c>
      <c r="J57" s="22" t="n">
        <v>40</v>
      </c>
    </row>
    <row r="58" customFormat="false" ht="15" hidden="false" customHeight="false" outlineLevel="0" collapsed="false">
      <c r="A58" s="7" t="s">
        <v>90</v>
      </c>
      <c r="B58" s="7" t="s">
        <v>30</v>
      </c>
      <c r="C58" s="9" t="n">
        <v>9702.83</v>
      </c>
      <c r="D58" s="7" t="n">
        <v>0</v>
      </c>
      <c r="E58" s="9" t="n">
        <v>4669.07</v>
      </c>
      <c r="F58" s="9" t="n">
        <v>572.47</v>
      </c>
      <c r="G58" s="9" t="n">
        <v>5241.54</v>
      </c>
      <c r="H58" s="9" t="n">
        <v>4461.29</v>
      </c>
      <c r="I58" s="7" t="s">
        <v>87</v>
      </c>
      <c r="J58" s="7" t="n">
        <v>40</v>
      </c>
    </row>
    <row r="59" customFormat="false" ht="15" hidden="false" customHeight="false" outlineLevel="0" collapsed="false">
      <c r="A59" s="10" t="s">
        <v>26</v>
      </c>
      <c r="C59" s="24" t="n">
        <f aca="false">SUM(C55:C58)</f>
        <v>92903.28</v>
      </c>
      <c r="D59" s="24" t="n">
        <f aca="false">SUM(D55:D58)</f>
        <v>0</v>
      </c>
      <c r="E59" s="24" t="n">
        <f aca="false">SUM(E55:E58)</f>
        <v>26018</v>
      </c>
      <c r="F59" s="24" t="n">
        <f aca="false">SUM(F55:F58)</f>
        <v>2415.18</v>
      </c>
      <c r="G59" s="24" t="n">
        <f aca="false">SUM(G55:G58)</f>
        <v>28433.18</v>
      </c>
      <c r="H59" s="24" t="n">
        <f aca="false">SUM(H55:H58)</f>
        <v>64470.1</v>
      </c>
    </row>
    <row r="61" customFormat="false" ht="15" hidden="false" customHeight="false" outlineLevel="0" collapsed="false">
      <c r="A61" s="20" t="s">
        <v>91</v>
      </c>
      <c r="B61" s="21"/>
      <c r="C61" s="21"/>
      <c r="D61" s="21"/>
      <c r="E61" s="21"/>
      <c r="F61" s="21"/>
      <c r="G61" s="21"/>
      <c r="H61" s="21"/>
      <c r="I61" s="21"/>
      <c r="J61" s="21"/>
    </row>
    <row r="62" customFormat="false" ht="15" hidden="false" customHeight="false" outlineLevel="0" collapsed="false">
      <c r="A62" s="5" t="s">
        <v>76</v>
      </c>
      <c r="B62" s="5" t="s">
        <v>77</v>
      </c>
      <c r="C62" s="5" t="s">
        <v>78</v>
      </c>
      <c r="D62" s="5" t="s">
        <v>79</v>
      </c>
      <c r="E62" s="5" t="s">
        <v>80</v>
      </c>
      <c r="F62" s="5" t="s">
        <v>81</v>
      </c>
      <c r="G62" s="5" t="s">
        <v>82</v>
      </c>
      <c r="H62" s="5" t="s">
        <v>83</v>
      </c>
      <c r="I62" s="5" t="s">
        <v>84</v>
      </c>
      <c r="J62" s="5" t="s">
        <v>85</v>
      </c>
    </row>
    <row r="63" customFormat="false" ht="15" hidden="false" customHeight="false" outlineLevel="0" collapsed="false">
      <c r="A63" s="22" t="s">
        <v>136</v>
      </c>
      <c r="B63" s="22" t="s">
        <v>28</v>
      </c>
      <c r="C63" s="23" t="n">
        <v>53.44</v>
      </c>
      <c r="D63" s="23" t="n">
        <v>53.44</v>
      </c>
      <c r="E63" s="23" t="n">
        <v>53.44</v>
      </c>
      <c r="F63" s="22" t="n">
        <v>0</v>
      </c>
      <c r="G63" s="23" t="n">
        <v>53.44</v>
      </c>
      <c r="H63" s="22" t="n">
        <v>0</v>
      </c>
      <c r="I63" s="22" t="s">
        <v>137</v>
      </c>
      <c r="J63" s="22" t="n">
        <v>5</v>
      </c>
    </row>
    <row r="64" customFormat="false" ht="15" hidden="false" customHeight="false" outlineLevel="0" collapsed="false">
      <c r="A64" s="7" t="s">
        <v>94</v>
      </c>
      <c r="B64" s="7" t="s">
        <v>28</v>
      </c>
      <c r="C64" s="9" t="n">
        <v>208.97</v>
      </c>
      <c r="D64" s="7" t="n">
        <v>0</v>
      </c>
      <c r="E64" s="9" t="n">
        <v>15.97</v>
      </c>
      <c r="F64" s="9" t="n">
        <v>6.97</v>
      </c>
      <c r="G64" s="9" t="n">
        <v>22.94</v>
      </c>
      <c r="H64" s="9" t="n">
        <v>186.03</v>
      </c>
      <c r="I64" s="7" t="s">
        <v>87</v>
      </c>
      <c r="J64" s="7" t="n">
        <v>30</v>
      </c>
    </row>
    <row r="65" customFormat="false" ht="15" hidden="false" customHeight="false" outlineLevel="0" collapsed="false">
      <c r="A65" s="22" t="s">
        <v>138</v>
      </c>
      <c r="B65" s="22" t="s">
        <v>30</v>
      </c>
      <c r="C65" s="23" t="n">
        <v>15901.52</v>
      </c>
      <c r="D65" s="22" t="n">
        <v>0</v>
      </c>
      <c r="E65" s="23" t="n">
        <v>15901.52</v>
      </c>
      <c r="F65" s="22" t="n">
        <v>0</v>
      </c>
      <c r="G65" s="23" t="n">
        <v>15901.52</v>
      </c>
      <c r="H65" s="22" t="n">
        <v>0</v>
      </c>
      <c r="I65" s="22" t="s">
        <v>137</v>
      </c>
      <c r="J65" s="22" t="n">
        <v>5</v>
      </c>
    </row>
    <row r="66" customFormat="false" ht="15" hidden="false" customHeight="false" outlineLevel="0" collapsed="false">
      <c r="A66" s="7" t="s">
        <v>96</v>
      </c>
      <c r="B66" s="7" t="s">
        <v>30</v>
      </c>
      <c r="C66" s="9" t="n">
        <v>62185.11</v>
      </c>
      <c r="D66" s="7" t="n">
        <v>0</v>
      </c>
      <c r="E66" s="9" t="n">
        <v>13732.56</v>
      </c>
      <c r="F66" s="9" t="n">
        <v>2072.84</v>
      </c>
      <c r="G66" s="9" t="n">
        <v>15805.4</v>
      </c>
      <c r="H66" s="9" t="n">
        <v>46379.71</v>
      </c>
      <c r="I66" s="7" t="s">
        <v>87</v>
      </c>
      <c r="J66" s="7" t="n">
        <v>30</v>
      </c>
    </row>
    <row r="67" customFormat="false" ht="15" hidden="false" customHeight="false" outlineLevel="0" collapsed="false">
      <c r="A67" s="22" t="s">
        <v>139</v>
      </c>
      <c r="B67" s="22" t="s">
        <v>30</v>
      </c>
      <c r="C67" s="23" t="n">
        <v>987.94</v>
      </c>
      <c r="D67" s="22" t="n">
        <v>0</v>
      </c>
      <c r="E67" s="23" t="n">
        <v>987.94</v>
      </c>
      <c r="F67" s="22" t="n">
        <v>0</v>
      </c>
      <c r="G67" s="23" t="n">
        <v>987.94</v>
      </c>
      <c r="H67" s="22" t="n">
        <v>0</v>
      </c>
      <c r="I67" s="22" t="s">
        <v>137</v>
      </c>
      <c r="J67" s="22" t="n">
        <v>5</v>
      </c>
    </row>
    <row r="68" customFormat="false" ht="15" hidden="false" customHeight="false" outlineLevel="0" collapsed="false">
      <c r="A68" s="7" t="s">
        <v>98</v>
      </c>
      <c r="B68" s="7" t="s">
        <v>30</v>
      </c>
      <c r="C68" s="9" t="n">
        <v>3863.47</v>
      </c>
      <c r="D68" s="7" t="n">
        <v>0</v>
      </c>
      <c r="E68" s="9" t="n">
        <v>853.17</v>
      </c>
      <c r="F68" s="9" t="n">
        <v>128.78</v>
      </c>
      <c r="G68" s="9" t="n">
        <v>981.95</v>
      </c>
      <c r="H68" s="9" t="n">
        <v>2881.52</v>
      </c>
      <c r="I68" s="7" t="s">
        <v>87</v>
      </c>
      <c r="J68" s="7" t="n">
        <v>30</v>
      </c>
    </row>
    <row r="69" customFormat="false" ht="15" hidden="false" customHeight="false" outlineLevel="0" collapsed="false">
      <c r="A69" s="22" t="s">
        <v>140</v>
      </c>
      <c r="B69" s="22" t="s">
        <v>30</v>
      </c>
      <c r="C69" s="23" t="n">
        <v>1975.88</v>
      </c>
      <c r="D69" s="22" t="n">
        <v>0</v>
      </c>
      <c r="E69" s="23" t="n">
        <v>1975.88</v>
      </c>
      <c r="F69" s="22" t="n">
        <v>0</v>
      </c>
      <c r="G69" s="23" t="n">
        <v>1975.88</v>
      </c>
      <c r="H69" s="22" t="n">
        <v>0</v>
      </c>
      <c r="I69" s="22" t="s">
        <v>137</v>
      </c>
      <c r="J69" s="22" t="n">
        <v>5</v>
      </c>
    </row>
    <row r="70" customFormat="false" ht="15" hidden="false" customHeight="false" outlineLevel="0" collapsed="false">
      <c r="A70" s="7" t="s">
        <v>100</v>
      </c>
      <c r="B70" s="7" t="s">
        <v>30</v>
      </c>
      <c r="C70" s="9" t="n">
        <v>7726.95</v>
      </c>
      <c r="D70" s="7" t="n">
        <v>0</v>
      </c>
      <c r="E70" s="9" t="n">
        <v>1706.4</v>
      </c>
      <c r="F70" s="9" t="n">
        <v>257.57</v>
      </c>
      <c r="G70" s="9" t="n">
        <v>1963.97</v>
      </c>
      <c r="H70" s="9" t="n">
        <v>5762.98</v>
      </c>
      <c r="I70" s="7" t="s">
        <v>87</v>
      </c>
      <c r="J70" s="7" t="n">
        <v>30</v>
      </c>
    </row>
    <row r="71" customFormat="false" ht="15" hidden="false" customHeight="false" outlineLevel="0" collapsed="false">
      <c r="A71" s="10" t="s">
        <v>26</v>
      </c>
      <c r="C71" s="24" t="n">
        <f aca="false">SUM(C63:C70)</f>
        <v>92903.28</v>
      </c>
      <c r="D71" s="24" t="n">
        <f aca="false">SUM(D63:D70)</f>
        <v>53.44</v>
      </c>
      <c r="E71" s="24" t="n">
        <f aca="false">SUM(E63:E70)</f>
        <v>35226.88</v>
      </c>
      <c r="F71" s="24" t="n">
        <f aca="false">SUM(F63:F70)</f>
        <v>2466.16</v>
      </c>
      <c r="G71" s="24" t="n">
        <f aca="false">SUM(G63:G70)</f>
        <v>37693.04</v>
      </c>
      <c r="H71" s="24" t="n">
        <f aca="false">SUM(H63:H70)</f>
        <v>55210.24</v>
      </c>
    </row>
    <row r="73" customFormat="false" ht="15" hidden="false" customHeight="false" outlineLevel="0" collapsed="false">
      <c r="A73" s="4" t="s">
        <v>39</v>
      </c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B74" s="7" t="s">
        <v>101</v>
      </c>
      <c r="C74" s="25" t="n">
        <f aca="false">G59</f>
        <v>28433.18</v>
      </c>
    </row>
    <row r="75" customFormat="false" ht="15" hidden="false" customHeight="false" outlineLevel="0" collapsed="false">
      <c r="B75" s="7" t="s">
        <v>102</v>
      </c>
      <c r="C75" s="25" t="n">
        <f aca="false">G71</f>
        <v>37693.04</v>
      </c>
    </row>
    <row r="76" customFormat="false" ht="15" hidden="false" customHeight="false" outlineLevel="0" collapsed="false">
      <c r="B76" s="10" t="s">
        <v>39</v>
      </c>
      <c r="C76" s="26" t="n">
        <f aca="false">C74-C75</f>
        <v>-9259.86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154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155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7800.47</v>
      </c>
      <c r="D11" s="9" t="n">
        <v>7800.47</v>
      </c>
    </row>
    <row r="12" customFormat="false" ht="15" hidden="false" customHeight="false" outlineLevel="0" collapsed="false">
      <c r="B12" s="7" t="s">
        <v>108</v>
      </c>
      <c r="C12" s="9" t="n">
        <v>3748.91</v>
      </c>
      <c r="D12" s="9" t="n">
        <v>3748.91</v>
      </c>
    </row>
    <row r="13" customFormat="false" ht="15" hidden="false" customHeight="false" outlineLevel="0" collapsed="false">
      <c r="B13" s="7" t="s">
        <v>109</v>
      </c>
      <c r="C13" s="9" t="n">
        <v>12139.37</v>
      </c>
      <c r="D13" s="9" t="n">
        <v>12139.37</v>
      </c>
    </row>
    <row r="14" customFormat="false" ht="15" hidden="false" customHeight="false" outlineLevel="0" collapsed="false">
      <c r="B14" s="7" t="s">
        <v>110</v>
      </c>
      <c r="C14" s="9" t="n">
        <v>1142.58</v>
      </c>
      <c r="D14" s="9" t="n">
        <v>1142.58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1052.34</v>
      </c>
      <c r="D17" s="9" t="n">
        <v>1052.34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5090</v>
      </c>
      <c r="E23" s="9" t="n">
        <v>5090</v>
      </c>
    </row>
    <row r="24" customFormat="false" ht="15" hidden="false" customHeight="false" outlineLevel="0" collapsed="false">
      <c r="B24" s="7" t="s">
        <v>120</v>
      </c>
      <c r="C24" s="9" t="n">
        <v>8538.11</v>
      </c>
      <c r="E24" s="9" t="n">
        <v>8538.11</v>
      </c>
    </row>
    <row r="25" customFormat="false" ht="15" hidden="false" customHeight="false" outlineLevel="0" collapsed="false">
      <c r="B25" s="7" t="s">
        <v>121</v>
      </c>
      <c r="C25" s="9" t="n">
        <v>11754.94</v>
      </c>
      <c r="E25" s="9" t="n">
        <v>11754.94</v>
      </c>
    </row>
    <row r="26" customFormat="false" ht="15" hidden="false" customHeight="false" outlineLevel="0" collapsed="false">
      <c r="B26" s="7" t="s">
        <v>122</v>
      </c>
      <c r="C26" s="9" t="n">
        <v>11527.95</v>
      </c>
      <c r="E26" s="9" t="n">
        <v>11527.95</v>
      </c>
    </row>
    <row r="27" customFormat="false" ht="15" hidden="false" customHeight="false" outlineLevel="0" collapsed="false">
      <c r="B27" s="7" t="s">
        <v>123</v>
      </c>
      <c r="C27" s="9" t="n">
        <v>10218.5</v>
      </c>
      <c r="E27" s="9" t="n">
        <v>10218.5</v>
      </c>
    </row>
    <row r="28" customFormat="false" ht="15" hidden="false" customHeight="false" outlineLevel="0" collapsed="false">
      <c r="B28" s="7" t="s">
        <v>124</v>
      </c>
      <c r="C28" s="9" t="n">
        <v>775.83</v>
      </c>
      <c r="E28" s="9" t="n">
        <v>775.83</v>
      </c>
    </row>
    <row r="29" customFormat="false" ht="15" hidden="false" customHeight="false" outlineLevel="0" collapsed="false">
      <c r="B29" s="7" t="s">
        <v>125</v>
      </c>
      <c r="C29" s="9" t="n">
        <v>22829.89</v>
      </c>
      <c r="E29" s="9" t="n">
        <v>22829.89</v>
      </c>
    </row>
    <row r="30" customFormat="false" ht="15" hidden="false" customHeight="false" outlineLevel="0" collapsed="false">
      <c r="B30" s="7" t="s">
        <v>126</v>
      </c>
      <c r="C30" s="9" t="n">
        <v>5886.42</v>
      </c>
      <c r="E30" s="9" t="n">
        <v>5886.42</v>
      </c>
    </row>
    <row r="31" customFormat="false" ht="15" hidden="false" customHeight="false" outlineLevel="0" collapsed="false">
      <c r="B31" s="7" t="s">
        <v>127</v>
      </c>
      <c r="C31" s="9" t="n">
        <v>5036.01</v>
      </c>
      <c r="E31" s="9" t="n">
        <v>5036.01</v>
      </c>
    </row>
    <row r="32" customFormat="false" ht="15" hidden="false" customHeight="false" outlineLevel="0" collapsed="false">
      <c r="B32" s="7" t="s">
        <v>128</v>
      </c>
      <c r="C32" s="9" t="n">
        <v>5406.4</v>
      </c>
      <c r="E32" s="9" t="n">
        <v>5406.4</v>
      </c>
    </row>
    <row r="33" customFormat="false" ht="15" hidden="false" customHeight="false" outlineLevel="0" collapsed="false">
      <c r="B33" s="7" t="s">
        <v>129</v>
      </c>
      <c r="C33" s="9" t="n">
        <v>16464.28</v>
      </c>
      <c r="E33" s="9" t="n">
        <v>16464.28</v>
      </c>
    </row>
    <row r="34" customFormat="false" ht="15" hidden="false" customHeight="false" outlineLevel="0" collapsed="false">
      <c r="B34" s="7" t="s">
        <v>130</v>
      </c>
      <c r="C34" s="9" t="n">
        <v>5938.8</v>
      </c>
      <c r="E34" s="9" t="n">
        <v>5938.8</v>
      </c>
    </row>
    <row r="35" customFormat="false" ht="15" hidden="false" customHeight="false" outlineLevel="0" collapsed="false">
      <c r="B35" s="7" t="s">
        <v>131</v>
      </c>
      <c r="C35" s="9" t="n">
        <v>1234.18</v>
      </c>
      <c r="E35" s="9" t="n">
        <v>1234.18</v>
      </c>
    </row>
    <row r="36" customFormat="false" ht="15" hidden="false" customHeight="false" outlineLevel="0" collapsed="false">
      <c r="B36" s="7" t="s">
        <v>132</v>
      </c>
      <c r="C36" s="9" t="n">
        <v>20850.04</v>
      </c>
      <c r="E36" s="9" t="n">
        <v>20850.04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169770.02</v>
      </c>
      <c r="D40" s="19" t="n">
        <f aca="false">SUM(D10:D39)</f>
        <v>31841.95</v>
      </c>
      <c r="E40" s="19" t="n">
        <f aca="false">SUM(E10:E39)</f>
        <v>137928.07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479.53</v>
      </c>
      <c r="D43" s="9" t="n">
        <v>89.94</v>
      </c>
      <c r="E43" s="9" t="n">
        <v>389.59</v>
      </c>
    </row>
    <row r="44" customFormat="false" ht="15" hidden="false" customHeight="false" outlineLevel="0" collapsed="false">
      <c r="B44" s="7" t="s">
        <v>71</v>
      </c>
      <c r="C44" s="9" t="n">
        <v>142694.3</v>
      </c>
      <c r="D44" s="9" t="n">
        <v>26763.65</v>
      </c>
      <c r="E44" s="9" t="n">
        <v>115930.65</v>
      </c>
    </row>
    <row r="45" customFormat="false" ht="15" hidden="false" customHeight="false" outlineLevel="0" collapsed="false">
      <c r="B45" s="7" t="s">
        <v>72</v>
      </c>
      <c r="C45" s="9" t="n">
        <v>8865.4</v>
      </c>
      <c r="D45" s="9" t="n">
        <v>1662.79</v>
      </c>
      <c r="E45" s="9" t="n">
        <v>7202.61</v>
      </c>
    </row>
    <row r="46" customFormat="false" ht="15" hidden="false" customHeight="false" outlineLevel="0" collapsed="false">
      <c r="B46" s="7" t="s">
        <v>73</v>
      </c>
      <c r="C46" s="9" t="n">
        <v>17730.79</v>
      </c>
      <c r="D46" s="9" t="n">
        <v>3325.57</v>
      </c>
      <c r="E46" s="9" t="n">
        <v>14405.22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169770.02</v>
      </c>
      <c r="D47" s="8" t="n">
        <f aca="false">SUM(D43:D46)</f>
        <v>31841.95</v>
      </c>
      <c r="E47" s="8" t="n">
        <f aca="false">SUM(E43:E46)</f>
        <v>137928.07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479.53</v>
      </c>
      <c r="D52" s="22" t="n">
        <v>0</v>
      </c>
      <c r="E52" s="23" t="n">
        <v>29.03</v>
      </c>
      <c r="F52" s="23" t="n">
        <v>11.97</v>
      </c>
      <c r="G52" s="23" t="n">
        <v>41</v>
      </c>
      <c r="H52" s="23" t="n">
        <v>438.53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142694.3</v>
      </c>
      <c r="D53" s="7" t="n">
        <v>0</v>
      </c>
      <c r="E53" s="9" t="n">
        <v>30709.29</v>
      </c>
      <c r="F53" s="9" t="n">
        <v>3355.37</v>
      </c>
      <c r="G53" s="9" t="n">
        <v>34064.66</v>
      </c>
      <c r="H53" s="9" t="n">
        <v>108629.64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8865.4</v>
      </c>
      <c r="D54" s="22" t="n">
        <v>0</v>
      </c>
      <c r="E54" s="23" t="n">
        <v>8274.39</v>
      </c>
      <c r="F54" s="22" t="n">
        <v>0</v>
      </c>
      <c r="G54" s="23" t="n">
        <v>8274.39</v>
      </c>
      <c r="H54" s="23" t="n">
        <v>591.01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17730.79</v>
      </c>
      <c r="D55" s="7" t="n">
        <v>0</v>
      </c>
      <c r="E55" s="9" t="n">
        <v>8532.2</v>
      </c>
      <c r="F55" s="9" t="n">
        <v>1046.12</v>
      </c>
      <c r="G55" s="9" t="n">
        <v>9578.32</v>
      </c>
      <c r="H55" s="9" t="n">
        <v>8152.47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169770.02</v>
      </c>
      <c r="D56" s="24" t="n">
        <f aca="false">SUM(D52:D55)</f>
        <v>0</v>
      </c>
      <c r="E56" s="24" t="n">
        <f aca="false">SUM(E52:E55)</f>
        <v>47544.91</v>
      </c>
      <c r="F56" s="24" t="n">
        <f aca="false">SUM(F52:F55)</f>
        <v>4413.46</v>
      </c>
      <c r="G56" s="24" t="n">
        <f aca="false">SUM(G52:G55)</f>
        <v>51958.37</v>
      </c>
      <c r="H56" s="24" t="n">
        <f aca="false">SUM(H52:H55)</f>
        <v>117811.65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89.94</v>
      </c>
      <c r="D60" s="23" t="n">
        <v>89.94</v>
      </c>
      <c r="E60" s="23" t="n">
        <v>89.94</v>
      </c>
      <c r="F60" s="22" t="n">
        <v>0</v>
      </c>
      <c r="G60" s="23" t="n">
        <v>89.94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389.59</v>
      </c>
      <c r="D61" s="7" t="n">
        <v>0</v>
      </c>
      <c r="E61" s="9" t="n">
        <v>29.77</v>
      </c>
      <c r="F61" s="9" t="n">
        <v>12.99</v>
      </c>
      <c r="G61" s="9" t="n">
        <v>42.76</v>
      </c>
      <c r="H61" s="9" t="n">
        <v>346.83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26763.65</v>
      </c>
      <c r="D62" s="22" t="n">
        <v>0</v>
      </c>
      <c r="E62" s="23" t="n">
        <v>26763.65</v>
      </c>
      <c r="F62" s="22" t="n">
        <v>0</v>
      </c>
      <c r="G62" s="23" t="n">
        <v>26763.65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115930.65</v>
      </c>
      <c r="D63" s="7" t="n">
        <v>0</v>
      </c>
      <c r="E63" s="9" t="n">
        <v>25601.32</v>
      </c>
      <c r="F63" s="9" t="n">
        <v>3864.35</v>
      </c>
      <c r="G63" s="9" t="n">
        <v>29465.67</v>
      </c>
      <c r="H63" s="9" t="n">
        <v>86464.98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1662.79</v>
      </c>
      <c r="D64" s="22" t="n">
        <v>0</v>
      </c>
      <c r="E64" s="23" t="n">
        <v>1662.79</v>
      </c>
      <c r="F64" s="22" t="n">
        <v>0</v>
      </c>
      <c r="G64" s="23" t="n">
        <v>1662.79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7202.61</v>
      </c>
      <c r="D65" s="7" t="n">
        <v>0</v>
      </c>
      <c r="E65" s="9" t="n">
        <v>1590.59</v>
      </c>
      <c r="F65" s="9" t="n">
        <v>240.09</v>
      </c>
      <c r="G65" s="9" t="n">
        <v>1830.68</v>
      </c>
      <c r="H65" s="9" t="n">
        <v>5371.93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3325.57</v>
      </c>
      <c r="D66" s="22" t="n">
        <v>0</v>
      </c>
      <c r="E66" s="23" t="n">
        <v>3325.57</v>
      </c>
      <c r="F66" s="22" t="n">
        <v>0</v>
      </c>
      <c r="G66" s="23" t="n">
        <v>3325.57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14405.22</v>
      </c>
      <c r="D67" s="7" t="n">
        <v>0</v>
      </c>
      <c r="E67" s="9" t="n">
        <v>3181.13</v>
      </c>
      <c r="F67" s="9" t="n">
        <v>480.17</v>
      </c>
      <c r="G67" s="9" t="n">
        <v>3661.3</v>
      </c>
      <c r="H67" s="9" t="n">
        <v>10743.92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169770.02</v>
      </c>
      <c r="D68" s="24" t="n">
        <f aca="false">SUM(D60:D67)</f>
        <v>89.94</v>
      </c>
      <c r="E68" s="24" t="n">
        <f aca="false">SUM(E60:E67)</f>
        <v>62244.76</v>
      </c>
      <c r="F68" s="24" t="n">
        <f aca="false">SUM(F60:F67)</f>
        <v>4597.6</v>
      </c>
      <c r="G68" s="24" t="n">
        <f aca="false">SUM(G60:G67)</f>
        <v>66842.36</v>
      </c>
      <c r="H68" s="24" t="n">
        <f aca="false">SUM(H60:H67)</f>
        <v>102927.66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51958.37</v>
      </c>
    </row>
    <row r="72" customFormat="false" ht="15" hidden="false" customHeight="false" outlineLevel="0" collapsed="false">
      <c r="B72" s="7" t="s">
        <v>102</v>
      </c>
      <c r="C72" s="25" t="n">
        <f aca="false">G68</f>
        <v>66842.36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-14883.99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156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157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13932.37</v>
      </c>
      <c r="D11" s="9" t="n">
        <v>13932.37</v>
      </c>
    </row>
    <row r="12" customFormat="false" ht="15" hidden="false" customHeight="false" outlineLevel="0" collapsed="false">
      <c r="B12" s="7" t="s">
        <v>108</v>
      </c>
      <c r="C12" s="9" t="n">
        <v>4762.13</v>
      </c>
      <c r="D12" s="9" t="n">
        <v>4762.13</v>
      </c>
    </row>
    <row r="13" customFormat="false" ht="15" hidden="false" customHeight="false" outlineLevel="0" collapsed="false">
      <c r="B13" s="7" t="s">
        <v>109</v>
      </c>
      <c r="C13" s="9" t="n">
        <v>21399.52</v>
      </c>
      <c r="D13" s="9" t="n">
        <v>21399.52</v>
      </c>
    </row>
    <row r="14" customFormat="false" ht="15" hidden="false" customHeight="false" outlineLevel="0" collapsed="false">
      <c r="B14" s="7" t="s">
        <v>110</v>
      </c>
      <c r="C14" s="9" t="n">
        <v>1967.77</v>
      </c>
      <c r="D14" s="9" t="n">
        <v>1967.77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1855.1</v>
      </c>
      <c r="D17" s="9" t="n">
        <v>1855.1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8726.14</v>
      </c>
      <c r="E23" s="9" t="n">
        <v>8726.14</v>
      </c>
    </row>
    <row r="24" customFormat="false" ht="15" hidden="false" customHeight="false" outlineLevel="0" collapsed="false">
      <c r="B24" s="7" t="s">
        <v>120</v>
      </c>
      <c r="C24" s="9" t="n">
        <v>14310.97</v>
      </c>
      <c r="E24" s="9" t="n">
        <v>14310.97</v>
      </c>
    </row>
    <row r="25" customFormat="false" ht="15" hidden="false" customHeight="false" outlineLevel="0" collapsed="false">
      <c r="B25" s="7" t="s">
        <v>121</v>
      </c>
      <c r="C25" s="9" t="n">
        <v>20721.85</v>
      </c>
      <c r="E25" s="9" t="n">
        <v>20721.85</v>
      </c>
    </row>
    <row r="26" customFormat="false" ht="15" hidden="false" customHeight="false" outlineLevel="0" collapsed="false">
      <c r="B26" s="7" t="s">
        <v>122</v>
      </c>
      <c r="C26" s="9" t="n">
        <v>20019.46</v>
      </c>
      <c r="E26" s="9" t="n">
        <v>20019.46</v>
      </c>
    </row>
    <row r="27" customFormat="false" ht="15" hidden="false" customHeight="false" outlineLevel="0" collapsed="false">
      <c r="B27" s="7" t="s">
        <v>123</v>
      </c>
      <c r="C27" s="9" t="n">
        <v>18013.39</v>
      </c>
      <c r="E27" s="9" t="n">
        <v>18013.39</v>
      </c>
    </row>
    <row r="28" customFormat="false" ht="15" hidden="false" customHeight="false" outlineLevel="0" collapsed="false">
      <c r="B28" s="7" t="s">
        <v>124</v>
      </c>
      <c r="C28" s="9" t="n">
        <v>1255.28</v>
      </c>
      <c r="E28" s="9" t="n">
        <v>1255.28</v>
      </c>
    </row>
    <row r="29" customFormat="false" ht="15" hidden="false" customHeight="false" outlineLevel="0" collapsed="false">
      <c r="B29" s="7" t="s">
        <v>125</v>
      </c>
      <c r="C29" s="9" t="n">
        <v>28034.85</v>
      </c>
      <c r="E29" s="9" t="n">
        <v>28034.85</v>
      </c>
    </row>
    <row r="30" customFormat="false" ht="15" hidden="false" customHeight="false" outlineLevel="0" collapsed="false">
      <c r="B30" s="7" t="s">
        <v>126</v>
      </c>
      <c r="C30" s="9" t="n">
        <v>9209.33</v>
      </c>
      <c r="E30" s="9" t="n">
        <v>9209.33</v>
      </c>
    </row>
    <row r="31" customFormat="false" ht="15" hidden="false" customHeight="false" outlineLevel="0" collapsed="false">
      <c r="B31" s="7" t="s">
        <v>127</v>
      </c>
      <c r="C31" s="9" t="n">
        <v>8673.12</v>
      </c>
      <c r="E31" s="9" t="n">
        <v>8673.12</v>
      </c>
    </row>
    <row r="32" customFormat="false" ht="15" hidden="false" customHeight="false" outlineLevel="0" collapsed="false">
      <c r="B32" s="7" t="s">
        <v>128</v>
      </c>
      <c r="C32" s="9" t="n">
        <v>9530.52</v>
      </c>
      <c r="E32" s="9" t="n">
        <v>9530.52</v>
      </c>
    </row>
    <row r="33" customFormat="false" ht="15" hidden="false" customHeight="false" outlineLevel="0" collapsed="false">
      <c r="B33" s="7" t="s">
        <v>129</v>
      </c>
      <c r="C33" s="9" t="n">
        <v>20615.67</v>
      </c>
      <c r="E33" s="9" t="n">
        <v>20615.67</v>
      </c>
    </row>
    <row r="34" customFormat="false" ht="15" hidden="false" customHeight="false" outlineLevel="0" collapsed="false">
      <c r="B34" s="7" t="s">
        <v>130</v>
      </c>
      <c r="C34" s="9" t="n">
        <v>8186.44</v>
      </c>
      <c r="E34" s="9" t="n">
        <v>8186.44</v>
      </c>
    </row>
    <row r="35" customFormat="false" ht="15" hidden="false" customHeight="false" outlineLevel="0" collapsed="false">
      <c r="B35" s="7" t="s">
        <v>131</v>
      </c>
      <c r="C35" s="9" t="n">
        <v>1433.11</v>
      </c>
      <c r="E35" s="9" t="n">
        <v>1433.11</v>
      </c>
    </row>
    <row r="36" customFormat="false" ht="15" hidden="false" customHeight="false" outlineLevel="0" collapsed="false">
      <c r="B36" s="7" t="s">
        <v>132</v>
      </c>
      <c r="C36" s="9" t="n">
        <v>33915.86</v>
      </c>
      <c r="E36" s="9" t="n">
        <v>33915.86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265816.45</v>
      </c>
      <c r="D40" s="19" t="n">
        <f aca="false">SUM(D10:D39)</f>
        <v>55766.87</v>
      </c>
      <c r="E40" s="19" t="n">
        <f aca="false">SUM(E10:E39)</f>
        <v>210049.58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750.82</v>
      </c>
      <c r="D43" s="9" t="n">
        <v>157.52</v>
      </c>
      <c r="E43" s="9" t="n">
        <v>593.3</v>
      </c>
    </row>
    <row r="44" customFormat="false" ht="15" hidden="false" customHeight="false" outlineLevel="0" collapsed="false">
      <c r="B44" s="7" t="s">
        <v>71</v>
      </c>
      <c r="C44" s="9" t="n">
        <v>223422.8</v>
      </c>
      <c r="D44" s="9" t="n">
        <v>46872.91</v>
      </c>
      <c r="E44" s="9" t="n">
        <v>176549.89</v>
      </c>
    </row>
    <row r="45" customFormat="false" ht="15" hidden="false" customHeight="false" outlineLevel="0" collapsed="false">
      <c r="B45" s="7" t="s">
        <v>72</v>
      </c>
      <c r="C45" s="9" t="n">
        <v>13880.94</v>
      </c>
      <c r="D45" s="9" t="n">
        <v>2912.15</v>
      </c>
      <c r="E45" s="9" t="n">
        <v>10968.79</v>
      </c>
    </row>
    <row r="46" customFormat="false" ht="15" hidden="false" customHeight="false" outlineLevel="0" collapsed="false">
      <c r="B46" s="7" t="s">
        <v>73</v>
      </c>
      <c r="C46" s="9" t="n">
        <v>27761.89</v>
      </c>
      <c r="D46" s="9" t="n">
        <v>5824.29</v>
      </c>
      <c r="E46" s="9" t="n">
        <v>21937.6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265816.45</v>
      </c>
      <c r="D47" s="8" t="n">
        <f aca="false">SUM(D43:D46)</f>
        <v>55766.87</v>
      </c>
      <c r="E47" s="8" t="n">
        <f aca="false">SUM(E43:E46)</f>
        <v>210049.58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750.82</v>
      </c>
      <c r="D52" s="22" t="n">
        <v>0</v>
      </c>
      <c r="E52" s="23" t="n">
        <v>45.46</v>
      </c>
      <c r="F52" s="23" t="n">
        <v>18.74</v>
      </c>
      <c r="G52" s="23" t="n">
        <v>64.2</v>
      </c>
      <c r="H52" s="23" t="n">
        <v>686.62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223422.8</v>
      </c>
      <c r="D53" s="7" t="n">
        <v>0</v>
      </c>
      <c r="E53" s="9" t="n">
        <v>48082.9</v>
      </c>
      <c r="F53" s="9" t="n">
        <v>5253.66</v>
      </c>
      <c r="G53" s="9" t="n">
        <v>53336.56</v>
      </c>
      <c r="H53" s="9" t="n">
        <v>170086.24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13880.94</v>
      </c>
      <c r="D54" s="22" t="n">
        <v>0</v>
      </c>
      <c r="E54" s="23" t="n">
        <v>12955.57</v>
      </c>
      <c r="F54" s="22" t="n">
        <v>0</v>
      </c>
      <c r="G54" s="23" t="n">
        <v>12955.57</v>
      </c>
      <c r="H54" s="23" t="n">
        <v>925.37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27761.89</v>
      </c>
      <c r="D55" s="7" t="n">
        <v>0</v>
      </c>
      <c r="E55" s="9" t="n">
        <v>13359.23</v>
      </c>
      <c r="F55" s="9" t="n">
        <v>1637.95</v>
      </c>
      <c r="G55" s="9" t="n">
        <v>14997.18</v>
      </c>
      <c r="H55" s="9" t="n">
        <v>12764.71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265816.45</v>
      </c>
      <c r="D56" s="24" t="n">
        <f aca="false">SUM(D52:D55)</f>
        <v>0</v>
      </c>
      <c r="E56" s="24" t="n">
        <f aca="false">SUM(E52:E55)</f>
        <v>74443.16</v>
      </c>
      <c r="F56" s="24" t="n">
        <f aca="false">SUM(F52:F55)</f>
        <v>6910.35</v>
      </c>
      <c r="G56" s="24" t="n">
        <f aca="false">SUM(G52:G55)</f>
        <v>81353.51</v>
      </c>
      <c r="H56" s="24" t="n">
        <f aca="false">SUM(H52:H55)</f>
        <v>184462.94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157.52</v>
      </c>
      <c r="D60" s="23" t="n">
        <v>157.52</v>
      </c>
      <c r="E60" s="23" t="n">
        <v>157.52</v>
      </c>
      <c r="F60" s="22" t="n">
        <v>0</v>
      </c>
      <c r="G60" s="23" t="n">
        <v>157.52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593.3</v>
      </c>
      <c r="D61" s="7" t="n">
        <v>0</v>
      </c>
      <c r="E61" s="9" t="n">
        <v>45.33</v>
      </c>
      <c r="F61" s="9" t="n">
        <v>19.78</v>
      </c>
      <c r="G61" s="9" t="n">
        <v>65.11</v>
      </c>
      <c r="H61" s="9" t="n">
        <v>528.19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46872.91</v>
      </c>
      <c r="D62" s="22" t="n">
        <v>0</v>
      </c>
      <c r="E62" s="23" t="n">
        <v>46872.91</v>
      </c>
      <c r="F62" s="22" t="n">
        <v>0</v>
      </c>
      <c r="G62" s="23" t="n">
        <v>46872.91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176549.89</v>
      </c>
      <c r="D63" s="7" t="n">
        <v>0</v>
      </c>
      <c r="E63" s="9" t="n">
        <v>38988.12</v>
      </c>
      <c r="F63" s="9" t="n">
        <v>5885</v>
      </c>
      <c r="G63" s="9" t="n">
        <v>44873.12</v>
      </c>
      <c r="H63" s="9" t="n">
        <v>131676.77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2912.15</v>
      </c>
      <c r="D64" s="22" t="n">
        <v>0</v>
      </c>
      <c r="E64" s="23" t="n">
        <v>2912.15</v>
      </c>
      <c r="F64" s="22" t="n">
        <v>0</v>
      </c>
      <c r="G64" s="23" t="n">
        <v>2912.15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10968.79</v>
      </c>
      <c r="D65" s="7" t="n">
        <v>0</v>
      </c>
      <c r="E65" s="9" t="n">
        <v>2422.3</v>
      </c>
      <c r="F65" s="9" t="n">
        <v>365.63</v>
      </c>
      <c r="G65" s="9" t="n">
        <v>2787.93</v>
      </c>
      <c r="H65" s="9" t="n">
        <v>8180.86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5824.29</v>
      </c>
      <c r="D66" s="22" t="n">
        <v>0</v>
      </c>
      <c r="E66" s="23" t="n">
        <v>5824.29</v>
      </c>
      <c r="F66" s="22" t="n">
        <v>0</v>
      </c>
      <c r="G66" s="23" t="n">
        <v>5824.29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21937.6</v>
      </c>
      <c r="D67" s="7" t="n">
        <v>0</v>
      </c>
      <c r="E67" s="9" t="n">
        <v>4844.53</v>
      </c>
      <c r="F67" s="9" t="n">
        <v>731.25</v>
      </c>
      <c r="G67" s="9" t="n">
        <v>5575.78</v>
      </c>
      <c r="H67" s="9" t="n">
        <v>16361.82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265816.45</v>
      </c>
      <c r="D68" s="24" t="n">
        <f aca="false">SUM(D60:D67)</f>
        <v>157.52</v>
      </c>
      <c r="E68" s="24" t="n">
        <f aca="false">SUM(E60:E67)</f>
        <v>102067.15</v>
      </c>
      <c r="F68" s="24" t="n">
        <f aca="false">SUM(F60:F67)</f>
        <v>7001.66</v>
      </c>
      <c r="G68" s="24" t="n">
        <f aca="false">SUM(G60:G67)</f>
        <v>109068.81</v>
      </c>
      <c r="H68" s="24" t="n">
        <f aca="false">SUM(H60:H67)</f>
        <v>156747.64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81353.51</v>
      </c>
    </row>
    <row r="72" customFormat="false" ht="15" hidden="false" customHeight="false" outlineLevel="0" collapsed="false">
      <c r="B72" s="7" t="s">
        <v>102</v>
      </c>
      <c r="C72" s="25" t="n">
        <f aca="false">G68</f>
        <v>109068.81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-27715.3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158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159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13932.37</v>
      </c>
      <c r="D11" s="9" t="n">
        <v>13932.37</v>
      </c>
    </row>
    <row r="12" customFormat="false" ht="15" hidden="false" customHeight="false" outlineLevel="0" collapsed="false">
      <c r="B12" s="7" t="s">
        <v>108</v>
      </c>
      <c r="C12" s="9" t="n">
        <v>4762.13</v>
      </c>
      <c r="D12" s="9" t="n">
        <v>4762.13</v>
      </c>
    </row>
    <row r="13" customFormat="false" ht="15" hidden="false" customHeight="false" outlineLevel="0" collapsed="false">
      <c r="B13" s="7" t="s">
        <v>109</v>
      </c>
      <c r="C13" s="9" t="n">
        <v>21399.52</v>
      </c>
      <c r="D13" s="9" t="n">
        <v>21399.52</v>
      </c>
    </row>
    <row r="14" customFormat="false" ht="15" hidden="false" customHeight="false" outlineLevel="0" collapsed="false">
      <c r="B14" s="7" t="s">
        <v>110</v>
      </c>
      <c r="C14" s="9" t="n">
        <v>1967.77</v>
      </c>
      <c r="D14" s="9" t="n">
        <v>1967.77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1855.1</v>
      </c>
      <c r="D17" s="9" t="n">
        <v>1855.1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8726.14</v>
      </c>
      <c r="E23" s="9" t="n">
        <v>8726.14</v>
      </c>
    </row>
    <row r="24" customFormat="false" ht="15" hidden="false" customHeight="false" outlineLevel="0" collapsed="false">
      <c r="B24" s="7" t="s">
        <v>120</v>
      </c>
      <c r="C24" s="9" t="n">
        <v>14310.97</v>
      </c>
      <c r="E24" s="9" t="n">
        <v>14310.97</v>
      </c>
    </row>
    <row r="25" customFormat="false" ht="15" hidden="false" customHeight="false" outlineLevel="0" collapsed="false">
      <c r="B25" s="7" t="s">
        <v>121</v>
      </c>
      <c r="C25" s="9" t="n">
        <v>20721.85</v>
      </c>
      <c r="E25" s="9" t="n">
        <v>20721.85</v>
      </c>
    </row>
    <row r="26" customFormat="false" ht="15" hidden="false" customHeight="false" outlineLevel="0" collapsed="false">
      <c r="B26" s="7" t="s">
        <v>122</v>
      </c>
      <c r="C26" s="9" t="n">
        <v>20019.46</v>
      </c>
      <c r="E26" s="9" t="n">
        <v>20019.46</v>
      </c>
    </row>
    <row r="27" customFormat="false" ht="15" hidden="false" customHeight="false" outlineLevel="0" collapsed="false">
      <c r="B27" s="7" t="s">
        <v>123</v>
      </c>
      <c r="C27" s="9" t="n">
        <v>18013.39</v>
      </c>
      <c r="E27" s="9" t="n">
        <v>18013.39</v>
      </c>
    </row>
    <row r="28" customFormat="false" ht="15" hidden="false" customHeight="false" outlineLevel="0" collapsed="false">
      <c r="B28" s="7" t="s">
        <v>124</v>
      </c>
      <c r="C28" s="9" t="n">
        <v>1255.28</v>
      </c>
      <c r="E28" s="9" t="n">
        <v>1255.28</v>
      </c>
    </row>
    <row r="29" customFormat="false" ht="15" hidden="false" customHeight="false" outlineLevel="0" collapsed="false">
      <c r="B29" s="7" t="s">
        <v>125</v>
      </c>
      <c r="C29" s="9" t="n">
        <v>28034.85</v>
      </c>
      <c r="E29" s="9" t="n">
        <v>28034.85</v>
      </c>
    </row>
    <row r="30" customFormat="false" ht="15" hidden="false" customHeight="false" outlineLevel="0" collapsed="false">
      <c r="B30" s="7" t="s">
        <v>126</v>
      </c>
      <c r="C30" s="9" t="n">
        <v>9209.33</v>
      </c>
      <c r="E30" s="9" t="n">
        <v>9209.33</v>
      </c>
    </row>
    <row r="31" customFormat="false" ht="15" hidden="false" customHeight="false" outlineLevel="0" collapsed="false">
      <c r="B31" s="7" t="s">
        <v>127</v>
      </c>
      <c r="C31" s="9" t="n">
        <v>8673.12</v>
      </c>
      <c r="E31" s="9" t="n">
        <v>8673.12</v>
      </c>
    </row>
    <row r="32" customFormat="false" ht="15" hidden="false" customHeight="false" outlineLevel="0" collapsed="false">
      <c r="B32" s="7" t="s">
        <v>128</v>
      </c>
      <c r="C32" s="9" t="n">
        <v>9530.52</v>
      </c>
      <c r="E32" s="9" t="n">
        <v>9530.52</v>
      </c>
    </row>
    <row r="33" customFormat="false" ht="15" hidden="false" customHeight="false" outlineLevel="0" collapsed="false">
      <c r="B33" s="7" t="s">
        <v>129</v>
      </c>
      <c r="C33" s="9" t="n">
        <v>20615.67</v>
      </c>
      <c r="E33" s="9" t="n">
        <v>20615.67</v>
      </c>
    </row>
    <row r="34" customFormat="false" ht="15" hidden="false" customHeight="false" outlineLevel="0" collapsed="false">
      <c r="B34" s="7" t="s">
        <v>130</v>
      </c>
      <c r="C34" s="9" t="n">
        <v>8186.44</v>
      </c>
      <c r="E34" s="9" t="n">
        <v>8186.44</v>
      </c>
    </row>
    <row r="35" customFormat="false" ht="15" hidden="false" customHeight="false" outlineLevel="0" collapsed="false">
      <c r="B35" s="7" t="s">
        <v>131</v>
      </c>
      <c r="C35" s="9" t="n">
        <v>1433.11</v>
      </c>
      <c r="E35" s="9" t="n">
        <v>1433.11</v>
      </c>
    </row>
    <row r="36" customFormat="false" ht="15" hidden="false" customHeight="false" outlineLevel="0" collapsed="false">
      <c r="B36" s="7" t="s">
        <v>132</v>
      </c>
      <c r="C36" s="9" t="n">
        <v>33915.86</v>
      </c>
      <c r="E36" s="9" t="n">
        <v>33915.86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265816.45</v>
      </c>
      <c r="D40" s="19" t="n">
        <f aca="false">SUM(D10:D39)</f>
        <v>55766.87</v>
      </c>
      <c r="E40" s="19" t="n">
        <f aca="false">SUM(E10:E39)</f>
        <v>210049.58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750.82</v>
      </c>
      <c r="D43" s="9" t="n">
        <v>157.52</v>
      </c>
      <c r="E43" s="9" t="n">
        <v>593.3</v>
      </c>
    </row>
    <row r="44" customFormat="false" ht="15" hidden="false" customHeight="false" outlineLevel="0" collapsed="false">
      <c r="B44" s="7" t="s">
        <v>71</v>
      </c>
      <c r="C44" s="9" t="n">
        <v>223422.8</v>
      </c>
      <c r="D44" s="9" t="n">
        <v>46872.91</v>
      </c>
      <c r="E44" s="9" t="n">
        <v>176549.89</v>
      </c>
    </row>
    <row r="45" customFormat="false" ht="15" hidden="false" customHeight="false" outlineLevel="0" collapsed="false">
      <c r="B45" s="7" t="s">
        <v>72</v>
      </c>
      <c r="C45" s="9" t="n">
        <v>13880.94</v>
      </c>
      <c r="D45" s="9" t="n">
        <v>2912.15</v>
      </c>
      <c r="E45" s="9" t="n">
        <v>10968.79</v>
      </c>
    </row>
    <row r="46" customFormat="false" ht="15" hidden="false" customHeight="false" outlineLevel="0" collapsed="false">
      <c r="B46" s="7" t="s">
        <v>73</v>
      </c>
      <c r="C46" s="9" t="n">
        <v>27761.89</v>
      </c>
      <c r="D46" s="9" t="n">
        <v>5824.29</v>
      </c>
      <c r="E46" s="9" t="n">
        <v>21937.6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265816.45</v>
      </c>
      <c r="D47" s="8" t="n">
        <f aca="false">SUM(D43:D46)</f>
        <v>55766.87</v>
      </c>
      <c r="E47" s="8" t="n">
        <f aca="false">SUM(E43:E46)</f>
        <v>210049.58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750.82</v>
      </c>
      <c r="D52" s="22" t="n">
        <v>0</v>
      </c>
      <c r="E52" s="23" t="n">
        <v>45.46</v>
      </c>
      <c r="F52" s="23" t="n">
        <v>18.74</v>
      </c>
      <c r="G52" s="23" t="n">
        <v>64.2</v>
      </c>
      <c r="H52" s="23" t="n">
        <v>686.62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223422.8</v>
      </c>
      <c r="D53" s="7" t="n">
        <v>0</v>
      </c>
      <c r="E53" s="9" t="n">
        <v>48082.9</v>
      </c>
      <c r="F53" s="9" t="n">
        <v>5253.66</v>
      </c>
      <c r="G53" s="9" t="n">
        <v>53336.56</v>
      </c>
      <c r="H53" s="9" t="n">
        <v>170086.24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13880.94</v>
      </c>
      <c r="D54" s="22" t="n">
        <v>0</v>
      </c>
      <c r="E54" s="23" t="n">
        <v>12955.57</v>
      </c>
      <c r="F54" s="22" t="n">
        <v>0</v>
      </c>
      <c r="G54" s="23" t="n">
        <v>12955.57</v>
      </c>
      <c r="H54" s="23" t="n">
        <v>925.37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27761.89</v>
      </c>
      <c r="D55" s="7" t="n">
        <v>0</v>
      </c>
      <c r="E55" s="9" t="n">
        <v>13359.23</v>
      </c>
      <c r="F55" s="9" t="n">
        <v>1637.95</v>
      </c>
      <c r="G55" s="9" t="n">
        <v>14997.18</v>
      </c>
      <c r="H55" s="9" t="n">
        <v>12764.71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265816.45</v>
      </c>
      <c r="D56" s="24" t="n">
        <f aca="false">SUM(D52:D55)</f>
        <v>0</v>
      </c>
      <c r="E56" s="24" t="n">
        <f aca="false">SUM(E52:E55)</f>
        <v>74443.16</v>
      </c>
      <c r="F56" s="24" t="n">
        <f aca="false">SUM(F52:F55)</f>
        <v>6910.35</v>
      </c>
      <c r="G56" s="24" t="n">
        <f aca="false">SUM(G52:G55)</f>
        <v>81353.51</v>
      </c>
      <c r="H56" s="24" t="n">
        <f aca="false">SUM(H52:H55)</f>
        <v>184462.94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157.52</v>
      </c>
      <c r="D60" s="23" t="n">
        <v>157.52</v>
      </c>
      <c r="E60" s="23" t="n">
        <v>157.52</v>
      </c>
      <c r="F60" s="22" t="n">
        <v>0</v>
      </c>
      <c r="G60" s="23" t="n">
        <v>157.52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593.3</v>
      </c>
      <c r="D61" s="7" t="n">
        <v>0</v>
      </c>
      <c r="E61" s="9" t="n">
        <v>45.33</v>
      </c>
      <c r="F61" s="9" t="n">
        <v>19.78</v>
      </c>
      <c r="G61" s="9" t="n">
        <v>65.11</v>
      </c>
      <c r="H61" s="9" t="n">
        <v>528.19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46872.91</v>
      </c>
      <c r="D62" s="22" t="n">
        <v>0</v>
      </c>
      <c r="E62" s="23" t="n">
        <v>46872.91</v>
      </c>
      <c r="F62" s="22" t="n">
        <v>0</v>
      </c>
      <c r="G62" s="23" t="n">
        <v>46872.91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176549.89</v>
      </c>
      <c r="D63" s="7" t="n">
        <v>0</v>
      </c>
      <c r="E63" s="9" t="n">
        <v>38988.12</v>
      </c>
      <c r="F63" s="9" t="n">
        <v>5885</v>
      </c>
      <c r="G63" s="9" t="n">
        <v>44873.12</v>
      </c>
      <c r="H63" s="9" t="n">
        <v>131676.77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2912.15</v>
      </c>
      <c r="D64" s="22" t="n">
        <v>0</v>
      </c>
      <c r="E64" s="23" t="n">
        <v>2912.15</v>
      </c>
      <c r="F64" s="22" t="n">
        <v>0</v>
      </c>
      <c r="G64" s="23" t="n">
        <v>2912.15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10968.79</v>
      </c>
      <c r="D65" s="7" t="n">
        <v>0</v>
      </c>
      <c r="E65" s="9" t="n">
        <v>2422.3</v>
      </c>
      <c r="F65" s="9" t="n">
        <v>365.63</v>
      </c>
      <c r="G65" s="9" t="n">
        <v>2787.93</v>
      </c>
      <c r="H65" s="9" t="n">
        <v>8180.86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5824.29</v>
      </c>
      <c r="D66" s="22" t="n">
        <v>0</v>
      </c>
      <c r="E66" s="23" t="n">
        <v>5824.29</v>
      </c>
      <c r="F66" s="22" t="n">
        <v>0</v>
      </c>
      <c r="G66" s="23" t="n">
        <v>5824.29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21937.6</v>
      </c>
      <c r="D67" s="7" t="n">
        <v>0</v>
      </c>
      <c r="E67" s="9" t="n">
        <v>4844.53</v>
      </c>
      <c r="F67" s="9" t="n">
        <v>731.25</v>
      </c>
      <c r="G67" s="9" t="n">
        <v>5575.78</v>
      </c>
      <c r="H67" s="9" t="n">
        <v>16361.82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265816.45</v>
      </c>
      <c r="D68" s="24" t="n">
        <f aca="false">SUM(D60:D67)</f>
        <v>157.52</v>
      </c>
      <c r="E68" s="24" t="n">
        <f aca="false">SUM(E60:E67)</f>
        <v>102067.15</v>
      </c>
      <c r="F68" s="24" t="n">
        <f aca="false">SUM(F60:F67)</f>
        <v>7001.66</v>
      </c>
      <c r="G68" s="24" t="n">
        <f aca="false">SUM(G60:G67)</f>
        <v>109068.81</v>
      </c>
      <c r="H68" s="24" t="n">
        <f aca="false">SUM(H60:H67)</f>
        <v>156747.64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81353.51</v>
      </c>
    </row>
    <row r="72" customFormat="false" ht="15" hidden="false" customHeight="false" outlineLevel="0" collapsed="false">
      <c r="B72" s="7" t="s">
        <v>102</v>
      </c>
      <c r="C72" s="25" t="n">
        <f aca="false">G68</f>
        <v>109068.81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-27715.3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160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161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7800.47</v>
      </c>
      <c r="D11" s="9" t="n">
        <v>7800.47</v>
      </c>
    </row>
    <row r="12" customFormat="false" ht="15" hidden="false" customHeight="false" outlineLevel="0" collapsed="false">
      <c r="B12" s="7" t="s">
        <v>108</v>
      </c>
      <c r="C12" s="9" t="n">
        <v>3748.91</v>
      </c>
      <c r="D12" s="9" t="n">
        <v>3748.91</v>
      </c>
    </row>
    <row r="13" customFormat="false" ht="15" hidden="false" customHeight="false" outlineLevel="0" collapsed="false">
      <c r="B13" s="7" t="s">
        <v>109</v>
      </c>
      <c r="C13" s="9" t="n">
        <v>12139.37</v>
      </c>
      <c r="D13" s="9" t="n">
        <v>12139.37</v>
      </c>
    </row>
    <row r="14" customFormat="false" ht="15" hidden="false" customHeight="false" outlineLevel="0" collapsed="false">
      <c r="B14" s="7" t="s">
        <v>110</v>
      </c>
      <c r="C14" s="9" t="n">
        <v>1142.58</v>
      </c>
      <c r="D14" s="9" t="n">
        <v>1142.58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1052.34</v>
      </c>
      <c r="D17" s="9" t="n">
        <v>1052.34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5090</v>
      </c>
      <c r="E23" s="9" t="n">
        <v>5090</v>
      </c>
    </row>
    <row r="24" customFormat="false" ht="15" hidden="false" customHeight="false" outlineLevel="0" collapsed="false">
      <c r="B24" s="7" t="s">
        <v>120</v>
      </c>
      <c r="C24" s="9" t="n">
        <v>8538.11</v>
      </c>
      <c r="E24" s="9" t="n">
        <v>8538.11</v>
      </c>
    </row>
    <row r="25" customFormat="false" ht="15" hidden="false" customHeight="false" outlineLevel="0" collapsed="false">
      <c r="B25" s="7" t="s">
        <v>121</v>
      </c>
      <c r="C25" s="9" t="n">
        <v>11754.94</v>
      </c>
      <c r="E25" s="9" t="n">
        <v>11754.94</v>
      </c>
    </row>
    <row r="26" customFormat="false" ht="15" hidden="false" customHeight="false" outlineLevel="0" collapsed="false">
      <c r="B26" s="7" t="s">
        <v>122</v>
      </c>
      <c r="C26" s="9" t="n">
        <v>11527.95</v>
      </c>
      <c r="E26" s="9" t="n">
        <v>11527.95</v>
      </c>
    </row>
    <row r="27" customFormat="false" ht="15" hidden="false" customHeight="false" outlineLevel="0" collapsed="false">
      <c r="B27" s="7" t="s">
        <v>123</v>
      </c>
      <c r="C27" s="9" t="n">
        <v>10218.5</v>
      </c>
      <c r="E27" s="9" t="n">
        <v>10218.5</v>
      </c>
    </row>
    <row r="28" customFormat="false" ht="15" hidden="false" customHeight="false" outlineLevel="0" collapsed="false">
      <c r="B28" s="7" t="s">
        <v>124</v>
      </c>
      <c r="C28" s="9" t="n">
        <v>775.83</v>
      </c>
      <c r="E28" s="9" t="n">
        <v>775.83</v>
      </c>
    </row>
    <row r="29" customFormat="false" ht="15" hidden="false" customHeight="false" outlineLevel="0" collapsed="false">
      <c r="B29" s="7" t="s">
        <v>125</v>
      </c>
      <c r="C29" s="9" t="n">
        <v>22829.89</v>
      </c>
      <c r="E29" s="9" t="n">
        <v>22829.89</v>
      </c>
    </row>
    <row r="30" customFormat="false" ht="15" hidden="false" customHeight="false" outlineLevel="0" collapsed="false">
      <c r="B30" s="7" t="s">
        <v>126</v>
      </c>
      <c r="C30" s="9" t="n">
        <v>5886.42</v>
      </c>
      <c r="E30" s="9" t="n">
        <v>5886.42</v>
      </c>
    </row>
    <row r="31" customFormat="false" ht="15" hidden="false" customHeight="false" outlineLevel="0" collapsed="false">
      <c r="B31" s="7" t="s">
        <v>127</v>
      </c>
      <c r="C31" s="9" t="n">
        <v>5036.01</v>
      </c>
      <c r="E31" s="9" t="n">
        <v>5036.01</v>
      </c>
    </row>
    <row r="32" customFormat="false" ht="15" hidden="false" customHeight="false" outlineLevel="0" collapsed="false">
      <c r="B32" s="7" t="s">
        <v>128</v>
      </c>
      <c r="C32" s="9" t="n">
        <v>5406.4</v>
      </c>
      <c r="E32" s="9" t="n">
        <v>5406.4</v>
      </c>
    </row>
    <row r="33" customFormat="false" ht="15" hidden="false" customHeight="false" outlineLevel="0" collapsed="false">
      <c r="B33" s="7" t="s">
        <v>129</v>
      </c>
      <c r="C33" s="9" t="n">
        <v>16464.28</v>
      </c>
      <c r="E33" s="9" t="n">
        <v>16464.28</v>
      </c>
    </row>
    <row r="34" customFormat="false" ht="15" hidden="false" customHeight="false" outlineLevel="0" collapsed="false">
      <c r="B34" s="7" t="s">
        <v>130</v>
      </c>
      <c r="C34" s="9" t="n">
        <v>5938.8</v>
      </c>
      <c r="E34" s="9" t="n">
        <v>5938.8</v>
      </c>
    </row>
    <row r="35" customFormat="false" ht="15" hidden="false" customHeight="false" outlineLevel="0" collapsed="false">
      <c r="B35" s="7" t="s">
        <v>131</v>
      </c>
      <c r="C35" s="9" t="n">
        <v>1234.18</v>
      </c>
      <c r="E35" s="9" t="n">
        <v>1234.18</v>
      </c>
    </row>
    <row r="36" customFormat="false" ht="15" hidden="false" customHeight="false" outlineLevel="0" collapsed="false">
      <c r="B36" s="7" t="s">
        <v>132</v>
      </c>
      <c r="C36" s="9" t="n">
        <v>20850.04</v>
      </c>
      <c r="E36" s="9" t="n">
        <v>20850.04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169770.02</v>
      </c>
      <c r="D40" s="19" t="n">
        <f aca="false">SUM(D10:D39)</f>
        <v>31841.95</v>
      </c>
      <c r="E40" s="19" t="n">
        <f aca="false">SUM(E10:E39)</f>
        <v>137928.07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479.53</v>
      </c>
      <c r="D43" s="9" t="n">
        <v>89.94</v>
      </c>
      <c r="E43" s="9" t="n">
        <v>389.59</v>
      </c>
    </row>
    <row r="44" customFormat="false" ht="15" hidden="false" customHeight="false" outlineLevel="0" collapsed="false">
      <c r="B44" s="7" t="s">
        <v>71</v>
      </c>
      <c r="C44" s="9" t="n">
        <v>142694.3</v>
      </c>
      <c r="D44" s="9" t="n">
        <v>26763.65</v>
      </c>
      <c r="E44" s="9" t="n">
        <v>115930.65</v>
      </c>
    </row>
    <row r="45" customFormat="false" ht="15" hidden="false" customHeight="false" outlineLevel="0" collapsed="false">
      <c r="B45" s="7" t="s">
        <v>72</v>
      </c>
      <c r="C45" s="9" t="n">
        <v>8865.4</v>
      </c>
      <c r="D45" s="9" t="n">
        <v>1662.79</v>
      </c>
      <c r="E45" s="9" t="n">
        <v>7202.61</v>
      </c>
    </row>
    <row r="46" customFormat="false" ht="15" hidden="false" customHeight="false" outlineLevel="0" collapsed="false">
      <c r="B46" s="7" t="s">
        <v>73</v>
      </c>
      <c r="C46" s="9" t="n">
        <v>17730.79</v>
      </c>
      <c r="D46" s="9" t="n">
        <v>3325.57</v>
      </c>
      <c r="E46" s="9" t="n">
        <v>14405.22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169770.02</v>
      </c>
      <c r="D47" s="8" t="n">
        <f aca="false">SUM(D43:D46)</f>
        <v>31841.95</v>
      </c>
      <c r="E47" s="8" t="n">
        <f aca="false">SUM(E43:E46)</f>
        <v>137928.07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479.53</v>
      </c>
      <c r="D52" s="22" t="n">
        <v>0</v>
      </c>
      <c r="E52" s="23" t="n">
        <v>29.03</v>
      </c>
      <c r="F52" s="23" t="n">
        <v>11.97</v>
      </c>
      <c r="G52" s="23" t="n">
        <v>41</v>
      </c>
      <c r="H52" s="23" t="n">
        <v>438.53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142694.3</v>
      </c>
      <c r="D53" s="7" t="n">
        <v>0</v>
      </c>
      <c r="E53" s="9" t="n">
        <v>30709.29</v>
      </c>
      <c r="F53" s="9" t="n">
        <v>3355.37</v>
      </c>
      <c r="G53" s="9" t="n">
        <v>34064.66</v>
      </c>
      <c r="H53" s="9" t="n">
        <v>108629.64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8865.4</v>
      </c>
      <c r="D54" s="22" t="n">
        <v>0</v>
      </c>
      <c r="E54" s="23" t="n">
        <v>8274.39</v>
      </c>
      <c r="F54" s="22" t="n">
        <v>0</v>
      </c>
      <c r="G54" s="23" t="n">
        <v>8274.39</v>
      </c>
      <c r="H54" s="23" t="n">
        <v>591.01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17730.79</v>
      </c>
      <c r="D55" s="7" t="n">
        <v>0</v>
      </c>
      <c r="E55" s="9" t="n">
        <v>8532.2</v>
      </c>
      <c r="F55" s="9" t="n">
        <v>1046.12</v>
      </c>
      <c r="G55" s="9" t="n">
        <v>9578.32</v>
      </c>
      <c r="H55" s="9" t="n">
        <v>8152.47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169770.02</v>
      </c>
      <c r="D56" s="24" t="n">
        <f aca="false">SUM(D52:D55)</f>
        <v>0</v>
      </c>
      <c r="E56" s="24" t="n">
        <f aca="false">SUM(E52:E55)</f>
        <v>47544.91</v>
      </c>
      <c r="F56" s="24" t="n">
        <f aca="false">SUM(F52:F55)</f>
        <v>4413.46</v>
      </c>
      <c r="G56" s="24" t="n">
        <f aca="false">SUM(G52:G55)</f>
        <v>51958.37</v>
      </c>
      <c r="H56" s="24" t="n">
        <f aca="false">SUM(H52:H55)</f>
        <v>117811.65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89.94</v>
      </c>
      <c r="D60" s="23" t="n">
        <v>89.94</v>
      </c>
      <c r="E60" s="23" t="n">
        <v>89.94</v>
      </c>
      <c r="F60" s="22" t="n">
        <v>0</v>
      </c>
      <c r="G60" s="23" t="n">
        <v>89.94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389.59</v>
      </c>
      <c r="D61" s="7" t="n">
        <v>0</v>
      </c>
      <c r="E61" s="9" t="n">
        <v>29.77</v>
      </c>
      <c r="F61" s="9" t="n">
        <v>12.99</v>
      </c>
      <c r="G61" s="9" t="n">
        <v>42.76</v>
      </c>
      <c r="H61" s="9" t="n">
        <v>346.83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26763.65</v>
      </c>
      <c r="D62" s="22" t="n">
        <v>0</v>
      </c>
      <c r="E62" s="23" t="n">
        <v>26763.65</v>
      </c>
      <c r="F62" s="22" t="n">
        <v>0</v>
      </c>
      <c r="G62" s="23" t="n">
        <v>26763.65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115930.65</v>
      </c>
      <c r="D63" s="7" t="n">
        <v>0</v>
      </c>
      <c r="E63" s="9" t="n">
        <v>25601.32</v>
      </c>
      <c r="F63" s="9" t="n">
        <v>3864.35</v>
      </c>
      <c r="G63" s="9" t="n">
        <v>29465.67</v>
      </c>
      <c r="H63" s="9" t="n">
        <v>86464.98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1662.79</v>
      </c>
      <c r="D64" s="22" t="n">
        <v>0</v>
      </c>
      <c r="E64" s="23" t="n">
        <v>1662.79</v>
      </c>
      <c r="F64" s="22" t="n">
        <v>0</v>
      </c>
      <c r="G64" s="23" t="n">
        <v>1662.79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7202.61</v>
      </c>
      <c r="D65" s="7" t="n">
        <v>0</v>
      </c>
      <c r="E65" s="9" t="n">
        <v>1590.59</v>
      </c>
      <c r="F65" s="9" t="n">
        <v>240.09</v>
      </c>
      <c r="G65" s="9" t="n">
        <v>1830.68</v>
      </c>
      <c r="H65" s="9" t="n">
        <v>5371.93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3325.57</v>
      </c>
      <c r="D66" s="22" t="n">
        <v>0</v>
      </c>
      <c r="E66" s="23" t="n">
        <v>3325.57</v>
      </c>
      <c r="F66" s="22" t="n">
        <v>0</v>
      </c>
      <c r="G66" s="23" t="n">
        <v>3325.57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14405.22</v>
      </c>
      <c r="D67" s="7" t="n">
        <v>0</v>
      </c>
      <c r="E67" s="9" t="n">
        <v>3181.13</v>
      </c>
      <c r="F67" s="9" t="n">
        <v>480.17</v>
      </c>
      <c r="G67" s="9" t="n">
        <v>3661.3</v>
      </c>
      <c r="H67" s="9" t="n">
        <v>10743.92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169770.02</v>
      </c>
      <c r="D68" s="24" t="n">
        <f aca="false">SUM(D60:D67)</f>
        <v>89.94</v>
      </c>
      <c r="E68" s="24" t="n">
        <f aca="false">SUM(E60:E67)</f>
        <v>62244.76</v>
      </c>
      <c r="F68" s="24" t="n">
        <f aca="false">SUM(F60:F67)</f>
        <v>4597.6</v>
      </c>
      <c r="G68" s="24" t="n">
        <f aca="false">SUM(G60:G67)</f>
        <v>66842.36</v>
      </c>
      <c r="H68" s="24" t="n">
        <f aca="false">SUM(H60:H67)</f>
        <v>102927.66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51958.37</v>
      </c>
    </row>
    <row r="72" customFormat="false" ht="15" hidden="false" customHeight="false" outlineLevel="0" collapsed="false">
      <c r="B72" s="7" t="s">
        <v>102</v>
      </c>
      <c r="C72" s="25" t="n">
        <f aca="false">G68</f>
        <v>66842.36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-14883.99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162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163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13932.37</v>
      </c>
      <c r="D11" s="9" t="n">
        <v>13932.37</v>
      </c>
    </row>
    <row r="12" customFormat="false" ht="15" hidden="false" customHeight="false" outlineLevel="0" collapsed="false">
      <c r="B12" s="7" t="s">
        <v>108</v>
      </c>
      <c r="C12" s="9" t="n">
        <v>4762.13</v>
      </c>
      <c r="D12" s="9" t="n">
        <v>4762.13</v>
      </c>
    </row>
    <row r="13" customFormat="false" ht="15" hidden="false" customHeight="false" outlineLevel="0" collapsed="false">
      <c r="B13" s="7" t="s">
        <v>109</v>
      </c>
      <c r="C13" s="9" t="n">
        <v>21399.52</v>
      </c>
      <c r="D13" s="9" t="n">
        <v>21399.52</v>
      </c>
    </row>
    <row r="14" customFormat="false" ht="15" hidden="false" customHeight="false" outlineLevel="0" collapsed="false">
      <c r="B14" s="7" t="s">
        <v>110</v>
      </c>
      <c r="C14" s="9" t="n">
        <v>1967.77</v>
      </c>
      <c r="D14" s="9" t="n">
        <v>1967.77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1855.1</v>
      </c>
      <c r="D17" s="9" t="n">
        <v>1855.1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8726.14</v>
      </c>
      <c r="E23" s="9" t="n">
        <v>8726.14</v>
      </c>
    </row>
    <row r="24" customFormat="false" ht="15" hidden="false" customHeight="false" outlineLevel="0" collapsed="false">
      <c r="B24" s="7" t="s">
        <v>120</v>
      </c>
      <c r="C24" s="9" t="n">
        <v>14310.97</v>
      </c>
      <c r="E24" s="9" t="n">
        <v>14310.97</v>
      </c>
    </row>
    <row r="25" customFormat="false" ht="15" hidden="false" customHeight="false" outlineLevel="0" collapsed="false">
      <c r="B25" s="7" t="s">
        <v>121</v>
      </c>
      <c r="C25" s="9" t="n">
        <v>20721.85</v>
      </c>
      <c r="E25" s="9" t="n">
        <v>20721.85</v>
      </c>
    </row>
    <row r="26" customFormat="false" ht="15" hidden="false" customHeight="false" outlineLevel="0" collapsed="false">
      <c r="B26" s="7" t="s">
        <v>122</v>
      </c>
      <c r="C26" s="9" t="n">
        <v>20019.46</v>
      </c>
      <c r="E26" s="9" t="n">
        <v>20019.46</v>
      </c>
    </row>
    <row r="27" customFormat="false" ht="15" hidden="false" customHeight="false" outlineLevel="0" collapsed="false">
      <c r="B27" s="7" t="s">
        <v>123</v>
      </c>
      <c r="C27" s="9" t="n">
        <v>18013.39</v>
      </c>
      <c r="E27" s="9" t="n">
        <v>18013.39</v>
      </c>
    </row>
    <row r="28" customFormat="false" ht="15" hidden="false" customHeight="false" outlineLevel="0" collapsed="false">
      <c r="B28" s="7" t="s">
        <v>124</v>
      </c>
      <c r="C28" s="9" t="n">
        <v>1255.28</v>
      </c>
      <c r="E28" s="9" t="n">
        <v>1255.28</v>
      </c>
    </row>
    <row r="29" customFormat="false" ht="15" hidden="false" customHeight="false" outlineLevel="0" collapsed="false">
      <c r="B29" s="7" t="s">
        <v>125</v>
      </c>
      <c r="C29" s="9" t="n">
        <v>28034.85</v>
      </c>
      <c r="E29" s="9" t="n">
        <v>28034.85</v>
      </c>
    </row>
    <row r="30" customFormat="false" ht="15" hidden="false" customHeight="false" outlineLevel="0" collapsed="false">
      <c r="B30" s="7" t="s">
        <v>126</v>
      </c>
      <c r="C30" s="9" t="n">
        <v>9209.33</v>
      </c>
      <c r="E30" s="9" t="n">
        <v>9209.33</v>
      </c>
    </row>
    <row r="31" customFormat="false" ht="15" hidden="false" customHeight="false" outlineLevel="0" collapsed="false">
      <c r="B31" s="7" t="s">
        <v>127</v>
      </c>
      <c r="C31" s="9" t="n">
        <v>8673.12</v>
      </c>
      <c r="E31" s="9" t="n">
        <v>8673.12</v>
      </c>
    </row>
    <row r="32" customFormat="false" ht="15" hidden="false" customHeight="false" outlineLevel="0" collapsed="false">
      <c r="B32" s="7" t="s">
        <v>128</v>
      </c>
      <c r="C32" s="9" t="n">
        <v>9530.52</v>
      </c>
      <c r="E32" s="9" t="n">
        <v>9530.52</v>
      </c>
    </row>
    <row r="33" customFormat="false" ht="15" hidden="false" customHeight="false" outlineLevel="0" collapsed="false">
      <c r="B33" s="7" t="s">
        <v>129</v>
      </c>
      <c r="C33" s="9" t="n">
        <v>20615.67</v>
      </c>
      <c r="E33" s="9" t="n">
        <v>20615.67</v>
      </c>
    </row>
    <row r="34" customFormat="false" ht="15" hidden="false" customHeight="false" outlineLevel="0" collapsed="false">
      <c r="B34" s="7" t="s">
        <v>130</v>
      </c>
      <c r="C34" s="9" t="n">
        <v>8186.44</v>
      </c>
      <c r="E34" s="9" t="n">
        <v>8186.44</v>
      </c>
    </row>
    <row r="35" customFormat="false" ht="15" hidden="false" customHeight="false" outlineLevel="0" collapsed="false">
      <c r="B35" s="7" t="s">
        <v>131</v>
      </c>
      <c r="C35" s="9" t="n">
        <v>1433.11</v>
      </c>
      <c r="E35" s="9" t="n">
        <v>1433.11</v>
      </c>
    </row>
    <row r="36" customFormat="false" ht="15" hidden="false" customHeight="false" outlineLevel="0" collapsed="false">
      <c r="B36" s="7" t="s">
        <v>132</v>
      </c>
      <c r="C36" s="9" t="n">
        <v>33915.86</v>
      </c>
      <c r="E36" s="9" t="n">
        <v>33915.86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265816.45</v>
      </c>
      <c r="D40" s="19" t="n">
        <f aca="false">SUM(D10:D39)</f>
        <v>55766.87</v>
      </c>
      <c r="E40" s="19" t="n">
        <f aca="false">SUM(E10:E39)</f>
        <v>210049.58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750.82</v>
      </c>
      <c r="D43" s="9" t="n">
        <v>157.52</v>
      </c>
      <c r="E43" s="9" t="n">
        <v>593.3</v>
      </c>
    </row>
    <row r="44" customFormat="false" ht="15" hidden="false" customHeight="false" outlineLevel="0" collapsed="false">
      <c r="B44" s="7" t="s">
        <v>71</v>
      </c>
      <c r="C44" s="9" t="n">
        <v>223422.8</v>
      </c>
      <c r="D44" s="9" t="n">
        <v>46872.91</v>
      </c>
      <c r="E44" s="9" t="n">
        <v>176549.89</v>
      </c>
    </row>
    <row r="45" customFormat="false" ht="15" hidden="false" customHeight="false" outlineLevel="0" collapsed="false">
      <c r="B45" s="7" t="s">
        <v>72</v>
      </c>
      <c r="C45" s="9" t="n">
        <v>13880.94</v>
      </c>
      <c r="D45" s="9" t="n">
        <v>2912.15</v>
      </c>
      <c r="E45" s="9" t="n">
        <v>10968.79</v>
      </c>
    </row>
    <row r="46" customFormat="false" ht="15" hidden="false" customHeight="false" outlineLevel="0" collapsed="false">
      <c r="B46" s="7" t="s">
        <v>73</v>
      </c>
      <c r="C46" s="9" t="n">
        <v>27761.89</v>
      </c>
      <c r="D46" s="9" t="n">
        <v>5824.29</v>
      </c>
      <c r="E46" s="9" t="n">
        <v>21937.6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265816.45</v>
      </c>
      <c r="D47" s="8" t="n">
        <f aca="false">SUM(D43:D46)</f>
        <v>55766.87</v>
      </c>
      <c r="E47" s="8" t="n">
        <f aca="false">SUM(E43:E46)</f>
        <v>210049.58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750.82</v>
      </c>
      <c r="D52" s="22" t="n">
        <v>0</v>
      </c>
      <c r="E52" s="23" t="n">
        <v>45.46</v>
      </c>
      <c r="F52" s="23" t="n">
        <v>18.74</v>
      </c>
      <c r="G52" s="23" t="n">
        <v>64.2</v>
      </c>
      <c r="H52" s="23" t="n">
        <v>686.62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223422.8</v>
      </c>
      <c r="D53" s="7" t="n">
        <v>0</v>
      </c>
      <c r="E53" s="9" t="n">
        <v>48082.9</v>
      </c>
      <c r="F53" s="9" t="n">
        <v>5253.66</v>
      </c>
      <c r="G53" s="9" t="n">
        <v>53336.56</v>
      </c>
      <c r="H53" s="9" t="n">
        <v>170086.24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13880.94</v>
      </c>
      <c r="D54" s="22" t="n">
        <v>0</v>
      </c>
      <c r="E54" s="23" t="n">
        <v>12955.57</v>
      </c>
      <c r="F54" s="22" t="n">
        <v>0</v>
      </c>
      <c r="G54" s="23" t="n">
        <v>12955.57</v>
      </c>
      <c r="H54" s="23" t="n">
        <v>925.37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27761.89</v>
      </c>
      <c r="D55" s="7" t="n">
        <v>0</v>
      </c>
      <c r="E55" s="9" t="n">
        <v>13359.23</v>
      </c>
      <c r="F55" s="9" t="n">
        <v>1637.95</v>
      </c>
      <c r="G55" s="9" t="n">
        <v>14997.18</v>
      </c>
      <c r="H55" s="9" t="n">
        <v>12764.71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265816.45</v>
      </c>
      <c r="D56" s="24" t="n">
        <f aca="false">SUM(D52:D55)</f>
        <v>0</v>
      </c>
      <c r="E56" s="24" t="n">
        <f aca="false">SUM(E52:E55)</f>
        <v>74443.16</v>
      </c>
      <c r="F56" s="24" t="n">
        <f aca="false">SUM(F52:F55)</f>
        <v>6910.35</v>
      </c>
      <c r="G56" s="24" t="n">
        <f aca="false">SUM(G52:G55)</f>
        <v>81353.51</v>
      </c>
      <c r="H56" s="24" t="n">
        <f aca="false">SUM(H52:H55)</f>
        <v>184462.94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157.52</v>
      </c>
      <c r="D60" s="23" t="n">
        <v>157.52</v>
      </c>
      <c r="E60" s="23" t="n">
        <v>157.52</v>
      </c>
      <c r="F60" s="22" t="n">
        <v>0</v>
      </c>
      <c r="G60" s="23" t="n">
        <v>157.52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593.3</v>
      </c>
      <c r="D61" s="7" t="n">
        <v>0</v>
      </c>
      <c r="E61" s="9" t="n">
        <v>45.33</v>
      </c>
      <c r="F61" s="9" t="n">
        <v>19.78</v>
      </c>
      <c r="G61" s="9" t="n">
        <v>65.11</v>
      </c>
      <c r="H61" s="9" t="n">
        <v>528.19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46872.91</v>
      </c>
      <c r="D62" s="22" t="n">
        <v>0</v>
      </c>
      <c r="E62" s="23" t="n">
        <v>46872.91</v>
      </c>
      <c r="F62" s="22" t="n">
        <v>0</v>
      </c>
      <c r="G62" s="23" t="n">
        <v>46872.91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176549.89</v>
      </c>
      <c r="D63" s="7" t="n">
        <v>0</v>
      </c>
      <c r="E63" s="9" t="n">
        <v>38988.12</v>
      </c>
      <c r="F63" s="9" t="n">
        <v>5885</v>
      </c>
      <c r="G63" s="9" t="n">
        <v>44873.12</v>
      </c>
      <c r="H63" s="9" t="n">
        <v>131676.77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2912.15</v>
      </c>
      <c r="D64" s="22" t="n">
        <v>0</v>
      </c>
      <c r="E64" s="23" t="n">
        <v>2912.15</v>
      </c>
      <c r="F64" s="22" t="n">
        <v>0</v>
      </c>
      <c r="G64" s="23" t="n">
        <v>2912.15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10968.79</v>
      </c>
      <c r="D65" s="7" t="n">
        <v>0</v>
      </c>
      <c r="E65" s="9" t="n">
        <v>2422.3</v>
      </c>
      <c r="F65" s="9" t="n">
        <v>365.63</v>
      </c>
      <c r="G65" s="9" t="n">
        <v>2787.93</v>
      </c>
      <c r="H65" s="9" t="n">
        <v>8180.86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5824.29</v>
      </c>
      <c r="D66" s="22" t="n">
        <v>0</v>
      </c>
      <c r="E66" s="23" t="n">
        <v>5824.29</v>
      </c>
      <c r="F66" s="22" t="n">
        <v>0</v>
      </c>
      <c r="G66" s="23" t="n">
        <v>5824.29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21937.6</v>
      </c>
      <c r="D67" s="7" t="n">
        <v>0</v>
      </c>
      <c r="E67" s="9" t="n">
        <v>4844.53</v>
      </c>
      <c r="F67" s="9" t="n">
        <v>731.25</v>
      </c>
      <c r="G67" s="9" t="n">
        <v>5575.78</v>
      </c>
      <c r="H67" s="9" t="n">
        <v>16361.82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265816.45</v>
      </c>
      <c r="D68" s="24" t="n">
        <f aca="false">SUM(D60:D67)</f>
        <v>157.52</v>
      </c>
      <c r="E68" s="24" t="n">
        <f aca="false">SUM(E60:E67)</f>
        <v>102067.15</v>
      </c>
      <c r="F68" s="24" t="n">
        <f aca="false">SUM(F60:F67)</f>
        <v>7001.66</v>
      </c>
      <c r="G68" s="24" t="n">
        <f aca="false">SUM(G60:G67)</f>
        <v>109068.81</v>
      </c>
      <c r="H68" s="24" t="n">
        <f aca="false">SUM(H60:H67)</f>
        <v>156747.64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81353.51</v>
      </c>
    </row>
    <row r="72" customFormat="false" ht="15" hidden="false" customHeight="false" outlineLevel="0" collapsed="false">
      <c r="B72" s="7" t="s">
        <v>102</v>
      </c>
      <c r="C72" s="25" t="n">
        <f aca="false">G68</f>
        <v>109068.81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-27715.3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164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165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13932.37</v>
      </c>
      <c r="D11" s="9" t="n">
        <v>13932.37</v>
      </c>
    </row>
    <row r="12" customFormat="false" ht="15" hidden="false" customHeight="false" outlineLevel="0" collapsed="false">
      <c r="B12" s="7" t="s">
        <v>108</v>
      </c>
      <c r="C12" s="9" t="n">
        <v>4762.13</v>
      </c>
      <c r="D12" s="9" t="n">
        <v>4762.13</v>
      </c>
    </row>
    <row r="13" customFormat="false" ht="15" hidden="false" customHeight="false" outlineLevel="0" collapsed="false">
      <c r="B13" s="7" t="s">
        <v>109</v>
      </c>
      <c r="C13" s="9" t="n">
        <v>21399.52</v>
      </c>
      <c r="D13" s="9" t="n">
        <v>21399.52</v>
      </c>
    </row>
    <row r="14" customFormat="false" ht="15" hidden="false" customHeight="false" outlineLevel="0" collapsed="false">
      <c r="B14" s="7" t="s">
        <v>110</v>
      </c>
      <c r="C14" s="9" t="n">
        <v>1967.77</v>
      </c>
      <c r="D14" s="9" t="n">
        <v>1967.77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1855.1</v>
      </c>
      <c r="D17" s="9" t="n">
        <v>1855.1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8726.14</v>
      </c>
      <c r="E23" s="9" t="n">
        <v>8726.14</v>
      </c>
    </row>
    <row r="24" customFormat="false" ht="15" hidden="false" customHeight="false" outlineLevel="0" collapsed="false">
      <c r="B24" s="7" t="s">
        <v>120</v>
      </c>
      <c r="C24" s="9" t="n">
        <v>14310.97</v>
      </c>
      <c r="E24" s="9" t="n">
        <v>14310.97</v>
      </c>
    </row>
    <row r="25" customFormat="false" ht="15" hidden="false" customHeight="false" outlineLevel="0" collapsed="false">
      <c r="B25" s="7" t="s">
        <v>121</v>
      </c>
      <c r="C25" s="9" t="n">
        <v>20721.85</v>
      </c>
      <c r="E25" s="9" t="n">
        <v>20721.85</v>
      </c>
    </row>
    <row r="26" customFormat="false" ht="15" hidden="false" customHeight="false" outlineLevel="0" collapsed="false">
      <c r="B26" s="7" t="s">
        <v>122</v>
      </c>
      <c r="C26" s="9" t="n">
        <v>20019.46</v>
      </c>
      <c r="E26" s="9" t="n">
        <v>20019.46</v>
      </c>
    </row>
    <row r="27" customFormat="false" ht="15" hidden="false" customHeight="false" outlineLevel="0" collapsed="false">
      <c r="B27" s="7" t="s">
        <v>123</v>
      </c>
      <c r="C27" s="9" t="n">
        <v>18013.39</v>
      </c>
      <c r="E27" s="9" t="n">
        <v>18013.39</v>
      </c>
    </row>
    <row r="28" customFormat="false" ht="15" hidden="false" customHeight="false" outlineLevel="0" collapsed="false">
      <c r="B28" s="7" t="s">
        <v>124</v>
      </c>
      <c r="C28" s="9" t="n">
        <v>1255.28</v>
      </c>
      <c r="E28" s="9" t="n">
        <v>1255.28</v>
      </c>
    </row>
    <row r="29" customFormat="false" ht="15" hidden="false" customHeight="false" outlineLevel="0" collapsed="false">
      <c r="B29" s="7" t="s">
        <v>125</v>
      </c>
      <c r="C29" s="9" t="n">
        <v>28034.85</v>
      </c>
      <c r="E29" s="9" t="n">
        <v>28034.85</v>
      </c>
    </row>
    <row r="30" customFormat="false" ht="15" hidden="false" customHeight="false" outlineLevel="0" collapsed="false">
      <c r="B30" s="7" t="s">
        <v>126</v>
      </c>
      <c r="C30" s="9" t="n">
        <v>9209.33</v>
      </c>
      <c r="E30" s="9" t="n">
        <v>9209.33</v>
      </c>
    </row>
    <row r="31" customFormat="false" ht="15" hidden="false" customHeight="false" outlineLevel="0" collapsed="false">
      <c r="B31" s="7" t="s">
        <v>127</v>
      </c>
      <c r="C31" s="9" t="n">
        <v>8673.12</v>
      </c>
      <c r="E31" s="9" t="n">
        <v>8673.12</v>
      </c>
    </row>
    <row r="32" customFormat="false" ht="15" hidden="false" customHeight="false" outlineLevel="0" collapsed="false">
      <c r="B32" s="7" t="s">
        <v>128</v>
      </c>
      <c r="C32" s="9" t="n">
        <v>9530.52</v>
      </c>
      <c r="E32" s="9" t="n">
        <v>9530.52</v>
      </c>
    </row>
    <row r="33" customFormat="false" ht="15" hidden="false" customHeight="false" outlineLevel="0" collapsed="false">
      <c r="B33" s="7" t="s">
        <v>129</v>
      </c>
      <c r="C33" s="9" t="n">
        <v>20615.67</v>
      </c>
      <c r="E33" s="9" t="n">
        <v>20615.67</v>
      </c>
    </row>
    <row r="34" customFormat="false" ht="15" hidden="false" customHeight="false" outlineLevel="0" collapsed="false">
      <c r="B34" s="7" t="s">
        <v>130</v>
      </c>
      <c r="C34" s="9" t="n">
        <v>8186.44</v>
      </c>
      <c r="E34" s="9" t="n">
        <v>8186.44</v>
      </c>
    </row>
    <row r="35" customFormat="false" ht="15" hidden="false" customHeight="false" outlineLevel="0" collapsed="false">
      <c r="B35" s="7" t="s">
        <v>131</v>
      </c>
      <c r="C35" s="9" t="n">
        <v>1433.11</v>
      </c>
      <c r="E35" s="9" t="n">
        <v>1433.11</v>
      </c>
    </row>
    <row r="36" customFormat="false" ht="15" hidden="false" customHeight="false" outlineLevel="0" collapsed="false">
      <c r="B36" s="7" t="s">
        <v>132</v>
      </c>
      <c r="C36" s="9" t="n">
        <v>33915.86</v>
      </c>
      <c r="E36" s="9" t="n">
        <v>33915.86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265816.45</v>
      </c>
      <c r="D40" s="19" t="n">
        <f aca="false">SUM(D10:D39)</f>
        <v>55766.87</v>
      </c>
      <c r="E40" s="19" t="n">
        <f aca="false">SUM(E10:E39)</f>
        <v>210049.58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750.82</v>
      </c>
      <c r="D43" s="9" t="n">
        <v>157.52</v>
      </c>
      <c r="E43" s="9" t="n">
        <v>593.3</v>
      </c>
    </row>
    <row r="44" customFormat="false" ht="15" hidden="false" customHeight="false" outlineLevel="0" collapsed="false">
      <c r="B44" s="7" t="s">
        <v>71</v>
      </c>
      <c r="C44" s="9" t="n">
        <v>223422.8</v>
      </c>
      <c r="D44" s="9" t="n">
        <v>46872.91</v>
      </c>
      <c r="E44" s="9" t="n">
        <v>176549.89</v>
      </c>
    </row>
    <row r="45" customFormat="false" ht="15" hidden="false" customHeight="false" outlineLevel="0" collapsed="false">
      <c r="B45" s="7" t="s">
        <v>72</v>
      </c>
      <c r="C45" s="9" t="n">
        <v>13880.94</v>
      </c>
      <c r="D45" s="9" t="n">
        <v>2912.15</v>
      </c>
      <c r="E45" s="9" t="n">
        <v>10968.79</v>
      </c>
    </row>
    <row r="46" customFormat="false" ht="15" hidden="false" customHeight="false" outlineLevel="0" collapsed="false">
      <c r="B46" s="7" t="s">
        <v>73</v>
      </c>
      <c r="C46" s="9" t="n">
        <v>27761.89</v>
      </c>
      <c r="D46" s="9" t="n">
        <v>5824.29</v>
      </c>
      <c r="E46" s="9" t="n">
        <v>21937.6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265816.45</v>
      </c>
      <c r="D47" s="8" t="n">
        <f aca="false">SUM(D43:D46)</f>
        <v>55766.87</v>
      </c>
      <c r="E47" s="8" t="n">
        <f aca="false">SUM(E43:E46)</f>
        <v>210049.58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750.82</v>
      </c>
      <c r="D52" s="22" t="n">
        <v>0</v>
      </c>
      <c r="E52" s="23" t="n">
        <v>45.46</v>
      </c>
      <c r="F52" s="23" t="n">
        <v>18.74</v>
      </c>
      <c r="G52" s="23" t="n">
        <v>64.2</v>
      </c>
      <c r="H52" s="23" t="n">
        <v>686.62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223422.8</v>
      </c>
      <c r="D53" s="7" t="n">
        <v>0</v>
      </c>
      <c r="E53" s="9" t="n">
        <v>48082.9</v>
      </c>
      <c r="F53" s="9" t="n">
        <v>5253.66</v>
      </c>
      <c r="G53" s="9" t="n">
        <v>53336.56</v>
      </c>
      <c r="H53" s="9" t="n">
        <v>170086.24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13880.94</v>
      </c>
      <c r="D54" s="22" t="n">
        <v>0</v>
      </c>
      <c r="E54" s="23" t="n">
        <v>12955.57</v>
      </c>
      <c r="F54" s="22" t="n">
        <v>0</v>
      </c>
      <c r="G54" s="23" t="n">
        <v>12955.57</v>
      </c>
      <c r="H54" s="23" t="n">
        <v>925.37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27761.89</v>
      </c>
      <c r="D55" s="7" t="n">
        <v>0</v>
      </c>
      <c r="E55" s="9" t="n">
        <v>13359.23</v>
      </c>
      <c r="F55" s="9" t="n">
        <v>1637.95</v>
      </c>
      <c r="G55" s="9" t="n">
        <v>14997.18</v>
      </c>
      <c r="H55" s="9" t="n">
        <v>12764.71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265816.45</v>
      </c>
      <c r="D56" s="24" t="n">
        <f aca="false">SUM(D52:D55)</f>
        <v>0</v>
      </c>
      <c r="E56" s="24" t="n">
        <f aca="false">SUM(E52:E55)</f>
        <v>74443.16</v>
      </c>
      <c r="F56" s="24" t="n">
        <f aca="false">SUM(F52:F55)</f>
        <v>6910.35</v>
      </c>
      <c r="G56" s="24" t="n">
        <f aca="false">SUM(G52:G55)</f>
        <v>81353.51</v>
      </c>
      <c r="H56" s="24" t="n">
        <f aca="false">SUM(H52:H55)</f>
        <v>184462.94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157.52</v>
      </c>
      <c r="D60" s="23" t="n">
        <v>157.52</v>
      </c>
      <c r="E60" s="23" t="n">
        <v>157.52</v>
      </c>
      <c r="F60" s="22" t="n">
        <v>0</v>
      </c>
      <c r="G60" s="23" t="n">
        <v>157.52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593.3</v>
      </c>
      <c r="D61" s="7" t="n">
        <v>0</v>
      </c>
      <c r="E61" s="9" t="n">
        <v>45.33</v>
      </c>
      <c r="F61" s="9" t="n">
        <v>19.78</v>
      </c>
      <c r="G61" s="9" t="n">
        <v>65.11</v>
      </c>
      <c r="H61" s="9" t="n">
        <v>528.19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46872.91</v>
      </c>
      <c r="D62" s="22" t="n">
        <v>0</v>
      </c>
      <c r="E62" s="23" t="n">
        <v>46872.91</v>
      </c>
      <c r="F62" s="22" t="n">
        <v>0</v>
      </c>
      <c r="G62" s="23" t="n">
        <v>46872.91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176549.89</v>
      </c>
      <c r="D63" s="7" t="n">
        <v>0</v>
      </c>
      <c r="E63" s="9" t="n">
        <v>38988.12</v>
      </c>
      <c r="F63" s="9" t="n">
        <v>5885</v>
      </c>
      <c r="G63" s="9" t="n">
        <v>44873.12</v>
      </c>
      <c r="H63" s="9" t="n">
        <v>131676.77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2912.15</v>
      </c>
      <c r="D64" s="22" t="n">
        <v>0</v>
      </c>
      <c r="E64" s="23" t="n">
        <v>2912.15</v>
      </c>
      <c r="F64" s="22" t="n">
        <v>0</v>
      </c>
      <c r="G64" s="23" t="n">
        <v>2912.15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10968.79</v>
      </c>
      <c r="D65" s="7" t="n">
        <v>0</v>
      </c>
      <c r="E65" s="9" t="n">
        <v>2422.3</v>
      </c>
      <c r="F65" s="9" t="n">
        <v>365.63</v>
      </c>
      <c r="G65" s="9" t="n">
        <v>2787.93</v>
      </c>
      <c r="H65" s="9" t="n">
        <v>8180.86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5824.29</v>
      </c>
      <c r="D66" s="22" t="n">
        <v>0</v>
      </c>
      <c r="E66" s="23" t="n">
        <v>5824.29</v>
      </c>
      <c r="F66" s="22" t="n">
        <v>0</v>
      </c>
      <c r="G66" s="23" t="n">
        <v>5824.29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21937.6</v>
      </c>
      <c r="D67" s="7" t="n">
        <v>0</v>
      </c>
      <c r="E67" s="9" t="n">
        <v>4844.53</v>
      </c>
      <c r="F67" s="9" t="n">
        <v>731.25</v>
      </c>
      <c r="G67" s="9" t="n">
        <v>5575.78</v>
      </c>
      <c r="H67" s="9" t="n">
        <v>16361.82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265816.45</v>
      </c>
      <c r="D68" s="24" t="n">
        <f aca="false">SUM(D60:D67)</f>
        <v>157.52</v>
      </c>
      <c r="E68" s="24" t="n">
        <f aca="false">SUM(E60:E67)</f>
        <v>102067.15</v>
      </c>
      <c r="F68" s="24" t="n">
        <f aca="false">SUM(F60:F67)</f>
        <v>7001.66</v>
      </c>
      <c r="G68" s="24" t="n">
        <f aca="false">SUM(G60:G67)</f>
        <v>109068.81</v>
      </c>
      <c r="H68" s="24" t="n">
        <f aca="false">SUM(H60:H67)</f>
        <v>156747.64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81353.51</v>
      </c>
    </row>
    <row r="72" customFormat="false" ht="15" hidden="false" customHeight="false" outlineLevel="0" collapsed="false">
      <c r="B72" s="7" t="s">
        <v>102</v>
      </c>
      <c r="C72" s="25" t="n">
        <f aca="false">G68</f>
        <v>109068.81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-27715.3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166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167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11319.08</v>
      </c>
      <c r="D11" s="9" t="n">
        <v>11319.08</v>
      </c>
    </row>
    <row r="12" customFormat="false" ht="15" hidden="false" customHeight="false" outlineLevel="0" collapsed="false">
      <c r="B12" s="7" t="s">
        <v>108</v>
      </c>
      <c r="C12" s="9" t="n">
        <v>4407.51</v>
      </c>
      <c r="D12" s="9" t="n">
        <v>4407.51</v>
      </c>
    </row>
    <row r="13" customFormat="false" ht="15" hidden="false" customHeight="false" outlineLevel="0" collapsed="false">
      <c r="B13" s="7" t="s">
        <v>109</v>
      </c>
      <c r="C13" s="9" t="n">
        <v>17858.88</v>
      </c>
      <c r="D13" s="9" t="n">
        <v>17858.88</v>
      </c>
    </row>
    <row r="14" customFormat="false" ht="15" hidden="false" customHeight="false" outlineLevel="0" collapsed="false">
      <c r="B14" s="7" t="s">
        <v>110</v>
      </c>
      <c r="C14" s="9" t="n">
        <v>1586.91</v>
      </c>
      <c r="D14" s="9" t="n">
        <v>1586.91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1548.16</v>
      </c>
      <c r="D17" s="9" t="n">
        <v>1548.16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7270.82</v>
      </c>
      <c r="E23" s="9" t="n">
        <v>7270.82</v>
      </c>
    </row>
    <row r="24" customFormat="false" ht="15" hidden="false" customHeight="false" outlineLevel="0" collapsed="false">
      <c r="B24" s="7" t="s">
        <v>120</v>
      </c>
      <c r="C24" s="9" t="n">
        <v>12116.84</v>
      </c>
      <c r="E24" s="9" t="n">
        <v>12116.84</v>
      </c>
    </row>
    <row r="25" customFormat="false" ht="15" hidden="false" customHeight="false" outlineLevel="0" collapsed="false">
      <c r="B25" s="7" t="s">
        <v>121</v>
      </c>
      <c r="C25" s="9" t="n">
        <v>17293.33</v>
      </c>
      <c r="E25" s="9" t="n">
        <v>17293.33</v>
      </c>
    </row>
    <row r="26" customFormat="false" ht="15" hidden="false" customHeight="false" outlineLevel="0" collapsed="false">
      <c r="B26" s="7" t="s">
        <v>122</v>
      </c>
      <c r="C26" s="9" t="n">
        <v>16285.45</v>
      </c>
      <c r="E26" s="9" t="n">
        <v>16285.45</v>
      </c>
    </row>
    <row r="27" customFormat="false" ht="15" hidden="false" customHeight="false" outlineLevel="0" collapsed="false">
      <c r="B27" s="7" t="s">
        <v>123</v>
      </c>
      <c r="C27" s="9" t="n">
        <v>15033</v>
      </c>
      <c r="E27" s="9" t="n">
        <v>15033</v>
      </c>
    </row>
    <row r="28" customFormat="false" ht="15" hidden="false" customHeight="false" outlineLevel="0" collapsed="false">
      <c r="B28" s="7" t="s">
        <v>124</v>
      </c>
      <c r="C28" s="9" t="n">
        <v>958.91</v>
      </c>
      <c r="E28" s="9" t="n">
        <v>958.91</v>
      </c>
    </row>
    <row r="29" customFormat="false" ht="15" hidden="false" customHeight="false" outlineLevel="0" collapsed="false">
      <c r="B29" s="7" t="s">
        <v>125</v>
      </c>
      <c r="C29" s="9" t="n">
        <v>26187.51</v>
      </c>
      <c r="E29" s="9" t="n">
        <v>26187.51</v>
      </c>
    </row>
    <row r="30" customFormat="false" ht="15" hidden="false" customHeight="false" outlineLevel="0" collapsed="false">
      <c r="B30" s="7" t="s">
        <v>126</v>
      </c>
      <c r="C30" s="9" t="n">
        <v>11772.85</v>
      </c>
      <c r="E30" s="9" t="n">
        <v>11772.85</v>
      </c>
    </row>
    <row r="31" customFormat="false" ht="15" hidden="false" customHeight="false" outlineLevel="0" collapsed="false">
      <c r="B31" s="7" t="s">
        <v>127</v>
      </c>
      <c r="C31" s="9" t="n">
        <v>6994.46</v>
      </c>
      <c r="E31" s="9" t="n">
        <v>6994.46</v>
      </c>
    </row>
    <row r="32" customFormat="false" ht="15" hidden="false" customHeight="false" outlineLevel="0" collapsed="false">
      <c r="B32" s="7" t="s">
        <v>128</v>
      </c>
      <c r="C32" s="9" t="n">
        <v>7953.64</v>
      </c>
      <c r="E32" s="9" t="n">
        <v>7953.64</v>
      </c>
    </row>
    <row r="33" customFormat="false" ht="15" hidden="false" customHeight="false" outlineLevel="0" collapsed="false">
      <c r="B33" s="7" t="s">
        <v>129</v>
      </c>
      <c r="C33" s="9" t="n">
        <v>19168.95</v>
      </c>
      <c r="E33" s="9" t="n">
        <v>19168.95</v>
      </c>
    </row>
    <row r="34" customFormat="false" ht="15" hidden="false" customHeight="false" outlineLevel="0" collapsed="false">
      <c r="B34" s="7" t="s">
        <v>130</v>
      </c>
      <c r="C34" s="9" t="n">
        <v>7364.73</v>
      </c>
      <c r="E34" s="9" t="n">
        <v>7364.73</v>
      </c>
    </row>
    <row r="35" customFormat="false" ht="15" hidden="false" customHeight="false" outlineLevel="0" collapsed="false">
      <c r="B35" s="7" t="s">
        <v>131</v>
      </c>
      <c r="C35" s="9" t="n">
        <v>1137.92</v>
      </c>
      <c r="E35" s="9" t="n">
        <v>1137.92</v>
      </c>
    </row>
    <row r="36" customFormat="false" ht="15" hidden="false" customHeight="false" outlineLevel="0" collapsed="false">
      <c r="B36" s="7" t="s">
        <v>132</v>
      </c>
      <c r="C36" s="9" t="n">
        <v>28878.51</v>
      </c>
      <c r="E36" s="9" t="n">
        <v>28878.51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234391.03</v>
      </c>
      <c r="D40" s="19" t="n">
        <f aca="false">SUM(D10:D39)</f>
        <v>48570.52</v>
      </c>
      <c r="E40" s="19" t="n">
        <f aca="false">SUM(E10:E39)</f>
        <v>185820.51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662.06</v>
      </c>
      <c r="D43" s="9" t="n">
        <v>137.19</v>
      </c>
      <c r="E43" s="9" t="n">
        <v>524.87</v>
      </c>
    </row>
    <row r="44" customFormat="false" ht="15" hidden="false" customHeight="false" outlineLevel="0" collapsed="false">
      <c r="B44" s="7" t="s">
        <v>71</v>
      </c>
      <c r="C44" s="9" t="n">
        <v>197009.25</v>
      </c>
      <c r="D44" s="9" t="n">
        <v>40824.27</v>
      </c>
      <c r="E44" s="9" t="n">
        <v>156184.98</v>
      </c>
    </row>
    <row r="45" customFormat="false" ht="15" hidden="false" customHeight="false" outlineLevel="0" collapsed="false">
      <c r="B45" s="7" t="s">
        <v>72</v>
      </c>
      <c r="C45" s="9" t="n">
        <v>12239.91</v>
      </c>
      <c r="D45" s="9" t="n">
        <v>2536.35</v>
      </c>
      <c r="E45" s="9" t="n">
        <v>9703.56</v>
      </c>
    </row>
    <row r="46" customFormat="false" ht="15" hidden="false" customHeight="false" outlineLevel="0" collapsed="false">
      <c r="B46" s="7" t="s">
        <v>73</v>
      </c>
      <c r="C46" s="9" t="n">
        <v>24479.81</v>
      </c>
      <c r="D46" s="9" t="n">
        <v>5072.71</v>
      </c>
      <c r="E46" s="9" t="n">
        <v>19407.1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234391.03</v>
      </c>
      <c r="D47" s="8" t="n">
        <f aca="false">SUM(D43:D46)</f>
        <v>48570.52</v>
      </c>
      <c r="E47" s="8" t="n">
        <f aca="false">SUM(E43:E46)</f>
        <v>185820.51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662.06</v>
      </c>
      <c r="D52" s="22" t="n">
        <v>0</v>
      </c>
      <c r="E52" s="23" t="n">
        <v>40.09</v>
      </c>
      <c r="F52" s="23" t="n">
        <v>16.52</v>
      </c>
      <c r="G52" s="23" t="n">
        <v>56.61</v>
      </c>
      <c r="H52" s="23" t="n">
        <v>605.45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197009.25</v>
      </c>
      <c r="D53" s="7" t="n">
        <v>0</v>
      </c>
      <c r="E53" s="9" t="n">
        <v>42398.42</v>
      </c>
      <c r="F53" s="9" t="n">
        <v>4632.55</v>
      </c>
      <c r="G53" s="9" t="n">
        <v>47030.97</v>
      </c>
      <c r="H53" s="9" t="n">
        <v>149978.28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12239.91</v>
      </c>
      <c r="D54" s="22" t="n">
        <v>0</v>
      </c>
      <c r="E54" s="23" t="n">
        <v>11423.94</v>
      </c>
      <c r="F54" s="22" t="n">
        <v>0</v>
      </c>
      <c r="G54" s="23" t="n">
        <v>11423.94</v>
      </c>
      <c r="H54" s="23" t="n">
        <v>815.97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24479.81</v>
      </c>
      <c r="D55" s="7" t="n">
        <v>0</v>
      </c>
      <c r="E55" s="9" t="n">
        <v>11779.87</v>
      </c>
      <c r="F55" s="9" t="n">
        <v>1444.31</v>
      </c>
      <c r="G55" s="9" t="n">
        <v>13224.18</v>
      </c>
      <c r="H55" s="9" t="n">
        <v>11255.63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234391.03</v>
      </c>
      <c r="D56" s="24" t="n">
        <f aca="false">SUM(D52:D55)</f>
        <v>0</v>
      </c>
      <c r="E56" s="24" t="n">
        <f aca="false">SUM(E52:E55)</f>
        <v>65642.32</v>
      </c>
      <c r="F56" s="24" t="n">
        <f aca="false">SUM(F52:F55)</f>
        <v>6093.38</v>
      </c>
      <c r="G56" s="24" t="n">
        <f aca="false">SUM(G52:G55)</f>
        <v>71735.7</v>
      </c>
      <c r="H56" s="24" t="n">
        <f aca="false">SUM(H52:H55)</f>
        <v>162655.33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137.19</v>
      </c>
      <c r="D60" s="23" t="n">
        <v>137.19</v>
      </c>
      <c r="E60" s="23" t="n">
        <v>137.19</v>
      </c>
      <c r="F60" s="22" t="n">
        <v>0</v>
      </c>
      <c r="G60" s="23" t="n">
        <v>137.19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524.87</v>
      </c>
      <c r="D61" s="7" t="n">
        <v>0</v>
      </c>
      <c r="E61" s="9" t="n">
        <v>40.1</v>
      </c>
      <c r="F61" s="9" t="n">
        <v>17.5</v>
      </c>
      <c r="G61" s="9" t="n">
        <v>57.6</v>
      </c>
      <c r="H61" s="9" t="n">
        <v>467.27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40824.27</v>
      </c>
      <c r="D62" s="22" t="n">
        <v>0</v>
      </c>
      <c r="E62" s="23" t="n">
        <v>40824.27</v>
      </c>
      <c r="F62" s="22" t="n">
        <v>0</v>
      </c>
      <c r="G62" s="23" t="n">
        <v>40824.27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156184.98</v>
      </c>
      <c r="D63" s="7" t="n">
        <v>0</v>
      </c>
      <c r="E63" s="9" t="n">
        <v>34490.87</v>
      </c>
      <c r="F63" s="9" t="n">
        <v>5206.17</v>
      </c>
      <c r="G63" s="9" t="n">
        <v>39697.04</v>
      </c>
      <c r="H63" s="9" t="n">
        <v>116487.94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2536.35</v>
      </c>
      <c r="D64" s="22" t="n">
        <v>0</v>
      </c>
      <c r="E64" s="23" t="n">
        <v>2536.35</v>
      </c>
      <c r="F64" s="22" t="n">
        <v>0</v>
      </c>
      <c r="G64" s="23" t="n">
        <v>2536.35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9703.56</v>
      </c>
      <c r="D65" s="7" t="n">
        <v>0</v>
      </c>
      <c r="E65" s="9" t="n">
        <v>2142.86</v>
      </c>
      <c r="F65" s="9" t="n">
        <v>323.45</v>
      </c>
      <c r="G65" s="9" t="n">
        <v>2466.31</v>
      </c>
      <c r="H65" s="9" t="n">
        <v>7237.25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5072.71</v>
      </c>
      <c r="D66" s="22" t="n">
        <v>0</v>
      </c>
      <c r="E66" s="23" t="n">
        <v>5072.71</v>
      </c>
      <c r="F66" s="22" t="n">
        <v>0</v>
      </c>
      <c r="G66" s="23" t="n">
        <v>5072.71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19407.1</v>
      </c>
      <c r="D67" s="7" t="n">
        <v>0</v>
      </c>
      <c r="E67" s="9" t="n">
        <v>4285.71</v>
      </c>
      <c r="F67" s="9" t="n">
        <v>646.9</v>
      </c>
      <c r="G67" s="9" t="n">
        <v>4932.61</v>
      </c>
      <c r="H67" s="9" t="n">
        <v>14474.49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234391.03</v>
      </c>
      <c r="D68" s="24" t="n">
        <f aca="false">SUM(D60:D67)</f>
        <v>137.19</v>
      </c>
      <c r="E68" s="24" t="n">
        <f aca="false">SUM(E60:E67)</f>
        <v>89530.06</v>
      </c>
      <c r="F68" s="24" t="n">
        <f aca="false">SUM(F60:F67)</f>
        <v>6194.02</v>
      </c>
      <c r="G68" s="24" t="n">
        <f aca="false">SUM(G60:G67)</f>
        <v>95724.08</v>
      </c>
      <c r="H68" s="24" t="n">
        <f aca="false">SUM(H60:H67)</f>
        <v>138666.95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71735.7</v>
      </c>
    </row>
    <row r="72" customFormat="false" ht="15" hidden="false" customHeight="false" outlineLevel="0" collapsed="false">
      <c r="B72" s="7" t="s">
        <v>102</v>
      </c>
      <c r="C72" s="25" t="n">
        <f aca="false">G68</f>
        <v>95724.08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-23988.38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168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169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7800.47</v>
      </c>
      <c r="D11" s="9" t="n">
        <v>7800.47</v>
      </c>
    </row>
    <row r="12" customFormat="false" ht="15" hidden="false" customHeight="false" outlineLevel="0" collapsed="false">
      <c r="B12" s="7" t="s">
        <v>108</v>
      </c>
      <c r="C12" s="9" t="n">
        <v>3748.91</v>
      </c>
      <c r="D12" s="9" t="n">
        <v>3748.91</v>
      </c>
    </row>
    <row r="13" customFormat="false" ht="15" hidden="false" customHeight="false" outlineLevel="0" collapsed="false">
      <c r="B13" s="7" t="s">
        <v>109</v>
      </c>
      <c r="C13" s="9" t="n">
        <v>12139.37</v>
      </c>
      <c r="D13" s="9" t="n">
        <v>12139.37</v>
      </c>
    </row>
    <row r="14" customFormat="false" ht="15" hidden="false" customHeight="false" outlineLevel="0" collapsed="false">
      <c r="B14" s="7" t="s">
        <v>110</v>
      </c>
      <c r="C14" s="9" t="n">
        <v>1142.58</v>
      </c>
      <c r="D14" s="9" t="n">
        <v>1142.58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1052.34</v>
      </c>
      <c r="D17" s="9" t="n">
        <v>1052.34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5090</v>
      </c>
      <c r="E23" s="9" t="n">
        <v>5090</v>
      </c>
    </row>
    <row r="24" customFormat="false" ht="15" hidden="false" customHeight="false" outlineLevel="0" collapsed="false">
      <c r="B24" s="7" t="s">
        <v>120</v>
      </c>
      <c r="C24" s="9" t="n">
        <v>8538.11</v>
      </c>
      <c r="E24" s="9" t="n">
        <v>8538.11</v>
      </c>
    </row>
    <row r="25" customFormat="false" ht="15" hidden="false" customHeight="false" outlineLevel="0" collapsed="false">
      <c r="B25" s="7" t="s">
        <v>121</v>
      </c>
      <c r="C25" s="9" t="n">
        <v>11754.94</v>
      </c>
      <c r="E25" s="9" t="n">
        <v>11754.94</v>
      </c>
    </row>
    <row r="26" customFormat="false" ht="15" hidden="false" customHeight="false" outlineLevel="0" collapsed="false">
      <c r="B26" s="7" t="s">
        <v>122</v>
      </c>
      <c r="C26" s="9" t="n">
        <v>11527.95</v>
      </c>
      <c r="E26" s="9" t="n">
        <v>11527.95</v>
      </c>
    </row>
    <row r="27" customFormat="false" ht="15" hidden="false" customHeight="false" outlineLevel="0" collapsed="false">
      <c r="B27" s="7" t="s">
        <v>123</v>
      </c>
      <c r="C27" s="9" t="n">
        <v>10218.5</v>
      </c>
      <c r="E27" s="9" t="n">
        <v>10218.5</v>
      </c>
    </row>
    <row r="28" customFormat="false" ht="15" hidden="false" customHeight="false" outlineLevel="0" collapsed="false">
      <c r="B28" s="7" t="s">
        <v>124</v>
      </c>
      <c r="C28" s="9" t="n">
        <v>775.83</v>
      </c>
      <c r="E28" s="9" t="n">
        <v>775.83</v>
      </c>
    </row>
    <row r="29" customFormat="false" ht="15" hidden="false" customHeight="false" outlineLevel="0" collapsed="false">
      <c r="B29" s="7" t="s">
        <v>125</v>
      </c>
      <c r="C29" s="9" t="n">
        <v>22829.89</v>
      </c>
      <c r="E29" s="9" t="n">
        <v>22829.89</v>
      </c>
    </row>
    <row r="30" customFormat="false" ht="15" hidden="false" customHeight="false" outlineLevel="0" collapsed="false">
      <c r="B30" s="7" t="s">
        <v>126</v>
      </c>
      <c r="C30" s="9" t="n">
        <v>5886.42</v>
      </c>
      <c r="E30" s="9" t="n">
        <v>5886.42</v>
      </c>
    </row>
    <row r="31" customFormat="false" ht="15" hidden="false" customHeight="false" outlineLevel="0" collapsed="false">
      <c r="B31" s="7" t="s">
        <v>127</v>
      </c>
      <c r="C31" s="9" t="n">
        <v>5036.01</v>
      </c>
      <c r="E31" s="9" t="n">
        <v>5036.01</v>
      </c>
    </row>
    <row r="32" customFormat="false" ht="15" hidden="false" customHeight="false" outlineLevel="0" collapsed="false">
      <c r="B32" s="7" t="s">
        <v>128</v>
      </c>
      <c r="C32" s="9" t="n">
        <v>5406.4</v>
      </c>
      <c r="E32" s="9" t="n">
        <v>5406.4</v>
      </c>
    </row>
    <row r="33" customFormat="false" ht="15" hidden="false" customHeight="false" outlineLevel="0" collapsed="false">
      <c r="B33" s="7" t="s">
        <v>129</v>
      </c>
      <c r="C33" s="9" t="n">
        <v>16464.28</v>
      </c>
      <c r="E33" s="9" t="n">
        <v>16464.28</v>
      </c>
    </row>
    <row r="34" customFormat="false" ht="15" hidden="false" customHeight="false" outlineLevel="0" collapsed="false">
      <c r="B34" s="7" t="s">
        <v>130</v>
      </c>
      <c r="C34" s="9" t="n">
        <v>5938.8</v>
      </c>
      <c r="E34" s="9" t="n">
        <v>5938.8</v>
      </c>
    </row>
    <row r="35" customFormat="false" ht="15" hidden="false" customHeight="false" outlineLevel="0" collapsed="false">
      <c r="B35" s="7" t="s">
        <v>131</v>
      </c>
      <c r="C35" s="9" t="n">
        <v>1234.18</v>
      </c>
      <c r="E35" s="9" t="n">
        <v>1234.18</v>
      </c>
    </row>
    <row r="36" customFormat="false" ht="15" hidden="false" customHeight="false" outlineLevel="0" collapsed="false">
      <c r="B36" s="7" t="s">
        <v>132</v>
      </c>
      <c r="C36" s="9" t="n">
        <v>20850.04</v>
      </c>
      <c r="E36" s="9" t="n">
        <v>20850.04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169770.02</v>
      </c>
      <c r="D40" s="19" t="n">
        <f aca="false">SUM(D10:D39)</f>
        <v>31841.95</v>
      </c>
      <c r="E40" s="19" t="n">
        <f aca="false">SUM(E10:E39)</f>
        <v>137928.07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479.53</v>
      </c>
      <c r="D43" s="9" t="n">
        <v>89.94</v>
      </c>
      <c r="E43" s="9" t="n">
        <v>389.59</v>
      </c>
    </row>
    <row r="44" customFormat="false" ht="15" hidden="false" customHeight="false" outlineLevel="0" collapsed="false">
      <c r="B44" s="7" t="s">
        <v>71</v>
      </c>
      <c r="C44" s="9" t="n">
        <v>142694.3</v>
      </c>
      <c r="D44" s="9" t="n">
        <v>26763.65</v>
      </c>
      <c r="E44" s="9" t="n">
        <v>115930.65</v>
      </c>
    </row>
    <row r="45" customFormat="false" ht="15" hidden="false" customHeight="false" outlineLevel="0" collapsed="false">
      <c r="B45" s="7" t="s">
        <v>72</v>
      </c>
      <c r="C45" s="9" t="n">
        <v>8865.4</v>
      </c>
      <c r="D45" s="9" t="n">
        <v>1662.79</v>
      </c>
      <c r="E45" s="9" t="n">
        <v>7202.61</v>
      </c>
    </row>
    <row r="46" customFormat="false" ht="15" hidden="false" customHeight="false" outlineLevel="0" collapsed="false">
      <c r="B46" s="7" t="s">
        <v>73</v>
      </c>
      <c r="C46" s="9" t="n">
        <v>17730.79</v>
      </c>
      <c r="D46" s="9" t="n">
        <v>3325.57</v>
      </c>
      <c r="E46" s="9" t="n">
        <v>14405.22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169770.02</v>
      </c>
      <c r="D47" s="8" t="n">
        <f aca="false">SUM(D43:D46)</f>
        <v>31841.95</v>
      </c>
      <c r="E47" s="8" t="n">
        <f aca="false">SUM(E43:E46)</f>
        <v>137928.07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479.53</v>
      </c>
      <c r="D52" s="22" t="n">
        <v>0</v>
      </c>
      <c r="E52" s="23" t="n">
        <v>29.03</v>
      </c>
      <c r="F52" s="23" t="n">
        <v>11.97</v>
      </c>
      <c r="G52" s="23" t="n">
        <v>41</v>
      </c>
      <c r="H52" s="23" t="n">
        <v>438.53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142694.3</v>
      </c>
      <c r="D53" s="7" t="n">
        <v>0</v>
      </c>
      <c r="E53" s="9" t="n">
        <v>30709.29</v>
      </c>
      <c r="F53" s="9" t="n">
        <v>3355.37</v>
      </c>
      <c r="G53" s="9" t="n">
        <v>34064.66</v>
      </c>
      <c r="H53" s="9" t="n">
        <v>108629.64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8865.4</v>
      </c>
      <c r="D54" s="22" t="n">
        <v>0</v>
      </c>
      <c r="E54" s="23" t="n">
        <v>8274.39</v>
      </c>
      <c r="F54" s="22" t="n">
        <v>0</v>
      </c>
      <c r="G54" s="23" t="n">
        <v>8274.39</v>
      </c>
      <c r="H54" s="23" t="n">
        <v>591.01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17730.79</v>
      </c>
      <c r="D55" s="7" t="n">
        <v>0</v>
      </c>
      <c r="E55" s="9" t="n">
        <v>8532.2</v>
      </c>
      <c r="F55" s="9" t="n">
        <v>1046.12</v>
      </c>
      <c r="G55" s="9" t="n">
        <v>9578.32</v>
      </c>
      <c r="H55" s="9" t="n">
        <v>8152.47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169770.02</v>
      </c>
      <c r="D56" s="24" t="n">
        <f aca="false">SUM(D52:D55)</f>
        <v>0</v>
      </c>
      <c r="E56" s="24" t="n">
        <f aca="false">SUM(E52:E55)</f>
        <v>47544.91</v>
      </c>
      <c r="F56" s="24" t="n">
        <f aca="false">SUM(F52:F55)</f>
        <v>4413.46</v>
      </c>
      <c r="G56" s="24" t="n">
        <f aca="false">SUM(G52:G55)</f>
        <v>51958.37</v>
      </c>
      <c r="H56" s="24" t="n">
        <f aca="false">SUM(H52:H55)</f>
        <v>117811.65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89.94</v>
      </c>
      <c r="D60" s="23" t="n">
        <v>89.94</v>
      </c>
      <c r="E60" s="23" t="n">
        <v>89.94</v>
      </c>
      <c r="F60" s="22" t="n">
        <v>0</v>
      </c>
      <c r="G60" s="23" t="n">
        <v>89.94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389.59</v>
      </c>
      <c r="D61" s="7" t="n">
        <v>0</v>
      </c>
      <c r="E61" s="9" t="n">
        <v>29.77</v>
      </c>
      <c r="F61" s="9" t="n">
        <v>12.99</v>
      </c>
      <c r="G61" s="9" t="n">
        <v>42.76</v>
      </c>
      <c r="H61" s="9" t="n">
        <v>346.83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26763.65</v>
      </c>
      <c r="D62" s="22" t="n">
        <v>0</v>
      </c>
      <c r="E62" s="23" t="n">
        <v>26763.65</v>
      </c>
      <c r="F62" s="22" t="n">
        <v>0</v>
      </c>
      <c r="G62" s="23" t="n">
        <v>26763.65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115930.65</v>
      </c>
      <c r="D63" s="7" t="n">
        <v>0</v>
      </c>
      <c r="E63" s="9" t="n">
        <v>25601.32</v>
      </c>
      <c r="F63" s="9" t="n">
        <v>3864.35</v>
      </c>
      <c r="G63" s="9" t="n">
        <v>29465.67</v>
      </c>
      <c r="H63" s="9" t="n">
        <v>86464.98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1662.79</v>
      </c>
      <c r="D64" s="22" t="n">
        <v>0</v>
      </c>
      <c r="E64" s="23" t="n">
        <v>1662.79</v>
      </c>
      <c r="F64" s="22" t="n">
        <v>0</v>
      </c>
      <c r="G64" s="23" t="n">
        <v>1662.79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7202.61</v>
      </c>
      <c r="D65" s="7" t="n">
        <v>0</v>
      </c>
      <c r="E65" s="9" t="n">
        <v>1590.59</v>
      </c>
      <c r="F65" s="9" t="n">
        <v>240.09</v>
      </c>
      <c r="G65" s="9" t="n">
        <v>1830.68</v>
      </c>
      <c r="H65" s="9" t="n">
        <v>5371.93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3325.57</v>
      </c>
      <c r="D66" s="22" t="n">
        <v>0</v>
      </c>
      <c r="E66" s="23" t="n">
        <v>3325.57</v>
      </c>
      <c r="F66" s="22" t="n">
        <v>0</v>
      </c>
      <c r="G66" s="23" t="n">
        <v>3325.57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14405.22</v>
      </c>
      <c r="D67" s="7" t="n">
        <v>0</v>
      </c>
      <c r="E67" s="9" t="n">
        <v>3181.13</v>
      </c>
      <c r="F67" s="9" t="n">
        <v>480.17</v>
      </c>
      <c r="G67" s="9" t="n">
        <v>3661.3</v>
      </c>
      <c r="H67" s="9" t="n">
        <v>10743.92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169770.02</v>
      </c>
      <c r="D68" s="24" t="n">
        <f aca="false">SUM(D60:D67)</f>
        <v>89.94</v>
      </c>
      <c r="E68" s="24" t="n">
        <f aca="false">SUM(E60:E67)</f>
        <v>62244.76</v>
      </c>
      <c r="F68" s="24" t="n">
        <f aca="false">SUM(F60:F67)</f>
        <v>4597.6</v>
      </c>
      <c r="G68" s="24" t="n">
        <f aca="false">SUM(G60:G67)</f>
        <v>66842.36</v>
      </c>
      <c r="H68" s="24" t="n">
        <f aca="false">SUM(H60:H67)</f>
        <v>102927.66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51958.37</v>
      </c>
    </row>
    <row r="72" customFormat="false" ht="15" hidden="false" customHeight="false" outlineLevel="0" collapsed="false">
      <c r="B72" s="7" t="s">
        <v>102</v>
      </c>
      <c r="C72" s="25" t="n">
        <f aca="false">G68</f>
        <v>66842.36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-14883.99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170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171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7800.47</v>
      </c>
      <c r="D11" s="9" t="n">
        <v>7800.47</v>
      </c>
    </row>
    <row r="12" customFormat="false" ht="15" hidden="false" customHeight="false" outlineLevel="0" collapsed="false">
      <c r="B12" s="7" t="s">
        <v>108</v>
      </c>
      <c r="C12" s="9" t="n">
        <v>3748.91</v>
      </c>
      <c r="D12" s="9" t="n">
        <v>3748.91</v>
      </c>
    </row>
    <row r="13" customFormat="false" ht="15" hidden="false" customHeight="false" outlineLevel="0" collapsed="false">
      <c r="B13" s="7" t="s">
        <v>109</v>
      </c>
      <c r="C13" s="9" t="n">
        <v>12139.37</v>
      </c>
      <c r="D13" s="9" t="n">
        <v>12139.37</v>
      </c>
    </row>
    <row r="14" customFormat="false" ht="15" hidden="false" customHeight="false" outlineLevel="0" collapsed="false">
      <c r="B14" s="7" t="s">
        <v>110</v>
      </c>
      <c r="C14" s="9" t="n">
        <v>1142.58</v>
      </c>
      <c r="D14" s="9" t="n">
        <v>1142.58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1052.34</v>
      </c>
      <c r="D17" s="9" t="n">
        <v>1052.34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5090</v>
      </c>
      <c r="E23" s="9" t="n">
        <v>5090</v>
      </c>
    </row>
    <row r="24" customFormat="false" ht="15" hidden="false" customHeight="false" outlineLevel="0" collapsed="false">
      <c r="B24" s="7" t="s">
        <v>120</v>
      </c>
      <c r="C24" s="9" t="n">
        <v>8538.11</v>
      </c>
      <c r="E24" s="9" t="n">
        <v>8538.11</v>
      </c>
    </row>
    <row r="25" customFormat="false" ht="15" hidden="false" customHeight="false" outlineLevel="0" collapsed="false">
      <c r="B25" s="7" t="s">
        <v>121</v>
      </c>
      <c r="C25" s="9" t="n">
        <v>11754.94</v>
      </c>
      <c r="E25" s="9" t="n">
        <v>11754.94</v>
      </c>
    </row>
    <row r="26" customFormat="false" ht="15" hidden="false" customHeight="false" outlineLevel="0" collapsed="false">
      <c r="B26" s="7" t="s">
        <v>122</v>
      </c>
      <c r="C26" s="9" t="n">
        <v>11527.95</v>
      </c>
      <c r="E26" s="9" t="n">
        <v>11527.95</v>
      </c>
    </row>
    <row r="27" customFormat="false" ht="15" hidden="false" customHeight="false" outlineLevel="0" collapsed="false">
      <c r="B27" s="7" t="s">
        <v>123</v>
      </c>
      <c r="C27" s="9" t="n">
        <v>10218.5</v>
      </c>
      <c r="E27" s="9" t="n">
        <v>10218.5</v>
      </c>
    </row>
    <row r="28" customFormat="false" ht="15" hidden="false" customHeight="false" outlineLevel="0" collapsed="false">
      <c r="B28" s="7" t="s">
        <v>124</v>
      </c>
      <c r="C28" s="9" t="n">
        <v>775.83</v>
      </c>
      <c r="E28" s="9" t="n">
        <v>775.83</v>
      </c>
    </row>
    <row r="29" customFormat="false" ht="15" hidden="false" customHeight="false" outlineLevel="0" collapsed="false">
      <c r="B29" s="7" t="s">
        <v>125</v>
      </c>
      <c r="C29" s="9" t="n">
        <v>22829.89</v>
      </c>
      <c r="E29" s="9" t="n">
        <v>22829.89</v>
      </c>
    </row>
    <row r="30" customFormat="false" ht="15" hidden="false" customHeight="false" outlineLevel="0" collapsed="false">
      <c r="B30" s="7" t="s">
        <v>126</v>
      </c>
      <c r="C30" s="9" t="n">
        <v>5886.42</v>
      </c>
      <c r="E30" s="9" t="n">
        <v>5886.42</v>
      </c>
    </row>
    <row r="31" customFormat="false" ht="15" hidden="false" customHeight="false" outlineLevel="0" collapsed="false">
      <c r="B31" s="7" t="s">
        <v>127</v>
      </c>
      <c r="C31" s="9" t="n">
        <v>5036.01</v>
      </c>
      <c r="E31" s="9" t="n">
        <v>5036.01</v>
      </c>
    </row>
    <row r="32" customFormat="false" ht="15" hidden="false" customHeight="false" outlineLevel="0" collapsed="false">
      <c r="B32" s="7" t="s">
        <v>128</v>
      </c>
      <c r="C32" s="9" t="n">
        <v>5406.4</v>
      </c>
      <c r="E32" s="9" t="n">
        <v>5406.4</v>
      </c>
    </row>
    <row r="33" customFormat="false" ht="15" hidden="false" customHeight="false" outlineLevel="0" collapsed="false">
      <c r="B33" s="7" t="s">
        <v>129</v>
      </c>
      <c r="C33" s="9" t="n">
        <v>16464.28</v>
      </c>
      <c r="E33" s="9" t="n">
        <v>16464.28</v>
      </c>
    </row>
    <row r="34" customFormat="false" ht="15" hidden="false" customHeight="false" outlineLevel="0" collapsed="false">
      <c r="B34" s="7" t="s">
        <v>130</v>
      </c>
      <c r="C34" s="9" t="n">
        <v>5938.8</v>
      </c>
      <c r="E34" s="9" t="n">
        <v>5938.8</v>
      </c>
    </row>
    <row r="35" customFormat="false" ht="15" hidden="false" customHeight="false" outlineLevel="0" collapsed="false">
      <c r="B35" s="7" t="s">
        <v>131</v>
      </c>
      <c r="C35" s="9" t="n">
        <v>1234.18</v>
      </c>
      <c r="E35" s="9" t="n">
        <v>1234.18</v>
      </c>
    </row>
    <row r="36" customFormat="false" ht="15" hidden="false" customHeight="false" outlineLevel="0" collapsed="false">
      <c r="B36" s="7" t="s">
        <v>132</v>
      </c>
      <c r="C36" s="9" t="n">
        <v>20850.04</v>
      </c>
      <c r="E36" s="9" t="n">
        <v>20850.04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169770.02</v>
      </c>
      <c r="D40" s="19" t="n">
        <f aca="false">SUM(D10:D39)</f>
        <v>31841.95</v>
      </c>
      <c r="E40" s="19" t="n">
        <f aca="false">SUM(E10:E39)</f>
        <v>137928.07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479.53</v>
      </c>
      <c r="D43" s="9" t="n">
        <v>89.94</v>
      </c>
      <c r="E43" s="9" t="n">
        <v>389.59</v>
      </c>
    </row>
    <row r="44" customFormat="false" ht="15" hidden="false" customHeight="false" outlineLevel="0" collapsed="false">
      <c r="B44" s="7" t="s">
        <v>71</v>
      </c>
      <c r="C44" s="9" t="n">
        <v>142694.3</v>
      </c>
      <c r="D44" s="9" t="n">
        <v>26763.65</v>
      </c>
      <c r="E44" s="9" t="n">
        <v>115930.65</v>
      </c>
    </row>
    <row r="45" customFormat="false" ht="15" hidden="false" customHeight="false" outlineLevel="0" collapsed="false">
      <c r="B45" s="7" t="s">
        <v>72</v>
      </c>
      <c r="C45" s="9" t="n">
        <v>8865.4</v>
      </c>
      <c r="D45" s="9" t="n">
        <v>1662.79</v>
      </c>
      <c r="E45" s="9" t="n">
        <v>7202.61</v>
      </c>
    </row>
    <row r="46" customFormat="false" ht="15" hidden="false" customHeight="false" outlineLevel="0" collapsed="false">
      <c r="B46" s="7" t="s">
        <v>73</v>
      </c>
      <c r="C46" s="9" t="n">
        <v>17730.79</v>
      </c>
      <c r="D46" s="9" t="n">
        <v>3325.57</v>
      </c>
      <c r="E46" s="9" t="n">
        <v>14405.22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169770.02</v>
      </c>
      <c r="D47" s="8" t="n">
        <f aca="false">SUM(D43:D46)</f>
        <v>31841.95</v>
      </c>
      <c r="E47" s="8" t="n">
        <f aca="false">SUM(E43:E46)</f>
        <v>137928.07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479.53</v>
      </c>
      <c r="D52" s="22" t="n">
        <v>0</v>
      </c>
      <c r="E52" s="23" t="n">
        <v>29.03</v>
      </c>
      <c r="F52" s="23" t="n">
        <v>11.97</v>
      </c>
      <c r="G52" s="23" t="n">
        <v>41</v>
      </c>
      <c r="H52" s="23" t="n">
        <v>438.53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142694.3</v>
      </c>
      <c r="D53" s="7" t="n">
        <v>0</v>
      </c>
      <c r="E53" s="9" t="n">
        <v>30709.29</v>
      </c>
      <c r="F53" s="9" t="n">
        <v>3355.37</v>
      </c>
      <c r="G53" s="9" t="n">
        <v>34064.66</v>
      </c>
      <c r="H53" s="9" t="n">
        <v>108629.64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8865.4</v>
      </c>
      <c r="D54" s="22" t="n">
        <v>0</v>
      </c>
      <c r="E54" s="23" t="n">
        <v>8274.39</v>
      </c>
      <c r="F54" s="22" t="n">
        <v>0</v>
      </c>
      <c r="G54" s="23" t="n">
        <v>8274.39</v>
      </c>
      <c r="H54" s="23" t="n">
        <v>591.01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17730.79</v>
      </c>
      <c r="D55" s="7" t="n">
        <v>0</v>
      </c>
      <c r="E55" s="9" t="n">
        <v>8532.2</v>
      </c>
      <c r="F55" s="9" t="n">
        <v>1046.12</v>
      </c>
      <c r="G55" s="9" t="n">
        <v>9578.32</v>
      </c>
      <c r="H55" s="9" t="n">
        <v>8152.47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169770.02</v>
      </c>
      <c r="D56" s="24" t="n">
        <f aca="false">SUM(D52:D55)</f>
        <v>0</v>
      </c>
      <c r="E56" s="24" t="n">
        <f aca="false">SUM(E52:E55)</f>
        <v>47544.91</v>
      </c>
      <c r="F56" s="24" t="n">
        <f aca="false">SUM(F52:F55)</f>
        <v>4413.46</v>
      </c>
      <c r="G56" s="24" t="n">
        <f aca="false">SUM(G52:G55)</f>
        <v>51958.37</v>
      </c>
      <c r="H56" s="24" t="n">
        <f aca="false">SUM(H52:H55)</f>
        <v>117811.65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89.94</v>
      </c>
      <c r="D60" s="23" t="n">
        <v>89.94</v>
      </c>
      <c r="E60" s="23" t="n">
        <v>89.94</v>
      </c>
      <c r="F60" s="22" t="n">
        <v>0</v>
      </c>
      <c r="G60" s="23" t="n">
        <v>89.94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389.59</v>
      </c>
      <c r="D61" s="7" t="n">
        <v>0</v>
      </c>
      <c r="E61" s="9" t="n">
        <v>29.77</v>
      </c>
      <c r="F61" s="9" t="n">
        <v>12.99</v>
      </c>
      <c r="G61" s="9" t="n">
        <v>42.76</v>
      </c>
      <c r="H61" s="9" t="n">
        <v>346.83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26763.65</v>
      </c>
      <c r="D62" s="22" t="n">
        <v>0</v>
      </c>
      <c r="E62" s="23" t="n">
        <v>26763.65</v>
      </c>
      <c r="F62" s="22" t="n">
        <v>0</v>
      </c>
      <c r="G62" s="23" t="n">
        <v>26763.65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115930.65</v>
      </c>
      <c r="D63" s="7" t="n">
        <v>0</v>
      </c>
      <c r="E63" s="9" t="n">
        <v>25601.32</v>
      </c>
      <c r="F63" s="9" t="n">
        <v>3864.35</v>
      </c>
      <c r="G63" s="9" t="n">
        <v>29465.67</v>
      </c>
      <c r="H63" s="9" t="n">
        <v>86464.98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1662.79</v>
      </c>
      <c r="D64" s="22" t="n">
        <v>0</v>
      </c>
      <c r="E64" s="23" t="n">
        <v>1662.79</v>
      </c>
      <c r="F64" s="22" t="n">
        <v>0</v>
      </c>
      <c r="G64" s="23" t="n">
        <v>1662.79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7202.61</v>
      </c>
      <c r="D65" s="7" t="n">
        <v>0</v>
      </c>
      <c r="E65" s="9" t="n">
        <v>1590.59</v>
      </c>
      <c r="F65" s="9" t="n">
        <v>240.09</v>
      </c>
      <c r="G65" s="9" t="n">
        <v>1830.68</v>
      </c>
      <c r="H65" s="9" t="n">
        <v>5371.93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3325.57</v>
      </c>
      <c r="D66" s="22" t="n">
        <v>0</v>
      </c>
      <c r="E66" s="23" t="n">
        <v>3325.57</v>
      </c>
      <c r="F66" s="22" t="n">
        <v>0</v>
      </c>
      <c r="G66" s="23" t="n">
        <v>3325.57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14405.22</v>
      </c>
      <c r="D67" s="7" t="n">
        <v>0</v>
      </c>
      <c r="E67" s="9" t="n">
        <v>3181.13</v>
      </c>
      <c r="F67" s="9" t="n">
        <v>480.17</v>
      </c>
      <c r="G67" s="9" t="n">
        <v>3661.3</v>
      </c>
      <c r="H67" s="9" t="n">
        <v>10743.92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169770.02</v>
      </c>
      <c r="D68" s="24" t="n">
        <f aca="false">SUM(D60:D67)</f>
        <v>89.94</v>
      </c>
      <c r="E68" s="24" t="n">
        <f aca="false">SUM(E60:E67)</f>
        <v>62244.76</v>
      </c>
      <c r="F68" s="24" t="n">
        <f aca="false">SUM(F60:F67)</f>
        <v>4597.6</v>
      </c>
      <c r="G68" s="24" t="n">
        <f aca="false">SUM(G60:G67)</f>
        <v>66842.36</v>
      </c>
      <c r="H68" s="24" t="n">
        <f aca="false">SUM(H60:H67)</f>
        <v>102927.66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51958.37</v>
      </c>
    </row>
    <row r="72" customFormat="false" ht="15" hidden="false" customHeight="false" outlineLevel="0" collapsed="false">
      <c r="B72" s="7" t="s">
        <v>102</v>
      </c>
      <c r="C72" s="25" t="n">
        <f aca="false">G68</f>
        <v>66842.36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-14883.99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172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173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6312.84</v>
      </c>
      <c r="D11" s="9" t="n">
        <v>6312.84</v>
      </c>
    </row>
    <row r="12" customFormat="false" ht="15" hidden="false" customHeight="false" outlineLevel="0" collapsed="false">
      <c r="B12" s="7" t="s">
        <v>108</v>
      </c>
      <c r="C12" s="9" t="n">
        <v>3318.29</v>
      </c>
      <c r="D12" s="9" t="n">
        <v>3318.29</v>
      </c>
    </row>
    <row r="13" customFormat="false" ht="15" hidden="false" customHeight="false" outlineLevel="0" collapsed="false">
      <c r="B13" s="7" t="s">
        <v>109</v>
      </c>
      <c r="C13" s="9" t="n">
        <v>9989.69</v>
      </c>
      <c r="D13" s="9" t="n">
        <v>9989.69</v>
      </c>
    </row>
    <row r="14" customFormat="false" ht="15" hidden="false" customHeight="false" outlineLevel="0" collapsed="false">
      <c r="B14" s="7" t="s">
        <v>110</v>
      </c>
      <c r="C14" s="9" t="n">
        <v>888.68</v>
      </c>
      <c r="D14" s="9" t="n">
        <v>888.68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865.99</v>
      </c>
      <c r="D17" s="9" t="n">
        <v>865.99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4400.88</v>
      </c>
      <c r="E23" s="9" t="n">
        <v>4400.88</v>
      </c>
    </row>
    <row r="24" customFormat="false" ht="15" hidden="false" customHeight="false" outlineLevel="0" collapsed="false">
      <c r="B24" s="7" t="s">
        <v>120</v>
      </c>
      <c r="C24" s="9" t="n">
        <v>7119.64</v>
      </c>
      <c r="E24" s="9" t="n">
        <v>7119.64</v>
      </c>
    </row>
    <row r="25" customFormat="false" ht="15" hidden="false" customHeight="false" outlineLevel="0" collapsed="false">
      <c r="B25" s="7" t="s">
        <v>121</v>
      </c>
      <c r="C25" s="9" t="n">
        <v>9673.34</v>
      </c>
      <c r="E25" s="9" t="n">
        <v>9673.34</v>
      </c>
    </row>
    <row r="26" customFormat="false" ht="15" hidden="false" customHeight="false" outlineLevel="0" collapsed="false">
      <c r="B26" s="7" t="s">
        <v>122</v>
      </c>
      <c r="C26" s="9" t="n">
        <v>9260.86</v>
      </c>
      <c r="E26" s="9" t="n">
        <v>9260.86</v>
      </c>
    </row>
    <row r="27" customFormat="false" ht="15" hidden="false" customHeight="false" outlineLevel="0" collapsed="false">
      <c r="B27" s="7" t="s">
        <v>123</v>
      </c>
      <c r="C27" s="9" t="n">
        <v>8408.98</v>
      </c>
      <c r="E27" s="9" t="n">
        <v>8408.98</v>
      </c>
    </row>
    <row r="28" customFormat="false" ht="15" hidden="false" customHeight="false" outlineLevel="0" collapsed="false">
      <c r="B28" s="7" t="s">
        <v>124</v>
      </c>
      <c r="C28" s="9" t="n">
        <v>553.55</v>
      </c>
      <c r="E28" s="9" t="n">
        <v>553.55</v>
      </c>
    </row>
    <row r="29" customFormat="false" ht="15" hidden="false" customHeight="false" outlineLevel="0" collapsed="false">
      <c r="B29" s="7" t="s">
        <v>125</v>
      </c>
      <c r="C29" s="9" t="n">
        <v>20503.5</v>
      </c>
      <c r="E29" s="9" t="n">
        <v>20503.5</v>
      </c>
    </row>
    <row r="30" customFormat="false" ht="15" hidden="false" customHeight="false" outlineLevel="0" collapsed="false">
      <c r="B30" s="7" t="s">
        <v>126</v>
      </c>
      <c r="C30" s="9" t="n">
        <v>5245.53</v>
      </c>
      <c r="E30" s="9" t="n">
        <v>5245.53</v>
      </c>
    </row>
    <row r="31" customFormat="false" ht="15" hidden="false" customHeight="false" outlineLevel="0" collapsed="false">
      <c r="B31" s="7" t="s">
        <v>127</v>
      </c>
      <c r="C31" s="9" t="n">
        <v>3916.9</v>
      </c>
      <c r="E31" s="9" t="n">
        <v>3916.9</v>
      </c>
    </row>
    <row r="32" customFormat="false" ht="15" hidden="false" customHeight="false" outlineLevel="0" collapsed="false">
      <c r="B32" s="7" t="s">
        <v>128</v>
      </c>
      <c r="C32" s="9" t="n">
        <v>4449.02</v>
      </c>
      <c r="E32" s="9" t="n">
        <v>4449.02</v>
      </c>
    </row>
    <row r="33" customFormat="false" ht="15" hidden="false" customHeight="false" outlineLevel="0" collapsed="false">
      <c r="B33" s="7" t="s">
        <v>129</v>
      </c>
      <c r="C33" s="9" t="n">
        <v>14615.82</v>
      </c>
      <c r="E33" s="9" t="n">
        <v>14615.82</v>
      </c>
    </row>
    <row r="34" customFormat="false" ht="15" hidden="false" customHeight="false" outlineLevel="0" collapsed="false">
      <c r="B34" s="7" t="s">
        <v>130</v>
      </c>
      <c r="C34" s="9" t="n">
        <v>5177.37</v>
      </c>
      <c r="E34" s="9" t="n">
        <v>5177.37</v>
      </c>
    </row>
    <row r="35" customFormat="false" ht="15" hidden="false" customHeight="false" outlineLevel="0" collapsed="false">
      <c r="B35" s="7" t="s">
        <v>131</v>
      </c>
      <c r="C35" s="9" t="n">
        <v>1147.32</v>
      </c>
      <c r="E35" s="9" t="n">
        <v>1147.32</v>
      </c>
    </row>
    <row r="36" customFormat="false" ht="15" hidden="false" customHeight="false" outlineLevel="0" collapsed="false">
      <c r="B36" s="7" t="s">
        <v>132</v>
      </c>
      <c r="C36" s="9" t="n">
        <v>17881.13</v>
      </c>
      <c r="E36" s="9" t="n">
        <v>17881.13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1241.45</v>
      </c>
      <c r="E38" s="9" t="n">
        <v>1241.45</v>
      </c>
    </row>
    <row r="39" customFormat="false" ht="15" hidden="false" customHeight="false" outlineLevel="0" collapsed="false">
      <c r="B39" s="7" t="s">
        <v>135</v>
      </c>
      <c r="C39" s="9" t="n">
        <v>450.76</v>
      </c>
      <c r="E39" s="9" t="n">
        <v>450.76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144372.14</v>
      </c>
      <c r="D40" s="19" t="n">
        <f aca="false">SUM(D10:D39)</f>
        <v>27333.77</v>
      </c>
      <c r="E40" s="19" t="n">
        <f aca="false">SUM(E10:E39)</f>
        <v>117038.37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407.79</v>
      </c>
      <c r="D43" s="9" t="n">
        <v>77.21</v>
      </c>
      <c r="E43" s="9" t="n">
        <v>330.58</v>
      </c>
    </row>
    <row r="44" customFormat="false" ht="15" hidden="false" customHeight="false" outlineLevel="0" collapsed="false">
      <c r="B44" s="7" t="s">
        <v>71</v>
      </c>
      <c r="C44" s="9" t="n">
        <v>121347</v>
      </c>
      <c r="D44" s="9" t="n">
        <v>22974.45</v>
      </c>
      <c r="E44" s="9" t="n">
        <v>98372.55</v>
      </c>
    </row>
    <row r="45" customFormat="false" ht="15" hidden="false" customHeight="false" outlineLevel="0" collapsed="false">
      <c r="B45" s="7" t="s">
        <v>72</v>
      </c>
      <c r="C45" s="9" t="n">
        <v>7539.11</v>
      </c>
      <c r="D45" s="9" t="n">
        <v>1427.37</v>
      </c>
      <c r="E45" s="9" t="n">
        <v>6111.74</v>
      </c>
    </row>
    <row r="46" customFormat="false" ht="15" hidden="false" customHeight="false" outlineLevel="0" collapsed="false">
      <c r="B46" s="7" t="s">
        <v>73</v>
      </c>
      <c r="C46" s="9" t="n">
        <v>15078.24</v>
      </c>
      <c r="D46" s="9" t="n">
        <v>2854.74</v>
      </c>
      <c r="E46" s="9" t="n">
        <v>12223.5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144372.14</v>
      </c>
      <c r="D47" s="8" t="n">
        <f aca="false">SUM(D43:D46)</f>
        <v>27333.77</v>
      </c>
      <c r="E47" s="8" t="n">
        <f aca="false">SUM(E43:E46)</f>
        <v>117038.37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407.79</v>
      </c>
      <c r="D52" s="22" t="n">
        <v>0</v>
      </c>
      <c r="E52" s="23" t="n">
        <v>24.69</v>
      </c>
      <c r="F52" s="23" t="n">
        <v>10.18</v>
      </c>
      <c r="G52" s="23" t="n">
        <v>34.87</v>
      </c>
      <c r="H52" s="23" t="n">
        <v>372.92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121347</v>
      </c>
      <c r="D53" s="7" t="n">
        <v>0</v>
      </c>
      <c r="E53" s="9" t="n">
        <v>26115.13</v>
      </c>
      <c r="F53" s="9" t="n">
        <v>2853.41</v>
      </c>
      <c r="G53" s="9" t="n">
        <v>28968.54</v>
      </c>
      <c r="H53" s="9" t="n">
        <v>92378.46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7539.11</v>
      </c>
      <c r="D54" s="22" t="n">
        <v>0</v>
      </c>
      <c r="E54" s="23" t="n">
        <v>7036.52</v>
      </c>
      <c r="F54" s="22" t="n">
        <v>0</v>
      </c>
      <c r="G54" s="23" t="n">
        <v>7036.52</v>
      </c>
      <c r="H54" s="23" t="n">
        <v>502.59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15078.24</v>
      </c>
      <c r="D55" s="7" t="n">
        <v>0</v>
      </c>
      <c r="E55" s="9" t="n">
        <v>7255.76</v>
      </c>
      <c r="F55" s="9" t="n">
        <v>889.62</v>
      </c>
      <c r="G55" s="9" t="n">
        <v>8145.38</v>
      </c>
      <c r="H55" s="9" t="n">
        <v>6932.86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144372.14</v>
      </c>
      <c r="D56" s="24" t="n">
        <f aca="false">SUM(D52:D55)</f>
        <v>0</v>
      </c>
      <c r="E56" s="24" t="n">
        <f aca="false">SUM(E52:E55)</f>
        <v>40432.1</v>
      </c>
      <c r="F56" s="24" t="n">
        <f aca="false">SUM(F52:F55)</f>
        <v>3753.21</v>
      </c>
      <c r="G56" s="24" t="n">
        <f aca="false">SUM(G52:G55)</f>
        <v>44185.31</v>
      </c>
      <c r="H56" s="24" t="n">
        <f aca="false">SUM(H52:H55)</f>
        <v>100186.83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77.21</v>
      </c>
      <c r="D60" s="23" t="n">
        <v>77.21</v>
      </c>
      <c r="E60" s="23" t="n">
        <v>77.21</v>
      </c>
      <c r="F60" s="22" t="n">
        <v>0</v>
      </c>
      <c r="G60" s="23" t="n">
        <v>77.21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330.58</v>
      </c>
      <c r="D61" s="7" t="n">
        <v>0</v>
      </c>
      <c r="E61" s="9" t="n">
        <v>25.25</v>
      </c>
      <c r="F61" s="9" t="n">
        <v>11.02</v>
      </c>
      <c r="G61" s="9" t="n">
        <v>36.27</v>
      </c>
      <c r="H61" s="9" t="n">
        <v>294.31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22974.45</v>
      </c>
      <c r="D62" s="22" t="n">
        <v>0</v>
      </c>
      <c r="E62" s="23" t="n">
        <v>22974.45</v>
      </c>
      <c r="F62" s="22" t="n">
        <v>0</v>
      </c>
      <c r="G62" s="23" t="n">
        <v>22974.45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98372.55</v>
      </c>
      <c r="D63" s="7" t="n">
        <v>0</v>
      </c>
      <c r="E63" s="9" t="n">
        <v>21723.97</v>
      </c>
      <c r="F63" s="9" t="n">
        <v>3279.09</v>
      </c>
      <c r="G63" s="9" t="n">
        <v>25003.06</v>
      </c>
      <c r="H63" s="9" t="n">
        <v>73369.49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1427.37</v>
      </c>
      <c r="D64" s="22" t="n">
        <v>0</v>
      </c>
      <c r="E64" s="23" t="n">
        <v>1427.37</v>
      </c>
      <c r="F64" s="22" t="n">
        <v>0</v>
      </c>
      <c r="G64" s="23" t="n">
        <v>1427.37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6111.74</v>
      </c>
      <c r="D65" s="7" t="n">
        <v>0</v>
      </c>
      <c r="E65" s="9" t="n">
        <v>1349.65</v>
      </c>
      <c r="F65" s="9" t="n">
        <v>203.72</v>
      </c>
      <c r="G65" s="9" t="n">
        <v>1553.37</v>
      </c>
      <c r="H65" s="9" t="n">
        <v>4558.37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2854.74</v>
      </c>
      <c r="D66" s="22" t="n">
        <v>0</v>
      </c>
      <c r="E66" s="23" t="n">
        <v>2854.74</v>
      </c>
      <c r="F66" s="22" t="n">
        <v>0</v>
      </c>
      <c r="G66" s="23" t="n">
        <v>2854.74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12223.5</v>
      </c>
      <c r="D67" s="7" t="n">
        <v>0</v>
      </c>
      <c r="E67" s="9" t="n">
        <v>2699.36</v>
      </c>
      <c r="F67" s="9" t="n">
        <v>407.45</v>
      </c>
      <c r="G67" s="9" t="n">
        <v>3106.81</v>
      </c>
      <c r="H67" s="9" t="n">
        <v>9116.69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144372.14</v>
      </c>
      <c r="D68" s="24" t="n">
        <f aca="false">SUM(D60:D67)</f>
        <v>77.21</v>
      </c>
      <c r="E68" s="24" t="n">
        <f aca="false">SUM(E60:E67)</f>
        <v>53132</v>
      </c>
      <c r="F68" s="24" t="n">
        <f aca="false">SUM(F60:F67)</f>
        <v>3901.28</v>
      </c>
      <c r="G68" s="24" t="n">
        <f aca="false">SUM(G60:G67)</f>
        <v>57033.28</v>
      </c>
      <c r="H68" s="24" t="n">
        <f aca="false">SUM(H60:H67)</f>
        <v>87338.86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44185.31</v>
      </c>
    </row>
    <row r="72" customFormat="false" ht="15" hidden="false" customHeight="false" outlineLevel="0" collapsed="false">
      <c r="B72" s="7" t="s">
        <v>102</v>
      </c>
      <c r="C72" s="25" t="n">
        <f aca="false">G68</f>
        <v>57033.28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-12847.97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174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175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5461.24</v>
      </c>
      <c r="D11" s="9" t="n">
        <v>5461.24</v>
      </c>
    </row>
    <row r="12" customFormat="false" ht="15" hidden="false" customHeight="false" outlineLevel="0" collapsed="false">
      <c r="B12" s="7" t="s">
        <v>108</v>
      </c>
      <c r="C12" s="9" t="n">
        <v>2735.7</v>
      </c>
      <c r="D12" s="9" t="n">
        <v>2735.7</v>
      </c>
    </row>
    <row r="13" customFormat="false" ht="15" hidden="false" customHeight="false" outlineLevel="0" collapsed="false">
      <c r="B13" s="7" t="s">
        <v>109</v>
      </c>
      <c r="C13" s="9" t="n">
        <v>7081.3</v>
      </c>
      <c r="D13" s="9" t="n">
        <v>7081.3</v>
      </c>
    </row>
    <row r="14" customFormat="false" ht="15" hidden="false" customHeight="false" outlineLevel="0" collapsed="false">
      <c r="B14" s="7" t="s">
        <v>110</v>
      </c>
      <c r="C14" s="9" t="n">
        <v>571.28</v>
      </c>
      <c r="D14" s="9" t="n">
        <v>571.28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613.87</v>
      </c>
      <c r="D17" s="9" t="n">
        <v>613.87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3371.24</v>
      </c>
      <c r="E23" s="9" t="n">
        <v>3371.24</v>
      </c>
    </row>
    <row r="24" customFormat="false" ht="15" hidden="false" customHeight="false" outlineLevel="0" collapsed="false">
      <c r="B24" s="7" t="s">
        <v>120</v>
      </c>
      <c r="C24" s="9" t="n">
        <v>5200.56</v>
      </c>
      <c r="E24" s="9" t="n">
        <v>5200.56</v>
      </c>
    </row>
    <row r="25" customFormat="false" ht="15" hidden="false" customHeight="false" outlineLevel="0" collapsed="false">
      <c r="B25" s="7" t="s">
        <v>121</v>
      </c>
      <c r="C25" s="9" t="n">
        <v>6857.05</v>
      </c>
      <c r="E25" s="9" t="n">
        <v>6857.05</v>
      </c>
    </row>
    <row r="26" customFormat="false" ht="15" hidden="false" customHeight="false" outlineLevel="0" collapsed="false">
      <c r="B26" s="7" t="s">
        <v>122</v>
      </c>
      <c r="C26" s="9" t="n">
        <v>6193.63</v>
      </c>
      <c r="E26" s="9" t="n">
        <v>6193.63</v>
      </c>
    </row>
    <row r="27" customFormat="false" ht="15" hidden="false" customHeight="false" outlineLevel="0" collapsed="false">
      <c r="B27" s="7" t="s">
        <v>123</v>
      </c>
      <c r="C27" s="9" t="n">
        <v>5960.79</v>
      </c>
      <c r="E27" s="9" t="n">
        <v>5960.79</v>
      </c>
    </row>
    <row r="28" customFormat="false" ht="15" hidden="false" customHeight="false" outlineLevel="0" collapsed="false">
      <c r="B28" s="7" t="s">
        <v>124</v>
      </c>
      <c r="C28" s="9" t="n">
        <v>331.27</v>
      </c>
      <c r="E28" s="9" t="n">
        <v>331.27</v>
      </c>
    </row>
    <row r="29" customFormat="false" ht="15" hidden="false" customHeight="false" outlineLevel="0" collapsed="false">
      <c r="B29" s="7" t="s">
        <v>125</v>
      </c>
      <c r="C29" s="9" t="n">
        <v>17225.23</v>
      </c>
      <c r="E29" s="9" t="n">
        <v>17225.23</v>
      </c>
    </row>
    <row r="30" customFormat="false" ht="15" hidden="false" customHeight="false" outlineLevel="0" collapsed="false">
      <c r="B30" s="7" t="s">
        <v>126</v>
      </c>
      <c r="C30" s="9" t="n">
        <v>3322.88</v>
      </c>
      <c r="E30" s="9" t="n">
        <v>3322.88</v>
      </c>
    </row>
    <row r="31" customFormat="false" ht="15" hidden="false" customHeight="false" outlineLevel="0" collapsed="false">
      <c r="B31" s="7" t="s">
        <v>127</v>
      </c>
      <c r="C31" s="9" t="n">
        <v>2518.01</v>
      </c>
      <c r="E31" s="9" t="n">
        <v>2518.01</v>
      </c>
    </row>
    <row r="32" customFormat="false" ht="15" hidden="false" customHeight="false" outlineLevel="0" collapsed="false">
      <c r="B32" s="7" t="s">
        <v>128</v>
      </c>
      <c r="C32" s="9" t="n">
        <v>3153.72</v>
      </c>
      <c r="E32" s="9" t="n">
        <v>3153.72</v>
      </c>
    </row>
    <row r="33" customFormat="false" ht="15" hidden="false" customHeight="false" outlineLevel="0" collapsed="false">
      <c r="B33" s="7" t="s">
        <v>129</v>
      </c>
      <c r="C33" s="9" t="n">
        <v>12103.51</v>
      </c>
      <c r="E33" s="9" t="n">
        <v>12103.51</v>
      </c>
    </row>
    <row r="34" customFormat="false" ht="15" hidden="false" customHeight="false" outlineLevel="0" collapsed="false">
      <c r="B34" s="7" t="s">
        <v>130</v>
      </c>
      <c r="C34" s="9" t="n">
        <v>4143.45</v>
      </c>
      <c r="E34" s="9" t="n">
        <v>4143.45</v>
      </c>
    </row>
    <row r="35" customFormat="false" ht="15" hidden="false" customHeight="false" outlineLevel="0" collapsed="false">
      <c r="B35" s="7" t="s">
        <v>131</v>
      </c>
      <c r="C35" s="9" t="n">
        <v>831.06</v>
      </c>
      <c r="E35" s="9" t="n">
        <v>831.06</v>
      </c>
    </row>
    <row r="36" customFormat="false" ht="15" hidden="false" customHeight="false" outlineLevel="0" collapsed="false">
      <c r="B36" s="7" t="s">
        <v>132</v>
      </c>
      <c r="C36" s="9" t="n">
        <v>13664.98</v>
      </c>
      <c r="E36" s="9" t="n">
        <v>13664.98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1241.45</v>
      </c>
      <c r="E38" s="9" t="n">
        <v>1241.45</v>
      </c>
    </row>
    <row r="39" customFormat="false" ht="15" hidden="false" customHeight="false" outlineLevel="0" collapsed="false">
      <c r="B39" s="7" t="s">
        <v>135</v>
      </c>
      <c r="C39" s="9" t="n">
        <v>450.76</v>
      </c>
      <c r="E39" s="9" t="n">
        <v>450.76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111983.58</v>
      </c>
      <c r="D40" s="19" t="n">
        <f aca="false">SUM(D10:D39)</f>
        <v>22421.67</v>
      </c>
      <c r="E40" s="19" t="n">
        <f aca="false">SUM(E10:E39)</f>
        <v>89561.91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316.3</v>
      </c>
      <c r="D43" s="9" t="n">
        <v>63.33</v>
      </c>
      <c r="E43" s="9" t="n">
        <v>252.97</v>
      </c>
    </row>
    <row r="44" customFormat="false" ht="15" hidden="false" customHeight="false" outlineLevel="0" collapsed="false">
      <c r="B44" s="7" t="s">
        <v>71</v>
      </c>
      <c r="C44" s="9" t="n">
        <v>94123.92</v>
      </c>
      <c r="D44" s="9" t="n">
        <v>18845.76</v>
      </c>
      <c r="E44" s="9" t="n">
        <v>75278.16</v>
      </c>
    </row>
    <row r="45" customFormat="false" ht="15" hidden="false" customHeight="false" outlineLevel="0" collapsed="false">
      <c r="B45" s="7" t="s">
        <v>72</v>
      </c>
      <c r="C45" s="9" t="n">
        <v>5847.79</v>
      </c>
      <c r="D45" s="9" t="n">
        <v>1170.86</v>
      </c>
      <c r="E45" s="9" t="n">
        <v>4676.93</v>
      </c>
    </row>
    <row r="46" customFormat="false" ht="15" hidden="false" customHeight="false" outlineLevel="0" collapsed="false">
      <c r="B46" s="7" t="s">
        <v>73</v>
      </c>
      <c r="C46" s="9" t="n">
        <v>11695.57</v>
      </c>
      <c r="D46" s="9" t="n">
        <v>2341.72</v>
      </c>
      <c r="E46" s="9" t="n">
        <v>9353.85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111983.58</v>
      </c>
      <c r="D47" s="8" t="n">
        <f aca="false">SUM(D43:D46)</f>
        <v>22421.67</v>
      </c>
      <c r="E47" s="8" t="n">
        <f aca="false">SUM(E43:E46)</f>
        <v>89561.91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316.3</v>
      </c>
      <c r="D52" s="22" t="n">
        <v>0</v>
      </c>
      <c r="E52" s="23" t="n">
        <v>19.15</v>
      </c>
      <c r="F52" s="23" t="n">
        <v>7.89</v>
      </c>
      <c r="G52" s="23" t="n">
        <v>27.04</v>
      </c>
      <c r="H52" s="23" t="n">
        <v>289.26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94123.92</v>
      </c>
      <c r="D53" s="7" t="n">
        <v>0</v>
      </c>
      <c r="E53" s="9" t="n">
        <v>20256.43</v>
      </c>
      <c r="F53" s="9" t="n">
        <v>2213.27</v>
      </c>
      <c r="G53" s="9" t="n">
        <v>22469.7</v>
      </c>
      <c r="H53" s="9" t="n">
        <v>71654.22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5847.79</v>
      </c>
      <c r="D54" s="22" t="n">
        <v>0</v>
      </c>
      <c r="E54" s="23" t="n">
        <v>5457.95</v>
      </c>
      <c r="F54" s="22" t="n">
        <v>0</v>
      </c>
      <c r="G54" s="23" t="n">
        <v>5457.95</v>
      </c>
      <c r="H54" s="23" t="n">
        <v>389.84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11695.57</v>
      </c>
      <c r="D55" s="7" t="n">
        <v>0</v>
      </c>
      <c r="E55" s="9" t="n">
        <v>5628.01</v>
      </c>
      <c r="F55" s="9" t="n">
        <v>690.03</v>
      </c>
      <c r="G55" s="9" t="n">
        <v>6318.04</v>
      </c>
      <c r="H55" s="9" t="n">
        <v>5377.53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111983.58</v>
      </c>
      <c r="D56" s="24" t="n">
        <f aca="false">SUM(D52:D55)</f>
        <v>0</v>
      </c>
      <c r="E56" s="24" t="n">
        <f aca="false">SUM(E52:E55)</f>
        <v>31361.54</v>
      </c>
      <c r="F56" s="24" t="n">
        <f aca="false">SUM(F52:F55)</f>
        <v>2911.19</v>
      </c>
      <c r="G56" s="24" t="n">
        <f aca="false">SUM(G52:G55)</f>
        <v>34272.73</v>
      </c>
      <c r="H56" s="24" t="n">
        <f aca="false">SUM(H52:H55)</f>
        <v>77710.85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63.33</v>
      </c>
      <c r="D60" s="23" t="n">
        <v>63.33</v>
      </c>
      <c r="E60" s="23" t="n">
        <v>63.33</v>
      </c>
      <c r="F60" s="22" t="n">
        <v>0</v>
      </c>
      <c r="G60" s="23" t="n">
        <v>63.33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252.97</v>
      </c>
      <c r="D61" s="7" t="n">
        <v>0</v>
      </c>
      <c r="E61" s="9" t="n">
        <v>19.32</v>
      </c>
      <c r="F61" s="9" t="n">
        <v>8.43</v>
      </c>
      <c r="G61" s="9" t="n">
        <v>27.75</v>
      </c>
      <c r="H61" s="9" t="n">
        <v>225.22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18845.76</v>
      </c>
      <c r="D62" s="22" t="n">
        <v>0</v>
      </c>
      <c r="E62" s="23" t="n">
        <v>18845.76</v>
      </c>
      <c r="F62" s="22" t="n">
        <v>0</v>
      </c>
      <c r="G62" s="23" t="n">
        <v>18845.76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75278.16</v>
      </c>
      <c r="D63" s="7" t="n">
        <v>0</v>
      </c>
      <c r="E63" s="9" t="n">
        <v>16623.92</v>
      </c>
      <c r="F63" s="9" t="n">
        <v>2509.27</v>
      </c>
      <c r="G63" s="9" t="n">
        <v>19133.19</v>
      </c>
      <c r="H63" s="9" t="n">
        <v>56144.97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1170.86</v>
      </c>
      <c r="D64" s="22" t="n">
        <v>0</v>
      </c>
      <c r="E64" s="23" t="n">
        <v>1170.86</v>
      </c>
      <c r="F64" s="22" t="n">
        <v>0</v>
      </c>
      <c r="G64" s="23" t="n">
        <v>1170.86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4676.93</v>
      </c>
      <c r="D65" s="7" t="n">
        <v>0</v>
      </c>
      <c r="E65" s="9" t="n">
        <v>1032.84</v>
      </c>
      <c r="F65" s="9" t="n">
        <v>155.9</v>
      </c>
      <c r="G65" s="9" t="n">
        <v>1188.74</v>
      </c>
      <c r="H65" s="9" t="n">
        <v>3488.19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2341.72</v>
      </c>
      <c r="D66" s="22" t="n">
        <v>0</v>
      </c>
      <c r="E66" s="23" t="n">
        <v>2341.72</v>
      </c>
      <c r="F66" s="22" t="n">
        <v>0</v>
      </c>
      <c r="G66" s="23" t="n">
        <v>2341.72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9353.85</v>
      </c>
      <c r="D67" s="7" t="n">
        <v>0</v>
      </c>
      <c r="E67" s="9" t="n">
        <v>2065.67</v>
      </c>
      <c r="F67" s="9" t="n">
        <v>311.8</v>
      </c>
      <c r="G67" s="9" t="n">
        <v>2377.47</v>
      </c>
      <c r="H67" s="9" t="n">
        <v>6976.38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111983.58</v>
      </c>
      <c r="D68" s="24" t="n">
        <f aca="false">SUM(D60:D67)</f>
        <v>63.33</v>
      </c>
      <c r="E68" s="24" t="n">
        <f aca="false">SUM(E60:E67)</f>
        <v>42163.42</v>
      </c>
      <c r="F68" s="24" t="n">
        <f aca="false">SUM(F60:F67)</f>
        <v>2985.4</v>
      </c>
      <c r="G68" s="24" t="n">
        <f aca="false">SUM(G60:G67)</f>
        <v>45148.82</v>
      </c>
      <c r="H68" s="24" t="n">
        <f aca="false">SUM(H60:H67)</f>
        <v>66834.76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34272.73</v>
      </c>
    </row>
    <row r="72" customFormat="false" ht="15" hidden="false" customHeight="false" outlineLevel="0" collapsed="false">
      <c r="B72" s="7" t="s">
        <v>102</v>
      </c>
      <c r="C72" s="25" t="n">
        <f aca="false">G68</f>
        <v>45148.82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-10876.09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176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177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5461.24</v>
      </c>
      <c r="D11" s="9" t="n">
        <v>5461.24</v>
      </c>
    </row>
    <row r="12" customFormat="false" ht="15" hidden="false" customHeight="false" outlineLevel="0" collapsed="false">
      <c r="B12" s="7" t="s">
        <v>108</v>
      </c>
      <c r="C12" s="9" t="n">
        <v>2735.7</v>
      </c>
      <c r="D12" s="9" t="n">
        <v>2735.7</v>
      </c>
    </row>
    <row r="13" customFormat="false" ht="15" hidden="false" customHeight="false" outlineLevel="0" collapsed="false">
      <c r="B13" s="7" t="s">
        <v>109</v>
      </c>
      <c r="C13" s="9" t="n">
        <v>7081.3</v>
      </c>
      <c r="D13" s="9" t="n">
        <v>7081.3</v>
      </c>
    </row>
    <row r="14" customFormat="false" ht="15" hidden="false" customHeight="false" outlineLevel="0" collapsed="false">
      <c r="B14" s="7" t="s">
        <v>110</v>
      </c>
      <c r="C14" s="9" t="n">
        <v>571.28</v>
      </c>
      <c r="D14" s="9" t="n">
        <v>571.28</v>
      </c>
    </row>
    <row r="15" customFormat="false" ht="15" hidden="false" customHeight="false" outlineLevel="0" collapsed="false">
      <c r="B15" s="7" t="s">
        <v>111</v>
      </c>
      <c r="C15" s="9" t="n">
        <v>85.24</v>
      </c>
      <c r="D15" s="9" t="n">
        <v>85.24</v>
      </c>
    </row>
    <row r="16" customFormat="false" ht="15" hidden="false" customHeight="false" outlineLevel="0" collapsed="false">
      <c r="B16" s="7" t="s">
        <v>112</v>
      </c>
      <c r="C16" s="9" t="n">
        <v>1274.42</v>
      </c>
      <c r="D16" s="9" t="n">
        <v>1274.42</v>
      </c>
    </row>
    <row r="17" customFormat="false" ht="15" hidden="false" customHeight="false" outlineLevel="0" collapsed="false">
      <c r="B17" s="7" t="s">
        <v>113</v>
      </c>
      <c r="C17" s="9" t="n">
        <v>613.87</v>
      </c>
      <c r="D17" s="9" t="n">
        <v>613.87</v>
      </c>
    </row>
    <row r="18" customFormat="false" ht="15" hidden="false" customHeight="false" outlineLevel="0" collapsed="false">
      <c r="B18" s="7" t="s">
        <v>114</v>
      </c>
      <c r="C18" s="9" t="n">
        <v>2313.24</v>
      </c>
      <c r="D18" s="9" t="n">
        <v>2313.24</v>
      </c>
    </row>
    <row r="19" customFormat="false" ht="15" hidden="false" customHeight="false" outlineLevel="0" collapsed="false">
      <c r="B19" s="7" t="s">
        <v>115</v>
      </c>
      <c r="C19" s="9" t="n">
        <v>252.07</v>
      </c>
      <c r="D19" s="9" t="n">
        <v>252.07</v>
      </c>
    </row>
    <row r="20" customFormat="false" ht="15" hidden="false" customHeight="false" outlineLevel="0" collapsed="false">
      <c r="B20" s="7" t="s">
        <v>116</v>
      </c>
      <c r="C20" s="9" t="n">
        <v>37.76</v>
      </c>
      <c r="D20" s="9" t="n">
        <v>37.76</v>
      </c>
    </row>
    <row r="21" customFormat="false" ht="15" hidden="false" customHeight="false" outlineLevel="0" collapsed="false">
      <c r="B21" s="7" t="s">
        <v>117</v>
      </c>
      <c r="C21" s="9" t="n">
        <v>1995.55</v>
      </c>
      <c r="D21" s="9" t="n">
        <v>1995.55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3371.24</v>
      </c>
      <c r="E23" s="9" t="n">
        <v>3371.24</v>
      </c>
    </row>
    <row r="24" customFormat="false" ht="15" hidden="false" customHeight="false" outlineLevel="0" collapsed="false">
      <c r="B24" s="7" t="s">
        <v>120</v>
      </c>
      <c r="C24" s="9" t="n">
        <v>5200.56</v>
      </c>
      <c r="E24" s="9" t="n">
        <v>5200.56</v>
      </c>
    </row>
    <row r="25" customFormat="false" ht="15" hidden="false" customHeight="false" outlineLevel="0" collapsed="false">
      <c r="B25" s="7" t="s">
        <v>121</v>
      </c>
      <c r="C25" s="9" t="n">
        <v>6857.05</v>
      </c>
      <c r="E25" s="9" t="n">
        <v>6857.05</v>
      </c>
    </row>
    <row r="26" customFormat="false" ht="15" hidden="false" customHeight="false" outlineLevel="0" collapsed="false">
      <c r="B26" s="7" t="s">
        <v>122</v>
      </c>
      <c r="C26" s="9" t="n">
        <v>6193.63</v>
      </c>
      <c r="E26" s="9" t="n">
        <v>6193.63</v>
      </c>
    </row>
    <row r="27" customFormat="false" ht="15" hidden="false" customHeight="false" outlineLevel="0" collapsed="false">
      <c r="B27" s="7" t="s">
        <v>123</v>
      </c>
      <c r="C27" s="9" t="n">
        <v>5960.79</v>
      </c>
      <c r="E27" s="9" t="n">
        <v>5960.79</v>
      </c>
    </row>
    <row r="28" customFormat="false" ht="15" hidden="false" customHeight="false" outlineLevel="0" collapsed="false">
      <c r="B28" s="7" t="s">
        <v>124</v>
      </c>
      <c r="C28" s="9" t="n">
        <v>331.27</v>
      </c>
      <c r="E28" s="9" t="n">
        <v>331.27</v>
      </c>
    </row>
    <row r="29" customFormat="false" ht="15" hidden="false" customHeight="false" outlineLevel="0" collapsed="false">
      <c r="B29" s="7" t="s">
        <v>125</v>
      </c>
      <c r="C29" s="9" t="n">
        <v>17225.23</v>
      </c>
      <c r="E29" s="9" t="n">
        <v>17225.23</v>
      </c>
    </row>
    <row r="30" customFormat="false" ht="15" hidden="false" customHeight="false" outlineLevel="0" collapsed="false">
      <c r="B30" s="7" t="s">
        <v>126</v>
      </c>
      <c r="C30" s="9" t="n">
        <v>3322.88</v>
      </c>
      <c r="E30" s="9" t="n">
        <v>3322.88</v>
      </c>
    </row>
    <row r="31" customFormat="false" ht="15" hidden="false" customHeight="false" outlineLevel="0" collapsed="false">
      <c r="B31" s="7" t="s">
        <v>127</v>
      </c>
      <c r="C31" s="9" t="n">
        <v>2518.01</v>
      </c>
      <c r="E31" s="9" t="n">
        <v>2518.01</v>
      </c>
    </row>
    <row r="32" customFormat="false" ht="15" hidden="false" customHeight="false" outlineLevel="0" collapsed="false">
      <c r="B32" s="7" t="s">
        <v>128</v>
      </c>
      <c r="C32" s="9" t="n">
        <v>3153.72</v>
      </c>
      <c r="E32" s="9" t="n">
        <v>3153.72</v>
      </c>
    </row>
    <row r="33" customFormat="false" ht="15" hidden="false" customHeight="false" outlineLevel="0" collapsed="false">
      <c r="B33" s="7" t="s">
        <v>129</v>
      </c>
      <c r="C33" s="9" t="n">
        <v>12103.51</v>
      </c>
      <c r="E33" s="9" t="n">
        <v>12103.51</v>
      </c>
    </row>
    <row r="34" customFormat="false" ht="15" hidden="false" customHeight="false" outlineLevel="0" collapsed="false">
      <c r="B34" s="7" t="s">
        <v>130</v>
      </c>
      <c r="C34" s="9" t="n">
        <v>4143.45</v>
      </c>
      <c r="E34" s="9" t="n">
        <v>4143.45</v>
      </c>
    </row>
    <row r="35" customFormat="false" ht="15" hidden="false" customHeight="false" outlineLevel="0" collapsed="false">
      <c r="B35" s="7" t="s">
        <v>131</v>
      </c>
      <c r="C35" s="9" t="n">
        <v>831.06</v>
      </c>
      <c r="E35" s="9" t="n">
        <v>831.06</v>
      </c>
    </row>
    <row r="36" customFormat="false" ht="15" hidden="false" customHeight="false" outlineLevel="0" collapsed="false">
      <c r="B36" s="7" t="s">
        <v>132</v>
      </c>
      <c r="C36" s="9" t="n">
        <v>13664.98</v>
      </c>
      <c r="E36" s="9" t="n">
        <v>13664.98</v>
      </c>
    </row>
    <row r="37" customFormat="false" ht="15" hidden="false" customHeight="false" outlineLevel="0" collapsed="false">
      <c r="B37" s="7" t="s">
        <v>133</v>
      </c>
      <c r="C37" s="9" t="n">
        <v>2992.32</v>
      </c>
      <c r="E37" s="9" t="n">
        <v>2992.32</v>
      </c>
    </row>
    <row r="38" customFormat="false" ht="15" hidden="false" customHeight="false" outlineLevel="0" collapsed="false">
      <c r="B38" s="7" t="s">
        <v>134</v>
      </c>
      <c r="C38" s="9" t="n">
        <v>1241.45</v>
      </c>
      <c r="E38" s="9" t="n">
        <v>1241.45</v>
      </c>
    </row>
    <row r="39" customFormat="false" ht="15" hidden="false" customHeight="false" outlineLevel="0" collapsed="false">
      <c r="B39" s="7" t="s">
        <v>135</v>
      </c>
      <c r="C39" s="9" t="n">
        <v>450.76</v>
      </c>
      <c r="E39" s="9" t="n">
        <v>450.76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111983.58</v>
      </c>
      <c r="D40" s="19" t="n">
        <f aca="false">SUM(D10:D39)</f>
        <v>22421.67</v>
      </c>
      <c r="E40" s="19" t="n">
        <f aca="false">SUM(E10:E39)</f>
        <v>89561.91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316.3</v>
      </c>
      <c r="D43" s="9" t="n">
        <v>63.33</v>
      </c>
      <c r="E43" s="9" t="n">
        <v>252.97</v>
      </c>
    </row>
    <row r="44" customFormat="false" ht="15" hidden="false" customHeight="false" outlineLevel="0" collapsed="false">
      <c r="B44" s="7" t="s">
        <v>71</v>
      </c>
      <c r="C44" s="9" t="n">
        <v>94123.92</v>
      </c>
      <c r="D44" s="9" t="n">
        <v>18845.76</v>
      </c>
      <c r="E44" s="9" t="n">
        <v>75278.16</v>
      </c>
    </row>
    <row r="45" customFormat="false" ht="15" hidden="false" customHeight="false" outlineLevel="0" collapsed="false">
      <c r="B45" s="7" t="s">
        <v>72</v>
      </c>
      <c r="C45" s="9" t="n">
        <v>5847.79</v>
      </c>
      <c r="D45" s="9" t="n">
        <v>1170.86</v>
      </c>
      <c r="E45" s="9" t="n">
        <v>4676.93</v>
      </c>
    </row>
    <row r="46" customFormat="false" ht="15" hidden="false" customHeight="false" outlineLevel="0" collapsed="false">
      <c r="B46" s="7" t="s">
        <v>73</v>
      </c>
      <c r="C46" s="9" t="n">
        <v>11695.57</v>
      </c>
      <c r="D46" s="9" t="n">
        <v>2341.72</v>
      </c>
      <c r="E46" s="9" t="n">
        <v>9353.85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111983.58</v>
      </c>
      <c r="D47" s="8" t="n">
        <f aca="false">SUM(D43:D46)</f>
        <v>22421.67</v>
      </c>
      <c r="E47" s="8" t="n">
        <f aca="false">SUM(E43:E46)</f>
        <v>89561.91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316.3</v>
      </c>
      <c r="D52" s="22" t="n">
        <v>0</v>
      </c>
      <c r="E52" s="23" t="n">
        <v>19.15</v>
      </c>
      <c r="F52" s="23" t="n">
        <v>7.89</v>
      </c>
      <c r="G52" s="23" t="n">
        <v>27.04</v>
      </c>
      <c r="H52" s="23" t="n">
        <v>289.26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94123.92</v>
      </c>
      <c r="D53" s="7" t="n">
        <v>0</v>
      </c>
      <c r="E53" s="9" t="n">
        <v>20256.43</v>
      </c>
      <c r="F53" s="9" t="n">
        <v>2213.27</v>
      </c>
      <c r="G53" s="9" t="n">
        <v>22469.7</v>
      </c>
      <c r="H53" s="9" t="n">
        <v>71654.22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5847.79</v>
      </c>
      <c r="D54" s="22" t="n">
        <v>0</v>
      </c>
      <c r="E54" s="23" t="n">
        <v>5457.95</v>
      </c>
      <c r="F54" s="22" t="n">
        <v>0</v>
      </c>
      <c r="G54" s="23" t="n">
        <v>5457.95</v>
      </c>
      <c r="H54" s="23" t="n">
        <v>389.84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11695.57</v>
      </c>
      <c r="D55" s="7" t="n">
        <v>0</v>
      </c>
      <c r="E55" s="9" t="n">
        <v>5628.01</v>
      </c>
      <c r="F55" s="9" t="n">
        <v>690.03</v>
      </c>
      <c r="G55" s="9" t="n">
        <v>6318.04</v>
      </c>
      <c r="H55" s="9" t="n">
        <v>5377.53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111983.58</v>
      </c>
      <c r="D56" s="24" t="n">
        <f aca="false">SUM(D52:D55)</f>
        <v>0</v>
      </c>
      <c r="E56" s="24" t="n">
        <f aca="false">SUM(E52:E55)</f>
        <v>31361.54</v>
      </c>
      <c r="F56" s="24" t="n">
        <f aca="false">SUM(F52:F55)</f>
        <v>2911.19</v>
      </c>
      <c r="G56" s="24" t="n">
        <f aca="false">SUM(G52:G55)</f>
        <v>34272.73</v>
      </c>
      <c r="H56" s="24" t="n">
        <f aca="false">SUM(H52:H55)</f>
        <v>77710.85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63.33</v>
      </c>
      <c r="D60" s="23" t="n">
        <v>63.33</v>
      </c>
      <c r="E60" s="23" t="n">
        <v>63.33</v>
      </c>
      <c r="F60" s="22" t="n">
        <v>0</v>
      </c>
      <c r="G60" s="23" t="n">
        <v>63.33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252.97</v>
      </c>
      <c r="D61" s="7" t="n">
        <v>0</v>
      </c>
      <c r="E61" s="9" t="n">
        <v>19.32</v>
      </c>
      <c r="F61" s="9" t="n">
        <v>8.43</v>
      </c>
      <c r="G61" s="9" t="n">
        <v>27.75</v>
      </c>
      <c r="H61" s="9" t="n">
        <v>225.22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18845.76</v>
      </c>
      <c r="D62" s="22" t="n">
        <v>0</v>
      </c>
      <c r="E62" s="23" t="n">
        <v>18845.76</v>
      </c>
      <c r="F62" s="22" t="n">
        <v>0</v>
      </c>
      <c r="G62" s="23" t="n">
        <v>18845.76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75278.16</v>
      </c>
      <c r="D63" s="7" t="n">
        <v>0</v>
      </c>
      <c r="E63" s="9" t="n">
        <v>16623.92</v>
      </c>
      <c r="F63" s="9" t="n">
        <v>2509.27</v>
      </c>
      <c r="G63" s="9" t="n">
        <v>19133.19</v>
      </c>
      <c r="H63" s="9" t="n">
        <v>56144.97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1170.86</v>
      </c>
      <c r="D64" s="22" t="n">
        <v>0</v>
      </c>
      <c r="E64" s="23" t="n">
        <v>1170.86</v>
      </c>
      <c r="F64" s="22" t="n">
        <v>0</v>
      </c>
      <c r="G64" s="23" t="n">
        <v>1170.86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4676.93</v>
      </c>
      <c r="D65" s="7" t="n">
        <v>0</v>
      </c>
      <c r="E65" s="9" t="n">
        <v>1032.84</v>
      </c>
      <c r="F65" s="9" t="n">
        <v>155.9</v>
      </c>
      <c r="G65" s="9" t="n">
        <v>1188.74</v>
      </c>
      <c r="H65" s="9" t="n">
        <v>3488.19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2341.72</v>
      </c>
      <c r="D66" s="22" t="n">
        <v>0</v>
      </c>
      <c r="E66" s="23" t="n">
        <v>2341.72</v>
      </c>
      <c r="F66" s="22" t="n">
        <v>0</v>
      </c>
      <c r="G66" s="23" t="n">
        <v>2341.72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9353.85</v>
      </c>
      <c r="D67" s="7" t="n">
        <v>0</v>
      </c>
      <c r="E67" s="9" t="n">
        <v>2065.67</v>
      </c>
      <c r="F67" s="9" t="n">
        <v>311.8</v>
      </c>
      <c r="G67" s="9" t="n">
        <v>2377.47</v>
      </c>
      <c r="H67" s="9" t="n">
        <v>6976.38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111983.58</v>
      </c>
      <c r="D68" s="24" t="n">
        <f aca="false">SUM(D60:D67)</f>
        <v>63.33</v>
      </c>
      <c r="E68" s="24" t="n">
        <f aca="false">SUM(E60:E67)</f>
        <v>42163.42</v>
      </c>
      <c r="F68" s="24" t="n">
        <f aca="false">SUM(F60:F67)</f>
        <v>2985.4</v>
      </c>
      <c r="G68" s="24" t="n">
        <f aca="false">SUM(G60:G67)</f>
        <v>45148.82</v>
      </c>
      <c r="H68" s="24" t="n">
        <f aca="false">SUM(H60:H67)</f>
        <v>66834.76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34272.73</v>
      </c>
    </row>
    <row r="72" customFormat="false" ht="15" hidden="false" customHeight="false" outlineLevel="0" collapsed="false">
      <c r="B72" s="7" t="s">
        <v>102</v>
      </c>
      <c r="C72" s="25" t="n">
        <f aca="false">G68</f>
        <v>45148.82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-10876.09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178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179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13932.37</v>
      </c>
      <c r="D11" s="9" t="n">
        <v>13932.37</v>
      </c>
    </row>
    <row r="12" customFormat="false" ht="15" hidden="false" customHeight="false" outlineLevel="0" collapsed="false">
      <c r="B12" s="7" t="s">
        <v>108</v>
      </c>
      <c r="C12" s="9" t="n">
        <v>4762.13</v>
      </c>
      <c r="D12" s="9" t="n">
        <v>4762.13</v>
      </c>
    </row>
    <row r="13" customFormat="false" ht="15" hidden="false" customHeight="false" outlineLevel="0" collapsed="false">
      <c r="B13" s="7" t="s">
        <v>109</v>
      </c>
      <c r="C13" s="9" t="n">
        <v>21399.52</v>
      </c>
      <c r="D13" s="9" t="n">
        <v>21399.52</v>
      </c>
    </row>
    <row r="14" customFormat="false" ht="15" hidden="false" customHeight="false" outlineLevel="0" collapsed="false">
      <c r="B14" s="7" t="s">
        <v>110</v>
      </c>
      <c r="C14" s="9" t="n">
        <v>1967.77</v>
      </c>
      <c r="D14" s="9" t="n">
        <v>1967.77</v>
      </c>
    </row>
    <row r="15" customFormat="false" ht="15" hidden="false" customHeight="false" outlineLevel="0" collapsed="false">
      <c r="B15" s="7" t="s">
        <v>111</v>
      </c>
      <c r="C15" s="9" t="n">
        <v>127.35</v>
      </c>
      <c r="D15" s="9" t="n">
        <v>127.35</v>
      </c>
    </row>
    <row r="16" customFormat="false" ht="15" hidden="false" customHeight="false" outlineLevel="0" collapsed="false">
      <c r="B16" s="7" t="s">
        <v>112</v>
      </c>
      <c r="C16" s="9" t="n">
        <v>2548.79</v>
      </c>
      <c r="D16" s="9" t="n">
        <v>2548.79</v>
      </c>
    </row>
    <row r="17" customFormat="false" ht="15" hidden="false" customHeight="false" outlineLevel="0" collapsed="false">
      <c r="B17" s="7" t="s">
        <v>113</v>
      </c>
      <c r="C17" s="9" t="n">
        <v>1855.1</v>
      </c>
      <c r="D17" s="9" t="n">
        <v>1855.1</v>
      </c>
    </row>
    <row r="18" customFormat="false" ht="15" hidden="false" customHeight="false" outlineLevel="0" collapsed="false">
      <c r="B18" s="7" t="s">
        <v>114</v>
      </c>
      <c r="C18" s="9" t="n">
        <v>4626.46</v>
      </c>
      <c r="D18" s="9" t="n">
        <v>4626.46</v>
      </c>
    </row>
    <row r="19" customFormat="false" ht="15" hidden="false" customHeight="false" outlineLevel="0" collapsed="false">
      <c r="B19" s="7" t="s">
        <v>115</v>
      </c>
      <c r="C19" s="9" t="n">
        <v>480.75</v>
      </c>
      <c r="D19" s="9" t="n">
        <v>480.75</v>
      </c>
    </row>
    <row r="20" customFormat="false" ht="15" hidden="false" customHeight="false" outlineLevel="0" collapsed="false">
      <c r="B20" s="7" t="s">
        <v>116</v>
      </c>
      <c r="C20" s="9" t="n">
        <v>75.53</v>
      </c>
      <c r="D20" s="9" t="n">
        <v>75.53</v>
      </c>
    </row>
    <row r="21" customFormat="false" ht="15" hidden="false" customHeight="false" outlineLevel="0" collapsed="false">
      <c r="B21" s="7" t="s">
        <v>117</v>
      </c>
      <c r="C21" s="9" t="n">
        <v>3991.1</v>
      </c>
      <c r="D21" s="9" t="n">
        <v>3991.1</v>
      </c>
    </row>
    <row r="22" customFormat="false" ht="15" hidden="false" customHeight="false" outlineLevel="0" collapsed="false">
      <c r="B22" s="17" t="s">
        <v>118</v>
      </c>
    </row>
    <row r="23" customFormat="false" ht="15" hidden="false" customHeight="false" outlineLevel="0" collapsed="false">
      <c r="B23" s="7" t="s">
        <v>119</v>
      </c>
      <c r="C23" s="9" t="n">
        <v>8726.14</v>
      </c>
      <c r="E23" s="9" t="n">
        <v>8726.14</v>
      </c>
    </row>
    <row r="24" customFormat="false" ht="15" hidden="false" customHeight="false" outlineLevel="0" collapsed="false">
      <c r="B24" s="7" t="s">
        <v>120</v>
      </c>
      <c r="C24" s="9" t="n">
        <v>14310.97</v>
      </c>
      <c r="E24" s="9" t="n">
        <v>14310.97</v>
      </c>
    </row>
    <row r="25" customFormat="false" ht="15" hidden="false" customHeight="false" outlineLevel="0" collapsed="false">
      <c r="B25" s="7" t="s">
        <v>121</v>
      </c>
      <c r="C25" s="9" t="n">
        <v>20721.85</v>
      </c>
      <c r="E25" s="9" t="n">
        <v>20721.85</v>
      </c>
    </row>
    <row r="26" customFormat="false" ht="15" hidden="false" customHeight="false" outlineLevel="0" collapsed="false">
      <c r="B26" s="7" t="s">
        <v>122</v>
      </c>
      <c r="C26" s="9" t="n">
        <v>20019.46</v>
      </c>
      <c r="E26" s="9" t="n">
        <v>20019.46</v>
      </c>
    </row>
    <row r="27" customFormat="false" ht="15" hidden="false" customHeight="false" outlineLevel="0" collapsed="false">
      <c r="B27" s="7" t="s">
        <v>123</v>
      </c>
      <c r="C27" s="9" t="n">
        <v>18013.39</v>
      </c>
      <c r="E27" s="9" t="n">
        <v>18013.39</v>
      </c>
    </row>
    <row r="28" customFormat="false" ht="15" hidden="false" customHeight="false" outlineLevel="0" collapsed="false">
      <c r="B28" s="7" t="s">
        <v>124</v>
      </c>
      <c r="C28" s="9" t="n">
        <v>1255.28</v>
      </c>
      <c r="E28" s="9" t="n">
        <v>1255.28</v>
      </c>
    </row>
    <row r="29" customFormat="false" ht="15" hidden="false" customHeight="false" outlineLevel="0" collapsed="false">
      <c r="B29" s="7" t="s">
        <v>125</v>
      </c>
      <c r="C29" s="9" t="n">
        <v>28034.85</v>
      </c>
      <c r="E29" s="9" t="n">
        <v>28034.85</v>
      </c>
    </row>
    <row r="30" customFormat="false" ht="15" hidden="false" customHeight="false" outlineLevel="0" collapsed="false">
      <c r="B30" s="7" t="s">
        <v>126</v>
      </c>
      <c r="C30" s="9" t="n">
        <v>9209.33</v>
      </c>
      <c r="E30" s="9" t="n">
        <v>9209.33</v>
      </c>
    </row>
    <row r="31" customFormat="false" ht="15" hidden="false" customHeight="false" outlineLevel="0" collapsed="false">
      <c r="B31" s="7" t="s">
        <v>127</v>
      </c>
      <c r="C31" s="9" t="n">
        <v>8673.12</v>
      </c>
      <c r="E31" s="9" t="n">
        <v>8673.12</v>
      </c>
    </row>
    <row r="32" customFormat="false" ht="15" hidden="false" customHeight="false" outlineLevel="0" collapsed="false">
      <c r="B32" s="7" t="s">
        <v>128</v>
      </c>
      <c r="C32" s="9" t="n">
        <v>9530.52</v>
      </c>
      <c r="E32" s="9" t="n">
        <v>9530.52</v>
      </c>
    </row>
    <row r="33" customFormat="false" ht="15" hidden="false" customHeight="false" outlineLevel="0" collapsed="false">
      <c r="B33" s="7" t="s">
        <v>129</v>
      </c>
      <c r="C33" s="9" t="n">
        <v>20615.67</v>
      </c>
      <c r="E33" s="9" t="n">
        <v>20615.67</v>
      </c>
    </row>
    <row r="34" customFormat="false" ht="15" hidden="false" customHeight="false" outlineLevel="0" collapsed="false">
      <c r="B34" s="7" t="s">
        <v>130</v>
      </c>
      <c r="C34" s="9" t="n">
        <v>8186.44</v>
      </c>
      <c r="E34" s="9" t="n">
        <v>8186.44</v>
      </c>
    </row>
    <row r="35" customFormat="false" ht="15" hidden="false" customHeight="false" outlineLevel="0" collapsed="false">
      <c r="B35" s="7" t="s">
        <v>131</v>
      </c>
      <c r="C35" s="9" t="n">
        <v>1433.11</v>
      </c>
      <c r="E35" s="9" t="n">
        <v>1433.11</v>
      </c>
    </row>
    <row r="36" customFormat="false" ht="15" hidden="false" customHeight="false" outlineLevel="0" collapsed="false">
      <c r="B36" s="7" t="s">
        <v>132</v>
      </c>
      <c r="C36" s="9" t="n">
        <v>33915.86</v>
      </c>
      <c r="E36" s="9" t="n">
        <v>33915.86</v>
      </c>
    </row>
    <row r="37" customFormat="false" ht="15" hidden="false" customHeight="false" outlineLevel="0" collapsed="false">
      <c r="B37" s="7" t="s">
        <v>133</v>
      </c>
      <c r="C37" s="9" t="n">
        <v>4019.19</v>
      </c>
      <c r="E37" s="9" t="n">
        <v>4019.19</v>
      </c>
    </row>
    <row r="38" customFormat="false" ht="15" hidden="false" customHeight="false" outlineLevel="0" collapsed="false">
      <c r="B38" s="7" t="s">
        <v>134</v>
      </c>
      <c r="C38" s="9" t="n">
        <v>2482.89</v>
      </c>
      <c r="E38" s="9" t="n">
        <v>2482.89</v>
      </c>
    </row>
    <row r="39" customFormat="false" ht="15" hidden="false" customHeight="false" outlineLevel="0" collapsed="false">
      <c r="B39" s="7" t="s">
        <v>135</v>
      </c>
      <c r="C39" s="9" t="n">
        <v>901.51</v>
      </c>
      <c r="E39" s="9" t="n">
        <v>901.51</v>
      </c>
    </row>
    <row r="40" customFormat="false" ht="15" hidden="false" customHeight="false" outlineLevel="0" collapsed="false">
      <c r="B40" s="18" t="s">
        <v>68</v>
      </c>
      <c r="C40" s="19" t="n">
        <f aca="false">SUM(C10:C39)</f>
        <v>265816.45</v>
      </c>
      <c r="D40" s="19" t="n">
        <f aca="false">SUM(D10:D39)</f>
        <v>55766.87</v>
      </c>
      <c r="E40" s="19" t="n">
        <f aca="false">SUM(E10:E39)</f>
        <v>210049.58</v>
      </c>
    </row>
    <row r="42" customFormat="false" ht="15" hidden="false" customHeight="false" outlineLevel="0" collapsed="false">
      <c r="B42" s="10" t="s">
        <v>69</v>
      </c>
    </row>
    <row r="43" customFormat="false" ht="15" hidden="false" customHeight="false" outlineLevel="0" collapsed="false">
      <c r="B43" s="7" t="s">
        <v>70</v>
      </c>
      <c r="C43" s="9" t="n">
        <v>750.82</v>
      </c>
      <c r="D43" s="9" t="n">
        <v>157.52</v>
      </c>
      <c r="E43" s="9" t="n">
        <v>593.3</v>
      </c>
    </row>
    <row r="44" customFormat="false" ht="15" hidden="false" customHeight="false" outlineLevel="0" collapsed="false">
      <c r="B44" s="7" t="s">
        <v>71</v>
      </c>
      <c r="C44" s="9" t="n">
        <v>223422.8</v>
      </c>
      <c r="D44" s="9" t="n">
        <v>46872.91</v>
      </c>
      <c r="E44" s="9" t="n">
        <v>176549.89</v>
      </c>
    </row>
    <row r="45" customFormat="false" ht="15" hidden="false" customHeight="false" outlineLevel="0" collapsed="false">
      <c r="B45" s="7" t="s">
        <v>72</v>
      </c>
      <c r="C45" s="9" t="n">
        <v>13880.94</v>
      </c>
      <c r="D45" s="9" t="n">
        <v>2912.15</v>
      </c>
      <c r="E45" s="9" t="n">
        <v>10968.79</v>
      </c>
    </row>
    <row r="46" customFormat="false" ht="15" hidden="false" customHeight="false" outlineLevel="0" collapsed="false">
      <c r="B46" s="7" t="s">
        <v>73</v>
      </c>
      <c r="C46" s="9" t="n">
        <v>27761.89</v>
      </c>
      <c r="D46" s="9" t="n">
        <v>5824.29</v>
      </c>
      <c r="E46" s="9" t="n">
        <v>21937.6</v>
      </c>
    </row>
    <row r="47" customFormat="false" ht="15" hidden="false" customHeight="false" outlineLevel="0" collapsed="false">
      <c r="B47" s="10" t="s">
        <v>74</v>
      </c>
      <c r="C47" s="8" t="n">
        <f aca="false">SUM(C43:C46)</f>
        <v>265816.45</v>
      </c>
      <c r="D47" s="8" t="n">
        <f aca="false">SUM(D43:D46)</f>
        <v>55766.87</v>
      </c>
      <c r="E47" s="8" t="n">
        <f aca="false">SUM(E43:E46)</f>
        <v>210049.58</v>
      </c>
    </row>
    <row r="49" customFormat="false" ht="15" hidden="false" customHeight="false" outlineLevel="0" collapsed="false">
      <c r="A49" s="4" t="s">
        <v>75</v>
      </c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0" t="s">
        <v>37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5" t="s">
        <v>76</v>
      </c>
      <c r="B51" s="5" t="s">
        <v>77</v>
      </c>
      <c r="C51" s="5" t="s">
        <v>78</v>
      </c>
      <c r="D51" s="5" t="s">
        <v>79</v>
      </c>
      <c r="E51" s="5" t="s">
        <v>80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</row>
    <row r="52" customFormat="false" ht="15" hidden="false" customHeight="false" outlineLevel="0" collapsed="false">
      <c r="A52" s="22" t="s">
        <v>86</v>
      </c>
      <c r="B52" s="22" t="s">
        <v>28</v>
      </c>
      <c r="C52" s="23" t="n">
        <v>750.82</v>
      </c>
      <c r="D52" s="22" t="n">
        <v>0</v>
      </c>
      <c r="E52" s="23" t="n">
        <v>45.46</v>
      </c>
      <c r="F52" s="23" t="n">
        <v>18.74</v>
      </c>
      <c r="G52" s="23" t="n">
        <v>64.2</v>
      </c>
      <c r="H52" s="23" t="n">
        <v>686.62</v>
      </c>
      <c r="I52" s="22" t="s">
        <v>87</v>
      </c>
      <c r="J52" s="22" t="n">
        <v>40</v>
      </c>
    </row>
    <row r="53" customFormat="false" ht="15" hidden="false" customHeight="false" outlineLevel="0" collapsed="false">
      <c r="A53" s="7" t="s">
        <v>88</v>
      </c>
      <c r="B53" s="7" t="s">
        <v>30</v>
      </c>
      <c r="C53" s="9" t="n">
        <v>223422.8</v>
      </c>
      <c r="D53" s="7" t="n">
        <v>0</v>
      </c>
      <c r="E53" s="9" t="n">
        <v>48082.9</v>
      </c>
      <c r="F53" s="9" t="n">
        <v>5253.66</v>
      </c>
      <c r="G53" s="9" t="n">
        <v>53336.56</v>
      </c>
      <c r="H53" s="9" t="n">
        <v>170086.24</v>
      </c>
      <c r="I53" s="7" t="s">
        <v>87</v>
      </c>
      <c r="J53" s="7" t="n">
        <v>40</v>
      </c>
    </row>
    <row r="54" customFormat="false" ht="15" hidden="false" customHeight="false" outlineLevel="0" collapsed="false">
      <c r="A54" s="22" t="s">
        <v>89</v>
      </c>
      <c r="B54" s="22" t="s">
        <v>30</v>
      </c>
      <c r="C54" s="23" t="n">
        <v>13880.94</v>
      </c>
      <c r="D54" s="22" t="n">
        <v>0</v>
      </c>
      <c r="E54" s="23" t="n">
        <v>12955.57</v>
      </c>
      <c r="F54" s="22" t="n">
        <v>0</v>
      </c>
      <c r="G54" s="23" t="n">
        <v>12955.57</v>
      </c>
      <c r="H54" s="23" t="n">
        <v>925.37</v>
      </c>
      <c r="I54" s="22" t="s">
        <v>87</v>
      </c>
      <c r="J54" s="22" t="n">
        <v>40</v>
      </c>
    </row>
    <row r="55" customFormat="false" ht="15" hidden="false" customHeight="false" outlineLevel="0" collapsed="false">
      <c r="A55" s="7" t="s">
        <v>90</v>
      </c>
      <c r="B55" s="7" t="s">
        <v>30</v>
      </c>
      <c r="C55" s="9" t="n">
        <v>27761.89</v>
      </c>
      <c r="D55" s="7" t="n">
        <v>0</v>
      </c>
      <c r="E55" s="9" t="n">
        <v>13359.23</v>
      </c>
      <c r="F55" s="9" t="n">
        <v>1637.95</v>
      </c>
      <c r="G55" s="9" t="n">
        <v>14997.18</v>
      </c>
      <c r="H55" s="9" t="n">
        <v>12764.71</v>
      </c>
      <c r="I55" s="7" t="s">
        <v>87</v>
      </c>
      <c r="J55" s="7" t="n">
        <v>40</v>
      </c>
    </row>
    <row r="56" customFormat="false" ht="15" hidden="false" customHeight="false" outlineLevel="0" collapsed="false">
      <c r="A56" s="10" t="s">
        <v>26</v>
      </c>
      <c r="C56" s="24" t="n">
        <f aca="false">SUM(C52:C55)</f>
        <v>265816.45</v>
      </c>
      <c r="D56" s="24" t="n">
        <f aca="false">SUM(D52:D55)</f>
        <v>0</v>
      </c>
      <c r="E56" s="24" t="n">
        <f aca="false">SUM(E52:E55)</f>
        <v>74443.16</v>
      </c>
      <c r="F56" s="24" t="n">
        <f aca="false">SUM(F52:F55)</f>
        <v>6910.35</v>
      </c>
      <c r="G56" s="24" t="n">
        <f aca="false">SUM(G52:G55)</f>
        <v>81353.51</v>
      </c>
      <c r="H56" s="24" t="n">
        <f aca="false">SUM(H52:H55)</f>
        <v>184462.94</v>
      </c>
    </row>
    <row r="58" customFormat="false" ht="15" hidden="false" customHeight="false" outlineLevel="0" collapsed="false">
      <c r="A58" s="20" t="s">
        <v>91</v>
      </c>
      <c r="B58" s="21"/>
      <c r="C58" s="21"/>
      <c r="D58" s="21"/>
      <c r="E58" s="21"/>
      <c r="F58" s="21"/>
      <c r="G58" s="21"/>
      <c r="H58" s="21"/>
      <c r="I58" s="21"/>
      <c r="J58" s="21"/>
    </row>
    <row r="59" customFormat="false" ht="15" hidden="false" customHeight="false" outlineLevel="0" collapsed="false">
      <c r="A59" s="5" t="s">
        <v>76</v>
      </c>
      <c r="B59" s="5" t="s">
        <v>77</v>
      </c>
      <c r="C59" s="5" t="s">
        <v>78</v>
      </c>
      <c r="D59" s="5" t="s">
        <v>79</v>
      </c>
      <c r="E59" s="5" t="s">
        <v>80</v>
      </c>
      <c r="F59" s="5" t="s">
        <v>81</v>
      </c>
      <c r="G59" s="5" t="s">
        <v>82</v>
      </c>
      <c r="H59" s="5" t="s">
        <v>83</v>
      </c>
      <c r="I59" s="5" t="s">
        <v>84</v>
      </c>
      <c r="J59" s="5" t="s">
        <v>85</v>
      </c>
    </row>
    <row r="60" customFormat="false" ht="15" hidden="false" customHeight="false" outlineLevel="0" collapsed="false">
      <c r="A60" s="22" t="s">
        <v>136</v>
      </c>
      <c r="B60" s="22" t="s">
        <v>28</v>
      </c>
      <c r="C60" s="23" t="n">
        <v>157.52</v>
      </c>
      <c r="D60" s="23" t="n">
        <v>157.52</v>
      </c>
      <c r="E60" s="23" t="n">
        <v>157.52</v>
      </c>
      <c r="F60" s="22" t="n">
        <v>0</v>
      </c>
      <c r="G60" s="23" t="n">
        <v>157.52</v>
      </c>
      <c r="H60" s="22" t="n">
        <v>0</v>
      </c>
      <c r="I60" s="22" t="s">
        <v>137</v>
      </c>
      <c r="J60" s="22" t="n">
        <v>5</v>
      </c>
    </row>
    <row r="61" customFormat="false" ht="15" hidden="false" customHeight="false" outlineLevel="0" collapsed="false">
      <c r="A61" s="7" t="s">
        <v>94</v>
      </c>
      <c r="B61" s="7" t="s">
        <v>28</v>
      </c>
      <c r="C61" s="9" t="n">
        <v>593.3</v>
      </c>
      <c r="D61" s="7" t="n">
        <v>0</v>
      </c>
      <c r="E61" s="9" t="n">
        <v>45.33</v>
      </c>
      <c r="F61" s="9" t="n">
        <v>19.78</v>
      </c>
      <c r="G61" s="9" t="n">
        <v>65.11</v>
      </c>
      <c r="H61" s="9" t="n">
        <v>528.19</v>
      </c>
      <c r="I61" s="7" t="s">
        <v>87</v>
      </c>
      <c r="J61" s="7" t="n">
        <v>30</v>
      </c>
    </row>
    <row r="62" customFormat="false" ht="15" hidden="false" customHeight="false" outlineLevel="0" collapsed="false">
      <c r="A62" s="22" t="s">
        <v>138</v>
      </c>
      <c r="B62" s="22" t="s">
        <v>30</v>
      </c>
      <c r="C62" s="23" t="n">
        <v>46872.91</v>
      </c>
      <c r="D62" s="22" t="n">
        <v>0</v>
      </c>
      <c r="E62" s="23" t="n">
        <v>46872.91</v>
      </c>
      <c r="F62" s="22" t="n">
        <v>0</v>
      </c>
      <c r="G62" s="23" t="n">
        <v>46872.91</v>
      </c>
      <c r="H62" s="22" t="n">
        <v>0</v>
      </c>
      <c r="I62" s="22" t="s">
        <v>137</v>
      </c>
      <c r="J62" s="22" t="n">
        <v>5</v>
      </c>
    </row>
    <row r="63" customFormat="false" ht="15" hidden="false" customHeight="false" outlineLevel="0" collapsed="false">
      <c r="A63" s="7" t="s">
        <v>96</v>
      </c>
      <c r="B63" s="7" t="s">
        <v>30</v>
      </c>
      <c r="C63" s="9" t="n">
        <v>176549.89</v>
      </c>
      <c r="D63" s="7" t="n">
        <v>0</v>
      </c>
      <c r="E63" s="9" t="n">
        <v>38988.12</v>
      </c>
      <c r="F63" s="9" t="n">
        <v>5885</v>
      </c>
      <c r="G63" s="9" t="n">
        <v>44873.12</v>
      </c>
      <c r="H63" s="9" t="n">
        <v>131676.77</v>
      </c>
      <c r="I63" s="7" t="s">
        <v>87</v>
      </c>
      <c r="J63" s="7" t="n">
        <v>30</v>
      </c>
    </row>
    <row r="64" customFormat="false" ht="15" hidden="false" customHeight="false" outlineLevel="0" collapsed="false">
      <c r="A64" s="22" t="s">
        <v>139</v>
      </c>
      <c r="B64" s="22" t="s">
        <v>30</v>
      </c>
      <c r="C64" s="23" t="n">
        <v>2912.15</v>
      </c>
      <c r="D64" s="22" t="n">
        <v>0</v>
      </c>
      <c r="E64" s="23" t="n">
        <v>2912.15</v>
      </c>
      <c r="F64" s="22" t="n">
        <v>0</v>
      </c>
      <c r="G64" s="23" t="n">
        <v>2912.15</v>
      </c>
      <c r="H64" s="22" t="n">
        <v>0</v>
      </c>
      <c r="I64" s="22" t="s">
        <v>137</v>
      </c>
      <c r="J64" s="22" t="n">
        <v>5</v>
      </c>
    </row>
    <row r="65" customFormat="false" ht="15" hidden="false" customHeight="false" outlineLevel="0" collapsed="false">
      <c r="A65" s="7" t="s">
        <v>98</v>
      </c>
      <c r="B65" s="7" t="s">
        <v>30</v>
      </c>
      <c r="C65" s="9" t="n">
        <v>10968.79</v>
      </c>
      <c r="D65" s="7" t="n">
        <v>0</v>
      </c>
      <c r="E65" s="9" t="n">
        <v>2422.3</v>
      </c>
      <c r="F65" s="9" t="n">
        <v>365.63</v>
      </c>
      <c r="G65" s="9" t="n">
        <v>2787.93</v>
      </c>
      <c r="H65" s="9" t="n">
        <v>8180.86</v>
      </c>
      <c r="I65" s="7" t="s">
        <v>87</v>
      </c>
      <c r="J65" s="7" t="n">
        <v>30</v>
      </c>
    </row>
    <row r="66" customFormat="false" ht="15" hidden="false" customHeight="false" outlineLevel="0" collapsed="false">
      <c r="A66" s="22" t="s">
        <v>140</v>
      </c>
      <c r="B66" s="22" t="s">
        <v>30</v>
      </c>
      <c r="C66" s="23" t="n">
        <v>5824.29</v>
      </c>
      <c r="D66" s="22" t="n">
        <v>0</v>
      </c>
      <c r="E66" s="23" t="n">
        <v>5824.29</v>
      </c>
      <c r="F66" s="22" t="n">
        <v>0</v>
      </c>
      <c r="G66" s="23" t="n">
        <v>5824.29</v>
      </c>
      <c r="H66" s="22" t="n">
        <v>0</v>
      </c>
      <c r="I66" s="22" t="s">
        <v>137</v>
      </c>
      <c r="J66" s="22" t="n">
        <v>5</v>
      </c>
    </row>
    <row r="67" customFormat="false" ht="15" hidden="false" customHeight="false" outlineLevel="0" collapsed="false">
      <c r="A67" s="7" t="s">
        <v>100</v>
      </c>
      <c r="B67" s="7" t="s">
        <v>30</v>
      </c>
      <c r="C67" s="9" t="n">
        <v>21937.6</v>
      </c>
      <c r="D67" s="7" t="n">
        <v>0</v>
      </c>
      <c r="E67" s="9" t="n">
        <v>4844.53</v>
      </c>
      <c r="F67" s="9" t="n">
        <v>731.25</v>
      </c>
      <c r="G67" s="9" t="n">
        <v>5575.78</v>
      </c>
      <c r="H67" s="9" t="n">
        <v>16361.82</v>
      </c>
      <c r="I67" s="7" t="s">
        <v>87</v>
      </c>
      <c r="J67" s="7" t="n">
        <v>30</v>
      </c>
    </row>
    <row r="68" customFormat="false" ht="15" hidden="false" customHeight="false" outlineLevel="0" collapsed="false">
      <c r="A68" s="10" t="s">
        <v>26</v>
      </c>
      <c r="C68" s="24" t="n">
        <f aca="false">SUM(C60:C67)</f>
        <v>265816.45</v>
      </c>
      <c r="D68" s="24" t="n">
        <f aca="false">SUM(D60:D67)</f>
        <v>157.52</v>
      </c>
      <c r="E68" s="24" t="n">
        <f aca="false">SUM(E60:E67)</f>
        <v>102067.15</v>
      </c>
      <c r="F68" s="24" t="n">
        <f aca="false">SUM(F60:F67)</f>
        <v>7001.66</v>
      </c>
      <c r="G68" s="24" t="n">
        <f aca="false">SUM(G60:G67)</f>
        <v>109068.81</v>
      </c>
      <c r="H68" s="24" t="n">
        <f aca="false">SUM(H60:H67)</f>
        <v>156747.64</v>
      </c>
    </row>
    <row r="70" customFormat="false" ht="15" hidden="false" customHeight="false" outlineLevel="0" collapsed="false">
      <c r="A70" s="4" t="s">
        <v>39</v>
      </c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B71" s="7" t="s">
        <v>101</v>
      </c>
      <c r="C71" s="25" t="n">
        <f aca="false">G56</f>
        <v>81353.51</v>
      </c>
    </row>
    <row r="72" customFormat="false" ht="15" hidden="false" customHeight="false" outlineLevel="0" collapsed="false">
      <c r="B72" s="7" t="s">
        <v>102</v>
      </c>
      <c r="C72" s="25" t="n">
        <f aca="false">G68</f>
        <v>109068.81</v>
      </c>
    </row>
    <row r="73" customFormat="false" ht="15" hidden="false" customHeight="false" outlineLevel="0" collapsed="false">
      <c r="B73" s="10" t="s">
        <v>39</v>
      </c>
      <c r="C73" s="26" t="n">
        <f aca="false">C71-C72</f>
        <v>-27715.3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180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45</v>
      </c>
    </row>
    <row r="8" customFormat="false" ht="15" hidden="false" customHeight="false" outlineLevel="0" collapsed="false">
      <c r="A8" s="15" t="s">
        <v>181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107</v>
      </c>
      <c r="C11" s="9" t="n">
        <v>348.82</v>
      </c>
      <c r="D11" s="9" t="n">
        <v>348.82</v>
      </c>
    </row>
    <row r="12" customFormat="false" ht="15" hidden="false" customHeight="false" outlineLevel="0" collapsed="false">
      <c r="B12" s="7" t="s">
        <v>182</v>
      </c>
      <c r="C12" s="9" t="n">
        <v>45.38</v>
      </c>
      <c r="D12" s="9" t="n">
        <v>45.38</v>
      </c>
    </row>
    <row r="13" customFormat="false" ht="15" hidden="false" customHeight="false" outlineLevel="0" collapsed="false">
      <c r="B13" s="7" t="s">
        <v>183</v>
      </c>
      <c r="C13" s="9" t="n">
        <v>87.12</v>
      </c>
      <c r="D13" s="9" t="n">
        <v>87.12</v>
      </c>
    </row>
    <row r="14" customFormat="false" ht="15" hidden="false" customHeight="false" outlineLevel="0" collapsed="false">
      <c r="B14" s="17" t="s">
        <v>118</v>
      </c>
    </row>
    <row r="15" customFormat="false" ht="15" hidden="false" customHeight="false" outlineLevel="0" collapsed="false">
      <c r="B15" s="7" t="s">
        <v>119</v>
      </c>
      <c r="C15" s="9" t="n">
        <v>224.44</v>
      </c>
      <c r="E15" s="9" t="n">
        <v>224.44</v>
      </c>
    </row>
    <row r="16" customFormat="false" ht="15" hidden="false" customHeight="false" outlineLevel="0" collapsed="false">
      <c r="B16" s="7" t="s">
        <v>120</v>
      </c>
      <c r="C16" s="9" t="n">
        <v>482.1</v>
      </c>
      <c r="E16" s="9" t="n">
        <v>482.1</v>
      </c>
    </row>
    <row r="17" customFormat="false" ht="15" hidden="false" customHeight="false" outlineLevel="0" collapsed="false">
      <c r="B17" s="7" t="s">
        <v>122</v>
      </c>
      <c r="C17" s="9" t="n">
        <v>118.55</v>
      </c>
      <c r="E17" s="9" t="n">
        <v>118.55</v>
      </c>
    </row>
    <row r="18" customFormat="false" ht="15" hidden="false" customHeight="false" outlineLevel="0" collapsed="false">
      <c r="B18" s="7" t="s">
        <v>126</v>
      </c>
      <c r="C18" s="9" t="n">
        <v>350.07</v>
      </c>
      <c r="E18" s="9" t="n">
        <v>350.07</v>
      </c>
    </row>
    <row r="19" customFormat="false" ht="15" hidden="false" customHeight="false" outlineLevel="0" collapsed="false">
      <c r="B19" s="7" t="s">
        <v>127</v>
      </c>
      <c r="C19" s="9" t="n">
        <v>69.95</v>
      </c>
      <c r="E19" s="9" t="n">
        <v>69.95</v>
      </c>
    </row>
    <row r="20" customFormat="false" ht="15" hidden="false" customHeight="false" outlineLevel="0" collapsed="false">
      <c r="B20" s="7" t="s">
        <v>128</v>
      </c>
      <c r="C20" s="9" t="n">
        <v>107.21</v>
      </c>
      <c r="E20" s="9" t="n">
        <v>107.21</v>
      </c>
    </row>
    <row r="21" customFormat="false" ht="15" hidden="false" customHeight="false" outlineLevel="0" collapsed="false">
      <c r="B21" s="7" t="s">
        <v>129</v>
      </c>
      <c r="C21" s="9" t="n">
        <v>398.31</v>
      </c>
      <c r="E21" s="9" t="n">
        <v>398.31</v>
      </c>
    </row>
    <row r="22" customFormat="false" ht="15" hidden="false" customHeight="false" outlineLevel="0" collapsed="false">
      <c r="B22" s="7" t="s">
        <v>130</v>
      </c>
      <c r="C22" s="9" t="n">
        <v>179.51</v>
      </c>
      <c r="E22" s="9" t="n">
        <v>179.51</v>
      </c>
    </row>
    <row r="23" customFormat="false" ht="15" hidden="false" customHeight="false" outlineLevel="0" collapsed="false">
      <c r="B23" s="7" t="s">
        <v>132</v>
      </c>
      <c r="C23" s="9" t="n">
        <v>1631.38</v>
      </c>
      <c r="E23" s="9" t="n">
        <v>1631.38</v>
      </c>
    </row>
    <row r="24" customFormat="false" ht="15" hidden="false" customHeight="false" outlineLevel="0" collapsed="false">
      <c r="B24" s="18" t="s">
        <v>68</v>
      </c>
      <c r="C24" s="19" t="n">
        <f aca="false">SUM(C10:C23)</f>
        <v>4042.84</v>
      </c>
      <c r="D24" s="19" t="n">
        <f aca="false">SUM(D10:D23)</f>
        <v>481.32</v>
      </c>
      <c r="E24" s="19" t="n">
        <f aca="false">SUM(E10:E23)</f>
        <v>3561.52</v>
      </c>
    </row>
    <row r="26" customFormat="false" ht="15" hidden="false" customHeight="false" outlineLevel="0" collapsed="false">
      <c r="B26" s="10" t="s">
        <v>69</v>
      </c>
    </row>
    <row r="27" customFormat="false" ht="15" hidden="false" customHeight="false" outlineLevel="0" collapsed="false">
      <c r="B27" s="7" t="s">
        <v>70</v>
      </c>
      <c r="C27" s="9" t="n">
        <v>11.42</v>
      </c>
      <c r="D27" s="9" t="n">
        <v>1.36</v>
      </c>
      <c r="E27" s="9" t="n">
        <v>10.06</v>
      </c>
    </row>
    <row r="28" customFormat="false" ht="15" hidden="false" customHeight="false" outlineLevel="0" collapsed="false">
      <c r="B28" s="7" t="s">
        <v>71</v>
      </c>
      <c r="C28" s="9" t="n">
        <v>3398.09</v>
      </c>
      <c r="D28" s="9" t="n">
        <v>404.56</v>
      </c>
      <c r="E28" s="9" t="n">
        <v>2993.53</v>
      </c>
    </row>
    <row r="29" customFormat="false" ht="15" hidden="false" customHeight="false" outlineLevel="0" collapsed="false">
      <c r="B29" s="7" t="s">
        <v>72</v>
      </c>
      <c r="C29" s="9" t="n">
        <v>211.1</v>
      </c>
      <c r="D29" s="9" t="n">
        <v>25.13</v>
      </c>
      <c r="E29" s="9" t="n">
        <v>185.97</v>
      </c>
    </row>
    <row r="30" customFormat="false" ht="15" hidden="false" customHeight="false" outlineLevel="0" collapsed="false">
      <c r="B30" s="7" t="s">
        <v>73</v>
      </c>
      <c r="C30" s="9" t="n">
        <v>422.23</v>
      </c>
      <c r="D30" s="9" t="n">
        <v>50.27</v>
      </c>
      <c r="E30" s="9" t="n">
        <v>371.96</v>
      </c>
    </row>
    <row r="31" customFormat="false" ht="15" hidden="false" customHeight="false" outlineLevel="0" collapsed="false">
      <c r="B31" s="10" t="s">
        <v>74</v>
      </c>
      <c r="C31" s="8" t="n">
        <f aca="false">SUM(C27:C30)</f>
        <v>4042.84</v>
      </c>
      <c r="D31" s="8" t="n">
        <f aca="false">SUM(D27:D30)</f>
        <v>481.32</v>
      </c>
      <c r="E31" s="8" t="n">
        <f aca="false">SUM(E27:E30)</f>
        <v>3561.52</v>
      </c>
    </row>
    <row r="33" customFormat="false" ht="15" hidden="false" customHeight="false" outlineLevel="0" collapsed="false">
      <c r="A33" s="4" t="s">
        <v>75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0" t="s">
        <v>37</v>
      </c>
      <c r="B34" s="21"/>
      <c r="C34" s="21"/>
      <c r="D34" s="21"/>
      <c r="E34" s="21"/>
      <c r="F34" s="21"/>
      <c r="G34" s="21"/>
      <c r="H34" s="21"/>
      <c r="I34" s="21"/>
      <c r="J34" s="21"/>
    </row>
    <row r="35" customFormat="false" ht="15" hidden="false" customHeight="false" outlineLevel="0" collapsed="false">
      <c r="A35" s="5" t="s">
        <v>76</v>
      </c>
      <c r="B35" s="5" t="s">
        <v>77</v>
      </c>
      <c r="C35" s="5" t="s">
        <v>78</v>
      </c>
      <c r="D35" s="5" t="s">
        <v>79</v>
      </c>
      <c r="E35" s="5" t="s">
        <v>80</v>
      </c>
      <c r="F35" s="5" t="s">
        <v>81</v>
      </c>
      <c r="G35" s="5" t="s">
        <v>82</v>
      </c>
      <c r="H35" s="5" t="s">
        <v>83</v>
      </c>
      <c r="I35" s="5" t="s">
        <v>84</v>
      </c>
      <c r="J35" s="5" t="s">
        <v>85</v>
      </c>
    </row>
    <row r="36" customFormat="false" ht="15" hidden="false" customHeight="false" outlineLevel="0" collapsed="false">
      <c r="A36" s="22" t="s">
        <v>86</v>
      </c>
      <c r="B36" s="22" t="s">
        <v>28</v>
      </c>
      <c r="C36" s="23" t="n">
        <v>11.42</v>
      </c>
      <c r="D36" s="22" t="n">
        <v>0</v>
      </c>
      <c r="E36" s="23" t="n">
        <v>0.69</v>
      </c>
      <c r="F36" s="23" t="n">
        <v>0.29</v>
      </c>
      <c r="G36" s="23" t="n">
        <v>0.98</v>
      </c>
      <c r="H36" s="23" t="n">
        <v>10.44</v>
      </c>
      <c r="I36" s="22" t="s">
        <v>87</v>
      </c>
      <c r="J36" s="22" t="n">
        <v>40</v>
      </c>
    </row>
    <row r="37" customFormat="false" ht="15" hidden="false" customHeight="false" outlineLevel="0" collapsed="false">
      <c r="A37" s="7" t="s">
        <v>88</v>
      </c>
      <c r="B37" s="7" t="s">
        <v>30</v>
      </c>
      <c r="C37" s="9" t="n">
        <v>3398.09</v>
      </c>
      <c r="D37" s="7" t="n">
        <v>0</v>
      </c>
      <c r="E37" s="9" t="n">
        <v>731.3</v>
      </c>
      <c r="F37" s="9" t="n">
        <v>79.9</v>
      </c>
      <c r="G37" s="9" t="n">
        <v>811.2</v>
      </c>
      <c r="H37" s="9" t="n">
        <v>2586.89</v>
      </c>
      <c r="I37" s="7" t="s">
        <v>87</v>
      </c>
      <c r="J37" s="7" t="n">
        <v>40</v>
      </c>
    </row>
    <row r="38" customFormat="false" ht="15" hidden="false" customHeight="false" outlineLevel="0" collapsed="false">
      <c r="A38" s="22" t="s">
        <v>89</v>
      </c>
      <c r="B38" s="22" t="s">
        <v>30</v>
      </c>
      <c r="C38" s="23" t="n">
        <v>211.1</v>
      </c>
      <c r="D38" s="22" t="n">
        <v>0</v>
      </c>
      <c r="E38" s="23" t="n">
        <v>197.03</v>
      </c>
      <c r="F38" s="22" t="n">
        <v>0</v>
      </c>
      <c r="G38" s="23" t="n">
        <v>197.03</v>
      </c>
      <c r="H38" s="23" t="n">
        <v>14.07</v>
      </c>
      <c r="I38" s="22" t="s">
        <v>87</v>
      </c>
      <c r="J38" s="22" t="n">
        <v>40</v>
      </c>
    </row>
    <row r="39" customFormat="false" ht="15" hidden="false" customHeight="false" outlineLevel="0" collapsed="false">
      <c r="A39" s="7" t="s">
        <v>90</v>
      </c>
      <c r="B39" s="7" t="s">
        <v>30</v>
      </c>
      <c r="C39" s="9" t="n">
        <v>422.23</v>
      </c>
      <c r="D39" s="7" t="n">
        <v>0</v>
      </c>
      <c r="E39" s="9" t="n">
        <v>203.18</v>
      </c>
      <c r="F39" s="9" t="n">
        <v>24.91</v>
      </c>
      <c r="G39" s="9" t="n">
        <v>228.09</v>
      </c>
      <c r="H39" s="9" t="n">
        <v>194.14</v>
      </c>
      <c r="I39" s="7" t="s">
        <v>87</v>
      </c>
      <c r="J39" s="7" t="n">
        <v>40</v>
      </c>
    </row>
    <row r="40" customFormat="false" ht="15" hidden="false" customHeight="false" outlineLevel="0" collapsed="false">
      <c r="A40" s="10" t="s">
        <v>26</v>
      </c>
      <c r="C40" s="24" t="n">
        <f aca="false">SUM(C36:C39)</f>
        <v>4042.84</v>
      </c>
      <c r="D40" s="24" t="n">
        <f aca="false">SUM(D36:D39)</f>
        <v>0</v>
      </c>
      <c r="E40" s="24" t="n">
        <f aca="false">SUM(E36:E39)</f>
        <v>1132.2</v>
      </c>
      <c r="F40" s="24" t="n">
        <f aca="false">SUM(F36:F39)</f>
        <v>105.1</v>
      </c>
      <c r="G40" s="24" t="n">
        <f aca="false">SUM(G36:G39)</f>
        <v>1237.3</v>
      </c>
      <c r="H40" s="24" t="n">
        <f aca="false">SUM(H36:H39)</f>
        <v>2805.54</v>
      </c>
    </row>
    <row r="42" customFormat="false" ht="15" hidden="false" customHeight="false" outlineLevel="0" collapsed="false">
      <c r="A42" s="20" t="s">
        <v>91</v>
      </c>
      <c r="B42" s="21"/>
      <c r="C42" s="21"/>
      <c r="D42" s="21"/>
      <c r="E42" s="21"/>
      <c r="F42" s="21"/>
      <c r="G42" s="21"/>
      <c r="H42" s="21"/>
      <c r="I42" s="21"/>
      <c r="J42" s="21"/>
    </row>
    <row r="43" customFormat="false" ht="15" hidden="false" customHeight="false" outlineLevel="0" collapsed="false">
      <c r="A43" s="5" t="s">
        <v>76</v>
      </c>
      <c r="B43" s="5" t="s">
        <v>77</v>
      </c>
      <c r="C43" s="5" t="s">
        <v>78</v>
      </c>
      <c r="D43" s="5" t="s">
        <v>79</v>
      </c>
      <c r="E43" s="5" t="s">
        <v>80</v>
      </c>
      <c r="F43" s="5" t="s">
        <v>81</v>
      </c>
      <c r="G43" s="5" t="s">
        <v>82</v>
      </c>
      <c r="H43" s="5" t="s">
        <v>83</v>
      </c>
      <c r="I43" s="5" t="s">
        <v>84</v>
      </c>
      <c r="J43" s="5" t="s">
        <v>85</v>
      </c>
    </row>
    <row r="44" customFormat="false" ht="15" hidden="false" customHeight="false" outlineLevel="0" collapsed="false">
      <c r="A44" s="22" t="s">
        <v>136</v>
      </c>
      <c r="B44" s="22" t="s">
        <v>28</v>
      </c>
      <c r="C44" s="23" t="n">
        <v>1.36</v>
      </c>
      <c r="D44" s="23" t="n">
        <v>1.36</v>
      </c>
      <c r="E44" s="23" t="n">
        <v>1.36</v>
      </c>
      <c r="F44" s="22" t="n">
        <v>0</v>
      </c>
      <c r="G44" s="23" t="n">
        <v>1.36</v>
      </c>
      <c r="H44" s="22" t="n">
        <v>0</v>
      </c>
      <c r="I44" s="22" t="s">
        <v>137</v>
      </c>
      <c r="J44" s="22" t="n">
        <v>5</v>
      </c>
    </row>
    <row r="45" customFormat="false" ht="15" hidden="false" customHeight="false" outlineLevel="0" collapsed="false">
      <c r="A45" s="7" t="s">
        <v>94</v>
      </c>
      <c r="B45" s="7" t="s">
        <v>28</v>
      </c>
      <c r="C45" s="9" t="n">
        <v>10.06</v>
      </c>
      <c r="D45" s="7" t="n">
        <v>0</v>
      </c>
      <c r="E45" s="9" t="n">
        <v>0.78</v>
      </c>
      <c r="F45" s="9" t="n">
        <v>0.34</v>
      </c>
      <c r="G45" s="9" t="n">
        <v>1.12</v>
      </c>
      <c r="H45" s="9" t="n">
        <v>8.94</v>
      </c>
      <c r="I45" s="7" t="s">
        <v>87</v>
      </c>
      <c r="J45" s="7" t="n">
        <v>30</v>
      </c>
    </row>
    <row r="46" customFormat="false" ht="15" hidden="false" customHeight="false" outlineLevel="0" collapsed="false">
      <c r="A46" s="22" t="s">
        <v>138</v>
      </c>
      <c r="B46" s="22" t="s">
        <v>30</v>
      </c>
      <c r="C46" s="23" t="n">
        <v>404.56</v>
      </c>
      <c r="D46" s="22" t="n">
        <v>0</v>
      </c>
      <c r="E46" s="23" t="n">
        <v>404.56</v>
      </c>
      <c r="F46" s="22" t="n">
        <v>0</v>
      </c>
      <c r="G46" s="23" t="n">
        <v>404.56</v>
      </c>
      <c r="H46" s="22" t="n">
        <v>0</v>
      </c>
      <c r="I46" s="22" t="s">
        <v>137</v>
      </c>
      <c r="J46" s="22" t="n">
        <v>5</v>
      </c>
    </row>
    <row r="47" customFormat="false" ht="15" hidden="false" customHeight="false" outlineLevel="0" collapsed="false">
      <c r="A47" s="7" t="s">
        <v>96</v>
      </c>
      <c r="B47" s="7" t="s">
        <v>30</v>
      </c>
      <c r="C47" s="9" t="n">
        <v>2993.53</v>
      </c>
      <c r="D47" s="7" t="n">
        <v>0</v>
      </c>
      <c r="E47" s="9" t="n">
        <v>661.05</v>
      </c>
      <c r="F47" s="9" t="n">
        <v>99.78</v>
      </c>
      <c r="G47" s="9" t="n">
        <v>760.83</v>
      </c>
      <c r="H47" s="9" t="n">
        <v>2232.7</v>
      </c>
      <c r="I47" s="7" t="s">
        <v>87</v>
      </c>
      <c r="J47" s="7" t="n">
        <v>30</v>
      </c>
    </row>
    <row r="48" customFormat="false" ht="15" hidden="false" customHeight="false" outlineLevel="0" collapsed="false">
      <c r="A48" s="22" t="s">
        <v>139</v>
      </c>
      <c r="B48" s="22" t="s">
        <v>30</v>
      </c>
      <c r="C48" s="23" t="n">
        <v>25.13</v>
      </c>
      <c r="D48" s="22" t="n">
        <v>0</v>
      </c>
      <c r="E48" s="23" t="n">
        <v>25.13</v>
      </c>
      <c r="F48" s="22" t="n">
        <v>0</v>
      </c>
      <c r="G48" s="23" t="n">
        <v>25.13</v>
      </c>
      <c r="H48" s="22" t="n">
        <v>0</v>
      </c>
      <c r="I48" s="22" t="s">
        <v>137</v>
      </c>
      <c r="J48" s="22" t="n">
        <v>5</v>
      </c>
    </row>
    <row r="49" customFormat="false" ht="15" hidden="false" customHeight="false" outlineLevel="0" collapsed="false">
      <c r="A49" s="7" t="s">
        <v>98</v>
      </c>
      <c r="B49" s="7" t="s">
        <v>30</v>
      </c>
      <c r="C49" s="9" t="n">
        <v>185.97</v>
      </c>
      <c r="D49" s="7" t="n">
        <v>0</v>
      </c>
      <c r="E49" s="9" t="n">
        <v>41.07</v>
      </c>
      <c r="F49" s="9" t="n">
        <v>6.2</v>
      </c>
      <c r="G49" s="9" t="n">
        <v>47.27</v>
      </c>
      <c r="H49" s="9" t="n">
        <v>138.7</v>
      </c>
      <c r="I49" s="7" t="s">
        <v>87</v>
      </c>
      <c r="J49" s="7" t="n">
        <v>30</v>
      </c>
    </row>
    <row r="50" customFormat="false" ht="15" hidden="false" customHeight="false" outlineLevel="0" collapsed="false">
      <c r="A50" s="22" t="s">
        <v>140</v>
      </c>
      <c r="B50" s="22" t="s">
        <v>30</v>
      </c>
      <c r="C50" s="23" t="n">
        <v>50.27</v>
      </c>
      <c r="D50" s="22" t="n">
        <v>0</v>
      </c>
      <c r="E50" s="23" t="n">
        <v>50.27</v>
      </c>
      <c r="F50" s="22" t="n">
        <v>0</v>
      </c>
      <c r="G50" s="23" t="n">
        <v>50.27</v>
      </c>
      <c r="H50" s="22" t="n">
        <v>0</v>
      </c>
      <c r="I50" s="22" t="s">
        <v>93</v>
      </c>
      <c r="J50" s="22" t="n">
        <v>5</v>
      </c>
    </row>
    <row r="51" customFormat="false" ht="15" hidden="false" customHeight="false" outlineLevel="0" collapsed="false">
      <c r="A51" s="7" t="s">
        <v>100</v>
      </c>
      <c r="B51" s="7" t="s">
        <v>30</v>
      </c>
      <c r="C51" s="9" t="n">
        <v>371.96</v>
      </c>
      <c r="D51" s="7" t="n">
        <v>0</v>
      </c>
      <c r="E51" s="9" t="n">
        <v>82.15</v>
      </c>
      <c r="F51" s="9" t="n">
        <v>12.4</v>
      </c>
      <c r="G51" s="9" t="n">
        <v>94.55</v>
      </c>
      <c r="H51" s="9" t="n">
        <v>277.41</v>
      </c>
      <c r="I51" s="7" t="s">
        <v>87</v>
      </c>
      <c r="J51" s="7" t="n">
        <v>30</v>
      </c>
    </row>
    <row r="52" customFormat="false" ht="15" hidden="false" customHeight="false" outlineLevel="0" collapsed="false">
      <c r="A52" s="10" t="s">
        <v>26</v>
      </c>
      <c r="C52" s="24" t="n">
        <f aca="false">SUM(C44:C51)</f>
        <v>4042.84</v>
      </c>
      <c r="D52" s="24" t="n">
        <f aca="false">SUM(D44:D51)</f>
        <v>1.36</v>
      </c>
      <c r="E52" s="24" t="n">
        <f aca="false">SUM(E44:E51)</f>
        <v>1266.37</v>
      </c>
      <c r="F52" s="24" t="n">
        <f aca="false">SUM(F44:F51)</f>
        <v>118.72</v>
      </c>
      <c r="G52" s="24" t="n">
        <f aca="false">SUM(G44:G51)</f>
        <v>1385.09</v>
      </c>
      <c r="H52" s="24" t="n">
        <f aca="false">SUM(H44:H51)</f>
        <v>2657.75</v>
      </c>
    </row>
    <row r="54" customFormat="false" ht="15" hidden="false" customHeight="false" outlineLevel="0" collapsed="false">
      <c r="A54" s="4" t="s">
        <v>39</v>
      </c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B55" s="7" t="s">
        <v>101</v>
      </c>
      <c r="C55" s="25" t="n">
        <f aca="false">G40</f>
        <v>1237.3</v>
      </c>
    </row>
    <row r="56" customFormat="false" ht="15" hidden="false" customHeight="false" outlineLevel="0" collapsed="false">
      <c r="B56" s="7" t="s">
        <v>102</v>
      </c>
      <c r="C56" s="25" t="n">
        <f aca="false">G52</f>
        <v>1385.09</v>
      </c>
    </row>
    <row r="57" customFormat="false" ht="15" hidden="false" customHeight="false" outlineLevel="0" collapsed="false">
      <c r="B57" s="10" t="s">
        <v>39</v>
      </c>
      <c r="C57" s="26" t="n">
        <f aca="false">C55-C56</f>
        <v>-147.79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184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43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10" t="s">
        <v>44</v>
      </c>
      <c r="C6" s="7" t="s">
        <v>34</v>
      </c>
    </row>
    <row r="8" customFormat="false" ht="15" hidden="false" customHeight="false" outlineLevel="0" collapsed="false">
      <c r="A8" s="15" t="s">
        <v>185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B9" s="16" t="s">
        <v>47</v>
      </c>
      <c r="C9" s="16" t="s">
        <v>48</v>
      </c>
      <c r="D9" s="16" t="s">
        <v>105</v>
      </c>
      <c r="E9" s="16" t="s">
        <v>50</v>
      </c>
    </row>
    <row r="10" customFormat="false" ht="15" hidden="false" customHeight="false" outlineLevel="0" collapsed="false">
      <c r="B10" s="17" t="s">
        <v>106</v>
      </c>
    </row>
    <row r="11" customFormat="false" ht="15" hidden="false" customHeight="false" outlineLevel="0" collapsed="false">
      <c r="B11" s="7" t="s">
        <v>186</v>
      </c>
      <c r="C11" s="9" t="n">
        <v>25900</v>
      </c>
      <c r="D11" s="9" t="n">
        <v>25900</v>
      </c>
    </row>
    <row r="12" customFormat="false" ht="15" hidden="false" customHeight="false" outlineLevel="0" collapsed="false">
      <c r="B12" s="17" t="s">
        <v>118</v>
      </c>
    </row>
    <row r="13" customFormat="false" ht="15" hidden="false" customHeight="false" outlineLevel="0" collapsed="false">
      <c r="B13" s="7" t="s">
        <v>187</v>
      </c>
      <c r="C13" s="9" t="n">
        <v>61640</v>
      </c>
      <c r="E13" s="9" t="n">
        <v>61640</v>
      </c>
    </row>
    <row r="14" customFormat="false" ht="15" hidden="false" customHeight="false" outlineLevel="0" collapsed="false">
      <c r="B14" s="18" t="s">
        <v>68</v>
      </c>
      <c r="C14" s="19" t="n">
        <f aca="false">SUM(C10:C13)</f>
        <v>87540</v>
      </c>
      <c r="D14" s="19" t="n">
        <f aca="false">SUM(D10:D13)</f>
        <v>25900</v>
      </c>
      <c r="E14" s="19" t="n">
        <f aca="false">SUM(E10:E13)</f>
        <v>61640</v>
      </c>
    </row>
    <row r="16" customFormat="false" ht="15" hidden="false" customHeight="false" outlineLevel="0" collapsed="false">
      <c r="B16" s="10" t="s">
        <v>69</v>
      </c>
    </row>
    <row r="17" customFormat="false" ht="15" hidden="false" customHeight="false" outlineLevel="0" collapsed="false">
      <c r="B17" s="7" t="s">
        <v>188</v>
      </c>
      <c r="C17" s="9" t="n">
        <v>87540</v>
      </c>
      <c r="D17" s="9" t="n">
        <v>25900</v>
      </c>
      <c r="E17" s="9" t="n">
        <v>61640</v>
      </c>
    </row>
    <row r="18" customFormat="false" ht="15" hidden="false" customHeight="false" outlineLevel="0" collapsed="false">
      <c r="B18" s="10" t="s">
        <v>74</v>
      </c>
      <c r="C18" s="8" t="n">
        <f aca="false">SUM(C17:C17)</f>
        <v>87540</v>
      </c>
      <c r="D18" s="8" t="n">
        <f aca="false">SUM(D17:D17)</f>
        <v>25900</v>
      </c>
      <c r="E18" s="8" t="n">
        <f aca="false">SUM(E17:E17)</f>
        <v>61640</v>
      </c>
    </row>
    <row r="20" customFormat="false" ht="15" hidden="false" customHeight="false" outlineLevel="0" collapsed="false">
      <c r="A20" s="4" t="s">
        <v>75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0" t="s">
        <v>37</v>
      </c>
      <c r="B21" s="21"/>
      <c r="C21" s="21"/>
      <c r="D21" s="21"/>
      <c r="E21" s="21"/>
      <c r="F21" s="21"/>
      <c r="G21" s="21"/>
      <c r="H21" s="21"/>
      <c r="I21" s="21"/>
      <c r="J21" s="21"/>
    </row>
    <row r="22" customFormat="false" ht="15" hidden="false" customHeight="false" outlineLevel="0" collapsed="false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80</v>
      </c>
      <c r="F22" s="5" t="s">
        <v>81</v>
      </c>
      <c r="G22" s="5" t="s">
        <v>82</v>
      </c>
      <c r="H22" s="5" t="s">
        <v>83</v>
      </c>
      <c r="I22" s="5" t="s">
        <v>84</v>
      </c>
      <c r="J22" s="5" t="s">
        <v>85</v>
      </c>
    </row>
    <row r="23" customFormat="false" ht="15" hidden="false" customHeight="false" outlineLevel="0" collapsed="false">
      <c r="A23" s="22" t="s">
        <v>189</v>
      </c>
      <c r="B23" s="22" t="s">
        <v>34</v>
      </c>
      <c r="C23" s="23" t="n">
        <v>87540</v>
      </c>
      <c r="D23" s="22" t="n">
        <v>0</v>
      </c>
      <c r="E23" s="23" t="n">
        <v>6335</v>
      </c>
      <c r="F23" s="23" t="n">
        <v>2173</v>
      </c>
      <c r="G23" s="23" t="n">
        <v>8508</v>
      </c>
      <c r="H23" s="23" t="n">
        <v>79032</v>
      </c>
      <c r="I23" s="22" t="s">
        <v>87</v>
      </c>
      <c r="J23" s="22" t="n">
        <v>40</v>
      </c>
    </row>
    <row r="24" customFormat="false" ht="15" hidden="false" customHeight="false" outlineLevel="0" collapsed="false">
      <c r="A24" s="10" t="s">
        <v>26</v>
      </c>
      <c r="C24" s="24" t="n">
        <f aca="false">SUM(C23:C23)</f>
        <v>87540</v>
      </c>
      <c r="D24" s="24" t="n">
        <f aca="false">SUM(D23:D23)</f>
        <v>0</v>
      </c>
      <c r="E24" s="24" t="n">
        <f aca="false">SUM(E23:E23)</f>
        <v>6335</v>
      </c>
      <c r="F24" s="24" t="n">
        <f aca="false">SUM(F23:F23)</f>
        <v>2173</v>
      </c>
      <c r="G24" s="24" t="n">
        <f aca="false">SUM(G23:G23)</f>
        <v>8508</v>
      </c>
      <c r="H24" s="24" t="n">
        <f aca="false">SUM(H23:H23)</f>
        <v>79032</v>
      </c>
    </row>
    <row r="26" customFormat="false" ht="15" hidden="false" customHeight="false" outlineLevel="0" collapsed="false">
      <c r="A26" s="20" t="s">
        <v>91</v>
      </c>
      <c r="B26" s="21"/>
      <c r="C26" s="21"/>
      <c r="D26" s="21"/>
      <c r="E26" s="21"/>
      <c r="F26" s="21"/>
      <c r="G26" s="21"/>
      <c r="H26" s="21"/>
      <c r="I26" s="21"/>
      <c r="J26" s="21"/>
    </row>
    <row r="27" customFormat="false" ht="15" hidden="false" customHeight="false" outlineLevel="0" collapsed="false">
      <c r="A27" s="5" t="s">
        <v>76</v>
      </c>
      <c r="B27" s="5" t="s">
        <v>77</v>
      </c>
      <c r="C27" s="5" t="s">
        <v>78</v>
      </c>
      <c r="D27" s="5" t="s">
        <v>79</v>
      </c>
      <c r="E27" s="5" t="s">
        <v>80</v>
      </c>
      <c r="F27" s="5" t="s">
        <v>81</v>
      </c>
      <c r="G27" s="5" t="s">
        <v>82</v>
      </c>
      <c r="H27" s="5" t="s">
        <v>83</v>
      </c>
      <c r="I27" s="5" t="s">
        <v>84</v>
      </c>
      <c r="J27" s="5" t="s">
        <v>85</v>
      </c>
    </row>
    <row r="28" customFormat="false" ht="15" hidden="false" customHeight="false" outlineLevel="0" collapsed="false">
      <c r="A28" s="22" t="s">
        <v>190</v>
      </c>
      <c r="B28" s="22" t="s">
        <v>34</v>
      </c>
      <c r="C28" s="23" t="n">
        <v>25900</v>
      </c>
      <c r="D28" s="23" t="n">
        <v>25900</v>
      </c>
      <c r="E28" s="23" t="n">
        <v>25900</v>
      </c>
      <c r="F28" s="22" t="n">
        <v>0</v>
      </c>
      <c r="G28" s="23" t="n">
        <v>25900</v>
      </c>
      <c r="H28" s="22" t="n">
        <v>0</v>
      </c>
      <c r="I28" s="22" t="s">
        <v>137</v>
      </c>
      <c r="J28" s="22" t="n">
        <v>5</v>
      </c>
    </row>
    <row r="29" customFormat="false" ht="15" hidden="false" customHeight="false" outlineLevel="0" collapsed="false">
      <c r="A29" s="7" t="s">
        <v>191</v>
      </c>
      <c r="B29" s="7" t="s">
        <v>34</v>
      </c>
      <c r="C29" s="9" t="n">
        <v>61640</v>
      </c>
      <c r="D29" s="7" t="n">
        <v>0</v>
      </c>
      <c r="E29" s="9" t="n">
        <v>5393.51</v>
      </c>
      <c r="F29" s="9" t="n">
        <v>2054.67</v>
      </c>
      <c r="G29" s="9" t="n">
        <v>7448.18</v>
      </c>
      <c r="H29" s="9" t="n">
        <v>54191.82</v>
      </c>
      <c r="I29" s="7" t="s">
        <v>87</v>
      </c>
      <c r="J29" s="7" t="n">
        <v>30</v>
      </c>
    </row>
    <row r="30" customFormat="false" ht="15" hidden="false" customHeight="false" outlineLevel="0" collapsed="false">
      <c r="A30" s="10" t="s">
        <v>26</v>
      </c>
      <c r="C30" s="24" t="n">
        <f aca="false">SUM(C28:C29)</f>
        <v>87540</v>
      </c>
      <c r="D30" s="24" t="n">
        <f aca="false">SUM(D28:D29)</f>
        <v>25900</v>
      </c>
      <c r="E30" s="24" t="n">
        <f aca="false">SUM(E28:E29)</f>
        <v>31293.51</v>
      </c>
      <c r="F30" s="24" t="n">
        <f aca="false">SUM(F28:F29)</f>
        <v>2054.67</v>
      </c>
      <c r="G30" s="24" t="n">
        <f aca="false">SUM(G28:G29)</f>
        <v>33348.18</v>
      </c>
      <c r="H30" s="24" t="n">
        <f aca="false">SUM(H28:H29)</f>
        <v>54191.82</v>
      </c>
    </row>
    <row r="32" customFormat="false" ht="15" hidden="false" customHeight="false" outlineLevel="0" collapsed="false">
      <c r="A32" s="4" t="s">
        <v>39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B33" s="7" t="s">
        <v>101</v>
      </c>
      <c r="C33" s="25" t="n">
        <f aca="false">G24</f>
        <v>8508</v>
      </c>
    </row>
    <row r="34" customFormat="false" ht="15" hidden="false" customHeight="false" outlineLevel="0" collapsed="false">
      <c r="B34" s="7" t="s">
        <v>102</v>
      </c>
      <c r="C34" s="25" t="n">
        <f aca="false">G30</f>
        <v>33348.18</v>
      </c>
    </row>
    <row r="35" customFormat="false" ht="15" hidden="false" customHeight="false" outlineLevel="0" collapsed="false">
      <c r="B35" s="10" t="s">
        <v>39</v>
      </c>
      <c r="C35" s="26" t="n">
        <f aca="false">C33-C34</f>
        <v>-24840.18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2026-07-08T23:22:31Z</dcterms:created>
  <dc:creator>openpyxl</dc:creator>
  <dc:description/>
  <dc:language>en-US</dc:language>
  <cp:lastModifiedBy/>
  <dcterms:modified xsi:type="dcterms:W3CDTF">2026-07-08T23:22:31Z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