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Office" sheetId="3" state="visible" r:id="rId5"/>
    <sheet name="Building 1" sheetId="4" state="visible" r:id="rId6"/>
    <sheet name="Building 2" sheetId="5" state="visible" r:id="rId7"/>
    <sheet name="Building 3" sheetId="6" state="visible" r:id="rId8"/>
    <sheet name="Building 4" sheetId="7" state="visible" r:id="rId9"/>
    <sheet name="Building 5" sheetId="8" state="visible" r:id="rId10"/>
    <sheet name="Building 6" sheetId="9" state="visible" r:id="rId11"/>
    <sheet name="Building 7" sheetId="10" state="visible" r:id="rId12"/>
    <sheet name="Building 8" sheetId="11" state="visible" r:id="rId13"/>
    <sheet name="Building 9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<sst xmlns="http://schemas.openxmlformats.org/spreadsheetml/2006/main" count="1074" uniqueCount="151">
  <si>
    <t xml:space="preserve">Coral Village Housing LP</t>
  </si>
  <si>
    <t xml:space="preserve">Summary of Cost Seg Adjustments</t>
  </si>
  <si>
    <t xml:space="preserve">As of December 31, 2024</t>
  </si>
  <si>
    <t xml:space="preserve">Acq Date</t>
  </si>
  <si>
    <t xml:space="preserve">Asset Description</t>
  </si>
  <si>
    <t xml:space="preserve">Total</t>
  </si>
  <si>
    <t xml:space="preserve">Site</t>
  </si>
  <si>
    <t xml:space="preserve">Office</t>
  </si>
  <si>
    <t xml:space="preserve">Bldg 1</t>
  </si>
  <si>
    <t xml:space="preserve">Bldg 2</t>
  </si>
  <si>
    <t xml:space="preserve">Bldg 3</t>
  </si>
  <si>
    <t xml:space="preserve">Bldg 4</t>
  </si>
  <si>
    <t xml:space="preserve">Bldg 5</t>
  </si>
  <si>
    <t xml:space="preserve">Bldg 6</t>
  </si>
  <si>
    <t xml:space="preserve">Bldg 7</t>
  </si>
  <si>
    <t xml:space="preserve">Bldg 8</t>
  </si>
  <si>
    <t xml:space="preserve">Bldg 9</t>
  </si>
  <si>
    <t xml:space="preserve">Grand Total</t>
  </si>
  <si>
    <t xml:space="preserve">Grand Total Original Cost</t>
  </si>
  <si>
    <t xml:space="preserve">12/31/21</t>
  </si>
  <si>
    <t xml:space="preserve">Building - Coral Village Housing LP</t>
  </si>
  <si>
    <t xml:space="preserve">Land Improvements - Coral Village Housing LP</t>
  </si>
  <si>
    <t xml:space="preserve">Equipment - Coral Village Housing LP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</si>
  <si>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</si>
  <si>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</si>
  <si>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</si>
  <si>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</si>
  <si>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Site</t>
  </si>
  <si>
    <t xml:space="preserve">Report #107752-03</t>
  </si>
  <si>
    <t xml:space="preserve">Acquisition Date:</t>
  </si>
  <si>
    <t xml:space="preserve">9/22/21</t>
  </si>
  <si>
    <t xml:space="preserve">Coral Village Housing LP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</si>
  <si>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</si>
  <si>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</si>
  <si>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</si>
  <si>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</si>
  <si>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</si>
  <si>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</si>
  <si>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</si>
  <si>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Site Components</t>
  </si>
  <si>
    <t xml:space="preserve">Movable Shed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</si>
  <si>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</si>
  <si>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</si>
  <si>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</si>
  <si>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</si>
  <si>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</si>
  <si>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</si>
  <si>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 &amp; Flagpole</t>
  </si>
  <si>
    <t xml:space="preserve">Security Lighting Poles</t>
  </si>
  <si>
    <t xml:space="preserve">Exterior Fencing</t>
  </si>
  <si>
    <t xml:space="preserve">Dumpster Enclosures</t>
  </si>
  <si>
    <t xml:space="preserve">Swimming Pool</t>
  </si>
  <si>
    <t xml:space="preserve">Fire Hydrants</t>
  </si>
  <si>
    <t xml:space="preserve">Wood Bridge</t>
  </si>
  <si>
    <t xml:space="preserve">Exterior Equipment Concrete Pads</t>
  </si>
  <si>
    <t xml:space="preserve">Mailboxes</t>
  </si>
  <si>
    <t xml:space="preserve">Site Utilities</t>
  </si>
  <si>
    <t xml:space="preserve">Total Cost</t>
  </si>
  <si>
    <t xml:space="preserve">Asset Allocation:</t>
  </si>
  <si>
    <t xml:space="preserve">Asset #2 - Building</t>
  </si>
  <si>
    <t xml:space="preserve">Asset #3 - Land Improvements</t>
  </si>
  <si>
    <t xml:space="preserve">Asset #4 - Equipment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</si>
  <si>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</si>
  <si>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</si>
  <si>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</si>
  <si>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</si>
  <si>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</si>
  <si>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</si>
  <si>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</si>
  <si>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</si>
  <si>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</si>
  <si>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</si>
  <si>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</si>
  <si>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2-Building</t>
  </si>
  <si>
    <t xml:space="preserve">S/L</t>
  </si>
  <si>
    <t xml:space="preserve">3-Land Improvements</t>
  </si>
  <si>
    <t xml:space="preserve">150DB</t>
  </si>
  <si>
    <t xml:space="preserve">4-Equipment</t>
  </si>
  <si>
    <t xml:space="preserve">200DB</t>
  </si>
  <si>
    <t xml:space="preserve">After Cost Segregation Correction</t>
  </si>
  <si>
    <t xml:space="preserve">2-Building-7yr</t>
  </si>
  <si>
    <t xml:space="preserve">2-Building-15yr</t>
  </si>
  <si>
    <t xml:space="preserve">2-Building-27.5yr</t>
  </si>
  <si>
    <t xml:space="preserve">3-Land Improvements-7yr</t>
  </si>
  <si>
    <t xml:space="preserve">3-Land Improvements-15yr</t>
  </si>
  <si>
    <t xml:space="preserve">3-Land Improvements-27.5yr</t>
  </si>
  <si>
    <t xml:space="preserve">4-Equipment-7yr</t>
  </si>
  <si>
    <t xml:space="preserve">4-Equipment-15yr</t>
  </si>
  <si>
    <t xml:space="preserve">4-Equipment-27.5yr</t>
  </si>
  <si>
    <t xml:space="preserve">Depreciation Reported Previously</t>
  </si>
  <si>
    <t xml:space="preserve">Cost Segregation Corrected Depreciation</t>
  </si>
  <si>
    <t xml:space="preserve">Cost Segregation Study - Office</t>
  </si>
  <si>
    <t xml:space="preserve">Coral Village Housing LP - Office</t>
  </si>
  <si>
    <t xml:space="preserve">Building Components</t>
  </si>
  <si>
    <t xml:space="preserve">Cabinets / Millwork</t>
  </si>
  <si>
    <t xml:space="preserve">Moldings</t>
  </si>
  <si>
    <t xml:space="preserve">Flooring - Carpet</t>
  </si>
  <si>
    <t xml:space="preserve">Flooring - Vinyl Plank</t>
  </si>
  <si>
    <t xml:space="preserve">Security System</t>
  </si>
  <si>
    <t xml:space="preserve">Window Treatments</t>
  </si>
  <si>
    <t xml:space="preserve">Specialty HVAC - Dryer Vents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</si>
  <si>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</si>
  <si>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</si>
  <si>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</si>
  <si>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 / Laundry</t>
  </si>
  <si>
    <t xml:space="preserve">Security / Exterior Lighting</t>
  </si>
  <si>
    <t xml:space="preserve">Canopies / Awnings</t>
  </si>
  <si>
    <t xml:space="preserve">Appliances</t>
  </si>
  <si>
    <t xml:space="preserve">Building Structure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</si>
  <si>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</si>
  <si>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</si>
  <si>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</si>
  <si>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</si>
  <si>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</si>
  <si>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</si>
  <si>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</si>
  <si>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</si>
  <si>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</si>
  <si>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</si>
  <si>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</si>
  <si>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</si>
  <si>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Emergency Lighting</t>
  </si>
  <si>
    <t xml:space="preserve">Structural Framing</t>
  </si>
  <si>
    <t xml:space="preserve">Bathroom Accessories</t>
  </si>
  <si>
    <t xml:space="preserve">Ceramic Tile Flooring</t>
  </si>
  <si>
    <t xml:space="preserve">2-Building-5yr</t>
  </si>
  <si>
    <t xml:space="preserve">3-Land Improvements-5yr</t>
  </si>
  <si>
    <t xml:space="preserve">4-Equipment-5yr</t>
  </si>
  <si>
    <t xml:space="preserve">Cost Segregation Study - Building 1</t>
  </si>
  <si>
    <t xml:space="preserve">Coral Village Housing LP - Building 1</t>
  </si>
  <si>
    <t xml:space="preserve">Door &amp; Window Guards</t>
  </si>
  <si>
    <t xml:space="preserve">Specialty Plumbing - Kitchen Sinks / Laundry</t>
  </si>
  <si>
    <t xml:space="preserve">Access Control</t>
  </si>
  <si>
    <t xml:space="preserve">Stairs / Balconies</t>
  </si>
  <si>
    <t xml:space="preserve">Cabinets / Millwork - Restrooms</t>
  </si>
  <si>
    <t xml:space="preserve">Cost Segregation Study - Building 2</t>
  </si>
  <si>
    <t xml:space="preserve">Coral Village Housing LP - Building 2</t>
  </si>
  <si>
    <t xml:space="preserve">Cost Segregation Study - Building 3</t>
  </si>
  <si>
    <t xml:space="preserve">Coral Village Housing LP - Building 3</t>
  </si>
  <si>
    <t xml:space="preserve">Cost Segregation Study - Building 4</t>
  </si>
  <si>
    <t xml:space="preserve">Coral Village Housing LP - Building 4</t>
  </si>
  <si>
    <t xml:space="preserve">Cost Segregation Study - Building 5</t>
  </si>
  <si>
    <t xml:space="preserve">Coral Village Housing LP - Building 5</t>
  </si>
  <si>
    <t xml:space="preserve">Cost Segregation Study - Building 6</t>
  </si>
  <si>
    <t xml:space="preserve">Coral Village Housing LP - Building 6</t>
  </si>
  <si>
    <t xml:space="preserve">Cost Segregation Study - Building 7</t>
  </si>
  <si>
    <t xml:space="preserve">Coral Village Housing LP - Building 7</t>
  </si>
  <si>
    <t xml:space="preserve">Cost Segregation Study - Building 8</t>
  </si>
  <si>
    <t xml:space="preserve">Coral Village Housing LP - Building 8</t>
  </si>
  <si>
    <t xml:space="preserve">Cost Segregation Study - Building 9</t>
  </si>
  <si>
    <t xml:space="preserve">Coral Village Housing LP - Building 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</si>
</sst>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16" min="5" style="1" width="14"/>
  </cols>
  <sheetData>
    <row r="2" customFormat="false" ht="17.2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  <c r="P6" s="5" t="s">
        <v>17</v>
      </c>
    </row>
    <row r="7" customFormat="false" ht="15" hidden="false" customHeight="true" outlineLevel="0" collapsed="false">
      <c r="A7" s="6"/>
      <c r="B7" s="7" t="s">
        <v>18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true" outlineLevel="0" collapsed="false">
      <c r="B8" s="8" t="s">
        <v>19</v>
      </c>
      <c r="C8" s="9" t="s">
        <v>20</v>
      </c>
      <c r="D8" s="10" t="n">
        <f aca="false">SUM(E8:O8)</f>
        <v>3697723</v>
      </c>
      <c r="E8" s="10" t="n">
        <v>531007.07</v>
      </c>
      <c r="F8" s="10" t="n">
        <v>119699.06</v>
      </c>
      <c r="G8" s="10" t="n">
        <v>383408.73</v>
      </c>
      <c r="H8" s="10" t="n">
        <v>302676.39</v>
      </c>
      <c r="I8" s="10" t="n">
        <v>383408.73</v>
      </c>
      <c r="J8" s="10" t="n">
        <v>302676.39</v>
      </c>
      <c r="K8" s="10" t="n">
        <v>383408.73</v>
      </c>
      <c r="L8" s="10" t="n">
        <v>302676.39</v>
      </c>
      <c r="M8" s="10" t="n">
        <v>383408.73</v>
      </c>
      <c r="N8" s="10" t="n">
        <v>302676.39</v>
      </c>
      <c r="O8" s="10" t="n">
        <v>302676.39</v>
      </c>
      <c r="P8" s="11" t="n">
        <f aca="false">SUM(E8:O8)</f>
        <v>3697723</v>
      </c>
    </row>
    <row r="9" customFormat="false" ht="15" hidden="false" customHeight="true" outlineLevel="0" collapsed="false">
      <c r="B9" s="8" t="s">
        <v>19</v>
      </c>
      <c r="C9" s="9" t="s">
        <v>21</v>
      </c>
      <c r="D9" s="10" t="n">
        <f aca="false">SUM(E9:O9)</f>
        <v>402935</v>
      </c>
      <c r="E9" s="10" t="n">
        <v>57862.97</v>
      </c>
      <c r="F9" s="10" t="n">
        <v>13043.42</v>
      </c>
      <c r="G9" s="10" t="n">
        <v>41779.44</v>
      </c>
      <c r="H9" s="10" t="n">
        <v>32982.17</v>
      </c>
      <c r="I9" s="10" t="n">
        <v>41779.44</v>
      </c>
      <c r="J9" s="10" t="n">
        <v>32982.17</v>
      </c>
      <c r="K9" s="10" t="n">
        <v>41779.44</v>
      </c>
      <c r="L9" s="10" t="n">
        <v>32982.17</v>
      </c>
      <c r="M9" s="10" t="n">
        <v>41779.44</v>
      </c>
      <c r="N9" s="10" t="n">
        <v>32982.17</v>
      </c>
      <c r="O9" s="10" t="n">
        <v>32982.17</v>
      </c>
      <c r="P9" s="11" t="n">
        <f aca="false">SUM(E9:O9)</f>
        <v>402935</v>
      </c>
    </row>
    <row r="10" customFormat="false" ht="15" hidden="false" customHeight="true" outlineLevel="0" collapsed="false">
      <c r="B10" s="8" t="s">
        <v>19</v>
      </c>
      <c r="C10" s="9" t="s">
        <v>22</v>
      </c>
      <c r="D10" s="10" t="n">
        <f aca="false">SUM(E10:O10)</f>
        <v>755504</v>
      </c>
      <c r="E10" s="10" t="n">
        <v>108493.26</v>
      </c>
      <c r="F10" s="10" t="n">
        <v>24456.43</v>
      </c>
      <c r="G10" s="10" t="n">
        <v>78336.54</v>
      </c>
      <c r="H10" s="10" t="n">
        <v>61841.63</v>
      </c>
      <c r="I10" s="10" t="n">
        <v>78336.54</v>
      </c>
      <c r="J10" s="10" t="n">
        <v>61841.63</v>
      </c>
      <c r="K10" s="10" t="n">
        <v>78336.54</v>
      </c>
      <c r="L10" s="10" t="n">
        <v>61841.63</v>
      </c>
      <c r="M10" s="10" t="n">
        <v>78336.54</v>
      </c>
      <c r="N10" s="10" t="n">
        <v>61841.63</v>
      </c>
      <c r="O10" s="10" t="n">
        <v>61841.63</v>
      </c>
      <c r="P10" s="11" t="n">
        <f aca="false">SUM(E10:O10)</f>
        <v>755504</v>
      </c>
    </row>
    <row r="12" customFormat="false" ht="15" hidden="false" customHeight="true" outlineLevel="0" collapsed="false">
      <c r="A12" s="12"/>
      <c r="B12" s="13" t="s">
        <v>23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customFormat="false" ht="15" hidden="false" customHeight="true" outlineLevel="0" collapsed="false">
      <c r="C13" s="14" t="s">
        <v>24</v>
      </c>
      <c r="D13" s="15" t="n">
        <f aca="false">SUM(E13:O13)</f>
        <v>1601046</v>
      </c>
      <c r="E13" s="15" t="n">
        <v>229916.28</v>
      </c>
      <c r="F13" s="15" t="n">
        <v>51827.49</v>
      </c>
      <c r="G13" s="15" t="n">
        <v>166008.92</v>
      </c>
      <c r="H13" s="15" t="n">
        <v>131053.31</v>
      </c>
      <c r="I13" s="15" t="n">
        <v>166008.92</v>
      </c>
      <c r="J13" s="15" t="n">
        <v>131053.31</v>
      </c>
      <c r="K13" s="15" t="n">
        <v>166008.92</v>
      </c>
      <c r="L13" s="15" t="n">
        <v>131053.31</v>
      </c>
      <c r="M13" s="15" t="n">
        <v>166008.92</v>
      </c>
      <c r="N13" s="15" t="n">
        <v>131053.31</v>
      </c>
      <c r="O13" s="15" t="n">
        <v>131053.31</v>
      </c>
      <c r="P13" s="16" t="n">
        <f aca="false">SUM(E13:O13)</f>
        <v>1601046</v>
      </c>
    </row>
    <row r="14" customFormat="false" ht="15" hidden="false" customHeight="true" outlineLevel="0" collapsed="false">
      <c r="C14" s="14" t="s">
        <v>25</v>
      </c>
      <c r="D14" s="15" t="n">
        <f aca="false">SUM(E14:O14)</f>
        <v>1866558.33</v>
      </c>
      <c r="E14" s="15" t="n">
        <v>421345.64</v>
      </c>
      <c r="F14" s="15" t="n">
        <v>40202.21</v>
      </c>
      <c r="G14" s="15" t="n">
        <v>170980.22</v>
      </c>
      <c r="H14" s="15" t="n">
        <v>144217.92</v>
      </c>
      <c r="I14" s="15" t="n">
        <v>170980.22</v>
      </c>
      <c r="J14" s="15" t="n">
        <v>144217.92</v>
      </c>
      <c r="K14" s="15" t="n">
        <v>170980.22</v>
      </c>
      <c r="L14" s="15" t="n">
        <v>144217.92</v>
      </c>
      <c r="M14" s="15" t="n">
        <v>170980.22</v>
      </c>
      <c r="N14" s="15" t="n">
        <v>144217.92</v>
      </c>
      <c r="O14" s="15" t="n">
        <v>144217.92</v>
      </c>
      <c r="P14" s="16" t="n">
        <f aca="false">SUM(E14:O14)</f>
        <v>1866558.33</v>
      </c>
    </row>
    <row r="15" customFormat="false" ht="15" hidden="false" customHeight="true" outlineLevel="0" collapsed="false">
      <c r="C15" s="17" t="s">
        <v>26</v>
      </c>
      <c r="D15" s="18" t="n">
        <f aca="false">SUM(E15:O15)</f>
        <v>-265512.33</v>
      </c>
      <c r="E15" s="18" t="n">
        <v>-191429.36</v>
      </c>
      <c r="F15" s="18" t="n">
        <v>11625.28</v>
      </c>
      <c r="G15" s="18" t="n">
        <v>-4971.3</v>
      </c>
      <c r="H15" s="18" t="n">
        <v>-13164.61</v>
      </c>
      <c r="I15" s="18" t="n">
        <v>-4971.3</v>
      </c>
      <c r="J15" s="18" t="n">
        <v>-13164.61</v>
      </c>
      <c r="K15" s="18" t="n">
        <v>-4971.3</v>
      </c>
      <c r="L15" s="18" t="n">
        <v>-13164.61</v>
      </c>
      <c r="M15" s="18" t="n">
        <v>-4971.3</v>
      </c>
      <c r="N15" s="18" t="n">
        <v>-13164.61</v>
      </c>
      <c r="O15" s="18" t="n">
        <v>-13164.61</v>
      </c>
      <c r="P15" s="18" t="n">
        <f aca="false">SUM(E15:O15)</f>
        <v>-265512.33</v>
      </c>
    </row>
  </sheetData>
  <mergeCells count="5">
    <mergeCell ref="A2:O2"/>
    <mergeCell ref="A3:O3"/>
    <mergeCell ref="A4:O4"/>
    <mergeCell ref="B7:O7"/>
    <mergeCell ref="B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39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40</v>
      </c>
      <c r="C11" s="24" t="n">
        <v>1686.45</v>
      </c>
      <c r="E11" s="24" t="n">
        <v>1686.45</v>
      </c>
    </row>
    <row r="12" customFormat="false" ht="15" hidden="false" customHeight="true" outlineLevel="0" collapsed="false">
      <c r="A12" s="6"/>
      <c r="B12" s="7" t="s">
        <v>41</v>
      </c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true" outlineLevel="0" collapsed="false">
      <c r="B13" s="9" t="s">
        <v>42</v>
      </c>
      <c r="C13" s="24" t="n">
        <v>39048.7</v>
      </c>
      <c r="F13" s="24" t="n">
        <v>39048.7</v>
      </c>
    </row>
    <row r="14" customFormat="false" ht="15" hidden="false" customHeight="true" outlineLevel="0" collapsed="false">
      <c r="B14" s="9" t="s">
        <v>43</v>
      </c>
      <c r="C14" s="24" t="n">
        <v>153576.44</v>
      </c>
      <c r="F14" s="24" t="n">
        <v>153576.44</v>
      </c>
    </row>
    <row r="15" customFormat="false" ht="15" hidden="false" customHeight="true" outlineLevel="0" collapsed="false">
      <c r="B15" s="9" t="s">
        <v>44</v>
      </c>
      <c r="C15" s="24" t="n">
        <v>4980.7</v>
      </c>
      <c r="F15" s="24" t="n">
        <v>4980.7</v>
      </c>
    </row>
    <row r="16" customFormat="false" ht="15" hidden="false" customHeight="true" outlineLevel="0" collapsed="false">
      <c r="B16" s="9" t="s">
        <v>45</v>
      </c>
      <c r="C16" s="24" t="n">
        <v>7221.77</v>
      </c>
      <c r="F16" s="24" t="n">
        <v>7221.77</v>
      </c>
    </row>
    <row r="17" customFormat="false" ht="15" hidden="false" customHeight="true" outlineLevel="0" collapsed="false">
      <c r="B17" s="9" t="s">
        <v>46</v>
      </c>
      <c r="C17" s="24" t="n">
        <v>84027.83</v>
      </c>
      <c r="F17" s="24" t="n">
        <v>84027.83</v>
      </c>
    </row>
    <row r="18" customFormat="false" ht="15" hidden="false" customHeight="true" outlineLevel="0" collapsed="false">
      <c r="B18" s="9" t="s">
        <v>47</v>
      </c>
      <c r="C18" s="24" t="n">
        <v>9631.81</v>
      </c>
      <c r="F18" s="24" t="n">
        <v>9631.81</v>
      </c>
    </row>
    <row r="19" customFormat="false" ht="15" hidden="false" customHeight="true" outlineLevel="0" collapsed="false">
      <c r="B19" s="9" t="s">
        <v>48</v>
      </c>
      <c r="C19" s="24" t="n">
        <v>20401.97</v>
      </c>
      <c r="F19" s="24" t="n">
        <v>20401.97</v>
      </c>
    </row>
    <row r="20" customFormat="false" ht="15" hidden="false" customHeight="true" outlineLevel="0" collapsed="false">
      <c r="B20" s="9" t="s">
        <v>49</v>
      </c>
      <c r="C20" s="24" t="n">
        <v>1644.48</v>
      </c>
      <c r="F20" s="24" t="n">
        <v>1644.48</v>
      </c>
    </row>
    <row r="21" customFormat="false" ht="15" hidden="false" customHeight="true" outlineLevel="0" collapsed="false">
      <c r="B21" s="9" t="s">
        <v>50</v>
      </c>
      <c r="C21" s="24" t="n">
        <v>11153.66</v>
      </c>
      <c r="F21" s="24" t="n">
        <v>11153.66</v>
      </c>
    </row>
    <row r="22" customFormat="false" ht="15" hidden="false" customHeight="true" outlineLevel="0" collapsed="false">
      <c r="B22" s="9" t="s">
        <v>51</v>
      </c>
      <c r="C22" s="24" t="n">
        <v>24156.38</v>
      </c>
      <c r="F22" s="24" t="n">
        <v>24156.38</v>
      </c>
    </row>
    <row r="23" customFormat="false" ht="15" hidden="false" customHeight="true" outlineLevel="0" collapsed="false">
      <c r="B23" s="9" t="s">
        <v>52</v>
      </c>
      <c r="C23" s="24" t="n">
        <v>8313.83</v>
      </c>
      <c r="F23" s="24" t="n">
        <v>8313.83</v>
      </c>
    </row>
    <row r="24" customFormat="false" ht="15" hidden="false" customHeight="true" outlineLevel="0" collapsed="false">
      <c r="B24" s="9" t="s">
        <v>53</v>
      </c>
      <c r="C24" s="24" t="n">
        <v>424.82</v>
      </c>
      <c r="F24" s="24" t="n">
        <v>424.82</v>
      </c>
    </row>
    <row r="25" customFormat="false" ht="15" hidden="false" customHeight="true" outlineLevel="0" collapsed="false">
      <c r="B25" s="9" t="s">
        <v>54</v>
      </c>
      <c r="C25" s="24" t="n">
        <v>7388.84</v>
      </c>
      <c r="F25" s="24" t="n">
        <v>7388.84</v>
      </c>
    </row>
    <row r="26" customFormat="false" ht="15" hidden="false" customHeight="true" outlineLevel="0" collapsed="false">
      <c r="B26" s="9" t="s">
        <v>55</v>
      </c>
      <c r="C26" s="24" t="n">
        <v>10157.17</v>
      </c>
      <c r="F26" s="24" t="n">
        <v>10157.17</v>
      </c>
    </row>
    <row r="27" customFormat="false" ht="15" hidden="false" customHeight="true" outlineLevel="0" collapsed="false">
      <c r="A27" s="6"/>
      <c r="B27" s="7" t="s">
        <v>56</v>
      </c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true" outlineLevel="0" collapsed="false">
      <c r="B28" s="9" t="s">
        <v>56</v>
      </c>
      <c r="C28" s="24" t="n">
        <v>313548.45</v>
      </c>
      <c r="G28" s="24" t="n">
        <v>313548.45</v>
      </c>
    </row>
    <row r="29" customFormat="false" ht="15" hidden="false" customHeight="true" outlineLevel="0" collapsed="false">
      <c r="A29" s="25"/>
      <c r="B29" s="26" t="s">
        <v>57</v>
      </c>
      <c r="C29" s="27" t="n">
        <f aca="false">SUM(C10:C28)</f>
        <v>697363.3</v>
      </c>
      <c r="D29" s="27" t="n">
        <f aca="false">SUM(D10:D28)</f>
        <v>0</v>
      </c>
      <c r="E29" s="27" t="n">
        <f aca="false">SUM(E10:E28)</f>
        <v>1686.45</v>
      </c>
      <c r="F29" s="27" t="n">
        <f aca="false">SUM(F10:F28)</f>
        <v>382128.4</v>
      </c>
      <c r="G29" s="27" t="n">
        <f aca="false">SUM(G10:G28)</f>
        <v>313548.45</v>
      </c>
      <c r="H29" s="25"/>
    </row>
    <row r="31" customFormat="false" ht="15" hidden="false" customHeight="true" outlineLevel="0" collapsed="false">
      <c r="A31" s="6"/>
      <c r="B31" s="7" t="s">
        <v>58</v>
      </c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true" outlineLevel="0" collapsed="false">
      <c r="B32" s="9" t="s">
        <v>59</v>
      </c>
      <c r="C32" s="24" t="n">
        <v>531007.07</v>
      </c>
      <c r="E32" s="24" t="n">
        <v>1284.15</v>
      </c>
      <c r="F32" s="24" t="n">
        <v>290971.55</v>
      </c>
      <c r="G32" s="24" t="n">
        <v>238751.37</v>
      </c>
    </row>
    <row r="33" customFormat="false" ht="15" hidden="false" customHeight="true" outlineLevel="0" collapsed="false">
      <c r="B33" s="9" t="s">
        <v>60</v>
      </c>
      <c r="C33" s="24" t="n">
        <v>57862.97</v>
      </c>
      <c r="E33" s="24" t="n">
        <v>139.93</v>
      </c>
      <c r="F33" s="24" t="n">
        <v>31706.69</v>
      </c>
      <c r="G33" s="24" t="n">
        <v>26016.35</v>
      </c>
    </row>
    <row r="34" customFormat="false" ht="15" hidden="false" customHeight="true" outlineLevel="0" collapsed="false">
      <c r="B34" s="9" t="s">
        <v>61</v>
      </c>
      <c r="C34" s="24" t="n">
        <v>108493.26</v>
      </c>
      <c r="E34" s="24" t="n">
        <v>262.37</v>
      </c>
      <c r="F34" s="24" t="n">
        <v>59450.16</v>
      </c>
      <c r="G34" s="24" t="n">
        <v>48780.73</v>
      </c>
    </row>
    <row r="35" customFormat="false" ht="15" hidden="false" customHeight="true" outlineLevel="0" collapsed="false">
      <c r="A35" s="25"/>
      <c r="B35" s="26" t="s">
        <v>62</v>
      </c>
      <c r="C35" s="27" t="n">
        <f aca="false">SUM(C32:C34)</f>
        <v>697363.3</v>
      </c>
      <c r="D35" s="27" t="n">
        <f aca="false">SUM(D32:D34)</f>
        <v>0</v>
      </c>
      <c r="E35" s="27" t="n">
        <f aca="false">SUM(E32:E34)</f>
        <v>1686.45</v>
      </c>
      <c r="F35" s="27" t="n">
        <f aca="false">SUM(F32:F34)</f>
        <v>382128.4</v>
      </c>
      <c r="G35" s="27" t="n">
        <f aca="false">SUM(G32:G34)</f>
        <v>313548.45</v>
      </c>
      <c r="H35" s="25"/>
    </row>
    <row r="37" customFormat="false" ht="15" hidden="false" customHeight="true" outlineLevel="0" collapsed="false">
      <c r="A37" s="28" t="s">
        <v>63</v>
      </c>
      <c r="B37" s="28"/>
      <c r="C37" s="28"/>
      <c r="D37" s="28"/>
      <c r="E37" s="28"/>
      <c r="F37" s="28"/>
      <c r="G37" s="28"/>
      <c r="H37" s="28"/>
      <c r="I37" s="28"/>
      <c r="J37" s="28"/>
    </row>
    <row r="38" customFormat="false" ht="15" hidden="false" customHeight="true" outlineLevel="0" collapsed="false">
      <c r="A38" s="29" t="s">
        <v>24</v>
      </c>
      <c r="B38" s="29"/>
      <c r="C38" s="29"/>
      <c r="D38" s="29"/>
      <c r="E38" s="29"/>
      <c r="F38" s="29"/>
      <c r="G38" s="29"/>
      <c r="H38" s="29"/>
      <c r="I38" s="29"/>
      <c r="J38" s="29"/>
    </row>
    <row r="39" customFormat="false" ht="15" hidden="false" customHeight="true" outlineLevel="0" collapsed="false">
      <c r="A39" s="30"/>
      <c r="B39" s="30" t="s">
        <v>64</v>
      </c>
      <c r="C39" s="31" t="s">
        <v>65</v>
      </c>
      <c r="D39" s="31" t="s">
        <v>66</v>
      </c>
      <c r="E39" s="31" t="s">
        <v>67</v>
      </c>
      <c r="F39" s="31" t="s">
        <v>68</v>
      </c>
      <c r="G39" s="31" t="s">
        <v>69</v>
      </c>
      <c r="H39" s="31" t="s">
        <v>70</v>
      </c>
      <c r="I39" s="31" t="s">
        <v>71</v>
      </c>
      <c r="J39" s="31" t="s">
        <v>72</v>
      </c>
    </row>
    <row r="40" customFormat="false" ht="15" hidden="false" customHeight="true" outlineLevel="0" collapsed="false">
      <c r="B40" s="32" t="s">
        <v>73</v>
      </c>
      <c r="C40" s="33" t="n">
        <v>531007.07</v>
      </c>
      <c r="D40" s="33" t="n">
        <v>0</v>
      </c>
      <c r="E40" s="33" t="n">
        <v>0</v>
      </c>
      <c r="F40" s="33" t="n">
        <v>44250.63</v>
      </c>
      <c r="G40" s="33" t="n">
        <v>44250.63</v>
      </c>
      <c r="H40" s="33" t="n">
        <v>467447.02</v>
      </c>
      <c r="I40" s="34" t="s">
        <v>74</v>
      </c>
      <c r="J40" s="35" t="n">
        <v>27.5</v>
      </c>
    </row>
    <row r="41" customFormat="false" ht="15" hidden="false" customHeight="true" outlineLevel="0" collapsed="false">
      <c r="B41" s="14" t="s">
        <v>75</v>
      </c>
      <c r="C41" s="36" t="n">
        <v>57862.97</v>
      </c>
      <c r="D41" s="36" t="n">
        <v>0</v>
      </c>
      <c r="E41" s="36" t="n">
        <v>57862.97</v>
      </c>
      <c r="F41" s="36" t="n">
        <v>57862.97</v>
      </c>
      <c r="G41" s="36" t="n">
        <v>57862.97</v>
      </c>
      <c r="H41" s="36" t="n">
        <v>0</v>
      </c>
      <c r="I41" s="37" t="s">
        <v>76</v>
      </c>
      <c r="J41" s="38" t="n">
        <v>15</v>
      </c>
    </row>
    <row r="42" customFormat="false" ht="15" hidden="false" customHeight="true" outlineLevel="0" collapsed="false">
      <c r="B42" s="32" t="s">
        <v>77</v>
      </c>
      <c r="C42" s="33" t="n">
        <v>108493.26</v>
      </c>
      <c r="D42" s="33" t="n">
        <v>0</v>
      </c>
      <c r="E42" s="33" t="n">
        <v>108493.26</v>
      </c>
      <c r="F42" s="33" t="n">
        <v>108493.26</v>
      </c>
      <c r="G42" s="33" t="n">
        <v>108493.26</v>
      </c>
      <c r="H42" s="33" t="n">
        <v>0</v>
      </c>
      <c r="I42" s="34" t="s">
        <v>78</v>
      </c>
      <c r="J42" s="35" t="n">
        <v>5</v>
      </c>
    </row>
    <row r="43" customFormat="false" ht="15" hidden="false" customHeight="true" outlineLevel="0" collapsed="false">
      <c r="A43" s="39"/>
      <c r="B43" s="40" t="s">
        <v>17</v>
      </c>
      <c r="C43" s="41" t="n">
        <f aca="false">SUM(C40:C42)</f>
        <v>697363.3</v>
      </c>
      <c r="D43" s="41" t="n">
        <f aca="false">SUM(D40:D42)</f>
        <v>0</v>
      </c>
      <c r="E43" s="41" t="n">
        <f aca="false">SUM(E40:E42)</f>
        <v>166356.23</v>
      </c>
      <c r="F43" s="41" t="n">
        <f aca="false">SUM(F40:F42)</f>
        <v>210606.86</v>
      </c>
      <c r="G43" s="41" t="n">
        <f aca="false">SUM(G40:G42)</f>
        <v>210606.86</v>
      </c>
      <c r="H43" s="41" t="n">
        <f aca="false">SUM(H40:H42)</f>
        <v>467447.02</v>
      </c>
      <c r="I43" s="39"/>
      <c r="J43" s="39"/>
    </row>
    <row r="45" customFormat="false" ht="15" hidden="false" customHeight="true" outlineLevel="0" collapsed="false">
      <c r="A45" s="42" t="s">
        <v>79</v>
      </c>
      <c r="B45" s="42"/>
      <c r="C45" s="42"/>
      <c r="D45" s="42"/>
      <c r="E45" s="42"/>
      <c r="F45" s="42"/>
      <c r="G45" s="42"/>
      <c r="H45" s="42"/>
      <c r="I45" s="42"/>
      <c r="J45" s="42"/>
    </row>
    <row r="46" customFormat="false" ht="15" hidden="false" customHeight="true" outlineLevel="0" collapsed="false">
      <c r="A46" s="30"/>
      <c r="B46" s="30" t="s">
        <v>64</v>
      </c>
      <c r="C46" s="31" t="s">
        <v>65</v>
      </c>
      <c r="D46" s="31" t="s">
        <v>66</v>
      </c>
      <c r="E46" s="31" t="s">
        <v>67</v>
      </c>
      <c r="F46" s="31" t="s">
        <v>68</v>
      </c>
      <c r="G46" s="31" t="s">
        <v>69</v>
      </c>
      <c r="H46" s="31" t="s">
        <v>70</v>
      </c>
      <c r="I46" s="31" t="s">
        <v>71</v>
      </c>
      <c r="J46" s="31" t="s">
        <v>72</v>
      </c>
    </row>
    <row r="47" customFormat="false" ht="15" hidden="false" customHeight="true" outlineLevel="0" collapsed="false">
      <c r="B47" s="32" t="s">
        <v>80</v>
      </c>
      <c r="C47" s="33" t="n">
        <v>1284.15</v>
      </c>
      <c r="D47" s="33" t="n">
        <v>0</v>
      </c>
      <c r="E47" s="33" t="n">
        <v>1284.15</v>
      </c>
      <c r="F47" s="33" t="n">
        <v>1284.15</v>
      </c>
      <c r="G47" s="33" t="n">
        <v>0</v>
      </c>
      <c r="H47" s="33" t="n">
        <v>1284.15</v>
      </c>
      <c r="I47" s="34" t="s">
        <v>78</v>
      </c>
      <c r="J47" s="35" t="n">
        <v>7</v>
      </c>
    </row>
    <row r="48" customFormat="false" ht="15" hidden="false" customHeight="true" outlineLevel="0" collapsed="false">
      <c r="B48" s="14" t="s">
        <v>81</v>
      </c>
      <c r="C48" s="36" t="n">
        <v>290971.55</v>
      </c>
      <c r="D48" s="36" t="n">
        <v>0</v>
      </c>
      <c r="E48" s="36" t="n">
        <v>290971.55</v>
      </c>
      <c r="F48" s="36" t="n">
        <v>290971.55</v>
      </c>
      <c r="G48" s="36" t="n">
        <v>0</v>
      </c>
      <c r="H48" s="36" t="n">
        <v>290971.55</v>
      </c>
      <c r="I48" s="37" t="s">
        <v>76</v>
      </c>
      <c r="J48" s="38" t="n">
        <v>15</v>
      </c>
    </row>
    <row r="49" customFormat="false" ht="15" hidden="false" customHeight="true" outlineLevel="0" collapsed="false">
      <c r="B49" s="32" t="s">
        <v>82</v>
      </c>
      <c r="C49" s="33" t="n">
        <v>238751.37</v>
      </c>
      <c r="D49" s="33" t="n">
        <v>0</v>
      </c>
      <c r="E49" s="33" t="n">
        <v>0</v>
      </c>
      <c r="F49" s="33" t="n">
        <v>19895.95</v>
      </c>
      <c r="G49" s="33" t="n">
        <v>8681.87</v>
      </c>
      <c r="H49" s="33" t="n">
        <v>28577.82</v>
      </c>
      <c r="I49" s="34" t="s">
        <v>74</v>
      </c>
      <c r="J49" s="35" t="n">
        <v>27.5</v>
      </c>
    </row>
    <row r="50" customFormat="false" ht="15" hidden="false" customHeight="true" outlineLevel="0" collapsed="false">
      <c r="B50" s="14" t="s">
        <v>83</v>
      </c>
      <c r="C50" s="36" t="n">
        <v>139.93</v>
      </c>
      <c r="D50" s="36" t="n">
        <v>0</v>
      </c>
      <c r="E50" s="36" t="n">
        <v>139.93</v>
      </c>
      <c r="F50" s="36" t="n">
        <v>139.93</v>
      </c>
      <c r="G50" s="36" t="n">
        <v>0</v>
      </c>
      <c r="H50" s="36" t="n">
        <v>139.93</v>
      </c>
      <c r="I50" s="37" t="s">
        <v>78</v>
      </c>
      <c r="J50" s="38" t="n">
        <v>7</v>
      </c>
    </row>
    <row r="51" customFormat="false" ht="15" hidden="false" customHeight="true" outlineLevel="0" collapsed="false">
      <c r="B51" s="32" t="s">
        <v>84</v>
      </c>
      <c r="C51" s="33" t="n">
        <v>31706.69</v>
      </c>
      <c r="D51" s="33" t="n">
        <v>0</v>
      </c>
      <c r="E51" s="33" t="n">
        <v>31706.69</v>
      </c>
      <c r="F51" s="33" t="n">
        <v>31706.69</v>
      </c>
      <c r="G51" s="33" t="n">
        <v>0</v>
      </c>
      <c r="H51" s="33" t="n">
        <v>31706.69</v>
      </c>
      <c r="I51" s="34" t="s">
        <v>76</v>
      </c>
      <c r="J51" s="35" t="n">
        <v>15</v>
      </c>
    </row>
    <row r="52" customFormat="false" ht="15" hidden="false" customHeight="true" outlineLevel="0" collapsed="false">
      <c r="B52" s="14" t="s">
        <v>85</v>
      </c>
      <c r="C52" s="36" t="n">
        <v>26016.35</v>
      </c>
      <c r="D52" s="36" t="n">
        <v>0</v>
      </c>
      <c r="E52" s="36" t="n">
        <v>0</v>
      </c>
      <c r="F52" s="36" t="n">
        <v>2168.03</v>
      </c>
      <c r="G52" s="36" t="n">
        <v>946.05</v>
      </c>
      <c r="H52" s="36" t="n">
        <v>3114.08</v>
      </c>
      <c r="I52" s="37" t="s">
        <v>74</v>
      </c>
      <c r="J52" s="38" t="n">
        <v>27.5</v>
      </c>
    </row>
    <row r="53" customFormat="false" ht="15" hidden="false" customHeight="true" outlineLevel="0" collapsed="false">
      <c r="B53" s="32" t="s">
        <v>86</v>
      </c>
      <c r="C53" s="33" t="n">
        <v>262.37</v>
      </c>
      <c r="D53" s="33" t="n">
        <v>0</v>
      </c>
      <c r="E53" s="33" t="n">
        <v>262.37</v>
      </c>
      <c r="F53" s="33" t="n">
        <v>262.37</v>
      </c>
      <c r="G53" s="33" t="n">
        <v>0</v>
      </c>
      <c r="H53" s="33" t="n">
        <v>262.37</v>
      </c>
      <c r="I53" s="34" t="s">
        <v>78</v>
      </c>
      <c r="J53" s="35" t="n">
        <v>7</v>
      </c>
    </row>
    <row r="54" customFormat="false" ht="15" hidden="false" customHeight="true" outlineLevel="0" collapsed="false">
      <c r="B54" s="14" t="s">
        <v>87</v>
      </c>
      <c r="C54" s="36" t="n">
        <v>59450.16</v>
      </c>
      <c r="D54" s="36" t="n">
        <v>0</v>
      </c>
      <c r="E54" s="36" t="n">
        <v>59450.16</v>
      </c>
      <c r="F54" s="36" t="n">
        <v>59450.16</v>
      </c>
      <c r="G54" s="36" t="n">
        <v>0</v>
      </c>
      <c r="H54" s="36" t="n">
        <v>59450.16</v>
      </c>
      <c r="I54" s="37" t="s">
        <v>76</v>
      </c>
      <c r="J54" s="38" t="n">
        <v>15</v>
      </c>
    </row>
    <row r="55" customFormat="false" ht="15" hidden="false" customHeight="true" outlineLevel="0" collapsed="false">
      <c r="B55" s="32" t="s">
        <v>88</v>
      </c>
      <c r="C55" s="33" t="n">
        <v>48780.73</v>
      </c>
      <c r="D55" s="33" t="n">
        <v>0</v>
      </c>
      <c r="E55" s="33" t="n">
        <v>0</v>
      </c>
      <c r="F55" s="33" t="n">
        <v>4065.05</v>
      </c>
      <c r="G55" s="33" t="n">
        <v>1773.84</v>
      </c>
      <c r="H55" s="33" t="n">
        <v>5838.89</v>
      </c>
      <c r="I55" s="34" t="s">
        <v>74</v>
      </c>
      <c r="J55" s="35" t="n">
        <v>27.5</v>
      </c>
    </row>
    <row r="56" customFormat="false" ht="15" hidden="false" customHeight="true" outlineLevel="0" collapsed="false">
      <c r="A56" s="39"/>
      <c r="B56" s="40" t="s">
        <v>17</v>
      </c>
      <c r="C56" s="41" t="n">
        <f aca="false">SUM(C47:C55)</f>
        <v>697363.3</v>
      </c>
      <c r="D56" s="41" t="n">
        <f aca="false">SUM(D47:D55)</f>
        <v>0</v>
      </c>
      <c r="E56" s="41" t="n">
        <f aca="false">SUM(E47:E55)</f>
        <v>383814.85</v>
      </c>
      <c r="F56" s="41" t="n">
        <f aca="false">SUM(F47:F55)</f>
        <v>409943.88</v>
      </c>
      <c r="G56" s="41" t="n">
        <f aca="false">SUM(G47:G55)</f>
        <v>11401.76</v>
      </c>
      <c r="H56" s="41" t="n">
        <f aca="false">SUM(H47:H55)</f>
        <v>421345.64</v>
      </c>
      <c r="I56" s="39"/>
      <c r="J56" s="39"/>
    </row>
    <row r="58" customFormat="false" ht="15" hidden="false" customHeight="true" outlineLevel="0" collapsed="false">
      <c r="A58" s="28" t="s">
        <v>26</v>
      </c>
      <c r="B58" s="28"/>
      <c r="C58" s="28"/>
      <c r="D58" s="28"/>
      <c r="E58" s="28"/>
    </row>
    <row r="59" customFormat="false" ht="15" hidden="false" customHeight="true" outlineLevel="0" collapsed="false">
      <c r="B59" s="14" t="s">
        <v>89</v>
      </c>
      <c r="C59" s="43" t="n">
        <f aca="false">G43</f>
        <v>210606.86</v>
      </c>
    </row>
    <row r="60" customFormat="false" ht="15" hidden="false" customHeight="true" outlineLevel="0" collapsed="false">
      <c r="B60" s="14" t="s">
        <v>90</v>
      </c>
      <c r="C60" s="43" t="n">
        <f aca="false">G56</f>
        <v>11401.76</v>
      </c>
    </row>
    <row r="61" customFormat="false" ht="15" hidden="false" customHeight="true" outlineLevel="0" collapsed="false">
      <c r="B61" s="17" t="s">
        <v>26</v>
      </c>
      <c r="C61" s="44" t="n">
        <f aca="false">C60-C59</f>
        <v>-199205.1</v>
      </c>
    </row>
  </sheetData>
  <mergeCells count="12">
    <mergeCell ref="A2:J2"/>
    <mergeCell ref="A3:J3"/>
    <mergeCell ref="A4:J4"/>
    <mergeCell ref="A8:J8"/>
    <mergeCell ref="B10:J10"/>
    <mergeCell ref="B12:J12"/>
    <mergeCell ref="B27:J27"/>
    <mergeCell ref="B31:J31"/>
    <mergeCell ref="A37:J37"/>
    <mergeCell ref="A38:J38"/>
    <mergeCell ref="A45:J45"/>
    <mergeCell ref="A58:E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91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92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2291.97</v>
      </c>
      <c r="D11" s="24" t="n">
        <v>2291.97</v>
      </c>
    </row>
    <row r="12" customFormat="false" ht="15" hidden="false" customHeight="true" outlineLevel="0" collapsed="false">
      <c r="B12" s="9" t="s">
        <v>95</v>
      </c>
      <c r="C12" s="24" t="n">
        <v>2430.16</v>
      </c>
      <c r="D12" s="24" t="n">
        <v>2430.16</v>
      </c>
    </row>
    <row r="13" customFormat="false" ht="15" hidden="false" customHeight="true" outlineLevel="0" collapsed="false">
      <c r="B13" s="9" t="s">
        <v>96</v>
      </c>
      <c r="C13" s="24" t="n">
        <v>2419.4</v>
      </c>
      <c r="D13" s="24" t="n">
        <v>2419.4</v>
      </c>
    </row>
    <row r="14" customFormat="false" ht="15" hidden="false" customHeight="true" outlineLevel="0" collapsed="false">
      <c r="B14" s="9" t="s">
        <v>97</v>
      </c>
      <c r="C14" s="24" t="n">
        <v>555.89</v>
      </c>
      <c r="D14" s="24" t="n">
        <v>555.89</v>
      </c>
    </row>
    <row r="15" customFormat="false" ht="15" hidden="false" customHeight="true" outlineLevel="0" collapsed="false">
      <c r="B15" s="9" t="s">
        <v>98</v>
      </c>
      <c r="C15" s="24" t="n">
        <v>599.12</v>
      </c>
      <c r="D15" s="24" t="n">
        <v>599.12</v>
      </c>
    </row>
    <row r="16" customFormat="false" ht="15" hidden="false" customHeight="true" outlineLevel="0" collapsed="false">
      <c r="B16" s="9" t="s">
        <v>99</v>
      </c>
      <c r="C16" s="24" t="n">
        <v>1112.48</v>
      </c>
      <c r="D16" s="24" t="n">
        <v>1112.48</v>
      </c>
    </row>
    <row r="17" customFormat="false" ht="15" hidden="false" customHeight="true" outlineLevel="0" collapsed="false">
      <c r="B17" s="9" t="s">
        <v>100</v>
      </c>
      <c r="C17" s="24" t="n">
        <v>269.36</v>
      </c>
      <c r="D17" s="24" t="n">
        <v>269.36</v>
      </c>
    </row>
    <row r="18" customFormat="false" ht="15" hidden="false" customHeight="true" outlineLevel="0" collapsed="false">
      <c r="B18" s="9" t="s">
        <v>101</v>
      </c>
      <c r="C18" s="24" t="n">
        <v>92.21</v>
      </c>
      <c r="D18" s="24" t="n">
        <v>92.21</v>
      </c>
    </row>
    <row r="19" customFormat="false" ht="15" hidden="false" customHeight="true" outlineLevel="0" collapsed="false">
      <c r="B19" s="9" t="s">
        <v>102</v>
      </c>
      <c r="C19" s="24" t="n">
        <v>1299.33</v>
      </c>
      <c r="D19" s="24" t="n">
        <v>1299.33</v>
      </c>
    </row>
    <row r="20" customFormat="false" ht="15" hidden="false" customHeight="true" outlineLevel="0" collapsed="false">
      <c r="B20" s="9" t="s">
        <v>103</v>
      </c>
      <c r="C20" s="24" t="n">
        <v>3490.05</v>
      </c>
      <c r="D20" s="24" t="n">
        <v>3490.05</v>
      </c>
    </row>
    <row r="21" customFormat="false" ht="15" hidden="false" customHeight="true" outlineLevel="0" collapsed="false">
      <c r="B21" s="9" t="s">
        <v>104</v>
      </c>
      <c r="C21" s="24" t="n">
        <v>3357.95</v>
      </c>
      <c r="D21" s="24" t="n">
        <v>3357.95</v>
      </c>
    </row>
    <row r="22" customFormat="false" ht="15" hidden="false" customHeight="true" outlineLevel="0" collapsed="false">
      <c r="B22" s="9" t="s">
        <v>105</v>
      </c>
      <c r="C22" s="24" t="n">
        <v>554.78</v>
      </c>
      <c r="D22" s="24" t="n">
        <v>554.78</v>
      </c>
    </row>
    <row r="23" customFormat="false" ht="15" hidden="false" customHeight="true" outlineLevel="0" collapsed="false">
      <c r="B23" s="9" t="s">
        <v>106</v>
      </c>
      <c r="C23" s="24" t="n">
        <v>2385.48</v>
      </c>
      <c r="D23" s="24" t="n">
        <v>2385.48</v>
      </c>
    </row>
    <row r="24" customFormat="false" ht="15" hidden="false" customHeight="true" outlineLevel="0" collapsed="false">
      <c r="B24" s="9" t="s">
        <v>107</v>
      </c>
      <c r="C24" s="24" t="n">
        <v>3435.67</v>
      </c>
      <c r="D24" s="24" t="n">
        <v>3435.67</v>
      </c>
    </row>
    <row r="25" customFormat="false" ht="15" hidden="false" customHeight="true" outlineLevel="0" collapsed="false">
      <c r="A25" s="6"/>
      <c r="B25" s="7" t="s">
        <v>108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109</v>
      </c>
      <c r="C26" s="24" t="n">
        <v>14287.74</v>
      </c>
      <c r="G26" s="24" t="n">
        <v>14287.74</v>
      </c>
    </row>
    <row r="27" customFormat="false" ht="15" hidden="false" customHeight="true" outlineLevel="0" collapsed="false">
      <c r="B27" s="9" t="s">
        <v>110</v>
      </c>
      <c r="C27" s="24" t="n">
        <v>9649.9</v>
      </c>
      <c r="G27" s="24" t="n">
        <v>9649.9</v>
      </c>
    </row>
    <row r="28" customFormat="false" ht="15" hidden="false" customHeight="true" outlineLevel="0" collapsed="false">
      <c r="B28" s="9" t="s">
        <v>111</v>
      </c>
      <c r="C28" s="24" t="n">
        <v>10065.83</v>
      </c>
      <c r="G28" s="24" t="n">
        <v>10065.83</v>
      </c>
    </row>
    <row r="29" customFormat="false" ht="15" hidden="false" customHeight="true" outlineLevel="0" collapsed="false">
      <c r="B29" s="9" t="s">
        <v>112</v>
      </c>
      <c r="C29" s="24" t="n">
        <v>5264.8</v>
      </c>
      <c r="G29" s="24" t="n">
        <v>5264.8</v>
      </c>
    </row>
    <row r="30" customFormat="false" ht="15" hidden="false" customHeight="true" outlineLevel="0" collapsed="false">
      <c r="B30" s="9" t="s">
        <v>113</v>
      </c>
      <c r="C30" s="24" t="n">
        <v>12711.3</v>
      </c>
      <c r="G30" s="24" t="n">
        <v>12711.3</v>
      </c>
    </row>
    <row r="31" customFormat="false" ht="15" hidden="false" customHeight="true" outlineLevel="0" collapsed="false">
      <c r="B31" s="9" t="s">
        <v>114</v>
      </c>
      <c r="C31" s="24" t="n">
        <v>5317.82</v>
      </c>
      <c r="G31" s="24" t="n">
        <v>5317.82</v>
      </c>
    </row>
    <row r="32" customFormat="false" ht="15" hidden="false" customHeight="true" outlineLevel="0" collapsed="false">
      <c r="B32" s="9" t="s">
        <v>115</v>
      </c>
      <c r="C32" s="24" t="n">
        <v>6989.18</v>
      </c>
      <c r="G32" s="24" t="n">
        <v>6989.18</v>
      </c>
    </row>
    <row r="33" customFormat="false" ht="15" hidden="false" customHeight="true" outlineLevel="0" collapsed="false">
      <c r="B33" s="9" t="s">
        <v>116</v>
      </c>
      <c r="C33" s="24" t="n">
        <v>4903.35</v>
      </c>
      <c r="G33" s="24" t="n">
        <v>4903.35</v>
      </c>
    </row>
    <row r="34" customFormat="false" ht="15" hidden="false" customHeight="true" outlineLevel="0" collapsed="false">
      <c r="B34" s="9" t="s">
        <v>117</v>
      </c>
      <c r="C34" s="24" t="n">
        <v>4624.69</v>
      </c>
      <c r="G34" s="24" t="n">
        <v>4624.69</v>
      </c>
    </row>
    <row r="35" customFormat="false" ht="15" hidden="false" customHeight="true" outlineLevel="0" collapsed="false">
      <c r="B35" s="9" t="s">
        <v>118</v>
      </c>
      <c r="C35" s="24" t="n">
        <v>14835.75</v>
      </c>
      <c r="G35" s="24" t="n">
        <v>14835.75</v>
      </c>
    </row>
    <row r="36" customFormat="false" ht="15" hidden="false" customHeight="true" outlineLevel="0" collapsed="false">
      <c r="B36" s="9" t="s">
        <v>119</v>
      </c>
      <c r="C36" s="24" t="n">
        <v>5494.23</v>
      </c>
      <c r="G36" s="24" t="n">
        <v>5494.23</v>
      </c>
    </row>
    <row r="37" customFormat="false" ht="15" hidden="false" customHeight="true" outlineLevel="0" collapsed="false">
      <c r="B37" s="9" t="s">
        <v>120</v>
      </c>
      <c r="C37" s="24" t="n">
        <v>966.23</v>
      </c>
      <c r="G37" s="24" t="n">
        <v>966.23</v>
      </c>
    </row>
    <row r="38" customFormat="false" ht="15" hidden="false" customHeight="true" outlineLevel="0" collapsed="false">
      <c r="B38" s="9" t="s">
        <v>121</v>
      </c>
      <c r="C38" s="24" t="n">
        <v>569.85</v>
      </c>
      <c r="G38" s="24" t="n">
        <v>569.85</v>
      </c>
    </row>
    <row r="39" customFormat="false" ht="15" hidden="false" customHeight="true" outlineLevel="0" collapsed="false">
      <c r="B39" s="9" t="s">
        <v>122</v>
      </c>
      <c r="C39" s="24" t="n">
        <v>33823.43</v>
      </c>
      <c r="G39" s="24" t="n">
        <v>33823.43</v>
      </c>
    </row>
    <row r="40" customFormat="false" ht="15" hidden="false" customHeight="true" outlineLevel="0" collapsed="false">
      <c r="B40" s="9" t="s">
        <v>123</v>
      </c>
      <c r="C40" s="24" t="n">
        <v>1557.47</v>
      </c>
      <c r="G40" s="24" t="n">
        <v>1557.47</v>
      </c>
    </row>
    <row r="41" customFormat="false" ht="15" hidden="false" customHeight="true" outlineLevel="0" collapsed="false">
      <c r="B41" s="9" t="s">
        <v>124</v>
      </c>
      <c r="C41" s="24" t="n">
        <v>3135.13</v>
      </c>
      <c r="G41" s="24" t="n">
        <v>3135.13</v>
      </c>
    </row>
    <row r="42" customFormat="false" ht="15" hidden="false" customHeight="true" outlineLevel="0" collapsed="false">
      <c r="A42" s="25"/>
      <c r="B42" s="26" t="s">
        <v>57</v>
      </c>
      <c r="C42" s="27" t="n">
        <f aca="false">SUM(C10:C41)</f>
        <v>158490.55</v>
      </c>
      <c r="D42" s="27" t="n">
        <f aca="false">SUM(D10:D41)</f>
        <v>24293.85</v>
      </c>
      <c r="E42" s="27" t="n">
        <f aca="false">SUM(E10:E41)</f>
        <v>0</v>
      </c>
      <c r="F42" s="27" t="n">
        <f aca="false">SUM(F10:F41)</f>
        <v>0</v>
      </c>
      <c r="G42" s="27" t="n">
        <f aca="false">SUM(G10:G41)</f>
        <v>134196.7</v>
      </c>
      <c r="H42" s="25"/>
    </row>
    <row r="44" customFormat="false" ht="15" hidden="false" customHeight="true" outlineLevel="0" collapsed="false">
      <c r="A44" s="6"/>
      <c r="B44" s="7" t="s">
        <v>58</v>
      </c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true" outlineLevel="0" collapsed="false">
      <c r="B45" s="9" t="s">
        <v>59</v>
      </c>
      <c r="C45" s="24" t="n">
        <v>119699.06</v>
      </c>
      <c r="D45" s="24" t="n">
        <v>18498.54</v>
      </c>
      <c r="G45" s="24" t="n">
        <v>101200.52</v>
      </c>
    </row>
    <row r="46" customFormat="false" ht="15" hidden="false" customHeight="true" outlineLevel="0" collapsed="false">
      <c r="B46" s="9" t="s">
        <v>60</v>
      </c>
      <c r="C46" s="24" t="n">
        <v>13043.42</v>
      </c>
      <c r="D46" s="24" t="n">
        <v>2015.76</v>
      </c>
      <c r="G46" s="24" t="n">
        <v>11027.66</v>
      </c>
    </row>
    <row r="47" customFormat="false" ht="15" hidden="false" customHeight="true" outlineLevel="0" collapsed="false">
      <c r="B47" s="9" t="s">
        <v>61</v>
      </c>
      <c r="C47" s="24" t="n">
        <v>24456.43</v>
      </c>
      <c r="D47" s="24" t="n">
        <v>3779.55</v>
      </c>
      <c r="G47" s="24" t="n">
        <v>20676.88</v>
      </c>
    </row>
    <row r="48" customFormat="false" ht="15" hidden="false" customHeight="true" outlineLevel="0" collapsed="false">
      <c r="A48" s="25"/>
      <c r="B48" s="26" t="s">
        <v>62</v>
      </c>
      <c r="C48" s="27" t="n">
        <f aca="false">SUM(C45:C47)</f>
        <v>157198.91</v>
      </c>
      <c r="D48" s="27" t="n">
        <f aca="false">SUM(D45:D47)</f>
        <v>24293.85</v>
      </c>
      <c r="E48" s="27" t="n">
        <f aca="false">SUM(E45:E47)</f>
        <v>0</v>
      </c>
      <c r="F48" s="27" t="n">
        <f aca="false">SUM(F45:F47)</f>
        <v>0</v>
      </c>
      <c r="G48" s="27" t="n">
        <f aca="false">SUM(G45:G47)</f>
        <v>132905.06</v>
      </c>
      <c r="H48" s="25"/>
    </row>
    <row r="50" customFormat="false" ht="15" hidden="false" customHeight="true" outlineLevel="0" collapsed="false">
      <c r="A50" s="28" t="s">
        <v>63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true" outlineLevel="0" collapsed="false">
      <c r="A51" s="29" t="s">
        <v>24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true" outlineLevel="0" collapsed="false">
      <c r="A52" s="30"/>
      <c r="B52" s="30" t="s">
        <v>64</v>
      </c>
      <c r="C52" s="31" t="s">
        <v>65</v>
      </c>
      <c r="D52" s="31" t="s">
        <v>66</v>
      </c>
      <c r="E52" s="31" t="s">
        <v>67</v>
      </c>
      <c r="F52" s="31" t="s">
        <v>68</v>
      </c>
      <c r="G52" s="31" t="s">
        <v>69</v>
      </c>
      <c r="H52" s="31" t="s">
        <v>70</v>
      </c>
      <c r="I52" s="31" t="s">
        <v>71</v>
      </c>
      <c r="J52" s="31" t="s">
        <v>72</v>
      </c>
    </row>
    <row r="53" customFormat="false" ht="15" hidden="false" customHeight="true" outlineLevel="0" collapsed="false">
      <c r="B53" s="32" t="s">
        <v>73</v>
      </c>
      <c r="C53" s="33" t="n">
        <v>119699.06</v>
      </c>
      <c r="D53" s="33" t="n">
        <v>0</v>
      </c>
      <c r="E53" s="33" t="n">
        <v>0</v>
      </c>
      <c r="F53" s="33" t="n">
        <v>9974.93</v>
      </c>
      <c r="G53" s="33" t="n">
        <v>9974.93</v>
      </c>
      <c r="H53" s="33" t="n">
        <v>109724.13</v>
      </c>
      <c r="I53" s="34" t="s">
        <v>74</v>
      </c>
      <c r="J53" s="35" t="n">
        <v>27.5</v>
      </c>
    </row>
    <row r="54" customFormat="false" ht="15" hidden="false" customHeight="true" outlineLevel="0" collapsed="false">
      <c r="B54" s="14" t="s">
        <v>75</v>
      </c>
      <c r="C54" s="36" t="n">
        <v>13043.42</v>
      </c>
      <c r="D54" s="36" t="n">
        <v>0</v>
      </c>
      <c r="E54" s="36" t="n">
        <v>13043.42</v>
      </c>
      <c r="F54" s="36" t="n">
        <v>13043.42</v>
      </c>
      <c r="G54" s="36" t="n">
        <v>13043.42</v>
      </c>
      <c r="H54" s="36" t="n">
        <v>0</v>
      </c>
      <c r="I54" s="37" t="s">
        <v>76</v>
      </c>
      <c r="J54" s="38" t="n">
        <v>15</v>
      </c>
    </row>
    <row r="55" customFormat="false" ht="15" hidden="false" customHeight="true" outlineLevel="0" collapsed="false">
      <c r="B55" s="32" t="s">
        <v>77</v>
      </c>
      <c r="C55" s="33" t="n">
        <v>24456.43</v>
      </c>
      <c r="D55" s="33" t="n">
        <v>0</v>
      </c>
      <c r="E55" s="33" t="n">
        <v>24456.43</v>
      </c>
      <c r="F55" s="33" t="n">
        <v>24456.43</v>
      </c>
      <c r="G55" s="33" t="n">
        <v>24456.43</v>
      </c>
      <c r="H55" s="33" t="n">
        <v>0</v>
      </c>
      <c r="I55" s="34" t="s">
        <v>78</v>
      </c>
      <c r="J55" s="35" t="n">
        <v>5</v>
      </c>
    </row>
    <row r="56" customFormat="false" ht="15" hidden="false" customHeight="true" outlineLevel="0" collapsed="false">
      <c r="A56" s="39"/>
      <c r="B56" s="40" t="s">
        <v>17</v>
      </c>
      <c r="C56" s="41" t="n">
        <f aca="false">SUM(C53:C55)</f>
        <v>157198.91</v>
      </c>
      <c r="D56" s="41" t="n">
        <f aca="false">SUM(D53:D55)</f>
        <v>0</v>
      </c>
      <c r="E56" s="41" t="n">
        <f aca="false">SUM(E53:E55)</f>
        <v>37499.85</v>
      </c>
      <c r="F56" s="41" t="n">
        <f aca="false">SUM(F53:F55)</f>
        <v>47474.78</v>
      </c>
      <c r="G56" s="41" t="n">
        <f aca="false">SUM(G53:G55)</f>
        <v>47474.78</v>
      </c>
      <c r="H56" s="41" t="n">
        <f aca="false">SUM(H53:H55)</f>
        <v>109724.13</v>
      </c>
      <c r="I56" s="39"/>
      <c r="J56" s="39"/>
    </row>
    <row r="58" customFormat="false" ht="15" hidden="false" customHeight="true" outlineLevel="0" collapsed="false">
      <c r="A58" s="42" t="s">
        <v>79</v>
      </c>
      <c r="B58" s="42"/>
      <c r="C58" s="42"/>
      <c r="D58" s="42"/>
      <c r="E58" s="42"/>
      <c r="F58" s="42"/>
      <c r="G58" s="42"/>
      <c r="H58" s="42"/>
      <c r="I58" s="42"/>
      <c r="J58" s="42"/>
    </row>
    <row r="59" customFormat="false" ht="15" hidden="false" customHeight="true" outlineLevel="0" collapsed="false">
      <c r="A59" s="30"/>
      <c r="B59" s="30" t="s">
        <v>64</v>
      </c>
      <c r="C59" s="31" t="s">
        <v>65</v>
      </c>
      <c r="D59" s="31" t="s">
        <v>66</v>
      </c>
      <c r="E59" s="31" t="s">
        <v>67</v>
      </c>
      <c r="F59" s="31" t="s">
        <v>68</v>
      </c>
      <c r="G59" s="31" t="s">
        <v>69</v>
      </c>
      <c r="H59" s="31" t="s">
        <v>70</v>
      </c>
      <c r="I59" s="31" t="s">
        <v>71</v>
      </c>
      <c r="J59" s="31" t="s">
        <v>72</v>
      </c>
    </row>
    <row r="60" customFormat="false" ht="15" hidden="false" customHeight="true" outlineLevel="0" collapsed="false">
      <c r="B60" s="32" t="s">
        <v>125</v>
      </c>
      <c r="C60" s="33" t="n">
        <v>18498.54</v>
      </c>
      <c r="D60" s="33" t="n">
        <v>0</v>
      </c>
      <c r="E60" s="33" t="n">
        <v>18498.54</v>
      </c>
      <c r="F60" s="33" t="n">
        <v>18498.54</v>
      </c>
      <c r="G60" s="33" t="n">
        <v>0</v>
      </c>
      <c r="H60" s="33" t="n">
        <v>18498.54</v>
      </c>
      <c r="I60" s="34" t="s">
        <v>78</v>
      </c>
      <c r="J60" s="35" t="n">
        <v>5</v>
      </c>
    </row>
    <row r="61" customFormat="false" ht="15" hidden="false" customHeight="true" outlineLevel="0" collapsed="false">
      <c r="B61" s="14" t="s">
        <v>82</v>
      </c>
      <c r="C61" s="36" t="n">
        <v>101200.52</v>
      </c>
      <c r="D61" s="36" t="n">
        <v>0</v>
      </c>
      <c r="E61" s="36" t="n">
        <v>0</v>
      </c>
      <c r="F61" s="36" t="n">
        <v>8433.38</v>
      </c>
      <c r="G61" s="36" t="n">
        <v>3679.65</v>
      </c>
      <c r="H61" s="36" t="n">
        <v>12113.03</v>
      </c>
      <c r="I61" s="37" t="s">
        <v>74</v>
      </c>
      <c r="J61" s="38" t="n">
        <v>27.5</v>
      </c>
    </row>
    <row r="62" customFormat="false" ht="15" hidden="false" customHeight="true" outlineLevel="0" collapsed="false">
      <c r="B62" s="32" t="s">
        <v>126</v>
      </c>
      <c r="C62" s="33" t="n">
        <v>2015.76</v>
      </c>
      <c r="D62" s="33" t="n">
        <v>0</v>
      </c>
      <c r="E62" s="33" t="n">
        <v>2015.76</v>
      </c>
      <c r="F62" s="33" t="n">
        <v>2015.76</v>
      </c>
      <c r="G62" s="33" t="n">
        <v>0</v>
      </c>
      <c r="H62" s="33" t="n">
        <v>2015.76</v>
      </c>
      <c r="I62" s="34" t="s">
        <v>78</v>
      </c>
      <c r="J62" s="35" t="n">
        <v>5</v>
      </c>
    </row>
    <row r="63" customFormat="false" ht="15" hidden="false" customHeight="true" outlineLevel="0" collapsed="false">
      <c r="B63" s="14" t="s">
        <v>85</v>
      </c>
      <c r="C63" s="36" t="n">
        <v>11027.66</v>
      </c>
      <c r="D63" s="36" t="n">
        <v>0</v>
      </c>
      <c r="E63" s="36" t="n">
        <v>0</v>
      </c>
      <c r="F63" s="36" t="n">
        <v>919</v>
      </c>
      <c r="G63" s="36" t="n">
        <v>401.01</v>
      </c>
      <c r="H63" s="36" t="n">
        <v>1320.01</v>
      </c>
      <c r="I63" s="37" t="s">
        <v>74</v>
      </c>
      <c r="J63" s="38" t="n">
        <v>27.5</v>
      </c>
    </row>
    <row r="64" customFormat="false" ht="15" hidden="false" customHeight="true" outlineLevel="0" collapsed="false">
      <c r="B64" s="32" t="s">
        <v>127</v>
      </c>
      <c r="C64" s="33" t="n">
        <v>3779.55</v>
      </c>
      <c r="D64" s="33" t="n">
        <v>0</v>
      </c>
      <c r="E64" s="33" t="n">
        <v>3779.55</v>
      </c>
      <c r="F64" s="33" t="n">
        <v>3779.55</v>
      </c>
      <c r="G64" s="33" t="n">
        <v>0</v>
      </c>
      <c r="H64" s="33" t="n">
        <v>3779.55</v>
      </c>
      <c r="I64" s="34" t="s">
        <v>78</v>
      </c>
      <c r="J64" s="35" t="n">
        <v>5</v>
      </c>
    </row>
    <row r="65" customFormat="false" ht="15" hidden="false" customHeight="true" outlineLevel="0" collapsed="false">
      <c r="B65" s="14" t="s">
        <v>88</v>
      </c>
      <c r="C65" s="36" t="n">
        <v>20676.88</v>
      </c>
      <c r="D65" s="36" t="n">
        <v>0</v>
      </c>
      <c r="E65" s="36" t="n">
        <v>0</v>
      </c>
      <c r="F65" s="36" t="n">
        <v>1723.07</v>
      </c>
      <c r="G65" s="36" t="n">
        <v>751.92</v>
      </c>
      <c r="H65" s="36" t="n">
        <v>2474.99</v>
      </c>
      <c r="I65" s="37" t="s">
        <v>74</v>
      </c>
      <c r="J65" s="38" t="n">
        <v>27.5</v>
      </c>
    </row>
    <row r="66" customFormat="false" ht="15" hidden="false" customHeight="true" outlineLevel="0" collapsed="false">
      <c r="A66" s="39"/>
      <c r="B66" s="40" t="s">
        <v>17</v>
      </c>
      <c r="C66" s="41" t="n">
        <f aca="false">SUM(C60:C65)</f>
        <v>157198.91</v>
      </c>
      <c r="D66" s="41" t="n">
        <f aca="false">SUM(D60:D65)</f>
        <v>0</v>
      </c>
      <c r="E66" s="41" t="n">
        <f aca="false">SUM(E60:E65)</f>
        <v>24293.85</v>
      </c>
      <c r="F66" s="41" t="n">
        <f aca="false">SUM(F60:F65)</f>
        <v>35369.3</v>
      </c>
      <c r="G66" s="41" t="n">
        <f aca="false">SUM(G60:G65)</f>
        <v>4832.58</v>
      </c>
      <c r="H66" s="41" t="n">
        <f aca="false">SUM(H60:H65)</f>
        <v>40201.88</v>
      </c>
      <c r="I66" s="39"/>
      <c r="J66" s="39"/>
    </row>
    <row r="68" customFormat="false" ht="15" hidden="false" customHeight="true" outlineLevel="0" collapsed="false">
      <c r="A68" s="28" t="s">
        <v>26</v>
      </c>
      <c r="B68" s="28"/>
      <c r="C68" s="28"/>
      <c r="D68" s="28"/>
      <c r="E68" s="28"/>
    </row>
    <row r="69" customFormat="false" ht="15" hidden="false" customHeight="true" outlineLevel="0" collapsed="false">
      <c r="B69" s="14" t="s">
        <v>89</v>
      </c>
      <c r="C69" s="43" t="n">
        <f aca="false">G56</f>
        <v>47474.78</v>
      </c>
    </row>
    <row r="70" customFormat="false" ht="15" hidden="false" customHeight="true" outlineLevel="0" collapsed="false">
      <c r="B70" s="14" t="s">
        <v>90</v>
      </c>
      <c r="C70" s="43" t="n">
        <f aca="false">G66</f>
        <v>4832.58</v>
      </c>
    </row>
    <row r="71" customFormat="false" ht="15" hidden="false" customHeight="true" outlineLevel="0" collapsed="false">
      <c r="B71" s="17" t="s">
        <v>26</v>
      </c>
      <c r="C71" s="44" t="n">
        <f aca="false">C70-C69</f>
        <v>-42642.2</v>
      </c>
    </row>
  </sheetData>
  <mergeCells count="11">
    <mergeCell ref="A2:J2"/>
    <mergeCell ref="A3:J3"/>
    <mergeCell ref="A4:J4"/>
    <mergeCell ref="A8:J8"/>
    <mergeCell ref="B10:J10"/>
    <mergeCell ref="B25:J25"/>
    <mergeCell ref="B44:J44"/>
    <mergeCell ref="A50:J50"/>
    <mergeCell ref="A51:J51"/>
    <mergeCell ref="A58:J58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128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129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26757.81</v>
      </c>
      <c r="D11" s="24" t="n">
        <v>26757.81</v>
      </c>
    </row>
    <row r="12" customFormat="false" ht="15" hidden="false" customHeight="true" outlineLevel="0" collapsed="false">
      <c r="B12" s="9" t="s">
        <v>95</v>
      </c>
      <c r="C12" s="24" t="n">
        <v>7990.89</v>
      </c>
      <c r="D12" s="24" t="n">
        <v>7990.89</v>
      </c>
    </row>
    <row r="13" customFormat="false" ht="15" hidden="false" customHeight="true" outlineLevel="0" collapsed="false">
      <c r="B13" s="9" t="s">
        <v>97</v>
      </c>
      <c r="C13" s="24" t="n">
        <v>37800.94</v>
      </c>
      <c r="D13" s="24" t="n">
        <v>37800.94</v>
      </c>
    </row>
    <row r="14" customFormat="false" ht="15" hidden="false" customHeight="true" outlineLevel="0" collapsed="false">
      <c r="B14" s="9" t="s">
        <v>130</v>
      </c>
      <c r="C14" s="24" t="n">
        <v>2842.52</v>
      </c>
      <c r="D14" s="24" t="n">
        <v>2842.52</v>
      </c>
    </row>
    <row r="15" customFormat="false" ht="15" hidden="false" customHeight="true" outlineLevel="0" collapsed="false">
      <c r="B15" s="9" t="s">
        <v>99</v>
      </c>
      <c r="C15" s="24" t="n">
        <v>2418.44</v>
      </c>
      <c r="D15" s="24" t="n">
        <v>2418.44</v>
      </c>
    </row>
    <row r="16" customFormat="false" ht="15" hidden="false" customHeight="true" outlineLevel="0" collapsed="false">
      <c r="B16" s="9" t="s">
        <v>100</v>
      </c>
      <c r="C16" s="24" t="n">
        <v>718.3</v>
      </c>
      <c r="D16" s="24" t="n">
        <v>718.3</v>
      </c>
    </row>
    <row r="17" customFormat="false" ht="15" hidden="false" customHeight="true" outlineLevel="0" collapsed="false">
      <c r="B17" s="9" t="s">
        <v>101</v>
      </c>
      <c r="C17" s="24" t="n">
        <v>705.03</v>
      </c>
      <c r="D17" s="24" t="n">
        <v>705.03</v>
      </c>
    </row>
    <row r="18" customFormat="false" ht="15" hidden="false" customHeight="true" outlineLevel="0" collapsed="false">
      <c r="B18" s="9" t="s">
        <v>102</v>
      </c>
      <c r="C18" s="24" t="n">
        <v>12363.8</v>
      </c>
      <c r="D18" s="24" t="n">
        <v>12363.8</v>
      </c>
    </row>
    <row r="19" customFormat="false" ht="15" hidden="false" customHeight="true" outlineLevel="0" collapsed="false">
      <c r="B19" s="9" t="s">
        <v>103</v>
      </c>
      <c r="C19" s="24" t="n">
        <v>3400.77</v>
      </c>
      <c r="D19" s="24" t="n">
        <v>3400.77</v>
      </c>
    </row>
    <row r="20" customFormat="false" ht="15" hidden="false" customHeight="true" outlineLevel="0" collapsed="false">
      <c r="B20" s="9" t="s">
        <v>131</v>
      </c>
      <c r="C20" s="24" t="n">
        <v>13431.92</v>
      </c>
      <c r="D20" s="24" t="n">
        <v>13431.92</v>
      </c>
    </row>
    <row r="21" customFormat="false" ht="15" hidden="false" customHeight="true" outlineLevel="0" collapsed="false">
      <c r="B21" s="9" t="s">
        <v>105</v>
      </c>
      <c r="C21" s="24" t="n">
        <v>1140.5</v>
      </c>
      <c r="D21" s="24" t="n">
        <v>1140.5</v>
      </c>
    </row>
    <row r="22" customFormat="false" ht="15" hidden="false" customHeight="true" outlineLevel="0" collapsed="false">
      <c r="B22" s="9" t="s">
        <v>132</v>
      </c>
      <c r="C22" s="24" t="n">
        <v>1360.86</v>
      </c>
      <c r="D22" s="24" t="n">
        <v>1360.86</v>
      </c>
    </row>
    <row r="23" customFormat="false" ht="15" hidden="false" customHeight="true" outlineLevel="0" collapsed="false">
      <c r="B23" s="9" t="s">
        <v>107</v>
      </c>
      <c r="C23" s="24" t="n">
        <v>14831.54</v>
      </c>
      <c r="D23" s="24" t="n">
        <v>14831.54</v>
      </c>
    </row>
    <row r="24" customFormat="false" ht="15" hidden="false" customHeight="true" outlineLevel="0" collapsed="false">
      <c r="A24" s="6"/>
      <c r="B24" s="7" t="s">
        <v>108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B25" s="9" t="s">
        <v>109</v>
      </c>
      <c r="C25" s="24" t="n">
        <v>25110.72</v>
      </c>
      <c r="G25" s="24" t="n">
        <v>25110.72</v>
      </c>
    </row>
    <row r="26" customFormat="false" ht="15" hidden="false" customHeight="true" outlineLevel="0" collapsed="false">
      <c r="B26" s="9" t="s">
        <v>110</v>
      </c>
      <c r="C26" s="24" t="n">
        <v>35390.34</v>
      </c>
      <c r="G26" s="24" t="n">
        <v>35390.34</v>
      </c>
    </row>
    <row r="27" customFormat="false" ht="15" hidden="false" customHeight="true" outlineLevel="0" collapsed="false">
      <c r="B27" s="9" t="s">
        <v>111</v>
      </c>
      <c r="C27" s="24" t="n">
        <v>29008.33</v>
      </c>
      <c r="G27" s="24" t="n">
        <v>29008.33</v>
      </c>
    </row>
    <row r="28" customFormat="false" ht="15" hidden="false" customHeight="true" outlineLevel="0" collapsed="false">
      <c r="B28" s="9" t="s">
        <v>112</v>
      </c>
      <c r="C28" s="24" t="n">
        <v>31389.04</v>
      </c>
      <c r="G28" s="24" t="n">
        <v>31389.04</v>
      </c>
    </row>
    <row r="29" customFormat="false" ht="15" hidden="false" customHeight="true" outlineLevel="0" collapsed="false">
      <c r="B29" s="9" t="s">
        <v>113</v>
      </c>
      <c r="C29" s="24" t="n">
        <v>26496.62</v>
      </c>
      <c r="G29" s="24" t="n">
        <v>26496.62</v>
      </c>
    </row>
    <row r="30" customFormat="false" ht="15" hidden="false" customHeight="true" outlineLevel="0" collapsed="false">
      <c r="B30" s="9" t="s">
        <v>114</v>
      </c>
      <c r="C30" s="24" t="n">
        <v>12009.05</v>
      </c>
      <c r="G30" s="24" t="n">
        <v>12009.05</v>
      </c>
    </row>
    <row r="31" customFormat="false" ht="15" hidden="false" customHeight="true" outlineLevel="0" collapsed="false">
      <c r="B31" s="9" t="s">
        <v>115</v>
      </c>
      <c r="C31" s="24" t="n">
        <v>23153.47</v>
      </c>
      <c r="G31" s="24" t="n">
        <v>23153.47</v>
      </c>
    </row>
    <row r="32" customFormat="false" ht="15" hidden="false" customHeight="true" outlineLevel="0" collapsed="false">
      <c r="B32" s="9" t="s">
        <v>116</v>
      </c>
      <c r="C32" s="24" t="n">
        <v>10659.46</v>
      </c>
      <c r="G32" s="24" t="n">
        <v>10659.46</v>
      </c>
    </row>
    <row r="33" customFormat="false" ht="15" hidden="false" customHeight="true" outlineLevel="0" collapsed="false">
      <c r="B33" s="9" t="s">
        <v>117</v>
      </c>
      <c r="C33" s="24" t="n">
        <v>16835.06</v>
      </c>
      <c r="G33" s="24" t="n">
        <v>16835.06</v>
      </c>
    </row>
    <row r="34" customFormat="false" ht="15" hidden="false" customHeight="true" outlineLevel="0" collapsed="false">
      <c r="B34" s="9" t="s">
        <v>118</v>
      </c>
      <c r="C34" s="24" t="n">
        <v>39604.25</v>
      </c>
      <c r="G34" s="24" t="n">
        <v>39604.25</v>
      </c>
    </row>
    <row r="35" customFormat="false" ht="15" hidden="false" customHeight="true" outlineLevel="0" collapsed="false">
      <c r="B35" s="9" t="s">
        <v>119</v>
      </c>
      <c r="C35" s="24" t="n">
        <v>16001</v>
      </c>
      <c r="G35" s="24" t="n">
        <v>16001</v>
      </c>
    </row>
    <row r="36" customFormat="false" ht="15" hidden="false" customHeight="true" outlineLevel="0" collapsed="false">
      <c r="B36" s="9" t="s">
        <v>120</v>
      </c>
      <c r="C36" s="24" t="n">
        <v>1863.69</v>
      </c>
      <c r="G36" s="24" t="n">
        <v>1863.69</v>
      </c>
    </row>
    <row r="37" customFormat="false" ht="15" hidden="false" customHeight="true" outlineLevel="0" collapsed="false">
      <c r="B37" s="9" t="s">
        <v>122</v>
      </c>
      <c r="C37" s="24" t="n">
        <v>82713.76</v>
      </c>
      <c r="G37" s="24" t="n">
        <v>82713.76</v>
      </c>
    </row>
    <row r="38" customFormat="false" ht="15" hidden="false" customHeight="true" outlineLevel="0" collapsed="false">
      <c r="B38" s="9" t="s">
        <v>133</v>
      </c>
      <c r="C38" s="24" t="n">
        <v>10815.9</v>
      </c>
      <c r="G38" s="24" t="n">
        <v>10815.9</v>
      </c>
    </row>
    <row r="39" customFormat="false" ht="15" hidden="false" customHeight="true" outlineLevel="0" collapsed="false">
      <c r="B39" s="9" t="s">
        <v>123</v>
      </c>
      <c r="C39" s="24" t="n">
        <v>9740.22</v>
      </c>
      <c r="G39" s="24" t="n">
        <v>9740.22</v>
      </c>
    </row>
    <row r="40" customFormat="false" ht="15" hidden="false" customHeight="true" outlineLevel="0" collapsed="false">
      <c r="B40" s="9" t="s">
        <v>134</v>
      </c>
      <c r="C40" s="24" t="n">
        <v>6970.48</v>
      </c>
      <c r="G40" s="24" t="n">
        <v>6970.48</v>
      </c>
    </row>
    <row r="41" customFormat="false" ht="15" hidden="false" customHeight="true" outlineLevel="0" collapsed="false">
      <c r="A41" s="25"/>
      <c r="B41" s="26" t="s">
        <v>57</v>
      </c>
      <c r="C41" s="27" t="n">
        <f aca="false">SUM(C10:C40)</f>
        <v>503524.71</v>
      </c>
      <c r="D41" s="27" t="n">
        <f aca="false">SUM(D10:D40)</f>
        <v>125763.32</v>
      </c>
      <c r="E41" s="27" t="n">
        <f aca="false">SUM(E10:E40)</f>
        <v>0</v>
      </c>
      <c r="F41" s="27" t="n">
        <f aca="false">SUM(F10:F40)</f>
        <v>0</v>
      </c>
      <c r="G41" s="27" t="n">
        <f aca="false">SUM(G10:G40)</f>
        <v>377761.39</v>
      </c>
      <c r="H41" s="25"/>
    </row>
    <row r="43" customFormat="false" ht="15" hidden="false" customHeight="true" outlineLevel="0" collapsed="false">
      <c r="A43" s="6"/>
      <c r="B43" s="7" t="s">
        <v>58</v>
      </c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true" outlineLevel="0" collapsed="false">
      <c r="B44" s="9" t="s">
        <v>59</v>
      </c>
      <c r="C44" s="24" t="n">
        <v>383408.73</v>
      </c>
      <c r="D44" s="24" t="n">
        <v>95762.44</v>
      </c>
      <c r="G44" s="24" t="n">
        <v>287646.29</v>
      </c>
    </row>
    <row r="45" customFormat="false" ht="15" hidden="false" customHeight="true" outlineLevel="0" collapsed="false">
      <c r="B45" s="9" t="s">
        <v>60</v>
      </c>
      <c r="C45" s="24" t="n">
        <v>41779.44</v>
      </c>
      <c r="D45" s="24" t="n">
        <v>10435.08</v>
      </c>
      <c r="G45" s="24" t="n">
        <v>31344.36</v>
      </c>
    </row>
    <row r="46" customFormat="false" ht="15" hidden="false" customHeight="true" outlineLevel="0" collapsed="false">
      <c r="B46" s="9" t="s">
        <v>61</v>
      </c>
      <c r="C46" s="24" t="n">
        <v>78336.54</v>
      </c>
      <c r="D46" s="24" t="n">
        <v>19565.8</v>
      </c>
      <c r="G46" s="24" t="n">
        <v>58770.74</v>
      </c>
    </row>
    <row r="47" customFormat="false" ht="15" hidden="false" customHeight="true" outlineLevel="0" collapsed="false">
      <c r="A47" s="25"/>
      <c r="B47" s="26" t="s">
        <v>62</v>
      </c>
      <c r="C47" s="27" t="n">
        <f aca="false">SUM(C44:C46)</f>
        <v>503524.71</v>
      </c>
      <c r="D47" s="27" t="n">
        <f aca="false">SUM(D44:D46)</f>
        <v>125763.32</v>
      </c>
      <c r="E47" s="27" t="n">
        <f aca="false">SUM(E44:E46)</f>
        <v>0</v>
      </c>
      <c r="F47" s="27" t="n">
        <f aca="false">SUM(F44:F46)</f>
        <v>0</v>
      </c>
      <c r="G47" s="27" t="n">
        <f aca="false">SUM(G44:G46)</f>
        <v>377761.39</v>
      </c>
      <c r="H47" s="25"/>
    </row>
    <row r="49" customFormat="false" ht="15" hidden="false" customHeight="true" outlineLevel="0" collapsed="false">
      <c r="A49" s="28" t="s">
        <v>63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true" outlineLevel="0" collapsed="false">
      <c r="A50" s="29" t="s">
        <v>24</v>
      </c>
      <c r="B50" s="29"/>
      <c r="C50" s="29"/>
      <c r="D50" s="29"/>
      <c r="E50" s="29"/>
      <c r="F50" s="29"/>
      <c r="G50" s="29"/>
      <c r="H50" s="29"/>
      <c r="I50" s="29"/>
      <c r="J50" s="29"/>
    </row>
    <row r="51" customFormat="false" ht="15" hidden="false" customHeight="true" outlineLevel="0" collapsed="false">
      <c r="A51" s="30"/>
      <c r="B51" s="30" t="s">
        <v>64</v>
      </c>
      <c r="C51" s="31" t="s">
        <v>65</v>
      </c>
      <c r="D51" s="31" t="s">
        <v>66</v>
      </c>
      <c r="E51" s="31" t="s">
        <v>67</v>
      </c>
      <c r="F51" s="31" t="s">
        <v>68</v>
      </c>
      <c r="G51" s="31" t="s">
        <v>69</v>
      </c>
      <c r="H51" s="31" t="s">
        <v>70</v>
      </c>
      <c r="I51" s="31" t="s">
        <v>71</v>
      </c>
      <c r="J51" s="31" t="s">
        <v>72</v>
      </c>
    </row>
    <row r="52" customFormat="false" ht="15" hidden="false" customHeight="true" outlineLevel="0" collapsed="false">
      <c r="B52" s="32" t="s">
        <v>73</v>
      </c>
      <c r="C52" s="33" t="n">
        <v>383408.73</v>
      </c>
      <c r="D52" s="33" t="n">
        <v>0</v>
      </c>
      <c r="E52" s="33" t="n">
        <v>0</v>
      </c>
      <c r="F52" s="33" t="n">
        <v>31950.77</v>
      </c>
      <c r="G52" s="33" t="n">
        <v>31950.77</v>
      </c>
      <c r="H52" s="33" t="n">
        <v>45892.94</v>
      </c>
      <c r="I52" s="34" t="s">
        <v>74</v>
      </c>
      <c r="J52" s="35" t="n">
        <v>27.5</v>
      </c>
    </row>
    <row r="53" customFormat="false" ht="15" hidden="false" customHeight="true" outlineLevel="0" collapsed="false">
      <c r="B53" s="14" t="s">
        <v>75</v>
      </c>
      <c r="C53" s="36" t="n">
        <v>41779.44</v>
      </c>
      <c r="D53" s="36" t="n">
        <v>0</v>
      </c>
      <c r="E53" s="36" t="n">
        <v>41779.44</v>
      </c>
      <c r="F53" s="36" t="n">
        <v>41779.44</v>
      </c>
      <c r="G53" s="36" t="n">
        <v>41779.44</v>
      </c>
      <c r="H53" s="36" t="n">
        <v>0</v>
      </c>
      <c r="I53" s="37" t="s">
        <v>76</v>
      </c>
      <c r="J53" s="38" t="n">
        <v>15</v>
      </c>
    </row>
    <row r="54" customFormat="false" ht="15" hidden="false" customHeight="true" outlineLevel="0" collapsed="false">
      <c r="B54" s="32" t="s">
        <v>77</v>
      </c>
      <c r="C54" s="33" t="n">
        <v>78336.54</v>
      </c>
      <c r="D54" s="33" t="n">
        <v>0</v>
      </c>
      <c r="E54" s="33" t="n">
        <v>78336.54</v>
      </c>
      <c r="F54" s="33" t="n">
        <v>78336.54</v>
      </c>
      <c r="G54" s="33" t="n">
        <v>78336.54</v>
      </c>
      <c r="H54" s="33" t="n">
        <v>0</v>
      </c>
      <c r="I54" s="34" t="s">
        <v>78</v>
      </c>
      <c r="J54" s="35" t="n">
        <v>5</v>
      </c>
    </row>
    <row r="55" customFormat="false" ht="15" hidden="false" customHeight="true" outlineLevel="0" collapsed="false">
      <c r="A55" s="39"/>
      <c r="B55" s="40" t="s">
        <v>17</v>
      </c>
      <c r="C55" s="41" t="n">
        <f aca="false">SUM(C52:C54)</f>
        <v>503524.71</v>
      </c>
      <c r="D55" s="41" t="n">
        <f aca="false">SUM(D52:D54)</f>
        <v>0</v>
      </c>
      <c r="E55" s="41" t="n">
        <f aca="false">SUM(E52:E54)</f>
        <v>120115.98</v>
      </c>
      <c r="F55" s="41" t="n">
        <f aca="false">SUM(F52:F54)</f>
        <v>152066.75</v>
      </c>
      <c r="G55" s="41" t="n">
        <f aca="false">SUM(G52:G54)</f>
        <v>152066.75</v>
      </c>
      <c r="H55" s="41" t="n">
        <f aca="false">SUM(H52:H54)</f>
        <v>45892.94</v>
      </c>
      <c r="I55" s="39"/>
      <c r="J55" s="39"/>
    </row>
    <row r="57" customFormat="false" ht="15" hidden="false" customHeight="true" outlineLevel="0" collapsed="false">
      <c r="A57" s="42" t="s">
        <v>79</v>
      </c>
      <c r="B57" s="42"/>
      <c r="C57" s="42"/>
      <c r="D57" s="42"/>
      <c r="E57" s="42"/>
      <c r="F57" s="42"/>
      <c r="G57" s="42"/>
      <c r="H57" s="42"/>
      <c r="I57" s="42"/>
      <c r="J57" s="42"/>
    </row>
    <row r="58" customFormat="false" ht="15" hidden="false" customHeight="true" outlineLevel="0" collapsed="false">
      <c r="A58" s="30"/>
      <c r="B58" s="30" t="s">
        <v>64</v>
      </c>
      <c r="C58" s="31" t="s">
        <v>65</v>
      </c>
      <c r="D58" s="31" t="s">
        <v>66</v>
      </c>
      <c r="E58" s="31" t="s">
        <v>67</v>
      </c>
      <c r="F58" s="31" t="s">
        <v>68</v>
      </c>
      <c r="G58" s="31" t="s">
        <v>69</v>
      </c>
      <c r="H58" s="31" t="s">
        <v>70</v>
      </c>
      <c r="I58" s="31" t="s">
        <v>71</v>
      </c>
      <c r="J58" s="31" t="s">
        <v>72</v>
      </c>
    </row>
    <row r="59" customFormat="false" ht="15" hidden="false" customHeight="true" outlineLevel="0" collapsed="false">
      <c r="B59" s="32" t="s">
        <v>125</v>
      </c>
      <c r="C59" s="33" t="n">
        <v>95762.44</v>
      </c>
      <c r="D59" s="33" t="n">
        <v>0</v>
      </c>
      <c r="E59" s="33" t="n">
        <v>95762.44</v>
      </c>
      <c r="F59" s="33" t="n">
        <v>95762.44</v>
      </c>
      <c r="G59" s="33" t="n">
        <v>0</v>
      </c>
      <c r="H59" s="33" t="n">
        <v>95762.44</v>
      </c>
      <c r="I59" s="34" t="s">
        <v>78</v>
      </c>
      <c r="J59" s="35" t="n">
        <v>5</v>
      </c>
    </row>
    <row r="60" customFormat="false" ht="15" hidden="false" customHeight="true" outlineLevel="0" collapsed="false">
      <c r="B60" s="14" t="s">
        <v>82</v>
      </c>
      <c r="C60" s="36" t="n">
        <v>287646.29</v>
      </c>
      <c r="D60" s="36" t="n">
        <v>0</v>
      </c>
      <c r="E60" s="36" t="n">
        <v>0</v>
      </c>
      <c r="F60" s="36" t="n">
        <v>23970.53</v>
      </c>
      <c r="G60" s="36" t="n">
        <v>10459.87</v>
      </c>
      <c r="H60" s="36" t="n">
        <v>34430.4</v>
      </c>
      <c r="I60" s="37" t="s">
        <v>74</v>
      </c>
      <c r="J60" s="38" t="n">
        <v>27.5</v>
      </c>
    </row>
    <row r="61" customFormat="false" ht="15" hidden="false" customHeight="true" outlineLevel="0" collapsed="false">
      <c r="B61" s="32" t="s">
        <v>126</v>
      </c>
      <c r="C61" s="33" t="n">
        <v>10435.08</v>
      </c>
      <c r="D61" s="33" t="n">
        <v>0</v>
      </c>
      <c r="E61" s="33" t="n">
        <v>10435.08</v>
      </c>
      <c r="F61" s="33" t="n">
        <v>10435.08</v>
      </c>
      <c r="G61" s="33" t="n">
        <v>0</v>
      </c>
      <c r="H61" s="33" t="n">
        <v>10435.08</v>
      </c>
      <c r="I61" s="34" t="s">
        <v>78</v>
      </c>
      <c r="J61" s="35" t="n">
        <v>5</v>
      </c>
    </row>
    <row r="62" customFormat="false" ht="15" hidden="false" customHeight="true" outlineLevel="0" collapsed="false">
      <c r="B62" s="14" t="s">
        <v>85</v>
      </c>
      <c r="C62" s="36" t="n">
        <v>31344.36</v>
      </c>
      <c r="D62" s="36" t="n">
        <v>0</v>
      </c>
      <c r="E62" s="36" t="n">
        <v>0</v>
      </c>
      <c r="F62" s="36" t="n">
        <v>2612.02</v>
      </c>
      <c r="G62" s="36" t="n">
        <v>1139.79</v>
      </c>
      <c r="H62" s="36" t="n">
        <v>3751.81</v>
      </c>
      <c r="I62" s="37" t="s">
        <v>74</v>
      </c>
      <c r="J62" s="38" t="n">
        <v>27.5</v>
      </c>
    </row>
    <row r="63" customFormat="false" ht="15" hidden="false" customHeight="true" outlineLevel="0" collapsed="false">
      <c r="B63" s="32" t="s">
        <v>127</v>
      </c>
      <c r="C63" s="33" t="n">
        <v>19565.8</v>
      </c>
      <c r="D63" s="33" t="n">
        <v>0</v>
      </c>
      <c r="E63" s="33" t="n">
        <v>19565.8</v>
      </c>
      <c r="F63" s="33" t="n">
        <v>19565.8</v>
      </c>
      <c r="G63" s="33" t="n">
        <v>0</v>
      </c>
      <c r="H63" s="33" t="n">
        <v>19565.8</v>
      </c>
      <c r="I63" s="34" t="s">
        <v>78</v>
      </c>
      <c r="J63" s="35" t="n">
        <v>5</v>
      </c>
    </row>
    <row r="64" customFormat="false" ht="15" hidden="false" customHeight="true" outlineLevel="0" collapsed="false">
      <c r="B64" s="14" t="s">
        <v>88</v>
      </c>
      <c r="C64" s="36" t="n">
        <v>58770.74</v>
      </c>
      <c r="D64" s="36" t="n">
        <v>0</v>
      </c>
      <c r="E64" s="36" t="n">
        <v>0</v>
      </c>
      <c r="F64" s="36" t="n">
        <v>4897.57</v>
      </c>
      <c r="G64" s="36" t="n">
        <v>2137.12</v>
      </c>
      <c r="H64" s="36" t="n">
        <v>7034.69</v>
      </c>
      <c r="I64" s="37" t="s">
        <v>74</v>
      </c>
      <c r="J64" s="38" t="n">
        <v>27.5</v>
      </c>
    </row>
    <row r="65" customFormat="false" ht="15" hidden="false" customHeight="true" outlineLevel="0" collapsed="false">
      <c r="A65" s="39"/>
      <c r="B65" s="40" t="s">
        <v>17</v>
      </c>
      <c r="C65" s="41" t="n">
        <f aca="false">SUM(C59:C64)</f>
        <v>503524.71</v>
      </c>
      <c r="D65" s="41" t="n">
        <f aca="false">SUM(D59:D64)</f>
        <v>0</v>
      </c>
      <c r="E65" s="41" t="n">
        <f aca="false">SUM(E59:E64)</f>
        <v>125763.32</v>
      </c>
      <c r="F65" s="41" t="n">
        <f aca="false">SUM(F59:F64)</f>
        <v>157243.44</v>
      </c>
      <c r="G65" s="41" t="n">
        <f aca="false">SUM(G59:G64)</f>
        <v>13736.78</v>
      </c>
      <c r="H65" s="41" t="n">
        <f aca="false">SUM(H59:H64)</f>
        <v>170980.22</v>
      </c>
      <c r="I65" s="39"/>
      <c r="J65" s="39"/>
    </row>
    <row r="67" customFormat="false" ht="15" hidden="false" customHeight="true" outlineLevel="0" collapsed="false">
      <c r="A67" s="28" t="s">
        <v>26</v>
      </c>
      <c r="B67" s="28"/>
      <c r="C67" s="28"/>
      <c r="D67" s="28"/>
      <c r="E67" s="28"/>
    </row>
    <row r="68" customFormat="false" ht="15" hidden="false" customHeight="true" outlineLevel="0" collapsed="false">
      <c r="B68" s="14" t="s">
        <v>89</v>
      </c>
      <c r="C68" s="43" t="n">
        <f aca="false">G55</f>
        <v>152066.75</v>
      </c>
    </row>
    <row r="69" customFormat="false" ht="15" hidden="false" customHeight="true" outlineLevel="0" collapsed="false">
      <c r="B69" s="14" t="s">
        <v>90</v>
      </c>
      <c r="C69" s="43" t="n">
        <f aca="false">G65</f>
        <v>13736.78</v>
      </c>
    </row>
    <row r="70" customFormat="false" ht="15" hidden="false" customHeight="true" outlineLevel="0" collapsed="false">
      <c r="B70" s="17" t="s">
        <v>26</v>
      </c>
      <c r="C70" s="44" t="n">
        <f aca="false">C69-C68</f>
        <v>-138329.97</v>
      </c>
    </row>
  </sheetData>
  <mergeCells count="11">
    <mergeCell ref="A2:J2"/>
    <mergeCell ref="A3:J3"/>
    <mergeCell ref="A4:J4"/>
    <mergeCell ref="A8:J8"/>
    <mergeCell ref="B10:J10"/>
    <mergeCell ref="B24:J24"/>
    <mergeCell ref="B43:J43"/>
    <mergeCell ref="A49:J49"/>
    <mergeCell ref="A50:J50"/>
    <mergeCell ref="A57:J57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135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136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26445.19</v>
      </c>
      <c r="D11" s="24" t="n">
        <v>26445.19</v>
      </c>
    </row>
    <row r="12" customFormat="false" ht="15" hidden="false" customHeight="true" outlineLevel="0" collapsed="false">
      <c r="B12" s="9" t="s">
        <v>95</v>
      </c>
      <c r="C12" s="24" t="n">
        <v>4635.69</v>
      </c>
      <c r="D12" s="24" t="n">
        <v>4635.69</v>
      </c>
    </row>
    <row r="13" customFormat="false" ht="15" hidden="false" customHeight="true" outlineLevel="0" collapsed="false">
      <c r="B13" s="9" t="s">
        <v>96</v>
      </c>
      <c r="C13" s="24" t="n">
        <v>9118.09</v>
      </c>
      <c r="D13" s="24" t="n">
        <v>9118.09</v>
      </c>
    </row>
    <row r="14" customFormat="false" ht="15" hidden="false" customHeight="true" outlineLevel="0" collapsed="false">
      <c r="B14" s="9" t="s">
        <v>97</v>
      </c>
      <c r="C14" s="24" t="n">
        <v>17166.07</v>
      </c>
      <c r="D14" s="24" t="n">
        <v>17166.07</v>
      </c>
    </row>
    <row r="15" customFormat="false" ht="15" hidden="false" customHeight="true" outlineLevel="0" collapsed="false">
      <c r="B15" s="9" t="s">
        <v>130</v>
      </c>
      <c r="C15" s="24" t="n">
        <v>2842.52</v>
      </c>
      <c r="D15" s="24" t="n">
        <v>2842.52</v>
      </c>
    </row>
    <row r="16" customFormat="false" ht="15" hidden="false" customHeight="true" outlineLevel="0" collapsed="false">
      <c r="B16" s="9" t="s">
        <v>99</v>
      </c>
      <c r="C16" s="24" t="n">
        <v>2418.44</v>
      </c>
      <c r="D16" s="24" t="n">
        <v>2418.44</v>
      </c>
    </row>
    <row r="17" customFormat="false" ht="15" hidden="false" customHeight="true" outlineLevel="0" collapsed="false">
      <c r="B17" s="9" t="s">
        <v>100</v>
      </c>
      <c r="C17" s="24" t="n">
        <v>718.3</v>
      </c>
      <c r="D17" s="24" t="n">
        <v>718.3</v>
      </c>
    </row>
    <row r="18" customFormat="false" ht="15" hidden="false" customHeight="true" outlineLevel="0" collapsed="false">
      <c r="B18" s="9" t="s">
        <v>101</v>
      </c>
      <c r="C18" s="24" t="n">
        <v>705.03</v>
      </c>
      <c r="D18" s="24" t="n">
        <v>705.03</v>
      </c>
    </row>
    <row r="19" customFormat="false" ht="15" hidden="false" customHeight="true" outlineLevel="0" collapsed="false">
      <c r="B19" s="9" t="s">
        <v>102</v>
      </c>
      <c r="C19" s="24" t="n">
        <v>12363.8</v>
      </c>
      <c r="D19" s="24" t="n">
        <v>12363.8</v>
      </c>
    </row>
    <row r="20" customFormat="false" ht="15" hidden="false" customHeight="true" outlineLevel="0" collapsed="false">
      <c r="B20" s="9" t="s">
        <v>103</v>
      </c>
      <c r="C20" s="24" t="n">
        <v>2600.58</v>
      </c>
      <c r="D20" s="24" t="n">
        <v>2600.58</v>
      </c>
    </row>
    <row r="21" customFormat="false" ht="15" hidden="false" customHeight="true" outlineLevel="0" collapsed="false">
      <c r="B21" s="9" t="s">
        <v>131</v>
      </c>
      <c r="C21" s="24" t="n">
        <v>13431.92</v>
      </c>
      <c r="D21" s="24" t="n">
        <v>13431.92</v>
      </c>
    </row>
    <row r="22" customFormat="false" ht="15" hidden="false" customHeight="true" outlineLevel="0" collapsed="false">
      <c r="B22" s="9" t="s">
        <v>105</v>
      </c>
      <c r="C22" s="24" t="n">
        <v>1140.5</v>
      </c>
      <c r="D22" s="24" t="n">
        <v>1140.5</v>
      </c>
    </row>
    <row r="23" customFormat="false" ht="15" hidden="false" customHeight="true" outlineLevel="0" collapsed="false">
      <c r="B23" s="9" t="s">
        <v>132</v>
      </c>
      <c r="C23" s="24" t="n">
        <v>1360.86</v>
      </c>
      <c r="D23" s="24" t="n">
        <v>1360.86</v>
      </c>
    </row>
    <row r="24" customFormat="false" ht="15" hidden="false" customHeight="true" outlineLevel="0" collapsed="false">
      <c r="B24" s="9" t="s">
        <v>107</v>
      </c>
      <c r="C24" s="24" t="n">
        <v>14831.54</v>
      </c>
      <c r="D24" s="24" t="n">
        <v>14831.54</v>
      </c>
    </row>
    <row r="25" customFormat="false" ht="15" hidden="false" customHeight="true" outlineLevel="0" collapsed="false">
      <c r="A25" s="6"/>
      <c r="B25" s="7" t="s">
        <v>108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109</v>
      </c>
      <c r="C26" s="24" t="n">
        <v>19166.81</v>
      </c>
      <c r="G26" s="24" t="n">
        <v>19166.81</v>
      </c>
    </row>
    <row r="27" customFormat="false" ht="15" hidden="false" customHeight="true" outlineLevel="0" collapsed="false">
      <c r="B27" s="9" t="s">
        <v>110</v>
      </c>
      <c r="C27" s="24" t="n">
        <v>26894.18</v>
      </c>
      <c r="G27" s="24" t="n">
        <v>26894.18</v>
      </c>
    </row>
    <row r="28" customFormat="false" ht="15" hidden="false" customHeight="true" outlineLevel="0" collapsed="false">
      <c r="B28" s="9" t="s">
        <v>111</v>
      </c>
      <c r="C28" s="24" t="n">
        <v>19273.71</v>
      </c>
      <c r="G28" s="24" t="n">
        <v>19273.71</v>
      </c>
    </row>
    <row r="29" customFormat="false" ht="15" hidden="false" customHeight="true" outlineLevel="0" collapsed="false">
      <c r="B29" s="9" t="s">
        <v>112</v>
      </c>
      <c r="C29" s="24" t="n">
        <v>24003.39</v>
      </c>
      <c r="G29" s="24" t="n">
        <v>24003.39</v>
      </c>
    </row>
    <row r="30" customFormat="false" ht="15" hidden="false" customHeight="true" outlineLevel="0" collapsed="false">
      <c r="B30" s="9" t="s">
        <v>113</v>
      </c>
      <c r="C30" s="24" t="n">
        <v>23233.4</v>
      </c>
      <c r="G30" s="24" t="n">
        <v>23233.4</v>
      </c>
    </row>
    <row r="31" customFormat="false" ht="15" hidden="false" customHeight="true" outlineLevel="0" collapsed="false">
      <c r="B31" s="9" t="s">
        <v>114</v>
      </c>
      <c r="C31" s="24" t="n">
        <v>8832.92</v>
      </c>
      <c r="G31" s="24" t="n">
        <v>8832.92</v>
      </c>
    </row>
    <row r="32" customFormat="false" ht="15" hidden="false" customHeight="true" outlineLevel="0" collapsed="false">
      <c r="B32" s="9" t="s">
        <v>115</v>
      </c>
      <c r="C32" s="24" t="n">
        <v>17315.31</v>
      </c>
      <c r="G32" s="24" t="n">
        <v>17315.31</v>
      </c>
    </row>
    <row r="33" customFormat="false" ht="15" hidden="false" customHeight="true" outlineLevel="0" collapsed="false">
      <c r="B33" s="9" t="s">
        <v>116</v>
      </c>
      <c r="C33" s="24" t="n">
        <v>10659.46</v>
      </c>
      <c r="G33" s="24" t="n">
        <v>10659.46</v>
      </c>
    </row>
    <row r="34" customFormat="false" ht="15" hidden="false" customHeight="true" outlineLevel="0" collapsed="false">
      <c r="B34" s="9" t="s">
        <v>117</v>
      </c>
      <c r="C34" s="24" t="n">
        <v>12873.87</v>
      </c>
      <c r="G34" s="24" t="n">
        <v>12873.87</v>
      </c>
    </row>
    <row r="35" customFormat="false" ht="15" hidden="false" customHeight="true" outlineLevel="0" collapsed="false">
      <c r="B35" s="9" t="s">
        <v>118</v>
      </c>
      <c r="C35" s="24" t="n">
        <v>29302.11</v>
      </c>
      <c r="G35" s="24" t="n">
        <v>29302.11</v>
      </c>
    </row>
    <row r="36" customFormat="false" ht="15" hidden="false" customHeight="true" outlineLevel="0" collapsed="false">
      <c r="B36" s="9" t="s">
        <v>119</v>
      </c>
      <c r="C36" s="24" t="n">
        <v>11976.41</v>
      </c>
      <c r="G36" s="24" t="n">
        <v>11976.41</v>
      </c>
    </row>
    <row r="37" customFormat="false" ht="15" hidden="false" customHeight="true" outlineLevel="0" collapsed="false">
      <c r="B37" s="9" t="s">
        <v>120</v>
      </c>
      <c r="C37" s="24" t="n">
        <v>1737.32</v>
      </c>
      <c r="G37" s="24" t="n">
        <v>1737.32</v>
      </c>
    </row>
    <row r="38" customFormat="false" ht="15" hidden="false" customHeight="true" outlineLevel="0" collapsed="false">
      <c r="B38" s="9" t="s">
        <v>122</v>
      </c>
      <c r="C38" s="24" t="n">
        <v>63061.18</v>
      </c>
      <c r="G38" s="24" t="n">
        <v>63061.18</v>
      </c>
    </row>
    <row r="39" customFormat="false" ht="15" hidden="false" customHeight="true" outlineLevel="0" collapsed="false">
      <c r="B39" s="9" t="s">
        <v>133</v>
      </c>
      <c r="C39" s="24" t="n">
        <v>10815.9</v>
      </c>
      <c r="G39" s="24" t="n">
        <v>10815.9</v>
      </c>
    </row>
    <row r="40" customFormat="false" ht="15" hidden="false" customHeight="true" outlineLevel="0" collapsed="false">
      <c r="B40" s="9" t="s">
        <v>123</v>
      </c>
      <c r="C40" s="24" t="n">
        <v>5272.42</v>
      </c>
      <c r="G40" s="24" t="n">
        <v>5272.42</v>
      </c>
    </row>
    <row r="41" customFormat="false" ht="15" hidden="false" customHeight="true" outlineLevel="0" collapsed="false">
      <c r="B41" s="9" t="s">
        <v>134</v>
      </c>
      <c r="C41" s="24" t="n">
        <v>3303.27</v>
      </c>
      <c r="G41" s="24" t="n">
        <v>3303.27</v>
      </c>
    </row>
    <row r="42" customFormat="false" ht="15" hidden="false" customHeight="true" outlineLevel="0" collapsed="false">
      <c r="A42" s="25"/>
      <c r="B42" s="26" t="s">
        <v>57</v>
      </c>
      <c r="C42" s="27" t="n">
        <f aca="false">SUM(C10:C41)</f>
        <v>397500.19</v>
      </c>
      <c r="D42" s="27" t="n">
        <f aca="false">SUM(D10:D41)</f>
        <v>109778.53</v>
      </c>
      <c r="E42" s="27" t="n">
        <f aca="false">SUM(E10:E41)</f>
        <v>0</v>
      </c>
      <c r="F42" s="27" t="n">
        <f aca="false">SUM(F10:F41)</f>
        <v>0</v>
      </c>
      <c r="G42" s="27" t="n">
        <f aca="false">SUM(G10:G41)</f>
        <v>287721.66</v>
      </c>
      <c r="H42" s="25"/>
    </row>
    <row r="44" customFormat="false" ht="15" hidden="false" customHeight="true" outlineLevel="0" collapsed="false">
      <c r="A44" s="6"/>
      <c r="B44" s="7" t="s">
        <v>58</v>
      </c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true" outlineLevel="0" collapsed="false">
      <c r="B45" s="9" t="s">
        <v>59</v>
      </c>
      <c r="C45" s="24" t="n">
        <v>302676.39</v>
      </c>
      <c r="D45" s="24" t="n">
        <v>83590.83</v>
      </c>
      <c r="G45" s="24" t="n">
        <v>219085.56</v>
      </c>
    </row>
    <row r="46" customFormat="false" ht="15" hidden="false" customHeight="true" outlineLevel="0" collapsed="false">
      <c r="B46" s="9" t="s">
        <v>60</v>
      </c>
      <c r="C46" s="24" t="n">
        <v>32982.17</v>
      </c>
      <c r="D46" s="24" t="n">
        <v>9108.76</v>
      </c>
      <c r="G46" s="24" t="n">
        <v>23873.41</v>
      </c>
    </row>
    <row r="47" customFormat="false" ht="15" hidden="false" customHeight="true" outlineLevel="0" collapsed="false">
      <c r="B47" s="9" t="s">
        <v>61</v>
      </c>
      <c r="C47" s="24" t="n">
        <v>61841.63</v>
      </c>
      <c r="D47" s="24" t="n">
        <v>17078.94</v>
      </c>
      <c r="G47" s="24" t="n">
        <v>44762.69</v>
      </c>
    </row>
    <row r="48" customFormat="false" ht="15" hidden="false" customHeight="true" outlineLevel="0" collapsed="false">
      <c r="A48" s="25"/>
      <c r="B48" s="26" t="s">
        <v>62</v>
      </c>
      <c r="C48" s="27" t="n">
        <f aca="false">SUM(C45:C47)</f>
        <v>397500.19</v>
      </c>
      <c r="D48" s="27" t="n">
        <f aca="false">SUM(D45:D47)</f>
        <v>109778.53</v>
      </c>
      <c r="E48" s="27" t="n">
        <f aca="false">SUM(E45:E47)</f>
        <v>0</v>
      </c>
      <c r="F48" s="27" t="n">
        <f aca="false">SUM(F45:F47)</f>
        <v>0</v>
      </c>
      <c r="G48" s="27" t="n">
        <f aca="false">SUM(G45:G47)</f>
        <v>287721.66</v>
      </c>
      <c r="H48" s="25"/>
    </row>
    <row r="50" customFormat="false" ht="15" hidden="false" customHeight="true" outlineLevel="0" collapsed="false">
      <c r="A50" s="28" t="s">
        <v>63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true" outlineLevel="0" collapsed="false">
      <c r="A51" s="29" t="s">
        <v>24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true" outlineLevel="0" collapsed="false">
      <c r="A52" s="30"/>
      <c r="B52" s="30" t="s">
        <v>64</v>
      </c>
      <c r="C52" s="31" t="s">
        <v>65</v>
      </c>
      <c r="D52" s="31" t="s">
        <v>66</v>
      </c>
      <c r="E52" s="31" t="s">
        <v>67</v>
      </c>
      <c r="F52" s="31" t="s">
        <v>68</v>
      </c>
      <c r="G52" s="31" t="s">
        <v>69</v>
      </c>
      <c r="H52" s="31" t="s">
        <v>70</v>
      </c>
      <c r="I52" s="31" t="s">
        <v>71</v>
      </c>
      <c r="J52" s="31" t="s">
        <v>72</v>
      </c>
    </row>
    <row r="53" customFormat="false" ht="15" hidden="false" customHeight="true" outlineLevel="0" collapsed="false">
      <c r="B53" s="32" t="s">
        <v>73</v>
      </c>
      <c r="C53" s="33" t="n">
        <v>302676.39</v>
      </c>
      <c r="D53" s="33" t="n">
        <v>0</v>
      </c>
      <c r="E53" s="33" t="n">
        <v>0</v>
      </c>
      <c r="F53" s="33" t="n">
        <v>25223.07</v>
      </c>
      <c r="G53" s="33" t="n">
        <v>25223.07</v>
      </c>
      <c r="H53" s="33" t="n">
        <v>36229.51</v>
      </c>
      <c r="I53" s="34" t="s">
        <v>74</v>
      </c>
      <c r="J53" s="35" t="n">
        <v>27.5</v>
      </c>
    </row>
    <row r="54" customFormat="false" ht="15" hidden="false" customHeight="true" outlineLevel="0" collapsed="false">
      <c r="B54" s="14" t="s">
        <v>75</v>
      </c>
      <c r="C54" s="36" t="n">
        <v>32982.17</v>
      </c>
      <c r="D54" s="36" t="n">
        <v>0</v>
      </c>
      <c r="E54" s="36" t="n">
        <v>32982.17</v>
      </c>
      <c r="F54" s="36" t="n">
        <v>32982.17</v>
      </c>
      <c r="G54" s="36" t="n">
        <v>32982.17</v>
      </c>
      <c r="H54" s="36" t="n">
        <v>0</v>
      </c>
      <c r="I54" s="37" t="s">
        <v>76</v>
      </c>
      <c r="J54" s="38" t="n">
        <v>15</v>
      </c>
    </row>
    <row r="55" customFormat="false" ht="15" hidden="false" customHeight="true" outlineLevel="0" collapsed="false">
      <c r="B55" s="32" t="s">
        <v>77</v>
      </c>
      <c r="C55" s="33" t="n">
        <v>61841.63</v>
      </c>
      <c r="D55" s="33" t="n">
        <v>0</v>
      </c>
      <c r="E55" s="33" t="n">
        <v>61841.63</v>
      </c>
      <c r="F55" s="33" t="n">
        <v>61841.63</v>
      </c>
      <c r="G55" s="33" t="n">
        <v>61841.63</v>
      </c>
      <c r="H55" s="33" t="n">
        <v>0</v>
      </c>
      <c r="I55" s="34" t="s">
        <v>78</v>
      </c>
      <c r="J55" s="35" t="n">
        <v>5</v>
      </c>
    </row>
    <row r="56" customFormat="false" ht="15" hidden="false" customHeight="true" outlineLevel="0" collapsed="false">
      <c r="A56" s="39"/>
      <c r="B56" s="40" t="s">
        <v>17</v>
      </c>
      <c r="C56" s="41" t="n">
        <f aca="false">SUM(C53:C55)</f>
        <v>397500.19</v>
      </c>
      <c r="D56" s="41" t="n">
        <f aca="false">SUM(D53:D55)</f>
        <v>0</v>
      </c>
      <c r="E56" s="41" t="n">
        <f aca="false">SUM(E53:E55)</f>
        <v>94823.8</v>
      </c>
      <c r="F56" s="41" t="n">
        <f aca="false">SUM(F53:F55)</f>
        <v>120046.87</v>
      </c>
      <c r="G56" s="41" t="n">
        <f aca="false">SUM(G53:G55)</f>
        <v>120046.87</v>
      </c>
      <c r="H56" s="41" t="n">
        <f aca="false">SUM(H53:H55)</f>
        <v>36229.51</v>
      </c>
      <c r="I56" s="39"/>
      <c r="J56" s="39"/>
    </row>
    <row r="58" customFormat="false" ht="15" hidden="false" customHeight="true" outlineLevel="0" collapsed="false">
      <c r="A58" s="42" t="s">
        <v>79</v>
      </c>
      <c r="B58" s="42"/>
      <c r="C58" s="42"/>
      <c r="D58" s="42"/>
      <c r="E58" s="42"/>
      <c r="F58" s="42"/>
      <c r="G58" s="42"/>
      <c r="H58" s="42"/>
      <c r="I58" s="42"/>
      <c r="J58" s="42"/>
    </row>
    <row r="59" customFormat="false" ht="15" hidden="false" customHeight="true" outlineLevel="0" collapsed="false">
      <c r="A59" s="30"/>
      <c r="B59" s="30" t="s">
        <v>64</v>
      </c>
      <c r="C59" s="31" t="s">
        <v>65</v>
      </c>
      <c r="D59" s="31" t="s">
        <v>66</v>
      </c>
      <c r="E59" s="31" t="s">
        <v>67</v>
      </c>
      <c r="F59" s="31" t="s">
        <v>68</v>
      </c>
      <c r="G59" s="31" t="s">
        <v>69</v>
      </c>
      <c r="H59" s="31" t="s">
        <v>70</v>
      </c>
      <c r="I59" s="31" t="s">
        <v>71</v>
      </c>
      <c r="J59" s="31" t="s">
        <v>72</v>
      </c>
    </row>
    <row r="60" customFormat="false" ht="15" hidden="false" customHeight="true" outlineLevel="0" collapsed="false">
      <c r="B60" s="32" t="s">
        <v>125</v>
      </c>
      <c r="C60" s="33" t="n">
        <v>83590.83</v>
      </c>
      <c r="D60" s="33" t="n">
        <v>0</v>
      </c>
      <c r="E60" s="33" t="n">
        <v>83590.83</v>
      </c>
      <c r="F60" s="33" t="n">
        <v>83590.83</v>
      </c>
      <c r="G60" s="33" t="n">
        <v>0</v>
      </c>
      <c r="H60" s="33" t="n">
        <v>83590.83</v>
      </c>
      <c r="I60" s="34" t="s">
        <v>78</v>
      </c>
      <c r="J60" s="35" t="n">
        <v>5</v>
      </c>
    </row>
    <row r="61" customFormat="false" ht="15" hidden="false" customHeight="true" outlineLevel="0" collapsed="false">
      <c r="B61" s="14" t="s">
        <v>82</v>
      </c>
      <c r="C61" s="36" t="n">
        <v>219085.56</v>
      </c>
      <c r="D61" s="36" t="n">
        <v>0</v>
      </c>
      <c r="E61" s="36" t="n">
        <v>0</v>
      </c>
      <c r="F61" s="36" t="n">
        <v>18257.13</v>
      </c>
      <c r="G61" s="36" t="n">
        <v>7966.75</v>
      </c>
      <c r="H61" s="36" t="n">
        <v>26223.88</v>
      </c>
      <c r="I61" s="37" t="s">
        <v>74</v>
      </c>
      <c r="J61" s="38" t="n">
        <v>27.5</v>
      </c>
    </row>
    <row r="62" customFormat="false" ht="15" hidden="false" customHeight="true" outlineLevel="0" collapsed="false">
      <c r="B62" s="32" t="s">
        <v>126</v>
      </c>
      <c r="C62" s="33" t="n">
        <v>9108.76</v>
      </c>
      <c r="D62" s="33" t="n">
        <v>0</v>
      </c>
      <c r="E62" s="33" t="n">
        <v>9108.76</v>
      </c>
      <c r="F62" s="33" t="n">
        <v>9108.76</v>
      </c>
      <c r="G62" s="33" t="n">
        <v>0</v>
      </c>
      <c r="H62" s="33" t="n">
        <v>9108.76</v>
      </c>
      <c r="I62" s="34" t="s">
        <v>78</v>
      </c>
      <c r="J62" s="35" t="n">
        <v>5</v>
      </c>
    </row>
    <row r="63" customFormat="false" ht="15" hidden="false" customHeight="true" outlineLevel="0" collapsed="false">
      <c r="B63" s="14" t="s">
        <v>85</v>
      </c>
      <c r="C63" s="36" t="n">
        <v>23873.41</v>
      </c>
      <c r="D63" s="36" t="n">
        <v>0</v>
      </c>
      <c r="E63" s="36" t="n">
        <v>0</v>
      </c>
      <c r="F63" s="36" t="n">
        <v>1989.44</v>
      </c>
      <c r="G63" s="36" t="n">
        <v>868.12</v>
      </c>
      <c r="H63" s="36" t="n">
        <v>2857.56</v>
      </c>
      <c r="I63" s="37" t="s">
        <v>74</v>
      </c>
      <c r="J63" s="38" t="n">
        <v>27.5</v>
      </c>
    </row>
    <row r="64" customFormat="false" ht="15" hidden="false" customHeight="true" outlineLevel="0" collapsed="false">
      <c r="B64" s="32" t="s">
        <v>127</v>
      </c>
      <c r="C64" s="33" t="n">
        <v>17078.94</v>
      </c>
      <c r="D64" s="33" t="n">
        <v>0</v>
      </c>
      <c r="E64" s="33" t="n">
        <v>17078.94</v>
      </c>
      <c r="F64" s="33" t="n">
        <v>17078.94</v>
      </c>
      <c r="G64" s="33" t="n">
        <v>0</v>
      </c>
      <c r="H64" s="33" t="n">
        <v>17078.94</v>
      </c>
      <c r="I64" s="34" t="s">
        <v>78</v>
      </c>
      <c r="J64" s="35" t="n">
        <v>5</v>
      </c>
    </row>
    <row r="65" customFormat="false" ht="15" hidden="false" customHeight="true" outlineLevel="0" collapsed="false">
      <c r="B65" s="14" t="s">
        <v>88</v>
      </c>
      <c r="C65" s="36" t="n">
        <v>44762.69</v>
      </c>
      <c r="D65" s="36" t="n">
        <v>0</v>
      </c>
      <c r="E65" s="36" t="n">
        <v>0</v>
      </c>
      <c r="F65" s="36" t="n">
        <v>3730.22</v>
      </c>
      <c r="G65" s="36" t="n">
        <v>1627.73</v>
      </c>
      <c r="H65" s="36" t="n">
        <v>5357.95</v>
      </c>
      <c r="I65" s="37" t="s">
        <v>74</v>
      </c>
      <c r="J65" s="38" t="n">
        <v>27.5</v>
      </c>
    </row>
    <row r="66" customFormat="false" ht="15" hidden="false" customHeight="true" outlineLevel="0" collapsed="false">
      <c r="A66" s="39"/>
      <c r="B66" s="40" t="s">
        <v>17</v>
      </c>
      <c r="C66" s="41" t="n">
        <f aca="false">SUM(C60:C65)</f>
        <v>397500.19</v>
      </c>
      <c r="D66" s="41" t="n">
        <f aca="false">SUM(D60:D65)</f>
        <v>0</v>
      </c>
      <c r="E66" s="41" t="n">
        <f aca="false">SUM(E60:E65)</f>
        <v>109778.53</v>
      </c>
      <c r="F66" s="41" t="n">
        <f aca="false">SUM(F60:F65)</f>
        <v>133755.32</v>
      </c>
      <c r="G66" s="41" t="n">
        <f aca="false">SUM(G60:G65)</f>
        <v>10462.6</v>
      </c>
      <c r="H66" s="41" t="n">
        <f aca="false">SUM(H60:H65)</f>
        <v>144217.92</v>
      </c>
      <c r="I66" s="39"/>
      <c r="J66" s="39"/>
    </row>
    <row r="68" customFormat="false" ht="15" hidden="false" customHeight="true" outlineLevel="0" collapsed="false">
      <c r="A68" s="28" t="s">
        <v>26</v>
      </c>
      <c r="B68" s="28"/>
      <c r="C68" s="28"/>
      <c r="D68" s="28"/>
      <c r="E68" s="28"/>
    </row>
    <row r="69" customFormat="false" ht="15" hidden="false" customHeight="true" outlineLevel="0" collapsed="false">
      <c r="B69" s="14" t="s">
        <v>89</v>
      </c>
      <c r="C69" s="43" t="n">
        <f aca="false">G56</f>
        <v>120046.87</v>
      </c>
    </row>
    <row r="70" customFormat="false" ht="15" hidden="false" customHeight="true" outlineLevel="0" collapsed="false">
      <c r="B70" s="14" t="s">
        <v>90</v>
      </c>
      <c r="C70" s="43" t="n">
        <f aca="false">G66</f>
        <v>10462.6</v>
      </c>
    </row>
    <row r="71" customFormat="false" ht="15" hidden="false" customHeight="true" outlineLevel="0" collapsed="false">
      <c r="B71" s="17" t="s">
        <v>26</v>
      </c>
      <c r="C71" s="44" t="n">
        <f aca="false">C70-C69</f>
        <v>-109584.27</v>
      </c>
    </row>
  </sheetData>
  <mergeCells count="11">
    <mergeCell ref="A2:J2"/>
    <mergeCell ref="A3:J3"/>
    <mergeCell ref="A4:J4"/>
    <mergeCell ref="A8:J8"/>
    <mergeCell ref="B10:J10"/>
    <mergeCell ref="B25:J25"/>
    <mergeCell ref="B44:J44"/>
    <mergeCell ref="A50:J50"/>
    <mergeCell ref="A51:J51"/>
    <mergeCell ref="A58:J58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137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138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26757.81</v>
      </c>
      <c r="D11" s="24" t="n">
        <v>26757.81</v>
      </c>
    </row>
    <row r="12" customFormat="false" ht="15" hidden="false" customHeight="true" outlineLevel="0" collapsed="false">
      <c r="B12" s="9" t="s">
        <v>95</v>
      </c>
      <c r="C12" s="24" t="n">
        <v>7990.89</v>
      </c>
      <c r="D12" s="24" t="n">
        <v>7990.89</v>
      </c>
    </row>
    <row r="13" customFormat="false" ht="15" hidden="false" customHeight="true" outlineLevel="0" collapsed="false">
      <c r="B13" s="9" t="s">
        <v>97</v>
      </c>
      <c r="C13" s="24" t="n">
        <v>37800.94</v>
      </c>
      <c r="D13" s="24" t="n">
        <v>37800.94</v>
      </c>
    </row>
    <row r="14" customFormat="false" ht="15" hidden="false" customHeight="true" outlineLevel="0" collapsed="false">
      <c r="B14" s="9" t="s">
        <v>130</v>
      </c>
      <c r="C14" s="24" t="n">
        <v>2842.52</v>
      </c>
      <c r="D14" s="24" t="n">
        <v>2842.52</v>
      </c>
    </row>
    <row r="15" customFormat="false" ht="15" hidden="false" customHeight="true" outlineLevel="0" collapsed="false">
      <c r="B15" s="9" t="s">
        <v>99</v>
      </c>
      <c r="C15" s="24" t="n">
        <v>2418.44</v>
      </c>
      <c r="D15" s="24" t="n">
        <v>2418.44</v>
      </c>
    </row>
    <row r="16" customFormat="false" ht="15" hidden="false" customHeight="true" outlineLevel="0" collapsed="false">
      <c r="B16" s="9" t="s">
        <v>100</v>
      </c>
      <c r="C16" s="24" t="n">
        <v>718.3</v>
      </c>
      <c r="D16" s="24" t="n">
        <v>718.3</v>
      </c>
    </row>
    <row r="17" customFormat="false" ht="15" hidden="false" customHeight="true" outlineLevel="0" collapsed="false">
      <c r="B17" s="9" t="s">
        <v>101</v>
      </c>
      <c r="C17" s="24" t="n">
        <v>705.03</v>
      </c>
      <c r="D17" s="24" t="n">
        <v>705.03</v>
      </c>
    </row>
    <row r="18" customFormat="false" ht="15" hidden="false" customHeight="true" outlineLevel="0" collapsed="false">
      <c r="B18" s="9" t="s">
        <v>102</v>
      </c>
      <c r="C18" s="24" t="n">
        <v>12363.8</v>
      </c>
      <c r="D18" s="24" t="n">
        <v>12363.8</v>
      </c>
    </row>
    <row r="19" customFormat="false" ht="15" hidden="false" customHeight="true" outlineLevel="0" collapsed="false">
      <c r="B19" s="9" t="s">
        <v>103</v>
      </c>
      <c r="C19" s="24" t="n">
        <v>3400.77</v>
      </c>
      <c r="D19" s="24" t="n">
        <v>3400.77</v>
      </c>
    </row>
    <row r="20" customFormat="false" ht="15" hidden="false" customHeight="true" outlineLevel="0" collapsed="false">
      <c r="B20" s="9" t="s">
        <v>131</v>
      </c>
      <c r="C20" s="24" t="n">
        <v>13431.92</v>
      </c>
      <c r="D20" s="24" t="n">
        <v>13431.92</v>
      </c>
    </row>
    <row r="21" customFormat="false" ht="15" hidden="false" customHeight="true" outlineLevel="0" collapsed="false">
      <c r="B21" s="9" t="s">
        <v>105</v>
      </c>
      <c r="C21" s="24" t="n">
        <v>1140.5</v>
      </c>
      <c r="D21" s="24" t="n">
        <v>1140.5</v>
      </c>
    </row>
    <row r="22" customFormat="false" ht="15" hidden="false" customHeight="true" outlineLevel="0" collapsed="false">
      <c r="B22" s="9" t="s">
        <v>132</v>
      </c>
      <c r="C22" s="24" t="n">
        <v>1360.86</v>
      </c>
      <c r="D22" s="24" t="n">
        <v>1360.86</v>
      </c>
    </row>
    <row r="23" customFormat="false" ht="15" hidden="false" customHeight="true" outlineLevel="0" collapsed="false">
      <c r="B23" s="9" t="s">
        <v>107</v>
      </c>
      <c r="C23" s="24" t="n">
        <v>14831.54</v>
      </c>
      <c r="D23" s="24" t="n">
        <v>14831.54</v>
      </c>
    </row>
    <row r="24" customFormat="false" ht="15" hidden="false" customHeight="true" outlineLevel="0" collapsed="false">
      <c r="A24" s="6"/>
      <c r="B24" s="7" t="s">
        <v>108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B25" s="9" t="s">
        <v>109</v>
      </c>
      <c r="C25" s="24" t="n">
        <v>25110.72</v>
      </c>
      <c r="G25" s="24" t="n">
        <v>25110.72</v>
      </c>
    </row>
    <row r="26" customFormat="false" ht="15" hidden="false" customHeight="true" outlineLevel="0" collapsed="false">
      <c r="B26" s="9" t="s">
        <v>110</v>
      </c>
      <c r="C26" s="24" t="n">
        <v>35390.34</v>
      </c>
      <c r="G26" s="24" t="n">
        <v>35390.34</v>
      </c>
    </row>
    <row r="27" customFormat="false" ht="15" hidden="false" customHeight="true" outlineLevel="0" collapsed="false">
      <c r="B27" s="9" t="s">
        <v>111</v>
      </c>
      <c r="C27" s="24" t="n">
        <v>29008.33</v>
      </c>
      <c r="G27" s="24" t="n">
        <v>29008.33</v>
      </c>
    </row>
    <row r="28" customFormat="false" ht="15" hidden="false" customHeight="true" outlineLevel="0" collapsed="false">
      <c r="B28" s="9" t="s">
        <v>112</v>
      </c>
      <c r="C28" s="24" t="n">
        <v>31389.04</v>
      </c>
      <c r="G28" s="24" t="n">
        <v>31389.04</v>
      </c>
    </row>
    <row r="29" customFormat="false" ht="15" hidden="false" customHeight="true" outlineLevel="0" collapsed="false">
      <c r="B29" s="9" t="s">
        <v>113</v>
      </c>
      <c r="C29" s="24" t="n">
        <v>26496.62</v>
      </c>
      <c r="G29" s="24" t="n">
        <v>26496.62</v>
      </c>
    </row>
    <row r="30" customFormat="false" ht="15" hidden="false" customHeight="true" outlineLevel="0" collapsed="false">
      <c r="B30" s="9" t="s">
        <v>114</v>
      </c>
      <c r="C30" s="24" t="n">
        <v>12009.05</v>
      </c>
      <c r="G30" s="24" t="n">
        <v>12009.05</v>
      </c>
    </row>
    <row r="31" customFormat="false" ht="15" hidden="false" customHeight="true" outlineLevel="0" collapsed="false">
      <c r="B31" s="9" t="s">
        <v>115</v>
      </c>
      <c r="C31" s="24" t="n">
        <v>23153.47</v>
      </c>
      <c r="G31" s="24" t="n">
        <v>23153.47</v>
      </c>
    </row>
    <row r="32" customFormat="false" ht="15" hidden="false" customHeight="true" outlineLevel="0" collapsed="false">
      <c r="B32" s="9" t="s">
        <v>116</v>
      </c>
      <c r="C32" s="24" t="n">
        <v>10659.46</v>
      </c>
      <c r="G32" s="24" t="n">
        <v>10659.46</v>
      </c>
    </row>
    <row r="33" customFormat="false" ht="15" hidden="false" customHeight="true" outlineLevel="0" collapsed="false">
      <c r="B33" s="9" t="s">
        <v>117</v>
      </c>
      <c r="C33" s="24" t="n">
        <v>16835.06</v>
      </c>
      <c r="G33" s="24" t="n">
        <v>16835.06</v>
      </c>
    </row>
    <row r="34" customFormat="false" ht="15" hidden="false" customHeight="true" outlineLevel="0" collapsed="false">
      <c r="B34" s="9" t="s">
        <v>118</v>
      </c>
      <c r="C34" s="24" t="n">
        <v>39604.25</v>
      </c>
      <c r="G34" s="24" t="n">
        <v>39604.25</v>
      </c>
    </row>
    <row r="35" customFormat="false" ht="15" hidden="false" customHeight="true" outlineLevel="0" collapsed="false">
      <c r="B35" s="9" t="s">
        <v>119</v>
      </c>
      <c r="C35" s="24" t="n">
        <v>16001</v>
      </c>
      <c r="G35" s="24" t="n">
        <v>16001</v>
      </c>
    </row>
    <row r="36" customFormat="false" ht="15" hidden="false" customHeight="true" outlineLevel="0" collapsed="false">
      <c r="B36" s="9" t="s">
        <v>120</v>
      </c>
      <c r="C36" s="24" t="n">
        <v>1863.69</v>
      </c>
      <c r="G36" s="24" t="n">
        <v>1863.69</v>
      </c>
    </row>
    <row r="37" customFormat="false" ht="15" hidden="false" customHeight="true" outlineLevel="0" collapsed="false">
      <c r="B37" s="9" t="s">
        <v>122</v>
      </c>
      <c r="C37" s="24" t="n">
        <v>82713.76</v>
      </c>
      <c r="G37" s="24" t="n">
        <v>82713.76</v>
      </c>
    </row>
    <row r="38" customFormat="false" ht="15" hidden="false" customHeight="true" outlineLevel="0" collapsed="false">
      <c r="B38" s="9" t="s">
        <v>133</v>
      </c>
      <c r="C38" s="24" t="n">
        <v>10815.9</v>
      </c>
      <c r="G38" s="24" t="n">
        <v>10815.9</v>
      </c>
    </row>
    <row r="39" customFormat="false" ht="15" hidden="false" customHeight="true" outlineLevel="0" collapsed="false">
      <c r="B39" s="9" t="s">
        <v>123</v>
      </c>
      <c r="C39" s="24" t="n">
        <v>9740.22</v>
      </c>
      <c r="G39" s="24" t="n">
        <v>9740.22</v>
      </c>
    </row>
    <row r="40" customFormat="false" ht="15" hidden="false" customHeight="true" outlineLevel="0" collapsed="false">
      <c r="B40" s="9" t="s">
        <v>134</v>
      </c>
      <c r="C40" s="24" t="n">
        <v>6970.48</v>
      </c>
      <c r="G40" s="24" t="n">
        <v>6970.48</v>
      </c>
    </row>
    <row r="41" customFormat="false" ht="15" hidden="false" customHeight="true" outlineLevel="0" collapsed="false">
      <c r="A41" s="25"/>
      <c r="B41" s="26" t="s">
        <v>57</v>
      </c>
      <c r="C41" s="27" t="n">
        <f aca="false">SUM(C10:C40)</f>
        <v>503524.71</v>
      </c>
      <c r="D41" s="27" t="n">
        <f aca="false">SUM(D10:D40)</f>
        <v>125763.32</v>
      </c>
      <c r="E41" s="27" t="n">
        <f aca="false">SUM(E10:E40)</f>
        <v>0</v>
      </c>
      <c r="F41" s="27" t="n">
        <f aca="false">SUM(F10:F40)</f>
        <v>0</v>
      </c>
      <c r="G41" s="27" t="n">
        <f aca="false">SUM(G10:G40)</f>
        <v>377761.39</v>
      </c>
      <c r="H41" s="25"/>
    </row>
    <row r="43" customFormat="false" ht="15" hidden="false" customHeight="true" outlineLevel="0" collapsed="false">
      <c r="A43" s="6"/>
      <c r="B43" s="7" t="s">
        <v>58</v>
      </c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true" outlineLevel="0" collapsed="false">
      <c r="B44" s="9" t="s">
        <v>59</v>
      </c>
      <c r="C44" s="24" t="n">
        <v>383408.73</v>
      </c>
      <c r="D44" s="24" t="n">
        <v>95762.44</v>
      </c>
      <c r="G44" s="24" t="n">
        <v>287646.29</v>
      </c>
    </row>
    <row r="45" customFormat="false" ht="15" hidden="false" customHeight="true" outlineLevel="0" collapsed="false">
      <c r="B45" s="9" t="s">
        <v>60</v>
      </c>
      <c r="C45" s="24" t="n">
        <v>41779.44</v>
      </c>
      <c r="D45" s="24" t="n">
        <v>10435.08</v>
      </c>
      <c r="G45" s="24" t="n">
        <v>31344.36</v>
      </c>
    </row>
    <row r="46" customFormat="false" ht="15" hidden="false" customHeight="true" outlineLevel="0" collapsed="false">
      <c r="B46" s="9" t="s">
        <v>61</v>
      </c>
      <c r="C46" s="24" t="n">
        <v>78336.54</v>
      </c>
      <c r="D46" s="24" t="n">
        <v>19565.8</v>
      </c>
      <c r="G46" s="24" t="n">
        <v>58770.74</v>
      </c>
    </row>
    <row r="47" customFormat="false" ht="15" hidden="false" customHeight="true" outlineLevel="0" collapsed="false">
      <c r="A47" s="25"/>
      <c r="B47" s="26" t="s">
        <v>62</v>
      </c>
      <c r="C47" s="27" t="n">
        <f aca="false">SUM(C44:C46)</f>
        <v>503524.71</v>
      </c>
      <c r="D47" s="27" t="n">
        <f aca="false">SUM(D44:D46)</f>
        <v>125763.32</v>
      </c>
      <c r="E47" s="27" t="n">
        <f aca="false">SUM(E44:E46)</f>
        <v>0</v>
      </c>
      <c r="F47" s="27" t="n">
        <f aca="false">SUM(F44:F46)</f>
        <v>0</v>
      </c>
      <c r="G47" s="27" t="n">
        <f aca="false">SUM(G44:G46)</f>
        <v>377761.39</v>
      </c>
      <c r="H47" s="25"/>
    </row>
    <row r="49" customFormat="false" ht="15" hidden="false" customHeight="true" outlineLevel="0" collapsed="false">
      <c r="A49" s="28" t="s">
        <v>63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true" outlineLevel="0" collapsed="false">
      <c r="A50" s="29" t="s">
        <v>24</v>
      </c>
      <c r="B50" s="29"/>
      <c r="C50" s="29"/>
      <c r="D50" s="29"/>
      <c r="E50" s="29"/>
      <c r="F50" s="29"/>
      <c r="G50" s="29"/>
      <c r="H50" s="29"/>
      <c r="I50" s="29"/>
      <c r="J50" s="29"/>
    </row>
    <row r="51" customFormat="false" ht="15" hidden="false" customHeight="true" outlineLevel="0" collapsed="false">
      <c r="A51" s="30"/>
      <c r="B51" s="30" t="s">
        <v>64</v>
      </c>
      <c r="C51" s="31" t="s">
        <v>65</v>
      </c>
      <c r="D51" s="31" t="s">
        <v>66</v>
      </c>
      <c r="E51" s="31" t="s">
        <v>67</v>
      </c>
      <c r="F51" s="31" t="s">
        <v>68</v>
      </c>
      <c r="G51" s="31" t="s">
        <v>69</v>
      </c>
      <c r="H51" s="31" t="s">
        <v>70</v>
      </c>
      <c r="I51" s="31" t="s">
        <v>71</v>
      </c>
      <c r="J51" s="31" t="s">
        <v>72</v>
      </c>
    </row>
    <row r="52" customFormat="false" ht="15" hidden="false" customHeight="true" outlineLevel="0" collapsed="false">
      <c r="B52" s="32" t="s">
        <v>73</v>
      </c>
      <c r="C52" s="33" t="n">
        <v>383408.73</v>
      </c>
      <c r="D52" s="33" t="n">
        <v>0</v>
      </c>
      <c r="E52" s="33" t="n">
        <v>0</v>
      </c>
      <c r="F52" s="33" t="n">
        <v>31950.77</v>
      </c>
      <c r="G52" s="33" t="n">
        <v>31950.77</v>
      </c>
      <c r="H52" s="33" t="n">
        <v>45892.94</v>
      </c>
      <c r="I52" s="34" t="s">
        <v>74</v>
      </c>
      <c r="J52" s="35" t="n">
        <v>27.5</v>
      </c>
    </row>
    <row r="53" customFormat="false" ht="15" hidden="false" customHeight="true" outlineLevel="0" collapsed="false">
      <c r="B53" s="14" t="s">
        <v>75</v>
      </c>
      <c r="C53" s="36" t="n">
        <v>41779.44</v>
      </c>
      <c r="D53" s="36" t="n">
        <v>0</v>
      </c>
      <c r="E53" s="36" t="n">
        <v>41779.44</v>
      </c>
      <c r="F53" s="36" t="n">
        <v>41779.44</v>
      </c>
      <c r="G53" s="36" t="n">
        <v>41779.44</v>
      </c>
      <c r="H53" s="36" t="n">
        <v>0</v>
      </c>
      <c r="I53" s="37" t="s">
        <v>76</v>
      </c>
      <c r="J53" s="38" t="n">
        <v>15</v>
      </c>
    </row>
    <row r="54" customFormat="false" ht="15" hidden="false" customHeight="true" outlineLevel="0" collapsed="false">
      <c r="B54" s="32" t="s">
        <v>77</v>
      </c>
      <c r="C54" s="33" t="n">
        <v>78336.54</v>
      </c>
      <c r="D54" s="33" t="n">
        <v>0</v>
      </c>
      <c r="E54" s="33" t="n">
        <v>78336.54</v>
      </c>
      <c r="F54" s="33" t="n">
        <v>78336.54</v>
      </c>
      <c r="G54" s="33" t="n">
        <v>78336.54</v>
      </c>
      <c r="H54" s="33" t="n">
        <v>0</v>
      </c>
      <c r="I54" s="34" t="s">
        <v>78</v>
      </c>
      <c r="J54" s="35" t="n">
        <v>5</v>
      </c>
    </row>
    <row r="55" customFormat="false" ht="15" hidden="false" customHeight="true" outlineLevel="0" collapsed="false">
      <c r="A55" s="39"/>
      <c r="B55" s="40" t="s">
        <v>17</v>
      </c>
      <c r="C55" s="41" t="n">
        <f aca="false">SUM(C52:C54)</f>
        <v>503524.71</v>
      </c>
      <c r="D55" s="41" t="n">
        <f aca="false">SUM(D52:D54)</f>
        <v>0</v>
      </c>
      <c r="E55" s="41" t="n">
        <f aca="false">SUM(E52:E54)</f>
        <v>120115.98</v>
      </c>
      <c r="F55" s="41" t="n">
        <f aca="false">SUM(F52:F54)</f>
        <v>152066.75</v>
      </c>
      <c r="G55" s="41" t="n">
        <f aca="false">SUM(G52:G54)</f>
        <v>152066.75</v>
      </c>
      <c r="H55" s="41" t="n">
        <f aca="false">SUM(H52:H54)</f>
        <v>45892.94</v>
      </c>
      <c r="I55" s="39"/>
      <c r="J55" s="39"/>
    </row>
    <row r="57" customFormat="false" ht="15" hidden="false" customHeight="true" outlineLevel="0" collapsed="false">
      <c r="A57" s="42" t="s">
        <v>79</v>
      </c>
      <c r="B57" s="42"/>
      <c r="C57" s="42"/>
      <c r="D57" s="42"/>
      <c r="E57" s="42"/>
      <c r="F57" s="42"/>
      <c r="G57" s="42"/>
      <c r="H57" s="42"/>
      <c r="I57" s="42"/>
      <c r="J57" s="42"/>
    </row>
    <row r="58" customFormat="false" ht="15" hidden="false" customHeight="true" outlineLevel="0" collapsed="false">
      <c r="A58" s="30"/>
      <c r="B58" s="30" t="s">
        <v>64</v>
      </c>
      <c r="C58" s="31" t="s">
        <v>65</v>
      </c>
      <c r="D58" s="31" t="s">
        <v>66</v>
      </c>
      <c r="E58" s="31" t="s">
        <v>67</v>
      </c>
      <c r="F58" s="31" t="s">
        <v>68</v>
      </c>
      <c r="G58" s="31" t="s">
        <v>69</v>
      </c>
      <c r="H58" s="31" t="s">
        <v>70</v>
      </c>
      <c r="I58" s="31" t="s">
        <v>71</v>
      </c>
      <c r="J58" s="31" t="s">
        <v>72</v>
      </c>
    </row>
    <row r="59" customFormat="false" ht="15" hidden="false" customHeight="true" outlineLevel="0" collapsed="false">
      <c r="B59" s="32" t="s">
        <v>125</v>
      </c>
      <c r="C59" s="33" t="n">
        <v>95762.44</v>
      </c>
      <c r="D59" s="33" t="n">
        <v>0</v>
      </c>
      <c r="E59" s="33" t="n">
        <v>95762.44</v>
      </c>
      <c r="F59" s="33" t="n">
        <v>95762.44</v>
      </c>
      <c r="G59" s="33" t="n">
        <v>0</v>
      </c>
      <c r="H59" s="33" t="n">
        <v>95762.44</v>
      </c>
      <c r="I59" s="34" t="s">
        <v>78</v>
      </c>
      <c r="J59" s="35" t="n">
        <v>5</v>
      </c>
    </row>
    <row r="60" customFormat="false" ht="15" hidden="false" customHeight="true" outlineLevel="0" collapsed="false">
      <c r="B60" s="14" t="s">
        <v>82</v>
      </c>
      <c r="C60" s="36" t="n">
        <v>287646.29</v>
      </c>
      <c r="D60" s="36" t="n">
        <v>0</v>
      </c>
      <c r="E60" s="36" t="n">
        <v>0</v>
      </c>
      <c r="F60" s="36" t="n">
        <v>23970.53</v>
      </c>
      <c r="G60" s="36" t="n">
        <v>10459.87</v>
      </c>
      <c r="H60" s="36" t="n">
        <v>34430.4</v>
      </c>
      <c r="I60" s="37" t="s">
        <v>74</v>
      </c>
      <c r="J60" s="38" t="n">
        <v>27.5</v>
      </c>
    </row>
    <row r="61" customFormat="false" ht="15" hidden="false" customHeight="true" outlineLevel="0" collapsed="false">
      <c r="B61" s="32" t="s">
        <v>126</v>
      </c>
      <c r="C61" s="33" t="n">
        <v>10435.08</v>
      </c>
      <c r="D61" s="33" t="n">
        <v>0</v>
      </c>
      <c r="E61" s="33" t="n">
        <v>10435.08</v>
      </c>
      <c r="F61" s="33" t="n">
        <v>10435.08</v>
      </c>
      <c r="G61" s="33" t="n">
        <v>0</v>
      </c>
      <c r="H61" s="33" t="n">
        <v>10435.08</v>
      </c>
      <c r="I61" s="34" t="s">
        <v>78</v>
      </c>
      <c r="J61" s="35" t="n">
        <v>5</v>
      </c>
    </row>
    <row r="62" customFormat="false" ht="15" hidden="false" customHeight="true" outlineLevel="0" collapsed="false">
      <c r="B62" s="14" t="s">
        <v>85</v>
      </c>
      <c r="C62" s="36" t="n">
        <v>31344.36</v>
      </c>
      <c r="D62" s="36" t="n">
        <v>0</v>
      </c>
      <c r="E62" s="36" t="n">
        <v>0</v>
      </c>
      <c r="F62" s="36" t="n">
        <v>2612.02</v>
      </c>
      <c r="G62" s="36" t="n">
        <v>1139.79</v>
      </c>
      <c r="H62" s="36" t="n">
        <v>3751.81</v>
      </c>
      <c r="I62" s="37" t="s">
        <v>74</v>
      </c>
      <c r="J62" s="38" t="n">
        <v>27.5</v>
      </c>
    </row>
    <row r="63" customFormat="false" ht="15" hidden="false" customHeight="true" outlineLevel="0" collapsed="false">
      <c r="B63" s="32" t="s">
        <v>127</v>
      </c>
      <c r="C63" s="33" t="n">
        <v>19565.8</v>
      </c>
      <c r="D63" s="33" t="n">
        <v>0</v>
      </c>
      <c r="E63" s="33" t="n">
        <v>19565.8</v>
      </c>
      <c r="F63" s="33" t="n">
        <v>19565.8</v>
      </c>
      <c r="G63" s="33" t="n">
        <v>0</v>
      </c>
      <c r="H63" s="33" t="n">
        <v>19565.8</v>
      </c>
      <c r="I63" s="34" t="s">
        <v>78</v>
      </c>
      <c r="J63" s="35" t="n">
        <v>5</v>
      </c>
    </row>
    <row r="64" customFormat="false" ht="15" hidden="false" customHeight="true" outlineLevel="0" collapsed="false">
      <c r="B64" s="14" t="s">
        <v>88</v>
      </c>
      <c r="C64" s="36" t="n">
        <v>58770.74</v>
      </c>
      <c r="D64" s="36" t="n">
        <v>0</v>
      </c>
      <c r="E64" s="36" t="n">
        <v>0</v>
      </c>
      <c r="F64" s="36" t="n">
        <v>4897.57</v>
      </c>
      <c r="G64" s="36" t="n">
        <v>2137.12</v>
      </c>
      <c r="H64" s="36" t="n">
        <v>7034.69</v>
      </c>
      <c r="I64" s="37" t="s">
        <v>74</v>
      </c>
      <c r="J64" s="38" t="n">
        <v>27.5</v>
      </c>
    </row>
    <row r="65" customFormat="false" ht="15" hidden="false" customHeight="true" outlineLevel="0" collapsed="false">
      <c r="A65" s="39"/>
      <c r="B65" s="40" t="s">
        <v>17</v>
      </c>
      <c r="C65" s="41" t="n">
        <f aca="false">SUM(C59:C64)</f>
        <v>503524.71</v>
      </c>
      <c r="D65" s="41" t="n">
        <f aca="false">SUM(D59:D64)</f>
        <v>0</v>
      </c>
      <c r="E65" s="41" t="n">
        <f aca="false">SUM(E59:E64)</f>
        <v>125763.32</v>
      </c>
      <c r="F65" s="41" t="n">
        <f aca="false">SUM(F59:F64)</f>
        <v>157243.44</v>
      </c>
      <c r="G65" s="41" t="n">
        <f aca="false">SUM(G59:G64)</f>
        <v>13736.78</v>
      </c>
      <c r="H65" s="41" t="n">
        <f aca="false">SUM(H59:H64)</f>
        <v>170980.22</v>
      </c>
      <c r="I65" s="39"/>
      <c r="J65" s="39"/>
    </row>
    <row r="67" customFormat="false" ht="15" hidden="false" customHeight="true" outlineLevel="0" collapsed="false">
      <c r="A67" s="28" t="s">
        <v>26</v>
      </c>
      <c r="B67" s="28"/>
      <c r="C67" s="28"/>
      <c r="D67" s="28"/>
      <c r="E67" s="28"/>
    </row>
    <row r="68" customFormat="false" ht="15" hidden="false" customHeight="true" outlineLevel="0" collapsed="false">
      <c r="B68" s="14" t="s">
        <v>89</v>
      </c>
      <c r="C68" s="43" t="n">
        <f aca="false">G55</f>
        <v>152066.75</v>
      </c>
    </row>
    <row r="69" customFormat="false" ht="15" hidden="false" customHeight="true" outlineLevel="0" collapsed="false">
      <c r="B69" s="14" t="s">
        <v>90</v>
      </c>
      <c r="C69" s="43" t="n">
        <f aca="false">G65</f>
        <v>13736.78</v>
      </c>
    </row>
    <row r="70" customFormat="false" ht="15" hidden="false" customHeight="true" outlineLevel="0" collapsed="false">
      <c r="B70" s="17" t="s">
        <v>26</v>
      </c>
      <c r="C70" s="44" t="n">
        <f aca="false">C69-C68</f>
        <v>-138329.97</v>
      </c>
    </row>
  </sheetData>
  <mergeCells count="11">
    <mergeCell ref="A2:J2"/>
    <mergeCell ref="A3:J3"/>
    <mergeCell ref="A4:J4"/>
    <mergeCell ref="A8:J8"/>
    <mergeCell ref="B10:J10"/>
    <mergeCell ref="B24:J24"/>
    <mergeCell ref="B43:J43"/>
    <mergeCell ref="A49:J49"/>
    <mergeCell ref="A50:J50"/>
    <mergeCell ref="A57:J57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139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140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26445.19</v>
      </c>
      <c r="D11" s="24" t="n">
        <v>26445.19</v>
      </c>
    </row>
    <row r="12" customFormat="false" ht="15" hidden="false" customHeight="true" outlineLevel="0" collapsed="false">
      <c r="B12" s="9" t="s">
        <v>95</v>
      </c>
      <c r="C12" s="24" t="n">
        <v>4635.69</v>
      </c>
      <c r="D12" s="24" t="n">
        <v>4635.69</v>
      </c>
    </row>
    <row r="13" customFormat="false" ht="15" hidden="false" customHeight="true" outlineLevel="0" collapsed="false">
      <c r="B13" s="9" t="s">
        <v>96</v>
      </c>
      <c r="C13" s="24" t="n">
        <v>9118.09</v>
      </c>
      <c r="D13" s="24" t="n">
        <v>9118.09</v>
      </c>
    </row>
    <row r="14" customFormat="false" ht="15" hidden="false" customHeight="true" outlineLevel="0" collapsed="false">
      <c r="B14" s="9" t="s">
        <v>97</v>
      </c>
      <c r="C14" s="24" t="n">
        <v>17166.07</v>
      </c>
      <c r="D14" s="24" t="n">
        <v>17166.07</v>
      </c>
    </row>
    <row r="15" customFormat="false" ht="15" hidden="false" customHeight="true" outlineLevel="0" collapsed="false">
      <c r="B15" s="9" t="s">
        <v>130</v>
      </c>
      <c r="C15" s="24" t="n">
        <v>2842.52</v>
      </c>
      <c r="D15" s="24" t="n">
        <v>2842.52</v>
      </c>
    </row>
    <row r="16" customFormat="false" ht="15" hidden="false" customHeight="true" outlineLevel="0" collapsed="false">
      <c r="B16" s="9" t="s">
        <v>99</v>
      </c>
      <c r="C16" s="24" t="n">
        <v>2418.44</v>
      </c>
      <c r="D16" s="24" t="n">
        <v>2418.44</v>
      </c>
    </row>
    <row r="17" customFormat="false" ht="15" hidden="false" customHeight="true" outlineLevel="0" collapsed="false">
      <c r="B17" s="9" t="s">
        <v>100</v>
      </c>
      <c r="C17" s="24" t="n">
        <v>718.3</v>
      </c>
      <c r="D17" s="24" t="n">
        <v>718.3</v>
      </c>
    </row>
    <row r="18" customFormat="false" ht="15" hidden="false" customHeight="true" outlineLevel="0" collapsed="false">
      <c r="B18" s="9" t="s">
        <v>101</v>
      </c>
      <c r="C18" s="24" t="n">
        <v>705.03</v>
      </c>
      <c r="D18" s="24" t="n">
        <v>705.03</v>
      </c>
    </row>
    <row r="19" customFormat="false" ht="15" hidden="false" customHeight="true" outlineLevel="0" collapsed="false">
      <c r="B19" s="9" t="s">
        <v>102</v>
      </c>
      <c r="C19" s="24" t="n">
        <v>12363.8</v>
      </c>
      <c r="D19" s="24" t="n">
        <v>12363.8</v>
      </c>
    </row>
    <row r="20" customFormat="false" ht="15" hidden="false" customHeight="true" outlineLevel="0" collapsed="false">
      <c r="B20" s="9" t="s">
        <v>103</v>
      </c>
      <c r="C20" s="24" t="n">
        <v>2600.58</v>
      </c>
      <c r="D20" s="24" t="n">
        <v>2600.58</v>
      </c>
    </row>
    <row r="21" customFormat="false" ht="15" hidden="false" customHeight="true" outlineLevel="0" collapsed="false">
      <c r="B21" s="9" t="s">
        <v>131</v>
      </c>
      <c r="C21" s="24" t="n">
        <v>13431.92</v>
      </c>
      <c r="D21" s="24" t="n">
        <v>13431.92</v>
      </c>
    </row>
    <row r="22" customFormat="false" ht="15" hidden="false" customHeight="true" outlineLevel="0" collapsed="false">
      <c r="B22" s="9" t="s">
        <v>105</v>
      </c>
      <c r="C22" s="24" t="n">
        <v>1140.5</v>
      </c>
      <c r="D22" s="24" t="n">
        <v>1140.5</v>
      </c>
    </row>
    <row r="23" customFormat="false" ht="15" hidden="false" customHeight="true" outlineLevel="0" collapsed="false">
      <c r="B23" s="9" t="s">
        <v>132</v>
      </c>
      <c r="C23" s="24" t="n">
        <v>1360.86</v>
      </c>
      <c r="D23" s="24" t="n">
        <v>1360.86</v>
      </c>
    </row>
    <row r="24" customFormat="false" ht="15" hidden="false" customHeight="true" outlineLevel="0" collapsed="false">
      <c r="B24" s="9" t="s">
        <v>107</v>
      </c>
      <c r="C24" s="24" t="n">
        <v>14831.54</v>
      </c>
      <c r="D24" s="24" t="n">
        <v>14831.54</v>
      </c>
    </row>
    <row r="25" customFormat="false" ht="15" hidden="false" customHeight="true" outlineLevel="0" collapsed="false">
      <c r="A25" s="6"/>
      <c r="B25" s="7" t="s">
        <v>108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109</v>
      </c>
      <c r="C26" s="24" t="n">
        <v>19166.81</v>
      </c>
      <c r="G26" s="24" t="n">
        <v>19166.81</v>
      </c>
    </row>
    <row r="27" customFormat="false" ht="15" hidden="false" customHeight="true" outlineLevel="0" collapsed="false">
      <c r="B27" s="9" t="s">
        <v>110</v>
      </c>
      <c r="C27" s="24" t="n">
        <v>26894.18</v>
      </c>
      <c r="G27" s="24" t="n">
        <v>26894.18</v>
      </c>
    </row>
    <row r="28" customFormat="false" ht="15" hidden="false" customHeight="true" outlineLevel="0" collapsed="false">
      <c r="B28" s="9" t="s">
        <v>111</v>
      </c>
      <c r="C28" s="24" t="n">
        <v>19273.71</v>
      </c>
      <c r="G28" s="24" t="n">
        <v>19273.71</v>
      </c>
    </row>
    <row r="29" customFormat="false" ht="15" hidden="false" customHeight="true" outlineLevel="0" collapsed="false">
      <c r="B29" s="9" t="s">
        <v>112</v>
      </c>
      <c r="C29" s="24" t="n">
        <v>24003.39</v>
      </c>
      <c r="G29" s="24" t="n">
        <v>24003.39</v>
      </c>
    </row>
    <row r="30" customFormat="false" ht="15" hidden="false" customHeight="true" outlineLevel="0" collapsed="false">
      <c r="B30" s="9" t="s">
        <v>113</v>
      </c>
      <c r="C30" s="24" t="n">
        <v>23233.4</v>
      </c>
      <c r="G30" s="24" t="n">
        <v>23233.4</v>
      </c>
    </row>
    <row r="31" customFormat="false" ht="15" hidden="false" customHeight="true" outlineLevel="0" collapsed="false">
      <c r="B31" s="9" t="s">
        <v>114</v>
      </c>
      <c r="C31" s="24" t="n">
        <v>8832.92</v>
      </c>
      <c r="G31" s="24" t="n">
        <v>8832.92</v>
      </c>
    </row>
    <row r="32" customFormat="false" ht="15" hidden="false" customHeight="true" outlineLevel="0" collapsed="false">
      <c r="B32" s="9" t="s">
        <v>115</v>
      </c>
      <c r="C32" s="24" t="n">
        <v>17315.31</v>
      </c>
      <c r="G32" s="24" t="n">
        <v>17315.31</v>
      </c>
    </row>
    <row r="33" customFormat="false" ht="15" hidden="false" customHeight="true" outlineLevel="0" collapsed="false">
      <c r="B33" s="9" t="s">
        <v>116</v>
      </c>
      <c r="C33" s="24" t="n">
        <v>10659.46</v>
      </c>
      <c r="G33" s="24" t="n">
        <v>10659.46</v>
      </c>
    </row>
    <row r="34" customFormat="false" ht="15" hidden="false" customHeight="true" outlineLevel="0" collapsed="false">
      <c r="B34" s="9" t="s">
        <v>117</v>
      </c>
      <c r="C34" s="24" t="n">
        <v>12873.87</v>
      </c>
      <c r="G34" s="24" t="n">
        <v>12873.87</v>
      </c>
    </row>
    <row r="35" customFormat="false" ht="15" hidden="false" customHeight="true" outlineLevel="0" collapsed="false">
      <c r="B35" s="9" t="s">
        <v>118</v>
      </c>
      <c r="C35" s="24" t="n">
        <v>29302.11</v>
      </c>
      <c r="G35" s="24" t="n">
        <v>29302.11</v>
      </c>
    </row>
    <row r="36" customFormat="false" ht="15" hidden="false" customHeight="true" outlineLevel="0" collapsed="false">
      <c r="B36" s="9" t="s">
        <v>119</v>
      </c>
      <c r="C36" s="24" t="n">
        <v>11976.41</v>
      </c>
      <c r="G36" s="24" t="n">
        <v>11976.41</v>
      </c>
    </row>
    <row r="37" customFormat="false" ht="15" hidden="false" customHeight="true" outlineLevel="0" collapsed="false">
      <c r="B37" s="9" t="s">
        <v>120</v>
      </c>
      <c r="C37" s="24" t="n">
        <v>1737.32</v>
      </c>
      <c r="G37" s="24" t="n">
        <v>1737.32</v>
      </c>
    </row>
    <row r="38" customFormat="false" ht="15" hidden="false" customHeight="true" outlineLevel="0" collapsed="false">
      <c r="B38" s="9" t="s">
        <v>122</v>
      </c>
      <c r="C38" s="24" t="n">
        <v>63061.18</v>
      </c>
      <c r="G38" s="24" t="n">
        <v>63061.18</v>
      </c>
    </row>
    <row r="39" customFormat="false" ht="15" hidden="false" customHeight="true" outlineLevel="0" collapsed="false">
      <c r="B39" s="9" t="s">
        <v>133</v>
      </c>
      <c r="C39" s="24" t="n">
        <v>10815.9</v>
      </c>
      <c r="G39" s="24" t="n">
        <v>10815.9</v>
      </c>
    </row>
    <row r="40" customFormat="false" ht="15" hidden="false" customHeight="true" outlineLevel="0" collapsed="false">
      <c r="B40" s="9" t="s">
        <v>123</v>
      </c>
      <c r="C40" s="24" t="n">
        <v>5272.42</v>
      </c>
      <c r="G40" s="24" t="n">
        <v>5272.42</v>
      </c>
    </row>
    <row r="41" customFormat="false" ht="15" hidden="false" customHeight="true" outlineLevel="0" collapsed="false">
      <c r="B41" s="9" t="s">
        <v>134</v>
      </c>
      <c r="C41" s="24" t="n">
        <v>3303.27</v>
      </c>
      <c r="G41" s="24" t="n">
        <v>3303.27</v>
      </c>
    </row>
    <row r="42" customFormat="false" ht="15" hidden="false" customHeight="true" outlineLevel="0" collapsed="false">
      <c r="A42" s="25"/>
      <c r="B42" s="26" t="s">
        <v>57</v>
      </c>
      <c r="C42" s="27" t="n">
        <f aca="false">SUM(C10:C41)</f>
        <v>397500.19</v>
      </c>
      <c r="D42" s="27" t="n">
        <f aca="false">SUM(D10:D41)</f>
        <v>109778.53</v>
      </c>
      <c r="E42" s="27" t="n">
        <f aca="false">SUM(E10:E41)</f>
        <v>0</v>
      </c>
      <c r="F42" s="27" t="n">
        <f aca="false">SUM(F10:F41)</f>
        <v>0</v>
      </c>
      <c r="G42" s="27" t="n">
        <f aca="false">SUM(G10:G41)</f>
        <v>287721.66</v>
      </c>
      <c r="H42" s="25"/>
    </row>
    <row r="44" customFormat="false" ht="15" hidden="false" customHeight="true" outlineLevel="0" collapsed="false">
      <c r="A44" s="6"/>
      <c r="B44" s="7" t="s">
        <v>58</v>
      </c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true" outlineLevel="0" collapsed="false">
      <c r="B45" s="9" t="s">
        <v>59</v>
      </c>
      <c r="C45" s="24" t="n">
        <v>302676.39</v>
      </c>
      <c r="D45" s="24" t="n">
        <v>83590.83</v>
      </c>
      <c r="G45" s="24" t="n">
        <v>219085.56</v>
      </c>
    </row>
    <row r="46" customFormat="false" ht="15" hidden="false" customHeight="true" outlineLevel="0" collapsed="false">
      <c r="B46" s="9" t="s">
        <v>60</v>
      </c>
      <c r="C46" s="24" t="n">
        <v>32982.17</v>
      </c>
      <c r="D46" s="24" t="n">
        <v>9108.76</v>
      </c>
      <c r="G46" s="24" t="n">
        <v>23873.41</v>
      </c>
    </row>
    <row r="47" customFormat="false" ht="15" hidden="false" customHeight="true" outlineLevel="0" collapsed="false">
      <c r="B47" s="9" t="s">
        <v>61</v>
      </c>
      <c r="C47" s="24" t="n">
        <v>61841.63</v>
      </c>
      <c r="D47" s="24" t="n">
        <v>17078.94</v>
      </c>
      <c r="G47" s="24" t="n">
        <v>44762.69</v>
      </c>
    </row>
    <row r="48" customFormat="false" ht="15" hidden="false" customHeight="true" outlineLevel="0" collapsed="false">
      <c r="A48" s="25"/>
      <c r="B48" s="26" t="s">
        <v>62</v>
      </c>
      <c r="C48" s="27" t="n">
        <f aca="false">SUM(C45:C47)</f>
        <v>397500.19</v>
      </c>
      <c r="D48" s="27" t="n">
        <f aca="false">SUM(D45:D47)</f>
        <v>109778.53</v>
      </c>
      <c r="E48" s="27" t="n">
        <f aca="false">SUM(E45:E47)</f>
        <v>0</v>
      </c>
      <c r="F48" s="27" t="n">
        <f aca="false">SUM(F45:F47)</f>
        <v>0</v>
      </c>
      <c r="G48" s="27" t="n">
        <f aca="false">SUM(G45:G47)</f>
        <v>287721.66</v>
      </c>
      <c r="H48" s="25"/>
    </row>
    <row r="50" customFormat="false" ht="15" hidden="false" customHeight="true" outlineLevel="0" collapsed="false">
      <c r="A50" s="28" t="s">
        <v>63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true" outlineLevel="0" collapsed="false">
      <c r="A51" s="29" t="s">
        <v>24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true" outlineLevel="0" collapsed="false">
      <c r="A52" s="30"/>
      <c r="B52" s="30" t="s">
        <v>64</v>
      </c>
      <c r="C52" s="31" t="s">
        <v>65</v>
      </c>
      <c r="D52" s="31" t="s">
        <v>66</v>
      </c>
      <c r="E52" s="31" t="s">
        <v>67</v>
      </c>
      <c r="F52" s="31" t="s">
        <v>68</v>
      </c>
      <c r="G52" s="31" t="s">
        <v>69</v>
      </c>
      <c r="H52" s="31" t="s">
        <v>70</v>
      </c>
      <c r="I52" s="31" t="s">
        <v>71</v>
      </c>
      <c r="J52" s="31" t="s">
        <v>72</v>
      </c>
    </row>
    <row r="53" customFormat="false" ht="15" hidden="false" customHeight="true" outlineLevel="0" collapsed="false">
      <c r="B53" s="32" t="s">
        <v>73</v>
      </c>
      <c r="C53" s="33" t="n">
        <v>302676.39</v>
      </c>
      <c r="D53" s="33" t="n">
        <v>0</v>
      </c>
      <c r="E53" s="33" t="n">
        <v>0</v>
      </c>
      <c r="F53" s="33" t="n">
        <v>25223.07</v>
      </c>
      <c r="G53" s="33" t="n">
        <v>25223.07</v>
      </c>
      <c r="H53" s="33" t="n">
        <v>36229.51</v>
      </c>
      <c r="I53" s="34" t="s">
        <v>74</v>
      </c>
      <c r="J53" s="35" t="n">
        <v>27.5</v>
      </c>
    </row>
    <row r="54" customFormat="false" ht="15" hidden="false" customHeight="true" outlineLevel="0" collapsed="false">
      <c r="B54" s="14" t="s">
        <v>75</v>
      </c>
      <c r="C54" s="36" t="n">
        <v>32982.17</v>
      </c>
      <c r="D54" s="36" t="n">
        <v>0</v>
      </c>
      <c r="E54" s="36" t="n">
        <v>32982.17</v>
      </c>
      <c r="F54" s="36" t="n">
        <v>32982.17</v>
      </c>
      <c r="G54" s="36" t="n">
        <v>32982.17</v>
      </c>
      <c r="H54" s="36" t="n">
        <v>0</v>
      </c>
      <c r="I54" s="37" t="s">
        <v>76</v>
      </c>
      <c r="J54" s="38" t="n">
        <v>15</v>
      </c>
    </row>
    <row r="55" customFormat="false" ht="15" hidden="false" customHeight="true" outlineLevel="0" collapsed="false">
      <c r="B55" s="32" t="s">
        <v>77</v>
      </c>
      <c r="C55" s="33" t="n">
        <v>61841.63</v>
      </c>
      <c r="D55" s="33" t="n">
        <v>0</v>
      </c>
      <c r="E55" s="33" t="n">
        <v>61841.63</v>
      </c>
      <c r="F55" s="33" t="n">
        <v>61841.63</v>
      </c>
      <c r="G55" s="33" t="n">
        <v>61841.63</v>
      </c>
      <c r="H55" s="33" t="n">
        <v>0</v>
      </c>
      <c r="I55" s="34" t="s">
        <v>78</v>
      </c>
      <c r="J55" s="35" t="n">
        <v>5</v>
      </c>
    </row>
    <row r="56" customFormat="false" ht="15" hidden="false" customHeight="true" outlineLevel="0" collapsed="false">
      <c r="A56" s="39"/>
      <c r="B56" s="40" t="s">
        <v>17</v>
      </c>
      <c r="C56" s="41" t="n">
        <f aca="false">SUM(C53:C55)</f>
        <v>397500.19</v>
      </c>
      <c r="D56" s="41" t="n">
        <f aca="false">SUM(D53:D55)</f>
        <v>0</v>
      </c>
      <c r="E56" s="41" t="n">
        <f aca="false">SUM(E53:E55)</f>
        <v>94823.8</v>
      </c>
      <c r="F56" s="41" t="n">
        <f aca="false">SUM(F53:F55)</f>
        <v>120046.87</v>
      </c>
      <c r="G56" s="41" t="n">
        <f aca="false">SUM(G53:G55)</f>
        <v>120046.87</v>
      </c>
      <c r="H56" s="41" t="n">
        <f aca="false">SUM(H53:H55)</f>
        <v>36229.51</v>
      </c>
      <c r="I56" s="39"/>
      <c r="J56" s="39"/>
    </row>
    <row r="58" customFormat="false" ht="15" hidden="false" customHeight="true" outlineLevel="0" collapsed="false">
      <c r="A58" s="42" t="s">
        <v>79</v>
      </c>
      <c r="B58" s="42"/>
      <c r="C58" s="42"/>
      <c r="D58" s="42"/>
      <c r="E58" s="42"/>
      <c r="F58" s="42"/>
      <c r="G58" s="42"/>
      <c r="H58" s="42"/>
      <c r="I58" s="42"/>
      <c r="J58" s="42"/>
    </row>
    <row r="59" customFormat="false" ht="15" hidden="false" customHeight="true" outlineLevel="0" collapsed="false">
      <c r="A59" s="30"/>
      <c r="B59" s="30" t="s">
        <v>64</v>
      </c>
      <c r="C59" s="31" t="s">
        <v>65</v>
      </c>
      <c r="D59" s="31" t="s">
        <v>66</v>
      </c>
      <c r="E59" s="31" t="s">
        <v>67</v>
      </c>
      <c r="F59" s="31" t="s">
        <v>68</v>
      </c>
      <c r="G59" s="31" t="s">
        <v>69</v>
      </c>
      <c r="H59" s="31" t="s">
        <v>70</v>
      </c>
      <c r="I59" s="31" t="s">
        <v>71</v>
      </c>
      <c r="J59" s="31" t="s">
        <v>72</v>
      </c>
    </row>
    <row r="60" customFormat="false" ht="15" hidden="false" customHeight="true" outlineLevel="0" collapsed="false">
      <c r="B60" s="32" t="s">
        <v>125</v>
      </c>
      <c r="C60" s="33" t="n">
        <v>83590.83</v>
      </c>
      <c r="D60" s="33" t="n">
        <v>0</v>
      </c>
      <c r="E60" s="33" t="n">
        <v>83590.83</v>
      </c>
      <c r="F60" s="33" t="n">
        <v>83590.83</v>
      </c>
      <c r="G60" s="33" t="n">
        <v>0</v>
      </c>
      <c r="H60" s="33" t="n">
        <v>83590.83</v>
      </c>
      <c r="I60" s="34" t="s">
        <v>78</v>
      </c>
      <c r="J60" s="35" t="n">
        <v>5</v>
      </c>
    </row>
    <row r="61" customFormat="false" ht="15" hidden="false" customHeight="true" outlineLevel="0" collapsed="false">
      <c r="B61" s="14" t="s">
        <v>82</v>
      </c>
      <c r="C61" s="36" t="n">
        <v>219085.56</v>
      </c>
      <c r="D61" s="36" t="n">
        <v>0</v>
      </c>
      <c r="E61" s="36" t="n">
        <v>0</v>
      </c>
      <c r="F61" s="36" t="n">
        <v>18257.13</v>
      </c>
      <c r="G61" s="36" t="n">
        <v>7966.75</v>
      </c>
      <c r="H61" s="36" t="n">
        <v>26223.88</v>
      </c>
      <c r="I61" s="37" t="s">
        <v>74</v>
      </c>
      <c r="J61" s="38" t="n">
        <v>27.5</v>
      </c>
    </row>
    <row r="62" customFormat="false" ht="15" hidden="false" customHeight="true" outlineLevel="0" collapsed="false">
      <c r="B62" s="32" t="s">
        <v>126</v>
      </c>
      <c r="C62" s="33" t="n">
        <v>9108.76</v>
      </c>
      <c r="D62" s="33" t="n">
        <v>0</v>
      </c>
      <c r="E62" s="33" t="n">
        <v>9108.76</v>
      </c>
      <c r="F62" s="33" t="n">
        <v>9108.76</v>
      </c>
      <c r="G62" s="33" t="n">
        <v>0</v>
      </c>
      <c r="H62" s="33" t="n">
        <v>9108.76</v>
      </c>
      <c r="I62" s="34" t="s">
        <v>78</v>
      </c>
      <c r="J62" s="35" t="n">
        <v>5</v>
      </c>
    </row>
    <row r="63" customFormat="false" ht="15" hidden="false" customHeight="true" outlineLevel="0" collapsed="false">
      <c r="B63" s="14" t="s">
        <v>85</v>
      </c>
      <c r="C63" s="36" t="n">
        <v>23873.41</v>
      </c>
      <c r="D63" s="36" t="n">
        <v>0</v>
      </c>
      <c r="E63" s="36" t="n">
        <v>0</v>
      </c>
      <c r="F63" s="36" t="n">
        <v>1989.44</v>
      </c>
      <c r="G63" s="36" t="n">
        <v>868.12</v>
      </c>
      <c r="H63" s="36" t="n">
        <v>2857.56</v>
      </c>
      <c r="I63" s="37" t="s">
        <v>74</v>
      </c>
      <c r="J63" s="38" t="n">
        <v>27.5</v>
      </c>
    </row>
    <row r="64" customFormat="false" ht="15" hidden="false" customHeight="true" outlineLevel="0" collapsed="false">
      <c r="B64" s="32" t="s">
        <v>127</v>
      </c>
      <c r="C64" s="33" t="n">
        <v>17078.94</v>
      </c>
      <c r="D64" s="33" t="n">
        <v>0</v>
      </c>
      <c r="E64" s="33" t="n">
        <v>17078.94</v>
      </c>
      <c r="F64" s="33" t="n">
        <v>17078.94</v>
      </c>
      <c r="G64" s="33" t="n">
        <v>0</v>
      </c>
      <c r="H64" s="33" t="n">
        <v>17078.94</v>
      </c>
      <c r="I64" s="34" t="s">
        <v>78</v>
      </c>
      <c r="J64" s="35" t="n">
        <v>5</v>
      </c>
    </row>
    <row r="65" customFormat="false" ht="15" hidden="false" customHeight="true" outlineLevel="0" collapsed="false">
      <c r="B65" s="14" t="s">
        <v>88</v>
      </c>
      <c r="C65" s="36" t="n">
        <v>44762.69</v>
      </c>
      <c r="D65" s="36" t="n">
        <v>0</v>
      </c>
      <c r="E65" s="36" t="n">
        <v>0</v>
      </c>
      <c r="F65" s="36" t="n">
        <v>3730.22</v>
      </c>
      <c r="G65" s="36" t="n">
        <v>1627.73</v>
      </c>
      <c r="H65" s="36" t="n">
        <v>5357.95</v>
      </c>
      <c r="I65" s="37" t="s">
        <v>74</v>
      </c>
      <c r="J65" s="38" t="n">
        <v>27.5</v>
      </c>
    </row>
    <row r="66" customFormat="false" ht="15" hidden="false" customHeight="true" outlineLevel="0" collapsed="false">
      <c r="A66" s="39"/>
      <c r="B66" s="40" t="s">
        <v>17</v>
      </c>
      <c r="C66" s="41" t="n">
        <f aca="false">SUM(C60:C65)</f>
        <v>397500.19</v>
      </c>
      <c r="D66" s="41" t="n">
        <f aca="false">SUM(D60:D65)</f>
        <v>0</v>
      </c>
      <c r="E66" s="41" t="n">
        <f aca="false">SUM(E60:E65)</f>
        <v>109778.53</v>
      </c>
      <c r="F66" s="41" t="n">
        <f aca="false">SUM(F60:F65)</f>
        <v>133755.32</v>
      </c>
      <c r="G66" s="41" t="n">
        <f aca="false">SUM(G60:G65)</f>
        <v>10462.6</v>
      </c>
      <c r="H66" s="41" t="n">
        <f aca="false">SUM(H60:H65)</f>
        <v>144217.92</v>
      </c>
      <c r="I66" s="39"/>
      <c r="J66" s="39"/>
    </row>
    <row r="68" customFormat="false" ht="15" hidden="false" customHeight="true" outlineLevel="0" collapsed="false">
      <c r="A68" s="28" t="s">
        <v>26</v>
      </c>
      <c r="B68" s="28"/>
      <c r="C68" s="28"/>
      <c r="D68" s="28"/>
      <c r="E68" s="28"/>
    </row>
    <row r="69" customFormat="false" ht="15" hidden="false" customHeight="true" outlineLevel="0" collapsed="false">
      <c r="B69" s="14" t="s">
        <v>89</v>
      </c>
      <c r="C69" s="43" t="n">
        <f aca="false">G56</f>
        <v>120046.87</v>
      </c>
    </row>
    <row r="70" customFormat="false" ht="15" hidden="false" customHeight="true" outlineLevel="0" collapsed="false">
      <c r="B70" s="14" t="s">
        <v>90</v>
      </c>
      <c r="C70" s="43" t="n">
        <f aca="false">G66</f>
        <v>10462.6</v>
      </c>
    </row>
    <row r="71" customFormat="false" ht="15" hidden="false" customHeight="true" outlineLevel="0" collapsed="false">
      <c r="B71" s="17" t="s">
        <v>26</v>
      </c>
      <c r="C71" s="44" t="n">
        <f aca="false">C70-C69</f>
        <v>-109584.27</v>
      </c>
    </row>
  </sheetData>
  <mergeCells count="11">
    <mergeCell ref="A2:J2"/>
    <mergeCell ref="A3:J3"/>
    <mergeCell ref="A4:J4"/>
    <mergeCell ref="A8:J8"/>
    <mergeCell ref="B10:J10"/>
    <mergeCell ref="B25:J25"/>
    <mergeCell ref="B44:J44"/>
    <mergeCell ref="A50:J50"/>
    <mergeCell ref="A51:J51"/>
    <mergeCell ref="A58:J58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141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142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26757.81</v>
      </c>
      <c r="D11" s="24" t="n">
        <v>26757.81</v>
      </c>
    </row>
    <row r="12" customFormat="false" ht="15" hidden="false" customHeight="true" outlineLevel="0" collapsed="false">
      <c r="B12" s="9" t="s">
        <v>95</v>
      </c>
      <c r="C12" s="24" t="n">
        <v>7990.89</v>
      </c>
      <c r="D12" s="24" t="n">
        <v>7990.89</v>
      </c>
    </row>
    <row r="13" customFormat="false" ht="15" hidden="false" customHeight="true" outlineLevel="0" collapsed="false">
      <c r="B13" s="9" t="s">
        <v>97</v>
      </c>
      <c r="C13" s="24" t="n">
        <v>37800.94</v>
      </c>
      <c r="D13" s="24" t="n">
        <v>37800.94</v>
      </c>
    </row>
    <row r="14" customFormat="false" ht="15" hidden="false" customHeight="true" outlineLevel="0" collapsed="false">
      <c r="B14" s="9" t="s">
        <v>130</v>
      </c>
      <c r="C14" s="24" t="n">
        <v>2842.52</v>
      </c>
      <c r="D14" s="24" t="n">
        <v>2842.52</v>
      </c>
    </row>
    <row r="15" customFormat="false" ht="15" hidden="false" customHeight="true" outlineLevel="0" collapsed="false">
      <c r="B15" s="9" t="s">
        <v>99</v>
      </c>
      <c r="C15" s="24" t="n">
        <v>2418.44</v>
      </c>
      <c r="D15" s="24" t="n">
        <v>2418.44</v>
      </c>
    </row>
    <row r="16" customFormat="false" ht="15" hidden="false" customHeight="true" outlineLevel="0" collapsed="false">
      <c r="B16" s="9" t="s">
        <v>100</v>
      </c>
      <c r="C16" s="24" t="n">
        <v>718.3</v>
      </c>
      <c r="D16" s="24" t="n">
        <v>718.3</v>
      </c>
    </row>
    <row r="17" customFormat="false" ht="15" hidden="false" customHeight="true" outlineLevel="0" collapsed="false">
      <c r="B17" s="9" t="s">
        <v>101</v>
      </c>
      <c r="C17" s="24" t="n">
        <v>705.03</v>
      </c>
      <c r="D17" s="24" t="n">
        <v>705.03</v>
      </c>
    </row>
    <row r="18" customFormat="false" ht="15" hidden="false" customHeight="true" outlineLevel="0" collapsed="false">
      <c r="B18" s="9" t="s">
        <v>102</v>
      </c>
      <c r="C18" s="24" t="n">
        <v>12363.8</v>
      </c>
      <c r="D18" s="24" t="n">
        <v>12363.8</v>
      </c>
    </row>
    <row r="19" customFormat="false" ht="15" hidden="false" customHeight="true" outlineLevel="0" collapsed="false">
      <c r="B19" s="9" t="s">
        <v>103</v>
      </c>
      <c r="C19" s="24" t="n">
        <v>3400.77</v>
      </c>
      <c r="D19" s="24" t="n">
        <v>3400.77</v>
      </c>
    </row>
    <row r="20" customFormat="false" ht="15" hidden="false" customHeight="true" outlineLevel="0" collapsed="false">
      <c r="B20" s="9" t="s">
        <v>131</v>
      </c>
      <c r="C20" s="24" t="n">
        <v>13431.92</v>
      </c>
      <c r="D20" s="24" t="n">
        <v>13431.92</v>
      </c>
    </row>
    <row r="21" customFormat="false" ht="15" hidden="false" customHeight="true" outlineLevel="0" collapsed="false">
      <c r="B21" s="9" t="s">
        <v>105</v>
      </c>
      <c r="C21" s="24" t="n">
        <v>1140.5</v>
      </c>
      <c r="D21" s="24" t="n">
        <v>1140.5</v>
      </c>
    </row>
    <row r="22" customFormat="false" ht="15" hidden="false" customHeight="true" outlineLevel="0" collapsed="false">
      <c r="B22" s="9" t="s">
        <v>132</v>
      </c>
      <c r="C22" s="24" t="n">
        <v>1360.86</v>
      </c>
      <c r="D22" s="24" t="n">
        <v>1360.86</v>
      </c>
    </row>
    <row r="23" customFormat="false" ht="15" hidden="false" customHeight="true" outlineLevel="0" collapsed="false">
      <c r="B23" s="9" t="s">
        <v>107</v>
      </c>
      <c r="C23" s="24" t="n">
        <v>14831.54</v>
      </c>
      <c r="D23" s="24" t="n">
        <v>14831.54</v>
      </c>
    </row>
    <row r="24" customFormat="false" ht="15" hidden="false" customHeight="true" outlineLevel="0" collapsed="false">
      <c r="A24" s="6"/>
      <c r="B24" s="7" t="s">
        <v>108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B25" s="9" t="s">
        <v>109</v>
      </c>
      <c r="C25" s="24" t="n">
        <v>25110.72</v>
      </c>
      <c r="G25" s="24" t="n">
        <v>25110.72</v>
      </c>
    </row>
    <row r="26" customFormat="false" ht="15" hidden="false" customHeight="true" outlineLevel="0" collapsed="false">
      <c r="B26" s="9" t="s">
        <v>110</v>
      </c>
      <c r="C26" s="24" t="n">
        <v>35390.34</v>
      </c>
      <c r="G26" s="24" t="n">
        <v>35390.34</v>
      </c>
    </row>
    <row r="27" customFormat="false" ht="15" hidden="false" customHeight="true" outlineLevel="0" collapsed="false">
      <c r="B27" s="9" t="s">
        <v>111</v>
      </c>
      <c r="C27" s="24" t="n">
        <v>29008.33</v>
      </c>
      <c r="G27" s="24" t="n">
        <v>29008.33</v>
      </c>
    </row>
    <row r="28" customFormat="false" ht="15" hidden="false" customHeight="true" outlineLevel="0" collapsed="false">
      <c r="B28" s="9" t="s">
        <v>112</v>
      </c>
      <c r="C28" s="24" t="n">
        <v>31389.04</v>
      </c>
      <c r="G28" s="24" t="n">
        <v>31389.04</v>
      </c>
    </row>
    <row r="29" customFormat="false" ht="15" hidden="false" customHeight="true" outlineLevel="0" collapsed="false">
      <c r="B29" s="9" t="s">
        <v>113</v>
      </c>
      <c r="C29" s="24" t="n">
        <v>26496.62</v>
      </c>
      <c r="G29" s="24" t="n">
        <v>26496.62</v>
      </c>
    </row>
    <row r="30" customFormat="false" ht="15" hidden="false" customHeight="true" outlineLevel="0" collapsed="false">
      <c r="B30" s="9" t="s">
        <v>114</v>
      </c>
      <c r="C30" s="24" t="n">
        <v>12009.05</v>
      </c>
      <c r="G30" s="24" t="n">
        <v>12009.05</v>
      </c>
    </row>
    <row r="31" customFormat="false" ht="15" hidden="false" customHeight="true" outlineLevel="0" collapsed="false">
      <c r="B31" s="9" t="s">
        <v>115</v>
      </c>
      <c r="C31" s="24" t="n">
        <v>23153.47</v>
      </c>
      <c r="G31" s="24" t="n">
        <v>23153.47</v>
      </c>
    </row>
    <row r="32" customFormat="false" ht="15" hidden="false" customHeight="true" outlineLevel="0" collapsed="false">
      <c r="B32" s="9" t="s">
        <v>116</v>
      </c>
      <c r="C32" s="24" t="n">
        <v>10659.46</v>
      </c>
      <c r="G32" s="24" t="n">
        <v>10659.46</v>
      </c>
    </row>
    <row r="33" customFormat="false" ht="15" hidden="false" customHeight="true" outlineLevel="0" collapsed="false">
      <c r="B33" s="9" t="s">
        <v>117</v>
      </c>
      <c r="C33" s="24" t="n">
        <v>16835.06</v>
      </c>
      <c r="G33" s="24" t="n">
        <v>16835.06</v>
      </c>
    </row>
    <row r="34" customFormat="false" ht="15" hidden="false" customHeight="true" outlineLevel="0" collapsed="false">
      <c r="B34" s="9" t="s">
        <v>118</v>
      </c>
      <c r="C34" s="24" t="n">
        <v>39604.25</v>
      </c>
      <c r="G34" s="24" t="n">
        <v>39604.25</v>
      </c>
    </row>
    <row r="35" customFormat="false" ht="15" hidden="false" customHeight="true" outlineLevel="0" collapsed="false">
      <c r="B35" s="9" t="s">
        <v>119</v>
      </c>
      <c r="C35" s="24" t="n">
        <v>16001</v>
      </c>
      <c r="G35" s="24" t="n">
        <v>16001</v>
      </c>
    </row>
    <row r="36" customFormat="false" ht="15" hidden="false" customHeight="true" outlineLevel="0" collapsed="false">
      <c r="B36" s="9" t="s">
        <v>120</v>
      </c>
      <c r="C36" s="24" t="n">
        <v>1863.69</v>
      </c>
      <c r="G36" s="24" t="n">
        <v>1863.69</v>
      </c>
    </row>
    <row r="37" customFormat="false" ht="15" hidden="false" customHeight="true" outlineLevel="0" collapsed="false">
      <c r="B37" s="9" t="s">
        <v>122</v>
      </c>
      <c r="C37" s="24" t="n">
        <v>82713.76</v>
      </c>
      <c r="G37" s="24" t="n">
        <v>82713.76</v>
      </c>
    </row>
    <row r="38" customFormat="false" ht="15" hidden="false" customHeight="true" outlineLevel="0" collapsed="false">
      <c r="B38" s="9" t="s">
        <v>133</v>
      </c>
      <c r="C38" s="24" t="n">
        <v>10815.9</v>
      </c>
      <c r="G38" s="24" t="n">
        <v>10815.9</v>
      </c>
    </row>
    <row r="39" customFormat="false" ht="15" hidden="false" customHeight="true" outlineLevel="0" collapsed="false">
      <c r="B39" s="9" t="s">
        <v>123</v>
      </c>
      <c r="C39" s="24" t="n">
        <v>9740.22</v>
      </c>
      <c r="G39" s="24" t="n">
        <v>9740.22</v>
      </c>
    </row>
    <row r="40" customFormat="false" ht="15" hidden="false" customHeight="true" outlineLevel="0" collapsed="false">
      <c r="B40" s="9" t="s">
        <v>134</v>
      </c>
      <c r="C40" s="24" t="n">
        <v>6970.48</v>
      </c>
      <c r="G40" s="24" t="n">
        <v>6970.48</v>
      </c>
    </row>
    <row r="41" customFormat="false" ht="15" hidden="false" customHeight="true" outlineLevel="0" collapsed="false">
      <c r="A41" s="25"/>
      <c r="B41" s="26" t="s">
        <v>57</v>
      </c>
      <c r="C41" s="27" t="n">
        <f aca="false">SUM(C10:C40)</f>
        <v>503524.71</v>
      </c>
      <c r="D41" s="27" t="n">
        <f aca="false">SUM(D10:D40)</f>
        <v>125763.32</v>
      </c>
      <c r="E41" s="27" t="n">
        <f aca="false">SUM(E10:E40)</f>
        <v>0</v>
      </c>
      <c r="F41" s="27" t="n">
        <f aca="false">SUM(F10:F40)</f>
        <v>0</v>
      </c>
      <c r="G41" s="27" t="n">
        <f aca="false">SUM(G10:G40)</f>
        <v>377761.39</v>
      </c>
      <c r="H41" s="25"/>
    </row>
    <row r="43" customFormat="false" ht="15" hidden="false" customHeight="true" outlineLevel="0" collapsed="false">
      <c r="A43" s="6"/>
      <c r="B43" s="7" t="s">
        <v>58</v>
      </c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true" outlineLevel="0" collapsed="false">
      <c r="B44" s="9" t="s">
        <v>59</v>
      </c>
      <c r="C44" s="24" t="n">
        <v>383408.73</v>
      </c>
      <c r="D44" s="24" t="n">
        <v>95762.44</v>
      </c>
      <c r="G44" s="24" t="n">
        <v>287646.29</v>
      </c>
    </row>
    <row r="45" customFormat="false" ht="15" hidden="false" customHeight="true" outlineLevel="0" collapsed="false">
      <c r="B45" s="9" t="s">
        <v>60</v>
      </c>
      <c r="C45" s="24" t="n">
        <v>41779.44</v>
      </c>
      <c r="D45" s="24" t="n">
        <v>10435.08</v>
      </c>
      <c r="G45" s="24" t="n">
        <v>31344.36</v>
      </c>
    </row>
    <row r="46" customFormat="false" ht="15" hidden="false" customHeight="true" outlineLevel="0" collapsed="false">
      <c r="B46" s="9" t="s">
        <v>61</v>
      </c>
      <c r="C46" s="24" t="n">
        <v>78336.54</v>
      </c>
      <c r="D46" s="24" t="n">
        <v>19565.8</v>
      </c>
      <c r="G46" s="24" t="n">
        <v>58770.74</v>
      </c>
    </row>
    <row r="47" customFormat="false" ht="15" hidden="false" customHeight="true" outlineLevel="0" collapsed="false">
      <c r="A47" s="25"/>
      <c r="B47" s="26" t="s">
        <v>62</v>
      </c>
      <c r="C47" s="27" t="n">
        <f aca="false">SUM(C44:C46)</f>
        <v>503524.71</v>
      </c>
      <c r="D47" s="27" t="n">
        <f aca="false">SUM(D44:D46)</f>
        <v>125763.32</v>
      </c>
      <c r="E47" s="27" t="n">
        <f aca="false">SUM(E44:E46)</f>
        <v>0</v>
      </c>
      <c r="F47" s="27" t="n">
        <f aca="false">SUM(F44:F46)</f>
        <v>0</v>
      </c>
      <c r="G47" s="27" t="n">
        <f aca="false">SUM(G44:G46)</f>
        <v>377761.39</v>
      </c>
      <c r="H47" s="25"/>
    </row>
    <row r="49" customFormat="false" ht="15" hidden="false" customHeight="true" outlineLevel="0" collapsed="false">
      <c r="A49" s="28" t="s">
        <v>63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true" outlineLevel="0" collapsed="false">
      <c r="A50" s="29" t="s">
        <v>24</v>
      </c>
      <c r="B50" s="29"/>
      <c r="C50" s="29"/>
      <c r="D50" s="29"/>
      <c r="E50" s="29"/>
      <c r="F50" s="29"/>
      <c r="G50" s="29"/>
      <c r="H50" s="29"/>
      <c r="I50" s="29"/>
      <c r="J50" s="29"/>
    </row>
    <row r="51" customFormat="false" ht="15" hidden="false" customHeight="true" outlineLevel="0" collapsed="false">
      <c r="A51" s="30"/>
      <c r="B51" s="30" t="s">
        <v>64</v>
      </c>
      <c r="C51" s="31" t="s">
        <v>65</v>
      </c>
      <c r="D51" s="31" t="s">
        <v>66</v>
      </c>
      <c r="E51" s="31" t="s">
        <v>67</v>
      </c>
      <c r="F51" s="31" t="s">
        <v>68</v>
      </c>
      <c r="G51" s="31" t="s">
        <v>69</v>
      </c>
      <c r="H51" s="31" t="s">
        <v>70</v>
      </c>
      <c r="I51" s="31" t="s">
        <v>71</v>
      </c>
      <c r="J51" s="31" t="s">
        <v>72</v>
      </c>
    </row>
    <row r="52" customFormat="false" ht="15" hidden="false" customHeight="true" outlineLevel="0" collapsed="false">
      <c r="B52" s="32" t="s">
        <v>73</v>
      </c>
      <c r="C52" s="33" t="n">
        <v>383408.73</v>
      </c>
      <c r="D52" s="33" t="n">
        <v>0</v>
      </c>
      <c r="E52" s="33" t="n">
        <v>0</v>
      </c>
      <c r="F52" s="33" t="n">
        <v>31950.77</v>
      </c>
      <c r="G52" s="33" t="n">
        <v>31950.77</v>
      </c>
      <c r="H52" s="33" t="n">
        <v>45892.94</v>
      </c>
      <c r="I52" s="34" t="s">
        <v>74</v>
      </c>
      <c r="J52" s="35" t="n">
        <v>27.5</v>
      </c>
    </row>
    <row r="53" customFormat="false" ht="15" hidden="false" customHeight="true" outlineLevel="0" collapsed="false">
      <c r="B53" s="14" t="s">
        <v>75</v>
      </c>
      <c r="C53" s="36" t="n">
        <v>41779.44</v>
      </c>
      <c r="D53" s="36" t="n">
        <v>0</v>
      </c>
      <c r="E53" s="36" t="n">
        <v>41779.44</v>
      </c>
      <c r="F53" s="36" t="n">
        <v>41779.44</v>
      </c>
      <c r="G53" s="36" t="n">
        <v>41779.44</v>
      </c>
      <c r="H53" s="36" t="n">
        <v>0</v>
      </c>
      <c r="I53" s="37" t="s">
        <v>76</v>
      </c>
      <c r="J53" s="38" t="n">
        <v>15</v>
      </c>
    </row>
    <row r="54" customFormat="false" ht="15" hidden="false" customHeight="true" outlineLevel="0" collapsed="false">
      <c r="B54" s="32" t="s">
        <v>77</v>
      </c>
      <c r="C54" s="33" t="n">
        <v>78336.54</v>
      </c>
      <c r="D54" s="33" t="n">
        <v>0</v>
      </c>
      <c r="E54" s="33" t="n">
        <v>78336.54</v>
      </c>
      <c r="F54" s="33" t="n">
        <v>78336.54</v>
      </c>
      <c r="G54" s="33" t="n">
        <v>78336.54</v>
      </c>
      <c r="H54" s="33" t="n">
        <v>0</v>
      </c>
      <c r="I54" s="34" t="s">
        <v>78</v>
      </c>
      <c r="J54" s="35" t="n">
        <v>5</v>
      </c>
    </row>
    <row r="55" customFormat="false" ht="15" hidden="false" customHeight="true" outlineLevel="0" collapsed="false">
      <c r="A55" s="39"/>
      <c r="B55" s="40" t="s">
        <v>17</v>
      </c>
      <c r="C55" s="41" t="n">
        <f aca="false">SUM(C52:C54)</f>
        <v>503524.71</v>
      </c>
      <c r="D55" s="41" t="n">
        <f aca="false">SUM(D52:D54)</f>
        <v>0</v>
      </c>
      <c r="E55" s="41" t="n">
        <f aca="false">SUM(E52:E54)</f>
        <v>120115.98</v>
      </c>
      <c r="F55" s="41" t="n">
        <f aca="false">SUM(F52:F54)</f>
        <v>152066.75</v>
      </c>
      <c r="G55" s="41" t="n">
        <f aca="false">SUM(G52:G54)</f>
        <v>152066.75</v>
      </c>
      <c r="H55" s="41" t="n">
        <f aca="false">SUM(H52:H54)</f>
        <v>45892.94</v>
      </c>
      <c r="I55" s="39"/>
      <c r="J55" s="39"/>
    </row>
    <row r="57" customFormat="false" ht="15" hidden="false" customHeight="true" outlineLevel="0" collapsed="false">
      <c r="A57" s="42" t="s">
        <v>79</v>
      </c>
      <c r="B57" s="42"/>
      <c r="C57" s="42"/>
      <c r="D57" s="42"/>
      <c r="E57" s="42"/>
      <c r="F57" s="42"/>
      <c r="G57" s="42"/>
      <c r="H57" s="42"/>
      <c r="I57" s="42"/>
      <c r="J57" s="42"/>
    </row>
    <row r="58" customFormat="false" ht="15" hidden="false" customHeight="true" outlineLevel="0" collapsed="false">
      <c r="A58" s="30"/>
      <c r="B58" s="30" t="s">
        <v>64</v>
      </c>
      <c r="C58" s="31" t="s">
        <v>65</v>
      </c>
      <c r="D58" s="31" t="s">
        <v>66</v>
      </c>
      <c r="E58" s="31" t="s">
        <v>67</v>
      </c>
      <c r="F58" s="31" t="s">
        <v>68</v>
      </c>
      <c r="G58" s="31" t="s">
        <v>69</v>
      </c>
      <c r="H58" s="31" t="s">
        <v>70</v>
      </c>
      <c r="I58" s="31" t="s">
        <v>71</v>
      </c>
      <c r="J58" s="31" t="s">
        <v>72</v>
      </c>
    </row>
    <row r="59" customFormat="false" ht="15" hidden="false" customHeight="true" outlineLevel="0" collapsed="false">
      <c r="B59" s="32" t="s">
        <v>125</v>
      </c>
      <c r="C59" s="33" t="n">
        <v>95762.44</v>
      </c>
      <c r="D59" s="33" t="n">
        <v>0</v>
      </c>
      <c r="E59" s="33" t="n">
        <v>95762.44</v>
      </c>
      <c r="F59" s="33" t="n">
        <v>95762.44</v>
      </c>
      <c r="G59" s="33" t="n">
        <v>0</v>
      </c>
      <c r="H59" s="33" t="n">
        <v>95762.44</v>
      </c>
      <c r="I59" s="34" t="s">
        <v>78</v>
      </c>
      <c r="J59" s="35" t="n">
        <v>5</v>
      </c>
    </row>
    <row r="60" customFormat="false" ht="15" hidden="false" customHeight="true" outlineLevel="0" collapsed="false">
      <c r="B60" s="14" t="s">
        <v>82</v>
      </c>
      <c r="C60" s="36" t="n">
        <v>287646.29</v>
      </c>
      <c r="D60" s="36" t="n">
        <v>0</v>
      </c>
      <c r="E60" s="36" t="n">
        <v>0</v>
      </c>
      <c r="F60" s="36" t="n">
        <v>23970.53</v>
      </c>
      <c r="G60" s="36" t="n">
        <v>10459.87</v>
      </c>
      <c r="H60" s="36" t="n">
        <v>34430.4</v>
      </c>
      <c r="I60" s="37" t="s">
        <v>74</v>
      </c>
      <c r="J60" s="38" t="n">
        <v>27.5</v>
      </c>
    </row>
    <row r="61" customFormat="false" ht="15" hidden="false" customHeight="true" outlineLevel="0" collapsed="false">
      <c r="B61" s="32" t="s">
        <v>126</v>
      </c>
      <c r="C61" s="33" t="n">
        <v>10435.08</v>
      </c>
      <c r="D61" s="33" t="n">
        <v>0</v>
      </c>
      <c r="E61" s="33" t="n">
        <v>10435.08</v>
      </c>
      <c r="F61" s="33" t="n">
        <v>10435.08</v>
      </c>
      <c r="G61" s="33" t="n">
        <v>0</v>
      </c>
      <c r="H61" s="33" t="n">
        <v>10435.08</v>
      </c>
      <c r="I61" s="34" t="s">
        <v>78</v>
      </c>
      <c r="J61" s="35" t="n">
        <v>5</v>
      </c>
    </row>
    <row r="62" customFormat="false" ht="15" hidden="false" customHeight="true" outlineLevel="0" collapsed="false">
      <c r="B62" s="14" t="s">
        <v>85</v>
      </c>
      <c r="C62" s="36" t="n">
        <v>31344.36</v>
      </c>
      <c r="D62" s="36" t="n">
        <v>0</v>
      </c>
      <c r="E62" s="36" t="n">
        <v>0</v>
      </c>
      <c r="F62" s="36" t="n">
        <v>2612.02</v>
      </c>
      <c r="G62" s="36" t="n">
        <v>1139.79</v>
      </c>
      <c r="H62" s="36" t="n">
        <v>3751.81</v>
      </c>
      <c r="I62" s="37" t="s">
        <v>74</v>
      </c>
      <c r="J62" s="38" t="n">
        <v>27.5</v>
      </c>
    </row>
    <row r="63" customFormat="false" ht="15" hidden="false" customHeight="true" outlineLevel="0" collapsed="false">
      <c r="B63" s="32" t="s">
        <v>127</v>
      </c>
      <c r="C63" s="33" t="n">
        <v>19565.8</v>
      </c>
      <c r="D63" s="33" t="n">
        <v>0</v>
      </c>
      <c r="E63" s="33" t="n">
        <v>19565.8</v>
      </c>
      <c r="F63" s="33" t="n">
        <v>19565.8</v>
      </c>
      <c r="G63" s="33" t="n">
        <v>0</v>
      </c>
      <c r="H63" s="33" t="n">
        <v>19565.8</v>
      </c>
      <c r="I63" s="34" t="s">
        <v>78</v>
      </c>
      <c r="J63" s="35" t="n">
        <v>5</v>
      </c>
    </row>
    <row r="64" customFormat="false" ht="15" hidden="false" customHeight="true" outlineLevel="0" collapsed="false">
      <c r="B64" s="14" t="s">
        <v>88</v>
      </c>
      <c r="C64" s="36" t="n">
        <v>58770.74</v>
      </c>
      <c r="D64" s="36" t="n">
        <v>0</v>
      </c>
      <c r="E64" s="36" t="n">
        <v>0</v>
      </c>
      <c r="F64" s="36" t="n">
        <v>4897.57</v>
      </c>
      <c r="G64" s="36" t="n">
        <v>2137.12</v>
      </c>
      <c r="H64" s="36" t="n">
        <v>7034.69</v>
      </c>
      <c r="I64" s="37" t="s">
        <v>74</v>
      </c>
      <c r="J64" s="38" t="n">
        <v>27.5</v>
      </c>
    </row>
    <row r="65" customFormat="false" ht="15" hidden="false" customHeight="true" outlineLevel="0" collapsed="false">
      <c r="A65" s="39"/>
      <c r="B65" s="40" t="s">
        <v>17</v>
      </c>
      <c r="C65" s="41" t="n">
        <f aca="false">SUM(C59:C64)</f>
        <v>503524.71</v>
      </c>
      <c r="D65" s="41" t="n">
        <f aca="false">SUM(D59:D64)</f>
        <v>0</v>
      </c>
      <c r="E65" s="41" t="n">
        <f aca="false">SUM(E59:E64)</f>
        <v>125763.32</v>
      </c>
      <c r="F65" s="41" t="n">
        <f aca="false">SUM(F59:F64)</f>
        <v>157243.44</v>
      </c>
      <c r="G65" s="41" t="n">
        <f aca="false">SUM(G59:G64)</f>
        <v>13736.78</v>
      </c>
      <c r="H65" s="41" t="n">
        <f aca="false">SUM(H59:H64)</f>
        <v>170980.22</v>
      </c>
      <c r="I65" s="39"/>
      <c r="J65" s="39"/>
    </row>
    <row r="67" customFormat="false" ht="15" hidden="false" customHeight="true" outlineLevel="0" collapsed="false">
      <c r="A67" s="28" t="s">
        <v>26</v>
      </c>
      <c r="B67" s="28"/>
      <c r="C67" s="28"/>
      <c r="D67" s="28"/>
      <c r="E67" s="28"/>
    </row>
    <row r="68" customFormat="false" ht="15" hidden="false" customHeight="true" outlineLevel="0" collapsed="false">
      <c r="B68" s="14" t="s">
        <v>89</v>
      </c>
      <c r="C68" s="43" t="n">
        <f aca="false">G55</f>
        <v>152066.75</v>
      </c>
    </row>
    <row r="69" customFormat="false" ht="15" hidden="false" customHeight="true" outlineLevel="0" collapsed="false">
      <c r="B69" s="14" t="s">
        <v>90</v>
      </c>
      <c r="C69" s="43" t="n">
        <f aca="false">G65</f>
        <v>13736.78</v>
      </c>
    </row>
    <row r="70" customFormat="false" ht="15" hidden="false" customHeight="true" outlineLevel="0" collapsed="false">
      <c r="B70" s="17" t="s">
        <v>26</v>
      </c>
      <c r="C70" s="44" t="n">
        <f aca="false">C69-C68</f>
        <v>-138329.97</v>
      </c>
    </row>
  </sheetData>
  <mergeCells count="11">
    <mergeCell ref="A2:J2"/>
    <mergeCell ref="A3:J3"/>
    <mergeCell ref="A4:J4"/>
    <mergeCell ref="A8:J8"/>
    <mergeCell ref="B10:J10"/>
    <mergeCell ref="B24:J24"/>
    <mergeCell ref="B43:J43"/>
    <mergeCell ref="A49:J49"/>
    <mergeCell ref="A50:J50"/>
    <mergeCell ref="A57:J57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143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144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26445.19</v>
      </c>
      <c r="D11" s="24" t="n">
        <v>26445.19</v>
      </c>
    </row>
    <row r="12" customFormat="false" ht="15" hidden="false" customHeight="true" outlineLevel="0" collapsed="false">
      <c r="B12" s="9" t="s">
        <v>95</v>
      </c>
      <c r="C12" s="24" t="n">
        <v>4635.69</v>
      </c>
      <c r="D12" s="24" t="n">
        <v>4635.69</v>
      </c>
    </row>
    <row r="13" customFormat="false" ht="15" hidden="false" customHeight="true" outlineLevel="0" collapsed="false">
      <c r="B13" s="9" t="s">
        <v>96</v>
      </c>
      <c r="C13" s="24" t="n">
        <v>9118.09</v>
      </c>
      <c r="D13" s="24" t="n">
        <v>9118.09</v>
      </c>
    </row>
    <row r="14" customFormat="false" ht="15" hidden="false" customHeight="true" outlineLevel="0" collapsed="false">
      <c r="B14" s="9" t="s">
        <v>97</v>
      </c>
      <c r="C14" s="24" t="n">
        <v>17166.07</v>
      </c>
      <c r="D14" s="24" t="n">
        <v>17166.07</v>
      </c>
    </row>
    <row r="15" customFormat="false" ht="15" hidden="false" customHeight="true" outlineLevel="0" collapsed="false">
      <c r="B15" s="9" t="s">
        <v>130</v>
      </c>
      <c r="C15" s="24" t="n">
        <v>2842.52</v>
      </c>
      <c r="D15" s="24" t="n">
        <v>2842.52</v>
      </c>
    </row>
    <row r="16" customFormat="false" ht="15" hidden="false" customHeight="true" outlineLevel="0" collapsed="false">
      <c r="B16" s="9" t="s">
        <v>99</v>
      </c>
      <c r="C16" s="24" t="n">
        <v>2418.44</v>
      </c>
      <c r="D16" s="24" t="n">
        <v>2418.44</v>
      </c>
    </row>
    <row r="17" customFormat="false" ht="15" hidden="false" customHeight="true" outlineLevel="0" collapsed="false">
      <c r="B17" s="9" t="s">
        <v>100</v>
      </c>
      <c r="C17" s="24" t="n">
        <v>718.3</v>
      </c>
      <c r="D17" s="24" t="n">
        <v>718.3</v>
      </c>
    </row>
    <row r="18" customFormat="false" ht="15" hidden="false" customHeight="true" outlineLevel="0" collapsed="false">
      <c r="B18" s="9" t="s">
        <v>101</v>
      </c>
      <c r="C18" s="24" t="n">
        <v>705.03</v>
      </c>
      <c r="D18" s="24" t="n">
        <v>705.03</v>
      </c>
    </row>
    <row r="19" customFormat="false" ht="15" hidden="false" customHeight="true" outlineLevel="0" collapsed="false">
      <c r="B19" s="9" t="s">
        <v>102</v>
      </c>
      <c r="C19" s="24" t="n">
        <v>12363.8</v>
      </c>
      <c r="D19" s="24" t="n">
        <v>12363.8</v>
      </c>
    </row>
    <row r="20" customFormat="false" ht="15" hidden="false" customHeight="true" outlineLevel="0" collapsed="false">
      <c r="B20" s="9" t="s">
        <v>103</v>
      </c>
      <c r="C20" s="24" t="n">
        <v>2600.58</v>
      </c>
      <c r="D20" s="24" t="n">
        <v>2600.58</v>
      </c>
    </row>
    <row r="21" customFormat="false" ht="15" hidden="false" customHeight="true" outlineLevel="0" collapsed="false">
      <c r="B21" s="9" t="s">
        <v>131</v>
      </c>
      <c r="C21" s="24" t="n">
        <v>13431.92</v>
      </c>
      <c r="D21" s="24" t="n">
        <v>13431.92</v>
      </c>
    </row>
    <row r="22" customFormat="false" ht="15" hidden="false" customHeight="true" outlineLevel="0" collapsed="false">
      <c r="B22" s="9" t="s">
        <v>105</v>
      </c>
      <c r="C22" s="24" t="n">
        <v>1140.5</v>
      </c>
      <c r="D22" s="24" t="n">
        <v>1140.5</v>
      </c>
    </row>
    <row r="23" customFormat="false" ht="15" hidden="false" customHeight="true" outlineLevel="0" collapsed="false">
      <c r="B23" s="9" t="s">
        <v>132</v>
      </c>
      <c r="C23" s="24" t="n">
        <v>1360.86</v>
      </c>
      <c r="D23" s="24" t="n">
        <v>1360.86</v>
      </c>
    </row>
    <row r="24" customFormat="false" ht="15" hidden="false" customHeight="true" outlineLevel="0" collapsed="false">
      <c r="B24" s="9" t="s">
        <v>107</v>
      </c>
      <c r="C24" s="24" t="n">
        <v>14831.54</v>
      </c>
      <c r="D24" s="24" t="n">
        <v>14831.54</v>
      </c>
    </row>
    <row r="25" customFormat="false" ht="15" hidden="false" customHeight="true" outlineLevel="0" collapsed="false">
      <c r="A25" s="6"/>
      <c r="B25" s="7" t="s">
        <v>108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109</v>
      </c>
      <c r="C26" s="24" t="n">
        <v>19166.81</v>
      </c>
      <c r="G26" s="24" t="n">
        <v>19166.81</v>
      </c>
    </row>
    <row r="27" customFormat="false" ht="15" hidden="false" customHeight="true" outlineLevel="0" collapsed="false">
      <c r="B27" s="9" t="s">
        <v>110</v>
      </c>
      <c r="C27" s="24" t="n">
        <v>26894.18</v>
      </c>
      <c r="G27" s="24" t="n">
        <v>26894.18</v>
      </c>
    </row>
    <row r="28" customFormat="false" ht="15" hidden="false" customHeight="true" outlineLevel="0" collapsed="false">
      <c r="B28" s="9" t="s">
        <v>111</v>
      </c>
      <c r="C28" s="24" t="n">
        <v>19273.71</v>
      </c>
      <c r="G28" s="24" t="n">
        <v>19273.71</v>
      </c>
    </row>
    <row r="29" customFormat="false" ht="15" hidden="false" customHeight="true" outlineLevel="0" collapsed="false">
      <c r="B29" s="9" t="s">
        <v>112</v>
      </c>
      <c r="C29" s="24" t="n">
        <v>24003.39</v>
      </c>
      <c r="G29" s="24" t="n">
        <v>24003.39</v>
      </c>
    </row>
    <row r="30" customFormat="false" ht="15" hidden="false" customHeight="true" outlineLevel="0" collapsed="false">
      <c r="B30" s="9" t="s">
        <v>113</v>
      </c>
      <c r="C30" s="24" t="n">
        <v>23233.4</v>
      </c>
      <c r="G30" s="24" t="n">
        <v>23233.4</v>
      </c>
    </row>
    <row r="31" customFormat="false" ht="15" hidden="false" customHeight="true" outlineLevel="0" collapsed="false">
      <c r="B31" s="9" t="s">
        <v>114</v>
      </c>
      <c r="C31" s="24" t="n">
        <v>8832.92</v>
      </c>
      <c r="G31" s="24" t="n">
        <v>8832.92</v>
      </c>
    </row>
    <row r="32" customFormat="false" ht="15" hidden="false" customHeight="true" outlineLevel="0" collapsed="false">
      <c r="B32" s="9" t="s">
        <v>115</v>
      </c>
      <c r="C32" s="24" t="n">
        <v>17315.31</v>
      </c>
      <c r="G32" s="24" t="n">
        <v>17315.31</v>
      </c>
    </row>
    <row r="33" customFormat="false" ht="15" hidden="false" customHeight="true" outlineLevel="0" collapsed="false">
      <c r="B33" s="9" t="s">
        <v>116</v>
      </c>
      <c r="C33" s="24" t="n">
        <v>10659.46</v>
      </c>
      <c r="G33" s="24" t="n">
        <v>10659.46</v>
      </c>
    </row>
    <row r="34" customFormat="false" ht="15" hidden="false" customHeight="true" outlineLevel="0" collapsed="false">
      <c r="B34" s="9" t="s">
        <v>117</v>
      </c>
      <c r="C34" s="24" t="n">
        <v>12873.87</v>
      </c>
      <c r="G34" s="24" t="n">
        <v>12873.87</v>
      </c>
    </row>
    <row r="35" customFormat="false" ht="15" hidden="false" customHeight="true" outlineLevel="0" collapsed="false">
      <c r="B35" s="9" t="s">
        <v>118</v>
      </c>
      <c r="C35" s="24" t="n">
        <v>29302.11</v>
      </c>
      <c r="G35" s="24" t="n">
        <v>29302.11</v>
      </c>
    </row>
    <row r="36" customFormat="false" ht="15" hidden="false" customHeight="true" outlineLevel="0" collapsed="false">
      <c r="B36" s="9" t="s">
        <v>119</v>
      </c>
      <c r="C36" s="24" t="n">
        <v>11976.41</v>
      </c>
      <c r="G36" s="24" t="n">
        <v>11976.41</v>
      </c>
    </row>
    <row r="37" customFormat="false" ht="15" hidden="false" customHeight="true" outlineLevel="0" collapsed="false">
      <c r="B37" s="9" t="s">
        <v>120</v>
      </c>
      <c r="C37" s="24" t="n">
        <v>1737.32</v>
      </c>
      <c r="G37" s="24" t="n">
        <v>1737.32</v>
      </c>
    </row>
    <row r="38" customFormat="false" ht="15" hidden="false" customHeight="true" outlineLevel="0" collapsed="false">
      <c r="B38" s="9" t="s">
        <v>122</v>
      </c>
      <c r="C38" s="24" t="n">
        <v>63061.18</v>
      </c>
      <c r="G38" s="24" t="n">
        <v>63061.18</v>
      </c>
    </row>
    <row r="39" customFormat="false" ht="15" hidden="false" customHeight="true" outlineLevel="0" collapsed="false">
      <c r="B39" s="9" t="s">
        <v>133</v>
      </c>
      <c r="C39" s="24" t="n">
        <v>10815.9</v>
      </c>
      <c r="G39" s="24" t="n">
        <v>10815.9</v>
      </c>
    </row>
    <row r="40" customFormat="false" ht="15" hidden="false" customHeight="true" outlineLevel="0" collapsed="false">
      <c r="B40" s="9" t="s">
        <v>123</v>
      </c>
      <c r="C40" s="24" t="n">
        <v>5272.42</v>
      </c>
      <c r="G40" s="24" t="n">
        <v>5272.42</v>
      </c>
    </row>
    <row r="41" customFormat="false" ht="15" hidden="false" customHeight="true" outlineLevel="0" collapsed="false">
      <c r="B41" s="9" t="s">
        <v>134</v>
      </c>
      <c r="C41" s="24" t="n">
        <v>3303.27</v>
      </c>
      <c r="G41" s="24" t="n">
        <v>3303.27</v>
      </c>
    </row>
    <row r="42" customFormat="false" ht="15" hidden="false" customHeight="true" outlineLevel="0" collapsed="false">
      <c r="A42" s="25"/>
      <c r="B42" s="26" t="s">
        <v>57</v>
      </c>
      <c r="C42" s="27" t="n">
        <f aca="false">SUM(C10:C41)</f>
        <v>397500.19</v>
      </c>
      <c r="D42" s="27" t="n">
        <f aca="false">SUM(D10:D41)</f>
        <v>109778.53</v>
      </c>
      <c r="E42" s="27" t="n">
        <f aca="false">SUM(E10:E41)</f>
        <v>0</v>
      </c>
      <c r="F42" s="27" t="n">
        <f aca="false">SUM(F10:F41)</f>
        <v>0</v>
      </c>
      <c r="G42" s="27" t="n">
        <f aca="false">SUM(G10:G41)</f>
        <v>287721.66</v>
      </c>
      <c r="H42" s="25"/>
    </row>
    <row r="44" customFormat="false" ht="15" hidden="false" customHeight="true" outlineLevel="0" collapsed="false">
      <c r="A44" s="6"/>
      <c r="B44" s="7" t="s">
        <v>58</v>
      </c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true" outlineLevel="0" collapsed="false">
      <c r="B45" s="9" t="s">
        <v>59</v>
      </c>
      <c r="C45" s="24" t="n">
        <v>302676.39</v>
      </c>
      <c r="D45" s="24" t="n">
        <v>83590.83</v>
      </c>
      <c r="G45" s="24" t="n">
        <v>219085.56</v>
      </c>
    </row>
    <row r="46" customFormat="false" ht="15" hidden="false" customHeight="true" outlineLevel="0" collapsed="false">
      <c r="B46" s="9" t="s">
        <v>60</v>
      </c>
      <c r="C46" s="24" t="n">
        <v>32982.17</v>
      </c>
      <c r="D46" s="24" t="n">
        <v>9108.76</v>
      </c>
      <c r="G46" s="24" t="n">
        <v>23873.41</v>
      </c>
    </row>
    <row r="47" customFormat="false" ht="15" hidden="false" customHeight="true" outlineLevel="0" collapsed="false">
      <c r="B47" s="9" t="s">
        <v>61</v>
      </c>
      <c r="C47" s="24" t="n">
        <v>61841.63</v>
      </c>
      <c r="D47" s="24" t="n">
        <v>17078.94</v>
      </c>
      <c r="G47" s="24" t="n">
        <v>44762.69</v>
      </c>
    </row>
    <row r="48" customFormat="false" ht="15" hidden="false" customHeight="true" outlineLevel="0" collapsed="false">
      <c r="A48" s="25"/>
      <c r="B48" s="26" t="s">
        <v>62</v>
      </c>
      <c r="C48" s="27" t="n">
        <f aca="false">SUM(C45:C47)</f>
        <v>397500.19</v>
      </c>
      <c r="D48" s="27" t="n">
        <f aca="false">SUM(D45:D47)</f>
        <v>109778.53</v>
      </c>
      <c r="E48" s="27" t="n">
        <f aca="false">SUM(E45:E47)</f>
        <v>0</v>
      </c>
      <c r="F48" s="27" t="n">
        <f aca="false">SUM(F45:F47)</f>
        <v>0</v>
      </c>
      <c r="G48" s="27" t="n">
        <f aca="false">SUM(G45:G47)</f>
        <v>287721.66</v>
      </c>
      <c r="H48" s="25"/>
    </row>
    <row r="50" customFormat="false" ht="15" hidden="false" customHeight="true" outlineLevel="0" collapsed="false">
      <c r="A50" s="28" t="s">
        <v>63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true" outlineLevel="0" collapsed="false">
      <c r="A51" s="29" t="s">
        <v>24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true" outlineLevel="0" collapsed="false">
      <c r="A52" s="30"/>
      <c r="B52" s="30" t="s">
        <v>64</v>
      </c>
      <c r="C52" s="31" t="s">
        <v>65</v>
      </c>
      <c r="D52" s="31" t="s">
        <v>66</v>
      </c>
      <c r="E52" s="31" t="s">
        <v>67</v>
      </c>
      <c r="F52" s="31" t="s">
        <v>68</v>
      </c>
      <c r="G52" s="31" t="s">
        <v>69</v>
      </c>
      <c r="H52" s="31" t="s">
        <v>70</v>
      </c>
      <c r="I52" s="31" t="s">
        <v>71</v>
      </c>
      <c r="J52" s="31" t="s">
        <v>72</v>
      </c>
    </row>
    <row r="53" customFormat="false" ht="15" hidden="false" customHeight="true" outlineLevel="0" collapsed="false">
      <c r="B53" s="32" t="s">
        <v>73</v>
      </c>
      <c r="C53" s="33" t="n">
        <v>302676.39</v>
      </c>
      <c r="D53" s="33" t="n">
        <v>0</v>
      </c>
      <c r="E53" s="33" t="n">
        <v>0</v>
      </c>
      <c r="F53" s="33" t="n">
        <v>25223.07</v>
      </c>
      <c r="G53" s="33" t="n">
        <v>25223.07</v>
      </c>
      <c r="H53" s="33" t="n">
        <v>36229.51</v>
      </c>
      <c r="I53" s="34" t="s">
        <v>74</v>
      </c>
      <c r="J53" s="35" t="n">
        <v>27.5</v>
      </c>
    </row>
    <row r="54" customFormat="false" ht="15" hidden="false" customHeight="true" outlineLevel="0" collapsed="false">
      <c r="B54" s="14" t="s">
        <v>75</v>
      </c>
      <c r="C54" s="36" t="n">
        <v>32982.17</v>
      </c>
      <c r="D54" s="36" t="n">
        <v>0</v>
      </c>
      <c r="E54" s="36" t="n">
        <v>32982.17</v>
      </c>
      <c r="F54" s="36" t="n">
        <v>32982.17</v>
      </c>
      <c r="G54" s="36" t="n">
        <v>32982.17</v>
      </c>
      <c r="H54" s="36" t="n">
        <v>0</v>
      </c>
      <c r="I54" s="37" t="s">
        <v>76</v>
      </c>
      <c r="J54" s="38" t="n">
        <v>15</v>
      </c>
    </row>
    <row r="55" customFormat="false" ht="15" hidden="false" customHeight="true" outlineLevel="0" collapsed="false">
      <c r="B55" s="32" t="s">
        <v>77</v>
      </c>
      <c r="C55" s="33" t="n">
        <v>61841.63</v>
      </c>
      <c r="D55" s="33" t="n">
        <v>0</v>
      </c>
      <c r="E55" s="33" t="n">
        <v>61841.63</v>
      </c>
      <c r="F55" s="33" t="n">
        <v>61841.63</v>
      </c>
      <c r="G55" s="33" t="n">
        <v>61841.63</v>
      </c>
      <c r="H55" s="33" t="n">
        <v>0</v>
      </c>
      <c r="I55" s="34" t="s">
        <v>78</v>
      </c>
      <c r="J55" s="35" t="n">
        <v>5</v>
      </c>
    </row>
    <row r="56" customFormat="false" ht="15" hidden="false" customHeight="true" outlineLevel="0" collapsed="false">
      <c r="A56" s="39"/>
      <c r="B56" s="40" t="s">
        <v>17</v>
      </c>
      <c r="C56" s="41" t="n">
        <f aca="false">SUM(C53:C55)</f>
        <v>397500.19</v>
      </c>
      <c r="D56" s="41" t="n">
        <f aca="false">SUM(D53:D55)</f>
        <v>0</v>
      </c>
      <c r="E56" s="41" t="n">
        <f aca="false">SUM(E53:E55)</f>
        <v>94823.8</v>
      </c>
      <c r="F56" s="41" t="n">
        <f aca="false">SUM(F53:F55)</f>
        <v>120046.87</v>
      </c>
      <c r="G56" s="41" t="n">
        <f aca="false">SUM(G53:G55)</f>
        <v>120046.87</v>
      </c>
      <c r="H56" s="41" t="n">
        <f aca="false">SUM(H53:H55)</f>
        <v>36229.51</v>
      </c>
      <c r="I56" s="39"/>
      <c r="J56" s="39"/>
    </row>
    <row r="58" customFormat="false" ht="15" hidden="false" customHeight="true" outlineLevel="0" collapsed="false">
      <c r="A58" s="42" t="s">
        <v>79</v>
      </c>
      <c r="B58" s="42"/>
      <c r="C58" s="42"/>
      <c r="D58" s="42"/>
      <c r="E58" s="42"/>
      <c r="F58" s="42"/>
      <c r="G58" s="42"/>
      <c r="H58" s="42"/>
      <c r="I58" s="42"/>
      <c r="J58" s="42"/>
    </row>
    <row r="59" customFormat="false" ht="15" hidden="false" customHeight="true" outlineLevel="0" collapsed="false">
      <c r="A59" s="30"/>
      <c r="B59" s="30" t="s">
        <v>64</v>
      </c>
      <c r="C59" s="31" t="s">
        <v>65</v>
      </c>
      <c r="D59" s="31" t="s">
        <v>66</v>
      </c>
      <c r="E59" s="31" t="s">
        <v>67</v>
      </c>
      <c r="F59" s="31" t="s">
        <v>68</v>
      </c>
      <c r="G59" s="31" t="s">
        <v>69</v>
      </c>
      <c r="H59" s="31" t="s">
        <v>70</v>
      </c>
      <c r="I59" s="31" t="s">
        <v>71</v>
      </c>
      <c r="J59" s="31" t="s">
        <v>72</v>
      </c>
    </row>
    <row r="60" customFormat="false" ht="15" hidden="false" customHeight="true" outlineLevel="0" collapsed="false">
      <c r="B60" s="32" t="s">
        <v>125</v>
      </c>
      <c r="C60" s="33" t="n">
        <v>83590.83</v>
      </c>
      <c r="D60" s="33" t="n">
        <v>0</v>
      </c>
      <c r="E60" s="33" t="n">
        <v>83590.83</v>
      </c>
      <c r="F60" s="33" t="n">
        <v>83590.83</v>
      </c>
      <c r="G60" s="33" t="n">
        <v>0</v>
      </c>
      <c r="H60" s="33" t="n">
        <v>83590.83</v>
      </c>
      <c r="I60" s="34" t="s">
        <v>78</v>
      </c>
      <c r="J60" s="35" t="n">
        <v>5</v>
      </c>
    </row>
    <row r="61" customFormat="false" ht="15" hidden="false" customHeight="true" outlineLevel="0" collapsed="false">
      <c r="B61" s="14" t="s">
        <v>82</v>
      </c>
      <c r="C61" s="36" t="n">
        <v>219085.56</v>
      </c>
      <c r="D61" s="36" t="n">
        <v>0</v>
      </c>
      <c r="E61" s="36" t="n">
        <v>0</v>
      </c>
      <c r="F61" s="36" t="n">
        <v>18257.13</v>
      </c>
      <c r="G61" s="36" t="n">
        <v>7966.75</v>
      </c>
      <c r="H61" s="36" t="n">
        <v>26223.88</v>
      </c>
      <c r="I61" s="37" t="s">
        <v>74</v>
      </c>
      <c r="J61" s="38" t="n">
        <v>27.5</v>
      </c>
    </row>
    <row r="62" customFormat="false" ht="15" hidden="false" customHeight="true" outlineLevel="0" collapsed="false">
      <c r="B62" s="32" t="s">
        <v>126</v>
      </c>
      <c r="C62" s="33" t="n">
        <v>9108.76</v>
      </c>
      <c r="D62" s="33" t="n">
        <v>0</v>
      </c>
      <c r="E62" s="33" t="n">
        <v>9108.76</v>
      </c>
      <c r="F62" s="33" t="n">
        <v>9108.76</v>
      </c>
      <c r="G62" s="33" t="n">
        <v>0</v>
      </c>
      <c r="H62" s="33" t="n">
        <v>9108.76</v>
      </c>
      <c r="I62" s="34" t="s">
        <v>78</v>
      </c>
      <c r="J62" s="35" t="n">
        <v>5</v>
      </c>
    </row>
    <row r="63" customFormat="false" ht="15" hidden="false" customHeight="true" outlineLevel="0" collapsed="false">
      <c r="B63" s="14" t="s">
        <v>85</v>
      </c>
      <c r="C63" s="36" t="n">
        <v>23873.41</v>
      </c>
      <c r="D63" s="36" t="n">
        <v>0</v>
      </c>
      <c r="E63" s="36" t="n">
        <v>0</v>
      </c>
      <c r="F63" s="36" t="n">
        <v>1989.44</v>
      </c>
      <c r="G63" s="36" t="n">
        <v>868.12</v>
      </c>
      <c r="H63" s="36" t="n">
        <v>2857.56</v>
      </c>
      <c r="I63" s="37" t="s">
        <v>74</v>
      </c>
      <c r="J63" s="38" t="n">
        <v>27.5</v>
      </c>
    </row>
    <row r="64" customFormat="false" ht="15" hidden="false" customHeight="true" outlineLevel="0" collapsed="false">
      <c r="B64" s="32" t="s">
        <v>127</v>
      </c>
      <c r="C64" s="33" t="n">
        <v>17078.94</v>
      </c>
      <c r="D64" s="33" t="n">
        <v>0</v>
      </c>
      <c r="E64" s="33" t="n">
        <v>17078.94</v>
      </c>
      <c r="F64" s="33" t="n">
        <v>17078.94</v>
      </c>
      <c r="G64" s="33" t="n">
        <v>0</v>
      </c>
      <c r="H64" s="33" t="n">
        <v>17078.94</v>
      </c>
      <c r="I64" s="34" t="s">
        <v>78</v>
      </c>
      <c r="J64" s="35" t="n">
        <v>5</v>
      </c>
    </row>
    <row r="65" customFormat="false" ht="15" hidden="false" customHeight="true" outlineLevel="0" collapsed="false">
      <c r="B65" s="14" t="s">
        <v>88</v>
      </c>
      <c r="C65" s="36" t="n">
        <v>44762.69</v>
      </c>
      <c r="D65" s="36" t="n">
        <v>0</v>
      </c>
      <c r="E65" s="36" t="n">
        <v>0</v>
      </c>
      <c r="F65" s="36" t="n">
        <v>3730.22</v>
      </c>
      <c r="G65" s="36" t="n">
        <v>1627.73</v>
      </c>
      <c r="H65" s="36" t="n">
        <v>5357.95</v>
      </c>
      <c r="I65" s="37" t="s">
        <v>74</v>
      </c>
      <c r="J65" s="38" t="n">
        <v>27.5</v>
      </c>
    </row>
    <row r="66" customFormat="false" ht="15" hidden="false" customHeight="true" outlineLevel="0" collapsed="false">
      <c r="A66" s="39"/>
      <c r="B66" s="40" t="s">
        <v>17</v>
      </c>
      <c r="C66" s="41" t="n">
        <f aca="false">SUM(C60:C65)</f>
        <v>397500.19</v>
      </c>
      <c r="D66" s="41" t="n">
        <f aca="false">SUM(D60:D65)</f>
        <v>0</v>
      </c>
      <c r="E66" s="41" t="n">
        <f aca="false">SUM(E60:E65)</f>
        <v>109778.53</v>
      </c>
      <c r="F66" s="41" t="n">
        <f aca="false">SUM(F60:F65)</f>
        <v>133755.32</v>
      </c>
      <c r="G66" s="41" t="n">
        <f aca="false">SUM(G60:G65)</f>
        <v>10462.6</v>
      </c>
      <c r="H66" s="41" t="n">
        <f aca="false">SUM(H60:H65)</f>
        <v>144217.92</v>
      </c>
      <c r="I66" s="39"/>
      <c r="J66" s="39"/>
    </row>
    <row r="68" customFormat="false" ht="15" hidden="false" customHeight="true" outlineLevel="0" collapsed="false">
      <c r="A68" s="28" t="s">
        <v>26</v>
      </c>
      <c r="B68" s="28"/>
      <c r="C68" s="28"/>
      <c r="D68" s="28"/>
      <c r="E68" s="28"/>
    </row>
    <row r="69" customFormat="false" ht="15" hidden="false" customHeight="true" outlineLevel="0" collapsed="false">
      <c r="B69" s="14" t="s">
        <v>89</v>
      </c>
      <c r="C69" s="43" t="n">
        <f aca="false">G56</f>
        <v>120046.87</v>
      </c>
    </row>
    <row r="70" customFormat="false" ht="15" hidden="false" customHeight="true" outlineLevel="0" collapsed="false">
      <c r="B70" s="14" t="s">
        <v>90</v>
      </c>
      <c r="C70" s="43" t="n">
        <f aca="false">G66</f>
        <v>10462.6</v>
      </c>
    </row>
    <row r="71" customFormat="false" ht="15" hidden="false" customHeight="true" outlineLevel="0" collapsed="false">
      <c r="B71" s="17" t="s">
        <v>26</v>
      </c>
      <c r="C71" s="44" t="n">
        <f aca="false">C70-C69</f>
        <v>-109584.27</v>
      </c>
    </row>
  </sheetData>
  <mergeCells count="11">
    <mergeCell ref="A2:J2"/>
    <mergeCell ref="A3:J3"/>
    <mergeCell ref="A4:J4"/>
    <mergeCell ref="A8:J8"/>
    <mergeCell ref="B10:J10"/>
    <mergeCell ref="B25:J25"/>
    <mergeCell ref="B44:J44"/>
    <mergeCell ref="A50:J50"/>
    <mergeCell ref="A51:J51"/>
    <mergeCell ref="A58:J58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145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146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26757.81</v>
      </c>
      <c r="D11" s="24" t="n">
        <v>26757.81</v>
      </c>
    </row>
    <row r="12" customFormat="false" ht="15" hidden="false" customHeight="true" outlineLevel="0" collapsed="false">
      <c r="B12" s="9" t="s">
        <v>95</v>
      </c>
      <c r="C12" s="24" t="n">
        <v>7990.89</v>
      </c>
      <c r="D12" s="24" t="n">
        <v>7990.89</v>
      </c>
    </row>
    <row r="13" customFormat="false" ht="15" hidden="false" customHeight="true" outlineLevel="0" collapsed="false">
      <c r="B13" s="9" t="s">
        <v>97</v>
      </c>
      <c r="C13" s="24" t="n">
        <v>37800.94</v>
      </c>
      <c r="D13" s="24" t="n">
        <v>37800.94</v>
      </c>
    </row>
    <row r="14" customFormat="false" ht="15" hidden="false" customHeight="true" outlineLevel="0" collapsed="false">
      <c r="B14" s="9" t="s">
        <v>130</v>
      </c>
      <c r="C14" s="24" t="n">
        <v>2842.52</v>
      </c>
      <c r="D14" s="24" t="n">
        <v>2842.52</v>
      </c>
    </row>
    <row r="15" customFormat="false" ht="15" hidden="false" customHeight="true" outlineLevel="0" collapsed="false">
      <c r="B15" s="9" t="s">
        <v>99</v>
      </c>
      <c r="C15" s="24" t="n">
        <v>2418.44</v>
      </c>
      <c r="D15" s="24" t="n">
        <v>2418.44</v>
      </c>
    </row>
    <row r="16" customFormat="false" ht="15" hidden="false" customHeight="true" outlineLevel="0" collapsed="false">
      <c r="B16" s="9" t="s">
        <v>100</v>
      </c>
      <c r="C16" s="24" t="n">
        <v>718.3</v>
      </c>
      <c r="D16" s="24" t="n">
        <v>718.3</v>
      </c>
    </row>
    <row r="17" customFormat="false" ht="15" hidden="false" customHeight="true" outlineLevel="0" collapsed="false">
      <c r="B17" s="9" t="s">
        <v>101</v>
      </c>
      <c r="C17" s="24" t="n">
        <v>705.03</v>
      </c>
      <c r="D17" s="24" t="n">
        <v>705.03</v>
      </c>
    </row>
    <row r="18" customFormat="false" ht="15" hidden="false" customHeight="true" outlineLevel="0" collapsed="false">
      <c r="B18" s="9" t="s">
        <v>102</v>
      </c>
      <c r="C18" s="24" t="n">
        <v>12363.8</v>
      </c>
      <c r="D18" s="24" t="n">
        <v>12363.8</v>
      </c>
    </row>
    <row r="19" customFormat="false" ht="15" hidden="false" customHeight="true" outlineLevel="0" collapsed="false">
      <c r="B19" s="9" t="s">
        <v>103</v>
      </c>
      <c r="C19" s="24" t="n">
        <v>3400.77</v>
      </c>
      <c r="D19" s="24" t="n">
        <v>3400.77</v>
      </c>
    </row>
    <row r="20" customFormat="false" ht="15" hidden="false" customHeight="true" outlineLevel="0" collapsed="false">
      <c r="B20" s="9" t="s">
        <v>131</v>
      </c>
      <c r="C20" s="24" t="n">
        <v>13431.92</v>
      </c>
      <c r="D20" s="24" t="n">
        <v>13431.92</v>
      </c>
    </row>
    <row r="21" customFormat="false" ht="15" hidden="false" customHeight="true" outlineLevel="0" collapsed="false">
      <c r="B21" s="9" t="s">
        <v>105</v>
      </c>
      <c r="C21" s="24" t="n">
        <v>1140.5</v>
      </c>
      <c r="D21" s="24" t="n">
        <v>1140.5</v>
      </c>
    </row>
    <row r="22" customFormat="false" ht="15" hidden="false" customHeight="true" outlineLevel="0" collapsed="false">
      <c r="B22" s="9" t="s">
        <v>132</v>
      </c>
      <c r="C22" s="24" t="n">
        <v>1360.86</v>
      </c>
      <c r="D22" s="24" t="n">
        <v>1360.86</v>
      </c>
    </row>
    <row r="23" customFormat="false" ht="15" hidden="false" customHeight="true" outlineLevel="0" collapsed="false">
      <c r="B23" s="9" t="s">
        <v>107</v>
      </c>
      <c r="C23" s="24" t="n">
        <v>14831.54</v>
      </c>
      <c r="D23" s="24" t="n">
        <v>14831.54</v>
      </c>
    </row>
    <row r="24" customFormat="false" ht="15" hidden="false" customHeight="true" outlineLevel="0" collapsed="false">
      <c r="A24" s="6"/>
      <c r="B24" s="7" t="s">
        <v>108</v>
      </c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B25" s="9" t="s">
        <v>109</v>
      </c>
      <c r="C25" s="24" t="n">
        <v>25110.72</v>
      </c>
      <c r="G25" s="24" t="n">
        <v>25110.72</v>
      </c>
    </row>
    <row r="26" customFormat="false" ht="15" hidden="false" customHeight="true" outlineLevel="0" collapsed="false">
      <c r="B26" s="9" t="s">
        <v>110</v>
      </c>
      <c r="C26" s="24" t="n">
        <v>35390.34</v>
      </c>
      <c r="G26" s="24" t="n">
        <v>35390.34</v>
      </c>
    </row>
    <row r="27" customFormat="false" ht="15" hidden="false" customHeight="true" outlineLevel="0" collapsed="false">
      <c r="B27" s="9" t="s">
        <v>111</v>
      </c>
      <c r="C27" s="24" t="n">
        <v>29008.33</v>
      </c>
      <c r="G27" s="24" t="n">
        <v>29008.33</v>
      </c>
    </row>
    <row r="28" customFormat="false" ht="15" hidden="false" customHeight="true" outlineLevel="0" collapsed="false">
      <c r="B28" s="9" t="s">
        <v>112</v>
      </c>
      <c r="C28" s="24" t="n">
        <v>31389.04</v>
      </c>
      <c r="G28" s="24" t="n">
        <v>31389.04</v>
      </c>
    </row>
    <row r="29" customFormat="false" ht="15" hidden="false" customHeight="true" outlineLevel="0" collapsed="false">
      <c r="B29" s="9" t="s">
        <v>113</v>
      </c>
      <c r="C29" s="24" t="n">
        <v>26496.62</v>
      </c>
      <c r="G29" s="24" t="n">
        <v>26496.62</v>
      </c>
    </row>
    <row r="30" customFormat="false" ht="15" hidden="false" customHeight="true" outlineLevel="0" collapsed="false">
      <c r="B30" s="9" t="s">
        <v>114</v>
      </c>
      <c r="C30" s="24" t="n">
        <v>12009.05</v>
      </c>
      <c r="G30" s="24" t="n">
        <v>12009.05</v>
      </c>
    </row>
    <row r="31" customFormat="false" ht="15" hidden="false" customHeight="true" outlineLevel="0" collapsed="false">
      <c r="B31" s="9" t="s">
        <v>115</v>
      </c>
      <c r="C31" s="24" t="n">
        <v>23153.47</v>
      </c>
      <c r="G31" s="24" t="n">
        <v>23153.47</v>
      </c>
    </row>
    <row r="32" customFormat="false" ht="15" hidden="false" customHeight="true" outlineLevel="0" collapsed="false">
      <c r="B32" s="9" t="s">
        <v>116</v>
      </c>
      <c r="C32" s="24" t="n">
        <v>10659.46</v>
      </c>
      <c r="G32" s="24" t="n">
        <v>10659.46</v>
      </c>
    </row>
    <row r="33" customFormat="false" ht="15" hidden="false" customHeight="true" outlineLevel="0" collapsed="false">
      <c r="B33" s="9" t="s">
        <v>117</v>
      </c>
      <c r="C33" s="24" t="n">
        <v>16835.06</v>
      </c>
      <c r="G33" s="24" t="n">
        <v>16835.06</v>
      </c>
    </row>
    <row r="34" customFormat="false" ht="15" hidden="false" customHeight="true" outlineLevel="0" collapsed="false">
      <c r="B34" s="9" t="s">
        <v>118</v>
      </c>
      <c r="C34" s="24" t="n">
        <v>39604.25</v>
      </c>
      <c r="G34" s="24" t="n">
        <v>39604.25</v>
      </c>
    </row>
    <row r="35" customFormat="false" ht="15" hidden="false" customHeight="true" outlineLevel="0" collapsed="false">
      <c r="B35" s="9" t="s">
        <v>119</v>
      </c>
      <c r="C35" s="24" t="n">
        <v>16001</v>
      </c>
      <c r="G35" s="24" t="n">
        <v>16001</v>
      </c>
    </row>
    <row r="36" customFormat="false" ht="15" hidden="false" customHeight="true" outlineLevel="0" collapsed="false">
      <c r="B36" s="9" t="s">
        <v>120</v>
      </c>
      <c r="C36" s="24" t="n">
        <v>1863.69</v>
      </c>
      <c r="G36" s="24" t="n">
        <v>1863.69</v>
      </c>
    </row>
    <row r="37" customFormat="false" ht="15" hidden="false" customHeight="true" outlineLevel="0" collapsed="false">
      <c r="B37" s="9" t="s">
        <v>122</v>
      </c>
      <c r="C37" s="24" t="n">
        <v>82713.76</v>
      </c>
      <c r="G37" s="24" t="n">
        <v>82713.76</v>
      </c>
    </row>
    <row r="38" customFormat="false" ht="15" hidden="false" customHeight="true" outlineLevel="0" collapsed="false">
      <c r="B38" s="9" t="s">
        <v>133</v>
      </c>
      <c r="C38" s="24" t="n">
        <v>10815.9</v>
      </c>
      <c r="G38" s="24" t="n">
        <v>10815.9</v>
      </c>
    </row>
    <row r="39" customFormat="false" ht="15" hidden="false" customHeight="true" outlineLevel="0" collapsed="false">
      <c r="B39" s="9" t="s">
        <v>123</v>
      </c>
      <c r="C39" s="24" t="n">
        <v>9740.22</v>
      </c>
      <c r="G39" s="24" t="n">
        <v>9740.22</v>
      </c>
    </row>
    <row r="40" customFormat="false" ht="15" hidden="false" customHeight="true" outlineLevel="0" collapsed="false">
      <c r="B40" s="9" t="s">
        <v>134</v>
      </c>
      <c r="C40" s="24" t="n">
        <v>6970.48</v>
      </c>
      <c r="G40" s="24" t="n">
        <v>6970.48</v>
      </c>
    </row>
    <row r="41" customFormat="false" ht="15" hidden="false" customHeight="true" outlineLevel="0" collapsed="false">
      <c r="A41" s="25"/>
      <c r="B41" s="26" t="s">
        <v>57</v>
      </c>
      <c r="C41" s="27" t="n">
        <f aca="false">SUM(C10:C40)</f>
        <v>503524.71</v>
      </c>
      <c r="D41" s="27" t="n">
        <f aca="false">SUM(D10:D40)</f>
        <v>125763.32</v>
      </c>
      <c r="E41" s="27" t="n">
        <f aca="false">SUM(E10:E40)</f>
        <v>0</v>
      </c>
      <c r="F41" s="27" t="n">
        <f aca="false">SUM(F10:F40)</f>
        <v>0</v>
      </c>
      <c r="G41" s="27" t="n">
        <f aca="false">SUM(G10:G40)</f>
        <v>377761.39</v>
      </c>
      <c r="H41" s="25"/>
    </row>
    <row r="43" customFormat="false" ht="15" hidden="false" customHeight="true" outlineLevel="0" collapsed="false">
      <c r="A43" s="6"/>
      <c r="B43" s="7" t="s">
        <v>58</v>
      </c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true" outlineLevel="0" collapsed="false">
      <c r="B44" s="9" t="s">
        <v>59</v>
      </c>
      <c r="C44" s="24" t="n">
        <v>383408.73</v>
      </c>
      <c r="D44" s="24" t="n">
        <v>95762.44</v>
      </c>
      <c r="G44" s="24" t="n">
        <v>287646.29</v>
      </c>
    </row>
    <row r="45" customFormat="false" ht="15" hidden="false" customHeight="true" outlineLevel="0" collapsed="false">
      <c r="B45" s="9" t="s">
        <v>60</v>
      </c>
      <c r="C45" s="24" t="n">
        <v>41779.44</v>
      </c>
      <c r="D45" s="24" t="n">
        <v>10435.08</v>
      </c>
      <c r="G45" s="24" t="n">
        <v>31344.36</v>
      </c>
    </row>
    <row r="46" customFormat="false" ht="15" hidden="false" customHeight="true" outlineLevel="0" collapsed="false">
      <c r="B46" s="9" t="s">
        <v>61</v>
      </c>
      <c r="C46" s="24" t="n">
        <v>78336.54</v>
      </c>
      <c r="D46" s="24" t="n">
        <v>19565.8</v>
      </c>
      <c r="G46" s="24" t="n">
        <v>58770.74</v>
      </c>
    </row>
    <row r="47" customFormat="false" ht="15" hidden="false" customHeight="true" outlineLevel="0" collapsed="false">
      <c r="A47" s="25"/>
      <c r="B47" s="26" t="s">
        <v>62</v>
      </c>
      <c r="C47" s="27" t="n">
        <f aca="false">SUM(C44:C46)</f>
        <v>503524.71</v>
      </c>
      <c r="D47" s="27" t="n">
        <f aca="false">SUM(D44:D46)</f>
        <v>125763.32</v>
      </c>
      <c r="E47" s="27" t="n">
        <f aca="false">SUM(E44:E46)</f>
        <v>0</v>
      </c>
      <c r="F47" s="27" t="n">
        <f aca="false">SUM(F44:F46)</f>
        <v>0</v>
      </c>
      <c r="G47" s="27" t="n">
        <f aca="false">SUM(G44:G46)</f>
        <v>377761.39</v>
      </c>
      <c r="H47" s="25"/>
    </row>
    <row r="49" customFormat="false" ht="15" hidden="false" customHeight="true" outlineLevel="0" collapsed="false">
      <c r="A49" s="28" t="s">
        <v>63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true" outlineLevel="0" collapsed="false">
      <c r="A50" s="29" t="s">
        <v>24</v>
      </c>
      <c r="B50" s="29"/>
      <c r="C50" s="29"/>
      <c r="D50" s="29"/>
      <c r="E50" s="29"/>
      <c r="F50" s="29"/>
      <c r="G50" s="29"/>
      <c r="H50" s="29"/>
      <c r="I50" s="29"/>
      <c r="J50" s="29"/>
    </row>
    <row r="51" customFormat="false" ht="15" hidden="false" customHeight="true" outlineLevel="0" collapsed="false">
      <c r="A51" s="30"/>
      <c r="B51" s="30" t="s">
        <v>64</v>
      </c>
      <c r="C51" s="31" t="s">
        <v>65</v>
      </c>
      <c r="D51" s="31" t="s">
        <v>66</v>
      </c>
      <c r="E51" s="31" t="s">
        <v>67</v>
      </c>
      <c r="F51" s="31" t="s">
        <v>68</v>
      </c>
      <c r="G51" s="31" t="s">
        <v>69</v>
      </c>
      <c r="H51" s="31" t="s">
        <v>70</v>
      </c>
      <c r="I51" s="31" t="s">
        <v>71</v>
      </c>
      <c r="J51" s="31" t="s">
        <v>72</v>
      </c>
    </row>
    <row r="52" customFormat="false" ht="15" hidden="false" customHeight="true" outlineLevel="0" collapsed="false">
      <c r="B52" s="32" t="s">
        <v>73</v>
      </c>
      <c r="C52" s="33" t="n">
        <v>383408.73</v>
      </c>
      <c r="D52" s="33" t="n">
        <v>0</v>
      </c>
      <c r="E52" s="33" t="n">
        <v>0</v>
      </c>
      <c r="F52" s="33" t="n">
        <v>31950.77</v>
      </c>
      <c r="G52" s="33" t="n">
        <v>31950.77</v>
      </c>
      <c r="H52" s="33" t="n">
        <v>45892.94</v>
      </c>
      <c r="I52" s="34" t="s">
        <v>74</v>
      </c>
      <c r="J52" s="35" t="n">
        <v>27.5</v>
      </c>
    </row>
    <row r="53" customFormat="false" ht="15" hidden="false" customHeight="true" outlineLevel="0" collapsed="false">
      <c r="B53" s="14" t="s">
        <v>75</v>
      </c>
      <c r="C53" s="36" t="n">
        <v>41779.44</v>
      </c>
      <c r="D53" s="36" t="n">
        <v>0</v>
      </c>
      <c r="E53" s="36" t="n">
        <v>41779.44</v>
      </c>
      <c r="F53" s="36" t="n">
        <v>41779.44</v>
      </c>
      <c r="G53" s="36" t="n">
        <v>41779.44</v>
      </c>
      <c r="H53" s="36" t="n">
        <v>0</v>
      </c>
      <c r="I53" s="37" t="s">
        <v>76</v>
      </c>
      <c r="J53" s="38" t="n">
        <v>15</v>
      </c>
    </row>
    <row r="54" customFormat="false" ht="15" hidden="false" customHeight="true" outlineLevel="0" collapsed="false">
      <c r="B54" s="32" t="s">
        <v>77</v>
      </c>
      <c r="C54" s="33" t="n">
        <v>78336.54</v>
      </c>
      <c r="D54" s="33" t="n">
        <v>0</v>
      </c>
      <c r="E54" s="33" t="n">
        <v>78336.54</v>
      </c>
      <c r="F54" s="33" t="n">
        <v>78336.54</v>
      </c>
      <c r="G54" s="33" t="n">
        <v>78336.54</v>
      </c>
      <c r="H54" s="33" t="n">
        <v>0</v>
      </c>
      <c r="I54" s="34" t="s">
        <v>78</v>
      </c>
      <c r="J54" s="35" t="n">
        <v>5</v>
      </c>
    </row>
    <row r="55" customFormat="false" ht="15" hidden="false" customHeight="true" outlineLevel="0" collapsed="false">
      <c r="A55" s="39"/>
      <c r="B55" s="40" t="s">
        <v>17</v>
      </c>
      <c r="C55" s="41" t="n">
        <f aca="false">SUM(C52:C54)</f>
        <v>503524.71</v>
      </c>
      <c r="D55" s="41" t="n">
        <f aca="false">SUM(D52:D54)</f>
        <v>0</v>
      </c>
      <c r="E55" s="41" t="n">
        <f aca="false">SUM(E52:E54)</f>
        <v>120115.98</v>
      </c>
      <c r="F55" s="41" t="n">
        <f aca="false">SUM(F52:F54)</f>
        <v>152066.75</v>
      </c>
      <c r="G55" s="41" t="n">
        <f aca="false">SUM(G52:G54)</f>
        <v>152066.75</v>
      </c>
      <c r="H55" s="41" t="n">
        <f aca="false">SUM(H52:H54)</f>
        <v>45892.94</v>
      </c>
      <c r="I55" s="39"/>
      <c r="J55" s="39"/>
    </row>
    <row r="57" customFormat="false" ht="15" hidden="false" customHeight="true" outlineLevel="0" collapsed="false">
      <c r="A57" s="42" t="s">
        <v>79</v>
      </c>
      <c r="B57" s="42"/>
      <c r="C57" s="42"/>
      <c r="D57" s="42"/>
      <c r="E57" s="42"/>
      <c r="F57" s="42"/>
      <c r="G57" s="42"/>
      <c r="H57" s="42"/>
      <c r="I57" s="42"/>
      <c r="J57" s="42"/>
    </row>
    <row r="58" customFormat="false" ht="15" hidden="false" customHeight="true" outlineLevel="0" collapsed="false">
      <c r="A58" s="30"/>
      <c r="B58" s="30" t="s">
        <v>64</v>
      </c>
      <c r="C58" s="31" t="s">
        <v>65</v>
      </c>
      <c r="D58" s="31" t="s">
        <v>66</v>
      </c>
      <c r="E58" s="31" t="s">
        <v>67</v>
      </c>
      <c r="F58" s="31" t="s">
        <v>68</v>
      </c>
      <c r="G58" s="31" t="s">
        <v>69</v>
      </c>
      <c r="H58" s="31" t="s">
        <v>70</v>
      </c>
      <c r="I58" s="31" t="s">
        <v>71</v>
      </c>
      <c r="J58" s="31" t="s">
        <v>72</v>
      </c>
    </row>
    <row r="59" customFormat="false" ht="15" hidden="false" customHeight="true" outlineLevel="0" collapsed="false">
      <c r="B59" s="32" t="s">
        <v>125</v>
      </c>
      <c r="C59" s="33" t="n">
        <v>95762.44</v>
      </c>
      <c r="D59" s="33" t="n">
        <v>0</v>
      </c>
      <c r="E59" s="33" t="n">
        <v>95762.44</v>
      </c>
      <c r="F59" s="33" t="n">
        <v>95762.44</v>
      </c>
      <c r="G59" s="33" t="n">
        <v>0</v>
      </c>
      <c r="H59" s="33" t="n">
        <v>95762.44</v>
      </c>
      <c r="I59" s="34" t="s">
        <v>78</v>
      </c>
      <c r="J59" s="35" t="n">
        <v>5</v>
      </c>
    </row>
    <row r="60" customFormat="false" ht="15" hidden="false" customHeight="true" outlineLevel="0" collapsed="false">
      <c r="B60" s="14" t="s">
        <v>82</v>
      </c>
      <c r="C60" s="36" t="n">
        <v>287646.29</v>
      </c>
      <c r="D60" s="36" t="n">
        <v>0</v>
      </c>
      <c r="E60" s="36" t="n">
        <v>0</v>
      </c>
      <c r="F60" s="36" t="n">
        <v>23970.53</v>
      </c>
      <c r="G60" s="36" t="n">
        <v>10459.87</v>
      </c>
      <c r="H60" s="36" t="n">
        <v>34430.4</v>
      </c>
      <c r="I60" s="37" t="s">
        <v>74</v>
      </c>
      <c r="J60" s="38" t="n">
        <v>27.5</v>
      </c>
    </row>
    <row r="61" customFormat="false" ht="15" hidden="false" customHeight="true" outlineLevel="0" collapsed="false">
      <c r="B61" s="32" t="s">
        <v>126</v>
      </c>
      <c r="C61" s="33" t="n">
        <v>10435.08</v>
      </c>
      <c r="D61" s="33" t="n">
        <v>0</v>
      </c>
      <c r="E61" s="33" t="n">
        <v>10435.08</v>
      </c>
      <c r="F61" s="33" t="n">
        <v>10435.08</v>
      </c>
      <c r="G61" s="33" t="n">
        <v>0</v>
      </c>
      <c r="H61" s="33" t="n">
        <v>10435.08</v>
      </c>
      <c r="I61" s="34" t="s">
        <v>78</v>
      </c>
      <c r="J61" s="35" t="n">
        <v>5</v>
      </c>
    </row>
    <row r="62" customFormat="false" ht="15" hidden="false" customHeight="true" outlineLevel="0" collapsed="false">
      <c r="B62" s="14" t="s">
        <v>85</v>
      </c>
      <c r="C62" s="36" t="n">
        <v>31344.36</v>
      </c>
      <c r="D62" s="36" t="n">
        <v>0</v>
      </c>
      <c r="E62" s="36" t="n">
        <v>0</v>
      </c>
      <c r="F62" s="36" t="n">
        <v>2612.02</v>
      </c>
      <c r="G62" s="36" t="n">
        <v>1139.79</v>
      </c>
      <c r="H62" s="36" t="n">
        <v>3751.81</v>
      </c>
      <c r="I62" s="37" t="s">
        <v>74</v>
      </c>
      <c r="J62" s="38" t="n">
        <v>27.5</v>
      </c>
    </row>
    <row r="63" customFormat="false" ht="15" hidden="false" customHeight="true" outlineLevel="0" collapsed="false">
      <c r="B63" s="32" t="s">
        <v>127</v>
      </c>
      <c r="C63" s="33" t="n">
        <v>19565.8</v>
      </c>
      <c r="D63" s="33" t="n">
        <v>0</v>
      </c>
      <c r="E63" s="33" t="n">
        <v>19565.8</v>
      </c>
      <c r="F63" s="33" t="n">
        <v>19565.8</v>
      </c>
      <c r="G63" s="33" t="n">
        <v>0</v>
      </c>
      <c r="H63" s="33" t="n">
        <v>19565.8</v>
      </c>
      <c r="I63" s="34" t="s">
        <v>78</v>
      </c>
      <c r="J63" s="35" t="n">
        <v>5</v>
      </c>
    </row>
    <row r="64" customFormat="false" ht="15" hidden="false" customHeight="true" outlineLevel="0" collapsed="false">
      <c r="B64" s="14" t="s">
        <v>88</v>
      </c>
      <c r="C64" s="36" t="n">
        <v>58770.74</v>
      </c>
      <c r="D64" s="36" t="n">
        <v>0</v>
      </c>
      <c r="E64" s="36" t="n">
        <v>0</v>
      </c>
      <c r="F64" s="36" t="n">
        <v>4897.57</v>
      </c>
      <c r="G64" s="36" t="n">
        <v>2137.12</v>
      </c>
      <c r="H64" s="36" t="n">
        <v>7034.69</v>
      </c>
      <c r="I64" s="37" t="s">
        <v>74</v>
      </c>
      <c r="J64" s="38" t="n">
        <v>27.5</v>
      </c>
    </row>
    <row r="65" customFormat="false" ht="15" hidden="false" customHeight="true" outlineLevel="0" collapsed="false">
      <c r="A65" s="39"/>
      <c r="B65" s="40" t="s">
        <v>17</v>
      </c>
      <c r="C65" s="41" t="n">
        <f aca="false">SUM(C59:C64)</f>
        <v>503524.71</v>
      </c>
      <c r="D65" s="41" t="n">
        <f aca="false">SUM(D59:D64)</f>
        <v>0</v>
      </c>
      <c r="E65" s="41" t="n">
        <f aca="false">SUM(E59:E64)</f>
        <v>125763.32</v>
      </c>
      <c r="F65" s="41" t="n">
        <f aca="false">SUM(F59:F64)</f>
        <v>157243.44</v>
      </c>
      <c r="G65" s="41" t="n">
        <f aca="false">SUM(G59:G64)</f>
        <v>13736.78</v>
      </c>
      <c r="H65" s="41" t="n">
        <f aca="false">SUM(H59:H64)</f>
        <v>170980.22</v>
      </c>
      <c r="I65" s="39"/>
      <c r="J65" s="39"/>
    </row>
    <row r="67" customFormat="false" ht="15" hidden="false" customHeight="true" outlineLevel="0" collapsed="false">
      <c r="A67" s="28" t="s">
        <v>26</v>
      </c>
      <c r="B67" s="28"/>
      <c r="C67" s="28"/>
      <c r="D67" s="28"/>
      <c r="E67" s="28"/>
    </row>
    <row r="68" customFormat="false" ht="15" hidden="false" customHeight="true" outlineLevel="0" collapsed="false">
      <c r="B68" s="14" t="s">
        <v>89</v>
      </c>
      <c r="C68" s="43" t="n">
        <f aca="false">G55</f>
        <v>152066.75</v>
      </c>
    </row>
    <row r="69" customFormat="false" ht="15" hidden="false" customHeight="true" outlineLevel="0" collapsed="false">
      <c r="B69" s="14" t="s">
        <v>90</v>
      </c>
      <c r="C69" s="43" t="n">
        <f aca="false">G65</f>
        <v>13736.78</v>
      </c>
    </row>
    <row r="70" customFormat="false" ht="15" hidden="false" customHeight="true" outlineLevel="0" collapsed="false">
      <c r="B70" s="17" t="s">
        <v>26</v>
      </c>
      <c r="C70" s="44" t="n">
        <f aca="false">C69-C68</f>
        <v>-138329.97</v>
      </c>
    </row>
  </sheetData>
  <mergeCells count="11">
    <mergeCell ref="A2:J2"/>
    <mergeCell ref="A3:J3"/>
    <mergeCell ref="A4:J4"/>
    <mergeCell ref="A8:J8"/>
    <mergeCell ref="B10:J10"/>
    <mergeCell ref="B24:J24"/>
    <mergeCell ref="B43:J43"/>
    <mergeCell ref="A49:J49"/>
    <mergeCell ref="A50:J50"/>
    <mergeCell ref="A57:J57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147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148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26445.19</v>
      </c>
      <c r="D11" s="24" t="n">
        <v>26445.19</v>
      </c>
    </row>
    <row r="12" customFormat="false" ht="15" hidden="false" customHeight="true" outlineLevel="0" collapsed="false">
      <c r="B12" s="9" t="s">
        <v>95</v>
      </c>
      <c r="C12" s="24" t="n">
        <v>4635.69</v>
      </c>
      <c r="D12" s="24" t="n">
        <v>4635.69</v>
      </c>
    </row>
    <row r="13" customFormat="false" ht="15" hidden="false" customHeight="true" outlineLevel="0" collapsed="false">
      <c r="B13" s="9" t="s">
        <v>96</v>
      </c>
      <c r="C13" s="24" t="n">
        <v>9118.09</v>
      </c>
      <c r="D13" s="24" t="n">
        <v>9118.09</v>
      </c>
    </row>
    <row r="14" customFormat="false" ht="15" hidden="false" customHeight="true" outlineLevel="0" collapsed="false">
      <c r="B14" s="9" t="s">
        <v>97</v>
      </c>
      <c r="C14" s="24" t="n">
        <v>17166.07</v>
      </c>
      <c r="D14" s="24" t="n">
        <v>17166.07</v>
      </c>
    </row>
    <row r="15" customFormat="false" ht="15" hidden="false" customHeight="true" outlineLevel="0" collapsed="false">
      <c r="B15" s="9" t="s">
        <v>130</v>
      </c>
      <c r="C15" s="24" t="n">
        <v>2842.52</v>
      </c>
      <c r="D15" s="24" t="n">
        <v>2842.52</v>
      </c>
    </row>
    <row r="16" customFormat="false" ht="15" hidden="false" customHeight="true" outlineLevel="0" collapsed="false">
      <c r="B16" s="9" t="s">
        <v>99</v>
      </c>
      <c r="C16" s="24" t="n">
        <v>2418.44</v>
      </c>
      <c r="D16" s="24" t="n">
        <v>2418.44</v>
      </c>
    </row>
    <row r="17" customFormat="false" ht="15" hidden="false" customHeight="true" outlineLevel="0" collapsed="false">
      <c r="B17" s="9" t="s">
        <v>100</v>
      </c>
      <c r="C17" s="24" t="n">
        <v>718.3</v>
      </c>
      <c r="D17" s="24" t="n">
        <v>718.3</v>
      </c>
    </row>
    <row r="18" customFormat="false" ht="15" hidden="false" customHeight="true" outlineLevel="0" collapsed="false">
      <c r="B18" s="9" t="s">
        <v>101</v>
      </c>
      <c r="C18" s="24" t="n">
        <v>705.03</v>
      </c>
      <c r="D18" s="24" t="n">
        <v>705.03</v>
      </c>
    </row>
    <row r="19" customFormat="false" ht="15" hidden="false" customHeight="true" outlineLevel="0" collapsed="false">
      <c r="B19" s="9" t="s">
        <v>102</v>
      </c>
      <c r="C19" s="24" t="n">
        <v>12363.8</v>
      </c>
      <c r="D19" s="24" t="n">
        <v>12363.8</v>
      </c>
    </row>
    <row r="20" customFormat="false" ht="15" hidden="false" customHeight="true" outlineLevel="0" collapsed="false">
      <c r="B20" s="9" t="s">
        <v>103</v>
      </c>
      <c r="C20" s="24" t="n">
        <v>2600.58</v>
      </c>
      <c r="D20" s="24" t="n">
        <v>2600.58</v>
      </c>
    </row>
    <row r="21" customFormat="false" ht="15" hidden="false" customHeight="true" outlineLevel="0" collapsed="false">
      <c r="B21" s="9" t="s">
        <v>131</v>
      </c>
      <c r="C21" s="24" t="n">
        <v>13431.92</v>
      </c>
      <c r="D21" s="24" t="n">
        <v>13431.92</v>
      </c>
    </row>
    <row r="22" customFormat="false" ht="15" hidden="false" customHeight="true" outlineLevel="0" collapsed="false">
      <c r="B22" s="9" t="s">
        <v>105</v>
      </c>
      <c r="C22" s="24" t="n">
        <v>1140.5</v>
      </c>
      <c r="D22" s="24" t="n">
        <v>1140.5</v>
      </c>
    </row>
    <row r="23" customFormat="false" ht="15" hidden="false" customHeight="true" outlineLevel="0" collapsed="false">
      <c r="B23" s="9" t="s">
        <v>132</v>
      </c>
      <c r="C23" s="24" t="n">
        <v>1360.86</v>
      </c>
      <c r="D23" s="24" t="n">
        <v>1360.86</v>
      </c>
    </row>
    <row r="24" customFormat="false" ht="15" hidden="false" customHeight="true" outlineLevel="0" collapsed="false">
      <c r="B24" s="9" t="s">
        <v>107</v>
      </c>
      <c r="C24" s="24" t="n">
        <v>14831.54</v>
      </c>
      <c r="D24" s="24" t="n">
        <v>14831.54</v>
      </c>
    </row>
    <row r="25" customFormat="false" ht="15" hidden="false" customHeight="true" outlineLevel="0" collapsed="false">
      <c r="A25" s="6"/>
      <c r="B25" s="7" t="s">
        <v>108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109</v>
      </c>
      <c r="C26" s="24" t="n">
        <v>19166.81</v>
      </c>
      <c r="G26" s="24" t="n">
        <v>19166.81</v>
      </c>
    </row>
    <row r="27" customFormat="false" ht="15" hidden="false" customHeight="true" outlineLevel="0" collapsed="false">
      <c r="B27" s="9" t="s">
        <v>110</v>
      </c>
      <c r="C27" s="24" t="n">
        <v>26894.18</v>
      </c>
      <c r="G27" s="24" t="n">
        <v>26894.18</v>
      </c>
    </row>
    <row r="28" customFormat="false" ht="15" hidden="false" customHeight="true" outlineLevel="0" collapsed="false">
      <c r="B28" s="9" t="s">
        <v>111</v>
      </c>
      <c r="C28" s="24" t="n">
        <v>19273.71</v>
      </c>
      <c r="G28" s="24" t="n">
        <v>19273.71</v>
      </c>
    </row>
    <row r="29" customFormat="false" ht="15" hidden="false" customHeight="true" outlineLevel="0" collapsed="false">
      <c r="B29" s="9" t="s">
        <v>112</v>
      </c>
      <c r="C29" s="24" t="n">
        <v>24003.39</v>
      </c>
      <c r="G29" s="24" t="n">
        <v>24003.39</v>
      </c>
    </row>
    <row r="30" customFormat="false" ht="15" hidden="false" customHeight="true" outlineLevel="0" collapsed="false">
      <c r="B30" s="9" t="s">
        <v>113</v>
      </c>
      <c r="C30" s="24" t="n">
        <v>23233.4</v>
      </c>
      <c r="G30" s="24" t="n">
        <v>23233.4</v>
      </c>
    </row>
    <row r="31" customFormat="false" ht="15" hidden="false" customHeight="true" outlineLevel="0" collapsed="false">
      <c r="B31" s="9" t="s">
        <v>114</v>
      </c>
      <c r="C31" s="24" t="n">
        <v>8832.92</v>
      </c>
      <c r="G31" s="24" t="n">
        <v>8832.92</v>
      </c>
    </row>
    <row r="32" customFormat="false" ht="15" hidden="false" customHeight="true" outlineLevel="0" collapsed="false">
      <c r="B32" s="9" t="s">
        <v>115</v>
      </c>
      <c r="C32" s="24" t="n">
        <v>17315.31</v>
      </c>
      <c r="G32" s="24" t="n">
        <v>17315.31</v>
      </c>
    </row>
    <row r="33" customFormat="false" ht="15" hidden="false" customHeight="true" outlineLevel="0" collapsed="false">
      <c r="B33" s="9" t="s">
        <v>116</v>
      </c>
      <c r="C33" s="24" t="n">
        <v>10659.46</v>
      </c>
      <c r="G33" s="24" t="n">
        <v>10659.46</v>
      </c>
    </row>
    <row r="34" customFormat="false" ht="15" hidden="false" customHeight="true" outlineLevel="0" collapsed="false">
      <c r="B34" s="9" t="s">
        <v>117</v>
      </c>
      <c r="C34" s="24" t="n">
        <v>12873.87</v>
      </c>
      <c r="G34" s="24" t="n">
        <v>12873.87</v>
      </c>
    </row>
    <row r="35" customFormat="false" ht="15" hidden="false" customHeight="true" outlineLevel="0" collapsed="false">
      <c r="B35" s="9" t="s">
        <v>118</v>
      </c>
      <c r="C35" s="24" t="n">
        <v>29302.11</v>
      </c>
      <c r="G35" s="24" t="n">
        <v>29302.11</v>
      </c>
    </row>
    <row r="36" customFormat="false" ht="15" hidden="false" customHeight="true" outlineLevel="0" collapsed="false">
      <c r="B36" s="9" t="s">
        <v>119</v>
      </c>
      <c r="C36" s="24" t="n">
        <v>11976.41</v>
      </c>
      <c r="G36" s="24" t="n">
        <v>11976.41</v>
      </c>
    </row>
    <row r="37" customFormat="false" ht="15" hidden="false" customHeight="true" outlineLevel="0" collapsed="false">
      <c r="B37" s="9" t="s">
        <v>120</v>
      </c>
      <c r="C37" s="24" t="n">
        <v>1737.32</v>
      </c>
      <c r="G37" s="24" t="n">
        <v>1737.32</v>
      </c>
    </row>
    <row r="38" customFormat="false" ht="15" hidden="false" customHeight="true" outlineLevel="0" collapsed="false">
      <c r="B38" s="9" t="s">
        <v>122</v>
      </c>
      <c r="C38" s="24" t="n">
        <v>63061.18</v>
      </c>
      <c r="G38" s="24" t="n">
        <v>63061.18</v>
      </c>
    </row>
    <row r="39" customFormat="false" ht="15" hidden="false" customHeight="true" outlineLevel="0" collapsed="false">
      <c r="B39" s="9" t="s">
        <v>133</v>
      </c>
      <c r="C39" s="24" t="n">
        <v>10815.9</v>
      </c>
      <c r="G39" s="24" t="n">
        <v>10815.9</v>
      </c>
    </row>
    <row r="40" customFormat="false" ht="15" hidden="false" customHeight="true" outlineLevel="0" collapsed="false">
      <c r="B40" s="9" t="s">
        <v>123</v>
      </c>
      <c r="C40" s="24" t="n">
        <v>5272.42</v>
      </c>
      <c r="G40" s="24" t="n">
        <v>5272.42</v>
      </c>
    </row>
    <row r="41" customFormat="false" ht="15" hidden="false" customHeight="true" outlineLevel="0" collapsed="false">
      <c r="B41" s="9" t="s">
        <v>134</v>
      </c>
      <c r="C41" s="24" t="n">
        <v>3303.27</v>
      </c>
      <c r="G41" s="24" t="n">
        <v>3303.27</v>
      </c>
    </row>
    <row r="42" customFormat="false" ht="15" hidden="false" customHeight="true" outlineLevel="0" collapsed="false">
      <c r="A42" s="25"/>
      <c r="B42" s="26" t="s">
        <v>57</v>
      </c>
      <c r="C42" s="27" t="n">
        <f aca="false">SUM(C10:C41)</f>
        <v>397500.19</v>
      </c>
      <c r="D42" s="27" t="n">
        <f aca="false">SUM(D10:D41)</f>
        <v>109778.53</v>
      </c>
      <c r="E42" s="27" t="n">
        <f aca="false">SUM(E10:E41)</f>
        <v>0</v>
      </c>
      <c r="F42" s="27" t="n">
        <f aca="false">SUM(F10:F41)</f>
        <v>0</v>
      </c>
      <c r="G42" s="27" t="n">
        <f aca="false">SUM(G10:G41)</f>
        <v>287721.66</v>
      </c>
      <c r="H42" s="25"/>
    </row>
    <row r="44" customFormat="false" ht="15" hidden="false" customHeight="true" outlineLevel="0" collapsed="false">
      <c r="A44" s="6"/>
      <c r="B44" s="7" t="s">
        <v>58</v>
      </c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true" outlineLevel="0" collapsed="false">
      <c r="B45" s="9" t="s">
        <v>59</v>
      </c>
      <c r="C45" s="24" t="n">
        <v>302676.39</v>
      </c>
      <c r="D45" s="24" t="n">
        <v>83590.83</v>
      </c>
      <c r="G45" s="24" t="n">
        <v>219085.56</v>
      </c>
    </row>
    <row r="46" customFormat="false" ht="15" hidden="false" customHeight="true" outlineLevel="0" collapsed="false">
      <c r="B46" s="9" t="s">
        <v>60</v>
      </c>
      <c r="C46" s="24" t="n">
        <v>32982.17</v>
      </c>
      <c r="D46" s="24" t="n">
        <v>9108.76</v>
      </c>
      <c r="G46" s="24" t="n">
        <v>23873.41</v>
      </c>
    </row>
    <row r="47" customFormat="false" ht="15" hidden="false" customHeight="true" outlineLevel="0" collapsed="false">
      <c r="B47" s="9" t="s">
        <v>61</v>
      </c>
      <c r="C47" s="24" t="n">
        <v>61841.63</v>
      </c>
      <c r="D47" s="24" t="n">
        <v>17078.94</v>
      </c>
      <c r="G47" s="24" t="n">
        <v>44762.69</v>
      </c>
    </row>
    <row r="48" customFormat="false" ht="15" hidden="false" customHeight="true" outlineLevel="0" collapsed="false">
      <c r="A48" s="25"/>
      <c r="B48" s="26" t="s">
        <v>62</v>
      </c>
      <c r="C48" s="27" t="n">
        <f aca="false">SUM(C45:C47)</f>
        <v>397500.19</v>
      </c>
      <c r="D48" s="27" t="n">
        <f aca="false">SUM(D45:D47)</f>
        <v>109778.53</v>
      </c>
      <c r="E48" s="27" t="n">
        <f aca="false">SUM(E45:E47)</f>
        <v>0</v>
      </c>
      <c r="F48" s="27" t="n">
        <f aca="false">SUM(F45:F47)</f>
        <v>0</v>
      </c>
      <c r="G48" s="27" t="n">
        <f aca="false">SUM(G45:G47)</f>
        <v>287721.66</v>
      </c>
      <c r="H48" s="25"/>
    </row>
    <row r="50" customFormat="false" ht="15" hidden="false" customHeight="true" outlineLevel="0" collapsed="false">
      <c r="A50" s="28" t="s">
        <v>63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true" outlineLevel="0" collapsed="false">
      <c r="A51" s="29" t="s">
        <v>24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true" outlineLevel="0" collapsed="false">
      <c r="A52" s="30"/>
      <c r="B52" s="30" t="s">
        <v>64</v>
      </c>
      <c r="C52" s="31" t="s">
        <v>65</v>
      </c>
      <c r="D52" s="31" t="s">
        <v>66</v>
      </c>
      <c r="E52" s="31" t="s">
        <v>67</v>
      </c>
      <c r="F52" s="31" t="s">
        <v>68</v>
      </c>
      <c r="G52" s="31" t="s">
        <v>69</v>
      </c>
      <c r="H52" s="31" t="s">
        <v>70</v>
      </c>
      <c r="I52" s="31" t="s">
        <v>71</v>
      </c>
      <c r="J52" s="31" t="s">
        <v>72</v>
      </c>
    </row>
    <row r="53" customFormat="false" ht="15" hidden="false" customHeight="true" outlineLevel="0" collapsed="false">
      <c r="B53" s="32" t="s">
        <v>73</v>
      </c>
      <c r="C53" s="33" t="n">
        <v>302676.39</v>
      </c>
      <c r="D53" s="33" t="n">
        <v>0</v>
      </c>
      <c r="E53" s="33" t="n">
        <v>0</v>
      </c>
      <c r="F53" s="33" t="n">
        <v>25223.07</v>
      </c>
      <c r="G53" s="33" t="n">
        <v>25223.07</v>
      </c>
      <c r="H53" s="33" t="n">
        <v>36229.51</v>
      </c>
      <c r="I53" s="34" t="s">
        <v>74</v>
      </c>
      <c r="J53" s="35" t="n">
        <v>27.5</v>
      </c>
    </row>
    <row r="54" customFormat="false" ht="15" hidden="false" customHeight="true" outlineLevel="0" collapsed="false">
      <c r="B54" s="14" t="s">
        <v>75</v>
      </c>
      <c r="C54" s="36" t="n">
        <v>32982.17</v>
      </c>
      <c r="D54" s="36" t="n">
        <v>0</v>
      </c>
      <c r="E54" s="36" t="n">
        <v>32982.17</v>
      </c>
      <c r="F54" s="36" t="n">
        <v>32982.17</v>
      </c>
      <c r="G54" s="36" t="n">
        <v>32982.17</v>
      </c>
      <c r="H54" s="36" t="n">
        <v>0</v>
      </c>
      <c r="I54" s="37" t="s">
        <v>76</v>
      </c>
      <c r="J54" s="38" t="n">
        <v>15</v>
      </c>
    </row>
    <row r="55" customFormat="false" ht="15" hidden="false" customHeight="true" outlineLevel="0" collapsed="false">
      <c r="B55" s="32" t="s">
        <v>77</v>
      </c>
      <c r="C55" s="33" t="n">
        <v>61841.63</v>
      </c>
      <c r="D55" s="33" t="n">
        <v>0</v>
      </c>
      <c r="E55" s="33" t="n">
        <v>61841.63</v>
      </c>
      <c r="F55" s="33" t="n">
        <v>61841.63</v>
      </c>
      <c r="G55" s="33" t="n">
        <v>61841.63</v>
      </c>
      <c r="H55" s="33" t="n">
        <v>0</v>
      </c>
      <c r="I55" s="34" t="s">
        <v>78</v>
      </c>
      <c r="J55" s="35" t="n">
        <v>5</v>
      </c>
    </row>
    <row r="56" customFormat="false" ht="15" hidden="false" customHeight="true" outlineLevel="0" collapsed="false">
      <c r="A56" s="39"/>
      <c r="B56" s="40" t="s">
        <v>17</v>
      </c>
      <c r="C56" s="41" t="n">
        <f aca="false">SUM(C53:C55)</f>
        <v>397500.19</v>
      </c>
      <c r="D56" s="41" t="n">
        <f aca="false">SUM(D53:D55)</f>
        <v>0</v>
      </c>
      <c r="E56" s="41" t="n">
        <f aca="false">SUM(E53:E55)</f>
        <v>94823.8</v>
      </c>
      <c r="F56" s="41" t="n">
        <f aca="false">SUM(F53:F55)</f>
        <v>120046.87</v>
      </c>
      <c r="G56" s="41" t="n">
        <f aca="false">SUM(G53:G55)</f>
        <v>120046.87</v>
      </c>
      <c r="H56" s="41" t="n">
        <f aca="false">SUM(H53:H55)</f>
        <v>36229.51</v>
      </c>
      <c r="I56" s="39"/>
      <c r="J56" s="39"/>
    </row>
    <row r="58" customFormat="false" ht="15" hidden="false" customHeight="true" outlineLevel="0" collapsed="false">
      <c r="A58" s="42" t="s">
        <v>79</v>
      </c>
      <c r="B58" s="42"/>
      <c r="C58" s="42"/>
      <c r="D58" s="42"/>
      <c r="E58" s="42"/>
      <c r="F58" s="42"/>
      <c r="G58" s="42"/>
      <c r="H58" s="42"/>
      <c r="I58" s="42"/>
      <c r="J58" s="42"/>
    </row>
    <row r="59" customFormat="false" ht="15" hidden="false" customHeight="true" outlineLevel="0" collapsed="false">
      <c r="A59" s="30"/>
      <c r="B59" s="30" t="s">
        <v>64</v>
      </c>
      <c r="C59" s="31" t="s">
        <v>65</v>
      </c>
      <c r="D59" s="31" t="s">
        <v>66</v>
      </c>
      <c r="E59" s="31" t="s">
        <v>67</v>
      </c>
      <c r="F59" s="31" t="s">
        <v>68</v>
      </c>
      <c r="G59" s="31" t="s">
        <v>69</v>
      </c>
      <c r="H59" s="31" t="s">
        <v>70</v>
      </c>
      <c r="I59" s="31" t="s">
        <v>71</v>
      </c>
      <c r="J59" s="31" t="s">
        <v>72</v>
      </c>
    </row>
    <row r="60" customFormat="false" ht="15" hidden="false" customHeight="true" outlineLevel="0" collapsed="false">
      <c r="B60" s="32" t="s">
        <v>125</v>
      </c>
      <c r="C60" s="33" t="n">
        <v>83590.83</v>
      </c>
      <c r="D60" s="33" t="n">
        <v>0</v>
      </c>
      <c r="E60" s="33" t="n">
        <v>83590.83</v>
      </c>
      <c r="F60" s="33" t="n">
        <v>83590.83</v>
      </c>
      <c r="G60" s="33" t="n">
        <v>0</v>
      </c>
      <c r="H60" s="33" t="n">
        <v>83590.83</v>
      </c>
      <c r="I60" s="34" t="s">
        <v>78</v>
      </c>
      <c r="J60" s="35" t="n">
        <v>5</v>
      </c>
    </row>
    <row r="61" customFormat="false" ht="15" hidden="false" customHeight="true" outlineLevel="0" collapsed="false">
      <c r="B61" s="14" t="s">
        <v>82</v>
      </c>
      <c r="C61" s="36" t="n">
        <v>219085.56</v>
      </c>
      <c r="D61" s="36" t="n">
        <v>0</v>
      </c>
      <c r="E61" s="36" t="n">
        <v>0</v>
      </c>
      <c r="F61" s="36" t="n">
        <v>18257.13</v>
      </c>
      <c r="G61" s="36" t="n">
        <v>7966.75</v>
      </c>
      <c r="H61" s="36" t="n">
        <v>26223.88</v>
      </c>
      <c r="I61" s="37" t="s">
        <v>74</v>
      </c>
      <c r="J61" s="38" t="n">
        <v>27.5</v>
      </c>
    </row>
    <row r="62" customFormat="false" ht="15" hidden="false" customHeight="true" outlineLevel="0" collapsed="false">
      <c r="B62" s="32" t="s">
        <v>126</v>
      </c>
      <c r="C62" s="33" t="n">
        <v>9108.76</v>
      </c>
      <c r="D62" s="33" t="n">
        <v>0</v>
      </c>
      <c r="E62" s="33" t="n">
        <v>9108.76</v>
      </c>
      <c r="F62" s="33" t="n">
        <v>9108.76</v>
      </c>
      <c r="G62" s="33" t="n">
        <v>0</v>
      </c>
      <c r="H62" s="33" t="n">
        <v>9108.76</v>
      </c>
      <c r="I62" s="34" t="s">
        <v>78</v>
      </c>
      <c r="J62" s="35" t="n">
        <v>5</v>
      </c>
    </row>
    <row r="63" customFormat="false" ht="15" hidden="false" customHeight="true" outlineLevel="0" collapsed="false">
      <c r="B63" s="14" t="s">
        <v>85</v>
      </c>
      <c r="C63" s="36" t="n">
        <v>23873.41</v>
      </c>
      <c r="D63" s="36" t="n">
        <v>0</v>
      </c>
      <c r="E63" s="36" t="n">
        <v>0</v>
      </c>
      <c r="F63" s="36" t="n">
        <v>1989.44</v>
      </c>
      <c r="G63" s="36" t="n">
        <v>868.12</v>
      </c>
      <c r="H63" s="36" t="n">
        <v>2857.56</v>
      </c>
      <c r="I63" s="37" t="s">
        <v>74</v>
      </c>
      <c r="J63" s="38" t="n">
        <v>27.5</v>
      </c>
    </row>
    <row r="64" customFormat="false" ht="15" hidden="false" customHeight="true" outlineLevel="0" collapsed="false">
      <c r="B64" s="32" t="s">
        <v>127</v>
      </c>
      <c r="C64" s="33" t="n">
        <v>17078.94</v>
      </c>
      <c r="D64" s="33" t="n">
        <v>0</v>
      </c>
      <c r="E64" s="33" t="n">
        <v>17078.94</v>
      </c>
      <c r="F64" s="33" t="n">
        <v>17078.94</v>
      </c>
      <c r="G64" s="33" t="n">
        <v>0</v>
      </c>
      <c r="H64" s="33" t="n">
        <v>17078.94</v>
      </c>
      <c r="I64" s="34" t="s">
        <v>78</v>
      </c>
      <c r="J64" s="35" t="n">
        <v>5</v>
      </c>
    </row>
    <row r="65" customFormat="false" ht="15" hidden="false" customHeight="true" outlineLevel="0" collapsed="false">
      <c r="B65" s="14" t="s">
        <v>88</v>
      </c>
      <c r="C65" s="36" t="n">
        <v>44762.69</v>
      </c>
      <c r="D65" s="36" t="n">
        <v>0</v>
      </c>
      <c r="E65" s="36" t="n">
        <v>0</v>
      </c>
      <c r="F65" s="36" t="n">
        <v>3730.22</v>
      </c>
      <c r="G65" s="36" t="n">
        <v>1627.73</v>
      </c>
      <c r="H65" s="36" t="n">
        <v>5357.95</v>
      </c>
      <c r="I65" s="37" t="s">
        <v>74</v>
      </c>
      <c r="J65" s="38" t="n">
        <v>27.5</v>
      </c>
    </row>
    <row r="66" customFormat="false" ht="15" hidden="false" customHeight="true" outlineLevel="0" collapsed="false">
      <c r="A66" s="39"/>
      <c r="B66" s="40" t="s">
        <v>17</v>
      </c>
      <c r="C66" s="41" t="n">
        <f aca="false">SUM(C60:C65)</f>
        <v>397500.19</v>
      </c>
      <c r="D66" s="41" t="n">
        <f aca="false">SUM(D60:D65)</f>
        <v>0</v>
      </c>
      <c r="E66" s="41" t="n">
        <f aca="false">SUM(E60:E65)</f>
        <v>109778.53</v>
      </c>
      <c r="F66" s="41" t="n">
        <f aca="false">SUM(F60:F65)</f>
        <v>133755.32</v>
      </c>
      <c r="G66" s="41" t="n">
        <f aca="false">SUM(G60:G65)</f>
        <v>10462.6</v>
      </c>
      <c r="H66" s="41" t="n">
        <f aca="false">SUM(H60:H65)</f>
        <v>144217.92</v>
      </c>
      <c r="I66" s="39"/>
      <c r="J66" s="39"/>
    </row>
    <row r="68" customFormat="false" ht="15" hidden="false" customHeight="true" outlineLevel="0" collapsed="false">
      <c r="A68" s="28" t="s">
        <v>26</v>
      </c>
      <c r="B68" s="28"/>
      <c r="C68" s="28"/>
      <c r="D68" s="28"/>
      <c r="E68" s="28"/>
    </row>
    <row r="69" customFormat="false" ht="15" hidden="false" customHeight="true" outlineLevel="0" collapsed="false">
      <c r="B69" s="14" t="s">
        <v>89</v>
      </c>
      <c r="C69" s="43" t="n">
        <f aca="false">G56</f>
        <v>120046.87</v>
      </c>
    </row>
    <row r="70" customFormat="false" ht="15" hidden="false" customHeight="true" outlineLevel="0" collapsed="false">
      <c r="B70" s="14" t="s">
        <v>90</v>
      </c>
      <c r="C70" s="43" t="n">
        <f aca="false">G66</f>
        <v>10462.6</v>
      </c>
    </row>
    <row r="71" customFormat="false" ht="15" hidden="false" customHeight="true" outlineLevel="0" collapsed="false">
      <c r="B71" s="17" t="s">
        <v>26</v>
      </c>
      <c r="C71" s="44" t="n">
        <f aca="false">C70-C69</f>
        <v>-109584.27</v>
      </c>
    </row>
  </sheetData>
  <mergeCells count="11">
    <mergeCell ref="A2:J2"/>
    <mergeCell ref="A3:J3"/>
    <mergeCell ref="A4:J4"/>
    <mergeCell ref="A8:J8"/>
    <mergeCell ref="B10:J10"/>
    <mergeCell ref="B25:J25"/>
    <mergeCell ref="B44:J44"/>
    <mergeCell ref="A50:J50"/>
    <mergeCell ref="A51:J51"/>
    <mergeCell ref="A58:J58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8" min="4" style="1" width="12"/>
    <col collapsed="false" customWidth="true" hidden="false" outlineLevel="0" max="10" min="9" style="1" width="10"/>
  </cols>
  <sheetData>
    <row r="2" customFormat="false" ht="15.75" hidden="false" customHeight="tru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true" outlineLevel="0" collapsed="false">
      <c r="A3" s="3" t="s">
        <v>149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</row>
    <row r="6" customFormat="false" ht="15" hidden="false" customHeight="true" outlineLevel="0" collapsed="false">
      <c r="B6" s="20" t="s">
        <v>29</v>
      </c>
      <c r="C6" s="9" t="s">
        <v>30</v>
      </c>
    </row>
    <row r="8" customFormat="false" ht="15" hidden="false" customHeight="true" outlineLevel="0" collapsed="false">
      <c r="A8" s="21" t="s">
        <v>150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true" outlineLevel="0" collapsed="false">
      <c r="A9" s="22"/>
      <c r="B9" s="22" t="s">
        <v>32</v>
      </c>
      <c r="C9" s="23" t="s">
        <v>33</v>
      </c>
      <c r="D9" s="23" t="s">
        <v>34</v>
      </c>
      <c r="E9" s="23" t="s">
        <v>35</v>
      </c>
      <c r="F9" s="23" t="s">
        <v>36</v>
      </c>
      <c r="G9" s="23" t="s">
        <v>37</v>
      </c>
      <c r="H9" s="23" t="s">
        <v>38</v>
      </c>
    </row>
    <row r="10" customFormat="false" ht="15" hidden="false" customHeight="true" outlineLevel="0" collapsed="false">
      <c r="A10" s="6"/>
      <c r="B10" s="7" t="s">
        <v>93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B11" s="9" t="s">
        <v>94</v>
      </c>
      <c r="C11" s="24" t="n">
        <v>26445.19</v>
      </c>
      <c r="D11" s="24" t="n">
        <v>26445.19</v>
      </c>
    </row>
    <row r="12" customFormat="false" ht="15" hidden="false" customHeight="true" outlineLevel="0" collapsed="false">
      <c r="B12" s="9" t="s">
        <v>95</v>
      </c>
      <c r="C12" s="24" t="n">
        <v>4635.69</v>
      </c>
      <c r="D12" s="24" t="n">
        <v>4635.69</v>
      </c>
    </row>
    <row r="13" customFormat="false" ht="15" hidden="false" customHeight="true" outlineLevel="0" collapsed="false">
      <c r="B13" s="9" t="s">
        <v>96</v>
      </c>
      <c r="C13" s="24" t="n">
        <v>9118.09</v>
      </c>
      <c r="D13" s="24" t="n">
        <v>9118.09</v>
      </c>
    </row>
    <row r="14" customFormat="false" ht="15" hidden="false" customHeight="true" outlineLevel="0" collapsed="false">
      <c r="B14" s="9" t="s">
        <v>97</v>
      </c>
      <c r="C14" s="24" t="n">
        <v>17166.07</v>
      </c>
      <c r="D14" s="24" t="n">
        <v>17166.07</v>
      </c>
    </row>
    <row r="15" customFormat="false" ht="15" hidden="false" customHeight="true" outlineLevel="0" collapsed="false">
      <c r="B15" s="9" t="s">
        <v>130</v>
      </c>
      <c r="C15" s="24" t="n">
        <v>2842.52</v>
      </c>
      <c r="D15" s="24" t="n">
        <v>2842.52</v>
      </c>
    </row>
    <row r="16" customFormat="false" ht="15" hidden="false" customHeight="true" outlineLevel="0" collapsed="false">
      <c r="B16" s="9" t="s">
        <v>99</v>
      </c>
      <c r="C16" s="24" t="n">
        <v>2418.44</v>
      </c>
      <c r="D16" s="24" t="n">
        <v>2418.44</v>
      </c>
    </row>
    <row r="17" customFormat="false" ht="15" hidden="false" customHeight="true" outlineLevel="0" collapsed="false">
      <c r="B17" s="9" t="s">
        <v>100</v>
      </c>
      <c r="C17" s="24" t="n">
        <v>718.3</v>
      </c>
      <c r="D17" s="24" t="n">
        <v>718.3</v>
      </c>
    </row>
    <row r="18" customFormat="false" ht="15" hidden="false" customHeight="true" outlineLevel="0" collapsed="false">
      <c r="B18" s="9" t="s">
        <v>101</v>
      </c>
      <c r="C18" s="24" t="n">
        <v>705.03</v>
      </c>
      <c r="D18" s="24" t="n">
        <v>705.03</v>
      </c>
    </row>
    <row r="19" customFormat="false" ht="15" hidden="false" customHeight="true" outlineLevel="0" collapsed="false">
      <c r="B19" s="9" t="s">
        <v>102</v>
      </c>
      <c r="C19" s="24" t="n">
        <v>12363.8</v>
      </c>
      <c r="D19" s="24" t="n">
        <v>12363.8</v>
      </c>
    </row>
    <row r="20" customFormat="false" ht="15" hidden="false" customHeight="true" outlineLevel="0" collapsed="false">
      <c r="B20" s="9" t="s">
        <v>103</v>
      </c>
      <c r="C20" s="24" t="n">
        <v>2600.58</v>
      </c>
      <c r="D20" s="24" t="n">
        <v>2600.58</v>
      </c>
    </row>
    <row r="21" customFormat="false" ht="15" hidden="false" customHeight="true" outlineLevel="0" collapsed="false">
      <c r="B21" s="9" t="s">
        <v>131</v>
      </c>
      <c r="C21" s="24" t="n">
        <v>13431.92</v>
      </c>
      <c r="D21" s="24" t="n">
        <v>13431.92</v>
      </c>
    </row>
    <row r="22" customFormat="false" ht="15" hidden="false" customHeight="true" outlineLevel="0" collapsed="false">
      <c r="B22" s="9" t="s">
        <v>105</v>
      </c>
      <c r="C22" s="24" t="n">
        <v>1140.5</v>
      </c>
      <c r="D22" s="24" t="n">
        <v>1140.5</v>
      </c>
    </row>
    <row r="23" customFormat="false" ht="15" hidden="false" customHeight="true" outlineLevel="0" collapsed="false">
      <c r="B23" s="9" t="s">
        <v>132</v>
      </c>
      <c r="C23" s="24" t="n">
        <v>1360.86</v>
      </c>
      <c r="D23" s="24" t="n">
        <v>1360.86</v>
      </c>
    </row>
    <row r="24" customFormat="false" ht="15" hidden="false" customHeight="true" outlineLevel="0" collapsed="false">
      <c r="B24" s="9" t="s">
        <v>107</v>
      </c>
      <c r="C24" s="24" t="n">
        <v>14831.54</v>
      </c>
      <c r="D24" s="24" t="n">
        <v>14831.54</v>
      </c>
    </row>
    <row r="25" customFormat="false" ht="15" hidden="false" customHeight="true" outlineLevel="0" collapsed="false">
      <c r="A25" s="6"/>
      <c r="B25" s="7" t="s">
        <v>108</v>
      </c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B26" s="9" t="s">
        <v>109</v>
      </c>
      <c r="C26" s="24" t="n">
        <v>19166.81</v>
      </c>
      <c r="G26" s="24" t="n">
        <v>19166.81</v>
      </c>
    </row>
    <row r="27" customFormat="false" ht="15" hidden="false" customHeight="true" outlineLevel="0" collapsed="false">
      <c r="B27" s="9" t="s">
        <v>110</v>
      </c>
      <c r="C27" s="24" t="n">
        <v>26894.18</v>
      </c>
      <c r="G27" s="24" t="n">
        <v>26894.18</v>
      </c>
    </row>
    <row r="28" customFormat="false" ht="15" hidden="false" customHeight="true" outlineLevel="0" collapsed="false">
      <c r="B28" s="9" t="s">
        <v>111</v>
      </c>
      <c r="C28" s="24" t="n">
        <v>19273.71</v>
      </c>
      <c r="G28" s="24" t="n">
        <v>19273.71</v>
      </c>
    </row>
    <row r="29" customFormat="false" ht="15" hidden="false" customHeight="true" outlineLevel="0" collapsed="false">
      <c r="B29" s="9" t="s">
        <v>112</v>
      </c>
      <c r="C29" s="24" t="n">
        <v>24003.39</v>
      </c>
      <c r="G29" s="24" t="n">
        <v>24003.39</v>
      </c>
    </row>
    <row r="30" customFormat="false" ht="15" hidden="false" customHeight="true" outlineLevel="0" collapsed="false">
      <c r="B30" s="9" t="s">
        <v>113</v>
      </c>
      <c r="C30" s="24" t="n">
        <v>23233.4</v>
      </c>
      <c r="G30" s="24" t="n">
        <v>23233.4</v>
      </c>
    </row>
    <row r="31" customFormat="false" ht="15" hidden="false" customHeight="true" outlineLevel="0" collapsed="false">
      <c r="B31" s="9" t="s">
        <v>114</v>
      </c>
      <c r="C31" s="24" t="n">
        <v>8832.92</v>
      </c>
      <c r="G31" s="24" t="n">
        <v>8832.92</v>
      </c>
    </row>
    <row r="32" customFormat="false" ht="15" hidden="false" customHeight="true" outlineLevel="0" collapsed="false">
      <c r="B32" s="9" t="s">
        <v>115</v>
      </c>
      <c r="C32" s="24" t="n">
        <v>17315.31</v>
      </c>
      <c r="G32" s="24" t="n">
        <v>17315.31</v>
      </c>
    </row>
    <row r="33" customFormat="false" ht="15" hidden="false" customHeight="true" outlineLevel="0" collapsed="false">
      <c r="B33" s="9" t="s">
        <v>116</v>
      </c>
      <c r="C33" s="24" t="n">
        <v>10659.46</v>
      </c>
      <c r="G33" s="24" t="n">
        <v>10659.46</v>
      </c>
    </row>
    <row r="34" customFormat="false" ht="15" hidden="false" customHeight="true" outlineLevel="0" collapsed="false">
      <c r="B34" s="9" t="s">
        <v>117</v>
      </c>
      <c r="C34" s="24" t="n">
        <v>12873.87</v>
      </c>
      <c r="G34" s="24" t="n">
        <v>12873.87</v>
      </c>
    </row>
    <row r="35" customFormat="false" ht="15" hidden="false" customHeight="true" outlineLevel="0" collapsed="false">
      <c r="B35" s="9" t="s">
        <v>118</v>
      </c>
      <c r="C35" s="24" t="n">
        <v>29302.11</v>
      </c>
      <c r="G35" s="24" t="n">
        <v>29302.11</v>
      </c>
    </row>
    <row r="36" customFormat="false" ht="15" hidden="false" customHeight="true" outlineLevel="0" collapsed="false">
      <c r="B36" s="9" t="s">
        <v>119</v>
      </c>
      <c r="C36" s="24" t="n">
        <v>11976.41</v>
      </c>
      <c r="G36" s="24" t="n">
        <v>11976.41</v>
      </c>
    </row>
    <row r="37" customFormat="false" ht="15" hidden="false" customHeight="true" outlineLevel="0" collapsed="false">
      <c r="B37" s="9" t="s">
        <v>120</v>
      </c>
      <c r="C37" s="24" t="n">
        <v>1737.32</v>
      </c>
      <c r="G37" s="24" t="n">
        <v>1737.32</v>
      </c>
    </row>
    <row r="38" customFormat="false" ht="15" hidden="false" customHeight="true" outlineLevel="0" collapsed="false">
      <c r="B38" s="9" t="s">
        <v>122</v>
      </c>
      <c r="C38" s="24" t="n">
        <v>63061.18</v>
      </c>
      <c r="G38" s="24" t="n">
        <v>63061.18</v>
      </c>
    </row>
    <row r="39" customFormat="false" ht="15" hidden="false" customHeight="true" outlineLevel="0" collapsed="false">
      <c r="B39" s="9" t="s">
        <v>133</v>
      </c>
      <c r="C39" s="24" t="n">
        <v>10815.9</v>
      </c>
      <c r="G39" s="24" t="n">
        <v>10815.9</v>
      </c>
    </row>
    <row r="40" customFormat="false" ht="15" hidden="false" customHeight="true" outlineLevel="0" collapsed="false">
      <c r="B40" s="9" t="s">
        <v>123</v>
      </c>
      <c r="C40" s="24" t="n">
        <v>5272.42</v>
      </c>
      <c r="G40" s="24" t="n">
        <v>5272.42</v>
      </c>
    </row>
    <row r="41" customFormat="false" ht="15" hidden="false" customHeight="true" outlineLevel="0" collapsed="false">
      <c r="B41" s="9" t="s">
        <v>134</v>
      </c>
      <c r="C41" s="24" t="n">
        <v>3303.27</v>
      </c>
      <c r="G41" s="24" t="n">
        <v>3303.27</v>
      </c>
    </row>
    <row r="42" customFormat="false" ht="15" hidden="false" customHeight="true" outlineLevel="0" collapsed="false">
      <c r="A42" s="25"/>
      <c r="B42" s="26" t="s">
        <v>57</v>
      </c>
      <c r="C42" s="27" t="n">
        <f aca="false">SUM(C10:C41)</f>
        <v>397500.19</v>
      </c>
      <c r="D42" s="27" t="n">
        <f aca="false">SUM(D10:D41)</f>
        <v>109778.53</v>
      </c>
      <c r="E42" s="27" t="n">
        <f aca="false">SUM(E10:E41)</f>
        <v>0</v>
      </c>
      <c r="F42" s="27" t="n">
        <f aca="false">SUM(F10:F41)</f>
        <v>0</v>
      </c>
      <c r="G42" s="27" t="n">
        <f aca="false">SUM(G10:G41)</f>
        <v>287721.66</v>
      </c>
      <c r="H42" s="25"/>
    </row>
    <row r="44" customFormat="false" ht="15" hidden="false" customHeight="true" outlineLevel="0" collapsed="false">
      <c r="A44" s="6"/>
      <c r="B44" s="7" t="s">
        <v>58</v>
      </c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true" outlineLevel="0" collapsed="false">
      <c r="B45" s="9" t="s">
        <v>59</v>
      </c>
      <c r="C45" s="24" t="n">
        <v>302676.39</v>
      </c>
      <c r="D45" s="24" t="n">
        <v>83590.83</v>
      </c>
      <c r="G45" s="24" t="n">
        <v>219085.56</v>
      </c>
    </row>
    <row r="46" customFormat="false" ht="15" hidden="false" customHeight="true" outlineLevel="0" collapsed="false">
      <c r="B46" s="9" t="s">
        <v>60</v>
      </c>
      <c r="C46" s="24" t="n">
        <v>32982.17</v>
      </c>
      <c r="D46" s="24" t="n">
        <v>9108.76</v>
      </c>
      <c r="G46" s="24" t="n">
        <v>23873.41</v>
      </c>
    </row>
    <row r="47" customFormat="false" ht="15" hidden="false" customHeight="true" outlineLevel="0" collapsed="false">
      <c r="B47" s="9" t="s">
        <v>61</v>
      </c>
      <c r="C47" s="24" t="n">
        <v>61841.63</v>
      </c>
      <c r="D47" s="24" t="n">
        <v>17078.94</v>
      </c>
      <c r="G47" s="24" t="n">
        <v>44762.69</v>
      </c>
    </row>
    <row r="48" customFormat="false" ht="15" hidden="false" customHeight="true" outlineLevel="0" collapsed="false">
      <c r="A48" s="25"/>
      <c r="B48" s="26" t="s">
        <v>62</v>
      </c>
      <c r="C48" s="27" t="n">
        <f aca="false">SUM(C45:C47)</f>
        <v>397500.19</v>
      </c>
      <c r="D48" s="27" t="n">
        <f aca="false">SUM(D45:D47)</f>
        <v>109778.53</v>
      </c>
      <c r="E48" s="27" t="n">
        <f aca="false">SUM(E45:E47)</f>
        <v>0</v>
      </c>
      <c r="F48" s="27" t="n">
        <f aca="false">SUM(F45:F47)</f>
        <v>0</v>
      </c>
      <c r="G48" s="27" t="n">
        <f aca="false">SUM(G45:G47)</f>
        <v>287721.66</v>
      </c>
      <c r="H48" s="25"/>
    </row>
    <row r="50" customFormat="false" ht="15" hidden="false" customHeight="true" outlineLevel="0" collapsed="false">
      <c r="A50" s="28" t="s">
        <v>63</v>
      </c>
      <c r="B50" s="28"/>
      <c r="C50" s="28"/>
      <c r="D50" s="28"/>
      <c r="E50" s="28"/>
      <c r="F50" s="28"/>
      <c r="G50" s="28"/>
      <c r="H50" s="28"/>
      <c r="I50" s="28"/>
      <c r="J50" s="28"/>
    </row>
    <row r="51" customFormat="false" ht="15" hidden="false" customHeight="true" outlineLevel="0" collapsed="false">
      <c r="A51" s="29" t="s">
        <v>24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5" hidden="false" customHeight="true" outlineLevel="0" collapsed="false">
      <c r="A52" s="30"/>
      <c r="B52" s="30" t="s">
        <v>64</v>
      </c>
      <c r="C52" s="31" t="s">
        <v>65</v>
      </c>
      <c r="D52" s="31" t="s">
        <v>66</v>
      </c>
      <c r="E52" s="31" t="s">
        <v>67</v>
      </c>
      <c r="F52" s="31" t="s">
        <v>68</v>
      </c>
      <c r="G52" s="31" t="s">
        <v>69</v>
      </c>
      <c r="H52" s="31" t="s">
        <v>70</v>
      </c>
      <c r="I52" s="31" t="s">
        <v>71</v>
      </c>
      <c r="J52" s="31" t="s">
        <v>72</v>
      </c>
    </row>
    <row r="53" customFormat="false" ht="15" hidden="false" customHeight="true" outlineLevel="0" collapsed="false">
      <c r="B53" s="32" t="s">
        <v>73</v>
      </c>
      <c r="C53" s="33" t="n">
        <v>302676.39</v>
      </c>
      <c r="D53" s="33" t="n">
        <v>0</v>
      </c>
      <c r="E53" s="33" t="n">
        <v>0</v>
      </c>
      <c r="F53" s="33" t="n">
        <v>25223.07</v>
      </c>
      <c r="G53" s="33" t="n">
        <v>25223.07</v>
      </c>
      <c r="H53" s="33" t="n">
        <v>36229.51</v>
      </c>
      <c r="I53" s="34" t="s">
        <v>74</v>
      </c>
      <c r="J53" s="35" t="n">
        <v>27.5</v>
      </c>
    </row>
    <row r="54" customFormat="false" ht="15" hidden="false" customHeight="true" outlineLevel="0" collapsed="false">
      <c r="B54" s="14" t="s">
        <v>75</v>
      </c>
      <c r="C54" s="36" t="n">
        <v>32982.17</v>
      </c>
      <c r="D54" s="36" t="n">
        <v>0</v>
      </c>
      <c r="E54" s="36" t="n">
        <v>32982.17</v>
      </c>
      <c r="F54" s="36" t="n">
        <v>32982.17</v>
      </c>
      <c r="G54" s="36" t="n">
        <v>32982.17</v>
      </c>
      <c r="H54" s="36" t="n">
        <v>0</v>
      </c>
      <c r="I54" s="37" t="s">
        <v>76</v>
      </c>
      <c r="J54" s="38" t="n">
        <v>15</v>
      </c>
    </row>
    <row r="55" customFormat="false" ht="15" hidden="false" customHeight="true" outlineLevel="0" collapsed="false">
      <c r="B55" s="32" t="s">
        <v>77</v>
      </c>
      <c r="C55" s="33" t="n">
        <v>61841.63</v>
      </c>
      <c r="D55" s="33" t="n">
        <v>0</v>
      </c>
      <c r="E55" s="33" t="n">
        <v>61841.63</v>
      </c>
      <c r="F55" s="33" t="n">
        <v>61841.63</v>
      </c>
      <c r="G55" s="33" t="n">
        <v>61841.63</v>
      </c>
      <c r="H55" s="33" t="n">
        <v>0</v>
      </c>
      <c r="I55" s="34" t="s">
        <v>78</v>
      </c>
      <c r="J55" s="35" t="n">
        <v>5</v>
      </c>
    </row>
    <row r="56" customFormat="false" ht="15" hidden="false" customHeight="true" outlineLevel="0" collapsed="false">
      <c r="A56" s="39"/>
      <c r="B56" s="40" t="s">
        <v>17</v>
      </c>
      <c r="C56" s="41" t="n">
        <f aca="false">SUM(C53:C55)</f>
        <v>397500.19</v>
      </c>
      <c r="D56" s="41" t="n">
        <f aca="false">SUM(D53:D55)</f>
        <v>0</v>
      </c>
      <c r="E56" s="41" t="n">
        <f aca="false">SUM(E53:E55)</f>
        <v>94823.8</v>
      </c>
      <c r="F56" s="41" t="n">
        <f aca="false">SUM(F53:F55)</f>
        <v>120046.87</v>
      </c>
      <c r="G56" s="41" t="n">
        <f aca="false">SUM(G53:G55)</f>
        <v>120046.87</v>
      </c>
      <c r="H56" s="41" t="n">
        <f aca="false">SUM(H53:H55)</f>
        <v>36229.51</v>
      </c>
      <c r="I56" s="39"/>
      <c r="J56" s="39"/>
    </row>
    <row r="58" customFormat="false" ht="15" hidden="false" customHeight="true" outlineLevel="0" collapsed="false">
      <c r="A58" s="42" t="s">
        <v>79</v>
      </c>
      <c r="B58" s="42"/>
      <c r="C58" s="42"/>
      <c r="D58" s="42"/>
      <c r="E58" s="42"/>
      <c r="F58" s="42"/>
      <c r="G58" s="42"/>
      <c r="H58" s="42"/>
      <c r="I58" s="42"/>
      <c r="J58" s="42"/>
    </row>
    <row r="59" customFormat="false" ht="15" hidden="false" customHeight="true" outlineLevel="0" collapsed="false">
      <c r="A59" s="30"/>
      <c r="B59" s="30" t="s">
        <v>64</v>
      </c>
      <c r="C59" s="31" t="s">
        <v>65</v>
      </c>
      <c r="D59" s="31" t="s">
        <v>66</v>
      </c>
      <c r="E59" s="31" t="s">
        <v>67</v>
      </c>
      <c r="F59" s="31" t="s">
        <v>68</v>
      </c>
      <c r="G59" s="31" t="s">
        <v>69</v>
      </c>
      <c r="H59" s="31" t="s">
        <v>70</v>
      </c>
      <c r="I59" s="31" t="s">
        <v>71</v>
      </c>
      <c r="J59" s="31" t="s">
        <v>72</v>
      </c>
    </row>
    <row r="60" customFormat="false" ht="15" hidden="false" customHeight="true" outlineLevel="0" collapsed="false">
      <c r="B60" s="32" t="s">
        <v>125</v>
      </c>
      <c r="C60" s="33" t="n">
        <v>83590.83</v>
      </c>
      <c r="D60" s="33" t="n">
        <v>0</v>
      </c>
      <c r="E60" s="33" t="n">
        <v>83590.83</v>
      </c>
      <c r="F60" s="33" t="n">
        <v>83590.83</v>
      </c>
      <c r="G60" s="33" t="n">
        <v>0</v>
      </c>
      <c r="H60" s="33" t="n">
        <v>83590.83</v>
      </c>
      <c r="I60" s="34" t="s">
        <v>78</v>
      </c>
      <c r="J60" s="35" t="n">
        <v>5</v>
      </c>
    </row>
    <row r="61" customFormat="false" ht="15" hidden="false" customHeight="true" outlineLevel="0" collapsed="false">
      <c r="B61" s="14" t="s">
        <v>82</v>
      </c>
      <c r="C61" s="36" t="n">
        <v>219085.56</v>
      </c>
      <c r="D61" s="36" t="n">
        <v>0</v>
      </c>
      <c r="E61" s="36" t="n">
        <v>0</v>
      </c>
      <c r="F61" s="36" t="n">
        <v>18257.13</v>
      </c>
      <c r="G61" s="36" t="n">
        <v>7966.75</v>
      </c>
      <c r="H61" s="36" t="n">
        <v>26223.88</v>
      </c>
      <c r="I61" s="37" t="s">
        <v>74</v>
      </c>
      <c r="J61" s="38" t="n">
        <v>27.5</v>
      </c>
    </row>
    <row r="62" customFormat="false" ht="15" hidden="false" customHeight="true" outlineLevel="0" collapsed="false">
      <c r="B62" s="32" t="s">
        <v>126</v>
      </c>
      <c r="C62" s="33" t="n">
        <v>9108.76</v>
      </c>
      <c r="D62" s="33" t="n">
        <v>0</v>
      </c>
      <c r="E62" s="33" t="n">
        <v>9108.76</v>
      </c>
      <c r="F62" s="33" t="n">
        <v>9108.76</v>
      </c>
      <c r="G62" s="33" t="n">
        <v>0</v>
      </c>
      <c r="H62" s="33" t="n">
        <v>9108.76</v>
      </c>
      <c r="I62" s="34" t="s">
        <v>78</v>
      </c>
      <c r="J62" s="35" t="n">
        <v>5</v>
      </c>
    </row>
    <row r="63" customFormat="false" ht="15" hidden="false" customHeight="true" outlineLevel="0" collapsed="false">
      <c r="B63" s="14" t="s">
        <v>85</v>
      </c>
      <c r="C63" s="36" t="n">
        <v>23873.41</v>
      </c>
      <c r="D63" s="36" t="n">
        <v>0</v>
      </c>
      <c r="E63" s="36" t="n">
        <v>0</v>
      </c>
      <c r="F63" s="36" t="n">
        <v>1989.44</v>
      </c>
      <c r="G63" s="36" t="n">
        <v>868.12</v>
      </c>
      <c r="H63" s="36" t="n">
        <v>2857.56</v>
      </c>
      <c r="I63" s="37" t="s">
        <v>74</v>
      </c>
      <c r="J63" s="38" t="n">
        <v>27.5</v>
      </c>
    </row>
    <row r="64" customFormat="false" ht="15" hidden="false" customHeight="true" outlineLevel="0" collapsed="false">
      <c r="B64" s="32" t="s">
        <v>127</v>
      </c>
      <c r="C64" s="33" t="n">
        <v>17078.94</v>
      </c>
      <c r="D64" s="33" t="n">
        <v>0</v>
      </c>
      <c r="E64" s="33" t="n">
        <v>17078.94</v>
      </c>
      <c r="F64" s="33" t="n">
        <v>17078.94</v>
      </c>
      <c r="G64" s="33" t="n">
        <v>0</v>
      </c>
      <c r="H64" s="33" t="n">
        <v>17078.94</v>
      </c>
      <c r="I64" s="34" t="s">
        <v>78</v>
      </c>
      <c r="J64" s="35" t="n">
        <v>5</v>
      </c>
    </row>
    <row r="65" customFormat="false" ht="15" hidden="false" customHeight="true" outlineLevel="0" collapsed="false">
      <c r="B65" s="14" t="s">
        <v>88</v>
      </c>
      <c r="C65" s="36" t="n">
        <v>44762.69</v>
      </c>
      <c r="D65" s="36" t="n">
        <v>0</v>
      </c>
      <c r="E65" s="36" t="n">
        <v>0</v>
      </c>
      <c r="F65" s="36" t="n">
        <v>3730.22</v>
      </c>
      <c r="G65" s="36" t="n">
        <v>1627.73</v>
      </c>
      <c r="H65" s="36" t="n">
        <v>5357.95</v>
      </c>
      <c r="I65" s="37" t="s">
        <v>74</v>
      </c>
      <c r="J65" s="38" t="n">
        <v>27.5</v>
      </c>
    </row>
    <row r="66" customFormat="false" ht="15" hidden="false" customHeight="true" outlineLevel="0" collapsed="false">
      <c r="A66" s="39"/>
      <c r="B66" s="40" t="s">
        <v>17</v>
      </c>
      <c r="C66" s="41" t="n">
        <f aca="false">SUM(C60:C65)</f>
        <v>397500.19</v>
      </c>
      <c r="D66" s="41" t="n">
        <f aca="false">SUM(D60:D65)</f>
        <v>0</v>
      </c>
      <c r="E66" s="41" t="n">
        <f aca="false">SUM(E60:E65)</f>
        <v>109778.53</v>
      </c>
      <c r="F66" s="41" t="n">
        <f aca="false">SUM(F60:F65)</f>
        <v>133755.32</v>
      </c>
      <c r="G66" s="41" t="n">
        <f aca="false">SUM(G60:G65)</f>
        <v>10462.6</v>
      </c>
      <c r="H66" s="41" t="n">
        <f aca="false">SUM(H60:H65)</f>
        <v>144217.92</v>
      </c>
      <c r="I66" s="39"/>
      <c r="J66" s="39"/>
    </row>
    <row r="68" customFormat="false" ht="15" hidden="false" customHeight="true" outlineLevel="0" collapsed="false">
      <c r="A68" s="28" t="s">
        <v>26</v>
      </c>
      <c r="B68" s="28"/>
      <c r="C68" s="28"/>
      <c r="D68" s="28"/>
      <c r="E68" s="28"/>
    </row>
    <row r="69" customFormat="false" ht="15" hidden="false" customHeight="true" outlineLevel="0" collapsed="false">
      <c r="B69" s="14" t="s">
        <v>89</v>
      </c>
      <c r="C69" s="43" t="n">
        <f aca="false">G56</f>
        <v>120046.87</v>
      </c>
    </row>
    <row r="70" customFormat="false" ht="15" hidden="false" customHeight="true" outlineLevel="0" collapsed="false">
      <c r="B70" s="14" t="s">
        <v>90</v>
      </c>
      <c r="C70" s="43" t="n">
        <f aca="false">G66</f>
        <v>10462.6</v>
      </c>
    </row>
    <row r="71" customFormat="false" ht="15" hidden="false" customHeight="true" outlineLevel="0" collapsed="false">
      <c r="B71" s="17" t="s">
        <v>26</v>
      </c>
      <c r="C71" s="44" t="n">
        <f aca="false">C70-C69</f>
        <v>-109584.27</v>
      </c>
    </row>
  </sheetData>
  <mergeCells count="11">
    <mergeCell ref="A2:J2"/>
    <mergeCell ref="A3:J3"/>
    <mergeCell ref="A4:J4"/>
    <mergeCell ref="A8:J8"/>
    <mergeCell ref="B10:J10"/>
    <mergeCell ref="B25:J25"/>
    <mergeCell ref="B44:J44"/>
    <mergeCell ref="A50:J50"/>
    <mergeCell ref="A51:J51"/>
    <mergeCell ref="A58:J58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2026-07-08T21:42:49Z</dcterms:created>
  <dc:creator>openpyxl</dc:creator>
  <dc:description/>
  <dc:language>en-US</dc:language>
  <cp:lastModifiedBy/>
  <dcterms:modified xsi:type="dcterms:W3CDTF">2026-07-08T21:43:28Z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