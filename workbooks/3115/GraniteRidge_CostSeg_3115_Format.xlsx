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Apts 1-16" sheetId="3" state="visible" r:id="rId5"/>
    <sheet name="Apts 17-32" sheetId="4" state="visible" r:id="rId6"/>
    <sheet name="Apts 33-48" sheetId="5" state="visible" r:id="rId7"/>
    <sheet name="Apts 49-64" sheetId="6" state="visible" r:id="rId8"/>
    <sheet name="Apts 65-80" sheetId="7" state="visible" r:id="rId9"/>
    <sheet name="Laundry 1" sheetId="8" state="visible" r:id="rId10"/>
    <sheet name="Laundry 2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<sst xmlns="http://schemas.openxmlformats.org/spreadsheetml/2006/main" count="770" uniqueCount="157">
  <si>
    <t xml:space="preserve">Granite Ridge Housing LP</t>
  </si>
  <si>
    <t xml:space="preserve">Summary of Cost Seg Adjustments — Report #107752-34</t>
  </si>
  <si>
    <t xml:space="preserve">As of December 31, 2024  |  EIN: 81-1683638  |  246 E Iris Ave, Stockton, CA 95210</t>
  </si>
  <si>
    <t xml:space="preserve">Acq Date</t>
  </si>
  <si>
    <t xml:space="preserve">Asset Description</t>
  </si>
  <si>
    <t xml:space="preserve">Total</t>
  </si>
  <si>
    <t xml:space="preserve">Site</t>
  </si>
  <si>
    <t xml:space="preserve">Apts 1-16</t>
  </si>
  <si>
    <t xml:space="preserve">Apts 17-32</t>
  </si>
  <si>
    <t xml:space="preserve">Apts 33-48</t>
  </si>
  <si>
    <t xml:space="preserve">Apts 49-64</t>
  </si>
  <si>
    <t xml:space="preserve">Apts 65-80</t>
  </si>
  <si>
    <t xml:space="preserve">Laundry 1</t>
  </si>
  <si>
    <t xml:space="preserve">Laundry 2</t>
  </si>
  <si>
    <t xml:space="preserve">Grand Total</t>
  </si>
  <si>
    <t xml:space="preserve">Grand Total Original Cost</t>
  </si>
  <si>
    <t xml:space="preserve">6/08/16</t>
  </si>
  <si>
    <t xml:space="preserve">Building - Granite Ridge Housing LP</t>
  </si>
  <si>
    <t xml:space="preserve">Equipment - Granite Ridge Housing LP</t>
  </si>
  <si>
    <t xml:space="preserve">Land Impr - Granite Ridge Housing LP</t>
  </si>
  <si>
    <t xml:space="preserve">Section 481(a) Adjustment Summary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</si>
  <si>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</si>
  <si>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</si>
  <si>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</si>
  <si>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Cost Segregation Study - Site</t>
  </si>
  <si>
    <t xml:space="preserve">Report #107752-34</t>
  </si>
  <si>
    <t xml:space="preserve">Acquisition Date:</t>
  </si>
  <si>
    <t xml:space="preserve">Granite Ridge Housing LP - Site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</si>
  <si>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</si>
  <si>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</si>
  <si>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</si>
  <si>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</si>
  <si>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</si>
  <si>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</si>
  <si>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</si>
  <si>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Site Work / Improvements</t>
  </si>
  <si>
    <t xml:space="preserve">Site Drainage</t>
  </si>
  <si>
    <t xml:space="preserve">Parking Lot</t>
  </si>
  <si>
    <t xml:space="preserve">Parking Lot Striping / Barriers</t>
  </si>
  <si>
    <t xml:space="preserve">Sidewalks / Curbs</t>
  </si>
  <si>
    <t xml:space="preserve">Landscaping</t>
  </si>
  <si>
    <t xml:space="preserve">Security Lighting Poles</t>
  </si>
  <si>
    <t xml:space="preserve">Exterior Fencing</t>
  </si>
  <si>
    <t xml:space="preserve">Dumpster Enclosures</t>
  </si>
  <si>
    <t xml:space="preserve">Exterior Equipment Concrete Pads</t>
  </si>
  <si>
    <t xml:space="preserve">Playground</t>
  </si>
  <si>
    <t xml:space="preserve">Site Utilities</t>
  </si>
  <si>
    <t xml:space="preserve">Total Cost</t>
  </si>
  <si>
    <t xml:space="preserve">Asset Allocation:</t>
  </si>
  <si>
    <t xml:space="preserve">Asset #2 - Building</t>
  </si>
  <si>
    <t xml:space="preserve">Asset #4 - Equipment</t>
  </si>
  <si>
    <t xml:space="preserve">Asset #5 - Land Improvements</t>
  </si>
  <si>
    <t xml:space="preserve">Total Allocation:</t>
  </si>
  <si>
    <t xml:space="preserve">End Depreciation Reconciliation</t>
  </si>
  <si>
    <t xml:space="preserve">Property Description</t>
  </si>
  <si>
    <t xml:space="preserve">Tax Cost</t>
  </si>
  <si>
    <t xml:space="preserve">Tax Bonus Amt</t>
  </si>
  <si>
    <t xml:space="preserve">Tax Prior Depr</t>
  </si>
  <si>
    <t xml:space="preserve">Tax Current Depr</t>
  </si>
  <si>
    <t xml:space="preserve">Tax End Depr</t>
  </si>
  <si>
    <t xml:space="preserve">Tax Net Book Value</t>
  </si>
  <si>
    <t xml:space="preserve">Tax Method</t>
  </si>
  <si>
    <t xml:space="preserve">Tax Period</t>
  </si>
  <si>
    <t xml:space="preserve">2 - Building - Site</t>
  </si>
  <si>
    <t xml:space="preserve">S/L</t>
  </si>
  <si>
    <t xml:space="preserve">4 - Equipment - Site</t>
  </si>
  <si>
    <t xml:space="preserve">200DB</t>
  </si>
  <si>
    <t xml:space="preserve">5 - Land Improvements - Site</t>
  </si>
  <si>
    <t xml:space="preserve">150DB</t>
  </si>
  <si>
    <t xml:space="preserve">After Cost Segregation Correction</t>
  </si>
  <si>
    <t xml:space="preserve">2 - Building - Site - 15yr</t>
  </si>
  <si>
    <t xml:space="preserve">2 - Building - Site - 27.5yr</t>
  </si>
  <si>
    <t xml:space="preserve">4 - Equipment - Site - 15yr</t>
  </si>
  <si>
    <t xml:space="preserve">4 - Equipment - Site - 27.5yr</t>
  </si>
  <si>
    <t xml:space="preserve">5 - Land Improvements - Site - 15yr</t>
  </si>
  <si>
    <t xml:space="preserve">5 - Land Improvements - Site - 27.5yr</t>
  </si>
  <si>
    <t xml:space="preserve">Depreciation Reported Previously</t>
  </si>
  <si>
    <t xml:space="preserve">Cost Segregation Corrected Depreciation</t>
  </si>
  <si>
    <t xml:space="preserve">Cost Segregation Study - Apartments 1-16</t>
  </si>
  <si>
    <t xml:space="preserve">Granite Ridge Housing LP - Apartments 1-16</t>
  </si>
  <si>
    <t xml:space="preserve">Building Components</t>
  </si>
  <si>
    <t xml:space="preserve">Cabinets / Millwork</t>
  </si>
  <si>
    <t xml:space="preserve">Moldings</t>
  </si>
  <si>
    <t xml:space="preserve">Flooring - Vinyl Tile</t>
  </si>
  <si>
    <t xml:space="preserve">Flooring - Carpet</t>
  </si>
  <si>
    <t xml:space="preserve">Flooring - Vinyl Plank</t>
  </si>
  <si>
    <t xml:space="preserve">Door &amp; Window Guards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</si>
  <si>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</si>
  <si>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</si>
  <si>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</si>
  <si>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</si>
  <si>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</si>
  <si>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</si>
  <si>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Access Control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</si>
  <si>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</si>
  <si>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</si>
  <si>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</si>
  <si>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</si>
  <si>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</si>
  <si>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</si>
  <si>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</si>
  <si>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</si>
  <si>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</si>
  <si>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</si>
  <si>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</si>
  <si>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</si>
  <si>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</si>
  <si>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</si>
  <si>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</si>
  <si>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</si>
  <si>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Stairs / Balconies</t>
  </si>
  <si>
    <t xml:space="preserve">Bathroom Accessories</t>
  </si>
  <si>
    <t xml:space="preserve">Cabinets / Millwork - Restrooms</t>
  </si>
  <si>
    <t xml:space="preserve">2 - Building - apt</t>
  </si>
  <si>
    <t xml:space="preserve">4 - Equipment - apt</t>
  </si>
  <si>
    <t xml:space="preserve">5 - Land Improvements - apt</t>
  </si>
  <si>
    <t xml:space="preserve">2 - Building - apt - 5yr</t>
  </si>
  <si>
    <t xml:space="preserve">2 - Building - apt - 27.5yr</t>
  </si>
  <si>
    <t xml:space="preserve">4 - Equipment - apt - 5yr</t>
  </si>
  <si>
    <t xml:space="preserve">4 - Equipment - apt - 27.5yr</t>
  </si>
  <si>
    <t xml:space="preserve">5 - Land Improvements - apt - 5yr</t>
  </si>
  <si>
    <t xml:space="preserve">5 - Land Improvements - apt - 27.5yr</t>
  </si>
  <si>
    <t xml:space="preserve">Cost Segregation Study - Apartments 17-32</t>
  </si>
  <si>
    <t xml:space="preserve">Granite Ridge Housing LP - Apartments 17-32</t>
  </si>
  <si>
    <t xml:space="preserve">Cost Segregation Study - Apartments 33-48</t>
  </si>
  <si>
    <t xml:space="preserve">Granite Ridge Housing LP - Apartments 33-48</t>
  </si>
  <si>
    <t xml:space="preserve">Emergency Lighting</t>
  </si>
  <si>
    <t xml:space="preserve">Cost Segregation Study - Apartments 49-64</t>
  </si>
  <si>
    <t xml:space="preserve">Granite Ridge Housing LP - Apartments 49-64</t>
  </si>
  <si>
    <t xml:space="preserve">Cost Segregation Study - Apartments 65-80</t>
  </si>
  <si>
    <t xml:space="preserve">Granite Ridge Housing LP - Apartments 65-80</t>
  </si>
  <si>
    <t xml:space="preserve">Cost Segregation Study - Laundry Building 1</t>
  </si>
  <si>
    <t xml:space="preserve">Granite Ridge Housing LP - Laundry Building 1</t>
  </si>
  <si>
    <t xml:space="preserve">Interior Half Walls</t>
  </si>
  <si>
    <t xml:space="preserve">Specialty HVAC - Dryer Vents</t>
  </si>
  <si>
    <t xml:space="preserve">Specialty Plumbing - Laundry</t>
  </si>
  <si>
    <t xml:space="preserve">2 - Building - L1</t>
  </si>
  <si>
    <t xml:space="preserve">4 - Equipment - L1</t>
  </si>
  <si>
    <t xml:space="preserve">5 - Land Improvements - L1</t>
  </si>
  <si>
    <t xml:space="preserve">2 - Building - L1 - 5yr</t>
  </si>
  <si>
    <t xml:space="preserve">2 - Building - L1 - 27.5yr</t>
  </si>
  <si>
    <t xml:space="preserve">4 - Equipment - L1 - 5yr</t>
  </si>
  <si>
    <t xml:space="preserve">4 - Equipment - L1 - 27.5yr</t>
  </si>
  <si>
    <t xml:space="preserve">5 - Land Improvements - L1 - 5yr</t>
  </si>
  <si>
    <t xml:space="preserve">5 - Land Improvements - L1 - 27.5yr</t>
  </si>
  <si>
    <t xml:space="preserve">Cost Segregation Study - Laundry Building 2</t>
  </si>
  <si>
    <t xml:space="preserve">Granite Ridge Housing LP - Laundry Building 2</t>
  </si>
  <si>
    <t xml:space="preserve">Mailboxes</t>
  </si>
  <si>
    <t xml:space="preserve">2 - Building - L2</t>
  </si>
  <si>
    <t xml:space="preserve">4 - Equipment - L2</t>
  </si>
  <si>
    <t xml:space="preserve">5 - Land Improvements - L2</t>
  </si>
  <si>
    <t xml:space="preserve">2 - Building - L2 - 5yr</t>
  </si>
  <si>
    <t xml:space="preserve">2 - Building - L2 - 27.5yr</t>
  </si>
  <si>
    <t xml:space="preserve">4 - Equipment - L2 - 5yr</t>
  </si>
  <si>
    <t xml:space="preserve">4 - Equipment - L2 - 27.5yr</t>
  </si>
  <si>
    <t xml:space="preserve">5 - Land Improvements - L2 - 5yr</t>
  </si>
  <si>
    <t xml:space="preserve">5 - Land Improvements - L2 - 27.5yr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</si>
</sst>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13" min="5" style="0" width="14"/>
  </cols>
  <sheetData>
    <row r="2" customFormat="false" ht="17.3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</row>
    <row r="7" customFormat="false" ht="15" hidden="false" customHeight="false" outlineLevel="0" collapsed="false">
      <c r="A7" s="5"/>
      <c r="B7" s="6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customFormat="false" ht="15" hidden="false" customHeight="false" outlineLevel="0" collapsed="false">
      <c r="B8" s="7" t="s">
        <v>16</v>
      </c>
      <c r="C8" s="8" t="s">
        <v>17</v>
      </c>
      <c r="D8" s="9" t="n">
        <f aca="false">SUM(E8:L8)</f>
        <v>2270298</v>
      </c>
      <c r="E8" s="10" t="n">
        <v>254562.48</v>
      </c>
      <c r="F8" s="10" t="n">
        <v>389188.67</v>
      </c>
      <c r="G8" s="10" t="n">
        <v>389188.67</v>
      </c>
      <c r="H8" s="10" t="n">
        <v>402217.16</v>
      </c>
      <c r="I8" s="10" t="n">
        <v>389188.67</v>
      </c>
      <c r="J8" s="10" t="n">
        <v>389188.67</v>
      </c>
      <c r="K8" s="10" t="n">
        <v>26288.67</v>
      </c>
      <c r="L8" s="10" t="n">
        <v>30475.01</v>
      </c>
      <c r="M8" s="11" t="n">
        <f aca="false">SUM(E8:L8)</f>
        <v>2270298</v>
      </c>
    </row>
    <row r="9" customFormat="false" ht="15" hidden="false" customHeight="false" outlineLevel="0" collapsed="false">
      <c r="B9" s="7" t="s">
        <v>16</v>
      </c>
      <c r="C9" s="8" t="s">
        <v>18</v>
      </c>
      <c r="D9" s="9" t="n">
        <f aca="false">SUM(E9:L9)</f>
        <v>281702</v>
      </c>
      <c r="E9" s="10" t="n">
        <v>31586.5</v>
      </c>
      <c r="F9" s="10" t="n">
        <v>48291.12</v>
      </c>
      <c r="G9" s="10" t="n">
        <v>48291.12</v>
      </c>
      <c r="H9" s="10" t="n">
        <v>49907.71</v>
      </c>
      <c r="I9" s="10" t="n">
        <v>48291.12</v>
      </c>
      <c r="J9" s="10" t="n">
        <v>48291.12</v>
      </c>
      <c r="K9" s="10" t="n">
        <v>3261.92</v>
      </c>
      <c r="L9" s="10" t="n">
        <v>3781.39</v>
      </c>
      <c r="M9" s="11" t="n">
        <f aca="false">SUM(E9:L9)</f>
        <v>281702</v>
      </c>
    </row>
    <row r="10" customFormat="false" ht="15" hidden="false" customHeight="false" outlineLevel="0" collapsed="false">
      <c r="B10" s="7" t="s">
        <v>16</v>
      </c>
      <c r="C10" s="8" t="s">
        <v>19</v>
      </c>
      <c r="D10" s="9" t="n">
        <f aca="false">SUM(E10:L10)</f>
        <v>233254</v>
      </c>
      <c r="E10" s="10" t="n">
        <v>26154.15</v>
      </c>
      <c r="F10" s="10" t="n">
        <v>39985.86</v>
      </c>
      <c r="G10" s="10" t="n">
        <v>39985.86</v>
      </c>
      <c r="H10" s="10" t="n">
        <v>41324.43</v>
      </c>
      <c r="I10" s="10" t="n">
        <v>39985.86</v>
      </c>
      <c r="J10" s="10" t="n">
        <v>39985.86</v>
      </c>
      <c r="K10" s="10" t="n">
        <v>2700.93</v>
      </c>
      <c r="L10" s="10" t="n">
        <v>3131.05</v>
      </c>
      <c r="M10" s="11" t="n">
        <f aca="false">SUM(E10:L10)</f>
        <v>233254</v>
      </c>
    </row>
    <row r="12" customFormat="false" ht="15" hidden="false" customHeight="false" outlineLevel="0" collapsed="false">
      <c r="A12" s="12"/>
      <c r="B12" s="13" t="s">
        <v>20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customFormat="false" ht="15" hidden="false" customHeight="false" outlineLevel="0" collapsed="false">
      <c r="C13" s="14" t="s">
        <v>21</v>
      </c>
      <c r="D13" s="15" t="n">
        <f aca="false">SUM(E13:L13)</f>
        <v>1115247</v>
      </c>
      <c r="E13" s="16" t="n">
        <v>124161.86</v>
      </c>
      <c r="F13" s="16" t="n">
        <v>191354.03</v>
      </c>
      <c r="G13" s="16" t="n">
        <v>191354.03</v>
      </c>
      <c r="H13" s="16" t="n">
        <v>197759.81</v>
      </c>
      <c r="I13" s="16" t="n">
        <v>191354.03</v>
      </c>
      <c r="J13" s="16" t="n">
        <v>191354.03</v>
      </c>
      <c r="K13" s="16" t="n">
        <v>12925.43</v>
      </c>
      <c r="L13" s="16" t="n">
        <v>14983.78</v>
      </c>
      <c r="M13" s="15" t="n">
        <f aca="false">SUM(E13:L13)</f>
        <v>1115247</v>
      </c>
    </row>
    <row r="14" customFormat="false" ht="15" hidden="false" customHeight="false" outlineLevel="0" collapsed="false">
      <c r="C14" s="14" t="s">
        <v>22</v>
      </c>
      <c r="D14" s="15" t="n">
        <f aca="false">SUM(E14:L14)</f>
        <v>1483724.71</v>
      </c>
      <c r="E14" s="16" t="n">
        <v>165405.34</v>
      </c>
      <c r="F14" s="16" t="n">
        <v>260273.19</v>
      </c>
      <c r="G14" s="16" t="n">
        <v>260273.19</v>
      </c>
      <c r="H14" s="16" t="n">
        <v>240510.1</v>
      </c>
      <c r="I14" s="16" t="n">
        <v>260273.19</v>
      </c>
      <c r="J14" s="16" t="n">
        <v>260273.19</v>
      </c>
      <c r="K14" s="16" t="n">
        <v>15790.24</v>
      </c>
      <c r="L14" s="16" t="n">
        <v>20926.27</v>
      </c>
      <c r="M14" s="15" t="n">
        <f aca="false">SUM(E14:L14)</f>
        <v>1483724.71</v>
      </c>
    </row>
    <row r="15" customFormat="false" ht="15" hidden="false" customHeight="false" outlineLevel="0" collapsed="false">
      <c r="C15" s="17" t="s">
        <v>23</v>
      </c>
      <c r="D15" s="18" t="n">
        <f aca="false">SUM(E15:L15)</f>
        <v>-368477.71</v>
      </c>
      <c r="E15" s="19" t="n">
        <v>-41243.48</v>
      </c>
      <c r="F15" s="19" t="n">
        <v>-68919.16</v>
      </c>
      <c r="G15" s="19" t="n">
        <v>-68919.16</v>
      </c>
      <c r="H15" s="19" t="n">
        <v>-42750.29</v>
      </c>
      <c r="I15" s="19" t="n">
        <v>-68919.16</v>
      </c>
      <c r="J15" s="19" t="n">
        <v>-68919.16</v>
      </c>
      <c r="K15" s="19" t="n">
        <v>-2864.81</v>
      </c>
      <c r="L15" s="19" t="n">
        <v>-5942.49</v>
      </c>
      <c r="M15" s="18" t="n">
        <f aca="false">SUM(E15:L15)</f>
        <v>-368477.71</v>
      </c>
    </row>
  </sheetData>
  <mergeCells count="5">
    <mergeCell ref="A2:M2"/>
    <mergeCell ref="A3:M3"/>
    <mergeCell ref="A4:M4"/>
    <mergeCell ref="B7:M7"/>
    <mergeCell ref="B12:M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1" t="s">
        <v>26</v>
      </c>
      <c r="C6" s="8" t="s">
        <v>16</v>
      </c>
    </row>
    <row r="8" customFormat="false" ht="15" hidden="false" customHeight="false" outlineLevel="0" collapsed="false">
      <c r="A8" s="22" t="s">
        <v>27</v>
      </c>
      <c r="B8" s="22"/>
      <c r="C8" s="22"/>
      <c r="D8" s="22"/>
      <c r="E8" s="22"/>
      <c r="F8" s="22"/>
      <c r="G8" s="22"/>
      <c r="H8" s="22"/>
      <c r="I8" s="22"/>
      <c r="J8" s="22"/>
    </row>
    <row r="9" customFormat="false" ht="15" hidden="false" customHeight="false" outlineLevel="0" collapsed="false">
      <c r="A9" s="23"/>
      <c r="B9" s="23" t="s">
        <v>28</v>
      </c>
      <c r="C9" s="24" t="s">
        <v>29</v>
      </c>
      <c r="D9" s="24" t="s">
        <v>30</v>
      </c>
      <c r="E9" s="24" t="s">
        <v>31</v>
      </c>
      <c r="F9" s="24" t="s">
        <v>32</v>
      </c>
      <c r="G9" s="24" t="s">
        <v>33</v>
      </c>
      <c r="H9" s="24" t="s">
        <v>34</v>
      </c>
    </row>
    <row r="10" customFormat="false" ht="15" hidden="false" customHeight="false" outlineLevel="0" collapsed="false">
      <c r="A10" s="5"/>
      <c r="B10" s="6" t="s">
        <v>35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36</v>
      </c>
      <c r="C11" s="25" t="n">
        <v>5624.03</v>
      </c>
      <c r="F11" s="25" t="n">
        <v>5624.03</v>
      </c>
    </row>
    <row r="12" customFormat="false" ht="15" hidden="false" customHeight="false" outlineLevel="0" collapsed="false">
      <c r="B12" s="8" t="s">
        <v>37</v>
      </c>
      <c r="C12" s="25" t="n">
        <v>95314.96</v>
      </c>
      <c r="F12" s="25" t="n">
        <v>95314.96</v>
      </c>
    </row>
    <row r="13" customFormat="false" ht="15" hidden="false" customHeight="false" outlineLevel="0" collapsed="false">
      <c r="B13" s="8" t="s">
        <v>38</v>
      </c>
      <c r="C13" s="25" t="n">
        <v>5701.04</v>
      </c>
      <c r="F13" s="25" t="n">
        <v>5701.04</v>
      </c>
    </row>
    <row r="14" customFormat="false" ht="15" hidden="false" customHeight="false" outlineLevel="0" collapsed="false">
      <c r="B14" s="8" t="s">
        <v>39</v>
      </c>
      <c r="C14" s="25" t="n">
        <v>55092.32</v>
      </c>
      <c r="F14" s="25" t="n">
        <v>55092.32</v>
      </c>
    </row>
    <row r="15" customFormat="false" ht="15" hidden="false" customHeight="false" outlineLevel="0" collapsed="false">
      <c r="B15" s="8" t="s">
        <v>40</v>
      </c>
      <c r="C15" s="25" t="n">
        <v>1505.06</v>
      </c>
      <c r="F15" s="25" t="n">
        <v>1505.06</v>
      </c>
    </row>
    <row r="16" customFormat="false" ht="15" hidden="false" customHeight="false" outlineLevel="0" collapsed="false">
      <c r="B16" s="8" t="s">
        <v>41</v>
      </c>
      <c r="C16" s="25" t="n">
        <v>3257.67</v>
      </c>
      <c r="F16" s="25" t="n">
        <v>3257.67</v>
      </c>
    </row>
    <row r="17" customFormat="false" ht="15" hidden="false" customHeight="false" outlineLevel="0" collapsed="false">
      <c r="B17" s="8" t="s">
        <v>42</v>
      </c>
      <c r="C17" s="25" t="n">
        <v>47550.94</v>
      </c>
      <c r="F17" s="25" t="n">
        <v>47550.94</v>
      </c>
    </row>
    <row r="18" customFormat="false" ht="15" hidden="false" customHeight="false" outlineLevel="0" collapsed="false">
      <c r="B18" s="8" t="s">
        <v>43</v>
      </c>
      <c r="C18" s="25" t="n">
        <v>3242.49</v>
      </c>
      <c r="F18" s="25" t="n">
        <v>3242.49</v>
      </c>
    </row>
    <row r="19" customFormat="false" ht="15" hidden="false" customHeight="false" outlineLevel="0" collapsed="false">
      <c r="B19" s="8" t="s">
        <v>44</v>
      </c>
      <c r="C19" s="25" t="n">
        <v>1371.03</v>
      </c>
      <c r="F19" s="25" t="n">
        <v>1371.03</v>
      </c>
    </row>
    <row r="20" customFormat="false" ht="15" hidden="false" customHeight="false" outlineLevel="0" collapsed="false">
      <c r="B20" s="8" t="s">
        <v>45</v>
      </c>
      <c r="C20" s="25" t="n">
        <v>5187.13</v>
      </c>
      <c r="F20" s="25" t="n">
        <v>5187.13</v>
      </c>
    </row>
    <row r="21" customFormat="false" ht="15" hidden="false" customHeight="false" outlineLevel="0" collapsed="false">
      <c r="A21" s="5"/>
      <c r="B21" s="6" t="s">
        <v>46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46</v>
      </c>
      <c r="C22" s="25" t="n">
        <v>88456.46</v>
      </c>
      <c r="G22" s="25" t="n">
        <v>88456.46</v>
      </c>
    </row>
    <row r="23" customFormat="false" ht="15" hidden="false" customHeight="false" outlineLevel="0" collapsed="false">
      <c r="A23" s="26"/>
      <c r="B23" s="27" t="s">
        <v>47</v>
      </c>
      <c r="C23" s="28" t="n">
        <f aca="false">SUM(C10:C22)</f>
        <v>312303.13</v>
      </c>
      <c r="D23" s="28" t="n">
        <f aca="false">SUM(D10:D22)</f>
        <v>0</v>
      </c>
      <c r="E23" s="28" t="n">
        <f aca="false">SUM(E10:E22)</f>
        <v>0</v>
      </c>
      <c r="F23" s="28" t="n">
        <f aca="false">SUM(F10:F22)</f>
        <v>223846.67</v>
      </c>
      <c r="G23" s="28" t="n">
        <f aca="false">SUM(G10:G22)</f>
        <v>88456.46</v>
      </c>
      <c r="H23" s="26"/>
    </row>
    <row r="25" customFormat="false" ht="15" hidden="false" customHeight="false" outlineLevel="0" collapsed="false">
      <c r="A25" s="5"/>
      <c r="B25" s="6" t="s">
        <v>48</v>
      </c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B26" s="8" t="s">
        <v>49</v>
      </c>
      <c r="C26" s="25" t="n">
        <v>254562.48</v>
      </c>
      <c r="F26" s="25" t="n">
        <v>182460.43</v>
      </c>
      <c r="G26" s="25" t="n">
        <v>72102.05</v>
      </c>
    </row>
    <row r="27" customFormat="false" ht="15" hidden="false" customHeight="false" outlineLevel="0" collapsed="false">
      <c r="B27" s="8" t="s">
        <v>50</v>
      </c>
      <c r="C27" s="25" t="n">
        <v>31586.5</v>
      </c>
      <c r="F27" s="25" t="n">
        <v>22639.97</v>
      </c>
      <c r="G27" s="25" t="n">
        <v>8946.53</v>
      </c>
    </row>
    <row r="28" customFormat="false" ht="15" hidden="false" customHeight="false" outlineLevel="0" collapsed="false">
      <c r="B28" s="8" t="s">
        <v>51</v>
      </c>
      <c r="C28" s="25" t="n">
        <v>26154.15</v>
      </c>
      <c r="F28" s="25" t="n">
        <v>18746.27</v>
      </c>
      <c r="G28" s="25" t="n">
        <v>7407.88</v>
      </c>
    </row>
    <row r="29" customFormat="false" ht="15" hidden="false" customHeight="false" outlineLevel="0" collapsed="false">
      <c r="A29" s="26"/>
      <c r="B29" s="27" t="s">
        <v>52</v>
      </c>
      <c r="C29" s="28" t="n">
        <f aca="false">SUM(C26:C28)</f>
        <v>312303.13</v>
      </c>
      <c r="D29" s="28" t="n">
        <f aca="false">SUM(D26:D28)</f>
        <v>0</v>
      </c>
      <c r="E29" s="26"/>
      <c r="F29" s="28" t="n">
        <f aca="false">SUM(F26:F28)</f>
        <v>223846.67</v>
      </c>
      <c r="G29" s="28" t="n">
        <f aca="false">SUM(G26:G28)</f>
        <v>88456.46</v>
      </c>
      <c r="H29" s="26"/>
    </row>
    <row r="31" customFormat="false" ht="15" hidden="false" customHeight="false" outlineLevel="0" collapsed="false">
      <c r="A31" s="29" t="s">
        <v>53</v>
      </c>
      <c r="B31" s="29"/>
      <c r="C31" s="29"/>
      <c r="D31" s="29"/>
      <c r="E31" s="29"/>
      <c r="F31" s="29"/>
      <c r="G31" s="29"/>
      <c r="H31" s="29"/>
      <c r="I31" s="29"/>
      <c r="J31" s="29"/>
    </row>
    <row r="32" customFormat="false" ht="15" hidden="false" customHeight="false" outlineLevel="0" collapsed="false">
      <c r="A32" s="30" t="s">
        <v>21</v>
      </c>
      <c r="B32" s="30"/>
      <c r="C32" s="30"/>
      <c r="D32" s="30"/>
      <c r="E32" s="30"/>
      <c r="F32" s="30"/>
      <c r="G32" s="30"/>
      <c r="H32" s="30"/>
      <c r="I32" s="30"/>
      <c r="J32" s="30"/>
    </row>
    <row r="33" customFormat="false" ht="15" hidden="false" customHeight="false" outlineLevel="0" collapsed="false">
      <c r="A33" s="31"/>
      <c r="B33" s="31" t="s">
        <v>54</v>
      </c>
      <c r="C33" s="32" t="s">
        <v>55</v>
      </c>
      <c r="D33" s="32" t="s">
        <v>56</v>
      </c>
      <c r="E33" s="32" t="s">
        <v>57</v>
      </c>
      <c r="F33" s="32" t="s">
        <v>58</v>
      </c>
      <c r="G33" s="32" t="s">
        <v>59</v>
      </c>
      <c r="H33" s="32" t="s">
        <v>60</v>
      </c>
      <c r="I33" s="32" t="s">
        <v>61</v>
      </c>
      <c r="J33" s="32" t="s">
        <v>62</v>
      </c>
    </row>
    <row r="34" customFormat="false" ht="15" hidden="false" customHeight="false" outlineLevel="0" collapsed="false">
      <c r="B34" s="33" t="s">
        <v>63</v>
      </c>
      <c r="C34" s="34" t="n">
        <v>254562.48</v>
      </c>
      <c r="D34" s="34" t="n">
        <v>0</v>
      </c>
      <c r="E34" s="34" t="n">
        <v>69811.64</v>
      </c>
      <c r="F34" s="34" t="n">
        <v>8256.76</v>
      </c>
      <c r="G34" s="34" t="n">
        <v>78068.4</v>
      </c>
      <c r="H34" s="34" t="n">
        <v>176494.08</v>
      </c>
      <c r="I34" s="35" t="s">
        <v>64</v>
      </c>
      <c r="J34" s="36" t="n">
        <v>27.5</v>
      </c>
    </row>
    <row r="35" customFormat="false" ht="15" hidden="false" customHeight="false" outlineLevel="0" collapsed="false">
      <c r="B35" s="14" t="s">
        <v>65</v>
      </c>
      <c r="C35" s="16" t="n">
        <v>31586.5</v>
      </c>
      <c r="D35" s="16" t="n">
        <v>0</v>
      </c>
      <c r="E35" s="16" t="n">
        <v>31586.5</v>
      </c>
      <c r="F35" s="16" t="n">
        <v>0</v>
      </c>
      <c r="G35" s="16" t="n">
        <v>31586.5</v>
      </c>
      <c r="H35" s="16" t="n">
        <v>0</v>
      </c>
      <c r="I35" s="37" t="s">
        <v>66</v>
      </c>
      <c r="J35" s="38" t="n">
        <v>5</v>
      </c>
    </row>
    <row r="36" customFormat="false" ht="15" hidden="false" customHeight="false" outlineLevel="0" collapsed="false">
      <c r="B36" s="33" t="s">
        <v>67</v>
      </c>
      <c r="C36" s="34" t="n">
        <v>26154.15</v>
      </c>
      <c r="D36" s="34" t="n">
        <v>0</v>
      </c>
      <c r="E36" s="34" t="n">
        <v>12962.61</v>
      </c>
      <c r="F36" s="34" t="n">
        <v>1544.35</v>
      </c>
      <c r="G36" s="34" t="n">
        <v>14506.96</v>
      </c>
      <c r="H36" s="34" t="n">
        <v>11647.19</v>
      </c>
      <c r="I36" s="35" t="s">
        <v>68</v>
      </c>
      <c r="J36" s="36" t="n">
        <v>15</v>
      </c>
    </row>
    <row r="37" customFormat="false" ht="15" hidden="false" customHeight="false" outlineLevel="0" collapsed="false">
      <c r="A37" s="39"/>
      <c r="B37" s="40" t="s">
        <v>14</v>
      </c>
      <c r="C37" s="41" t="n">
        <f aca="false">SUM(C34:C36)</f>
        <v>312303.13</v>
      </c>
      <c r="D37" s="41" t="n">
        <f aca="false">SUM(D34:D36)</f>
        <v>0</v>
      </c>
      <c r="E37" s="41" t="n">
        <f aca="false">SUM(E34:E36)</f>
        <v>114360.75</v>
      </c>
      <c r="F37" s="41" t="n">
        <f aca="false">SUM(F34:F36)</f>
        <v>9801.11</v>
      </c>
      <c r="G37" s="41" t="n">
        <f aca="false">SUM(G34:G36)</f>
        <v>124161.86</v>
      </c>
      <c r="H37" s="41" t="n">
        <f aca="false">SUM(H34:H36)</f>
        <v>188141.27</v>
      </c>
      <c r="I37" s="39"/>
      <c r="J37" s="39"/>
    </row>
    <row r="39" customFormat="false" ht="15" hidden="false" customHeight="false" outlineLevel="0" collapsed="false">
      <c r="A39" s="42" t="s">
        <v>69</v>
      </c>
      <c r="B39" s="42"/>
      <c r="C39" s="42"/>
      <c r="D39" s="42"/>
      <c r="E39" s="42"/>
      <c r="F39" s="42"/>
      <c r="G39" s="42"/>
      <c r="H39" s="42"/>
      <c r="I39" s="42"/>
      <c r="J39" s="42"/>
    </row>
    <row r="40" customFormat="false" ht="15" hidden="false" customHeight="false" outlineLevel="0" collapsed="false">
      <c r="A40" s="31"/>
      <c r="B40" s="31" t="s">
        <v>54</v>
      </c>
      <c r="C40" s="32" t="s">
        <v>55</v>
      </c>
      <c r="D40" s="32" t="s">
        <v>56</v>
      </c>
      <c r="E40" s="32" t="s">
        <v>57</v>
      </c>
      <c r="F40" s="32" t="s">
        <v>58</v>
      </c>
      <c r="G40" s="32" t="s">
        <v>59</v>
      </c>
      <c r="H40" s="32" t="s">
        <v>60</v>
      </c>
      <c r="I40" s="32" t="s">
        <v>61</v>
      </c>
      <c r="J40" s="32" t="s">
        <v>62</v>
      </c>
    </row>
    <row r="41" customFormat="false" ht="15" hidden="false" customHeight="false" outlineLevel="0" collapsed="false">
      <c r="B41" s="33" t="s">
        <v>70</v>
      </c>
      <c r="C41" s="34" t="n">
        <v>182460.43</v>
      </c>
      <c r="D41" s="34" t="n">
        <v>0</v>
      </c>
      <c r="E41" s="34" t="n">
        <v>101654.64</v>
      </c>
      <c r="F41" s="34" t="n">
        <v>10774.11</v>
      </c>
      <c r="G41" s="34" t="n">
        <v>112428.75</v>
      </c>
      <c r="H41" s="34" t="n">
        <v>70031.68</v>
      </c>
      <c r="I41" s="35" t="s">
        <v>68</v>
      </c>
      <c r="J41" s="36" t="n">
        <v>15</v>
      </c>
    </row>
    <row r="42" customFormat="false" ht="15" hidden="false" customHeight="false" outlineLevel="0" collapsed="false">
      <c r="B42" s="14" t="s">
        <v>71</v>
      </c>
      <c r="C42" s="16" t="n">
        <v>72102.05</v>
      </c>
      <c r="D42" s="16" t="n">
        <v>0</v>
      </c>
      <c r="E42" s="16" t="n">
        <v>19773.42</v>
      </c>
      <c r="F42" s="16" t="n">
        <v>2621.89</v>
      </c>
      <c r="G42" s="16" t="n">
        <v>22395.31</v>
      </c>
      <c r="H42" s="16" t="n">
        <v>49706.74</v>
      </c>
      <c r="I42" s="37" t="s">
        <v>64</v>
      </c>
      <c r="J42" s="38" t="n">
        <v>27.5</v>
      </c>
    </row>
    <row r="43" customFormat="false" ht="15" hidden="false" customHeight="false" outlineLevel="0" collapsed="false">
      <c r="B43" s="33" t="s">
        <v>72</v>
      </c>
      <c r="C43" s="34" t="n">
        <v>22639.97</v>
      </c>
      <c r="D43" s="34" t="n">
        <v>0</v>
      </c>
      <c r="E43" s="34" t="n">
        <v>12613.48</v>
      </c>
      <c r="F43" s="34" t="n">
        <v>1336.87</v>
      </c>
      <c r="G43" s="34" t="n">
        <v>13950.35</v>
      </c>
      <c r="H43" s="34" t="n">
        <v>8689.62</v>
      </c>
      <c r="I43" s="35" t="s">
        <v>68</v>
      </c>
      <c r="J43" s="36" t="n">
        <v>15</v>
      </c>
    </row>
    <row r="44" customFormat="false" ht="15" hidden="false" customHeight="false" outlineLevel="0" collapsed="false">
      <c r="B44" s="14" t="s">
        <v>73</v>
      </c>
      <c r="C44" s="16" t="n">
        <v>8946.53</v>
      </c>
      <c r="D44" s="16" t="n">
        <v>0</v>
      </c>
      <c r="E44" s="16" t="n">
        <v>2453.53</v>
      </c>
      <c r="F44" s="16" t="n">
        <v>325.33</v>
      </c>
      <c r="G44" s="16" t="n">
        <v>2778.86</v>
      </c>
      <c r="H44" s="16" t="n">
        <v>6167.67</v>
      </c>
      <c r="I44" s="37" t="s">
        <v>64</v>
      </c>
      <c r="J44" s="38" t="n">
        <v>27.5</v>
      </c>
    </row>
    <row r="45" customFormat="false" ht="15" hidden="false" customHeight="false" outlineLevel="0" collapsed="false">
      <c r="B45" s="33" t="s">
        <v>74</v>
      </c>
      <c r="C45" s="34" t="n">
        <v>18746.27</v>
      </c>
      <c r="D45" s="34" t="n">
        <v>0</v>
      </c>
      <c r="E45" s="34" t="n">
        <v>10444.17</v>
      </c>
      <c r="F45" s="34" t="n">
        <v>1106.95</v>
      </c>
      <c r="G45" s="34" t="n">
        <v>11551.12</v>
      </c>
      <c r="H45" s="34" t="n">
        <v>7195.15</v>
      </c>
      <c r="I45" s="35" t="s">
        <v>68</v>
      </c>
      <c r="J45" s="36" t="n">
        <v>15</v>
      </c>
    </row>
    <row r="46" customFormat="false" ht="15" hidden="false" customHeight="false" outlineLevel="0" collapsed="false">
      <c r="B46" s="14" t="s">
        <v>75</v>
      </c>
      <c r="C46" s="16" t="n">
        <v>7407.88</v>
      </c>
      <c r="D46" s="16" t="n">
        <v>0</v>
      </c>
      <c r="E46" s="16" t="n">
        <v>2031.57</v>
      </c>
      <c r="F46" s="16" t="n">
        <v>269.38</v>
      </c>
      <c r="G46" s="16" t="n">
        <v>2300.95</v>
      </c>
      <c r="H46" s="16" t="n">
        <v>5106.93</v>
      </c>
      <c r="I46" s="37" t="s">
        <v>64</v>
      </c>
      <c r="J46" s="38" t="n">
        <v>27.5</v>
      </c>
    </row>
    <row r="47" customFormat="false" ht="15" hidden="false" customHeight="false" outlineLevel="0" collapsed="false">
      <c r="A47" s="39"/>
      <c r="B47" s="40" t="s">
        <v>14</v>
      </c>
      <c r="C47" s="41" t="n">
        <f aca="false">SUM(C41:C46)</f>
        <v>312303.13</v>
      </c>
      <c r="D47" s="41" t="n">
        <f aca="false">SUM(D41:D46)</f>
        <v>0</v>
      </c>
      <c r="E47" s="41" t="n">
        <f aca="false">SUM(E41:E46)</f>
        <v>148970.81</v>
      </c>
      <c r="F47" s="41" t="n">
        <f aca="false">SUM(F41:F46)</f>
        <v>16434.53</v>
      </c>
      <c r="G47" s="41" t="n">
        <f aca="false">SUM(G41:G46)</f>
        <v>165405.34</v>
      </c>
      <c r="H47" s="41" t="n">
        <f aca="false">SUM(H41:H46)</f>
        <v>146897.79</v>
      </c>
      <c r="I47" s="39"/>
      <c r="J47" s="39"/>
    </row>
    <row r="49" customFormat="false" ht="15" hidden="false" customHeight="false" outlineLevel="0" collapsed="false">
      <c r="A49" s="29" t="s">
        <v>23</v>
      </c>
      <c r="B49" s="29"/>
      <c r="C49" s="29"/>
      <c r="D49" s="29"/>
      <c r="E49" s="29"/>
    </row>
    <row r="50" customFormat="false" ht="15" hidden="false" customHeight="false" outlineLevel="0" collapsed="false">
      <c r="B50" s="14" t="s">
        <v>76</v>
      </c>
      <c r="C50" s="43" t="n">
        <f aca="false">G37</f>
        <v>124161.86</v>
      </c>
    </row>
    <row r="51" customFormat="false" ht="15" hidden="false" customHeight="false" outlineLevel="0" collapsed="false">
      <c r="B51" s="14" t="s">
        <v>77</v>
      </c>
      <c r="C51" s="43" t="n">
        <f aca="false">G47</f>
        <v>165405.34</v>
      </c>
    </row>
    <row r="52" customFormat="false" ht="15" hidden="false" customHeight="false" outlineLevel="0" collapsed="false">
      <c r="B52" s="17" t="s">
        <v>23</v>
      </c>
      <c r="C52" s="44" t="n">
        <f aca="false">C51-C50</f>
        <v>41243.48</v>
      </c>
    </row>
  </sheetData>
  <mergeCells count="11">
    <mergeCell ref="A2:J2"/>
    <mergeCell ref="A3:J3"/>
    <mergeCell ref="A4:J4"/>
    <mergeCell ref="A8:J8"/>
    <mergeCell ref="B10:J10"/>
    <mergeCell ref="B21:J21"/>
    <mergeCell ref="B25:J25"/>
    <mergeCell ref="A31:J31"/>
    <mergeCell ref="A32:J32"/>
    <mergeCell ref="A39:J39"/>
    <mergeCell ref="A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A3" s="2" t="s">
        <v>78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1" t="s">
        <v>26</v>
      </c>
      <c r="C6" s="8" t="s">
        <v>16</v>
      </c>
    </row>
    <row r="8" customFormat="false" ht="15" hidden="false" customHeight="false" outlineLevel="0" collapsed="false">
      <c r="A8" s="22" t="s">
        <v>79</v>
      </c>
      <c r="B8" s="22"/>
      <c r="C8" s="22"/>
      <c r="D8" s="22"/>
      <c r="E8" s="22"/>
      <c r="F8" s="22"/>
      <c r="G8" s="22"/>
      <c r="H8" s="22"/>
      <c r="I8" s="22"/>
      <c r="J8" s="22"/>
    </row>
    <row r="9" customFormat="false" ht="15" hidden="false" customHeight="false" outlineLevel="0" collapsed="false">
      <c r="A9" s="23"/>
      <c r="B9" s="23" t="s">
        <v>28</v>
      </c>
      <c r="C9" s="24" t="s">
        <v>29</v>
      </c>
      <c r="D9" s="24" t="s">
        <v>30</v>
      </c>
      <c r="E9" s="24" t="s">
        <v>31</v>
      </c>
      <c r="F9" s="24" t="s">
        <v>32</v>
      </c>
      <c r="G9" s="24" t="s">
        <v>33</v>
      </c>
      <c r="H9" s="24" t="s">
        <v>34</v>
      </c>
    </row>
    <row r="10" customFormat="false" ht="15" hidden="false" customHeight="false" outlineLevel="0" collapsed="false">
      <c r="A10" s="5"/>
      <c r="B10" s="6" t="s">
        <v>80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81</v>
      </c>
      <c r="C11" s="25" t="n">
        <v>28387.8</v>
      </c>
      <c r="D11" s="25" t="n">
        <v>28387.8</v>
      </c>
    </row>
    <row r="12" customFormat="false" ht="15" hidden="false" customHeight="false" outlineLevel="0" collapsed="false">
      <c r="B12" s="8" t="s">
        <v>82</v>
      </c>
      <c r="C12" s="25" t="n">
        <v>5287.63</v>
      </c>
      <c r="D12" s="25" t="n">
        <v>5287.63</v>
      </c>
    </row>
    <row r="13" customFormat="false" ht="15" hidden="false" customHeight="false" outlineLevel="0" collapsed="false">
      <c r="B13" s="8" t="s">
        <v>83</v>
      </c>
      <c r="C13" s="25" t="n">
        <v>1395.33</v>
      </c>
      <c r="D13" s="25" t="n">
        <v>1395.33</v>
      </c>
    </row>
    <row r="14" customFormat="false" ht="15" hidden="false" customHeight="false" outlineLevel="0" collapsed="false">
      <c r="B14" s="8" t="s">
        <v>84</v>
      </c>
      <c r="C14" s="25" t="n">
        <v>9950.29</v>
      </c>
      <c r="D14" s="25" t="n">
        <v>9950.29</v>
      </c>
    </row>
    <row r="15" customFormat="false" ht="15" hidden="false" customHeight="false" outlineLevel="0" collapsed="false">
      <c r="B15" s="8" t="s">
        <v>85</v>
      </c>
      <c r="C15" s="25" t="n">
        <v>25002.18</v>
      </c>
      <c r="D15" s="25" t="n">
        <v>25002.18</v>
      </c>
    </row>
    <row r="16" customFormat="false" ht="15" hidden="false" customHeight="false" outlineLevel="0" collapsed="false">
      <c r="B16" s="8" t="s">
        <v>86</v>
      </c>
      <c r="C16" s="25" t="n">
        <v>2047.41</v>
      </c>
      <c r="D16" s="25" t="n">
        <v>2047.41</v>
      </c>
    </row>
    <row r="17" customFormat="false" ht="15" hidden="false" customHeight="false" outlineLevel="0" collapsed="false">
      <c r="B17" s="8" t="s">
        <v>87</v>
      </c>
      <c r="C17" s="25" t="n">
        <v>5849.75</v>
      </c>
      <c r="D17" s="25" t="n">
        <v>5849.75</v>
      </c>
    </row>
    <row r="18" customFormat="false" ht="15" hidden="false" customHeight="false" outlineLevel="0" collapsed="false">
      <c r="B18" s="8" t="s">
        <v>88</v>
      </c>
      <c r="C18" s="25" t="n">
        <v>243.74</v>
      </c>
      <c r="D18" s="25" t="n">
        <v>243.74</v>
      </c>
    </row>
    <row r="19" customFormat="false" ht="15" hidden="false" customHeight="false" outlineLevel="0" collapsed="false">
      <c r="B19" s="8" t="s">
        <v>89</v>
      </c>
      <c r="C19" s="25" t="n">
        <v>9386.83</v>
      </c>
      <c r="D19" s="25" t="n">
        <v>9386.83</v>
      </c>
    </row>
    <row r="20" customFormat="false" ht="15" hidden="false" customHeight="false" outlineLevel="0" collapsed="false">
      <c r="B20" s="8" t="s">
        <v>90</v>
      </c>
      <c r="C20" s="25" t="n">
        <v>3514.14</v>
      </c>
      <c r="D20" s="25" t="n">
        <v>3514.14</v>
      </c>
    </row>
    <row r="21" customFormat="false" ht="15" hidden="false" customHeight="false" outlineLevel="0" collapsed="false">
      <c r="B21" s="8" t="s">
        <v>91</v>
      </c>
      <c r="C21" s="25" t="n">
        <v>13466.48</v>
      </c>
      <c r="D21" s="25" t="n">
        <v>13466.48</v>
      </c>
    </row>
    <row r="22" customFormat="false" ht="15" hidden="false" customHeight="false" outlineLevel="0" collapsed="false">
      <c r="B22" s="8" t="s">
        <v>92</v>
      </c>
      <c r="C22" s="25" t="n">
        <v>947.24</v>
      </c>
      <c r="D22" s="25" t="n">
        <v>947.24</v>
      </c>
    </row>
    <row r="23" customFormat="false" ht="15" hidden="false" customHeight="false" outlineLevel="0" collapsed="false">
      <c r="B23" s="8" t="s">
        <v>93</v>
      </c>
      <c r="C23" s="25" t="n">
        <v>212.61</v>
      </c>
      <c r="D23" s="25" t="n">
        <v>212.61</v>
      </c>
    </row>
    <row r="24" customFormat="false" ht="15" hidden="false" customHeight="false" outlineLevel="0" collapsed="false">
      <c r="B24" s="8" t="s">
        <v>94</v>
      </c>
      <c r="C24" s="25" t="n">
        <v>16945.69</v>
      </c>
      <c r="D24" s="25" t="n">
        <v>16945.69</v>
      </c>
    </row>
    <row r="25" customFormat="false" ht="15" hidden="false" customHeight="false" outlineLevel="0" collapsed="false">
      <c r="A25" s="5"/>
      <c r="B25" s="6" t="s">
        <v>95</v>
      </c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B26" s="8" t="s">
        <v>96</v>
      </c>
      <c r="C26" s="25" t="n">
        <v>22420.11</v>
      </c>
      <c r="G26" s="25" t="n">
        <v>22420.11</v>
      </c>
    </row>
    <row r="27" customFormat="false" ht="15" hidden="false" customHeight="false" outlineLevel="0" collapsed="false">
      <c r="B27" s="8" t="s">
        <v>97</v>
      </c>
      <c r="C27" s="25" t="n">
        <v>28072.36</v>
      </c>
      <c r="G27" s="25" t="n">
        <v>28072.36</v>
      </c>
    </row>
    <row r="28" customFormat="false" ht="15" hidden="false" customHeight="false" outlineLevel="0" collapsed="false">
      <c r="B28" s="8" t="s">
        <v>98</v>
      </c>
      <c r="C28" s="25" t="n">
        <v>15630.87</v>
      </c>
      <c r="G28" s="25" t="n">
        <v>15630.87</v>
      </c>
    </row>
    <row r="29" customFormat="false" ht="15" hidden="false" customHeight="false" outlineLevel="0" collapsed="false">
      <c r="B29" s="8" t="s">
        <v>99</v>
      </c>
      <c r="C29" s="25" t="n">
        <v>33364.56</v>
      </c>
      <c r="G29" s="25" t="n">
        <v>33364.56</v>
      </c>
    </row>
    <row r="30" customFormat="false" ht="15" hidden="false" customHeight="false" outlineLevel="0" collapsed="false">
      <c r="B30" s="8" t="s">
        <v>100</v>
      </c>
      <c r="C30" s="25" t="n">
        <v>35284.68</v>
      </c>
      <c r="G30" s="25" t="n">
        <v>35284.68</v>
      </c>
    </row>
    <row r="31" customFormat="false" ht="15" hidden="false" customHeight="false" outlineLevel="0" collapsed="false">
      <c r="B31" s="8" t="s">
        <v>101</v>
      </c>
      <c r="C31" s="25" t="n">
        <v>3313.81</v>
      </c>
      <c r="G31" s="25" t="n">
        <v>3313.81</v>
      </c>
    </row>
    <row r="32" customFormat="false" ht="15" hidden="false" customHeight="false" outlineLevel="0" collapsed="false">
      <c r="B32" s="8" t="s">
        <v>102</v>
      </c>
      <c r="C32" s="25" t="n">
        <v>16546.13</v>
      </c>
      <c r="G32" s="25" t="n">
        <v>16546.13</v>
      </c>
    </row>
    <row r="33" customFormat="false" ht="15" hidden="false" customHeight="false" outlineLevel="0" collapsed="false">
      <c r="B33" s="8" t="s">
        <v>103</v>
      </c>
      <c r="C33" s="25" t="n">
        <v>22380.23</v>
      </c>
      <c r="G33" s="25" t="n">
        <v>22380.23</v>
      </c>
    </row>
    <row r="34" customFormat="false" ht="15" hidden="false" customHeight="false" outlineLevel="0" collapsed="false">
      <c r="B34" s="8" t="s">
        <v>104</v>
      </c>
      <c r="C34" s="25" t="n">
        <v>17270.68</v>
      </c>
      <c r="G34" s="25" t="n">
        <v>17270.68</v>
      </c>
    </row>
    <row r="35" customFormat="false" ht="15" hidden="false" customHeight="false" outlineLevel="0" collapsed="false">
      <c r="B35" s="8" t="s">
        <v>105</v>
      </c>
      <c r="C35" s="25" t="n">
        <v>18558.31</v>
      </c>
      <c r="G35" s="25" t="n">
        <v>18558.31</v>
      </c>
    </row>
    <row r="36" customFormat="false" ht="15" hidden="false" customHeight="false" outlineLevel="0" collapsed="false">
      <c r="B36" s="8" t="s">
        <v>106</v>
      </c>
      <c r="C36" s="25" t="n">
        <v>42251.16</v>
      </c>
      <c r="G36" s="25" t="n">
        <v>42251.16</v>
      </c>
    </row>
    <row r="37" customFormat="false" ht="15" hidden="false" customHeight="false" outlineLevel="0" collapsed="false">
      <c r="B37" s="8" t="s">
        <v>107</v>
      </c>
      <c r="C37" s="25" t="n">
        <v>20566.05</v>
      </c>
      <c r="G37" s="25" t="n">
        <v>20566.05</v>
      </c>
    </row>
    <row r="38" customFormat="false" ht="15" hidden="false" customHeight="false" outlineLevel="0" collapsed="false">
      <c r="B38" s="8" t="s">
        <v>108</v>
      </c>
      <c r="C38" s="25" t="n">
        <v>2242.07</v>
      </c>
      <c r="G38" s="25" t="n">
        <v>2242.07</v>
      </c>
    </row>
    <row r="39" customFormat="false" ht="15" hidden="false" customHeight="false" outlineLevel="0" collapsed="false">
      <c r="B39" s="8" t="s">
        <v>109</v>
      </c>
      <c r="C39" s="25" t="n">
        <v>54791.16</v>
      </c>
      <c r="G39" s="25" t="n">
        <v>54791.16</v>
      </c>
    </row>
    <row r="40" customFormat="false" ht="15" hidden="false" customHeight="false" outlineLevel="0" collapsed="false">
      <c r="B40" s="8" t="s">
        <v>110</v>
      </c>
      <c r="C40" s="25" t="n">
        <v>7945.49</v>
      </c>
      <c r="G40" s="25" t="n">
        <v>7945.49</v>
      </c>
    </row>
    <row r="41" customFormat="false" ht="15" hidden="false" customHeight="false" outlineLevel="0" collapsed="false">
      <c r="B41" s="8" t="s">
        <v>111</v>
      </c>
      <c r="C41" s="25" t="n">
        <v>6585.61</v>
      </c>
      <c r="G41" s="25" t="n">
        <v>6585.61</v>
      </c>
    </row>
    <row r="42" customFormat="false" ht="15" hidden="false" customHeight="false" outlineLevel="0" collapsed="false">
      <c r="B42" s="8" t="s">
        <v>112</v>
      </c>
      <c r="C42" s="25" t="n">
        <v>7605.25</v>
      </c>
      <c r="G42" s="25" t="n">
        <v>7605.25</v>
      </c>
    </row>
    <row r="43" customFormat="false" ht="15" hidden="false" customHeight="false" outlineLevel="0" collapsed="false">
      <c r="A43" s="26"/>
      <c r="B43" s="27" t="s">
        <v>47</v>
      </c>
      <c r="C43" s="28" t="n">
        <f aca="false">SUM(C10:C42)</f>
        <v>477465.65</v>
      </c>
      <c r="D43" s="28" t="n">
        <f aca="false">SUM(D10:D42)</f>
        <v>122637.12</v>
      </c>
      <c r="E43" s="28" t="n">
        <f aca="false">SUM(E10:E42)</f>
        <v>0</v>
      </c>
      <c r="F43" s="28" t="n">
        <f aca="false">SUM(F10:F42)</f>
        <v>0</v>
      </c>
      <c r="G43" s="28" t="n">
        <f aca="false">SUM(G10:G42)</f>
        <v>354828.53</v>
      </c>
      <c r="H43" s="26"/>
    </row>
    <row r="45" customFormat="false" ht="15" hidden="false" customHeight="false" outlineLevel="0" collapsed="false">
      <c r="A45" s="5"/>
      <c r="B45" s="6" t="s">
        <v>48</v>
      </c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false" outlineLevel="0" collapsed="false">
      <c r="B46" s="8" t="s">
        <v>49</v>
      </c>
      <c r="C46" s="25" t="n">
        <v>389188.67</v>
      </c>
      <c r="D46" s="25" t="n">
        <v>99963.17</v>
      </c>
      <c r="G46" s="25" t="n">
        <v>289225.5</v>
      </c>
    </row>
    <row r="47" customFormat="false" ht="15" hidden="false" customHeight="false" outlineLevel="0" collapsed="false">
      <c r="B47" s="8" t="s">
        <v>50</v>
      </c>
      <c r="C47" s="25" t="n">
        <v>48291.12</v>
      </c>
      <c r="D47" s="25" t="n">
        <v>12403.58</v>
      </c>
      <c r="G47" s="25" t="n">
        <v>35887.54</v>
      </c>
    </row>
    <row r="48" customFormat="false" ht="15" hidden="false" customHeight="false" outlineLevel="0" collapsed="false">
      <c r="B48" s="8" t="s">
        <v>51</v>
      </c>
      <c r="C48" s="25" t="n">
        <v>39985.86</v>
      </c>
      <c r="D48" s="25" t="n">
        <v>10270.37</v>
      </c>
      <c r="G48" s="25" t="n">
        <v>29715.49</v>
      </c>
    </row>
    <row r="49" customFormat="false" ht="15" hidden="false" customHeight="false" outlineLevel="0" collapsed="false">
      <c r="A49" s="26"/>
      <c r="B49" s="27" t="s">
        <v>52</v>
      </c>
      <c r="C49" s="28" t="n">
        <f aca="false">SUM(C46:C48)</f>
        <v>477465.65</v>
      </c>
      <c r="D49" s="28" t="n">
        <f aca="false">SUM(D46:D48)</f>
        <v>122637.12</v>
      </c>
      <c r="E49" s="26"/>
      <c r="F49" s="28" t="n">
        <f aca="false">SUM(F46:F48)</f>
        <v>0</v>
      </c>
      <c r="G49" s="28" t="n">
        <f aca="false">SUM(G46:G48)</f>
        <v>354828.53</v>
      </c>
      <c r="H49" s="26"/>
    </row>
    <row r="51" customFormat="false" ht="15" hidden="false" customHeight="false" outlineLevel="0" collapsed="false">
      <c r="A51" s="29" t="s">
        <v>53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5" hidden="false" customHeight="false" outlineLevel="0" collapsed="false">
      <c r="A52" s="30" t="s">
        <v>21</v>
      </c>
      <c r="B52" s="30"/>
      <c r="C52" s="30"/>
      <c r="D52" s="30"/>
      <c r="E52" s="30"/>
      <c r="F52" s="30"/>
      <c r="G52" s="30"/>
      <c r="H52" s="30"/>
      <c r="I52" s="30"/>
      <c r="J52" s="30"/>
    </row>
    <row r="53" customFormat="false" ht="15" hidden="false" customHeight="false" outlineLevel="0" collapsed="false">
      <c r="A53" s="31"/>
      <c r="B53" s="31" t="s">
        <v>54</v>
      </c>
      <c r="C53" s="32" t="s">
        <v>55</v>
      </c>
      <c r="D53" s="32" t="s">
        <v>56</v>
      </c>
      <c r="E53" s="32" t="s">
        <v>57</v>
      </c>
      <c r="F53" s="32" t="s">
        <v>58</v>
      </c>
      <c r="G53" s="32" t="s">
        <v>59</v>
      </c>
      <c r="H53" s="32" t="s">
        <v>60</v>
      </c>
      <c r="I53" s="32" t="s">
        <v>61</v>
      </c>
      <c r="J53" s="32" t="s">
        <v>62</v>
      </c>
    </row>
    <row r="54" customFormat="false" ht="15" hidden="false" customHeight="false" outlineLevel="0" collapsed="false">
      <c r="B54" s="33" t="s">
        <v>113</v>
      </c>
      <c r="C54" s="34" t="n">
        <v>389188.67</v>
      </c>
      <c r="D54" s="34" t="n">
        <v>0</v>
      </c>
      <c r="E54" s="34" t="n">
        <v>106731.69</v>
      </c>
      <c r="F54" s="34" t="n">
        <v>14152.27</v>
      </c>
      <c r="G54" s="34" t="n">
        <v>120883.96</v>
      </c>
      <c r="H54" s="34" t="n">
        <v>268304.71</v>
      </c>
      <c r="I54" s="35" t="s">
        <v>64</v>
      </c>
      <c r="J54" s="36" t="n">
        <v>27.5</v>
      </c>
    </row>
    <row r="55" customFormat="false" ht="15" hidden="false" customHeight="false" outlineLevel="0" collapsed="false">
      <c r="B55" s="14" t="s">
        <v>114</v>
      </c>
      <c r="C55" s="16" t="n">
        <v>48291.12</v>
      </c>
      <c r="D55" s="16" t="n">
        <v>0</v>
      </c>
      <c r="E55" s="16" t="n">
        <v>48291.12</v>
      </c>
      <c r="F55" s="16" t="n">
        <v>0</v>
      </c>
      <c r="G55" s="16" t="n">
        <v>48291.12</v>
      </c>
      <c r="H55" s="16" t="n">
        <v>0</v>
      </c>
      <c r="I55" s="37" t="s">
        <v>66</v>
      </c>
      <c r="J55" s="38" t="n">
        <v>5</v>
      </c>
    </row>
    <row r="56" customFormat="false" ht="15" hidden="false" customHeight="false" outlineLevel="0" collapsed="false">
      <c r="B56" s="33" t="s">
        <v>115</v>
      </c>
      <c r="C56" s="34" t="n">
        <v>39985.86</v>
      </c>
      <c r="D56" s="34" t="n">
        <v>0</v>
      </c>
      <c r="E56" s="34" t="n">
        <v>19817.9</v>
      </c>
      <c r="F56" s="34" t="n">
        <v>2361.05</v>
      </c>
      <c r="G56" s="34" t="n">
        <v>22178.95</v>
      </c>
      <c r="H56" s="34" t="n">
        <v>17806.91</v>
      </c>
      <c r="I56" s="35" t="s">
        <v>68</v>
      </c>
      <c r="J56" s="36" t="n">
        <v>15</v>
      </c>
    </row>
    <row r="57" customFormat="false" ht="15" hidden="false" customHeight="false" outlineLevel="0" collapsed="false">
      <c r="A57" s="39"/>
      <c r="B57" s="40" t="s">
        <v>14</v>
      </c>
      <c r="C57" s="41" t="n">
        <f aca="false">SUM(C54:C56)</f>
        <v>477465.65</v>
      </c>
      <c r="D57" s="41" t="n">
        <f aca="false">SUM(D54:D56)</f>
        <v>0</v>
      </c>
      <c r="E57" s="41" t="n">
        <f aca="false">SUM(E54:E56)</f>
        <v>174840.71</v>
      </c>
      <c r="F57" s="41" t="n">
        <f aca="false">SUM(F54:F56)</f>
        <v>16513.32</v>
      </c>
      <c r="G57" s="41" t="n">
        <f aca="false">SUM(G54:G56)</f>
        <v>191354.03</v>
      </c>
      <c r="H57" s="41" t="n">
        <f aca="false">SUM(H54:H56)</f>
        <v>286111.62</v>
      </c>
      <c r="I57" s="39"/>
      <c r="J57" s="39"/>
    </row>
    <row r="59" customFormat="false" ht="15" hidden="false" customHeight="false" outlineLevel="0" collapsed="false">
      <c r="A59" s="42" t="s">
        <v>69</v>
      </c>
      <c r="B59" s="42"/>
      <c r="C59" s="42"/>
      <c r="D59" s="42"/>
      <c r="E59" s="42"/>
      <c r="F59" s="42"/>
      <c r="G59" s="42"/>
      <c r="H59" s="42"/>
      <c r="I59" s="42"/>
      <c r="J59" s="42"/>
    </row>
    <row r="60" customFormat="false" ht="15" hidden="false" customHeight="false" outlineLevel="0" collapsed="false">
      <c r="A60" s="31"/>
      <c r="B60" s="31" t="s">
        <v>54</v>
      </c>
      <c r="C60" s="32" t="s">
        <v>55</v>
      </c>
      <c r="D60" s="32" t="s">
        <v>56</v>
      </c>
      <c r="E60" s="32" t="s">
        <v>57</v>
      </c>
      <c r="F60" s="32" t="s">
        <v>58</v>
      </c>
      <c r="G60" s="32" t="s">
        <v>59</v>
      </c>
      <c r="H60" s="32" t="s">
        <v>60</v>
      </c>
      <c r="I60" s="32" t="s">
        <v>61</v>
      </c>
      <c r="J60" s="32" t="s">
        <v>62</v>
      </c>
    </row>
    <row r="61" customFormat="false" ht="15" hidden="false" customHeight="false" outlineLevel="0" collapsed="false">
      <c r="B61" s="33" t="s">
        <v>116</v>
      </c>
      <c r="C61" s="34" t="n">
        <v>99963.17</v>
      </c>
      <c r="D61" s="34" t="n">
        <v>0</v>
      </c>
      <c r="E61" s="34" t="n">
        <v>99963.17</v>
      </c>
      <c r="F61" s="34" t="n">
        <v>0</v>
      </c>
      <c r="G61" s="34" t="n">
        <v>99963.17</v>
      </c>
      <c r="H61" s="34" t="n">
        <v>0</v>
      </c>
      <c r="I61" s="35" t="s">
        <v>66</v>
      </c>
      <c r="J61" s="36" t="n">
        <v>5</v>
      </c>
    </row>
    <row r="62" customFormat="false" ht="15" hidden="false" customHeight="false" outlineLevel="0" collapsed="false">
      <c r="B62" s="14" t="s">
        <v>117</v>
      </c>
      <c r="C62" s="16" t="n">
        <v>289225.5</v>
      </c>
      <c r="D62" s="16" t="n">
        <v>0</v>
      </c>
      <c r="E62" s="16" t="n">
        <v>106742.11</v>
      </c>
      <c r="F62" s="16" t="n">
        <v>10517.29</v>
      </c>
      <c r="G62" s="16" t="n">
        <v>117259.4</v>
      </c>
      <c r="H62" s="16" t="n">
        <v>171966.1</v>
      </c>
      <c r="I62" s="37" t="s">
        <v>64</v>
      </c>
      <c r="J62" s="38" t="n">
        <v>27.5</v>
      </c>
    </row>
    <row r="63" customFormat="false" ht="15" hidden="false" customHeight="false" outlineLevel="0" collapsed="false">
      <c r="B63" s="33" t="s">
        <v>118</v>
      </c>
      <c r="C63" s="34" t="n">
        <v>12403.58</v>
      </c>
      <c r="D63" s="34" t="n">
        <v>0</v>
      </c>
      <c r="E63" s="34" t="n">
        <v>12403.58</v>
      </c>
      <c r="F63" s="34" t="n">
        <v>0</v>
      </c>
      <c r="G63" s="34" t="n">
        <v>12403.58</v>
      </c>
      <c r="H63" s="34" t="n">
        <v>0</v>
      </c>
      <c r="I63" s="35" t="s">
        <v>66</v>
      </c>
      <c r="J63" s="36" t="n">
        <v>5</v>
      </c>
    </row>
    <row r="64" customFormat="false" ht="15" hidden="false" customHeight="false" outlineLevel="0" collapsed="false">
      <c r="B64" s="14" t="s">
        <v>119</v>
      </c>
      <c r="C64" s="16" t="n">
        <v>35887.54</v>
      </c>
      <c r="D64" s="16" t="n">
        <v>0</v>
      </c>
      <c r="E64" s="16" t="n">
        <v>9841.88</v>
      </c>
      <c r="F64" s="16" t="n">
        <v>1305</v>
      </c>
      <c r="G64" s="16" t="n">
        <v>11146.88</v>
      </c>
      <c r="H64" s="16" t="n">
        <v>24740.66</v>
      </c>
      <c r="I64" s="37" t="s">
        <v>64</v>
      </c>
      <c r="J64" s="38" t="n">
        <v>27.5</v>
      </c>
    </row>
    <row r="65" customFormat="false" ht="15" hidden="false" customHeight="false" outlineLevel="0" collapsed="false">
      <c r="B65" s="33" t="s">
        <v>120</v>
      </c>
      <c r="C65" s="34" t="n">
        <v>10270.37</v>
      </c>
      <c r="D65" s="34" t="n">
        <v>0</v>
      </c>
      <c r="E65" s="34" t="n">
        <v>10270.37</v>
      </c>
      <c r="F65" s="34" t="n">
        <v>0</v>
      </c>
      <c r="G65" s="34" t="n">
        <v>10270.37</v>
      </c>
      <c r="H65" s="34" t="n">
        <v>0</v>
      </c>
      <c r="I65" s="35" t="s">
        <v>66</v>
      </c>
      <c r="J65" s="36" t="n">
        <v>5</v>
      </c>
    </row>
    <row r="66" customFormat="false" ht="15" hidden="false" customHeight="false" outlineLevel="0" collapsed="false">
      <c r="B66" s="14" t="s">
        <v>121</v>
      </c>
      <c r="C66" s="16" t="n">
        <v>29715.49</v>
      </c>
      <c r="D66" s="16" t="n">
        <v>0</v>
      </c>
      <c r="E66" s="16" t="n">
        <v>8149.23</v>
      </c>
      <c r="F66" s="16" t="n">
        <v>1080.56</v>
      </c>
      <c r="G66" s="16" t="n">
        <v>9229.79</v>
      </c>
      <c r="H66" s="16" t="n">
        <v>20485.7</v>
      </c>
      <c r="I66" s="37" t="s">
        <v>64</v>
      </c>
      <c r="J66" s="38" t="n">
        <v>27.5</v>
      </c>
    </row>
    <row r="67" customFormat="false" ht="15" hidden="false" customHeight="false" outlineLevel="0" collapsed="false">
      <c r="A67" s="39"/>
      <c r="B67" s="40" t="s">
        <v>14</v>
      </c>
      <c r="C67" s="41" t="n">
        <f aca="false">SUM(C61:C66)</f>
        <v>477465.65</v>
      </c>
      <c r="D67" s="41" t="n">
        <f aca="false">SUM(D61:D66)</f>
        <v>0</v>
      </c>
      <c r="E67" s="41" t="n">
        <f aca="false">SUM(E61:E66)</f>
        <v>247370.34</v>
      </c>
      <c r="F67" s="41" t="n">
        <f aca="false">SUM(F61:F66)</f>
        <v>12902.85</v>
      </c>
      <c r="G67" s="41" t="n">
        <f aca="false">SUM(G61:G66)</f>
        <v>260273.19</v>
      </c>
      <c r="H67" s="41" t="n">
        <f aca="false">SUM(H61:H66)</f>
        <v>217192.46</v>
      </c>
      <c r="I67" s="39"/>
      <c r="J67" s="39"/>
    </row>
    <row r="69" customFormat="false" ht="15" hidden="false" customHeight="false" outlineLevel="0" collapsed="false">
      <c r="A69" s="29" t="s">
        <v>23</v>
      </c>
      <c r="B69" s="29"/>
      <c r="C69" s="29"/>
      <c r="D69" s="29"/>
      <c r="E69" s="29"/>
    </row>
    <row r="70" customFormat="false" ht="15" hidden="false" customHeight="false" outlineLevel="0" collapsed="false">
      <c r="B70" s="14" t="s">
        <v>76</v>
      </c>
      <c r="C70" s="43" t="n">
        <f aca="false">G57</f>
        <v>191354.03</v>
      </c>
    </row>
    <row r="71" customFormat="false" ht="15" hidden="false" customHeight="false" outlineLevel="0" collapsed="false">
      <c r="B71" s="14" t="s">
        <v>77</v>
      </c>
      <c r="C71" s="43" t="n">
        <f aca="false">G67</f>
        <v>260273.19</v>
      </c>
    </row>
    <row r="72" customFormat="false" ht="15" hidden="false" customHeight="false" outlineLevel="0" collapsed="false">
      <c r="B72" s="17" t="s">
        <v>23</v>
      </c>
      <c r="C72" s="44" t="n">
        <f aca="false">C71-C70</f>
        <v>68919.16</v>
      </c>
    </row>
  </sheetData>
  <mergeCells count="11">
    <mergeCell ref="A2:J2"/>
    <mergeCell ref="A3:J3"/>
    <mergeCell ref="A4:J4"/>
    <mergeCell ref="A8:J8"/>
    <mergeCell ref="B10:J10"/>
    <mergeCell ref="B25:J25"/>
    <mergeCell ref="B45:J45"/>
    <mergeCell ref="A51:J51"/>
    <mergeCell ref="A52:J52"/>
    <mergeCell ref="A59:J59"/>
    <mergeCell ref="A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A3" s="2" t="s">
        <v>122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1" t="s">
        <v>26</v>
      </c>
      <c r="C6" s="8" t="s">
        <v>16</v>
      </c>
    </row>
    <row r="8" customFormat="false" ht="15" hidden="false" customHeight="false" outlineLevel="0" collapsed="false">
      <c r="A8" s="22" t="s">
        <v>123</v>
      </c>
      <c r="B8" s="22"/>
      <c r="C8" s="22"/>
      <c r="D8" s="22"/>
      <c r="E8" s="22"/>
      <c r="F8" s="22"/>
      <c r="G8" s="22"/>
      <c r="H8" s="22"/>
      <c r="I8" s="22"/>
      <c r="J8" s="22"/>
    </row>
    <row r="9" customFormat="false" ht="15" hidden="false" customHeight="false" outlineLevel="0" collapsed="false">
      <c r="A9" s="23"/>
      <c r="B9" s="23" t="s">
        <v>28</v>
      </c>
      <c r="C9" s="24" t="s">
        <v>29</v>
      </c>
      <c r="D9" s="24" t="s">
        <v>30</v>
      </c>
      <c r="E9" s="24" t="s">
        <v>31</v>
      </c>
      <c r="F9" s="24" t="s">
        <v>32</v>
      </c>
      <c r="G9" s="24" t="s">
        <v>33</v>
      </c>
      <c r="H9" s="24" t="s">
        <v>34</v>
      </c>
    </row>
    <row r="10" customFormat="false" ht="15" hidden="false" customHeight="false" outlineLevel="0" collapsed="false">
      <c r="A10" s="5"/>
      <c r="B10" s="6" t="s">
        <v>80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81</v>
      </c>
      <c r="C11" s="25" t="n">
        <v>28387.8</v>
      </c>
      <c r="D11" s="25" t="n">
        <v>28387.8</v>
      </c>
    </row>
    <row r="12" customFormat="false" ht="15" hidden="false" customHeight="false" outlineLevel="0" collapsed="false">
      <c r="B12" s="8" t="s">
        <v>82</v>
      </c>
      <c r="C12" s="25" t="n">
        <v>5287.63</v>
      </c>
      <c r="D12" s="25" t="n">
        <v>5287.63</v>
      </c>
    </row>
    <row r="13" customFormat="false" ht="15" hidden="false" customHeight="false" outlineLevel="0" collapsed="false">
      <c r="B13" s="8" t="s">
        <v>83</v>
      </c>
      <c r="C13" s="25" t="n">
        <v>1395.33</v>
      </c>
      <c r="D13" s="25" t="n">
        <v>1395.33</v>
      </c>
    </row>
    <row r="14" customFormat="false" ht="15" hidden="false" customHeight="false" outlineLevel="0" collapsed="false">
      <c r="B14" s="8" t="s">
        <v>84</v>
      </c>
      <c r="C14" s="25" t="n">
        <v>9950.29</v>
      </c>
      <c r="D14" s="25" t="n">
        <v>9950.29</v>
      </c>
    </row>
    <row r="15" customFormat="false" ht="15" hidden="false" customHeight="false" outlineLevel="0" collapsed="false">
      <c r="B15" s="8" t="s">
        <v>85</v>
      </c>
      <c r="C15" s="25" t="n">
        <v>25002.18</v>
      </c>
      <c r="D15" s="25" t="n">
        <v>25002.18</v>
      </c>
    </row>
    <row r="16" customFormat="false" ht="15" hidden="false" customHeight="false" outlineLevel="0" collapsed="false">
      <c r="B16" s="8" t="s">
        <v>86</v>
      </c>
      <c r="C16" s="25" t="n">
        <v>2047.41</v>
      </c>
      <c r="D16" s="25" t="n">
        <v>2047.41</v>
      </c>
    </row>
    <row r="17" customFormat="false" ht="15" hidden="false" customHeight="false" outlineLevel="0" collapsed="false">
      <c r="B17" s="8" t="s">
        <v>87</v>
      </c>
      <c r="C17" s="25" t="n">
        <v>5849.75</v>
      </c>
      <c r="D17" s="25" t="n">
        <v>5849.75</v>
      </c>
    </row>
    <row r="18" customFormat="false" ht="15" hidden="false" customHeight="false" outlineLevel="0" collapsed="false">
      <c r="B18" s="8" t="s">
        <v>88</v>
      </c>
      <c r="C18" s="25" t="n">
        <v>243.74</v>
      </c>
      <c r="D18" s="25" t="n">
        <v>243.74</v>
      </c>
    </row>
    <row r="19" customFormat="false" ht="15" hidden="false" customHeight="false" outlineLevel="0" collapsed="false">
      <c r="B19" s="8" t="s">
        <v>89</v>
      </c>
      <c r="C19" s="25" t="n">
        <v>9386.83</v>
      </c>
      <c r="D19" s="25" t="n">
        <v>9386.83</v>
      </c>
    </row>
    <row r="20" customFormat="false" ht="15" hidden="false" customHeight="false" outlineLevel="0" collapsed="false">
      <c r="B20" s="8" t="s">
        <v>90</v>
      </c>
      <c r="C20" s="25" t="n">
        <v>3514.14</v>
      </c>
      <c r="D20" s="25" t="n">
        <v>3514.14</v>
      </c>
    </row>
    <row r="21" customFormat="false" ht="15" hidden="false" customHeight="false" outlineLevel="0" collapsed="false">
      <c r="B21" s="8" t="s">
        <v>91</v>
      </c>
      <c r="C21" s="25" t="n">
        <v>13466.48</v>
      </c>
      <c r="D21" s="25" t="n">
        <v>13466.48</v>
      </c>
    </row>
    <row r="22" customFormat="false" ht="15" hidden="false" customHeight="false" outlineLevel="0" collapsed="false">
      <c r="B22" s="8" t="s">
        <v>92</v>
      </c>
      <c r="C22" s="25" t="n">
        <v>947.24</v>
      </c>
      <c r="D22" s="25" t="n">
        <v>947.24</v>
      </c>
    </row>
    <row r="23" customFormat="false" ht="15" hidden="false" customHeight="false" outlineLevel="0" collapsed="false">
      <c r="B23" s="8" t="s">
        <v>93</v>
      </c>
      <c r="C23" s="25" t="n">
        <v>212.61</v>
      </c>
      <c r="D23" s="25" t="n">
        <v>212.61</v>
      </c>
    </row>
    <row r="24" customFormat="false" ht="15" hidden="false" customHeight="false" outlineLevel="0" collapsed="false">
      <c r="B24" s="8" t="s">
        <v>94</v>
      </c>
      <c r="C24" s="25" t="n">
        <v>16945.69</v>
      </c>
      <c r="D24" s="25" t="n">
        <v>16945.69</v>
      </c>
    </row>
    <row r="25" customFormat="false" ht="15" hidden="false" customHeight="false" outlineLevel="0" collapsed="false">
      <c r="A25" s="5"/>
      <c r="B25" s="6" t="s">
        <v>95</v>
      </c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B26" s="8" t="s">
        <v>96</v>
      </c>
      <c r="C26" s="25" t="n">
        <v>22420.11</v>
      </c>
      <c r="G26" s="25" t="n">
        <v>22420.11</v>
      </c>
    </row>
    <row r="27" customFormat="false" ht="15" hidden="false" customHeight="false" outlineLevel="0" collapsed="false">
      <c r="B27" s="8" t="s">
        <v>97</v>
      </c>
      <c r="C27" s="25" t="n">
        <v>28072.36</v>
      </c>
      <c r="G27" s="25" t="n">
        <v>28072.36</v>
      </c>
    </row>
    <row r="28" customFormat="false" ht="15" hidden="false" customHeight="false" outlineLevel="0" collapsed="false">
      <c r="B28" s="8" t="s">
        <v>98</v>
      </c>
      <c r="C28" s="25" t="n">
        <v>15630.87</v>
      </c>
      <c r="G28" s="25" t="n">
        <v>15630.87</v>
      </c>
    </row>
    <row r="29" customFormat="false" ht="15" hidden="false" customHeight="false" outlineLevel="0" collapsed="false">
      <c r="B29" s="8" t="s">
        <v>99</v>
      </c>
      <c r="C29" s="25" t="n">
        <v>33364.56</v>
      </c>
      <c r="G29" s="25" t="n">
        <v>33364.56</v>
      </c>
    </row>
    <row r="30" customFormat="false" ht="15" hidden="false" customHeight="false" outlineLevel="0" collapsed="false">
      <c r="B30" s="8" t="s">
        <v>100</v>
      </c>
      <c r="C30" s="25" t="n">
        <v>35284.68</v>
      </c>
      <c r="G30" s="25" t="n">
        <v>35284.68</v>
      </c>
    </row>
    <row r="31" customFormat="false" ht="15" hidden="false" customHeight="false" outlineLevel="0" collapsed="false">
      <c r="B31" s="8" t="s">
        <v>101</v>
      </c>
      <c r="C31" s="25" t="n">
        <v>3313.81</v>
      </c>
      <c r="G31" s="25" t="n">
        <v>3313.81</v>
      </c>
    </row>
    <row r="32" customFormat="false" ht="15" hidden="false" customHeight="false" outlineLevel="0" collapsed="false">
      <c r="B32" s="8" t="s">
        <v>102</v>
      </c>
      <c r="C32" s="25" t="n">
        <v>16546.13</v>
      </c>
      <c r="G32" s="25" t="n">
        <v>16546.13</v>
      </c>
    </row>
    <row r="33" customFormat="false" ht="15" hidden="false" customHeight="false" outlineLevel="0" collapsed="false">
      <c r="B33" s="8" t="s">
        <v>103</v>
      </c>
      <c r="C33" s="25" t="n">
        <v>22380.23</v>
      </c>
      <c r="G33" s="25" t="n">
        <v>22380.23</v>
      </c>
    </row>
    <row r="34" customFormat="false" ht="15" hidden="false" customHeight="false" outlineLevel="0" collapsed="false">
      <c r="B34" s="8" t="s">
        <v>104</v>
      </c>
      <c r="C34" s="25" t="n">
        <v>17270.68</v>
      </c>
      <c r="G34" s="25" t="n">
        <v>17270.68</v>
      </c>
    </row>
    <row r="35" customFormat="false" ht="15" hidden="false" customHeight="false" outlineLevel="0" collapsed="false">
      <c r="B35" s="8" t="s">
        <v>105</v>
      </c>
      <c r="C35" s="25" t="n">
        <v>18558.31</v>
      </c>
      <c r="G35" s="25" t="n">
        <v>18558.31</v>
      </c>
    </row>
    <row r="36" customFormat="false" ht="15" hidden="false" customHeight="false" outlineLevel="0" collapsed="false">
      <c r="B36" s="8" t="s">
        <v>106</v>
      </c>
      <c r="C36" s="25" t="n">
        <v>42251.16</v>
      </c>
      <c r="G36" s="25" t="n">
        <v>42251.16</v>
      </c>
    </row>
    <row r="37" customFormat="false" ht="15" hidden="false" customHeight="false" outlineLevel="0" collapsed="false">
      <c r="B37" s="8" t="s">
        <v>107</v>
      </c>
      <c r="C37" s="25" t="n">
        <v>20566.05</v>
      </c>
      <c r="G37" s="25" t="n">
        <v>20566.05</v>
      </c>
    </row>
    <row r="38" customFormat="false" ht="15" hidden="false" customHeight="false" outlineLevel="0" collapsed="false">
      <c r="B38" s="8" t="s">
        <v>108</v>
      </c>
      <c r="C38" s="25" t="n">
        <v>2242.07</v>
      </c>
      <c r="G38" s="25" t="n">
        <v>2242.07</v>
      </c>
    </row>
    <row r="39" customFormat="false" ht="15" hidden="false" customHeight="false" outlineLevel="0" collapsed="false">
      <c r="B39" s="8" t="s">
        <v>109</v>
      </c>
      <c r="C39" s="25" t="n">
        <v>54791.16</v>
      </c>
      <c r="G39" s="25" t="n">
        <v>54791.16</v>
      </c>
    </row>
    <row r="40" customFormat="false" ht="15" hidden="false" customHeight="false" outlineLevel="0" collapsed="false">
      <c r="B40" s="8" t="s">
        <v>110</v>
      </c>
      <c r="C40" s="25" t="n">
        <v>7945.49</v>
      </c>
      <c r="G40" s="25" t="n">
        <v>7945.49</v>
      </c>
    </row>
    <row r="41" customFormat="false" ht="15" hidden="false" customHeight="false" outlineLevel="0" collapsed="false">
      <c r="B41" s="8" t="s">
        <v>111</v>
      </c>
      <c r="C41" s="25" t="n">
        <v>6585.61</v>
      </c>
      <c r="G41" s="25" t="n">
        <v>6585.61</v>
      </c>
    </row>
    <row r="42" customFormat="false" ht="15" hidden="false" customHeight="false" outlineLevel="0" collapsed="false">
      <c r="B42" s="8" t="s">
        <v>112</v>
      </c>
      <c r="C42" s="25" t="n">
        <v>7605.25</v>
      </c>
      <c r="G42" s="25" t="n">
        <v>7605.25</v>
      </c>
    </row>
    <row r="43" customFormat="false" ht="15" hidden="false" customHeight="false" outlineLevel="0" collapsed="false">
      <c r="A43" s="26"/>
      <c r="B43" s="27" t="s">
        <v>47</v>
      </c>
      <c r="C43" s="28" t="n">
        <f aca="false">SUM(C10:C42)</f>
        <v>477465.65</v>
      </c>
      <c r="D43" s="28" t="n">
        <f aca="false">SUM(D10:D42)</f>
        <v>122637.12</v>
      </c>
      <c r="E43" s="28" t="n">
        <f aca="false">SUM(E10:E42)</f>
        <v>0</v>
      </c>
      <c r="F43" s="28" t="n">
        <f aca="false">SUM(F10:F42)</f>
        <v>0</v>
      </c>
      <c r="G43" s="28" t="n">
        <f aca="false">SUM(G10:G42)</f>
        <v>354828.53</v>
      </c>
      <c r="H43" s="26"/>
    </row>
    <row r="45" customFormat="false" ht="15" hidden="false" customHeight="false" outlineLevel="0" collapsed="false">
      <c r="A45" s="5"/>
      <c r="B45" s="6" t="s">
        <v>48</v>
      </c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false" outlineLevel="0" collapsed="false">
      <c r="B46" s="8" t="s">
        <v>49</v>
      </c>
      <c r="C46" s="25" t="n">
        <v>389188.67</v>
      </c>
      <c r="D46" s="25" t="n">
        <v>99963.17</v>
      </c>
      <c r="G46" s="25" t="n">
        <v>289225.5</v>
      </c>
    </row>
    <row r="47" customFormat="false" ht="15" hidden="false" customHeight="false" outlineLevel="0" collapsed="false">
      <c r="B47" s="8" t="s">
        <v>50</v>
      </c>
      <c r="C47" s="25" t="n">
        <v>48291.12</v>
      </c>
      <c r="D47" s="25" t="n">
        <v>12403.58</v>
      </c>
      <c r="G47" s="25" t="n">
        <v>35887.54</v>
      </c>
    </row>
    <row r="48" customFormat="false" ht="15" hidden="false" customHeight="false" outlineLevel="0" collapsed="false">
      <c r="B48" s="8" t="s">
        <v>51</v>
      </c>
      <c r="C48" s="25" t="n">
        <v>39985.86</v>
      </c>
      <c r="D48" s="25" t="n">
        <v>10270.37</v>
      </c>
      <c r="G48" s="25" t="n">
        <v>29715.49</v>
      </c>
    </row>
    <row r="49" customFormat="false" ht="15" hidden="false" customHeight="false" outlineLevel="0" collapsed="false">
      <c r="A49" s="26"/>
      <c r="B49" s="27" t="s">
        <v>52</v>
      </c>
      <c r="C49" s="28" t="n">
        <f aca="false">SUM(C46:C48)</f>
        <v>477465.65</v>
      </c>
      <c r="D49" s="28" t="n">
        <f aca="false">SUM(D46:D48)</f>
        <v>122637.12</v>
      </c>
      <c r="E49" s="26"/>
      <c r="F49" s="28" t="n">
        <f aca="false">SUM(F46:F48)</f>
        <v>0</v>
      </c>
      <c r="G49" s="28" t="n">
        <f aca="false">SUM(G46:G48)</f>
        <v>354828.53</v>
      </c>
      <c r="H49" s="26"/>
    </row>
    <row r="51" customFormat="false" ht="15" hidden="false" customHeight="false" outlineLevel="0" collapsed="false">
      <c r="A51" s="29" t="s">
        <v>53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5" hidden="false" customHeight="false" outlineLevel="0" collapsed="false">
      <c r="A52" s="30" t="s">
        <v>21</v>
      </c>
      <c r="B52" s="30"/>
      <c r="C52" s="30"/>
      <c r="D52" s="30"/>
      <c r="E52" s="30"/>
      <c r="F52" s="30"/>
      <c r="G52" s="30"/>
      <c r="H52" s="30"/>
      <c r="I52" s="30"/>
      <c r="J52" s="30"/>
    </row>
    <row r="53" customFormat="false" ht="15" hidden="false" customHeight="false" outlineLevel="0" collapsed="false">
      <c r="A53" s="31"/>
      <c r="B53" s="31" t="s">
        <v>54</v>
      </c>
      <c r="C53" s="32" t="s">
        <v>55</v>
      </c>
      <c r="D53" s="32" t="s">
        <v>56</v>
      </c>
      <c r="E53" s="32" t="s">
        <v>57</v>
      </c>
      <c r="F53" s="32" t="s">
        <v>58</v>
      </c>
      <c r="G53" s="32" t="s">
        <v>59</v>
      </c>
      <c r="H53" s="32" t="s">
        <v>60</v>
      </c>
      <c r="I53" s="32" t="s">
        <v>61</v>
      </c>
      <c r="J53" s="32" t="s">
        <v>62</v>
      </c>
    </row>
    <row r="54" customFormat="false" ht="15" hidden="false" customHeight="false" outlineLevel="0" collapsed="false">
      <c r="B54" s="33" t="s">
        <v>113</v>
      </c>
      <c r="C54" s="34" t="n">
        <v>389188.67</v>
      </c>
      <c r="D54" s="34" t="n">
        <v>0</v>
      </c>
      <c r="E54" s="34" t="n">
        <v>106731.69</v>
      </c>
      <c r="F54" s="34" t="n">
        <v>14152.27</v>
      </c>
      <c r="G54" s="34" t="n">
        <v>120883.96</v>
      </c>
      <c r="H54" s="34" t="n">
        <v>268304.71</v>
      </c>
      <c r="I54" s="35" t="s">
        <v>64</v>
      </c>
      <c r="J54" s="36" t="n">
        <v>27.5</v>
      </c>
    </row>
    <row r="55" customFormat="false" ht="15" hidden="false" customHeight="false" outlineLevel="0" collapsed="false">
      <c r="B55" s="14" t="s">
        <v>114</v>
      </c>
      <c r="C55" s="16" t="n">
        <v>48291.12</v>
      </c>
      <c r="D55" s="16" t="n">
        <v>0</v>
      </c>
      <c r="E55" s="16" t="n">
        <v>48291.12</v>
      </c>
      <c r="F55" s="16" t="n">
        <v>0</v>
      </c>
      <c r="G55" s="16" t="n">
        <v>48291.12</v>
      </c>
      <c r="H55" s="16" t="n">
        <v>0</v>
      </c>
      <c r="I55" s="37" t="s">
        <v>66</v>
      </c>
      <c r="J55" s="38" t="n">
        <v>5</v>
      </c>
    </row>
    <row r="56" customFormat="false" ht="15" hidden="false" customHeight="false" outlineLevel="0" collapsed="false">
      <c r="B56" s="33" t="s">
        <v>115</v>
      </c>
      <c r="C56" s="34" t="n">
        <v>39985.86</v>
      </c>
      <c r="D56" s="34" t="n">
        <v>0</v>
      </c>
      <c r="E56" s="34" t="n">
        <v>19817.9</v>
      </c>
      <c r="F56" s="34" t="n">
        <v>2361.05</v>
      </c>
      <c r="G56" s="34" t="n">
        <v>22178.95</v>
      </c>
      <c r="H56" s="34" t="n">
        <v>17806.91</v>
      </c>
      <c r="I56" s="35" t="s">
        <v>68</v>
      </c>
      <c r="J56" s="36" t="n">
        <v>15</v>
      </c>
    </row>
    <row r="57" customFormat="false" ht="15" hidden="false" customHeight="false" outlineLevel="0" collapsed="false">
      <c r="A57" s="39"/>
      <c r="B57" s="40" t="s">
        <v>14</v>
      </c>
      <c r="C57" s="41" t="n">
        <f aca="false">SUM(C54:C56)</f>
        <v>477465.65</v>
      </c>
      <c r="D57" s="41" t="n">
        <f aca="false">SUM(D54:D56)</f>
        <v>0</v>
      </c>
      <c r="E57" s="41" t="n">
        <f aca="false">SUM(E54:E56)</f>
        <v>174840.71</v>
      </c>
      <c r="F57" s="41" t="n">
        <f aca="false">SUM(F54:F56)</f>
        <v>16513.32</v>
      </c>
      <c r="G57" s="41" t="n">
        <f aca="false">SUM(G54:G56)</f>
        <v>191354.03</v>
      </c>
      <c r="H57" s="41" t="n">
        <f aca="false">SUM(H54:H56)</f>
        <v>286111.62</v>
      </c>
      <c r="I57" s="39"/>
      <c r="J57" s="39"/>
    </row>
    <row r="59" customFormat="false" ht="15" hidden="false" customHeight="false" outlineLevel="0" collapsed="false">
      <c r="A59" s="42" t="s">
        <v>69</v>
      </c>
      <c r="B59" s="42"/>
      <c r="C59" s="42"/>
      <c r="D59" s="42"/>
      <c r="E59" s="42"/>
      <c r="F59" s="42"/>
      <c r="G59" s="42"/>
      <c r="H59" s="42"/>
      <c r="I59" s="42"/>
      <c r="J59" s="42"/>
    </row>
    <row r="60" customFormat="false" ht="15" hidden="false" customHeight="false" outlineLevel="0" collapsed="false">
      <c r="A60" s="31"/>
      <c r="B60" s="31" t="s">
        <v>54</v>
      </c>
      <c r="C60" s="32" t="s">
        <v>55</v>
      </c>
      <c r="D60" s="32" t="s">
        <v>56</v>
      </c>
      <c r="E60" s="32" t="s">
        <v>57</v>
      </c>
      <c r="F60" s="32" t="s">
        <v>58</v>
      </c>
      <c r="G60" s="32" t="s">
        <v>59</v>
      </c>
      <c r="H60" s="32" t="s">
        <v>60</v>
      </c>
      <c r="I60" s="32" t="s">
        <v>61</v>
      </c>
      <c r="J60" s="32" t="s">
        <v>62</v>
      </c>
    </row>
    <row r="61" customFormat="false" ht="15" hidden="false" customHeight="false" outlineLevel="0" collapsed="false">
      <c r="B61" s="33" t="s">
        <v>116</v>
      </c>
      <c r="C61" s="34" t="n">
        <v>99963.17</v>
      </c>
      <c r="D61" s="34" t="n">
        <v>0</v>
      </c>
      <c r="E61" s="34" t="n">
        <v>99963.17</v>
      </c>
      <c r="F61" s="34" t="n">
        <v>0</v>
      </c>
      <c r="G61" s="34" t="n">
        <v>99963.17</v>
      </c>
      <c r="H61" s="34" t="n">
        <v>0</v>
      </c>
      <c r="I61" s="35" t="s">
        <v>66</v>
      </c>
      <c r="J61" s="36" t="n">
        <v>5</v>
      </c>
    </row>
    <row r="62" customFormat="false" ht="15" hidden="false" customHeight="false" outlineLevel="0" collapsed="false">
      <c r="B62" s="14" t="s">
        <v>117</v>
      </c>
      <c r="C62" s="16" t="n">
        <v>289225.5</v>
      </c>
      <c r="D62" s="16" t="n">
        <v>0</v>
      </c>
      <c r="E62" s="16" t="n">
        <v>106742.11</v>
      </c>
      <c r="F62" s="16" t="n">
        <v>10517.29</v>
      </c>
      <c r="G62" s="16" t="n">
        <v>117259.4</v>
      </c>
      <c r="H62" s="16" t="n">
        <v>171966.1</v>
      </c>
      <c r="I62" s="37" t="s">
        <v>64</v>
      </c>
      <c r="J62" s="38" t="n">
        <v>27.5</v>
      </c>
    </row>
    <row r="63" customFormat="false" ht="15" hidden="false" customHeight="false" outlineLevel="0" collapsed="false">
      <c r="B63" s="33" t="s">
        <v>118</v>
      </c>
      <c r="C63" s="34" t="n">
        <v>12403.58</v>
      </c>
      <c r="D63" s="34" t="n">
        <v>0</v>
      </c>
      <c r="E63" s="34" t="n">
        <v>12403.58</v>
      </c>
      <c r="F63" s="34" t="n">
        <v>0</v>
      </c>
      <c r="G63" s="34" t="n">
        <v>12403.58</v>
      </c>
      <c r="H63" s="34" t="n">
        <v>0</v>
      </c>
      <c r="I63" s="35" t="s">
        <v>66</v>
      </c>
      <c r="J63" s="36" t="n">
        <v>5</v>
      </c>
    </row>
    <row r="64" customFormat="false" ht="15" hidden="false" customHeight="false" outlineLevel="0" collapsed="false">
      <c r="B64" s="14" t="s">
        <v>119</v>
      </c>
      <c r="C64" s="16" t="n">
        <v>35887.54</v>
      </c>
      <c r="D64" s="16" t="n">
        <v>0</v>
      </c>
      <c r="E64" s="16" t="n">
        <v>9841.88</v>
      </c>
      <c r="F64" s="16" t="n">
        <v>1305</v>
      </c>
      <c r="G64" s="16" t="n">
        <v>11146.88</v>
      </c>
      <c r="H64" s="16" t="n">
        <v>24740.66</v>
      </c>
      <c r="I64" s="37" t="s">
        <v>64</v>
      </c>
      <c r="J64" s="38" t="n">
        <v>27.5</v>
      </c>
    </row>
    <row r="65" customFormat="false" ht="15" hidden="false" customHeight="false" outlineLevel="0" collapsed="false">
      <c r="B65" s="33" t="s">
        <v>120</v>
      </c>
      <c r="C65" s="34" t="n">
        <v>10270.37</v>
      </c>
      <c r="D65" s="34" t="n">
        <v>0</v>
      </c>
      <c r="E65" s="34" t="n">
        <v>10270.37</v>
      </c>
      <c r="F65" s="34" t="n">
        <v>0</v>
      </c>
      <c r="G65" s="34" t="n">
        <v>10270.37</v>
      </c>
      <c r="H65" s="34" t="n">
        <v>0</v>
      </c>
      <c r="I65" s="35" t="s">
        <v>66</v>
      </c>
      <c r="J65" s="36" t="n">
        <v>5</v>
      </c>
    </row>
    <row r="66" customFormat="false" ht="15" hidden="false" customHeight="false" outlineLevel="0" collapsed="false">
      <c r="B66" s="14" t="s">
        <v>121</v>
      </c>
      <c r="C66" s="16" t="n">
        <v>29715.49</v>
      </c>
      <c r="D66" s="16" t="n">
        <v>0</v>
      </c>
      <c r="E66" s="16" t="n">
        <v>8149.23</v>
      </c>
      <c r="F66" s="16" t="n">
        <v>1080.56</v>
      </c>
      <c r="G66" s="16" t="n">
        <v>9229.79</v>
      </c>
      <c r="H66" s="16" t="n">
        <v>20485.7</v>
      </c>
      <c r="I66" s="37" t="s">
        <v>64</v>
      </c>
      <c r="J66" s="38" t="n">
        <v>27.5</v>
      </c>
    </row>
    <row r="67" customFormat="false" ht="15" hidden="false" customHeight="false" outlineLevel="0" collapsed="false">
      <c r="A67" s="39"/>
      <c r="B67" s="40" t="s">
        <v>14</v>
      </c>
      <c r="C67" s="41" t="n">
        <f aca="false">SUM(C61:C66)</f>
        <v>477465.65</v>
      </c>
      <c r="D67" s="41" t="n">
        <f aca="false">SUM(D61:D66)</f>
        <v>0</v>
      </c>
      <c r="E67" s="41" t="n">
        <f aca="false">SUM(E61:E66)</f>
        <v>247370.34</v>
      </c>
      <c r="F67" s="41" t="n">
        <f aca="false">SUM(F61:F66)</f>
        <v>12902.85</v>
      </c>
      <c r="G67" s="41" t="n">
        <f aca="false">SUM(G61:G66)</f>
        <v>260273.19</v>
      </c>
      <c r="H67" s="41" t="n">
        <f aca="false">SUM(H61:H66)</f>
        <v>217192.46</v>
      </c>
      <c r="I67" s="39"/>
      <c r="J67" s="39"/>
    </row>
    <row r="69" customFormat="false" ht="15" hidden="false" customHeight="false" outlineLevel="0" collapsed="false">
      <c r="A69" s="29" t="s">
        <v>23</v>
      </c>
      <c r="B69" s="29"/>
      <c r="C69" s="29"/>
      <c r="D69" s="29"/>
      <c r="E69" s="29"/>
    </row>
    <row r="70" customFormat="false" ht="15" hidden="false" customHeight="false" outlineLevel="0" collapsed="false">
      <c r="B70" s="14" t="s">
        <v>76</v>
      </c>
      <c r="C70" s="43" t="n">
        <f aca="false">G57</f>
        <v>191354.03</v>
      </c>
    </row>
    <row r="71" customFormat="false" ht="15" hidden="false" customHeight="false" outlineLevel="0" collapsed="false">
      <c r="B71" s="14" t="s">
        <v>77</v>
      </c>
      <c r="C71" s="43" t="n">
        <f aca="false">G67</f>
        <v>260273.19</v>
      </c>
    </row>
    <row r="72" customFormat="false" ht="15" hidden="false" customHeight="false" outlineLevel="0" collapsed="false">
      <c r="B72" s="17" t="s">
        <v>23</v>
      </c>
      <c r="C72" s="44" t="n">
        <f aca="false">C71-C70</f>
        <v>68919.16</v>
      </c>
    </row>
  </sheetData>
  <mergeCells count="11">
    <mergeCell ref="A2:J2"/>
    <mergeCell ref="A3:J3"/>
    <mergeCell ref="A4:J4"/>
    <mergeCell ref="A8:J8"/>
    <mergeCell ref="B10:J10"/>
    <mergeCell ref="B25:J25"/>
    <mergeCell ref="B45:J45"/>
    <mergeCell ref="A51:J51"/>
    <mergeCell ref="A52:J52"/>
    <mergeCell ref="A59:J59"/>
    <mergeCell ref="A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A3" s="2" t="s">
        <v>124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1" t="s">
        <v>26</v>
      </c>
      <c r="C6" s="8" t="s">
        <v>16</v>
      </c>
    </row>
    <row r="8" customFormat="false" ht="15" hidden="false" customHeight="false" outlineLevel="0" collapsed="false">
      <c r="A8" s="22" t="s">
        <v>125</v>
      </c>
      <c r="B8" s="22"/>
      <c r="C8" s="22"/>
      <c r="D8" s="22"/>
      <c r="E8" s="22"/>
      <c r="F8" s="22"/>
      <c r="G8" s="22"/>
      <c r="H8" s="22"/>
      <c r="I8" s="22"/>
      <c r="J8" s="22"/>
    </row>
    <row r="9" customFormat="false" ht="15" hidden="false" customHeight="false" outlineLevel="0" collapsed="false">
      <c r="A9" s="23"/>
      <c r="B9" s="23" t="s">
        <v>28</v>
      </c>
      <c r="C9" s="24" t="s">
        <v>29</v>
      </c>
      <c r="D9" s="24" t="s">
        <v>30</v>
      </c>
      <c r="E9" s="24" t="s">
        <v>31</v>
      </c>
      <c r="F9" s="24" t="s">
        <v>32</v>
      </c>
      <c r="G9" s="24" t="s">
        <v>33</v>
      </c>
      <c r="H9" s="24" t="s">
        <v>34</v>
      </c>
    </row>
    <row r="10" customFormat="false" ht="15" hidden="false" customHeight="false" outlineLevel="0" collapsed="false">
      <c r="A10" s="5"/>
      <c r="B10" s="6" t="s">
        <v>80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81</v>
      </c>
      <c r="C11" s="25" t="n">
        <v>30136.41</v>
      </c>
      <c r="D11" s="25" t="n">
        <v>30136.41</v>
      </c>
    </row>
    <row r="12" customFormat="false" ht="15" hidden="false" customHeight="false" outlineLevel="0" collapsed="false">
      <c r="B12" s="8" t="s">
        <v>82</v>
      </c>
      <c r="C12" s="25" t="n">
        <v>5465.85</v>
      </c>
      <c r="D12" s="25" t="n">
        <v>5465.85</v>
      </c>
    </row>
    <row r="13" customFormat="false" ht="15" hidden="false" customHeight="false" outlineLevel="0" collapsed="false">
      <c r="B13" s="8" t="s">
        <v>83</v>
      </c>
      <c r="C13" s="25" t="n">
        <v>1395.33</v>
      </c>
      <c r="D13" s="25" t="n">
        <v>1395.33</v>
      </c>
    </row>
    <row r="14" customFormat="false" ht="15" hidden="false" customHeight="false" outlineLevel="0" collapsed="false">
      <c r="B14" s="8" t="s">
        <v>84</v>
      </c>
      <c r="C14" s="25" t="n">
        <v>9950.29</v>
      </c>
      <c r="D14" s="25" t="n">
        <v>9950.29</v>
      </c>
    </row>
    <row r="15" customFormat="false" ht="15" hidden="false" customHeight="false" outlineLevel="0" collapsed="false">
      <c r="B15" s="8" t="s">
        <v>85</v>
      </c>
      <c r="C15" s="25" t="n">
        <v>26142.1</v>
      </c>
      <c r="D15" s="25" t="n">
        <v>26142.1</v>
      </c>
    </row>
    <row r="16" customFormat="false" ht="15" hidden="false" customHeight="false" outlineLevel="0" collapsed="false">
      <c r="B16" s="8" t="s">
        <v>86</v>
      </c>
      <c r="C16" s="25" t="n">
        <v>2272.28</v>
      </c>
      <c r="D16" s="25" t="n">
        <v>2272.28</v>
      </c>
    </row>
    <row r="17" customFormat="false" ht="15" hidden="false" customHeight="false" outlineLevel="0" collapsed="false">
      <c r="B17" s="8" t="s">
        <v>87</v>
      </c>
      <c r="C17" s="25" t="n">
        <v>6021.12</v>
      </c>
      <c r="D17" s="25" t="n">
        <v>6021.12</v>
      </c>
    </row>
    <row r="18" customFormat="false" ht="15" hidden="false" customHeight="false" outlineLevel="0" collapsed="false">
      <c r="B18" s="8" t="s">
        <v>88</v>
      </c>
      <c r="C18" s="25" t="n">
        <v>243.74</v>
      </c>
      <c r="D18" s="25" t="n">
        <v>243.74</v>
      </c>
    </row>
    <row r="19" customFormat="false" ht="15" hidden="false" customHeight="false" outlineLevel="0" collapsed="false">
      <c r="B19" s="8" t="s">
        <v>89</v>
      </c>
      <c r="C19" s="25" t="n">
        <v>9386.83</v>
      </c>
      <c r="D19" s="25" t="n">
        <v>9386.83</v>
      </c>
    </row>
    <row r="20" customFormat="false" ht="15" hidden="false" customHeight="false" outlineLevel="0" collapsed="false">
      <c r="B20" s="8" t="s">
        <v>90</v>
      </c>
      <c r="C20" s="25" t="n">
        <v>3873.27</v>
      </c>
      <c r="D20" s="25" t="n">
        <v>3873.27</v>
      </c>
    </row>
    <row r="21" customFormat="false" ht="15" hidden="false" customHeight="false" outlineLevel="0" collapsed="false">
      <c r="B21" s="8" t="s">
        <v>91</v>
      </c>
      <c r="C21" s="25" t="n">
        <v>13466.48</v>
      </c>
      <c r="D21" s="25" t="n">
        <v>13466.48</v>
      </c>
    </row>
    <row r="22" customFormat="false" ht="15" hidden="false" customHeight="false" outlineLevel="0" collapsed="false">
      <c r="B22" s="8" t="s">
        <v>92</v>
      </c>
      <c r="C22" s="25" t="n">
        <v>1036.46</v>
      </c>
      <c r="D22" s="25" t="n">
        <v>1036.46</v>
      </c>
    </row>
    <row r="23" customFormat="false" ht="15" hidden="false" customHeight="false" outlineLevel="0" collapsed="false">
      <c r="B23" s="8" t="s">
        <v>93</v>
      </c>
      <c r="C23" s="25" t="n">
        <v>212.61</v>
      </c>
      <c r="D23" s="25" t="n">
        <v>212.61</v>
      </c>
    </row>
    <row r="24" customFormat="false" ht="15" hidden="false" customHeight="false" outlineLevel="0" collapsed="false">
      <c r="B24" s="8" t="s">
        <v>94</v>
      </c>
      <c r="C24" s="25" t="n">
        <v>16945.69</v>
      </c>
      <c r="D24" s="25" t="n">
        <v>16945.69</v>
      </c>
    </row>
    <row r="25" customFormat="false" ht="15" hidden="false" customHeight="false" outlineLevel="0" collapsed="false">
      <c r="A25" s="5"/>
      <c r="B25" s="6" t="s">
        <v>95</v>
      </c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B26" s="8" t="s">
        <v>96</v>
      </c>
      <c r="C26" s="25" t="n">
        <v>23448.01</v>
      </c>
      <c r="G26" s="25" t="n">
        <v>23448.01</v>
      </c>
    </row>
    <row r="27" customFormat="false" ht="15" hidden="false" customHeight="false" outlineLevel="0" collapsed="false">
      <c r="B27" s="8" t="s">
        <v>97</v>
      </c>
      <c r="C27" s="25" t="n">
        <v>29658.07</v>
      </c>
      <c r="G27" s="25" t="n">
        <v>29658.07</v>
      </c>
    </row>
    <row r="28" customFormat="false" ht="15" hidden="false" customHeight="false" outlineLevel="0" collapsed="false">
      <c r="B28" s="8" t="s">
        <v>98</v>
      </c>
      <c r="C28" s="25" t="n">
        <v>16607.81</v>
      </c>
      <c r="G28" s="25" t="n">
        <v>16607.81</v>
      </c>
    </row>
    <row r="29" customFormat="false" ht="15" hidden="false" customHeight="false" outlineLevel="0" collapsed="false">
      <c r="B29" s="8" t="s">
        <v>99</v>
      </c>
      <c r="C29" s="25" t="n">
        <v>34534.05</v>
      </c>
      <c r="G29" s="25" t="n">
        <v>34534.05</v>
      </c>
    </row>
    <row r="30" customFormat="false" ht="15" hidden="false" customHeight="false" outlineLevel="0" collapsed="false">
      <c r="B30" s="8" t="s">
        <v>100</v>
      </c>
      <c r="C30" s="25" t="n">
        <v>36249.92</v>
      </c>
      <c r="G30" s="25" t="n">
        <v>36249.92</v>
      </c>
    </row>
    <row r="31" customFormat="false" ht="15" hidden="false" customHeight="false" outlineLevel="0" collapsed="false">
      <c r="B31" s="8" t="s">
        <v>101</v>
      </c>
      <c r="C31" s="25" t="n">
        <v>3365.95</v>
      </c>
      <c r="G31" s="25" t="n">
        <v>3365.95</v>
      </c>
    </row>
    <row r="32" customFormat="false" ht="15" hidden="false" customHeight="false" outlineLevel="0" collapsed="false">
      <c r="B32" s="8" t="s">
        <v>102</v>
      </c>
      <c r="C32" s="25" t="n">
        <v>17091.99</v>
      </c>
      <c r="G32" s="25" t="n">
        <v>17091.99</v>
      </c>
    </row>
    <row r="33" customFormat="false" ht="15" hidden="false" customHeight="false" outlineLevel="0" collapsed="false">
      <c r="B33" s="8" t="s">
        <v>103</v>
      </c>
      <c r="C33" s="25" t="n">
        <v>23102.12</v>
      </c>
      <c r="G33" s="25" t="n">
        <v>23102.12</v>
      </c>
    </row>
    <row r="34" customFormat="false" ht="15" hidden="false" customHeight="false" outlineLevel="0" collapsed="false">
      <c r="B34" s="8" t="s">
        <v>104</v>
      </c>
      <c r="C34" s="25" t="n">
        <v>17776.66</v>
      </c>
      <c r="G34" s="25" t="n">
        <v>17776.66</v>
      </c>
    </row>
    <row r="35" customFormat="false" ht="15" hidden="false" customHeight="false" outlineLevel="0" collapsed="false">
      <c r="B35" s="8" t="s">
        <v>105</v>
      </c>
      <c r="C35" s="25" t="n">
        <v>19066</v>
      </c>
      <c r="G35" s="25" t="n">
        <v>19066</v>
      </c>
    </row>
    <row r="36" customFormat="false" ht="15" hidden="false" customHeight="false" outlineLevel="0" collapsed="false">
      <c r="B36" s="8" t="s">
        <v>106</v>
      </c>
      <c r="C36" s="25" t="n">
        <v>43666.66</v>
      </c>
      <c r="G36" s="25" t="n">
        <v>43666.66</v>
      </c>
    </row>
    <row r="37" customFormat="false" ht="15" hidden="false" customHeight="false" outlineLevel="0" collapsed="false">
      <c r="B37" s="8" t="s">
        <v>107</v>
      </c>
      <c r="C37" s="25" t="n">
        <v>21220.8</v>
      </c>
      <c r="G37" s="25" t="n">
        <v>21220.8</v>
      </c>
    </row>
    <row r="38" customFormat="false" ht="15" hidden="false" customHeight="false" outlineLevel="0" collapsed="false">
      <c r="B38" s="8" t="s">
        <v>108</v>
      </c>
      <c r="C38" s="25" t="n">
        <v>2526.07</v>
      </c>
      <c r="G38" s="25" t="n">
        <v>2526.07</v>
      </c>
    </row>
    <row r="39" customFormat="false" ht="15" hidden="false" customHeight="false" outlineLevel="0" collapsed="false">
      <c r="B39" s="8" t="s">
        <v>126</v>
      </c>
      <c r="C39" s="25" t="n">
        <v>112.69</v>
      </c>
      <c r="G39" s="25" t="n">
        <v>112.69</v>
      </c>
    </row>
    <row r="40" customFormat="false" ht="15" hidden="false" customHeight="false" outlineLevel="0" collapsed="false">
      <c r="B40" s="8" t="s">
        <v>109</v>
      </c>
      <c r="C40" s="25" t="n">
        <v>56261.51</v>
      </c>
      <c r="G40" s="25" t="n">
        <v>56261.51</v>
      </c>
    </row>
    <row r="41" customFormat="false" ht="15" hidden="false" customHeight="false" outlineLevel="0" collapsed="false">
      <c r="B41" s="8" t="s">
        <v>110</v>
      </c>
      <c r="C41" s="25" t="n">
        <v>7945.49</v>
      </c>
      <c r="G41" s="25" t="n">
        <v>7945.49</v>
      </c>
    </row>
    <row r="42" customFormat="false" ht="15" hidden="false" customHeight="false" outlineLevel="0" collapsed="false">
      <c r="B42" s="8" t="s">
        <v>111</v>
      </c>
      <c r="C42" s="25" t="n">
        <v>6661.79</v>
      </c>
      <c r="G42" s="25" t="n">
        <v>6661.79</v>
      </c>
    </row>
    <row r="43" customFormat="false" ht="15" hidden="false" customHeight="false" outlineLevel="0" collapsed="false">
      <c r="B43" s="8" t="s">
        <v>112</v>
      </c>
      <c r="C43" s="25" t="n">
        <v>7605.25</v>
      </c>
      <c r="G43" s="25" t="n">
        <v>7605.25</v>
      </c>
    </row>
    <row r="44" customFormat="false" ht="15" hidden="false" customHeight="false" outlineLevel="0" collapsed="false">
      <c r="A44" s="26"/>
      <c r="B44" s="27" t="s">
        <v>47</v>
      </c>
      <c r="C44" s="28" t="n">
        <f aca="false">SUM(C10:C43)</f>
        <v>493449.3</v>
      </c>
      <c r="D44" s="28" t="n">
        <f aca="false">SUM(D10:D43)</f>
        <v>126548.46</v>
      </c>
      <c r="E44" s="28" t="n">
        <f aca="false">SUM(E10:E43)</f>
        <v>0</v>
      </c>
      <c r="F44" s="28" t="n">
        <f aca="false">SUM(F10:F43)</f>
        <v>0</v>
      </c>
      <c r="G44" s="28" t="n">
        <f aca="false">SUM(G10:G43)</f>
        <v>366900.84</v>
      </c>
      <c r="H44" s="26"/>
    </row>
    <row r="46" customFormat="false" ht="15" hidden="false" customHeight="false" outlineLevel="0" collapsed="false">
      <c r="A46" s="5"/>
      <c r="B46" s="6" t="s">
        <v>48</v>
      </c>
      <c r="C46" s="6"/>
      <c r="D46" s="6"/>
      <c r="E46" s="6"/>
      <c r="F46" s="6"/>
      <c r="G46" s="6"/>
      <c r="H46" s="6"/>
      <c r="I46" s="6"/>
      <c r="J46" s="6"/>
    </row>
    <row r="47" customFormat="false" ht="15" hidden="false" customHeight="false" outlineLevel="0" collapsed="false">
      <c r="B47" s="8" t="s">
        <v>49</v>
      </c>
      <c r="C47" s="25" t="n">
        <v>402217.16</v>
      </c>
      <c r="D47" s="25" t="n">
        <v>103151.35</v>
      </c>
      <c r="G47" s="25" t="n">
        <v>299065.81</v>
      </c>
    </row>
    <row r="48" customFormat="false" ht="15" hidden="false" customHeight="false" outlineLevel="0" collapsed="false">
      <c r="B48" s="8" t="s">
        <v>50</v>
      </c>
      <c r="C48" s="25" t="n">
        <v>49907.71</v>
      </c>
      <c r="D48" s="25" t="n">
        <v>12799.17</v>
      </c>
      <c r="G48" s="25" t="n">
        <v>37108.54</v>
      </c>
    </row>
    <row r="49" customFormat="false" ht="15" hidden="false" customHeight="false" outlineLevel="0" collapsed="false">
      <c r="B49" s="8" t="s">
        <v>51</v>
      </c>
      <c r="C49" s="25" t="n">
        <v>41324.43</v>
      </c>
      <c r="D49" s="25" t="n">
        <v>10597.94</v>
      </c>
      <c r="G49" s="25" t="n">
        <v>30726.49</v>
      </c>
    </row>
    <row r="50" customFormat="false" ht="15" hidden="false" customHeight="false" outlineLevel="0" collapsed="false">
      <c r="A50" s="26"/>
      <c r="B50" s="27" t="s">
        <v>52</v>
      </c>
      <c r="C50" s="28" t="n">
        <f aca="false">SUM(C47:C49)</f>
        <v>493449.3</v>
      </c>
      <c r="D50" s="28" t="n">
        <f aca="false">SUM(D47:D49)</f>
        <v>126548.46</v>
      </c>
      <c r="E50" s="26"/>
      <c r="F50" s="28" t="n">
        <f aca="false">SUM(F47:F49)</f>
        <v>0</v>
      </c>
      <c r="G50" s="28" t="n">
        <f aca="false">SUM(G47:G49)</f>
        <v>366900.84</v>
      </c>
      <c r="H50" s="26"/>
    </row>
    <row r="52" customFormat="false" ht="15" hidden="false" customHeight="false" outlineLevel="0" collapsed="false">
      <c r="A52" s="29" t="s">
        <v>53</v>
      </c>
      <c r="B52" s="29"/>
      <c r="C52" s="29"/>
      <c r="D52" s="29"/>
      <c r="E52" s="29"/>
      <c r="F52" s="29"/>
      <c r="G52" s="29"/>
      <c r="H52" s="29"/>
      <c r="I52" s="29"/>
      <c r="J52" s="29"/>
    </row>
    <row r="53" customFormat="false" ht="15" hidden="false" customHeight="false" outlineLevel="0" collapsed="false">
      <c r="A53" s="30" t="s">
        <v>21</v>
      </c>
      <c r="B53" s="30"/>
      <c r="C53" s="30"/>
      <c r="D53" s="30"/>
      <c r="E53" s="30"/>
      <c r="F53" s="30"/>
      <c r="G53" s="30"/>
      <c r="H53" s="30"/>
      <c r="I53" s="30"/>
      <c r="J53" s="30"/>
    </row>
    <row r="54" customFormat="false" ht="15" hidden="false" customHeight="false" outlineLevel="0" collapsed="false">
      <c r="A54" s="31"/>
      <c r="B54" s="31" t="s">
        <v>54</v>
      </c>
      <c r="C54" s="32" t="s">
        <v>55</v>
      </c>
      <c r="D54" s="32" t="s">
        <v>56</v>
      </c>
      <c r="E54" s="32" t="s">
        <v>57</v>
      </c>
      <c r="F54" s="32" t="s">
        <v>58</v>
      </c>
      <c r="G54" s="32" t="s">
        <v>59</v>
      </c>
      <c r="H54" s="32" t="s">
        <v>60</v>
      </c>
      <c r="I54" s="32" t="s">
        <v>61</v>
      </c>
      <c r="J54" s="32" t="s">
        <v>62</v>
      </c>
    </row>
    <row r="55" customFormat="false" ht="15" hidden="false" customHeight="false" outlineLevel="0" collapsed="false">
      <c r="B55" s="33" t="s">
        <v>113</v>
      </c>
      <c r="C55" s="34" t="n">
        <v>402217.16</v>
      </c>
      <c r="D55" s="34" t="n">
        <v>0</v>
      </c>
      <c r="E55" s="34" t="n">
        <v>110304.65</v>
      </c>
      <c r="F55" s="34" t="n">
        <v>14626.03</v>
      </c>
      <c r="G55" s="34" t="n">
        <v>124930.68</v>
      </c>
      <c r="H55" s="34" t="n">
        <v>277286.48</v>
      </c>
      <c r="I55" s="35" t="s">
        <v>64</v>
      </c>
      <c r="J55" s="36" t="n">
        <v>27.5</v>
      </c>
    </row>
    <row r="56" customFormat="false" ht="15" hidden="false" customHeight="false" outlineLevel="0" collapsed="false">
      <c r="B56" s="14" t="s">
        <v>114</v>
      </c>
      <c r="C56" s="16" t="n">
        <v>49907.71</v>
      </c>
      <c r="D56" s="16" t="n">
        <v>0</v>
      </c>
      <c r="E56" s="16" t="n">
        <v>49907.71</v>
      </c>
      <c r="F56" s="16" t="n">
        <v>0</v>
      </c>
      <c r="G56" s="16" t="n">
        <v>49907.71</v>
      </c>
      <c r="H56" s="16" t="n">
        <v>0</v>
      </c>
      <c r="I56" s="37" t="s">
        <v>66</v>
      </c>
      <c r="J56" s="38" t="n">
        <v>5</v>
      </c>
    </row>
    <row r="57" customFormat="false" ht="15" hidden="false" customHeight="false" outlineLevel="0" collapsed="false">
      <c r="B57" s="33" t="s">
        <v>115</v>
      </c>
      <c r="C57" s="34" t="n">
        <v>41324.43</v>
      </c>
      <c r="D57" s="34" t="n">
        <v>0</v>
      </c>
      <c r="E57" s="34" t="n">
        <v>20481.33</v>
      </c>
      <c r="F57" s="34" t="n">
        <v>2440.09</v>
      </c>
      <c r="G57" s="34" t="n">
        <v>22921.42</v>
      </c>
      <c r="H57" s="34" t="n">
        <v>18403.01</v>
      </c>
      <c r="I57" s="35" t="s">
        <v>68</v>
      </c>
      <c r="J57" s="36" t="n">
        <v>15</v>
      </c>
    </row>
    <row r="58" customFormat="false" ht="15" hidden="false" customHeight="false" outlineLevel="0" collapsed="false">
      <c r="A58" s="39"/>
      <c r="B58" s="40" t="s">
        <v>14</v>
      </c>
      <c r="C58" s="41" t="n">
        <f aca="false">SUM(C55:C57)</f>
        <v>493449.3</v>
      </c>
      <c r="D58" s="41" t="n">
        <f aca="false">SUM(D55:D57)</f>
        <v>0</v>
      </c>
      <c r="E58" s="41" t="n">
        <f aca="false">SUM(E55:E57)</f>
        <v>180693.69</v>
      </c>
      <c r="F58" s="41" t="n">
        <f aca="false">SUM(F55:F57)</f>
        <v>17066.12</v>
      </c>
      <c r="G58" s="41" t="n">
        <f aca="false">SUM(G55:G57)</f>
        <v>197759.81</v>
      </c>
      <c r="H58" s="41" t="n">
        <f aca="false">SUM(H55:H57)</f>
        <v>295689.49</v>
      </c>
      <c r="I58" s="39"/>
      <c r="J58" s="39"/>
    </row>
    <row r="60" customFormat="false" ht="15" hidden="false" customHeight="false" outlineLevel="0" collapsed="false">
      <c r="A60" s="42" t="s">
        <v>69</v>
      </c>
      <c r="B60" s="42"/>
      <c r="C60" s="42"/>
      <c r="D60" s="42"/>
      <c r="E60" s="42"/>
      <c r="F60" s="42"/>
      <c r="G60" s="42"/>
      <c r="H60" s="42"/>
      <c r="I60" s="42"/>
      <c r="J60" s="42"/>
    </row>
    <row r="61" customFormat="false" ht="15" hidden="false" customHeight="false" outlineLevel="0" collapsed="false">
      <c r="A61" s="31"/>
      <c r="B61" s="31" t="s">
        <v>54</v>
      </c>
      <c r="C61" s="32" t="s">
        <v>55</v>
      </c>
      <c r="D61" s="32" t="s">
        <v>56</v>
      </c>
      <c r="E61" s="32" t="s">
        <v>57</v>
      </c>
      <c r="F61" s="32" t="s">
        <v>58</v>
      </c>
      <c r="G61" s="32" t="s">
        <v>59</v>
      </c>
      <c r="H61" s="32" t="s">
        <v>60</v>
      </c>
      <c r="I61" s="32" t="s">
        <v>61</v>
      </c>
      <c r="J61" s="32" t="s">
        <v>62</v>
      </c>
    </row>
    <row r="62" customFormat="false" ht="15" hidden="false" customHeight="false" outlineLevel="0" collapsed="false">
      <c r="B62" s="33" t="s">
        <v>116</v>
      </c>
      <c r="C62" s="34" t="n">
        <v>103151.35</v>
      </c>
      <c r="D62" s="34" t="n">
        <v>0</v>
      </c>
      <c r="E62" s="34" t="n">
        <v>103151.35</v>
      </c>
      <c r="F62" s="34" t="n">
        <v>0</v>
      </c>
      <c r="G62" s="34" t="n">
        <v>103151.35</v>
      </c>
      <c r="H62" s="34" t="n">
        <v>0</v>
      </c>
      <c r="I62" s="35" t="s">
        <v>66</v>
      </c>
      <c r="J62" s="36" t="n">
        <v>5</v>
      </c>
    </row>
    <row r="63" customFormat="false" ht="15" hidden="false" customHeight="false" outlineLevel="0" collapsed="false">
      <c r="B63" s="14" t="s">
        <v>117</v>
      </c>
      <c r="C63" s="16" t="n">
        <v>299065.81</v>
      </c>
      <c r="D63" s="16" t="n">
        <v>0</v>
      </c>
      <c r="E63" s="16" t="n">
        <v>82016.53</v>
      </c>
      <c r="F63" s="16" t="n">
        <v>10875.12</v>
      </c>
      <c r="G63" s="16" t="n">
        <v>92891.65</v>
      </c>
      <c r="H63" s="16" t="n">
        <v>206174.16</v>
      </c>
      <c r="I63" s="37" t="s">
        <v>64</v>
      </c>
      <c r="J63" s="38" t="n">
        <v>27.5</v>
      </c>
    </row>
    <row r="64" customFormat="false" ht="15" hidden="false" customHeight="false" outlineLevel="0" collapsed="false">
      <c r="B64" s="33" t="s">
        <v>118</v>
      </c>
      <c r="C64" s="34" t="n">
        <v>12799.17</v>
      </c>
      <c r="D64" s="34" t="n">
        <v>0</v>
      </c>
      <c r="E64" s="34" t="n">
        <v>12799.17</v>
      </c>
      <c r="F64" s="34" t="n">
        <v>0</v>
      </c>
      <c r="G64" s="34" t="n">
        <v>12799.17</v>
      </c>
      <c r="H64" s="34" t="n">
        <v>0</v>
      </c>
      <c r="I64" s="35" t="s">
        <v>66</v>
      </c>
      <c r="J64" s="36" t="n">
        <v>5</v>
      </c>
    </row>
    <row r="65" customFormat="false" ht="15" hidden="false" customHeight="false" outlineLevel="0" collapsed="false">
      <c r="B65" s="14" t="s">
        <v>119</v>
      </c>
      <c r="C65" s="16" t="n">
        <v>37108.54</v>
      </c>
      <c r="D65" s="16" t="n">
        <v>0</v>
      </c>
      <c r="E65" s="16" t="n">
        <v>10176.73</v>
      </c>
      <c r="F65" s="16" t="n">
        <v>1349.4</v>
      </c>
      <c r="G65" s="16" t="n">
        <v>11526.13</v>
      </c>
      <c r="H65" s="16" t="n">
        <v>25582.41</v>
      </c>
      <c r="I65" s="37" t="s">
        <v>64</v>
      </c>
      <c r="J65" s="38" t="n">
        <v>27.5</v>
      </c>
    </row>
    <row r="66" customFormat="false" ht="15" hidden="false" customHeight="false" outlineLevel="0" collapsed="false">
      <c r="B66" s="33" t="s">
        <v>120</v>
      </c>
      <c r="C66" s="34" t="n">
        <v>10597.94</v>
      </c>
      <c r="D66" s="34" t="n">
        <v>0</v>
      </c>
      <c r="E66" s="34" t="n">
        <v>10597.94</v>
      </c>
      <c r="F66" s="34" t="n">
        <v>0</v>
      </c>
      <c r="G66" s="34" t="n">
        <v>10597.94</v>
      </c>
      <c r="H66" s="34" t="n">
        <v>0</v>
      </c>
      <c r="I66" s="35" t="s">
        <v>66</v>
      </c>
      <c r="J66" s="36" t="n">
        <v>5</v>
      </c>
    </row>
    <row r="67" customFormat="false" ht="15" hidden="false" customHeight="false" outlineLevel="0" collapsed="false">
      <c r="B67" s="14" t="s">
        <v>121</v>
      </c>
      <c r="C67" s="16" t="n">
        <v>30726.49</v>
      </c>
      <c r="D67" s="16" t="n">
        <v>0</v>
      </c>
      <c r="E67" s="16" t="n">
        <v>8426.53</v>
      </c>
      <c r="F67" s="16" t="n">
        <v>1117.33</v>
      </c>
      <c r="G67" s="16" t="n">
        <v>9543.86</v>
      </c>
      <c r="H67" s="16" t="n">
        <v>21182.63</v>
      </c>
      <c r="I67" s="37" t="s">
        <v>64</v>
      </c>
      <c r="J67" s="38" t="n">
        <v>27.5</v>
      </c>
    </row>
    <row r="68" customFormat="false" ht="15" hidden="false" customHeight="false" outlineLevel="0" collapsed="false">
      <c r="A68" s="39"/>
      <c r="B68" s="40" t="s">
        <v>14</v>
      </c>
      <c r="C68" s="41" t="n">
        <f aca="false">SUM(C62:C67)</f>
        <v>493449.3</v>
      </c>
      <c r="D68" s="41" t="n">
        <f aca="false">SUM(D62:D67)</f>
        <v>0</v>
      </c>
      <c r="E68" s="41" t="n">
        <f aca="false">SUM(E62:E67)</f>
        <v>227168.25</v>
      </c>
      <c r="F68" s="41" t="n">
        <f aca="false">SUM(F62:F67)</f>
        <v>13341.85</v>
      </c>
      <c r="G68" s="41" t="n">
        <f aca="false">SUM(G62:G67)</f>
        <v>240510.1</v>
      </c>
      <c r="H68" s="41" t="n">
        <f aca="false">SUM(H62:H67)</f>
        <v>252939.2</v>
      </c>
      <c r="I68" s="39"/>
      <c r="J68" s="39"/>
    </row>
    <row r="70" customFormat="false" ht="15" hidden="false" customHeight="false" outlineLevel="0" collapsed="false">
      <c r="A70" s="29" t="s">
        <v>23</v>
      </c>
      <c r="B70" s="29"/>
      <c r="C70" s="29"/>
      <c r="D70" s="29"/>
      <c r="E70" s="29"/>
    </row>
    <row r="71" customFormat="false" ht="15" hidden="false" customHeight="false" outlineLevel="0" collapsed="false">
      <c r="B71" s="14" t="s">
        <v>76</v>
      </c>
      <c r="C71" s="43" t="n">
        <f aca="false">G58</f>
        <v>197759.81</v>
      </c>
    </row>
    <row r="72" customFormat="false" ht="15" hidden="false" customHeight="false" outlineLevel="0" collapsed="false">
      <c r="B72" s="14" t="s">
        <v>77</v>
      </c>
      <c r="C72" s="43" t="n">
        <f aca="false">G68</f>
        <v>240510.1</v>
      </c>
    </row>
    <row r="73" customFormat="false" ht="15" hidden="false" customHeight="false" outlineLevel="0" collapsed="false">
      <c r="B73" s="17" t="s">
        <v>23</v>
      </c>
      <c r="C73" s="44" t="n">
        <f aca="false">C72-C71</f>
        <v>42750.29</v>
      </c>
    </row>
  </sheetData>
  <mergeCells count="11">
    <mergeCell ref="A2:J2"/>
    <mergeCell ref="A3:J3"/>
    <mergeCell ref="A4:J4"/>
    <mergeCell ref="A8:J8"/>
    <mergeCell ref="B10:J10"/>
    <mergeCell ref="B25:J25"/>
    <mergeCell ref="B46:J46"/>
    <mergeCell ref="A52:J52"/>
    <mergeCell ref="A53:J53"/>
    <mergeCell ref="A60:J60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A3" s="2" t="s">
        <v>127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1" t="s">
        <v>26</v>
      </c>
      <c r="C6" s="8" t="s">
        <v>16</v>
      </c>
    </row>
    <row r="8" customFormat="false" ht="15" hidden="false" customHeight="false" outlineLevel="0" collapsed="false">
      <c r="A8" s="22" t="s">
        <v>128</v>
      </c>
      <c r="B8" s="22"/>
      <c r="C8" s="22"/>
      <c r="D8" s="22"/>
      <c r="E8" s="22"/>
      <c r="F8" s="22"/>
      <c r="G8" s="22"/>
      <c r="H8" s="22"/>
      <c r="I8" s="22"/>
      <c r="J8" s="22"/>
    </row>
    <row r="9" customFormat="false" ht="15" hidden="false" customHeight="false" outlineLevel="0" collapsed="false">
      <c r="A9" s="23"/>
      <c r="B9" s="23" t="s">
        <v>28</v>
      </c>
      <c r="C9" s="24" t="s">
        <v>29</v>
      </c>
      <c r="D9" s="24" t="s">
        <v>30</v>
      </c>
      <c r="E9" s="24" t="s">
        <v>31</v>
      </c>
      <c r="F9" s="24" t="s">
        <v>32</v>
      </c>
      <c r="G9" s="24" t="s">
        <v>33</v>
      </c>
      <c r="H9" s="24" t="s">
        <v>34</v>
      </c>
    </row>
    <row r="10" customFormat="false" ht="15" hidden="false" customHeight="false" outlineLevel="0" collapsed="false">
      <c r="A10" s="5"/>
      <c r="B10" s="6" t="s">
        <v>80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81</v>
      </c>
      <c r="C11" s="25" t="n">
        <v>28387.8</v>
      </c>
      <c r="D11" s="25" t="n">
        <v>28387.8</v>
      </c>
    </row>
    <row r="12" customFormat="false" ht="15" hidden="false" customHeight="false" outlineLevel="0" collapsed="false">
      <c r="B12" s="8" t="s">
        <v>82</v>
      </c>
      <c r="C12" s="25" t="n">
        <v>5287.63</v>
      </c>
      <c r="D12" s="25" t="n">
        <v>5287.63</v>
      </c>
    </row>
    <row r="13" customFormat="false" ht="15" hidden="false" customHeight="false" outlineLevel="0" collapsed="false">
      <c r="B13" s="8" t="s">
        <v>83</v>
      </c>
      <c r="C13" s="25" t="n">
        <v>1395.33</v>
      </c>
      <c r="D13" s="25" t="n">
        <v>1395.33</v>
      </c>
    </row>
    <row r="14" customFormat="false" ht="15" hidden="false" customHeight="false" outlineLevel="0" collapsed="false">
      <c r="B14" s="8" t="s">
        <v>84</v>
      </c>
      <c r="C14" s="25" t="n">
        <v>9950.29</v>
      </c>
      <c r="D14" s="25" t="n">
        <v>9950.29</v>
      </c>
    </row>
    <row r="15" customFormat="false" ht="15" hidden="false" customHeight="false" outlineLevel="0" collapsed="false">
      <c r="B15" s="8" t="s">
        <v>85</v>
      </c>
      <c r="C15" s="25" t="n">
        <v>25002.18</v>
      </c>
      <c r="D15" s="25" t="n">
        <v>25002.18</v>
      </c>
    </row>
    <row r="16" customFormat="false" ht="15" hidden="false" customHeight="false" outlineLevel="0" collapsed="false">
      <c r="B16" s="8" t="s">
        <v>86</v>
      </c>
      <c r="C16" s="25" t="n">
        <v>2047.41</v>
      </c>
      <c r="D16" s="25" t="n">
        <v>2047.41</v>
      </c>
    </row>
    <row r="17" customFormat="false" ht="15" hidden="false" customHeight="false" outlineLevel="0" collapsed="false">
      <c r="B17" s="8" t="s">
        <v>87</v>
      </c>
      <c r="C17" s="25" t="n">
        <v>5849.75</v>
      </c>
      <c r="D17" s="25" t="n">
        <v>5849.75</v>
      </c>
    </row>
    <row r="18" customFormat="false" ht="15" hidden="false" customHeight="false" outlineLevel="0" collapsed="false">
      <c r="B18" s="8" t="s">
        <v>88</v>
      </c>
      <c r="C18" s="25" t="n">
        <v>243.74</v>
      </c>
      <c r="D18" s="25" t="n">
        <v>243.74</v>
      </c>
    </row>
    <row r="19" customFormat="false" ht="15" hidden="false" customHeight="false" outlineLevel="0" collapsed="false">
      <c r="B19" s="8" t="s">
        <v>89</v>
      </c>
      <c r="C19" s="25" t="n">
        <v>9386.83</v>
      </c>
      <c r="D19" s="25" t="n">
        <v>9386.83</v>
      </c>
    </row>
    <row r="20" customFormat="false" ht="15" hidden="false" customHeight="false" outlineLevel="0" collapsed="false">
      <c r="B20" s="8" t="s">
        <v>90</v>
      </c>
      <c r="C20" s="25" t="n">
        <v>3514.14</v>
      </c>
      <c r="D20" s="25" t="n">
        <v>3514.14</v>
      </c>
    </row>
    <row r="21" customFormat="false" ht="15" hidden="false" customHeight="false" outlineLevel="0" collapsed="false">
      <c r="B21" s="8" t="s">
        <v>91</v>
      </c>
      <c r="C21" s="25" t="n">
        <v>13466.48</v>
      </c>
      <c r="D21" s="25" t="n">
        <v>13466.48</v>
      </c>
    </row>
    <row r="22" customFormat="false" ht="15" hidden="false" customHeight="false" outlineLevel="0" collapsed="false">
      <c r="B22" s="8" t="s">
        <v>92</v>
      </c>
      <c r="C22" s="25" t="n">
        <v>947.24</v>
      </c>
      <c r="D22" s="25" t="n">
        <v>947.24</v>
      </c>
    </row>
    <row r="23" customFormat="false" ht="15" hidden="false" customHeight="false" outlineLevel="0" collapsed="false">
      <c r="B23" s="8" t="s">
        <v>93</v>
      </c>
      <c r="C23" s="25" t="n">
        <v>212.61</v>
      </c>
      <c r="D23" s="25" t="n">
        <v>212.61</v>
      </c>
    </row>
    <row r="24" customFormat="false" ht="15" hidden="false" customHeight="false" outlineLevel="0" collapsed="false">
      <c r="B24" s="8" t="s">
        <v>94</v>
      </c>
      <c r="C24" s="25" t="n">
        <v>16945.69</v>
      </c>
      <c r="D24" s="25" t="n">
        <v>16945.69</v>
      </c>
    </row>
    <row r="25" customFormat="false" ht="15" hidden="false" customHeight="false" outlineLevel="0" collapsed="false">
      <c r="A25" s="5"/>
      <c r="B25" s="6" t="s">
        <v>95</v>
      </c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B26" s="8" t="s">
        <v>96</v>
      </c>
      <c r="C26" s="25" t="n">
        <v>22420.11</v>
      </c>
      <c r="G26" s="25" t="n">
        <v>22420.11</v>
      </c>
    </row>
    <row r="27" customFormat="false" ht="15" hidden="false" customHeight="false" outlineLevel="0" collapsed="false">
      <c r="B27" s="8" t="s">
        <v>97</v>
      </c>
      <c r="C27" s="25" t="n">
        <v>28072.36</v>
      </c>
      <c r="G27" s="25" t="n">
        <v>28072.36</v>
      </c>
    </row>
    <row r="28" customFormat="false" ht="15" hidden="false" customHeight="false" outlineLevel="0" collapsed="false">
      <c r="B28" s="8" t="s">
        <v>98</v>
      </c>
      <c r="C28" s="25" t="n">
        <v>15630.87</v>
      </c>
      <c r="G28" s="25" t="n">
        <v>15630.87</v>
      </c>
    </row>
    <row r="29" customFormat="false" ht="15" hidden="false" customHeight="false" outlineLevel="0" collapsed="false">
      <c r="B29" s="8" t="s">
        <v>99</v>
      </c>
      <c r="C29" s="25" t="n">
        <v>33364.56</v>
      </c>
      <c r="G29" s="25" t="n">
        <v>33364.56</v>
      </c>
    </row>
    <row r="30" customFormat="false" ht="15" hidden="false" customHeight="false" outlineLevel="0" collapsed="false">
      <c r="B30" s="8" t="s">
        <v>100</v>
      </c>
      <c r="C30" s="25" t="n">
        <v>35284.68</v>
      </c>
      <c r="G30" s="25" t="n">
        <v>35284.68</v>
      </c>
    </row>
    <row r="31" customFormat="false" ht="15" hidden="false" customHeight="false" outlineLevel="0" collapsed="false">
      <c r="B31" s="8" t="s">
        <v>101</v>
      </c>
      <c r="C31" s="25" t="n">
        <v>3313.81</v>
      </c>
      <c r="G31" s="25" t="n">
        <v>3313.81</v>
      </c>
    </row>
    <row r="32" customFormat="false" ht="15" hidden="false" customHeight="false" outlineLevel="0" collapsed="false">
      <c r="B32" s="8" t="s">
        <v>102</v>
      </c>
      <c r="C32" s="25" t="n">
        <v>16546.13</v>
      </c>
      <c r="G32" s="25" t="n">
        <v>16546.13</v>
      </c>
    </row>
    <row r="33" customFormat="false" ht="15" hidden="false" customHeight="false" outlineLevel="0" collapsed="false">
      <c r="B33" s="8" t="s">
        <v>103</v>
      </c>
      <c r="C33" s="25" t="n">
        <v>22380.23</v>
      </c>
      <c r="G33" s="25" t="n">
        <v>22380.23</v>
      </c>
    </row>
    <row r="34" customFormat="false" ht="15" hidden="false" customHeight="false" outlineLevel="0" collapsed="false">
      <c r="B34" s="8" t="s">
        <v>104</v>
      </c>
      <c r="C34" s="25" t="n">
        <v>17270.68</v>
      </c>
      <c r="G34" s="25" t="n">
        <v>17270.68</v>
      </c>
    </row>
    <row r="35" customFormat="false" ht="15" hidden="false" customHeight="false" outlineLevel="0" collapsed="false">
      <c r="B35" s="8" t="s">
        <v>105</v>
      </c>
      <c r="C35" s="25" t="n">
        <v>18558.31</v>
      </c>
      <c r="G35" s="25" t="n">
        <v>18558.31</v>
      </c>
    </row>
    <row r="36" customFormat="false" ht="15" hidden="false" customHeight="false" outlineLevel="0" collapsed="false">
      <c r="B36" s="8" t="s">
        <v>106</v>
      </c>
      <c r="C36" s="25" t="n">
        <v>42251.16</v>
      </c>
      <c r="G36" s="25" t="n">
        <v>42251.16</v>
      </c>
    </row>
    <row r="37" customFormat="false" ht="15" hidden="false" customHeight="false" outlineLevel="0" collapsed="false">
      <c r="B37" s="8" t="s">
        <v>107</v>
      </c>
      <c r="C37" s="25" t="n">
        <v>20566.05</v>
      </c>
      <c r="G37" s="25" t="n">
        <v>20566.05</v>
      </c>
    </row>
    <row r="38" customFormat="false" ht="15" hidden="false" customHeight="false" outlineLevel="0" collapsed="false">
      <c r="B38" s="8" t="s">
        <v>108</v>
      </c>
      <c r="C38" s="25" t="n">
        <v>2242.07</v>
      </c>
      <c r="G38" s="25" t="n">
        <v>2242.07</v>
      </c>
    </row>
    <row r="39" customFormat="false" ht="15" hidden="false" customHeight="false" outlineLevel="0" collapsed="false">
      <c r="B39" s="8" t="s">
        <v>109</v>
      </c>
      <c r="C39" s="25" t="n">
        <v>54791.16</v>
      </c>
      <c r="G39" s="25" t="n">
        <v>54791.16</v>
      </c>
    </row>
    <row r="40" customFormat="false" ht="15" hidden="false" customHeight="false" outlineLevel="0" collapsed="false">
      <c r="B40" s="8" t="s">
        <v>110</v>
      </c>
      <c r="C40" s="25" t="n">
        <v>7945.49</v>
      </c>
      <c r="G40" s="25" t="n">
        <v>7945.49</v>
      </c>
    </row>
    <row r="41" customFormat="false" ht="15" hidden="false" customHeight="false" outlineLevel="0" collapsed="false">
      <c r="B41" s="8" t="s">
        <v>111</v>
      </c>
      <c r="C41" s="25" t="n">
        <v>6585.61</v>
      </c>
      <c r="G41" s="25" t="n">
        <v>6585.61</v>
      </c>
    </row>
    <row r="42" customFormat="false" ht="15" hidden="false" customHeight="false" outlineLevel="0" collapsed="false">
      <c r="B42" s="8" t="s">
        <v>112</v>
      </c>
      <c r="C42" s="25" t="n">
        <v>7605.25</v>
      </c>
      <c r="G42" s="25" t="n">
        <v>7605.25</v>
      </c>
    </row>
    <row r="43" customFormat="false" ht="15" hidden="false" customHeight="false" outlineLevel="0" collapsed="false">
      <c r="A43" s="26"/>
      <c r="B43" s="27" t="s">
        <v>47</v>
      </c>
      <c r="C43" s="28" t="n">
        <f aca="false">SUM(C10:C42)</f>
        <v>477465.65</v>
      </c>
      <c r="D43" s="28" t="n">
        <f aca="false">SUM(D10:D42)</f>
        <v>122637.12</v>
      </c>
      <c r="E43" s="28" t="n">
        <f aca="false">SUM(E10:E42)</f>
        <v>0</v>
      </c>
      <c r="F43" s="28" t="n">
        <f aca="false">SUM(F10:F42)</f>
        <v>0</v>
      </c>
      <c r="G43" s="28" t="n">
        <f aca="false">SUM(G10:G42)</f>
        <v>354828.53</v>
      </c>
      <c r="H43" s="26"/>
    </row>
    <row r="45" customFormat="false" ht="15" hidden="false" customHeight="false" outlineLevel="0" collapsed="false">
      <c r="A45" s="5"/>
      <c r="B45" s="6" t="s">
        <v>48</v>
      </c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false" outlineLevel="0" collapsed="false">
      <c r="B46" s="8" t="s">
        <v>49</v>
      </c>
      <c r="C46" s="25" t="n">
        <v>389188.67</v>
      </c>
      <c r="D46" s="25" t="n">
        <v>99963.17</v>
      </c>
      <c r="G46" s="25" t="n">
        <v>289225.5</v>
      </c>
    </row>
    <row r="47" customFormat="false" ht="15" hidden="false" customHeight="false" outlineLevel="0" collapsed="false">
      <c r="B47" s="8" t="s">
        <v>50</v>
      </c>
      <c r="C47" s="25" t="n">
        <v>48291.12</v>
      </c>
      <c r="D47" s="25" t="n">
        <v>12403.58</v>
      </c>
      <c r="G47" s="25" t="n">
        <v>35887.54</v>
      </c>
    </row>
    <row r="48" customFormat="false" ht="15" hidden="false" customHeight="false" outlineLevel="0" collapsed="false">
      <c r="B48" s="8" t="s">
        <v>51</v>
      </c>
      <c r="C48" s="25" t="n">
        <v>39985.86</v>
      </c>
      <c r="D48" s="25" t="n">
        <v>10270.37</v>
      </c>
      <c r="G48" s="25" t="n">
        <v>29715.49</v>
      </c>
    </row>
    <row r="49" customFormat="false" ht="15" hidden="false" customHeight="false" outlineLevel="0" collapsed="false">
      <c r="A49" s="26"/>
      <c r="B49" s="27" t="s">
        <v>52</v>
      </c>
      <c r="C49" s="28" t="n">
        <f aca="false">SUM(C46:C48)</f>
        <v>477465.65</v>
      </c>
      <c r="D49" s="28" t="n">
        <f aca="false">SUM(D46:D48)</f>
        <v>122637.12</v>
      </c>
      <c r="E49" s="26"/>
      <c r="F49" s="28" t="n">
        <f aca="false">SUM(F46:F48)</f>
        <v>0</v>
      </c>
      <c r="G49" s="28" t="n">
        <f aca="false">SUM(G46:G48)</f>
        <v>354828.53</v>
      </c>
      <c r="H49" s="26"/>
    </row>
    <row r="51" customFormat="false" ht="15" hidden="false" customHeight="false" outlineLevel="0" collapsed="false">
      <c r="A51" s="29" t="s">
        <v>53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5" hidden="false" customHeight="false" outlineLevel="0" collapsed="false">
      <c r="A52" s="30" t="s">
        <v>21</v>
      </c>
      <c r="B52" s="30"/>
      <c r="C52" s="30"/>
      <c r="D52" s="30"/>
      <c r="E52" s="30"/>
      <c r="F52" s="30"/>
      <c r="G52" s="30"/>
      <c r="H52" s="30"/>
      <c r="I52" s="30"/>
      <c r="J52" s="30"/>
    </row>
    <row r="53" customFormat="false" ht="15" hidden="false" customHeight="false" outlineLevel="0" collapsed="false">
      <c r="A53" s="31"/>
      <c r="B53" s="31" t="s">
        <v>54</v>
      </c>
      <c r="C53" s="32" t="s">
        <v>55</v>
      </c>
      <c r="D53" s="32" t="s">
        <v>56</v>
      </c>
      <c r="E53" s="32" t="s">
        <v>57</v>
      </c>
      <c r="F53" s="32" t="s">
        <v>58</v>
      </c>
      <c r="G53" s="32" t="s">
        <v>59</v>
      </c>
      <c r="H53" s="32" t="s">
        <v>60</v>
      </c>
      <c r="I53" s="32" t="s">
        <v>61</v>
      </c>
      <c r="J53" s="32" t="s">
        <v>62</v>
      </c>
    </row>
    <row r="54" customFormat="false" ht="15" hidden="false" customHeight="false" outlineLevel="0" collapsed="false">
      <c r="B54" s="33" t="s">
        <v>113</v>
      </c>
      <c r="C54" s="34" t="n">
        <v>389188.67</v>
      </c>
      <c r="D54" s="34" t="n">
        <v>0</v>
      </c>
      <c r="E54" s="34" t="n">
        <v>106731.69</v>
      </c>
      <c r="F54" s="34" t="n">
        <v>14152.27</v>
      </c>
      <c r="G54" s="34" t="n">
        <v>120883.96</v>
      </c>
      <c r="H54" s="34" t="n">
        <v>268304.71</v>
      </c>
      <c r="I54" s="35" t="s">
        <v>64</v>
      </c>
      <c r="J54" s="36" t="n">
        <v>27.5</v>
      </c>
    </row>
    <row r="55" customFormat="false" ht="15" hidden="false" customHeight="false" outlineLevel="0" collapsed="false">
      <c r="B55" s="14" t="s">
        <v>114</v>
      </c>
      <c r="C55" s="16" t="n">
        <v>48291.12</v>
      </c>
      <c r="D55" s="16" t="n">
        <v>0</v>
      </c>
      <c r="E55" s="16" t="n">
        <v>48291.12</v>
      </c>
      <c r="F55" s="16" t="n">
        <v>0</v>
      </c>
      <c r="G55" s="16" t="n">
        <v>48291.12</v>
      </c>
      <c r="H55" s="16" t="n">
        <v>0</v>
      </c>
      <c r="I55" s="37" t="s">
        <v>66</v>
      </c>
      <c r="J55" s="38" t="n">
        <v>5</v>
      </c>
    </row>
    <row r="56" customFormat="false" ht="15" hidden="false" customHeight="false" outlineLevel="0" collapsed="false">
      <c r="B56" s="33" t="s">
        <v>115</v>
      </c>
      <c r="C56" s="34" t="n">
        <v>39985.86</v>
      </c>
      <c r="D56" s="34" t="n">
        <v>0</v>
      </c>
      <c r="E56" s="34" t="n">
        <v>19817.9</v>
      </c>
      <c r="F56" s="34" t="n">
        <v>2361.05</v>
      </c>
      <c r="G56" s="34" t="n">
        <v>22178.95</v>
      </c>
      <c r="H56" s="34" t="n">
        <v>17806.91</v>
      </c>
      <c r="I56" s="35" t="s">
        <v>68</v>
      </c>
      <c r="J56" s="36" t="n">
        <v>15</v>
      </c>
    </row>
    <row r="57" customFormat="false" ht="15" hidden="false" customHeight="false" outlineLevel="0" collapsed="false">
      <c r="A57" s="39"/>
      <c r="B57" s="40" t="s">
        <v>14</v>
      </c>
      <c r="C57" s="41" t="n">
        <f aca="false">SUM(C54:C56)</f>
        <v>477465.65</v>
      </c>
      <c r="D57" s="41" t="n">
        <f aca="false">SUM(D54:D56)</f>
        <v>0</v>
      </c>
      <c r="E57" s="41" t="n">
        <f aca="false">SUM(E54:E56)</f>
        <v>174840.71</v>
      </c>
      <c r="F57" s="41" t="n">
        <f aca="false">SUM(F54:F56)</f>
        <v>16513.32</v>
      </c>
      <c r="G57" s="41" t="n">
        <f aca="false">SUM(G54:G56)</f>
        <v>191354.03</v>
      </c>
      <c r="H57" s="41" t="n">
        <f aca="false">SUM(H54:H56)</f>
        <v>286111.62</v>
      </c>
      <c r="I57" s="39"/>
      <c r="J57" s="39"/>
    </row>
    <row r="59" customFormat="false" ht="15" hidden="false" customHeight="false" outlineLevel="0" collapsed="false">
      <c r="A59" s="42" t="s">
        <v>69</v>
      </c>
      <c r="B59" s="42"/>
      <c r="C59" s="42"/>
      <c r="D59" s="42"/>
      <c r="E59" s="42"/>
      <c r="F59" s="42"/>
      <c r="G59" s="42"/>
      <c r="H59" s="42"/>
      <c r="I59" s="42"/>
      <c r="J59" s="42"/>
    </row>
    <row r="60" customFormat="false" ht="15" hidden="false" customHeight="false" outlineLevel="0" collapsed="false">
      <c r="A60" s="31"/>
      <c r="B60" s="31" t="s">
        <v>54</v>
      </c>
      <c r="C60" s="32" t="s">
        <v>55</v>
      </c>
      <c r="D60" s="32" t="s">
        <v>56</v>
      </c>
      <c r="E60" s="32" t="s">
        <v>57</v>
      </c>
      <c r="F60" s="32" t="s">
        <v>58</v>
      </c>
      <c r="G60" s="32" t="s">
        <v>59</v>
      </c>
      <c r="H60" s="32" t="s">
        <v>60</v>
      </c>
      <c r="I60" s="32" t="s">
        <v>61</v>
      </c>
      <c r="J60" s="32" t="s">
        <v>62</v>
      </c>
    </row>
    <row r="61" customFormat="false" ht="15" hidden="false" customHeight="false" outlineLevel="0" collapsed="false">
      <c r="B61" s="33" t="s">
        <v>116</v>
      </c>
      <c r="C61" s="34" t="n">
        <v>99963.17</v>
      </c>
      <c r="D61" s="34" t="n">
        <v>0</v>
      </c>
      <c r="E61" s="34" t="n">
        <v>99963.17</v>
      </c>
      <c r="F61" s="34" t="n">
        <v>0</v>
      </c>
      <c r="G61" s="34" t="n">
        <v>99963.17</v>
      </c>
      <c r="H61" s="34" t="n">
        <v>0</v>
      </c>
      <c r="I61" s="35" t="s">
        <v>66</v>
      </c>
      <c r="J61" s="36" t="n">
        <v>5</v>
      </c>
    </row>
    <row r="62" customFormat="false" ht="15" hidden="false" customHeight="false" outlineLevel="0" collapsed="false">
      <c r="B62" s="14" t="s">
        <v>117</v>
      </c>
      <c r="C62" s="16" t="n">
        <v>289225.5</v>
      </c>
      <c r="D62" s="16" t="n">
        <v>0</v>
      </c>
      <c r="E62" s="16" t="n">
        <v>106742.11</v>
      </c>
      <c r="F62" s="16" t="n">
        <v>10517.29</v>
      </c>
      <c r="G62" s="16" t="n">
        <v>117259.4</v>
      </c>
      <c r="H62" s="16" t="n">
        <v>171966.1</v>
      </c>
      <c r="I62" s="37" t="s">
        <v>64</v>
      </c>
      <c r="J62" s="38" t="n">
        <v>27.5</v>
      </c>
    </row>
    <row r="63" customFormat="false" ht="15" hidden="false" customHeight="false" outlineLevel="0" collapsed="false">
      <c r="B63" s="33" t="s">
        <v>118</v>
      </c>
      <c r="C63" s="34" t="n">
        <v>12403.58</v>
      </c>
      <c r="D63" s="34" t="n">
        <v>0</v>
      </c>
      <c r="E63" s="34" t="n">
        <v>12403.58</v>
      </c>
      <c r="F63" s="34" t="n">
        <v>0</v>
      </c>
      <c r="G63" s="34" t="n">
        <v>12403.58</v>
      </c>
      <c r="H63" s="34" t="n">
        <v>0</v>
      </c>
      <c r="I63" s="35" t="s">
        <v>66</v>
      </c>
      <c r="J63" s="36" t="n">
        <v>5</v>
      </c>
    </row>
    <row r="64" customFormat="false" ht="15" hidden="false" customHeight="false" outlineLevel="0" collapsed="false">
      <c r="B64" s="14" t="s">
        <v>119</v>
      </c>
      <c r="C64" s="16" t="n">
        <v>35887.54</v>
      </c>
      <c r="D64" s="16" t="n">
        <v>0</v>
      </c>
      <c r="E64" s="16" t="n">
        <v>9841.88</v>
      </c>
      <c r="F64" s="16" t="n">
        <v>1305</v>
      </c>
      <c r="G64" s="16" t="n">
        <v>11146.88</v>
      </c>
      <c r="H64" s="16" t="n">
        <v>24740.66</v>
      </c>
      <c r="I64" s="37" t="s">
        <v>64</v>
      </c>
      <c r="J64" s="38" t="n">
        <v>27.5</v>
      </c>
    </row>
    <row r="65" customFormat="false" ht="15" hidden="false" customHeight="false" outlineLevel="0" collapsed="false">
      <c r="B65" s="33" t="s">
        <v>120</v>
      </c>
      <c r="C65" s="34" t="n">
        <v>10270.37</v>
      </c>
      <c r="D65" s="34" t="n">
        <v>0</v>
      </c>
      <c r="E65" s="34" t="n">
        <v>10270.37</v>
      </c>
      <c r="F65" s="34" t="n">
        <v>0</v>
      </c>
      <c r="G65" s="34" t="n">
        <v>10270.37</v>
      </c>
      <c r="H65" s="34" t="n">
        <v>0</v>
      </c>
      <c r="I65" s="35" t="s">
        <v>66</v>
      </c>
      <c r="J65" s="36" t="n">
        <v>5</v>
      </c>
    </row>
    <row r="66" customFormat="false" ht="15" hidden="false" customHeight="false" outlineLevel="0" collapsed="false">
      <c r="B66" s="14" t="s">
        <v>121</v>
      </c>
      <c r="C66" s="16" t="n">
        <v>29715.49</v>
      </c>
      <c r="D66" s="16" t="n">
        <v>0</v>
      </c>
      <c r="E66" s="16" t="n">
        <v>8149.23</v>
      </c>
      <c r="F66" s="16" t="n">
        <v>1080.56</v>
      </c>
      <c r="G66" s="16" t="n">
        <v>9229.79</v>
      </c>
      <c r="H66" s="16" t="n">
        <v>20485.7</v>
      </c>
      <c r="I66" s="37" t="s">
        <v>64</v>
      </c>
      <c r="J66" s="38" t="n">
        <v>27.5</v>
      </c>
    </row>
    <row r="67" customFormat="false" ht="15" hidden="false" customHeight="false" outlineLevel="0" collapsed="false">
      <c r="A67" s="39"/>
      <c r="B67" s="40" t="s">
        <v>14</v>
      </c>
      <c r="C67" s="41" t="n">
        <f aca="false">SUM(C61:C66)</f>
        <v>477465.65</v>
      </c>
      <c r="D67" s="41" t="n">
        <f aca="false">SUM(D61:D66)</f>
        <v>0</v>
      </c>
      <c r="E67" s="41" t="n">
        <f aca="false">SUM(E61:E66)</f>
        <v>247370.34</v>
      </c>
      <c r="F67" s="41" t="n">
        <f aca="false">SUM(F61:F66)</f>
        <v>12902.85</v>
      </c>
      <c r="G67" s="41" t="n">
        <f aca="false">SUM(G61:G66)</f>
        <v>260273.19</v>
      </c>
      <c r="H67" s="41" t="n">
        <f aca="false">SUM(H61:H66)</f>
        <v>217192.46</v>
      </c>
      <c r="I67" s="39"/>
      <c r="J67" s="39"/>
    </row>
    <row r="69" customFormat="false" ht="15" hidden="false" customHeight="false" outlineLevel="0" collapsed="false">
      <c r="A69" s="29" t="s">
        <v>23</v>
      </c>
      <c r="B69" s="29"/>
      <c r="C69" s="29"/>
      <c r="D69" s="29"/>
      <c r="E69" s="29"/>
    </row>
    <row r="70" customFormat="false" ht="15" hidden="false" customHeight="false" outlineLevel="0" collapsed="false">
      <c r="B70" s="14" t="s">
        <v>76</v>
      </c>
      <c r="C70" s="43" t="n">
        <f aca="false">G57</f>
        <v>191354.03</v>
      </c>
    </row>
    <row r="71" customFormat="false" ht="15" hidden="false" customHeight="false" outlineLevel="0" collapsed="false">
      <c r="B71" s="14" t="s">
        <v>77</v>
      </c>
      <c r="C71" s="43" t="n">
        <f aca="false">G67</f>
        <v>260273.19</v>
      </c>
    </row>
    <row r="72" customFormat="false" ht="15" hidden="false" customHeight="false" outlineLevel="0" collapsed="false">
      <c r="B72" s="17" t="s">
        <v>23</v>
      </c>
      <c r="C72" s="44" t="n">
        <f aca="false">C71-C70</f>
        <v>68919.16</v>
      </c>
    </row>
  </sheetData>
  <mergeCells count="11">
    <mergeCell ref="A2:J2"/>
    <mergeCell ref="A3:J3"/>
    <mergeCell ref="A4:J4"/>
    <mergeCell ref="A8:J8"/>
    <mergeCell ref="B10:J10"/>
    <mergeCell ref="B25:J25"/>
    <mergeCell ref="B45:J45"/>
    <mergeCell ref="A51:J51"/>
    <mergeCell ref="A52:J52"/>
    <mergeCell ref="A59:J59"/>
    <mergeCell ref="A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A3" s="2" t="s">
        <v>129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1" t="s">
        <v>26</v>
      </c>
      <c r="C6" s="8" t="s">
        <v>16</v>
      </c>
    </row>
    <row r="8" customFormat="false" ht="15" hidden="false" customHeight="false" outlineLevel="0" collapsed="false">
      <c r="A8" s="22" t="s">
        <v>130</v>
      </c>
      <c r="B8" s="22"/>
      <c r="C8" s="22"/>
      <c r="D8" s="22"/>
      <c r="E8" s="22"/>
      <c r="F8" s="22"/>
      <c r="G8" s="22"/>
      <c r="H8" s="22"/>
      <c r="I8" s="22"/>
      <c r="J8" s="22"/>
    </row>
    <row r="9" customFormat="false" ht="15" hidden="false" customHeight="false" outlineLevel="0" collapsed="false">
      <c r="A9" s="23"/>
      <c r="B9" s="23" t="s">
        <v>28</v>
      </c>
      <c r="C9" s="24" t="s">
        <v>29</v>
      </c>
      <c r="D9" s="24" t="s">
        <v>30</v>
      </c>
      <c r="E9" s="24" t="s">
        <v>31</v>
      </c>
      <c r="F9" s="24" t="s">
        <v>32</v>
      </c>
      <c r="G9" s="24" t="s">
        <v>33</v>
      </c>
      <c r="H9" s="24" t="s">
        <v>34</v>
      </c>
    </row>
    <row r="10" customFormat="false" ht="15" hidden="false" customHeight="false" outlineLevel="0" collapsed="false">
      <c r="A10" s="5"/>
      <c r="B10" s="6" t="s">
        <v>80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81</v>
      </c>
      <c r="C11" s="25" t="n">
        <v>28387.8</v>
      </c>
      <c r="D11" s="25" t="n">
        <v>28387.8</v>
      </c>
    </row>
    <row r="12" customFormat="false" ht="15" hidden="false" customHeight="false" outlineLevel="0" collapsed="false">
      <c r="B12" s="8" t="s">
        <v>82</v>
      </c>
      <c r="C12" s="25" t="n">
        <v>5287.63</v>
      </c>
      <c r="D12" s="25" t="n">
        <v>5287.63</v>
      </c>
    </row>
    <row r="13" customFormat="false" ht="15" hidden="false" customHeight="false" outlineLevel="0" collapsed="false">
      <c r="B13" s="8" t="s">
        <v>83</v>
      </c>
      <c r="C13" s="25" t="n">
        <v>1395.33</v>
      </c>
      <c r="D13" s="25" t="n">
        <v>1395.33</v>
      </c>
    </row>
    <row r="14" customFormat="false" ht="15" hidden="false" customHeight="false" outlineLevel="0" collapsed="false">
      <c r="B14" s="8" t="s">
        <v>84</v>
      </c>
      <c r="C14" s="25" t="n">
        <v>9950.29</v>
      </c>
      <c r="D14" s="25" t="n">
        <v>9950.29</v>
      </c>
    </row>
    <row r="15" customFormat="false" ht="15" hidden="false" customHeight="false" outlineLevel="0" collapsed="false">
      <c r="B15" s="8" t="s">
        <v>85</v>
      </c>
      <c r="C15" s="25" t="n">
        <v>25002.18</v>
      </c>
      <c r="D15" s="25" t="n">
        <v>25002.18</v>
      </c>
    </row>
    <row r="16" customFormat="false" ht="15" hidden="false" customHeight="false" outlineLevel="0" collapsed="false">
      <c r="B16" s="8" t="s">
        <v>86</v>
      </c>
      <c r="C16" s="25" t="n">
        <v>2047.41</v>
      </c>
      <c r="D16" s="25" t="n">
        <v>2047.41</v>
      </c>
    </row>
    <row r="17" customFormat="false" ht="15" hidden="false" customHeight="false" outlineLevel="0" collapsed="false">
      <c r="B17" s="8" t="s">
        <v>87</v>
      </c>
      <c r="C17" s="25" t="n">
        <v>5849.75</v>
      </c>
      <c r="D17" s="25" t="n">
        <v>5849.75</v>
      </c>
    </row>
    <row r="18" customFormat="false" ht="15" hidden="false" customHeight="false" outlineLevel="0" collapsed="false">
      <c r="B18" s="8" t="s">
        <v>88</v>
      </c>
      <c r="C18" s="25" t="n">
        <v>243.74</v>
      </c>
      <c r="D18" s="25" t="n">
        <v>243.74</v>
      </c>
    </row>
    <row r="19" customFormat="false" ht="15" hidden="false" customHeight="false" outlineLevel="0" collapsed="false">
      <c r="B19" s="8" t="s">
        <v>89</v>
      </c>
      <c r="C19" s="25" t="n">
        <v>9386.83</v>
      </c>
      <c r="D19" s="25" t="n">
        <v>9386.83</v>
      </c>
    </row>
    <row r="20" customFormat="false" ht="15" hidden="false" customHeight="false" outlineLevel="0" collapsed="false">
      <c r="B20" s="8" t="s">
        <v>90</v>
      </c>
      <c r="C20" s="25" t="n">
        <v>3514.14</v>
      </c>
      <c r="D20" s="25" t="n">
        <v>3514.14</v>
      </c>
    </row>
    <row r="21" customFormat="false" ht="15" hidden="false" customHeight="false" outlineLevel="0" collapsed="false">
      <c r="B21" s="8" t="s">
        <v>91</v>
      </c>
      <c r="C21" s="25" t="n">
        <v>13466.48</v>
      </c>
      <c r="D21" s="25" t="n">
        <v>13466.48</v>
      </c>
    </row>
    <row r="22" customFormat="false" ht="15" hidden="false" customHeight="false" outlineLevel="0" collapsed="false">
      <c r="B22" s="8" t="s">
        <v>92</v>
      </c>
      <c r="C22" s="25" t="n">
        <v>947.24</v>
      </c>
      <c r="D22" s="25" t="n">
        <v>947.24</v>
      </c>
    </row>
    <row r="23" customFormat="false" ht="15" hidden="false" customHeight="false" outlineLevel="0" collapsed="false">
      <c r="B23" s="8" t="s">
        <v>93</v>
      </c>
      <c r="C23" s="25" t="n">
        <v>212.61</v>
      </c>
      <c r="D23" s="25" t="n">
        <v>212.61</v>
      </c>
    </row>
    <row r="24" customFormat="false" ht="15" hidden="false" customHeight="false" outlineLevel="0" collapsed="false">
      <c r="B24" s="8" t="s">
        <v>94</v>
      </c>
      <c r="C24" s="25" t="n">
        <v>16945.69</v>
      </c>
      <c r="D24" s="25" t="n">
        <v>16945.69</v>
      </c>
    </row>
    <row r="25" customFormat="false" ht="15" hidden="false" customHeight="false" outlineLevel="0" collapsed="false">
      <c r="A25" s="5"/>
      <c r="B25" s="6" t="s">
        <v>95</v>
      </c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B26" s="8" t="s">
        <v>96</v>
      </c>
      <c r="C26" s="25" t="n">
        <v>22420.11</v>
      </c>
      <c r="G26" s="25" t="n">
        <v>22420.11</v>
      </c>
    </row>
    <row r="27" customFormat="false" ht="15" hidden="false" customHeight="false" outlineLevel="0" collapsed="false">
      <c r="B27" s="8" t="s">
        <v>97</v>
      </c>
      <c r="C27" s="25" t="n">
        <v>28072.36</v>
      </c>
      <c r="G27" s="25" t="n">
        <v>28072.36</v>
      </c>
    </row>
    <row r="28" customFormat="false" ht="15" hidden="false" customHeight="false" outlineLevel="0" collapsed="false">
      <c r="B28" s="8" t="s">
        <v>98</v>
      </c>
      <c r="C28" s="25" t="n">
        <v>15630.87</v>
      </c>
      <c r="G28" s="25" t="n">
        <v>15630.87</v>
      </c>
    </row>
    <row r="29" customFormat="false" ht="15" hidden="false" customHeight="false" outlineLevel="0" collapsed="false">
      <c r="B29" s="8" t="s">
        <v>99</v>
      </c>
      <c r="C29" s="25" t="n">
        <v>33364.56</v>
      </c>
      <c r="G29" s="25" t="n">
        <v>33364.56</v>
      </c>
    </row>
    <row r="30" customFormat="false" ht="15" hidden="false" customHeight="false" outlineLevel="0" collapsed="false">
      <c r="B30" s="8" t="s">
        <v>100</v>
      </c>
      <c r="C30" s="25" t="n">
        <v>35284.68</v>
      </c>
      <c r="G30" s="25" t="n">
        <v>35284.68</v>
      </c>
    </row>
    <row r="31" customFormat="false" ht="15" hidden="false" customHeight="false" outlineLevel="0" collapsed="false">
      <c r="B31" s="8" t="s">
        <v>101</v>
      </c>
      <c r="C31" s="25" t="n">
        <v>3313.81</v>
      </c>
      <c r="G31" s="25" t="n">
        <v>3313.81</v>
      </c>
    </row>
    <row r="32" customFormat="false" ht="15" hidden="false" customHeight="false" outlineLevel="0" collapsed="false">
      <c r="B32" s="8" t="s">
        <v>102</v>
      </c>
      <c r="C32" s="25" t="n">
        <v>16546.13</v>
      </c>
      <c r="G32" s="25" t="n">
        <v>16546.13</v>
      </c>
    </row>
    <row r="33" customFormat="false" ht="15" hidden="false" customHeight="false" outlineLevel="0" collapsed="false">
      <c r="B33" s="8" t="s">
        <v>103</v>
      </c>
      <c r="C33" s="25" t="n">
        <v>22380.23</v>
      </c>
      <c r="G33" s="25" t="n">
        <v>22380.23</v>
      </c>
    </row>
    <row r="34" customFormat="false" ht="15" hidden="false" customHeight="false" outlineLevel="0" collapsed="false">
      <c r="B34" s="8" t="s">
        <v>104</v>
      </c>
      <c r="C34" s="25" t="n">
        <v>17270.68</v>
      </c>
      <c r="G34" s="25" t="n">
        <v>17270.68</v>
      </c>
    </row>
    <row r="35" customFormat="false" ht="15" hidden="false" customHeight="false" outlineLevel="0" collapsed="false">
      <c r="B35" s="8" t="s">
        <v>105</v>
      </c>
      <c r="C35" s="25" t="n">
        <v>18558.31</v>
      </c>
      <c r="G35" s="25" t="n">
        <v>18558.31</v>
      </c>
    </row>
    <row r="36" customFormat="false" ht="15" hidden="false" customHeight="false" outlineLevel="0" collapsed="false">
      <c r="B36" s="8" t="s">
        <v>106</v>
      </c>
      <c r="C36" s="25" t="n">
        <v>42251.16</v>
      </c>
      <c r="G36" s="25" t="n">
        <v>42251.16</v>
      </c>
    </row>
    <row r="37" customFormat="false" ht="15" hidden="false" customHeight="false" outlineLevel="0" collapsed="false">
      <c r="B37" s="8" t="s">
        <v>107</v>
      </c>
      <c r="C37" s="25" t="n">
        <v>20566.05</v>
      </c>
      <c r="G37" s="25" t="n">
        <v>20566.05</v>
      </c>
    </row>
    <row r="38" customFormat="false" ht="15" hidden="false" customHeight="false" outlineLevel="0" collapsed="false">
      <c r="B38" s="8" t="s">
        <v>108</v>
      </c>
      <c r="C38" s="25" t="n">
        <v>2242.07</v>
      </c>
      <c r="G38" s="25" t="n">
        <v>2242.07</v>
      </c>
    </row>
    <row r="39" customFormat="false" ht="15" hidden="false" customHeight="false" outlineLevel="0" collapsed="false">
      <c r="B39" s="8" t="s">
        <v>109</v>
      </c>
      <c r="C39" s="25" t="n">
        <v>54791.16</v>
      </c>
      <c r="G39" s="25" t="n">
        <v>54791.16</v>
      </c>
    </row>
    <row r="40" customFormat="false" ht="15" hidden="false" customHeight="false" outlineLevel="0" collapsed="false">
      <c r="B40" s="8" t="s">
        <v>110</v>
      </c>
      <c r="C40" s="25" t="n">
        <v>7945.49</v>
      </c>
      <c r="G40" s="25" t="n">
        <v>7945.49</v>
      </c>
    </row>
    <row r="41" customFormat="false" ht="15" hidden="false" customHeight="false" outlineLevel="0" collapsed="false">
      <c r="B41" s="8" t="s">
        <v>111</v>
      </c>
      <c r="C41" s="25" t="n">
        <v>6585.61</v>
      </c>
      <c r="G41" s="25" t="n">
        <v>6585.61</v>
      </c>
    </row>
    <row r="42" customFormat="false" ht="15" hidden="false" customHeight="false" outlineLevel="0" collapsed="false">
      <c r="B42" s="8" t="s">
        <v>112</v>
      </c>
      <c r="C42" s="25" t="n">
        <v>7605.25</v>
      </c>
      <c r="G42" s="25" t="n">
        <v>7605.25</v>
      </c>
    </row>
    <row r="43" customFormat="false" ht="15" hidden="false" customHeight="false" outlineLevel="0" collapsed="false">
      <c r="A43" s="26"/>
      <c r="B43" s="27" t="s">
        <v>47</v>
      </c>
      <c r="C43" s="28" t="n">
        <f aca="false">SUM(C10:C42)</f>
        <v>477465.65</v>
      </c>
      <c r="D43" s="28" t="n">
        <f aca="false">SUM(D10:D42)</f>
        <v>122637.12</v>
      </c>
      <c r="E43" s="28" t="n">
        <f aca="false">SUM(E10:E42)</f>
        <v>0</v>
      </c>
      <c r="F43" s="28" t="n">
        <f aca="false">SUM(F10:F42)</f>
        <v>0</v>
      </c>
      <c r="G43" s="28" t="n">
        <f aca="false">SUM(G10:G42)</f>
        <v>354828.53</v>
      </c>
      <c r="H43" s="26"/>
    </row>
    <row r="45" customFormat="false" ht="15" hidden="false" customHeight="false" outlineLevel="0" collapsed="false">
      <c r="A45" s="5"/>
      <c r="B45" s="6" t="s">
        <v>48</v>
      </c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false" outlineLevel="0" collapsed="false">
      <c r="B46" s="8" t="s">
        <v>49</v>
      </c>
      <c r="C46" s="25" t="n">
        <v>389188.67</v>
      </c>
      <c r="D46" s="25" t="n">
        <v>99963.17</v>
      </c>
      <c r="G46" s="25" t="n">
        <v>289225.5</v>
      </c>
    </row>
    <row r="47" customFormat="false" ht="15" hidden="false" customHeight="false" outlineLevel="0" collapsed="false">
      <c r="B47" s="8" t="s">
        <v>50</v>
      </c>
      <c r="C47" s="25" t="n">
        <v>48291.12</v>
      </c>
      <c r="D47" s="25" t="n">
        <v>12403.58</v>
      </c>
      <c r="G47" s="25" t="n">
        <v>35887.54</v>
      </c>
    </row>
    <row r="48" customFormat="false" ht="15" hidden="false" customHeight="false" outlineLevel="0" collapsed="false">
      <c r="B48" s="8" t="s">
        <v>51</v>
      </c>
      <c r="C48" s="25" t="n">
        <v>39985.86</v>
      </c>
      <c r="D48" s="25" t="n">
        <v>10270.37</v>
      </c>
      <c r="G48" s="25" t="n">
        <v>29715.49</v>
      </c>
    </row>
    <row r="49" customFormat="false" ht="15" hidden="false" customHeight="false" outlineLevel="0" collapsed="false">
      <c r="A49" s="26"/>
      <c r="B49" s="27" t="s">
        <v>52</v>
      </c>
      <c r="C49" s="28" t="n">
        <f aca="false">SUM(C46:C48)</f>
        <v>477465.65</v>
      </c>
      <c r="D49" s="28" t="n">
        <f aca="false">SUM(D46:D48)</f>
        <v>122637.12</v>
      </c>
      <c r="E49" s="26"/>
      <c r="F49" s="28" t="n">
        <f aca="false">SUM(F46:F48)</f>
        <v>0</v>
      </c>
      <c r="G49" s="28" t="n">
        <f aca="false">SUM(G46:G48)</f>
        <v>354828.53</v>
      </c>
      <c r="H49" s="26"/>
    </row>
    <row r="51" customFormat="false" ht="15" hidden="false" customHeight="false" outlineLevel="0" collapsed="false">
      <c r="A51" s="29" t="s">
        <v>53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5" hidden="false" customHeight="false" outlineLevel="0" collapsed="false">
      <c r="A52" s="30" t="s">
        <v>21</v>
      </c>
      <c r="B52" s="30"/>
      <c r="C52" s="30"/>
      <c r="D52" s="30"/>
      <c r="E52" s="30"/>
      <c r="F52" s="30"/>
      <c r="G52" s="30"/>
      <c r="H52" s="30"/>
      <c r="I52" s="30"/>
      <c r="J52" s="30"/>
    </row>
    <row r="53" customFormat="false" ht="15" hidden="false" customHeight="false" outlineLevel="0" collapsed="false">
      <c r="A53" s="31"/>
      <c r="B53" s="31" t="s">
        <v>54</v>
      </c>
      <c r="C53" s="32" t="s">
        <v>55</v>
      </c>
      <c r="D53" s="32" t="s">
        <v>56</v>
      </c>
      <c r="E53" s="32" t="s">
        <v>57</v>
      </c>
      <c r="F53" s="32" t="s">
        <v>58</v>
      </c>
      <c r="G53" s="32" t="s">
        <v>59</v>
      </c>
      <c r="H53" s="32" t="s">
        <v>60</v>
      </c>
      <c r="I53" s="32" t="s">
        <v>61</v>
      </c>
      <c r="J53" s="32" t="s">
        <v>62</v>
      </c>
    </row>
    <row r="54" customFormat="false" ht="15" hidden="false" customHeight="false" outlineLevel="0" collapsed="false">
      <c r="B54" s="33" t="s">
        <v>113</v>
      </c>
      <c r="C54" s="34" t="n">
        <v>389188.67</v>
      </c>
      <c r="D54" s="34" t="n">
        <v>0</v>
      </c>
      <c r="E54" s="34" t="n">
        <v>106731.69</v>
      </c>
      <c r="F54" s="34" t="n">
        <v>14152.27</v>
      </c>
      <c r="G54" s="34" t="n">
        <v>120883.96</v>
      </c>
      <c r="H54" s="34" t="n">
        <v>268304.71</v>
      </c>
      <c r="I54" s="35" t="s">
        <v>64</v>
      </c>
      <c r="J54" s="36" t="n">
        <v>27.5</v>
      </c>
    </row>
    <row r="55" customFormat="false" ht="15" hidden="false" customHeight="false" outlineLevel="0" collapsed="false">
      <c r="B55" s="14" t="s">
        <v>114</v>
      </c>
      <c r="C55" s="16" t="n">
        <v>48291.12</v>
      </c>
      <c r="D55" s="16" t="n">
        <v>0</v>
      </c>
      <c r="E55" s="16" t="n">
        <v>48291.12</v>
      </c>
      <c r="F55" s="16" t="n">
        <v>0</v>
      </c>
      <c r="G55" s="16" t="n">
        <v>48291.12</v>
      </c>
      <c r="H55" s="16" t="n">
        <v>0</v>
      </c>
      <c r="I55" s="37" t="s">
        <v>66</v>
      </c>
      <c r="J55" s="38" t="n">
        <v>5</v>
      </c>
    </row>
    <row r="56" customFormat="false" ht="15" hidden="false" customHeight="false" outlineLevel="0" collapsed="false">
      <c r="B56" s="33" t="s">
        <v>115</v>
      </c>
      <c r="C56" s="34" t="n">
        <v>39985.86</v>
      </c>
      <c r="D56" s="34" t="n">
        <v>0</v>
      </c>
      <c r="E56" s="34" t="n">
        <v>19817.9</v>
      </c>
      <c r="F56" s="34" t="n">
        <v>2361.05</v>
      </c>
      <c r="G56" s="34" t="n">
        <v>22178.95</v>
      </c>
      <c r="H56" s="34" t="n">
        <v>17806.91</v>
      </c>
      <c r="I56" s="35" t="s">
        <v>68</v>
      </c>
      <c r="J56" s="36" t="n">
        <v>15</v>
      </c>
    </row>
    <row r="57" customFormat="false" ht="15" hidden="false" customHeight="false" outlineLevel="0" collapsed="false">
      <c r="A57" s="39"/>
      <c r="B57" s="40" t="s">
        <v>14</v>
      </c>
      <c r="C57" s="41" t="n">
        <f aca="false">SUM(C54:C56)</f>
        <v>477465.65</v>
      </c>
      <c r="D57" s="41" t="n">
        <f aca="false">SUM(D54:D56)</f>
        <v>0</v>
      </c>
      <c r="E57" s="41" t="n">
        <f aca="false">SUM(E54:E56)</f>
        <v>174840.71</v>
      </c>
      <c r="F57" s="41" t="n">
        <f aca="false">SUM(F54:F56)</f>
        <v>16513.32</v>
      </c>
      <c r="G57" s="41" t="n">
        <f aca="false">SUM(G54:G56)</f>
        <v>191354.03</v>
      </c>
      <c r="H57" s="41" t="n">
        <f aca="false">SUM(H54:H56)</f>
        <v>286111.62</v>
      </c>
      <c r="I57" s="39"/>
      <c r="J57" s="39"/>
    </row>
    <row r="59" customFormat="false" ht="15" hidden="false" customHeight="false" outlineLevel="0" collapsed="false">
      <c r="A59" s="42" t="s">
        <v>69</v>
      </c>
      <c r="B59" s="42"/>
      <c r="C59" s="42"/>
      <c r="D59" s="42"/>
      <c r="E59" s="42"/>
      <c r="F59" s="42"/>
      <c r="G59" s="42"/>
      <c r="H59" s="42"/>
      <c r="I59" s="42"/>
      <c r="J59" s="42"/>
    </row>
    <row r="60" customFormat="false" ht="15" hidden="false" customHeight="false" outlineLevel="0" collapsed="false">
      <c r="A60" s="31"/>
      <c r="B60" s="31" t="s">
        <v>54</v>
      </c>
      <c r="C60" s="32" t="s">
        <v>55</v>
      </c>
      <c r="D60" s="32" t="s">
        <v>56</v>
      </c>
      <c r="E60" s="32" t="s">
        <v>57</v>
      </c>
      <c r="F60" s="32" t="s">
        <v>58</v>
      </c>
      <c r="G60" s="32" t="s">
        <v>59</v>
      </c>
      <c r="H60" s="32" t="s">
        <v>60</v>
      </c>
      <c r="I60" s="32" t="s">
        <v>61</v>
      </c>
      <c r="J60" s="32" t="s">
        <v>62</v>
      </c>
    </row>
    <row r="61" customFormat="false" ht="15" hidden="false" customHeight="false" outlineLevel="0" collapsed="false">
      <c r="B61" s="33" t="s">
        <v>116</v>
      </c>
      <c r="C61" s="34" t="n">
        <v>99963.17</v>
      </c>
      <c r="D61" s="34" t="n">
        <v>0</v>
      </c>
      <c r="E61" s="34" t="n">
        <v>99963.17</v>
      </c>
      <c r="F61" s="34" t="n">
        <v>0</v>
      </c>
      <c r="G61" s="34" t="n">
        <v>99963.17</v>
      </c>
      <c r="H61" s="34" t="n">
        <v>0</v>
      </c>
      <c r="I61" s="35" t="s">
        <v>66</v>
      </c>
      <c r="J61" s="36" t="n">
        <v>5</v>
      </c>
    </row>
    <row r="62" customFormat="false" ht="15" hidden="false" customHeight="false" outlineLevel="0" collapsed="false">
      <c r="B62" s="14" t="s">
        <v>117</v>
      </c>
      <c r="C62" s="16" t="n">
        <v>289225.5</v>
      </c>
      <c r="D62" s="16" t="n">
        <v>0</v>
      </c>
      <c r="E62" s="16" t="n">
        <v>106742.11</v>
      </c>
      <c r="F62" s="16" t="n">
        <v>10517.29</v>
      </c>
      <c r="G62" s="16" t="n">
        <v>117259.4</v>
      </c>
      <c r="H62" s="16" t="n">
        <v>171966.1</v>
      </c>
      <c r="I62" s="37" t="s">
        <v>64</v>
      </c>
      <c r="J62" s="38" t="n">
        <v>27.5</v>
      </c>
    </row>
    <row r="63" customFormat="false" ht="15" hidden="false" customHeight="false" outlineLevel="0" collapsed="false">
      <c r="B63" s="33" t="s">
        <v>118</v>
      </c>
      <c r="C63" s="34" t="n">
        <v>12403.58</v>
      </c>
      <c r="D63" s="34" t="n">
        <v>0</v>
      </c>
      <c r="E63" s="34" t="n">
        <v>12403.58</v>
      </c>
      <c r="F63" s="34" t="n">
        <v>0</v>
      </c>
      <c r="G63" s="34" t="n">
        <v>12403.58</v>
      </c>
      <c r="H63" s="34" t="n">
        <v>0</v>
      </c>
      <c r="I63" s="35" t="s">
        <v>66</v>
      </c>
      <c r="J63" s="36" t="n">
        <v>5</v>
      </c>
    </row>
    <row r="64" customFormat="false" ht="15" hidden="false" customHeight="false" outlineLevel="0" collapsed="false">
      <c r="B64" s="14" t="s">
        <v>119</v>
      </c>
      <c r="C64" s="16" t="n">
        <v>35887.54</v>
      </c>
      <c r="D64" s="16" t="n">
        <v>0</v>
      </c>
      <c r="E64" s="16" t="n">
        <v>9841.88</v>
      </c>
      <c r="F64" s="16" t="n">
        <v>1305</v>
      </c>
      <c r="G64" s="16" t="n">
        <v>11146.88</v>
      </c>
      <c r="H64" s="16" t="n">
        <v>24740.66</v>
      </c>
      <c r="I64" s="37" t="s">
        <v>64</v>
      </c>
      <c r="J64" s="38" t="n">
        <v>27.5</v>
      </c>
    </row>
    <row r="65" customFormat="false" ht="15" hidden="false" customHeight="false" outlineLevel="0" collapsed="false">
      <c r="B65" s="33" t="s">
        <v>120</v>
      </c>
      <c r="C65" s="34" t="n">
        <v>10270.37</v>
      </c>
      <c r="D65" s="34" t="n">
        <v>0</v>
      </c>
      <c r="E65" s="34" t="n">
        <v>10270.37</v>
      </c>
      <c r="F65" s="34" t="n">
        <v>0</v>
      </c>
      <c r="G65" s="34" t="n">
        <v>10270.37</v>
      </c>
      <c r="H65" s="34" t="n">
        <v>0</v>
      </c>
      <c r="I65" s="35" t="s">
        <v>66</v>
      </c>
      <c r="J65" s="36" t="n">
        <v>5</v>
      </c>
    </row>
    <row r="66" customFormat="false" ht="15" hidden="false" customHeight="false" outlineLevel="0" collapsed="false">
      <c r="B66" s="14" t="s">
        <v>121</v>
      </c>
      <c r="C66" s="16" t="n">
        <v>29715.49</v>
      </c>
      <c r="D66" s="16" t="n">
        <v>0</v>
      </c>
      <c r="E66" s="16" t="n">
        <v>8149.23</v>
      </c>
      <c r="F66" s="16" t="n">
        <v>1080.56</v>
      </c>
      <c r="G66" s="16" t="n">
        <v>9229.79</v>
      </c>
      <c r="H66" s="16" t="n">
        <v>20485.7</v>
      </c>
      <c r="I66" s="37" t="s">
        <v>64</v>
      </c>
      <c r="J66" s="38" t="n">
        <v>27.5</v>
      </c>
    </row>
    <row r="67" customFormat="false" ht="15" hidden="false" customHeight="false" outlineLevel="0" collapsed="false">
      <c r="A67" s="39"/>
      <c r="B67" s="40" t="s">
        <v>14</v>
      </c>
      <c r="C67" s="41" t="n">
        <f aca="false">SUM(C61:C66)</f>
        <v>477465.65</v>
      </c>
      <c r="D67" s="41" t="n">
        <f aca="false">SUM(D61:D66)</f>
        <v>0</v>
      </c>
      <c r="E67" s="41" t="n">
        <f aca="false">SUM(E61:E66)</f>
        <v>247370.34</v>
      </c>
      <c r="F67" s="41" t="n">
        <f aca="false">SUM(F61:F66)</f>
        <v>12902.85</v>
      </c>
      <c r="G67" s="41" t="n">
        <f aca="false">SUM(G61:G66)</f>
        <v>260273.19</v>
      </c>
      <c r="H67" s="41" t="n">
        <f aca="false">SUM(H61:H66)</f>
        <v>217192.46</v>
      </c>
      <c r="I67" s="39"/>
      <c r="J67" s="39"/>
    </row>
    <row r="69" customFormat="false" ht="15" hidden="false" customHeight="false" outlineLevel="0" collapsed="false">
      <c r="A69" s="29" t="s">
        <v>23</v>
      </c>
      <c r="B69" s="29"/>
      <c r="C69" s="29"/>
      <c r="D69" s="29"/>
      <c r="E69" s="29"/>
    </row>
    <row r="70" customFormat="false" ht="15" hidden="false" customHeight="false" outlineLevel="0" collapsed="false">
      <c r="B70" s="14" t="s">
        <v>76</v>
      </c>
      <c r="C70" s="43" t="n">
        <f aca="false">G57</f>
        <v>191354.03</v>
      </c>
    </row>
    <row r="71" customFormat="false" ht="15" hidden="false" customHeight="false" outlineLevel="0" collapsed="false">
      <c r="B71" s="14" t="s">
        <v>77</v>
      </c>
      <c r="C71" s="43" t="n">
        <f aca="false">G67</f>
        <v>260273.19</v>
      </c>
    </row>
    <row r="72" customFormat="false" ht="15" hidden="false" customHeight="false" outlineLevel="0" collapsed="false">
      <c r="B72" s="17" t="s">
        <v>23</v>
      </c>
      <c r="C72" s="44" t="n">
        <f aca="false">C71-C70</f>
        <v>68919.16</v>
      </c>
    </row>
  </sheetData>
  <mergeCells count="11">
    <mergeCell ref="A2:J2"/>
    <mergeCell ref="A3:J3"/>
    <mergeCell ref="A4:J4"/>
    <mergeCell ref="A8:J8"/>
    <mergeCell ref="B10:J10"/>
    <mergeCell ref="B25:J25"/>
    <mergeCell ref="B45:J45"/>
    <mergeCell ref="A51:J51"/>
    <mergeCell ref="A52:J52"/>
    <mergeCell ref="A59:J59"/>
    <mergeCell ref="A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A3" s="2" t="s">
        <v>131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1" t="s">
        <v>26</v>
      </c>
      <c r="C6" s="8" t="s">
        <v>16</v>
      </c>
    </row>
    <row r="8" customFormat="false" ht="15" hidden="false" customHeight="false" outlineLevel="0" collapsed="false">
      <c r="A8" s="22" t="s">
        <v>132</v>
      </c>
      <c r="B8" s="22"/>
      <c r="C8" s="22"/>
      <c r="D8" s="22"/>
      <c r="E8" s="22"/>
      <c r="F8" s="22"/>
      <c r="G8" s="22"/>
      <c r="H8" s="22"/>
      <c r="I8" s="22"/>
      <c r="J8" s="22"/>
    </row>
    <row r="9" customFormat="false" ht="15" hidden="false" customHeight="false" outlineLevel="0" collapsed="false">
      <c r="A9" s="23"/>
      <c r="B9" s="23" t="s">
        <v>28</v>
      </c>
      <c r="C9" s="24" t="s">
        <v>29</v>
      </c>
      <c r="D9" s="24" t="s">
        <v>30</v>
      </c>
      <c r="E9" s="24" t="s">
        <v>31</v>
      </c>
      <c r="F9" s="24" t="s">
        <v>32</v>
      </c>
      <c r="G9" s="24" t="s">
        <v>33</v>
      </c>
      <c r="H9" s="24" t="s">
        <v>34</v>
      </c>
    </row>
    <row r="10" customFormat="false" ht="15" hidden="false" customHeight="false" outlineLevel="0" collapsed="false">
      <c r="A10" s="5"/>
      <c r="B10" s="6" t="s">
        <v>80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81</v>
      </c>
      <c r="C11" s="25" t="n">
        <v>148.53</v>
      </c>
      <c r="D11" s="25" t="n">
        <v>148.53</v>
      </c>
    </row>
    <row r="12" customFormat="false" ht="15" hidden="false" customHeight="false" outlineLevel="0" collapsed="false">
      <c r="B12" s="8" t="s">
        <v>82</v>
      </c>
      <c r="C12" s="25" t="n">
        <v>292.56</v>
      </c>
      <c r="D12" s="25" t="n">
        <v>292.56</v>
      </c>
    </row>
    <row r="13" customFormat="false" ht="15" hidden="false" customHeight="false" outlineLevel="0" collapsed="false">
      <c r="B13" s="8" t="s">
        <v>83</v>
      </c>
      <c r="C13" s="25" t="n">
        <v>855.53</v>
      </c>
      <c r="D13" s="25" t="n">
        <v>855.53</v>
      </c>
    </row>
    <row r="14" customFormat="false" ht="15" hidden="false" customHeight="false" outlineLevel="0" collapsed="false">
      <c r="B14" s="8" t="s">
        <v>133</v>
      </c>
      <c r="C14" s="25" t="n">
        <v>145.41</v>
      </c>
      <c r="D14" s="25" t="n">
        <v>145.41</v>
      </c>
    </row>
    <row r="15" customFormat="false" ht="15" hidden="false" customHeight="false" outlineLevel="0" collapsed="false">
      <c r="B15" s="8" t="s">
        <v>86</v>
      </c>
      <c r="C15" s="25" t="n">
        <v>383.89</v>
      </c>
      <c r="D15" s="25" t="n">
        <v>383.89</v>
      </c>
    </row>
    <row r="16" customFormat="false" ht="15" hidden="false" customHeight="false" outlineLevel="0" collapsed="false">
      <c r="B16" s="8" t="s">
        <v>134</v>
      </c>
      <c r="C16" s="25" t="n">
        <v>231.79</v>
      </c>
      <c r="D16" s="25" t="n">
        <v>231.79</v>
      </c>
    </row>
    <row r="17" customFormat="false" ht="15" hidden="false" customHeight="false" outlineLevel="0" collapsed="false">
      <c r="B17" s="8" t="s">
        <v>89</v>
      </c>
      <c r="C17" s="25" t="n">
        <v>1223.14</v>
      </c>
      <c r="D17" s="25" t="n">
        <v>1223.14</v>
      </c>
    </row>
    <row r="18" customFormat="false" ht="15" hidden="false" customHeight="false" outlineLevel="0" collapsed="false">
      <c r="B18" s="8" t="s">
        <v>90</v>
      </c>
      <c r="C18" s="25" t="n">
        <v>199.38</v>
      </c>
      <c r="D18" s="25" t="n">
        <v>199.38</v>
      </c>
    </row>
    <row r="19" customFormat="false" ht="15" hidden="false" customHeight="false" outlineLevel="0" collapsed="false">
      <c r="B19" s="8" t="s">
        <v>135</v>
      </c>
      <c r="C19" s="25" t="n">
        <v>967.76</v>
      </c>
      <c r="D19" s="25" t="n">
        <v>967.76</v>
      </c>
    </row>
    <row r="20" customFormat="false" ht="15" hidden="false" customHeight="false" outlineLevel="0" collapsed="false">
      <c r="B20" s="8" t="s">
        <v>92</v>
      </c>
      <c r="C20" s="25" t="n">
        <v>574.11</v>
      </c>
      <c r="D20" s="25" t="n">
        <v>574.11</v>
      </c>
    </row>
    <row r="21" customFormat="false" ht="15" hidden="false" customHeight="false" outlineLevel="0" collapsed="false">
      <c r="B21" s="8" t="s">
        <v>94</v>
      </c>
      <c r="C21" s="25" t="n">
        <v>3351.41</v>
      </c>
      <c r="D21" s="25" t="n">
        <v>3351.41</v>
      </c>
    </row>
    <row r="22" customFormat="false" ht="15" hidden="false" customHeight="false" outlineLevel="0" collapsed="false">
      <c r="A22" s="5"/>
      <c r="B22" s="6" t="s">
        <v>95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96</v>
      </c>
      <c r="C23" s="25" t="n">
        <v>2719.68</v>
      </c>
      <c r="G23" s="25" t="n">
        <v>2719.68</v>
      </c>
    </row>
    <row r="24" customFormat="false" ht="15" hidden="false" customHeight="false" outlineLevel="0" collapsed="false">
      <c r="B24" s="8" t="s">
        <v>97</v>
      </c>
      <c r="C24" s="25" t="n">
        <v>3519.01</v>
      </c>
      <c r="G24" s="25" t="n">
        <v>3519.01</v>
      </c>
    </row>
    <row r="25" customFormat="false" ht="15" hidden="false" customHeight="false" outlineLevel="0" collapsed="false">
      <c r="B25" s="8" t="s">
        <v>98</v>
      </c>
      <c r="C25" s="25" t="n">
        <v>2302.98</v>
      </c>
      <c r="G25" s="25" t="n">
        <v>2302.98</v>
      </c>
    </row>
    <row r="26" customFormat="false" ht="15" hidden="false" customHeight="false" outlineLevel="0" collapsed="false">
      <c r="B26" s="8" t="s">
        <v>99</v>
      </c>
      <c r="C26" s="25" t="n">
        <v>2425.62</v>
      </c>
      <c r="G26" s="25" t="n">
        <v>2425.62</v>
      </c>
    </row>
    <row r="27" customFormat="false" ht="15" hidden="false" customHeight="false" outlineLevel="0" collapsed="false">
      <c r="B27" s="8" t="s">
        <v>101</v>
      </c>
      <c r="C27" s="25" t="n">
        <v>317.12</v>
      </c>
      <c r="G27" s="25" t="n">
        <v>317.12</v>
      </c>
    </row>
    <row r="28" customFormat="false" ht="15" hidden="false" customHeight="false" outlineLevel="0" collapsed="false">
      <c r="B28" s="8" t="s">
        <v>102</v>
      </c>
      <c r="C28" s="25" t="n">
        <v>1711.27</v>
      </c>
      <c r="G28" s="25" t="n">
        <v>1711.27</v>
      </c>
    </row>
    <row r="29" customFormat="false" ht="15" hidden="false" customHeight="false" outlineLevel="0" collapsed="false">
      <c r="B29" s="8" t="s">
        <v>103</v>
      </c>
      <c r="C29" s="25" t="n">
        <v>1055.79</v>
      </c>
      <c r="G29" s="25" t="n">
        <v>1055.79</v>
      </c>
    </row>
    <row r="30" customFormat="false" ht="15" hidden="false" customHeight="false" outlineLevel="0" collapsed="false">
      <c r="B30" s="8" t="s">
        <v>104</v>
      </c>
      <c r="C30" s="25" t="n">
        <v>708.36</v>
      </c>
      <c r="G30" s="25" t="n">
        <v>708.36</v>
      </c>
    </row>
    <row r="31" customFormat="false" ht="15" hidden="false" customHeight="false" outlineLevel="0" collapsed="false">
      <c r="B31" s="8" t="s">
        <v>105</v>
      </c>
      <c r="C31" s="25" t="n">
        <v>1052.96</v>
      </c>
      <c r="G31" s="25" t="n">
        <v>1052.96</v>
      </c>
    </row>
    <row r="32" customFormat="false" ht="15" hidden="false" customHeight="false" outlineLevel="0" collapsed="false">
      <c r="B32" s="8" t="s">
        <v>106</v>
      </c>
      <c r="C32" s="25" t="n">
        <v>1843.49</v>
      </c>
      <c r="G32" s="25" t="n">
        <v>1843.49</v>
      </c>
    </row>
    <row r="33" customFormat="false" ht="15" hidden="false" customHeight="false" outlineLevel="0" collapsed="false">
      <c r="B33" s="8" t="s">
        <v>107</v>
      </c>
      <c r="C33" s="25" t="n">
        <v>1263.38</v>
      </c>
      <c r="G33" s="25" t="n">
        <v>1263.38</v>
      </c>
    </row>
    <row r="34" customFormat="false" ht="15" hidden="false" customHeight="false" outlineLevel="0" collapsed="false">
      <c r="B34" s="8" t="s">
        <v>108</v>
      </c>
      <c r="C34" s="25" t="n">
        <v>673.55</v>
      </c>
      <c r="G34" s="25" t="n">
        <v>673.55</v>
      </c>
    </row>
    <row r="35" customFormat="false" ht="15" hidden="false" customHeight="false" outlineLevel="0" collapsed="false">
      <c r="B35" s="8" t="s">
        <v>109</v>
      </c>
      <c r="C35" s="25" t="n">
        <v>4284.8</v>
      </c>
      <c r="G35" s="25" t="n">
        <v>4284.8</v>
      </c>
    </row>
    <row r="36" customFormat="false" ht="15" hidden="false" customHeight="false" outlineLevel="0" collapsed="false">
      <c r="A36" s="26"/>
      <c r="B36" s="27" t="s">
        <v>47</v>
      </c>
      <c r="C36" s="28" t="n">
        <f aca="false">SUM(C10:C35)</f>
        <v>32251.52</v>
      </c>
      <c r="D36" s="28" t="n">
        <f aca="false">SUM(D10:D35)</f>
        <v>8373.51</v>
      </c>
      <c r="E36" s="28" t="n">
        <f aca="false">SUM(E10:E35)</f>
        <v>0</v>
      </c>
      <c r="F36" s="28" t="n">
        <f aca="false">SUM(F10:F35)</f>
        <v>0</v>
      </c>
      <c r="G36" s="28" t="n">
        <f aca="false">SUM(G10:G35)</f>
        <v>23878.01</v>
      </c>
      <c r="H36" s="26"/>
    </row>
    <row r="38" customFormat="false" ht="15" hidden="false" customHeight="false" outlineLevel="0" collapsed="false">
      <c r="A38" s="5"/>
      <c r="B38" s="6" t="s">
        <v>48</v>
      </c>
      <c r="C38" s="6"/>
      <c r="D38" s="6"/>
      <c r="E38" s="6"/>
      <c r="F38" s="6"/>
      <c r="G38" s="6"/>
      <c r="H38" s="6"/>
      <c r="I38" s="6"/>
      <c r="J38" s="6"/>
    </row>
    <row r="39" customFormat="false" ht="15" hidden="false" customHeight="false" outlineLevel="0" collapsed="false">
      <c r="B39" s="8" t="s">
        <v>49</v>
      </c>
      <c r="C39" s="25" t="n">
        <v>26288.67</v>
      </c>
      <c r="D39" s="25" t="n">
        <v>6825.37</v>
      </c>
      <c r="G39" s="25" t="n">
        <v>19463.3</v>
      </c>
    </row>
    <row r="40" customFormat="false" ht="15" hidden="false" customHeight="false" outlineLevel="0" collapsed="false">
      <c r="B40" s="8" t="s">
        <v>50</v>
      </c>
      <c r="C40" s="25" t="n">
        <v>3261.92</v>
      </c>
      <c r="D40" s="25" t="n">
        <v>846.9</v>
      </c>
      <c r="G40" s="25" t="n">
        <v>2415.02</v>
      </c>
    </row>
    <row r="41" customFormat="false" ht="15" hidden="false" customHeight="false" outlineLevel="0" collapsed="false">
      <c r="B41" s="8" t="s">
        <v>51</v>
      </c>
      <c r="C41" s="25" t="n">
        <v>2700.93</v>
      </c>
      <c r="D41" s="25" t="n">
        <v>701.24</v>
      </c>
      <c r="G41" s="25" t="n">
        <v>1999.69</v>
      </c>
    </row>
    <row r="42" customFormat="false" ht="15" hidden="false" customHeight="false" outlineLevel="0" collapsed="false">
      <c r="A42" s="26"/>
      <c r="B42" s="27" t="s">
        <v>52</v>
      </c>
      <c r="C42" s="28" t="n">
        <f aca="false">SUM(C39:C41)</f>
        <v>32251.52</v>
      </c>
      <c r="D42" s="28" t="n">
        <f aca="false">SUM(D39:D41)</f>
        <v>8373.51</v>
      </c>
      <c r="E42" s="26"/>
      <c r="F42" s="28" t="n">
        <f aca="false">SUM(F39:F41)</f>
        <v>0</v>
      </c>
      <c r="G42" s="28" t="n">
        <f aca="false">SUM(G39:G41)</f>
        <v>23878.01</v>
      </c>
      <c r="H42" s="26"/>
    </row>
    <row r="44" customFormat="false" ht="15" hidden="false" customHeight="false" outlineLevel="0" collapsed="false">
      <c r="A44" s="29" t="s">
        <v>53</v>
      </c>
      <c r="B44" s="29"/>
      <c r="C44" s="29"/>
      <c r="D44" s="29"/>
      <c r="E44" s="29"/>
      <c r="F44" s="29"/>
      <c r="G44" s="29"/>
      <c r="H44" s="29"/>
      <c r="I44" s="29"/>
      <c r="J44" s="29"/>
    </row>
    <row r="45" customFormat="false" ht="15" hidden="false" customHeight="false" outlineLevel="0" collapsed="false">
      <c r="A45" s="30" t="s">
        <v>21</v>
      </c>
      <c r="B45" s="30"/>
      <c r="C45" s="30"/>
      <c r="D45" s="30"/>
      <c r="E45" s="30"/>
      <c r="F45" s="30"/>
      <c r="G45" s="30"/>
      <c r="H45" s="30"/>
      <c r="I45" s="30"/>
      <c r="J45" s="30"/>
    </row>
    <row r="46" customFormat="false" ht="15" hidden="false" customHeight="false" outlineLevel="0" collapsed="false">
      <c r="A46" s="31"/>
      <c r="B46" s="31" t="s">
        <v>54</v>
      </c>
      <c r="C46" s="32" t="s">
        <v>55</v>
      </c>
      <c r="D46" s="32" t="s">
        <v>56</v>
      </c>
      <c r="E46" s="32" t="s">
        <v>57</v>
      </c>
      <c r="F46" s="32" t="s">
        <v>58</v>
      </c>
      <c r="G46" s="32" t="s">
        <v>59</v>
      </c>
      <c r="H46" s="32" t="s">
        <v>60</v>
      </c>
      <c r="I46" s="32" t="s">
        <v>61</v>
      </c>
      <c r="J46" s="32" t="s">
        <v>62</v>
      </c>
    </row>
    <row r="47" customFormat="false" ht="15" hidden="false" customHeight="false" outlineLevel="0" collapsed="false">
      <c r="B47" s="33" t="s">
        <v>136</v>
      </c>
      <c r="C47" s="34" t="n">
        <v>26288.67</v>
      </c>
      <c r="D47" s="34" t="n">
        <v>0</v>
      </c>
      <c r="E47" s="34" t="n">
        <v>7209.44</v>
      </c>
      <c r="F47" s="34" t="n">
        <v>955.95</v>
      </c>
      <c r="G47" s="34" t="n">
        <v>8165.39</v>
      </c>
      <c r="H47" s="34" t="n">
        <v>18123.28</v>
      </c>
      <c r="I47" s="35" t="s">
        <v>64</v>
      </c>
      <c r="J47" s="36" t="n">
        <v>27.5</v>
      </c>
    </row>
    <row r="48" customFormat="false" ht="15" hidden="false" customHeight="false" outlineLevel="0" collapsed="false">
      <c r="B48" s="14" t="s">
        <v>137</v>
      </c>
      <c r="C48" s="16" t="n">
        <v>3261.92</v>
      </c>
      <c r="D48" s="16" t="n">
        <v>0</v>
      </c>
      <c r="E48" s="16" t="n">
        <v>3261.92</v>
      </c>
      <c r="F48" s="16" t="n">
        <v>0</v>
      </c>
      <c r="G48" s="16" t="n">
        <v>3261.92</v>
      </c>
      <c r="H48" s="16" t="n">
        <v>0</v>
      </c>
      <c r="I48" s="37" t="s">
        <v>66</v>
      </c>
      <c r="J48" s="38" t="n">
        <v>5</v>
      </c>
    </row>
    <row r="49" customFormat="false" ht="15" hidden="false" customHeight="false" outlineLevel="0" collapsed="false">
      <c r="B49" s="33" t="s">
        <v>138</v>
      </c>
      <c r="C49" s="34" t="n">
        <v>2700.93</v>
      </c>
      <c r="D49" s="34" t="n">
        <v>0</v>
      </c>
      <c r="E49" s="34" t="n">
        <v>1338.64</v>
      </c>
      <c r="F49" s="34" t="n">
        <v>159.48</v>
      </c>
      <c r="G49" s="34" t="n">
        <v>1498.12</v>
      </c>
      <c r="H49" s="34" t="n">
        <v>1202.81</v>
      </c>
      <c r="I49" s="35" t="s">
        <v>68</v>
      </c>
      <c r="J49" s="36" t="n">
        <v>15</v>
      </c>
    </row>
    <row r="50" customFormat="false" ht="15" hidden="false" customHeight="false" outlineLevel="0" collapsed="false">
      <c r="A50" s="39"/>
      <c r="B50" s="40" t="s">
        <v>14</v>
      </c>
      <c r="C50" s="41" t="n">
        <f aca="false">SUM(C47:C49)</f>
        <v>32251.52</v>
      </c>
      <c r="D50" s="41" t="n">
        <f aca="false">SUM(D47:D49)</f>
        <v>0</v>
      </c>
      <c r="E50" s="41" t="n">
        <f aca="false">SUM(E47:E49)</f>
        <v>11810</v>
      </c>
      <c r="F50" s="41" t="n">
        <f aca="false">SUM(F47:F49)</f>
        <v>1115.43</v>
      </c>
      <c r="G50" s="41" t="n">
        <f aca="false">SUM(G47:G49)</f>
        <v>12925.43</v>
      </c>
      <c r="H50" s="41" t="n">
        <f aca="false">SUM(H47:H49)</f>
        <v>19326.09</v>
      </c>
      <c r="I50" s="39"/>
      <c r="J50" s="39"/>
    </row>
    <row r="52" customFormat="false" ht="15" hidden="false" customHeight="false" outlineLevel="0" collapsed="false">
      <c r="A52" s="42" t="s">
        <v>69</v>
      </c>
      <c r="B52" s="42"/>
      <c r="C52" s="42"/>
      <c r="D52" s="42"/>
      <c r="E52" s="42"/>
      <c r="F52" s="42"/>
      <c r="G52" s="42"/>
      <c r="H52" s="42"/>
      <c r="I52" s="42"/>
      <c r="J52" s="42"/>
    </row>
    <row r="53" customFormat="false" ht="15" hidden="false" customHeight="false" outlineLevel="0" collapsed="false">
      <c r="A53" s="31"/>
      <c r="B53" s="31" t="s">
        <v>54</v>
      </c>
      <c r="C53" s="32" t="s">
        <v>55</v>
      </c>
      <c r="D53" s="32" t="s">
        <v>56</v>
      </c>
      <c r="E53" s="32" t="s">
        <v>57</v>
      </c>
      <c r="F53" s="32" t="s">
        <v>58</v>
      </c>
      <c r="G53" s="32" t="s">
        <v>59</v>
      </c>
      <c r="H53" s="32" t="s">
        <v>60</v>
      </c>
      <c r="I53" s="32" t="s">
        <v>61</v>
      </c>
      <c r="J53" s="32" t="s">
        <v>62</v>
      </c>
    </row>
    <row r="54" customFormat="false" ht="15" hidden="false" customHeight="false" outlineLevel="0" collapsed="false">
      <c r="B54" s="33" t="s">
        <v>139</v>
      </c>
      <c r="C54" s="34" t="n">
        <v>6825.37</v>
      </c>
      <c r="D54" s="34" t="n">
        <v>0</v>
      </c>
      <c r="E54" s="34" t="n">
        <v>6825.37</v>
      </c>
      <c r="F54" s="34" t="n">
        <v>0</v>
      </c>
      <c r="G54" s="34" t="n">
        <v>6825.37</v>
      </c>
      <c r="H54" s="34" t="n">
        <v>0</v>
      </c>
      <c r="I54" s="35" t="s">
        <v>66</v>
      </c>
      <c r="J54" s="36" t="n">
        <v>5</v>
      </c>
    </row>
    <row r="55" customFormat="false" ht="15" hidden="false" customHeight="false" outlineLevel="0" collapsed="false">
      <c r="B55" s="14" t="s">
        <v>140</v>
      </c>
      <c r="C55" s="16" t="n">
        <v>19463.3</v>
      </c>
      <c r="D55" s="16" t="n">
        <v>0</v>
      </c>
      <c r="E55" s="16" t="n">
        <v>5337.69</v>
      </c>
      <c r="F55" s="16" t="n">
        <v>707.76</v>
      </c>
      <c r="G55" s="16" t="n">
        <v>6045.45</v>
      </c>
      <c r="H55" s="16" t="n">
        <v>13417.85</v>
      </c>
      <c r="I55" s="37" t="s">
        <v>64</v>
      </c>
      <c r="J55" s="38" t="n">
        <v>27.5</v>
      </c>
    </row>
    <row r="56" customFormat="false" ht="15" hidden="false" customHeight="false" outlineLevel="0" collapsed="false">
      <c r="B56" s="33" t="s">
        <v>141</v>
      </c>
      <c r="C56" s="34" t="n">
        <v>846.9</v>
      </c>
      <c r="D56" s="34" t="n">
        <v>0</v>
      </c>
      <c r="E56" s="34" t="n">
        <v>846.9</v>
      </c>
      <c r="F56" s="34" t="n">
        <v>0</v>
      </c>
      <c r="G56" s="34" t="n">
        <v>846.9</v>
      </c>
      <c r="H56" s="34" t="n">
        <v>0</v>
      </c>
      <c r="I56" s="35" t="s">
        <v>66</v>
      </c>
      <c r="J56" s="36" t="n">
        <v>5</v>
      </c>
    </row>
    <row r="57" customFormat="false" ht="15" hidden="false" customHeight="false" outlineLevel="0" collapsed="false">
      <c r="B57" s="14" t="s">
        <v>142</v>
      </c>
      <c r="C57" s="16" t="n">
        <v>2415.02</v>
      </c>
      <c r="D57" s="16" t="n">
        <v>0</v>
      </c>
      <c r="E57" s="16" t="n">
        <v>662.31</v>
      </c>
      <c r="F57" s="16" t="n">
        <v>87.82</v>
      </c>
      <c r="G57" s="16" t="n">
        <v>750.13</v>
      </c>
      <c r="H57" s="16" t="n">
        <v>1664.89</v>
      </c>
      <c r="I57" s="37" t="s">
        <v>64</v>
      </c>
      <c r="J57" s="38" t="n">
        <v>27.5</v>
      </c>
    </row>
    <row r="58" customFormat="false" ht="15" hidden="false" customHeight="false" outlineLevel="0" collapsed="false">
      <c r="B58" s="33" t="s">
        <v>143</v>
      </c>
      <c r="C58" s="34" t="n">
        <v>701.24</v>
      </c>
      <c r="D58" s="34" t="n">
        <v>0</v>
      </c>
      <c r="E58" s="34" t="n">
        <v>701.24</v>
      </c>
      <c r="F58" s="34" t="n">
        <v>0</v>
      </c>
      <c r="G58" s="34" t="n">
        <v>701.24</v>
      </c>
      <c r="H58" s="34" t="n">
        <v>0</v>
      </c>
      <c r="I58" s="35" t="s">
        <v>66</v>
      </c>
      <c r="J58" s="36" t="n">
        <v>5</v>
      </c>
    </row>
    <row r="59" customFormat="false" ht="15" hidden="false" customHeight="false" outlineLevel="0" collapsed="false">
      <c r="B59" s="14" t="s">
        <v>144</v>
      </c>
      <c r="C59" s="16" t="n">
        <v>1999.69</v>
      </c>
      <c r="D59" s="16" t="n">
        <v>0</v>
      </c>
      <c r="E59" s="16" t="n">
        <v>548.43</v>
      </c>
      <c r="F59" s="16" t="n">
        <v>72.72</v>
      </c>
      <c r="G59" s="16" t="n">
        <v>621.15</v>
      </c>
      <c r="H59" s="16" t="n">
        <v>1378.54</v>
      </c>
      <c r="I59" s="37" t="s">
        <v>64</v>
      </c>
      <c r="J59" s="38" t="n">
        <v>27.5</v>
      </c>
    </row>
    <row r="60" customFormat="false" ht="15" hidden="false" customHeight="false" outlineLevel="0" collapsed="false">
      <c r="A60" s="39"/>
      <c r="B60" s="40" t="s">
        <v>14</v>
      </c>
      <c r="C60" s="41" t="n">
        <f aca="false">SUM(C54:C59)</f>
        <v>32251.52</v>
      </c>
      <c r="D60" s="41" t="n">
        <f aca="false">SUM(D54:D59)</f>
        <v>0</v>
      </c>
      <c r="E60" s="41" t="n">
        <f aca="false">SUM(E54:E59)</f>
        <v>14921.94</v>
      </c>
      <c r="F60" s="41" t="n">
        <f aca="false">SUM(F54:F59)</f>
        <v>868.3</v>
      </c>
      <c r="G60" s="41" t="n">
        <f aca="false">SUM(G54:G59)</f>
        <v>15790.24</v>
      </c>
      <c r="H60" s="41" t="n">
        <f aca="false">SUM(H54:H59)</f>
        <v>16461.28</v>
      </c>
      <c r="I60" s="39"/>
      <c r="J60" s="39"/>
    </row>
    <row r="62" customFormat="false" ht="15" hidden="false" customHeight="false" outlineLevel="0" collapsed="false">
      <c r="A62" s="29" t="s">
        <v>23</v>
      </c>
      <c r="B62" s="29"/>
      <c r="C62" s="29"/>
      <c r="D62" s="29"/>
      <c r="E62" s="29"/>
    </row>
    <row r="63" customFormat="false" ht="15" hidden="false" customHeight="false" outlineLevel="0" collapsed="false">
      <c r="B63" s="14" t="s">
        <v>76</v>
      </c>
      <c r="C63" s="43" t="n">
        <f aca="false">G50</f>
        <v>12925.43</v>
      </c>
    </row>
    <row r="64" customFormat="false" ht="15" hidden="false" customHeight="false" outlineLevel="0" collapsed="false">
      <c r="B64" s="14" t="s">
        <v>77</v>
      </c>
      <c r="C64" s="43" t="n">
        <f aca="false">G60</f>
        <v>15790.24</v>
      </c>
    </row>
    <row r="65" customFormat="false" ht="15" hidden="false" customHeight="false" outlineLevel="0" collapsed="false">
      <c r="B65" s="17" t="s">
        <v>23</v>
      </c>
      <c r="C65" s="44" t="n">
        <f aca="false">C64-C63</f>
        <v>2864.81</v>
      </c>
    </row>
  </sheetData>
  <mergeCells count="11">
    <mergeCell ref="A2:J2"/>
    <mergeCell ref="A3:J3"/>
    <mergeCell ref="A4:J4"/>
    <mergeCell ref="A8:J8"/>
    <mergeCell ref="B10:J10"/>
    <mergeCell ref="B22:J22"/>
    <mergeCell ref="B38:J38"/>
    <mergeCell ref="A44:J44"/>
    <mergeCell ref="A45:J45"/>
    <mergeCell ref="A52:J52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A3" s="2" t="s">
        <v>145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1" t="s">
        <v>26</v>
      </c>
      <c r="C6" s="8" t="s">
        <v>16</v>
      </c>
    </row>
    <row r="8" customFormat="false" ht="15" hidden="false" customHeight="false" outlineLevel="0" collapsed="false">
      <c r="A8" s="22" t="s">
        <v>146</v>
      </c>
      <c r="B8" s="22"/>
      <c r="C8" s="22"/>
      <c r="D8" s="22"/>
      <c r="E8" s="22"/>
      <c r="F8" s="22"/>
      <c r="G8" s="22"/>
      <c r="H8" s="22"/>
      <c r="I8" s="22"/>
      <c r="J8" s="22"/>
    </row>
    <row r="9" customFormat="false" ht="15" hidden="false" customHeight="false" outlineLevel="0" collapsed="false">
      <c r="A9" s="23"/>
      <c r="B9" s="23" t="s">
        <v>28</v>
      </c>
      <c r="C9" s="24" t="s">
        <v>29</v>
      </c>
      <c r="D9" s="24" t="s">
        <v>30</v>
      </c>
      <c r="E9" s="24" t="s">
        <v>31</v>
      </c>
      <c r="F9" s="24" t="s">
        <v>32</v>
      </c>
      <c r="G9" s="24" t="s">
        <v>33</v>
      </c>
      <c r="H9" s="24" t="s">
        <v>34</v>
      </c>
    </row>
    <row r="10" customFormat="false" ht="15" hidden="false" customHeight="false" outlineLevel="0" collapsed="false">
      <c r="A10" s="5"/>
      <c r="B10" s="6" t="s">
        <v>80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81</v>
      </c>
      <c r="C11" s="25" t="n">
        <v>148.53</v>
      </c>
      <c r="D11" s="25" t="n">
        <v>148.53</v>
      </c>
    </row>
    <row r="12" customFormat="false" ht="15" hidden="false" customHeight="false" outlineLevel="0" collapsed="false">
      <c r="B12" s="8" t="s">
        <v>82</v>
      </c>
      <c r="C12" s="25" t="n">
        <v>292.56</v>
      </c>
      <c r="D12" s="25" t="n">
        <v>292.56</v>
      </c>
    </row>
    <row r="13" customFormat="false" ht="15" hidden="false" customHeight="false" outlineLevel="0" collapsed="false">
      <c r="B13" s="8" t="s">
        <v>83</v>
      </c>
      <c r="C13" s="25" t="n">
        <v>855.53</v>
      </c>
      <c r="D13" s="25" t="n">
        <v>855.53</v>
      </c>
    </row>
    <row r="14" customFormat="false" ht="15" hidden="false" customHeight="false" outlineLevel="0" collapsed="false">
      <c r="B14" s="8" t="s">
        <v>133</v>
      </c>
      <c r="C14" s="25" t="n">
        <v>145.41</v>
      </c>
      <c r="D14" s="25" t="n">
        <v>145.41</v>
      </c>
    </row>
    <row r="15" customFormat="false" ht="15" hidden="false" customHeight="false" outlineLevel="0" collapsed="false">
      <c r="B15" s="8" t="s">
        <v>86</v>
      </c>
      <c r="C15" s="25" t="n">
        <v>383.89</v>
      </c>
      <c r="D15" s="25" t="n">
        <v>383.89</v>
      </c>
    </row>
    <row r="16" customFormat="false" ht="15" hidden="false" customHeight="false" outlineLevel="0" collapsed="false">
      <c r="B16" s="8" t="s">
        <v>134</v>
      </c>
      <c r="C16" s="25" t="n">
        <v>231.79</v>
      </c>
      <c r="D16" s="25" t="n">
        <v>231.79</v>
      </c>
    </row>
    <row r="17" customFormat="false" ht="15" hidden="false" customHeight="false" outlineLevel="0" collapsed="false">
      <c r="B17" s="8" t="s">
        <v>89</v>
      </c>
      <c r="C17" s="25" t="n">
        <v>1223.14</v>
      </c>
      <c r="D17" s="25" t="n">
        <v>1223.14</v>
      </c>
    </row>
    <row r="18" customFormat="false" ht="15" hidden="false" customHeight="false" outlineLevel="0" collapsed="false">
      <c r="B18" s="8" t="s">
        <v>90</v>
      </c>
      <c r="C18" s="25" t="n">
        <v>199.38</v>
      </c>
      <c r="D18" s="25" t="n">
        <v>199.38</v>
      </c>
    </row>
    <row r="19" customFormat="false" ht="15" hidden="false" customHeight="false" outlineLevel="0" collapsed="false">
      <c r="B19" s="8" t="s">
        <v>135</v>
      </c>
      <c r="C19" s="25" t="n">
        <v>967.76</v>
      </c>
      <c r="D19" s="25" t="n">
        <v>967.76</v>
      </c>
    </row>
    <row r="20" customFormat="false" ht="15" hidden="false" customHeight="false" outlineLevel="0" collapsed="false">
      <c r="B20" s="8" t="s">
        <v>92</v>
      </c>
      <c r="C20" s="25" t="n">
        <v>574.11</v>
      </c>
      <c r="D20" s="25" t="n">
        <v>574.11</v>
      </c>
    </row>
    <row r="21" customFormat="false" ht="15" hidden="false" customHeight="false" outlineLevel="0" collapsed="false">
      <c r="B21" s="8" t="s">
        <v>147</v>
      </c>
      <c r="C21" s="25" t="n">
        <v>5135.94</v>
      </c>
      <c r="D21" s="25" t="n">
        <v>5135.94</v>
      </c>
    </row>
    <row r="22" customFormat="false" ht="15" hidden="false" customHeight="false" outlineLevel="0" collapsed="false">
      <c r="B22" s="8" t="s">
        <v>94</v>
      </c>
      <c r="C22" s="25" t="n">
        <v>3351.42</v>
      </c>
      <c r="D22" s="25" t="n">
        <v>3351.42</v>
      </c>
    </row>
    <row r="23" customFormat="false" ht="15" hidden="false" customHeight="false" outlineLevel="0" collapsed="false">
      <c r="A23" s="5"/>
      <c r="B23" s="6" t="s">
        <v>95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96</v>
      </c>
      <c r="C24" s="25" t="n">
        <v>2719.65</v>
      </c>
      <c r="G24" s="25" t="n">
        <v>2719.65</v>
      </c>
    </row>
    <row r="25" customFormat="false" ht="15" hidden="false" customHeight="false" outlineLevel="0" collapsed="false">
      <c r="B25" s="8" t="s">
        <v>97</v>
      </c>
      <c r="C25" s="25" t="n">
        <v>3519.01</v>
      </c>
      <c r="G25" s="25" t="n">
        <v>3519.01</v>
      </c>
    </row>
    <row r="26" customFormat="false" ht="15" hidden="false" customHeight="false" outlineLevel="0" collapsed="false">
      <c r="B26" s="8" t="s">
        <v>98</v>
      </c>
      <c r="C26" s="25" t="n">
        <v>2302.99</v>
      </c>
      <c r="G26" s="25" t="n">
        <v>2302.99</v>
      </c>
    </row>
    <row r="27" customFormat="false" ht="15" hidden="false" customHeight="false" outlineLevel="0" collapsed="false">
      <c r="B27" s="8" t="s">
        <v>99</v>
      </c>
      <c r="C27" s="25" t="n">
        <v>2425.62</v>
      </c>
      <c r="G27" s="25" t="n">
        <v>2425.62</v>
      </c>
    </row>
    <row r="28" customFormat="false" ht="15" hidden="false" customHeight="false" outlineLevel="0" collapsed="false">
      <c r="B28" s="8" t="s">
        <v>101</v>
      </c>
      <c r="C28" s="25" t="n">
        <v>317.12</v>
      </c>
      <c r="G28" s="25" t="n">
        <v>317.12</v>
      </c>
    </row>
    <row r="29" customFormat="false" ht="15" hidden="false" customHeight="false" outlineLevel="0" collapsed="false">
      <c r="B29" s="8" t="s">
        <v>102</v>
      </c>
      <c r="C29" s="25" t="n">
        <v>1711.27</v>
      </c>
      <c r="G29" s="25" t="n">
        <v>1711.27</v>
      </c>
    </row>
    <row r="30" customFormat="false" ht="15" hidden="false" customHeight="false" outlineLevel="0" collapsed="false">
      <c r="B30" s="8" t="s">
        <v>103</v>
      </c>
      <c r="C30" s="25" t="n">
        <v>1055.79</v>
      </c>
      <c r="G30" s="25" t="n">
        <v>1055.79</v>
      </c>
    </row>
    <row r="31" customFormat="false" ht="15" hidden="false" customHeight="false" outlineLevel="0" collapsed="false">
      <c r="B31" s="8" t="s">
        <v>104</v>
      </c>
      <c r="C31" s="25" t="n">
        <v>708.36</v>
      </c>
      <c r="G31" s="25" t="n">
        <v>708.36</v>
      </c>
    </row>
    <row r="32" customFormat="false" ht="15" hidden="false" customHeight="false" outlineLevel="0" collapsed="false">
      <c r="B32" s="8" t="s">
        <v>105</v>
      </c>
      <c r="C32" s="25" t="n">
        <v>1052.96</v>
      </c>
      <c r="G32" s="25" t="n">
        <v>1052.96</v>
      </c>
    </row>
    <row r="33" customFormat="false" ht="15" hidden="false" customHeight="false" outlineLevel="0" collapsed="false">
      <c r="B33" s="8" t="s">
        <v>106</v>
      </c>
      <c r="C33" s="25" t="n">
        <v>1843.49</v>
      </c>
      <c r="G33" s="25" t="n">
        <v>1843.49</v>
      </c>
    </row>
    <row r="34" customFormat="false" ht="15" hidden="false" customHeight="false" outlineLevel="0" collapsed="false">
      <c r="B34" s="8" t="s">
        <v>107</v>
      </c>
      <c r="C34" s="25" t="n">
        <v>1263.38</v>
      </c>
      <c r="G34" s="25" t="n">
        <v>1263.38</v>
      </c>
    </row>
    <row r="35" customFormat="false" ht="15" hidden="false" customHeight="false" outlineLevel="0" collapsed="false">
      <c r="B35" s="8" t="s">
        <v>108</v>
      </c>
      <c r="C35" s="25" t="n">
        <v>673.55</v>
      </c>
      <c r="G35" s="25" t="n">
        <v>673.55</v>
      </c>
    </row>
    <row r="36" customFormat="false" ht="15" hidden="false" customHeight="false" outlineLevel="0" collapsed="false">
      <c r="B36" s="8" t="s">
        <v>109</v>
      </c>
      <c r="C36" s="25" t="n">
        <v>4284.8</v>
      </c>
      <c r="G36" s="25" t="n">
        <v>4284.8</v>
      </c>
    </row>
    <row r="37" customFormat="false" ht="15" hidden="false" customHeight="false" outlineLevel="0" collapsed="false">
      <c r="A37" s="26"/>
      <c r="B37" s="27" t="s">
        <v>47</v>
      </c>
      <c r="C37" s="28" t="n">
        <f aca="false">SUM(C10:C36)</f>
        <v>37387.45</v>
      </c>
      <c r="D37" s="28" t="n">
        <f aca="false">SUM(D10:D36)</f>
        <v>13509.46</v>
      </c>
      <c r="E37" s="28" t="n">
        <f aca="false">SUM(E10:E36)</f>
        <v>0</v>
      </c>
      <c r="F37" s="28" t="n">
        <f aca="false">SUM(F10:F36)</f>
        <v>0</v>
      </c>
      <c r="G37" s="28" t="n">
        <f aca="false">SUM(G10:G36)</f>
        <v>23877.99</v>
      </c>
      <c r="H37" s="26"/>
    </row>
    <row r="39" customFormat="false" ht="15" hidden="false" customHeight="false" outlineLevel="0" collapsed="false">
      <c r="A39" s="5"/>
      <c r="B39" s="6" t="s">
        <v>48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49</v>
      </c>
      <c r="C40" s="25" t="n">
        <v>30475.01</v>
      </c>
      <c r="D40" s="25" t="n">
        <v>11011.74</v>
      </c>
      <c r="G40" s="25" t="n">
        <v>19463.27</v>
      </c>
    </row>
    <row r="41" customFormat="false" ht="15" hidden="false" customHeight="false" outlineLevel="0" collapsed="false">
      <c r="B41" s="8" t="s">
        <v>50</v>
      </c>
      <c r="C41" s="25" t="n">
        <v>3781.39</v>
      </c>
      <c r="D41" s="25" t="n">
        <v>1366.36</v>
      </c>
      <c r="G41" s="25" t="n">
        <v>2415.03</v>
      </c>
    </row>
    <row r="42" customFormat="false" ht="15" hidden="false" customHeight="false" outlineLevel="0" collapsed="false">
      <c r="B42" s="8" t="s">
        <v>51</v>
      </c>
      <c r="C42" s="25" t="n">
        <v>3131.05</v>
      </c>
      <c r="D42" s="25" t="n">
        <v>1131.36</v>
      </c>
      <c r="G42" s="25" t="n">
        <v>1999.69</v>
      </c>
    </row>
    <row r="43" customFormat="false" ht="15" hidden="false" customHeight="false" outlineLevel="0" collapsed="false">
      <c r="A43" s="26"/>
      <c r="B43" s="27" t="s">
        <v>52</v>
      </c>
      <c r="C43" s="28" t="n">
        <f aca="false">SUM(C40:C42)</f>
        <v>37387.45</v>
      </c>
      <c r="D43" s="28" t="n">
        <f aca="false">SUM(D40:D42)</f>
        <v>13509.46</v>
      </c>
      <c r="E43" s="26"/>
      <c r="F43" s="28" t="n">
        <f aca="false">SUM(F40:F42)</f>
        <v>0</v>
      </c>
      <c r="G43" s="28" t="n">
        <f aca="false">SUM(G40:G42)</f>
        <v>23877.99</v>
      </c>
      <c r="H43" s="26"/>
    </row>
    <row r="45" customFormat="false" ht="15" hidden="false" customHeight="false" outlineLevel="0" collapsed="false">
      <c r="A45" s="29" t="s">
        <v>53</v>
      </c>
      <c r="B45" s="29"/>
      <c r="C45" s="29"/>
      <c r="D45" s="29"/>
      <c r="E45" s="29"/>
      <c r="F45" s="29"/>
      <c r="G45" s="29"/>
      <c r="H45" s="29"/>
      <c r="I45" s="29"/>
      <c r="J45" s="29"/>
    </row>
    <row r="46" customFormat="false" ht="15" hidden="false" customHeight="false" outlineLevel="0" collapsed="false">
      <c r="A46" s="30" t="s">
        <v>21</v>
      </c>
      <c r="B46" s="30"/>
      <c r="C46" s="30"/>
      <c r="D46" s="30"/>
      <c r="E46" s="30"/>
      <c r="F46" s="30"/>
      <c r="G46" s="30"/>
      <c r="H46" s="30"/>
      <c r="I46" s="30"/>
      <c r="J46" s="30"/>
    </row>
    <row r="47" customFormat="false" ht="15" hidden="false" customHeight="false" outlineLevel="0" collapsed="false">
      <c r="A47" s="31"/>
      <c r="B47" s="31" t="s">
        <v>54</v>
      </c>
      <c r="C47" s="32" t="s">
        <v>55</v>
      </c>
      <c r="D47" s="32" t="s">
        <v>56</v>
      </c>
      <c r="E47" s="32" t="s">
        <v>57</v>
      </c>
      <c r="F47" s="32" t="s">
        <v>58</v>
      </c>
      <c r="G47" s="32" t="s">
        <v>59</v>
      </c>
      <c r="H47" s="32" t="s">
        <v>60</v>
      </c>
      <c r="I47" s="32" t="s">
        <v>61</v>
      </c>
      <c r="J47" s="32" t="s">
        <v>62</v>
      </c>
    </row>
    <row r="48" customFormat="false" ht="15" hidden="false" customHeight="false" outlineLevel="0" collapsed="false">
      <c r="B48" s="33" t="s">
        <v>148</v>
      </c>
      <c r="C48" s="34" t="n">
        <v>30475.01</v>
      </c>
      <c r="D48" s="34" t="n">
        <v>0</v>
      </c>
      <c r="E48" s="34" t="n">
        <v>8357.51</v>
      </c>
      <c r="F48" s="34" t="n">
        <v>1108.18</v>
      </c>
      <c r="G48" s="34" t="n">
        <v>9465.69</v>
      </c>
      <c r="H48" s="34" t="n">
        <v>21009.32</v>
      </c>
      <c r="I48" s="35" t="s">
        <v>64</v>
      </c>
      <c r="J48" s="36" t="n">
        <v>27.5</v>
      </c>
    </row>
    <row r="49" customFormat="false" ht="15" hidden="false" customHeight="false" outlineLevel="0" collapsed="false">
      <c r="B49" s="14" t="s">
        <v>149</v>
      </c>
      <c r="C49" s="16" t="n">
        <v>3781.39</v>
      </c>
      <c r="D49" s="16" t="n">
        <v>0</v>
      </c>
      <c r="E49" s="16" t="n">
        <v>3781.39</v>
      </c>
      <c r="F49" s="16" t="n">
        <v>0</v>
      </c>
      <c r="G49" s="16" t="n">
        <v>3781.39</v>
      </c>
      <c r="H49" s="16" t="n">
        <v>0</v>
      </c>
      <c r="I49" s="37" t="s">
        <v>66</v>
      </c>
      <c r="J49" s="38" t="n">
        <v>5</v>
      </c>
    </row>
    <row r="50" customFormat="false" ht="15" hidden="false" customHeight="false" outlineLevel="0" collapsed="false">
      <c r="B50" s="33" t="s">
        <v>150</v>
      </c>
      <c r="C50" s="34" t="n">
        <v>3131.05</v>
      </c>
      <c r="D50" s="34" t="n">
        <v>0</v>
      </c>
      <c r="E50" s="34" t="n">
        <v>1551.82</v>
      </c>
      <c r="F50" s="34" t="n">
        <v>184.88</v>
      </c>
      <c r="G50" s="34" t="n">
        <v>1736.7</v>
      </c>
      <c r="H50" s="34" t="n">
        <v>1394.35</v>
      </c>
      <c r="I50" s="35" t="s">
        <v>68</v>
      </c>
      <c r="J50" s="36" t="n">
        <v>15</v>
      </c>
    </row>
    <row r="51" customFormat="false" ht="15" hidden="false" customHeight="false" outlineLevel="0" collapsed="false">
      <c r="A51" s="39"/>
      <c r="B51" s="40" t="s">
        <v>14</v>
      </c>
      <c r="C51" s="41" t="n">
        <f aca="false">SUM(C48:C50)</f>
        <v>37387.45</v>
      </c>
      <c r="D51" s="41" t="n">
        <f aca="false">SUM(D48:D50)</f>
        <v>0</v>
      </c>
      <c r="E51" s="41" t="n">
        <f aca="false">SUM(E48:E50)</f>
        <v>13690.72</v>
      </c>
      <c r="F51" s="41" t="n">
        <f aca="false">SUM(F48:F50)</f>
        <v>1293.06</v>
      </c>
      <c r="G51" s="41" t="n">
        <f aca="false">SUM(G48:G50)</f>
        <v>14983.78</v>
      </c>
      <c r="H51" s="41" t="n">
        <f aca="false">SUM(H48:H50)</f>
        <v>22403.67</v>
      </c>
      <c r="I51" s="39"/>
      <c r="J51" s="39"/>
    </row>
    <row r="53" customFormat="false" ht="15" hidden="false" customHeight="false" outlineLevel="0" collapsed="false">
      <c r="A53" s="42" t="s">
        <v>69</v>
      </c>
      <c r="B53" s="42"/>
      <c r="C53" s="42"/>
      <c r="D53" s="42"/>
      <c r="E53" s="42"/>
      <c r="F53" s="42"/>
      <c r="G53" s="42"/>
      <c r="H53" s="42"/>
      <c r="I53" s="42"/>
      <c r="J53" s="42"/>
    </row>
    <row r="54" customFormat="false" ht="15" hidden="false" customHeight="false" outlineLevel="0" collapsed="false">
      <c r="A54" s="31"/>
      <c r="B54" s="31" t="s">
        <v>54</v>
      </c>
      <c r="C54" s="32" t="s">
        <v>55</v>
      </c>
      <c r="D54" s="32" t="s">
        <v>56</v>
      </c>
      <c r="E54" s="32" t="s">
        <v>57</v>
      </c>
      <c r="F54" s="32" t="s">
        <v>58</v>
      </c>
      <c r="G54" s="32" t="s">
        <v>59</v>
      </c>
      <c r="H54" s="32" t="s">
        <v>60</v>
      </c>
      <c r="I54" s="32" t="s">
        <v>61</v>
      </c>
      <c r="J54" s="32" t="s">
        <v>62</v>
      </c>
    </row>
    <row r="55" customFormat="false" ht="15" hidden="false" customHeight="false" outlineLevel="0" collapsed="false">
      <c r="B55" s="33" t="s">
        <v>151</v>
      </c>
      <c r="C55" s="34" t="n">
        <v>11011.74</v>
      </c>
      <c r="D55" s="34" t="n">
        <v>0</v>
      </c>
      <c r="E55" s="34" t="n">
        <v>11011.74</v>
      </c>
      <c r="F55" s="34" t="n">
        <v>0</v>
      </c>
      <c r="G55" s="34" t="n">
        <v>11011.74</v>
      </c>
      <c r="H55" s="34" t="n">
        <v>0</v>
      </c>
      <c r="I55" s="35" t="s">
        <v>66</v>
      </c>
      <c r="J55" s="36" t="n">
        <v>5</v>
      </c>
    </row>
    <row r="56" customFormat="false" ht="15" hidden="false" customHeight="false" outlineLevel="0" collapsed="false">
      <c r="B56" s="14" t="s">
        <v>152</v>
      </c>
      <c r="C56" s="16" t="n">
        <v>19463.27</v>
      </c>
      <c r="D56" s="16" t="n">
        <v>0</v>
      </c>
      <c r="E56" s="16" t="n">
        <v>5337.77</v>
      </c>
      <c r="F56" s="16" t="n">
        <v>707.76</v>
      </c>
      <c r="G56" s="16" t="n">
        <v>6045.53</v>
      </c>
      <c r="H56" s="16" t="n">
        <v>13417.74</v>
      </c>
      <c r="I56" s="37" t="s">
        <v>64</v>
      </c>
      <c r="J56" s="38" t="n">
        <v>27.5</v>
      </c>
    </row>
    <row r="57" customFormat="false" ht="15" hidden="false" customHeight="false" outlineLevel="0" collapsed="false">
      <c r="B57" s="33" t="s">
        <v>153</v>
      </c>
      <c r="C57" s="34" t="n">
        <v>1366.36</v>
      </c>
      <c r="D57" s="34" t="n">
        <v>0</v>
      </c>
      <c r="E57" s="34" t="n">
        <v>1366.36</v>
      </c>
      <c r="F57" s="34" t="n">
        <v>0</v>
      </c>
      <c r="G57" s="34" t="n">
        <v>1366.36</v>
      </c>
      <c r="H57" s="34" t="n">
        <v>0</v>
      </c>
      <c r="I57" s="35" t="s">
        <v>66</v>
      </c>
      <c r="J57" s="36" t="n">
        <v>5</v>
      </c>
    </row>
    <row r="58" customFormat="false" ht="15" hidden="false" customHeight="false" outlineLevel="0" collapsed="false">
      <c r="B58" s="14" t="s">
        <v>154</v>
      </c>
      <c r="C58" s="16" t="n">
        <v>2415.03</v>
      </c>
      <c r="D58" s="16" t="n">
        <v>0</v>
      </c>
      <c r="E58" s="16" t="n">
        <v>662.31</v>
      </c>
      <c r="F58" s="16" t="n">
        <v>87.82</v>
      </c>
      <c r="G58" s="16" t="n">
        <v>750.13</v>
      </c>
      <c r="H58" s="16" t="n">
        <v>1664.9</v>
      </c>
      <c r="I58" s="37" t="s">
        <v>64</v>
      </c>
      <c r="J58" s="38" t="n">
        <v>27.5</v>
      </c>
    </row>
    <row r="59" customFormat="false" ht="15" hidden="false" customHeight="false" outlineLevel="0" collapsed="false">
      <c r="B59" s="33" t="s">
        <v>155</v>
      </c>
      <c r="C59" s="34" t="n">
        <v>1131.36</v>
      </c>
      <c r="D59" s="34" t="n">
        <v>0</v>
      </c>
      <c r="E59" s="34" t="n">
        <v>1131.36</v>
      </c>
      <c r="F59" s="34" t="n">
        <v>0</v>
      </c>
      <c r="G59" s="34" t="n">
        <v>1131.36</v>
      </c>
      <c r="H59" s="34" t="n">
        <v>0</v>
      </c>
      <c r="I59" s="35" t="s">
        <v>66</v>
      </c>
      <c r="J59" s="36" t="n">
        <v>5</v>
      </c>
    </row>
    <row r="60" customFormat="false" ht="15" hidden="false" customHeight="false" outlineLevel="0" collapsed="false">
      <c r="B60" s="14" t="s">
        <v>156</v>
      </c>
      <c r="C60" s="16" t="n">
        <v>1999.69</v>
      </c>
      <c r="D60" s="16" t="n">
        <v>0</v>
      </c>
      <c r="E60" s="16" t="n">
        <v>548.43</v>
      </c>
      <c r="F60" s="16" t="n">
        <v>72.72</v>
      </c>
      <c r="G60" s="16" t="n">
        <v>621.15</v>
      </c>
      <c r="H60" s="16" t="n">
        <v>1378.54</v>
      </c>
      <c r="I60" s="37" t="s">
        <v>64</v>
      </c>
      <c r="J60" s="38" t="n">
        <v>27.5</v>
      </c>
    </row>
    <row r="61" customFormat="false" ht="15" hidden="false" customHeight="false" outlineLevel="0" collapsed="false">
      <c r="A61" s="39"/>
      <c r="B61" s="40" t="s">
        <v>14</v>
      </c>
      <c r="C61" s="41" t="n">
        <f aca="false">SUM(C55:C60)</f>
        <v>37387.45</v>
      </c>
      <c r="D61" s="41" t="n">
        <f aca="false">SUM(D55:D60)</f>
        <v>0</v>
      </c>
      <c r="E61" s="41" t="n">
        <f aca="false">SUM(E55:E60)</f>
        <v>20057.97</v>
      </c>
      <c r="F61" s="41" t="n">
        <f aca="false">SUM(F55:F60)</f>
        <v>868.3</v>
      </c>
      <c r="G61" s="41" t="n">
        <f aca="false">SUM(G55:G60)</f>
        <v>20926.27</v>
      </c>
      <c r="H61" s="41" t="n">
        <f aca="false">SUM(H55:H60)</f>
        <v>16461.18</v>
      </c>
      <c r="I61" s="39"/>
      <c r="J61" s="39"/>
    </row>
    <row r="63" customFormat="false" ht="15" hidden="false" customHeight="false" outlineLevel="0" collapsed="false">
      <c r="A63" s="29" t="s">
        <v>23</v>
      </c>
      <c r="B63" s="29"/>
      <c r="C63" s="29"/>
      <c r="D63" s="29"/>
      <c r="E63" s="29"/>
    </row>
    <row r="64" customFormat="false" ht="15" hidden="false" customHeight="false" outlineLevel="0" collapsed="false">
      <c r="B64" s="14" t="s">
        <v>76</v>
      </c>
      <c r="C64" s="43" t="n">
        <f aca="false">G51</f>
        <v>14983.78</v>
      </c>
    </row>
    <row r="65" customFormat="false" ht="15" hidden="false" customHeight="false" outlineLevel="0" collapsed="false">
      <c r="B65" s="14" t="s">
        <v>77</v>
      </c>
      <c r="C65" s="43" t="n">
        <f aca="false">G61</f>
        <v>20926.27</v>
      </c>
    </row>
    <row r="66" customFormat="false" ht="15" hidden="false" customHeight="false" outlineLevel="0" collapsed="false">
      <c r="B66" s="17" t="s">
        <v>23</v>
      </c>
      <c r="C66" s="44" t="n">
        <f aca="false">C65-C64</f>
        <v>5942.49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5:J45"/>
    <mergeCell ref="A46:J46"/>
    <mergeCell ref="A53:J53"/>
    <mergeCell ref="A63:E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2026-07-08T22:10:07Z</dcterms:created>
  <dc:creator>openpyxl</dc:creator>
  <dc:description/>
  <dc:language>en-US</dc:language>
  <cp:lastModifiedBy/>
  <dcterms:modified xsi:type="dcterms:W3CDTF">2026-07-08T22:10:08Z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