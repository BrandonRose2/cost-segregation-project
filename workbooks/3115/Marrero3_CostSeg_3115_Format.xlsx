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530 Ames" sheetId="2" state="visible" r:id="rId4"/>
    <sheet name="540 Freedom" sheetId="3" state="visible" r:id="rId5"/>
    <sheet name="1208 Smith" sheetId="4" state="visible" r:id="rId6"/>
    <sheet name="1209 Smith" sheetId="5" state="visible" r:id="rId7"/>
    <sheet name="3112 Havenwood" sheetId="6" state="visible" r:id="rId8"/>
    <sheet name="3117 Barbwood" sheetId="7" state="visible" r:id="rId9"/>
    <sheet name="6805 Sayres" sheetId="8" state="visible" r:id="rId10"/>
    <sheet name="6800 Sayres" sheetId="9" state="visible" r:id="rId11"/>
    <sheet name="7112 Kayla" sheetId="10" state="visible" r:id="rId12"/>
    <sheet name="7141 Kayl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<sst xmlns="http://schemas.openxmlformats.org/spreadsheetml/2006/main" count="1157" uniqueCount="245">
  <si>
    <t xml:space="preserve">Marrero 3 LP</t>
  </si>
  <si>
    <t xml:space="preserve">Summary of Cost Seg Adjustments</t>
  </si>
  <si>
    <t xml:space="preserve">As of December 31, 2024</t>
  </si>
  <si>
    <t xml:space="preserve">Acq Date</t>
  </si>
  <si>
    <t xml:space="preserve">Asset Description</t>
  </si>
  <si>
    <t xml:space="preserve">Total</t>
  </si>
  <si>
    <t xml:space="preserve">530 Ames</t>
  </si>
  <si>
    <t xml:space="preserve">540 Freedom</t>
  </si>
  <si>
    <t xml:space="preserve">1208 Smith</t>
  </si>
  <si>
    <t xml:space="preserve">1209 Smith</t>
  </si>
  <si>
    <t xml:space="preserve">3112 Havenwood</t>
  </si>
  <si>
    <t xml:space="preserve">3117 Barbwood</t>
  </si>
  <si>
    <t xml:space="preserve">6805 Sayres</t>
  </si>
  <si>
    <t xml:space="preserve">6800 Sayres</t>
  </si>
  <si>
    <t xml:space="preserve">7112 Kayla</t>
  </si>
  <si>
    <t xml:space="preserve">7141 Kayla</t>
  </si>
  <si>
    <t xml:space="preserve">Grand Total</t>
  </si>
  <si>
    <t xml:space="preserve">Grand Total Original Cost</t>
  </si>
  <si>
    <t xml:space="preserve">12/08/17</t>
  </si>
  <si>
    <t xml:space="preserve">Land Improvements - Marrero 3 LP</t>
  </si>
  <si>
    <t xml:space="preserve">Building - Marrero 3 LP</t>
  </si>
  <si>
    <t xml:space="preserve">Equipment - Marrero 3 LP</t>
  </si>
  <si>
    <t xml:space="preserve">MACRS Reclassification</t>
  </si>
  <si>
    <t xml:space="preserve">Land Improvements - 5yr</t>
  </si>
  <si>
    <t xml:space="preserve">Land Improvements - 15yr</t>
  </si>
  <si>
    <t xml:space="preserve">Land Improvements - 27.5yr</t>
  </si>
  <si>
    <t xml:space="preserve">Building - 5yr</t>
  </si>
  <si>
    <t xml:space="preserve">Building - 15yr</t>
  </si>
  <si>
    <t xml:space="preserve">Building - 27.5yr</t>
  </si>
  <si>
    <t xml:space="preserve">Equipment - 5yr</t>
  </si>
  <si>
    <t xml:space="preserve">Equipment - 15yr</t>
  </si>
  <si>
    <t xml:space="preserve">Equipment - 27.5yr</t>
  </si>
  <si>
    <t xml:space="preserve">Section 481(a) Adjustment Summary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</si>
  <si>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</si>
  <si>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</si>
  <si>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</si>
  <si>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Cost Segregation Study - 530 Ames Blvd</t>
  </si>
  <si>
    <t xml:space="preserve">Report #107752-18</t>
  </si>
  <si>
    <t xml:space="preserve">Acquisition Date:</t>
  </si>
  <si>
    <t xml:space="preserve">Marrero 3 LP - 530 Ames Blvd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</si>
  <si>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</si>
  <si>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</si>
  <si>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</si>
  <si>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</si>
  <si>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</si>
  <si>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</si>
  <si>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</si>
  <si>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Building Components</t>
  </si>
  <si>
    <t xml:space="preserve">Cabinets / Millwork</t>
  </si>
  <si>
    <t xml:space="preserve">Moldings</t>
  </si>
  <si>
    <t xml:space="preserve">Flooring - Wood Laminate</t>
  </si>
  <si>
    <t xml:space="preserve">Security System</t>
  </si>
  <si>
    <t xml:space="preserve">Window Treatments</t>
  </si>
  <si>
    <t xml:space="preserve">Specialty HVAC - Dryer Vents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</si>
  <si>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</si>
  <si>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</si>
  <si>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</si>
  <si>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 / Laundry</t>
  </si>
  <si>
    <t xml:space="preserve">Security / Exterior Lighting</t>
  </si>
  <si>
    <t xml:space="preserve">Appliances</t>
  </si>
  <si>
    <t xml:space="preserve">Site Work / Improvements</t>
  </si>
  <si>
    <t xml:space="preserve">Driveway</t>
  </si>
  <si>
    <t xml:space="preserve">Sidewalks / Curbs</t>
  </si>
  <si>
    <t xml:space="preserve">Exterior Equipment Concrete Pads</t>
  </si>
  <si>
    <t xml:space="preserve">Mailboxes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</si>
  <si>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</si>
  <si>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</si>
  <si>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</si>
  <si>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</si>
  <si>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</si>
  <si>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</si>
  <si>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</si>
  <si>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</si>
  <si>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</si>
  <si>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</si>
  <si>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</si>
  <si>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</si>
  <si>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</si>
  <si>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Structural Framing</t>
  </si>
  <si>
    <t xml:space="preserve">Site Utilities</t>
  </si>
  <si>
    <t xml:space="preserve">Bathroom Accessories</t>
  </si>
  <si>
    <t xml:space="preserve">Cabinets / Millwork - Restrooms</t>
  </si>
  <si>
    <t xml:space="preserve">Total Building Cost</t>
  </si>
  <si>
    <t xml:space="preserve">Asset Allocation:</t>
  </si>
  <si>
    <t xml:space="preserve">Asset #18 - Building - Ames</t>
  </si>
  <si>
    <t xml:space="preserve">Asset #17 - Land Improvements - Ames</t>
  </si>
  <si>
    <t xml:space="preserve">Asset #19 - Equipment - Ames</t>
  </si>
  <si>
    <t xml:space="preserve">Total Allocation:</t>
  </si>
  <si>
    <t xml:space="preserve">46 Identical Units - Totals:</t>
  </si>
  <si>
    <t xml:space="preserve">End Depreciation Reconciliation</t>
  </si>
  <si>
    <t xml:space="preserve">Property Description</t>
  </si>
  <si>
    <t xml:space="preserve">Tax Cost</t>
  </si>
  <si>
    <t xml:space="preserve">Tax Bonus Amt</t>
  </si>
  <si>
    <t xml:space="preserve">Tax Prior Depr</t>
  </si>
  <si>
    <t xml:space="preserve">Tax Current Depr</t>
  </si>
  <si>
    <t xml:space="preserve">Tax End Depr</t>
  </si>
  <si>
    <t xml:space="preserve">Tax Net Book Value</t>
  </si>
  <si>
    <t xml:space="preserve">Tax Method</t>
  </si>
  <si>
    <t xml:space="preserve">Tax Period</t>
  </si>
  <si>
    <t xml:space="preserve">17 - Land Improvements - Ames</t>
  </si>
  <si>
    <t xml:space="preserve">150DB</t>
  </si>
  <si>
    <t xml:space="preserve">18 - Building - Ames</t>
  </si>
  <si>
    <t xml:space="preserve">S/L</t>
  </si>
  <si>
    <t xml:space="preserve">19 - Equipment - Ames</t>
  </si>
  <si>
    <t xml:space="preserve">200DB</t>
  </si>
  <si>
    <t xml:space="preserve">After Cost Segregation Correction</t>
  </si>
  <si>
    <t xml:space="preserve">17 - Land Improvements - Ames - 5yr</t>
  </si>
  <si>
    <t xml:space="preserve">17 - Land Improvements - Ames - 15yr</t>
  </si>
  <si>
    <t xml:space="preserve">17 - Land Improvements - Ames - 27.5yr</t>
  </si>
  <si>
    <t xml:space="preserve">18 - Building - Ames - 5yr</t>
  </si>
  <si>
    <t xml:space="preserve">18 - Building - Ames - 15yr</t>
  </si>
  <si>
    <t xml:space="preserve">18 - Building - Ames - 27.5yr</t>
  </si>
  <si>
    <t xml:space="preserve">19 - Equipment - Ames - 5yr</t>
  </si>
  <si>
    <t xml:space="preserve">19 - Equipment - Ames - 15yr</t>
  </si>
  <si>
    <t xml:space="preserve">19 - Equipment - Ames - 27.5yr</t>
  </si>
  <si>
    <t xml:space="preserve">Depreciation Reported Previously</t>
  </si>
  <si>
    <t xml:space="preserve">Cost Segregation Corrected Depreciation</t>
  </si>
  <si>
    <t xml:space="preserve">Cost Segregation Study - 540 Freedom Ct</t>
  </si>
  <si>
    <t xml:space="preserve">Marrero 3 LP - 540 Freedom Ct</t>
  </si>
  <si>
    <t xml:space="preserve">Flooring - Vinyl Tile</t>
  </si>
  <si>
    <t xml:space="preserve">Flooring - Carpet</t>
  </si>
  <si>
    <t xml:space="preserve">Asset #18 - Building - Freedom</t>
  </si>
  <si>
    <t xml:space="preserve">Asset #17 - Land Improvements - Freedom</t>
  </si>
  <si>
    <t xml:space="preserve">Asset #19 - Equipment - Freedom</t>
  </si>
  <si>
    <t xml:space="preserve">2 Identical Units - Totals:</t>
  </si>
  <si>
    <t xml:space="preserve">17 - Land Improvements - Freedom</t>
  </si>
  <si>
    <t xml:space="preserve">18 - Building - Freedom</t>
  </si>
  <si>
    <t xml:space="preserve">19 - Equipment - Freedom</t>
  </si>
  <si>
    <t xml:space="preserve">17 - Land Improvements - Freedom - 5yr</t>
  </si>
  <si>
    <t xml:space="preserve">17 - Land Improvements - Freedom - 15yr</t>
  </si>
  <si>
    <t xml:space="preserve">17 - Land Improvements - Freedom - 27.5yr</t>
  </si>
  <si>
    <t xml:space="preserve">18 - Building - Freedom - 5yr</t>
  </si>
  <si>
    <t xml:space="preserve">18 - Building - Freedom - 15yr</t>
  </si>
  <si>
    <t xml:space="preserve">18 - Building - Freedom - 27.5yr</t>
  </si>
  <si>
    <t xml:space="preserve">19 - Equipment - Freedom - 5yr</t>
  </si>
  <si>
    <t xml:space="preserve">19 - Equipment - Freedom - 15yr</t>
  </si>
  <si>
    <t xml:space="preserve">19 - Equipment - Freedom - 27.5yr</t>
  </si>
  <si>
    <t xml:space="preserve">Cost Segregation Study - 1208 Smith Square</t>
  </si>
  <si>
    <t xml:space="preserve">Marrero 3 LP - 1208 Smith Square</t>
  </si>
  <si>
    <t xml:space="preserve">Access Control</t>
  </si>
  <si>
    <t xml:space="preserve">Asset #13 - Building - Smith Square</t>
  </si>
  <si>
    <t xml:space="preserve">Asset #12 - Land Improvements - Smith Square</t>
  </si>
  <si>
    <t xml:space="preserve">Asset #14 - Equipment - Smith Square</t>
  </si>
  <si>
    <t xml:space="preserve">24 Identical Units - Totals:</t>
  </si>
  <si>
    <t xml:space="preserve">12 - Land Improvements - Smith Square</t>
  </si>
  <si>
    <t xml:space="preserve">13 - Building - Smith Square</t>
  </si>
  <si>
    <t xml:space="preserve">14 - Equipment - Smith Square</t>
  </si>
  <si>
    <t xml:space="preserve">12 - Land Improvements - Smith Square - 5yr</t>
  </si>
  <si>
    <t xml:space="preserve">12 - Land Improvements - Smith Square - 15yr</t>
  </si>
  <si>
    <t xml:space="preserve">12 - Land Improvements - Smith Square - 27.5yr</t>
  </si>
  <si>
    <t xml:space="preserve">13 - Building - Smith Square - 5yr</t>
  </si>
  <si>
    <t xml:space="preserve">13 - Building - Smith Square - 15yr</t>
  </si>
  <si>
    <t xml:space="preserve">13 - Building - Smith Square - 27.5yr</t>
  </si>
  <si>
    <t xml:space="preserve">14 - Equipment - Smith Square - 5yr</t>
  </si>
  <si>
    <t xml:space="preserve">14 - Equipment - Smith Square - 15yr</t>
  </si>
  <si>
    <t xml:space="preserve">14 - Equipment - Smith Square - 27.5yr</t>
  </si>
  <si>
    <t xml:space="preserve">Cost Segregation Study - 1209 Smith Square</t>
  </si>
  <si>
    <t xml:space="preserve">Marrero 3 LP - 1209 Smith Square</t>
  </si>
  <si>
    <t xml:space="preserve">4 Identical Units - Totals:</t>
  </si>
  <si>
    <t xml:space="preserve">Cost Segregation Study - 3112 Havenwood Dr</t>
  </si>
  <si>
    <t xml:space="preserve">Marrero 3 LP - 3112 Havenwood Dr</t>
  </si>
  <si>
    <t xml:space="preserve">Door &amp; Window Guards</t>
  </si>
  <si>
    <t xml:space="preserve">Gutter Systems</t>
  </si>
  <si>
    <t xml:space="preserve">Garage Doors</t>
  </si>
  <si>
    <t xml:space="preserve">Flooring - Sealed Concrete</t>
  </si>
  <si>
    <t xml:space="preserve">Asset #3 - Building - Havenwood</t>
  </si>
  <si>
    <t xml:space="preserve">Asset #2 - Land Improvements - Havenwood</t>
  </si>
  <si>
    <t xml:space="preserve">Asset #4 - Equipment - Havenwood</t>
  </si>
  <si>
    <t xml:space="preserve">19 Identical Units - Totals:</t>
  </si>
  <si>
    <t xml:space="preserve">2 - Land Improvements - Havenwood</t>
  </si>
  <si>
    <t xml:space="preserve">3 - Building - Havenwood</t>
  </si>
  <si>
    <t xml:space="preserve">4 - Equipment - Havenwood</t>
  </si>
  <si>
    <t xml:space="preserve">2 - Land Improvements - Havenwood - 5yr</t>
  </si>
  <si>
    <t xml:space="preserve">2 - Land Improvements - Havenwood - 15yr</t>
  </si>
  <si>
    <t xml:space="preserve">2 - Land Improvements - Havenwood - 27.5yr</t>
  </si>
  <si>
    <t xml:space="preserve">3 - Building - Havenwood - 5yr</t>
  </si>
  <si>
    <t xml:space="preserve">3 - Building - Havenwood - 15yr</t>
  </si>
  <si>
    <t xml:space="preserve">3 - Building - Havenwood - 27.5yr</t>
  </si>
  <si>
    <t xml:space="preserve">4 - Equipment - Havenwood - 5yr</t>
  </si>
  <si>
    <t xml:space="preserve">4 - Equipment - Havenwood - 15yr</t>
  </si>
  <si>
    <t xml:space="preserve">4 - Equipment - Havenwood - 27.5yr</t>
  </si>
  <si>
    <t xml:space="preserve">Cost Segregation Study - 3117 Barbwood Dr</t>
  </si>
  <si>
    <t xml:space="preserve">Marrero 3 LP - 3117 Barbwood Dr</t>
  </si>
  <si>
    <t xml:space="preserve">Ceramic Tile Flooring</t>
  </si>
  <si>
    <t xml:space="preserve">Asset #3 - Building - Barbwood</t>
  </si>
  <si>
    <t xml:space="preserve">Asset #2 - Land Improvements - Barbwood</t>
  </si>
  <si>
    <t xml:space="preserve">Asset #4 - Equipment - Barbwood</t>
  </si>
  <si>
    <t xml:space="preserve">3 Identical Units - Totals:</t>
  </si>
  <si>
    <t xml:space="preserve">2 - Land Improvements - Barbwood</t>
  </si>
  <si>
    <t xml:space="preserve">3 - Building - Barbwood</t>
  </si>
  <si>
    <t xml:space="preserve">4 - Equipment - Barbwood</t>
  </si>
  <si>
    <t xml:space="preserve">2 - Land Improvements - Barbwood - 5yr</t>
  </si>
  <si>
    <t xml:space="preserve">2 - Land Improvements - Barbwood - 15yr</t>
  </si>
  <si>
    <t xml:space="preserve">2 - Land Improvements - Barbwood - 27.5yr</t>
  </si>
  <si>
    <t xml:space="preserve">3 - Building - Barbwood - 5yr</t>
  </si>
  <si>
    <t xml:space="preserve">3 - Building - Barbwood - 15yr</t>
  </si>
  <si>
    <t xml:space="preserve">3 - Building - Barbwood - 27.5yr</t>
  </si>
  <si>
    <t xml:space="preserve">4 - Equipment - Barbwood - 5yr</t>
  </si>
  <si>
    <t xml:space="preserve">4 - Equipment - Barbwood - 15yr</t>
  </si>
  <si>
    <t xml:space="preserve">4 - Equipment - Barbwood - 27.5yr</t>
  </si>
  <si>
    <t xml:space="preserve">Cost Segregation Study - 6805 Sayres Ave</t>
  </si>
  <si>
    <t xml:space="preserve">1/09/18</t>
  </si>
  <si>
    <t xml:space="preserve">Marrero 3 LP - 6805 Sayres Ave</t>
  </si>
  <si>
    <t xml:space="preserve">Landscaping</t>
  </si>
  <si>
    <t xml:space="preserve">Asset #23 - Building - Sayres</t>
  </si>
  <si>
    <t xml:space="preserve">Asset #22 - Land Improvements - Sayres</t>
  </si>
  <si>
    <t xml:space="preserve">Asset #24 - Equipment - Sayres</t>
  </si>
  <si>
    <t xml:space="preserve">32 Identical Units - Totals:</t>
  </si>
  <si>
    <t xml:space="preserve">22 - Land Improvements - Sayres</t>
  </si>
  <si>
    <t xml:space="preserve">23 - Building - Sayres</t>
  </si>
  <si>
    <t xml:space="preserve">24 - Equipment - Sayres</t>
  </si>
  <si>
    <t xml:space="preserve">22 - Land Improvements - Sayres - 5yr</t>
  </si>
  <si>
    <t xml:space="preserve">22 - Land Improvements - Sayres - 15yr</t>
  </si>
  <si>
    <t xml:space="preserve">22 - Land Improvements - Sayres - 27.5yr</t>
  </si>
  <si>
    <t xml:space="preserve">23 - Building - Sayres - 5yr</t>
  </si>
  <si>
    <t xml:space="preserve">23 - Building - Sayres - 15yr</t>
  </si>
  <si>
    <t xml:space="preserve">23 - Building - Sayres - 27.5yr</t>
  </si>
  <si>
    <t xml:space="preserve">24 - Equipment - Sayres - 5yr</t>
  </si>
  <si>
    <t xml:space="preserve">24 - Equipment - Sayres - 15yr</t>
  </si>
  <si>
    <t xml:space="preserve">24 - Equipment - Sayres - 27.5yr</t>
  </si>
  <si>
    <t xml:space="preserve">Cost Segregation Study - 6800 Sayres Ave</t>
  </si>
  <si>
    <t xml:space="preserve">Marrero 3 LP - 6800 Sayres Ave</t>
  </si>
  <si>
    <t xml:space="preserve">Stairs / Balconies</t>
  </si>
  <si>
    <t xml:space="preserve">6 Identical Units - Totals:</t>
  </si>
  <si>
    <t xml:space="preserve">Cost Segregation Study - 7112 Kayla Ct</t>
  </si>
  <si>
    <t xml:space="preserve">Marrero 3 LP - 7112 Kayla Ct</t>
  </si>
  <si>
    <t xml:space="preserve">Asset #8 - Building - Kayla</t>
  </si>
  <si>
    <t xml:space="preserve">Asset #7 - Land Improvements - Kayla</t>
  </si>
  <si>
    <t xml:space="preserve">Asset #9 - Equipment - Kayla</t>
  </si>
  <si>
    <t xml:space="preserve">30 Identical Units - Totals:</t>
  </si>
  <si>
    <t xml:space="preserve">7 - Land Improvements - Kayla</t>
  </si>
  <si>
    <t xml:space="preserve">8 - Building - Kayla</t>
  </si>
  <si>
    <t xml:space="preserve">9 - Equipment - Kayla</t>
  </si>
  <si>
    <t xml:space="preserve">7 - Land Improvements - Kayla - 5yr</t>
  </si>
  <si>
    <t xml:space="preserve">7 - Land Improvements - Kayla - 15yr</t>
  </si>
  <si>
    <t xml:space="preserve">7 - Land Improvements - Kayla - 27.5yr</t>
  </si>
  <si>
    <t xml:space="preserve">8 - Building - Kayla - 5yr</t>
  </si>
  <si>
    <t xml:space="preserve">8 - Building - Kayla - 15yr</t>
  </si>
  <si>
    <t xml:space="preserve">8 - Building - Kayla - 27.5yr</t>
  </si>
  <si>
    <t xml:space="preserve">9 - Equipment - Kayla - 5yr</t>
  </si>
  <si>
    <t xml:space="preserve">9 - Equipment - Kayla - 15yr</t>
  </si>
  <si>
    <t xml:space="preserve">9 - Equipment - Kayla - 27.5yr</t>
  </si>
  <si>
    <t xml:space="preserve">Cost Segregation Study - 7141 Kayla Ct</t>
  </si>
  <si>
    <t xml:space="preserve">Marrero 3 LP - 7141 Kayla Ct</t>
  </si>
  <si>
    <t xml:space="preserve">7 Identical Units - Totals: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</si>
</sst>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\$#,##0.00;&quot;($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42"/>
    <col collapsed="false" customWidth="true" hidden="false" outlineLevel="0" max="4" min="4" style="1" width="16"/>
    <col collapsed="false" customWidth="true" hidden="false" outlineLevel="0" max="15" min="5" style="1" width="15"/>
  </cols>
  <sheetData>
    <row r="2" customFormat="false" ht="17.2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6" customFormat="false" ht="1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  <c r="N6" s="5" t="s">
        <v>15</v>
      </c>
      <c r="O6" s="5" t="s">
        <v>16</v>
      </c>
    </row>
    <row r="7" customFormat="false" ht="15" hidden="false" customHeight="true" outlineLevel="0" collapsed="false">
      <c r="A7" s="6"/>
      <c r="B7" s="7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15" hidden="false" customHeight="true" outlineLevel="0" collapsed="false">
      <c r="B8" s="8" t="s">
        <v>18</v>
      </c>
      <c r="C8" s="9" t="s">
        <v>19</v>
      </c>
      <c r="D8" s="10" t="n">
        <f aca="false">SUM(E8:N8)</f>
        <v>382315</v>
      </c>
      <c r="E8" s="11" t="n">
        <v>121057</v>
      </c>
      <c r="F8" s="11" t="n">
        <v>6088</v>
      </c>
      <c r="G8" s="11" t="n">
        <v>43832</v>
      </c>
      <c r="H8" s="11" t="n">
        <v>8901</v>
      </c>
      <c r="I8" s="11" t="n">
        <v>47472</v>
      </c>
      <c r="J8" s="11" t="n">
        <v>7649</v>
      </c>
      <c r="K8" s="11" t="n">
        <v>40887</v>
      </c>
      <c r="L8" s="11" t="n">
        <v>8075</v>
      </c>
      <c r="M8" s="11" t="n">
        <v>80244</v>
      </c>
      <c r="N8" s="11" t="n">
        <v>18110</v>
      </c>
      <c r="O8" s="12" t="n">
        <f aca="false">SUM(E8:N8)</f>
        <v>382315</v>
      </c>
    </row>
    <row r="9" customFormat="false" ht="15" hidden="false" customHeight="true" outlineLevel="0" collapsed="false">
      <c r="B9" s="8" t="s">
        <v>18</v>
      </c>
      <c r="C9" s="9" t="s">
        <v>20</v>
      </c>
      <c r="D9" s="10" t="n">
        <f aca="false">SUM(E9:N9)</f>
        <v>5688203</v>
      </c>
      <c r="E9" s="11" t="n">
        <v>1573731</v>
      </c>
      <c r="F9" s="11" t="n">
        <v>79149</v>
      </c>
      <c r="G9" s="11" t="n">
        <v>569814</v>
      </c>
      <c r="H9" s="11" t="n">
        <v>115712</v>
      </c>
      <c r="I9" s="11" t="n">
        <v>617127</v>
      </c>
      <c r="J9" s="11" t="n">
        <v>99442</v>
      </c>
      <c r="K9" s="11" t="n">
        <v>1131216</v>
      </c>
      <c r="L9" s="11" t="n">
        <v>223405</v>
      </c>
      <c r="M9" s="11" t="n">
        <v>1043171</v>
      </c>
      <c r="N9" s="11" t="n">
        <v>235436</v>
      </c>
      <c r="O9" s="12" t="n">
        <f aca="false">SUM(E9:N9)</f>
        <v>5688203</v>
      </c>
    </row>
    <row r="10" customFormat="false" ht="15" hidden="false" customHeight="true" outlineLevel="0" collapsed="false">
      <c r="B10" s="8" t="s">
        <v>18</v>
      </c>
      <c r="C10" s="9" t="s">
        <v>21</v>
      </c>
      <c r="D10" s="10" t="n">
        <f aca="false">SUM(E10:N10)</f>
        <v>1117429</v>
      </c>
      <c r="E10" s="11" t="n">
        <v>322816</v>
      </c>
      <c r="F10" s="11" t="n">
        <v>16236</v>
      </c>
      <c r="G10" s="11" t="n">
        <v>116885</v>
      </c>
      <c r="H10" s="11" t="n">
        <v>23736</v>
      </c>
      <c r="I10" s="11" t="n">
        <v>126590</v>
      </c>
      <c r="J10" s="11" t="n">
        <v>20398</v>
      </c>
      <c r="K10" s="11" t="n">
        <v>190807</v>
      </c>
      <c r="L10" s="11" t="n">
        <v>37683</v>
      </c>
      <c r="M10" s="11" t="n">
        <v>213983</v>
      </c>
      <c r="N10" s="11" t="n">
        <v>48295</v>
      </c>
      <c r="O10" s="12" t="n">
        <f aca="false">SUM(E10:N10)</f>
        <v>1117429</v>
      </c>
    </row>
    <row r="12" customFormat="false" ht="15" hidden="false" customHeight="true" outlineLevel="0" collapsed="false">
      <c r="A12" s="6"/>
      <c r="B12" s="7" t="s">
        <v>22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" hidden="false" customHeight="true" outlineLevel="0" collapsed="false">
      <c r="C13" s="9" t="s">
        <v>23</v>
      </c>
      <c r="D13" s="10" t="n">
        <f aca="false">SUM(E13:N13)</f>
        <v>65905</v>
      </c>
      <c r="E13" s="11" t="n">
        <v>22198</v>
      </c>
      <c r="F13" s="11" t="n">
        <v>1050</v>
      </c>
      <c r="G13" s="11" t="n">
        <v>8155</v>
      </c>
      <c r="H13" s="11" t="n">
        <v>1516</v>
      </c>
      <c r="I13" s="11" t="n">
        <v>8161</v>
      </c>
      <c r="J13" s="11" t="n">
        <v>1030</v>
      </c>
      <c r="K13" s="11" t="n">
        <v>6134</v>
      </c>
      <c r="L13" s="11" t="n">
        <v>1300</v>
      </c>
      <c r="M13" s="11" t="n">
        <v>13399</v>
      </c>
      <c r="N13" s="11" t="n">
        <v>2962</v>
      </c>
      <c r="O13" s="12" t="n">
        <f aca="false">SUM(E13:N13)</f>
        <v>65905</v>
      </c>
    </row>
    <row r="14" customFormat="false" ht="15" hidden="false" customHeight="true" outlineLevel="0" collapsed="false">
      <c r="C14" s="9" t="s">
        <v>24</v>
      </c>
      <c r="D14" s="10" t="n">
        <f aca="false">SUM(E14:N14)</f>
        <v>7432</v>
      </c>
      <c r="E14" s="11" t="n">
        <v>2023</v>
      </c>
      <c r="F14" s="11" t="n">
        <v>162</v>
      </c>
      <c r="G14" s="11" t="n">
        <v>1280</v>
      </c>
      <c r="H14" s="11" t="n">
        <v>269</v>
      </c>
      <c r="I14" s="11" t="n">
        <v>1164</v>
      </c>
      <c r="J14" s="11" t="n">
        <v>127</v>
      </c>
      <c r="K14" s="11" t="n">
        <v>692</v>
      </c>
      <c r="L14" s="11" t="n">
        <v>185</v>
      </c>
      <c r="M14" s="11" t="n">
        <v>1194</v>
      </c>
      <c r="N14" s="11" t="n">
        <v>336</v>
      </c>
      <c r="O14" s="12" t="n">
        <f aca="false">SUM(E14:N14)</f>
        <v>7432</v>
      </c>
    </row>
    <row r="15" customFormat="false" ht="15" hidden="false" customHeight="true" outlineLevel="0" collapsed="false">
      <c r="C15" s="9" t="s">
        <v>25</v>
      </c>
      <c r="D15" s="10" t="n">
        <f aca="false">SUM(E15:N15)</f>
        <v>308977</v>
      </c>
      <c r="E15" s="11" t="n">
        <v>96835</v>
      </c>
      <c r="F15" s="11" t="n">
        <v>4876</v>
      </c>
      <c r="G15" s="11" t="n">
        <v>34397</v>
      </c>
      <c r="H15" s="11" t="n">
        <v>7116</v>
      </c>
      <c r="I15" s="11" t="n">
        <v>38146</v>
      </c>
      <c r="J15" s="11" t="n">
        <v>6493</v>
      </c>
      <c r="K15" s="11" t="n">
        <v>34061</v>
      </c>
      <c r="L15" s="11" t="n">
        <v>6590</v>
      </c>
      <c r="M15" s="11" t="n">
        <v>65650</v>
      </c>
      <c r="N15" s="11" t="n">
        <v>14813</v>
      </c>
      <c r="O15" s="12" t="n">
        <f aca="false">SUM(E15:N15)</f>
        <v>308977</v>
      </c>
    </row>
    <row r="16" customFormat="false" ht="15" hidden="false" customHeight="true" outlineLevel="0" collapsed="false">
      <c r="C16" s="9" t="s">
        <v>26</v>
      </c>
      <c r="D16" s="10" t="n">
        <f aca="false">SUM(E16:N16)</f>
        <v>965807</v>
      </c>
      <c r="E16" s="11" t="n">
        <v>288575</v>
      </c>
      <c r="F16" s="11" t="n">
        <v>13650</v>
      </c>
      <c r="G16" s="11" t="n">
        <v>106017</v>
      </c>
      <c r="H16" s="11" t="n">
        <v>19712</v>
      </c>
      <c r="I16" s="11" t="n">
        <v>106098</v>
      </c>
      <c r="J16" s="11" t="n">
        <v>13389</v>
      </c>
      <c r="K16" s="11" t="n">
        <v>169707</v>
      </c>
      <c r="L16" s="11" t="n">
        <v>35968</v>
      </c>
      <c r="M16" s="11" t="n">
        <v>174191</v>
      </c>
      <c r="N16" s="11" t="n">
        <v>38500</v>
      </c>
      <c r="O16" s="12" t="n">
        <f aca="false">SUM(E16:N16)</f>
        <v>965807</v>
      </c>
    </row>
    <row r="17" customFormat="false" ht="15" hidden="false" customHeight="true" outlineLevel="0" collapsed="false">
      <c r="C17" s="9" t="s">
        <v>27</v>
      </c>
      <c r="D17" s="10" t="n">
        <f aca="false">SUM(E17:N17)</f>
        <v>109464</v>
      </c>
      <c r="E17" s="11" t="n">
        <v>26299</v>
      </c>
      <c r="F17" s="11" t="n">
        <v>2108</v>
      </c>
      <c r="G17" s="11" t="n">
        <v>16634</v>
      </c>
      <c r="H17" s="11" t="n">
        <v>3496</v>
      </c>
      <c r="I17" s="11" t="n">
        <v>15130</v>
      </c>
      <c r="J17" s="11" t="n">
        <v>1655</v>
      </c>
      <c r="K17" s="11" t="n">
        <v>19148</v>
      </c>
      <c r="L17" s="11" t="n">
        <v>5106</v>
      </c>
      <c r="M17" s="11" t="n">
        <v>15524</v>
      </c>
      <c r="N17" s="11" t="n">
        <v>4364</v>
      </c>
      <c r="O17" s="12" t="n">
        <f aca="false">SUM(E17:N17)</f>
        <v>109464</v>
      </c>
    </row>
    <row r="18" customFormat="false" ht="15" hidden="false" customHeight="true" outlineLevel="0" collapsed="false">
      <c r="C18" s="9" t="s">
        <v>28</v>
      </c>
      <c r="D18" s="10" t="n">
        <f aca="false">SUM(E18:N18)</f>
        <v>4612933</v>
      </c>
      <c r="E18" s="11" t="n">
        <v>1258857</v>
      </c>
      <c r="F18" s="11" t="n">
        <v>63391</v>
      </c>
      <c r="G18" s="11" t="n">
        <v>447163</v>
      </c>
      <c r="H18" s="11" t="n">
        <v>92504</v>
      </c>
      <c r="I18" s="11" t="n">
        <v>495900</v>
      </c>
      <c r="J18" s="11" t="n">
        <v>84398</v>
      </c>
      <c r="K18" s="11" t="n">
        <v>942361</v>
      </c>
      <c r="L18" s="11" t="n">
        <v>182331</v>
      </c>
      <c r="M18" s="11" t="n">
        <v>853456</v>
      </c>
      <c r="N18" s="11" t="n">
        <v>192572</v>
      </c>
      <c r="O18" s="12" t="n">
        <f aca="false">SUM(E18:N18)</f>
        <v>4612933</v>
      </c>
    </row>
    <row r="19" customFormat="false" ht="15" hidden="false" customHeight="true" outlineLevel="0" collapsed="false">
      <c r="C19" s="9" t="s">
        <v>29</v>
      </c>
      <c r="D19" s="10" t="n">
        <f aca="false">SUM(E19:N19)</f>
        <v>190616</v>
      </c>
      <c r="E19" s="11" t="n">
        <v>59195</v>
      </c>
      <c r="F19" s="11" t="n">
        <v>2800</v>
      </c>
      <c r="G19" s="11" t="n">
        <v>21747</v>
      </c>
      <c r="H19" s="11" t="n">
        <v>4043</v>
      </c>
      <c r="I19" s="11" t="n">
        <v>21764</v>
      </c>
      <c r="J19" s="11" t="n">
        <v>2746</v>
      </c>
      <c r="K19" s="11" t="n">
        <v>28625</v>
      </c>
      <c r="L19" s="11" t="n">
        <v>6067</v>
      </c>
      <c r="M19" s="11" t="n">
        <v>35731</v>
      </c>
      <c r="N19" s="11" t="n">
        <v>7898</v>
      </c>
      <c r="O19" s="12" t="n">
        <f aca="false">SUM(E19:N19)</f>
        <v>190616</v>
      </c>
    </row>
    <row r="20" customFormat="false" ht="15" hidden="false" customHeight="true" outlineLevel="0" collapsed="false">
      <c r="C20" s="9" t="s">
        <v>30</v>
      </c>
      <c r="D20" s="10" t="n">
        <f aca="false">SUM(E20:N20)</f>
        <v>21570</v>
      </c>
      <c r="E20" s="11" t="n">
        <v>5395</v>
      </c>
      <c r="F20" s="11" t="n">
        <v>432</v>
      </c>
      <c r="G20" s="11" t="n">
        <v>3412</v>
      </c>
      <c r="H20" s="11" t="n">
        <v>717</v>
      </c>
      <c r="I20" s="11" t="n">
        <v>3103</v>
      </c>
      <c r="J20" s="11" t="n">
        <v>340</v>
      </c>
      <c r="K20" s="11" t="n">
        <v>3230</v>
      </c>
      <c r="L20" s="11" t="n">
        <v>861</v>
      </c>
      <c r="M20" s="11" t="n">
        <v>3185</v>
      </c>
      <c r="N20" s="11" t="n">
        <v>895</v>
      </c>
      <c r="O20" s="12" t="n">
        <f aca="false">SUM(E20:N20)</f>
        <v>21570</v>
      </c>
    </row>
    <row r="21" customFormat="false" ht="15" hidden="false" customHeight="true" outlineLevel="0" collapsed="false">
      <c r="C21" s="9" t="s">
        <v>31</v>
      </c>
      <c r="D21" s="10" t="n">
        <f aca="false">SUM(E21:N21)</f>
        <v>905245</v>
      </c>
      <c r="E21" s="11" t="n">
        <v>258227</v>
      </c>
      <c r="F21" s="11" t="n">
        <v>13004</v>
      </c>
      <c r="G21" s="11" t="n">
        <v>91726</v>
      </c>
      <c r="H21" s="11" t="n">
        <v>18976</v>
      </c>
      <c r="I21" s="11" t="n">
        <v>101723</v>
      </c>
      <c r="J21" s="11" t="n">
        <v>17312</v>
      </c>
      <c r="K21" s="11" t="n">
        <v>158953</v>
      </c>
      <c r="L21" s="11" t="n">
        <v>30755</v>
      </c>
      <c r="M21" s="11" t="n">
        <v>175068</v>
      </c>
      <c r="N21" s="11" t="n">
        <v>39501</v>
      </c>
      <c r="O21" s="12" t="n">
        <f aca="false">SUM(E21:N21)</f>
        <v>905245</v>
      </c>
    </row>
    <row r="23" customFormat="false" ht="15" hidden="false" customHeight="true" outlineLevel="0" collapsed="false">
      <c r="A23" s="13"/>
      <c r="B23" s="14" t="s">
        <v>32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customFormat="false" ht="15" hidden="false" customHeight="true" outlineLevel="0" collapsed="false">
      <c r="C24" s="15" t="s">
        <v>33</v>
      </c>
      <c r="D24" s="16" t="n">
        <f aca="false">SUM(E24:N24)</f>
        <v>2796334</v>
      </c>
      <c r="E24" s="17" t="n">
        <v>790255.88</v>
      </c>
      <c r="F24" s="17" t="n">
        <v>39745.12</v>
      </c>
      <c r="G24" s="17" t="n">
        <v>286132.85</v>
      </c>
      <c r="H24" s="17" t="n">
        <v>58105.15</v>
      </c>
      <c r="I24" s="17" t="n">
        <v>309892.45</v>
      </c>
      <c r="J24" s="17" t="n">
        <v>49934.55</v>
      </c>
      <c r="K24" s="17" t="n">
        <v>517926.62</v>
      </c>
      <c r="L24" s="17" t="n">
        <v>102285.38</v>
      </c>
      <c r="M24" s="17" t="n">
        <v>523830.88</v>
      </c>
      <c r="N24" s="17" t="n">
        <v>118225.12</v>
      </c>
      <c r="O24" s="16" t="n">
        <f aca="false">SUM(E24:N24)</f>
        <v>2796334</v>
      </c>
    </row>
    <row r="25" customFormat="false" ht="15" hidden="false" customHeight="true" outlineLevel="0" collapsed="false">
      <c r="C25" s="15" t="s">
        <v>34</v>
      </c>
      <c r="D25" s="16" t="n">
        <f aca="false">SUM(E25:N25)</f>
        <v>2848664.16</v>
      </c>
      <c r="E25" s="17" t="n">
        <v>816946.05</v>
      </c>
      <c r="F25" s="17" t="n">
        <v>40940.39</v>
      </c>
      <c r="G25" s="17" t="n">
        <v>304040.94</v>
      </c>
      <c r="H25" s="17" t="n">
        <v>60120.51</v>
      </c>
      <c r="I25" s="17" t="n">
        <v>318215.63</v>
      </c>
      <c r="J25" s="17" t="n">
        <v>46937.1</v>
      </c>
      <c r="K25" s="17" t="n">
        <v>514820.02</v>
      </c>
      <c r="L25" s="17" t="n">
        <v>105071.7</v>
      </c>
      <c r="M25" s="17" t="n">
        <v>523398.82</v>
      </c>
      <c r="N25" s="17" t="n">
        <v>118173</v>
      </c>
      <c r="O25" s="16" t="n">
        <f aca="false">SUM(E25:N25)</f>
        <v>2848664.16</v>
      </c>
    </row>
    <row r="26" customFormat="false" ht="15" hidden="false" customHeight="true" outlineLevel="0" collapsed="false">
      <c r="C26" s="18" t="s">
        <v>35</v>
      </c>
      <c r="D26" s="19" t="n">
        <f aca="false">SUM(E26:N26)</f>
        <v>-52330.16</v>
      </c>
      <c r="E26" s="20" t="n">
        <v>-26690.17</v>
      </c>
      <c r="F26" s="20" t="n">
        <v>-1195.27</v>
      </c>
      <c r="G26" s="20" t="n">
        <v>-17908.09</v>
      </c>
      <c r="H26" s="20" t="n">
        <v>-2015.36</v>
      </c>
      <c r="I26" s="20" t="n">
        <v>-8323.18</v>
      </c>
      <c r="J26" s="20" t="n">
        <v>2997.45</v>
      </c>
      <c r="K26" s="20" t="n">
        <v>3106.6</v>
      </c>
      <c r="L26" s="20" t="n">
        <v>-2786.32</v>
      </c>
      <c r="M26" s="20" t="n">
        <v>432.06</v>
      </c>
      <c r="N26" s="20" t="n">
        <v>52.12</v>
      </c>
      <c r="O26" s="19" t="n">
        <f aca="false">SUM(E26:N26)</f>
        <v>-52330.16</v>
      </c>
    </row>
  </sheetData>
  <mergeCells count="6">
    <mergeCell ref="A2:O2"/>
    <mergeCell ref="A3:O3"/>
    <mergeCell ref="A4:O4"/>
    <mergeCell ref="B7:O7"/>
    <mergeCell ref="B12:O12"/>
    <mergeCell ref="B23:O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true" outlineLevel="0" collapsed="false">
      <c r="A3" s="3" t="s">
        <v>36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2" t="s">
        <v>38</v>
      </c>
      <c r="C6" s="9" t="s">
        <v>18</v>
      </c>
    </row>
    <row r="8" customFormat="false" ht="15" hidden="false" customHeight="true" outlineLevel="0" collapsed="false">
      <c r="A8" s="23" t="s">
        <v>39</v>
      </c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true" outlineLevel="0" collapsed="false">
      <c r="A9" s="24"/>
      <c r="B9" s="24" t="s">
        <v>40</v>
      </c>
      <c r="C9" s="25" t="s">
        <v>41</v>
      </c>
      <c r="D9" s="25" t="s">
        <v>42</v>
      </c>
      <c r="E9" s="25" t="s">
        <v>43</v>
      </c>
      <c r="F9" s="25" t="s">
        <v>44</v>
      </c>
      <c r="G9" s="25" t="s">
        <v>45</v>
      </c>
      <c r="H9" s="25" t="s">
        <v>46</v>
      </c>
    </row>
    <row r="10" customFormat="false" ht="15" hidden="false" customHeight="true" outlineLevel="0" collapsed="false">
      <c r="A10" s="6"/>
      <c r="B10" s="7" t="s">
        <v>47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48</v>
      </c>
      <c r="C11" s="26" t="n">
        <v>1051.54</v>
      </c>
      <c r="D11" s="26" t="n">
        <v>1051.54</v>
      </c>
    </row>
    <row r="12" customFormat="false" ht="15" hidden="false" customHeight="true" outlineLevel="0" collapsed="false">
      <c r="B12" s="9" t="s">
        <v>49</v>
      </c>
      <c r="C12" s="26" t="n">
        <v>998.91</v>
      </c>
      <c r="D12" s="26" t="n">
        <v>998.91</v>
      </c>
    </row>
    <row r="13" customFormat="false" ht="15" hidden="false" customHeight="true" outlineLevel="0" collapsed="false">
      <c r="B13" s="9" t="s">
        <v>50</v>
      </c>
      <c r="C13" s="26" t="n">
        <v>2190.16</v>
      </c>
      <c r="D13" s="26" t="n">
        <v>2190.16</v>
      </c>
    </row>
    <row r="14" customFormat="false" ht="15" hidden="false" customHeight="true" outlineLevel="0" collapsed="false">
      <c r="B14" s="9" t="s">
        <v>51</v>
      </c>
      <c r="C14" s="26" t="n">
        <v>503.17</v>
      </c>
      <c r="D14" s="26" t="n">
        <v>503.17</v>
      </c>
    </row>
    <row r="15" customFormat="false" ht="15" hidden="false" customHeight="true" outlineLevel="0" collapsed="false">
      <c r="B15" s="9" t="s">
        <v>52</v>
      </c>
      <c r="C15" s="26" t="n">
        <v>382.43</v>
      </c>
      <c r="D15" s="26" t="n">
        <v>382.43</v>
      </c>
    </row>
    <row r="16" customFormat="false" ht="15" hidden="false" customHeight="true" outlineLevel="0" collapsed="false">
      <c r="B16" s="9" t="s">
        <v>53</v>
      </c>
      <c r="C16" s="26" t="n">
        <v>42.81</v>
      </c>
      <c r="D16" s="26" t="n">
        <v>42.81</v>
      </c>
    </row>
    <row r="17" customFormat="false" ht="15" hidden="false" customHeight="true" outlineLevel="0" collapsed="false">
      <c r="B17" s="9" t="s">
        <v>54</v>
      </c>
      <c r="C17" s="26" t="n">
        <v>21.12</v>
      </c>
      <c r="D17" s="26" t="n">
        <v>21.12</v>
      </c>
    </row>
    <row r="18" customFormat="false" ht="15" hidden="false" customHeight="true" outlineLevel="0" collapsed="false">
      <c r="B18" s="9" t="s">
        <v>55</v>
      </c>
      <c r="C18" s="26" t="n">
        <v>731.07</v>
      </c>
      <c r="D18" s="26" t="n">
        <v>731.07</v>
      </c>
    </row>
    <row r="19" customFormat="false" ht="15" hidden="false" customHeight="true" outlineLevel="0" collapsed="false">
      <c r="B19" s="9" t="s">
        <v>56</v>
      </c>
      <c r="C19" s="26" t="n">
        <v>286.8</v>
      </c>
      <c r="D19" s="26" t="n">
        <v>286.8</v>
      </c>
    </row>
    <row r="20" customFormat="false" ht="15" hidden="false" customHeight="true" outlineLevel="0" collapsed="false">
      <c r="B20" s="9" t="s">
        <v>57</v>
      </c>
      <c r="C20" s="26" t="n">
        <v>800.46</v>
      </c>
      <c r="D20" s="26" t="n">
        <v>800.46</v>
      </c>
    </row>
    <row r="21" customFormat="false" ht="15" hidden="false" customHeight="true" outlineLevel="0" collapsed="false">
      <c r="B21" s="9" t="s">
        <v>58</v>
      </c>
      <c r="C21" s="26" t="n">
        <v>232.42</v>
      </c>
      <c r="D21" s="26" t="n">
        <v>232.42</v>
      </c>
    </row>
    <row r="22" customFormat="false" ht="15" hidden="false" customHeight="true" outlineLevel="0" collapsed="false">
      <c r="B22" s="9" t="s">
        <v>59</v>
      </c>
      <c r="C22" s="26" t="n">
        <v>801.88</v>
      </c>
      <c r="D22" s="26" t="n">
        <v>801.88</v>
      </c>
    </row>
    <row r="23" customFormat="false" ht="15" hidden="false" customHeight="true" outlineLevel="0" collapsed="false">
      <c r="A23" s="6"/>
      <c r="B23" s="7" t="s">
        <v>60</v>
      </c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true" outlineLevel="0" collapsed="false">
      <c r="B24" s="9" t="s">
        <v>61</v>
      </c>
      <c r="C24" s="26" t="n">
        <v>463.54</v>
      </c>
      <c r="F24" s="26" t="n">
        <v>463.54</v>
      </c>
    </row>
    <row r="25" customFormat="false" ht="15" hidden="false" customHeight="true" outlineLevel="0" collapsed="false">
      <c r="B25" s="9" t="s">
        <v>62</v>
      </c>
      <c r="C25" s="26" t="n">
        <v>189.36</v>
      </c>
      <c r="F25" s="26" t="n">
        <v>189.36</v>
      </c>
    </row>
    <row r="26" customFormat="false" ht="15" hidden="false" customHeight="true" outlineLevel="0" collapsed="false">
      <c r="B26" s="9" t="s">
        <v>63</v>
      </c>
      <c r="C26" s="26" t="n">
        <v>49.43</v>
      </c>
      <c r="F26" s="26" t="n">
        <v>49.43</v>
      </c>
    </row>
    <row r="27" customFormat="false" ht="15" hidden="false" customHeight="true" outlineLevel="0" collapsed="false">
      <c r="B27" s="9" t="s">
        <v>64</v>
      </c>
      <c r="C27" s="26" t="n">
        <v>30.65</v>
      </c>
      <c r="F27" s="26" t="n">
        <v>30.65</v>
      </c>
    </row>
    <row r="28" customFormat="false" ht="15" hidden="false" customHeight="true" outlineLevel="0" collapsed="false">
      <c r="A28" s="6"/>
      <c r="B28" s="7" t="s">
        <v>65</v>
      </c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true" outlineLevel="0" collapsed="false">
      <c r="B29" s="9" t="s">
        <v>66</v>
      </c>
      <c r="C29" s="26" t="n">
        <v>2790.25</v>
      </c>
      <c r="G29" s="26" t="n">
        <v>2790.25</v>
      </c>
    </row>
    <row r="30" customFormat="false" ht="15" hidden="false" customHeight="true" outlineLevel="0" collapsed="false">
      <c r="B30" s="9" t="s">
        <v>67</v>
      </c>
      <c r="C30" s="26" t="n">
        <v>4444.19</v>
      </c>
      <c r="G30" s="26" t="n">
        <v>4444.19</v>
      </c>
    </row>
    <row r="31" customFormat="false" ht="15" hidden="false" customHeight="true" outlineLevel="0" collapsed="false">
      <c r="B31" s="9" t="s">
        <v>68</v>
      </c>
      <c r="C31" s="26" t="n">
        <v>2944.42</v>
      </c>
      <c r="G31" s="26" t="n">
        <v>2944.42</v>
      </c>
    </row>
    <row r="32" customFormat="false" ht="15" hidden="false" customHeight="true" outlineLevel="0" collapsed="false">
      <c r="B32" s="9" t="s">
        <v>69</v>
      </c>
      <c r="C32" s="26" t="n">
        <v>2757.96</v>
      </c>
      <c r="G32" s="26" t="n">
        <v>2757.96</v>
      </c>
    </row>
    <row r="33" customFormat="false" ht="15" hidden="false" customHeight="true" outlineLevel="0" collapsed="false">
      <c r="B33" s="9" t="s">
        <v>70</v>
      </c>
      <c r="C33" s="26" t="n">
        <v>2596.79</v>
      </c>
      <c r="G33" s="26" t="n">
        <v>2596.79</v>
      </c>
    </row>
    <row r="34" customFormat="false" ht="15" hidden="false" customHeight="true" outlineLevel="0" collapsed="false">
      <c r="B34" s="9" t="s">
        <v>71</v>
      </c>
      <c r="C34" s="26" t="n">
        <v>170.86</v>
      </c>
      <c r="G34" s="26" t="n">
        <v>170.86</v>
      </c>
    </row>
    <row r="35" customFormat="false" ht="15" hidden="false" customHeight="true" outlineLevel="0" collapsed="false">
      <c r="B35" s="9" t="s">
        <v>72</v>
      </c>
      <c r="C35" s="26" t="n">
        <v>1575.35</v>
      </c>
      <c r="G35" s="26" t="n">
        <v>1575.35</v>
      </c>
    </row>
    <row r="36" customFormat="false" ht="15" hidden="false" customHeight="true" outlineLevel="0" collapsed="false">
      <c r="B36" s="9" t="s">
        <v>73</v>
      </c>
      <c r="C36" s="26" t="n">
        <v>2049.79</v>
      </c>
      <c r="G36" s="26" t="n">
        <v>2049.79</v>
      </c>
    </row>
    <row r="37" customFormat="false" ht="15" hidden="false" customHeight="true" outlineLevel="0" collapsed="false">
      <c r="B37" s="9" t="s">
        <v>74</v>
      </c>
      <c r="C37" s="26" t="n">
        <v>1685.6</v>
      </c>
      <c r="G37" s="26" t="n">
        <v>1685.6</v>
      </c>
    </row>
    <row r="38" customFormat="false" ht="15" hidden="false" customHeight="true" outlineLevel="0" collapsed="false">
      <c r="B38" s="9" t="s">
        <v>75</v>
      </c>
      <c r="C38" s="26" t="n">
        <v>1546.81</v>
      </c>
      <c r="G38" s="26" t="n">
        <v>1546.81</v>
      </c>
    </row>
    <row r="39" customFormat="false" ht="15" hidden="false" customHeight="true" outlineLevel="0" collapsed="false">
      <c r="B39" s="9" t="s">
        <v>76</v>
      </c>
      <c r="C39" s="26" t="n">
        <v>4298.39</v>
      </c>
      <c r="G39" s="26" t="n">
        <v>4298.39</v>
      </c>
    </row>
    <row r="40" customFormat="false" ht="15" hidden="false" customHeight="true" outlineLevel="0" collapsed="false">
      <c r="B40" s="9" t="s">
        <v>77</v>
      </c>
      <c r="C40" s="26" t="n">
        <v>1463.49</v>
      </c>
      <c r="G40" s="26" t="n">
        <v>1463.49</v>
      </c>
    </row>
    <row r="41" customFormat="false" ht="15" hidden="false" customHeight="true" outlineLevel="0" collapsed="false">
      <c r="B41" s="9" t="s">
        <v>78</v>
      </c>
      <c r="C41" s="26" t="n">
        <v>5008.87</v>
      </c>
      <c r="G41" s="26" t="n">
        <v>5008.87</v>
      </c>
    </row>
    <row r="42" customFormat="false" ht="15" hidden="false" customHeight="true" outlineLevel="0" collapsed="false">
      <c r="B42" s="9" t="s">
        <v>79</v>
      </c>
      <c r="C42" s="26" t="n">
        <v>673.26</v>
      </c>
      <c r="G42" s="26" t="n">
        <v>673.26</v>
      </c>
    </row>
    <row r="43" customFormat="false" ht="15" hidden="false" customHeight="true" outlineLevel="0" collapsed="false">
      <c r="B43" s="9" t="s">
        <v>80</v>
      </c>
      <c r="C43" s="26" t="n">
        <v>648.78</v>
      </c>
      <c r="G43" s="26" t="n">
        <v>648.78</v>
      </c>
    </row>
    <row r="44" customFormat="false" ht="15" hidden="false" customHeight="true" outlineLevel="0" collapsed="false">
      <c r="B44" s="9" t="s">
        <v>81</v>
      </c>
      <c r="C44" s="26" t="n">
        <v>430.4</v>
      </c>
      <c r="G44" s="26" t="n">
        <v>430.4</v>
      </c>
    </row>
    <row r="45" customFormat="false" ht="15" hidden="false" customHeight="true" outlineLevel="0" collapsed="false">
      <c r="A45" s="27"/>
      <c r="B45" s="28" t="s">
        <v>82</v>
      </c>
      <c r="C45" s="29" t="n">
        <f aca="false">SUM(C10:C44)</f>
        <v>43860.96</v>
      </c>
      <c r="D45" s="29" t="n">
        <f aca="false">SUM(D10:D44)</f>
        <v>8042.77</v>
      </c>
      <c r="E45" s="29" t="n">
        <f aca="false">SUM(E10:E44)</f>
        <v>0</v>
      </c>
      <c r="F45" s="29" t="n">
        <f aca="false">SUM(F10:F44)</f>
        <v>732.98</v>
      </c>
      <c r="G45" s="29" t="n">
        <f aca="false">SUM(G10:G44)</f>
        <v>35085.21</v>
      </c>
      <c r="H45" s="27"/>
    </row>
    <row r="47" customFormat="false" ht="15" hidden="false" customHeight="true" outlineLevel="0" collapsed="false">
      <c r="A47" s="6"/>
      <c r="B47" s="7" t="s">
        <v>83</v>
      </c>
      <c r="C47" s="7"/>
      <c r="D47" s="7"/>
      <c r="E47" s="7"/>
      <c r="F47" s="7"/>
      <c r="G47" s="7"/>
      <c r="H47" s="7"/>
      <c r="I47" s="7"/>
      <c r="J47" s="7"/>
    </row>
    <row r="48" customFormat="false" ht="15" hidden="false" customHeight="true" outlineLevel="0" collapsed="false">
      <c r="B48" s="9" t="s">
        <v>84</v>
      </c>
      <c r="C48" s="26" t="n">
        <v>1573731</v>
      </c>
      <c r="D48" s="26" t="n">
        <v>288575</v>
      </c>
      <c r="F48" s="26" t="n">
        <v>26299</v>
      </c>
      <c r="G48" s="26" t="n">
        <v>1258857</v>
      </c>
    </row>
    <row r="49" customFormat="false" ht="15" hidden="false" customHeight="true" outlineLevel="0" collapsed="false">
      <c r="B49" s="9" t="s">
        <v>85</v>
      </c>
      <c r="C49" s="26" t="n">
        <v>121057</v>
      </c>
      <c r="D49" s="26" t="n">
        <v>22198</v>
      </c>
      <c r="F49" s="26" t="n">
        <v>2023</v>
      </c>
      <c r="G49" s="26" t="n">
        <v>96835</v>
      </c>
    </row>
    <row r="50" customFormat="false" ht="15" hidden="false" customHeight="true" outlineLevel="0" collapsed="false">
      <c r="B50" s="9" t="s">
        <v>86</v>
      </c>
      <c r="C50" s="26" t="n">
        <v>322816</v>
      </c>
      <c r="D50" s="26" t="n">
        <v>59195</v>
      </c>
      <c r="F50" s="26" t="n">
        <v>5395</v>
      </c>
      <c r="G50" s="26" t="n">
        <v>258227</v>
      </c>
    </row>
    <row r="51" customFormat="false" ht="15" hidden="false" customHeight="true" outlineLevel="0" collapsed="false">
      <c r="A51" s="27"/>
      <c r="B51" s="28" t="s">
        <v>87</v>
      </c>
      <c r="C51" s="29" t="n">
        <f aca="false">SUM(C48:C50)</f>
        <v>2017604</v>
      </c>
      <c r="D51" s="29" t="n">
        <f aca="false">SUM(D48:D50)</f>
        <v>369968</v>
      </c>
      <c r="E51" s="27"/>
      <c r="F51" s="29" t="n">
        <f aca="false">SUM(F48:F50)</f>
        <v>33717</v>
      </c>
      <c r="G51" s="29" t="n">
        <f aca="false">SUM(G48:G50)</f>
        <v>1613919</v>
      </c>
      <c r="H51" s="27"/>
    </row>
    <row r="53" customFormat="false" ht="15" hidden="false" customHeight="true" outlineLevel="0" collapsed="false">
      <c r="A53" s="30"/>
      <c r="B53" s="31" t="s">
        <v>88</v>
      </c>
      <c r="C53" s="31"/>
      <c r="D53" s="31"/>
      <c r="E53" s="31"/>
      <c r="F53" s="31"/>
      <c r="G53" s="31"/>
      <c r="H53" s="31"/>
      <c r="I53" s="31"/>
      <c r="J53" s="31"/>
    </row>
    <row r="54" customFormat="false" ht="15" hidden="false" customHeight="true" outlineLevel="0" collapsed="false">
      <c r="B54" s="32" t="s">
        <v>85</v>
      </c>
      <c r="C54" s="33" t="n">
        <v>121057</v>
      </c>
      <c r="D54" s="33" t="n">
        <v>22198</v>
      </c>
      <c r="F54" s="33" t="n">
        <v>2023</v>
      </c>
      <c r="G54" s="33" t="n">
        <v>96835</v>
      </c>
    </row>
    <row r="55" customFormat="false" ht="15" hidden="false" customHeight="true" outlineLevel="0" collapsed="false">
      <c r="B55" s="32" t="s">
        <v>84</v>
      </c>
      <c r="C55" s="33" t="n">
        <v>1573731</v>
      </c>
      <c r="D55" s="33" t="n">
        <v>288575</v>
      </c>
      <c r="F55" s="33" t="n">
        <v>26299</v>
      </c>
      <c r="G55" s="33" t="n">
        <v>1258857</v>
      </c>
    </row>
    <row r="56" customFormat="false" ht="15" hidden="false" customHeight="true" outlineLevel="0" collapsed="false">
      <c r="B56" s="32" t="s">
        <v>86</v>
      </c>
      <c r="C56" s="33" t="n">
        <v>322816</v>
      </c>
      <c r="D56" s="33" t="n">
        <v>59195</v>
      </c>
      <c r="F56" s="33" t="n">
        <v>5395</v>
      </c>
      <c r="G56" s="33" t="n">
        <v>258227</v>
      </c>
    </row>
    <row r="58" customFormat="false" ht="15" hidden="false" customHeight="true" outlineLevel="0" collapsed="false">
      <c r="A58" s="34" t="s">
        <v>89</v>
      </c>
      <c r="B58" s="34"/>
      <c r="C58" s="34"/>
      <c r="D58" s="34"/>
      <c r="E58" s="34"/>
      <c r="F58" s="34"/>
      <c r="G58" s="34"/>
      <c r="H58" s="34"/>
      <c r="I58" s="34"/>
      <c r="J58" s="34"/>
    </row>
    <row r="59" customFormat="false" ht="15" hidden="false" customHeight="true" outlineLevel="0" collapsed="false">
      <c r="A59" s="35" t="s">
        <v>33</v>
      </c>
      <c r="B59" s="35"/>
      <c r="C59" s="35"/>
      <c r="D59" s="35"/>
      <c r="E59" s="35"/>
      <c r="F59" s="35"/>
      <c r="G59" s="35"/>
      <c r="H59" s="35"/>
      <c r="I59" s="35"/>
      <c r="J59" s="35"/>
    </row>
    <row r="60" customFormat="false" ht="15" hidden="false" customHeight="true" outlineLevel="0" collapsed="false">
      <c r="A60" s="36"/>
      <c r="B60" s="36" t="s">
        <v>90</v>
      </c>
      <c r="C60" s="37" t="s">
        <v>91</v>
      </c>
      <c r="D60" s="37" t="s">
        <v>92</v>
      </c>
      <c r="E60" s="37" t="s">
        <v>93</v>
      </c>
      <c r="F60" s="37" t="s">
        <v>94</v>
      </c>
      <c r="G60" s="37" t="s">
        <v>95</v>
      </c>
      <c r="H60" s="37" t="s">
        <v>96</v>
      </c>
      <c r="I60" s="37" t="s">
        <v>97</v>
      </c>
      <c r="J60" s="37" t="s">
        <v>98</v>
      </c>
    </row>
    <row r="61" customFormat="false" ht="15" hidden="false" customHeight="true" outlineLevel="0" collapsed="false">
      <c r="B61" s="38" t="s">
        <v>99</v>
      </c>
      <c r="C61" s="39" t="n">
        <v>121057</v>
      </c>
      <c r="D61" s="39" t="n">
        <v>0</v>
      </c>
      <c r="E61" s="39" t="n">
        <v>57319.39</v>
      </c>
      <c r="F61" s="39" t="n">
        <v>7148.5</v>
      </c>
      <c r="G61" s="39" t="n">
        <v>64467.89</v>
      </c>
      <c r="H61" s="39" t="n">
        <v>56589.11</v>
      </c>
      <c r="I61" s="40" t="s">
        <v>100</v>
      </c>
      <c r="J61" s="41" t="n">
        <v>15</v>
      </c>
    </row>
    <row r="62" customFormat="false" ht="15" hidden="false" customHeight="true" outlineLevel="0" collapsed="false">
      <c r="B62" s="15" t="s">
        <v>101</v>
      </c>
      <c r="C62" s="17" t="n">
        <v>1573731</v>
      </c>
      <c r="D62" s="17" t="n">
        <v>0</v>
      </c>
      <c r="E62" s="17" t="n">
        <v>345745.14</v>
      </c>
      <c r="F62" s="17" t="n">
        <v>57226.85</v>
      </c>
      <c r="G62" s="17" t="n">
        <v>402971.99</v>
      </c>
      <c r="H62" s="17" t="n">
        <v>1170759.01</v>
      </c>
      <c r="I62" s="42" t="s">
        <v>102</v>
      </c>
      <c r="J62" s="43" t="n">
        <v>27.5</v>
      </c>
    </row>
    <row r="63" customFormat="false" ht="15" hidden="false" customHeight="true" outlineLevel="0" collapsed="false">
      <c r="B63" s="38" t="s">
        <v>103</v>
      </c>
      <c r="C63" s="39" t="n">
        <v>322816</v>
      </c>
      <c r="D63" s="39" t="n">
        <v>0</v>
      </c>
      <c r="E63" s="39" t="n">
        <v>322816</v>
      </c>
      <c r="F63" s="39" t="n">
        <v>0</v>
      </c>
      <c r="G63" s="39" t="n">
        <v>322816</v>
      </c>
      <c r="H63" s="39" t="n">
        <v>0</v>
      </c>
      <c r="I63" s="40" t="s">
        <v>104</v>
      </c>
      <c r="J63" s="41" t="n">
        <v>5</v>
      </c>
    </row>
    <row r="64" customFormat="false" ht="15" hidden="false" customHeight="true" outlineLevel="0" collapsed="false">
      <c r="A64" s="44"/>
      <c r="B64" s="45" t="s">
        <v>16</v>
      </c>
      <c r="C64" s="46" t="n">
        <f aca="false">SUM(C61:C63)</f>
        <v>2017604</v>
      </c>
      <c r="D64" s="46" t="n">
        <f aca="false">SUM(D61:D63)</f>
        <v>0</v>
      </c>
      <c r="E64" s="46" t="n">
        <f aca="false">SUM(E61:E63)</f>
        <v>725880.53</v>
      </c>
      <c r="F64" s="46" t="n">
        <f aca="false">SUM(F61:F63)</f>
        <v>64375.35</v>
      </c>
      <c r="G64" s="46" t="n">
        <f aca="false">SUM(G61:G63)</f>
        <v>790255.88</v>
      </c>
      <c r="H64" s="46" t="n">
        <f aca="false">SUM(H61:H63)</f>
        <v>1227348.12</v>
      </c>
      <c r="I64" s="44"/>
      <c r="J64" s="44"/>
    </row>
    <row r="66" customFormat="false" ht="15" hidden="false" customHeight="true" outlineLevel="0" collapsed="false">
      <c r="A66" s="31" t="s">
        <v>105</v>
      </c>
      <c r="B66" s="31"/>
      <c r="C66" s="31"/>
      <c r="D66" s="31"/>
      <c r="E66" s="31"/>
      <c r="F66" s="31"/>
      <c r="G66" s="31"/>
      <c r="H66" s="31"/>
      <c r="I66" s="31"/>
      <c r="J66" s="31"/>
    </row>
    <row r="67" customFormat="false" ht="15" hidden="false" customHeight="true" outlineLevel="0" collapsed="false">
      <c r="A67" s="36"/>
      <c r="B67" s="36" t="s">
        <v>90</v>
      </c>
      <c r="C67" s="37" t="s">
        <v>91</v>
      </c>
      <c r="D67" s="37" t="s">
        <v>92</v>
      </c>
      <c r="E67" s="37" t="s">
        <v>93</v>
      </c>
      <c r="F67" s="37" t="s">
        <v>94</v>
      </c>
      <c r="G67" s="37" t="s">
        <v>95</v>
      </c>
      <c r="H67" s="37" t="s">
        <v>96</v>
      </c>
      <c r="I67" s="37" t="s">
        <v>97</v>
      </c>
      <c r="J67" s="37" t="s">
        <v>98</v>
      </c>
    </row>
    <row r="68" customFormat="false" ht="15" hidden="false" customHeight="true" outlineLevel="0" collapsed="false">
      <c r="B68" s="38" t="s">
        <v>106</v>
      </c>
      <c r="C68" s="39" t="n">
        <v>22198</v>
      </c>
      <c r="D68" s="39" t="n">
        <v>0</v>
      </c>
      <c r="E68" s="39" t="n">
        <v>22198</v>
      </c>
      <c r="F68" s="39" t="n">
        <v>0</v>
      </c>
      <c r="G68" s="39" t="n">
        <v>22198</v>
      </c>
      <c r="H68" s="39" t="n">
        <v>0</v>
      </c>
      <c r="I68" s="40" t="s">
        <v>104</v>
      </c>
      <c r="J68" s="41" t="n">
        <v>5</v>
      </c>
    </row>
    <row r="69" customFormat="false" ht="15" hidden="false" customHeight="true" outlineLevel="0" collapsed="false">
      <c r="B69" s="15" t="s">
        <v>107</v>
      </c>
      <c r="C69" s="17" t="n">
        <v>2023</v>
      </c>
      <c r="D69" s="17" t="n">
        <v>0</v>
      </c>
      <c r="E69" s="17" t="n">
        <v>2023</v>
      </c>
      <c r="F69" s="17" t="n">
        <v>0</v>
      </c>
      <c r="G69" s="17" t="n">
        <v>2023</v>
      </c>
      <c r="H69" s="17" t="n">
        <v>0</v>
      </c>
      <c r="I69" s="42" t="s">
        <v>100</v>
      </c>
      <c r="J69" s="43" t="n">
        <v>15</v>
      </c>
    </row>
    <row r="70" customFormat="false" ht="15" hidden="false" customHeight="true" outlineLevel="0" collapsed="false">
      <c r="B70" s="38" t="s">
        <v>108</v>
      </c>
      <c r="C70" s="39" t="n">
        <v>96835</v>
      </c>
      <c r="D70" s="39" t="n">
        <v>0</v>
      </c>
      <c r="E70" s="39" t="n">
        <v>21274.34</v>
      </c>
      <c r="F70" s="39" t="n">
        <v>3521.27</v>
      </c>
      <c r="G70" s="39" t="n">
        <v>24795.61</v>
      </c>
      <c r="H70" s="39" t="n">
        <v>72039.39</v>
      </c>
      <c r="I70" s="40" t="s">
        <v>102</v>
      </c>
      <c r="J70" s="41" t="n">
        <v>27.5</v>
      </c>
    </row>
    <row r="71" customFormat="false" ht="15" hidden="false" customHeight="true" outlineLevel="0" collapsed="false">
      <c r="B71" s="15" t="s">
        <v>109</v>
      </c>
      <c r="C71" s="17" t="n">
        <v>288575</v>
      </c>
      <c r="D71" s="17" t="n">
        <v>288575</v>
      </c>
      <c r="E71" s="17" t="n">
        <v>288575</v>
      </c>
      <c r="F71" s="17" t="n">
        <v>0</v>
      </c>
      <c r="G71" s="17" t="n">
        <v>288575</v>
      </c>
      <c r="H71" s="17" t="n">
        <v>0</v>
      </c>
      <c r="I71" s="42" t="s">
        <v>104</v>
      </c>
      <c r="J71" s="43" t="n">
        <v>5</v>
      </c>
    </row>
    <row r="72" customFormat="false" ht="15" hidden="false" customHeight="true" outlineLevel="0" collapsed="false">
      <c r="B72" s="38" t="s">
        <v>110</v>
      </c>
      <c r="C72" s="39" t="n">
        <v>26299</v>
      </c>
      <c r="D72" s="39" t="n">
        <v>26299</v>
      </c>
      <c r="E72" s="39" t="n">
        <v>26299</v>
      </c>
      <c r="F72" s="39" t="n">
        <v>0</v>
      </c>
      <c r="G72" s="39" t="n">
        <v>26299</v>
      </c>
      <c r="H72" s="39" t="n">
        <v>0</v>
      </c>
      <c r="I72" s="40" t="s">
        <v>100</v>
      </c>
      <c r="J72" s="41" t="n">
        <v>15</v>
      </c>
    </row>
    <row r="73" customFormat="false" ht="15" hidden="false" customHeight="true" outlineLevel="0" collapsed="false">
      <c r="B73" s="15" t="s">
        <v>111</v>
      </c>
      <c r="C73" s="17" t="n">
        <v>1258857</v>
      </c>
      <c r="D73" s="17" t="n">
        <v>0</v>
      </c>
      <c r="E73" s="17" t="n">
        <v>276567.08</v>
      </c>
      <c r="F73" s="17" t="n">
        <v>45776.62</v>
      </c>
      <c r="G73" s="17" t="n">
        <v>322343.7</v>
      </c>
      <c r="H73" s="17" t="n">
        <v>936513.3</v>
      </c>
      <c r="I73" s="42" t="s">
        <v>102</v>
      </c>
      <c r="J73" s="43" t="n">
        <v>27.5</v>
      </c>
    </row>
    <row r="74" customFormat="false" ht="15" hidden="false" customHeight="true" outlineLevel="0" collapsed="false">
      <c r="B74" s="38" t="s">
        <v>112</v>
      </c>
      <c r="C74" s="39" t="n">
        <v>59195</v>
      </c>
      <c r="D74" s="39" t="n">
        <v>59195</v>
      </c>
      <c r="E74" s="39" t="n">
        <v>59195</v>
      </c>
      <c r="F74" s="39" t="n">
        <v>0</v>
      </c>
      <c r="G74" s="39" t="n">
        <v>59195</v>
      </c>
      <c r="H74" s="39" t="n">
        <v>0</v>
      </c>
      <c r="I74" s="40" t="s">
        <v>104</v>
      </c>
      <c r="J74" s="41" t="n">
        <v>5</v>
      </c>
    </row>
    <row r="75" customFormat="false" ht="15" hidden="false" customHeight="true" outlineLevel="0" collapsed="false">
      <c r="B75" s="15" t="s">
        <v>113</v>
      </c>
      <c r="C75" s="17" t="n">
        <v>5395</v>
      </c>
      <c r="D75" s="17" t="n">
        <v>5395</v>
      </c>
      <c r="E75" s="17" t="n">
        <v>5395</v>
      </c>
      <c r="F75" s="17" t="n">
        <v>0</v>
      </c>
      <c r="G75" s="17" t="n">
        <v>5395</v>
      </c>
      <c r="H75" s="17" t="n">
        <v>0</v>
      </c>
      <c r="I75" s="42" t="s">
        <v>100</v>
      </c>
      <c r="J75" s="43" t="n">
        <v>15</v>
      </c>
    </row>
    <row r="76" customFormat="false" ht="15" hidden="false" customHeight="true" outlineLevel="0" collapsed="false">
      <c r="B76" s="38" t="s">
        <v>114</v>
      </c>
      <c r="C76" s="39" t="n">
        <v>258227</v>
      </c>
      <c r="D76" s="39" t="n">
        <v>0</v>
      </c>
      <c r="E76" s="39" t="n">
        <v>56731.67</v>
      </c>
      <c r="F76" s="39" t="n">
        <v>9390.07</v>
      </c>
      <c r="G76" s="39" t="n">
        <v>66121.74</v>
      </c>
      <c r="H76" s="39" t="n">
        <v>192105.26</v>
      </c>
      <c r="I76" s="40" t="s">
        <v>102</v>
      </c>
      <c r="J76" s="41" t="n">
        <v>27.5</v>
      </c>
    </row>
    <row r="77" customFormat="false" ht="15" hidden="false" customHeight="true" outlineLevel="0" collapsed="false">
      <c r="A77" s="44"/>
      <c r="B77" s="45" t="s">
        <v>16</v>
      </c>
      <c r="C77" s="46" t="n">
        <f aca="false">SUM(C68:C76)</f>
        <v>2017604</v>
      </c>
      <c r="D77" s="46" t="n">
        <f aca="false">SUM(D68:D76)</f>
        <v>379464</v>
      </c>
      <c r="E77" s="46" t="n">
        <f aca="false">SUM(E68:E76)</f>
        <v>758258.09</v>
      </c>
      <c r="F77" s="46" t="n">
        <f aca="false">SUM(F68:F76)</f>
        <v>58687.96</v>
      </c>
      <c r="G77" s="46" t="n">
        <f aca="false">SUM(G68:G76)</f>
        <v>816946.05</v>
      </c>
      <c r="H77" s="46" t="n">
        <f aca="false">SUM(H68:H76)</f>
        <v>1200657.95</v>
      </c>
      <c r="I77" s="44"/>
      <c r="J77" s="44"/>
    </row>
    <row r="79" customFormat="false" ht="15" hidden="false" customHeight="true" outlineLevel="0" collapsed="false">
      <c r="A79" s="34" t="s">
        <v>35</v>
      </c>
      <c r="B79" s="34"/>
      <c r="C79" s="34"/>
      <c r="D79" s="34"/>
      <c r="E79" s="34"/>
    </row>
    <row r="80" customFormat="false" ht="15" hidden="false" customHeight="true" outlineLevel="0" collapsed="false">
      <c r="B80" s="15" t="s">
        <v>115</v>
      </c>
      <c r="C80" s="47" t="n">
        <f aca="false">G64</f>
        <v>790255.88</v>
      </c>
    </row>
    <row r="81" customFormat="false" ht="15" hidden="false" customHeight="true" outlineLevel="0" collapsed="false">
      <c r="B81" s="15" t="s">
        <v>116</v>
      </c>
      <c r="C81" s="47" t="n">
        <f aca="false">G77</f>
        <v>816946.05</v>
      </c>
    </row>
    <row r="82" customFormat="false" ht="15" hidden="false" customHeight="true" outlineLevel="0" collapsed="false">
      <c r="B82" s="18" t="s">
        <v>35</v>
      </c>
      <c r="C82" s="48" t="n">
        <f aca="false">C81-C80</f>
        <v>26690.17</v>
      </c>
    </row>
  </sheetData>
  <mergeCells count="13">
    <mergeCell ref="A2:J2"/>
    <mergeCell ref="A3:J3"/>
    <mergeCell ref="A4:J4"/>
    <mergeCell ref="A8:J8"/>
    <mergeCell ref="B10:J10"/>
    <mergeCell ref="B23:J23"/>
    <mergeCell ref="B28:J28"/>
    <mergeCell ref="B47:J47"/>
    <mergeCell ref="B53:J53"/>
    <mergeCell ref="A58:J58"/>
    <mergeCell ref="A59:J59"/>
    <mergeCell ref="A66:J66"/>
    <mergeCell ref="A79:E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true" outlineLevel="0" collapsed="false">
      <c r="A3" s="3" t="s">
        <v>117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2" t="s">
        <v>38</v>
      </c>
      <c r="C6" s="9" t="s">
        <v>18</v>
      </c>
    </row>
    <row r="8" customFormat="false" ht="15" hidden="false" customHeight="true" outlineLevel="0" collapsed="false">
      <c r="A8" s="23" t="s">
        <v>118</v>
      </c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true" outlineLevel="0" collapsed="false">
      <c r="A9" s="24"/>
      <c r="B9" s="24" t="s">
        <v>40</v>
      </c>
      <c r="C9" s="25" t="s">
        <v>41</v>
      </c>
      <c r="D9" s="25" t="s">
        <v>42</v>
      </c>
      <c r="E9" s="25" t="s">
        <v>43</v>
      </c>
      <c r="F9" s="25" t="s">
        <v>44</v>
      </c>
      <c r="G9" s="25" t="s">
        <v>45</v>
      </c>
      <c r="H9" s="25" t="s">
        <v>46</v>
      </c>
    </row>
    <row r="10" customFormat="false" ht="15" hidden="false" customHeight="true" outlineLevel="0" collapsed="false">
      <c r="A10" s="6"/>
      <c r="B10" s="7" t="s">
        <v>47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48</v>
      </c>
      <c r="C11" s="26" t="n">
        <v>1413.34</v>
      </c>
      <c r="D11" s="26" t="n">
        <v>1413.34</v>
      </c>
    </row>
    <row r="12" customFormat="false" ht="15" hidden="false" customHeight="true" outlineLevel="0" collapsed="false">
      <c r="B12" s="9" t="s">
        <v>49</v>
      </c>
      <c r="C12" s="26" t="n">
        <v>704.98</v>
      </c>
      <c r="D12" s="26" t="n">
        <v>704.98</v>
      </c>
    </row>
    <row r="13" customFormat="false" ht="15" hidden="false" customHeight="true" outlineLevel="0" collapsed="false">
      <c r="B13" s="9" t="s">
        <v>119</v>
      </c>
      <c r="C13" s="26" t="n">
        <v>115.67</v>
      </c>
      <c r="D13" s="26" t="n">
        <v>115.67</v>
      </c>
    </row>
    <row r="14" customFormat="false" ht="15" hidden="false" customHeight="true" outlineLevel="0" collapsed="false">
      <c r="B14" s="9" t="s">
        <v>120</v>
      </c>
      <c r="C14" s="26" t="n">
        <v>2552.89</v>
      </c>
      <c r="D14" s="26" t="n">
        <v>2552.89</v>
      </c>
    </row>
    <row r="15" customFormat="false" ht="15" hidden="false" customHeight="true" outlineLevel="0" collapsed="false">
      <c r="B15" s="9" t="s">
        <v>50</v>
      </c>
      <c r="C15" s="26" t="n">
        <v>74.24</v>
      </c>
      <c r="D15" s="26" t="n">
        <v>74.24</v>
      </c>
    </row>
    <row r="16" customFormat="false" ht="15" hidden="false" customHeight="true" outlineLevel="0" collapsed="false">
      <c r="B16" s="9" t="s">
        <v>51</v>
      </c>
      <c r="C16" s="26" t="n">
        <v>503.17</v>
      </c>
      <c r="D16" s="26" t="n">
        <v>503.17</v>
      </c>
    </row>
    <row r="17" customFormat="false" ht="15" hidden="false" customHeight="true" outlineLevel="0" collapsed="false">
      <c r="B17" s="9" t="s">
        <v>52</v>
      </c>
      <c r="C17" s="26" t="n">
        <v>417.2</v>
      </c>
      <c r="D17" s="26" t="n">
        <v>417.2</v>
      </c>
    </row>
    <row r="18" customFormat="false" ht="15" hidden="false" customHeight="true" outlineLevel="0" collapsed="false">
      <c r="B18" s="9" t="s">
        <v>53</v>
      </c>
      <c r="C18" s="26" t="n">
        <v>42.81</v>
      </c>
      <c r="D18" s="26" t="n">
        <v>42.81</v>
      </c>
    </row>
    <row r="19" customFormat="false" ht="15" hidden="false" customHeight="true" outlineLevel="0" collapsed="false">
      <c r="B19" s="9" t="s">
        <v>54</v>
      </c>
      <c r="C19" s="26" t="n">
        <v>21.12</v>
      </c>
      <c r="D19" s="26" t="n">
        <v>21.12</v>
      </c>
    </row>
    <row r="20" customFormat="false" ht="15" hidden="false" customHeight="true" outlineLevel="0" collapsed="false">
      <c r="B20" s="9" t="s">
        <v>55</v>
      </c>
      <c r="C20" s="26" t="n">
        <v>731.07</v>
      </c>
      <c r="D20" s="26" t="n">
        <v>731.07</v>
      </c>
    </row>
    <row r="21" customFormat="false" ht="15" hidden="false" customHeight="true" outlineLevel="0" collapsed="false">
      <c r="B21" s="9" t="s">
        <v>56</v>
      </c>
      <c r="C21" s="26" t="n">
        <v>338.82</v>
      </c>
      <c r="D21" s="26" t="n">
        <v>338.82</v>
      </c>
    </row>
    <row r="22" customFormat="false" ht="15" hidden="false" customHeight="true" outlineLevel="0" collapsed="false">
      <c r="B22" s="9" t="s">
        <v>57</v>
      </c>
      <c r="C22" s="26" t="n">
        <v>800.46</v>
      </c>
      <c r="D22" s="26" t="n">
        <v>800.46</v>
      </c>
    </row>
    <row r="23" customFormat="false" ht="15" hidden="false" customHeight="true" outlineLevel="0" collapsed="false">
      <c r="B23" s="9" t="s">
        <v>58</v>
      </c>
      <c r="C23" s="26" t="n">
        <v>232.42</v>
      </c>
      <c r="D23" s="26" t="n">
        <v>232.42</v>
      </c>
    </row>
    <row r="24" customFormat="false" ht="15" hidden="false" customHeight="true" outlineLevel="0" collapsed="false">
      <c r="B24" s="9" t="s">
        <v>59</v>
      </c>
      <c r="C24" s="26" t="n">
        <v>801.88</v>
      </c>
      <c r="D24" s="26" t="n">
        <v>801.88</v>
      </c>
    </row>
    <row r="25" customFormat="false" ht="15" hidden="false" customHeight="true" outlineLevel="0" collapsed="false">
      <c r="A25" s="6"/>
      <c r="B25" s="7" t="s">
        <v>60</v>
      </c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true" outlineLevel="0" collapsed="false">
      <c r="B26" s="9" t="s">
        <v>61</v>
      </c>
      <c r="C26" s="26" t="n">
        <v>1053.33</v>
      </c>
      <c r="F26" s="26" t="n">
        <v>1053.33</v>
      </c>
    </row>
    <row r="27" customFormat="false" ht="15" hidden="false" customHeight="true" outlineLevel="0" collapsed="false">
      <c r="B27" s="9" t="s">
        <v>62</v>
      </c>
      <c r="C27" s="26" t="n">
        <v>217.91</v>
      </c>
      <c r="F27" s="26" t="n">
        <v>217.91</v>
      </c>
    </row>
    <row r="28" customFormat="false" ht="15" hidden="false" customHeight="true" outlineLevel="0" collapsed="false">
      <c r="B28" s="9" t="s">
        <v>63</v>
      </c>
      <c r="C28" s="26" t="n">
        <v>49.43</v>
      </c>
      <c r="F28" s="26" t="n">
        <v>49.43</v>
      </c>
    </row>
    <row r="29" customFormat="false" ht="15" hidden="false" customHeight="true" outlineLevel="0" collapsed="false">
      <c r="B29" s="9" t="s">
        <v>64</v>
      </c>
      <c r="C29" s="26" t="n">
        <v>30.65</v>
      </c>
      <c r="F29" s="26" t="n">
        <v>30.65</v>
      </c>
    </row>
    <row r="30" customFormat="false" ht="15" hidden="false" customHeight="true" outlineLevel="0" collapsed="false">
      <c r="A30" s="6"/>
      <c r="B30" s="7" t="s">
        <v>65</v>
      </c>
      <c r="C30" s="7"/>
      <c r="D30" s="7"/>
      <c r="E30" s="7"/>
      <c r="F30" s="7"/>
      <c r="G30" s="7"/>
      <c r="H30" s="7"/>
      <c r="I30" s="7"/>
      <c r="J30" s="7"/>
    </row>
    <row r="31" customFormat="false" ht="15" hidden="false" customHeight="true" outlineLevel="0" collapsed="false">
      <c r="B31" s="9" t="s">
        <v>66</v>
      </c>
      <c r="C31" s="26" t="n">
        <v>3154.94</v>
      </c>
      <c r="G31" s="26" t="n">
        <v>3154.94</v>
      </c>
    </row>
    <row r="32" customFormat="false" ht="15" hidden="false" customHeight="true" outlineLevel="0" collapsed="false">
      <c r="B32" s="9" t="s">
        <v>67</v>
      </c>
      <c r="C32" s="26" t="n">
        <v>5238.39</v>
      </c>
      <c r="G32" s="26" t="n">
        <v>5238.39</v>
      </c>
    </row>
    <row r="33" customFormat="false" ht="15" hidden="false" customHeight="true" outlineLevel="0" collapsed="false">
      <c r="B33" s="9" t="s">
        <v>68</v>
      </c>
      <c r="C33" s="26" t="n">
        <v>3486.17</v>
      </c>
      <c r="G33" s="26" t="n">
        <v>3486.17</v>
      </c>
    </row>
    <row r="34" customFormat="false" ht="15" hidden="false" customHeight="true" outlineLevel="0" collapsed="false">
      <c r="B34" s="9" t="s">
        <v>69</v>
      </c>
      <c r="C34" s="26" t="n">
        <v>3390.72</v>
      </c>
      <c r="G34" s="26" t="n">
        <v>3390.72</v>
      </c>
    </row>
    <row r="35" customFormat="false" ht="15" hidden="false" customHeight="true" outlineLevel="0" collapsed="false">
      <c r="B35" s="9" t="s">
        <v>70</v>
      </c>
      <c r="C35" s="26" t="n">
        <v>3067.72</v>
      </c>
      <c r="G35" s="26" t="n">
        <v>3067.72</v>
      </c>
    </row>
    <row r="36" customFormat="false" ht="15" hidden="false" customHeight="true" outlineLevel="0" collapsed="false">
      <c r="B36" s="9" t="s">
        <v>71</v>
      </c>
      <c r="C36" s="26" t="n">
        <v>213.56</v>
      </c>
      <c r="G36" s="26" t="n">
        <v>213.56</v>
      </c>
    </row>
    <row r="37" customFormat="false" ht="15" hidden="false" customHeight="true" outlineLevel="0" collapsed="false">
      <c r="B37" s="9" t="s">
        <v>72</v>
      </c>
      <c r="C37" s="26" t="n">
        <v>1769.68</v>
      </c>
      <c r="G37" s="26" t="n">
        <v>1769.68</v>
      </c>
    </row>
    <row r="38" customFormat="false" ht="15" hidden="false" customHeight="true" outlineLevel="0" collapsed="false">
      <c r="B38" s="9" t="s">
        <v>73</v>
      </c>
      <c r="C38" s="26" t="n">
        <v>2247.15</v>
      </c>
      <c r="G38" s="26" t="n">
        <v>2247.15</v>
      </c>
    </row>
    <row r="39" customFormat="false" ht="15" hidden="false" customHeight="true" outlineLevel="0" collapsed="false">
      <c r="B39" s="9" t="s">
        <v>74</v>
      </c>
      <c r="C39" s="26" t="n">
        <v>1838.84</v>
      </c>
      <c r="G39" s="26" t="n">
        <v>1838.84</v>
      </c>
    </row>
    <row r="40" customFormat="false" ht="15" hidden="false" customHeight="true" outlineLevel="0" collapsed="false">
      <c r="B40" s="9" t="s">
        <v>75</v>
      </c>
      <c r="C40" s="26" t="n">
        <v>1800.68</v>
      </c>
      <c r="G40" s="26" t="n">
        <v>1800.68</v>
      </c>
    </row>
    <row r="41" customFormat="false" ht="15" hidden="false" customHeight="true" outlineLevel="0" collapsed="false">
      <c r="B41" s="9" t="s">
        <v>76</v>
      </c>
      <c r="C41" s="26" t="n">
        <v>5040.91</v>
      </c>
      <c r="G41" s="26" t="n">
        <v>5040.91</v>
      </c>
    </row>
    <row r="42" customFormat="false" ht="15" hidden="false" customHeight="true" outlineLevel="0" collapsed="false">
      <c r="B42" s="9" t="s">
        <v>77</v>
      </c>
      <c r="C42" s="26" t="n">
        <v>1719.87</v>
      </c>
      <c r="G42" s="26" t="n">
        <v>1719.87</v>
      </c>
    </row>
    <row r="43" customFormat="false" ht="15" hidden="false" customHeight="true" outlineLevel="0" collapsed="false">
      <c r="B43" s="9" t="s">
        <v>78</v>
      </c>
      <c r="C43" s="26" t="n">
        <v>5655.94</v>
      </c>
      <c r="G43" s="26" t="n">
        <v>5655.94</v>
      </c>
    </row>
    <row r="44" customFormat="false" ht="15" hidden="false" customHeight="true" outlineLevel="0" collapsed="false">
      <c r="B44" s="9" t="s">
        <v>79</v>
      </c>
      <c r="C44" s="26" t="n">
        <v>795.83</v>
      </c>
      <c r="G44" s="26" t="n">
        <v>795.83</v>
      </c>
    </row>
    <row r="45" customFormat="false" ht="15" hidden="false" customHeight="true" outlineLevel="0" collapsed="false">
      <c r="B45" s="9" t="s">
        <v>80</v>
      </c>
      <c r="C45" s="26" t="n">
        <v>664.51</v>
      </c>
      <c r="G45" s="26" t="n">
        <v>664.51</v>
      </c>
    </row>
    <row r="46" customFormat="false" ht="15" hidden="false" customHeight="true" outlineLevel="0" collapsed="false">
      <c r="B46" s="9" t="s">
        <v>81</v>
      </c>
      <c r="C46" s="26" t="n">
        <v>550.2</v>
      </c>
      <c r="G46" s="26" t="n">
        <v>550.2</v>
      </c>
    </row>
    <row r="47" customFormat="false" ht="15" hidden="false" customHeight="true" outlineLevel="0" collapsed="false">
      <c r="A47" s="27"/>
      <c r="B47" s="28" t="s">
        <v>82</v>
      </c>
      <c r="C47" s="29" t="n">
        <f aca="false">SUM(C10:C46)</f>
        <v>50736.5</v>
      </c>
      <c r="D47" s="29" t="n">
        <f aca="false">SUM(D10:D46)</f>
        <v>8750.07</v>
      </c>
      <c r="E47" s="29" t="n">
        <f aca="false">SUM(E10:E46)</f>
        <v>0</v>
      </c>
      <c r="F47" s="29" t="n">
        <f aca="false">SUM(F10:F46)</f>
        <v>1351.32</v>
      </c>
      <c r="G47" s="29" t="n">
        <f aca="false">SUM(G10:G46)</f>
        <v>40635.11</v>
      </c>
      <c r="H47" s="27"/>
    </row>
    <row r="49" customFormat="false" ht="15" hidden="false" customHeight="true" outlineLevel="0" collapsed="false">
      <c r="A49" s="6"/>
      <c r="B49" s="7" t="s">
        <v>83</v>
      </c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true" outlineLevel="0" collapsed="false">
      <c r="B50" s="9" t="s">
        <v>121</v>
      </c>
      <c r="C50" s="26" t="n">
        <v>79149</v>
      </c>
      <c r="D50" s="26" t="n">
        <v>13650</v>
      </c>
      <c r="F50" s="26" t="n">
        <v>2108</v>
      </c>
      <c r="G50" s="26" t="n">
        <v>63391</v>
      </c>
    </row>
    <row r="51" customFormat="false" ht="15" hidden="false" customHeight="true" outlineLevel="0" collapsed="false">
      <c r="B51" s="9" t="s">
        <v>122</v>
      </c>
      <c r="C51" s="26" t="n">
        <v>6088</v>
      </c>
      <c r="D51" s="26" t="n">
        <v>1050</v>
      </c>
      <c r="F51" s="26" t="n">
        <v>162</v>
      </c>
      <c r="G51" s="26" t="n">
        <v>4876</v>
      </c>
    </row>
    <row r="52" customFormat="false" ht="15" hidden="false" customHeight="true" outlineLevel="0" collapsed="false">
      <c r="B52" s="9" t="s">
        <v>123</v>
      </c>
      <c r="C52" s="26" t="n">
        <v>16236</v>
      </c>
      <c r="D52" s="26" t="n">
        <v>2800</v>
      </c>
      <c r="F52" s="26" t="n">
        <v>432</v>
      </c>
      <c r="G52" s="26" t="n">
        <v>13004</v>
      </c>
    </row>
    <row r="53" customFormat="false" ht="15" hidden="false" customHeight="true" outlineLevel="0" collapsed="false">
      <c r="A53" s="27"/>
      <c r="B53" s="28" t="s">
        <v>87</v>
      </c>
      <c r="C53" s="29" t="n">
        <f aca="false">SUM(C50:C52)</f>
        <v>101473</v>
      </c>
      <c r="D53" s="29" t="n">
        <f aca="false">SUM(D50:D52)</f>
        <v>17500</v>
      </c>
      <c r="E53" s="27"/>
      <c r="F53" s="29" t="n">
        <f aca="false">SUM(F50:F52)</f>
        <v>2702</v>
      </c>
      <c r="G53" s="29" t="n">
        <f aca="false">SUM(G50:G52)</f>
        <v>81271</v>
      </c>
      <c r="H53" s="27"/>
    </row>
    <row r="55" customFormat="false" ht="15" hidden="false" customHeight="true" outlineLevel="0" collapsed="false">
      <c r="A55" s="30"/>
      <c r="B55" s="31" t="s">
        <v>124</v>
      </c>
      <c r="C55" s="31"/>
      <c r="D55" s="31"/>
      <c r="E55" s="31"/>
      <c r="F55" s="31"/>
      <c r="G55" s="31"/>
      <c r="H55" s="31"/>
      <c r="I55" s="31"/>
      <c r="J55" s="31"/>
    </row>
    <row r="56" customFormat="false" ht="15" hidden="false" customHeight="true" outlineLevel="0" collapsed="false">
      <c r="B56" s="32" t="s">
        <v>122</v>
      </c>
      <c r="C56" s="33" t="n">
        <v>6088</v>
      </c>
      <c r="D56" s="33" t="n">
        <v>1050</v>
      </c>
      <c r="F56" s="33" t="n">
        <v>162</v>
      </c>
      <c r="G56" s="33" t="n">
        <v>4876</v>
      </c>
    </row>
    <row r="57" customFormat="false" ht="15" hidden="false" customHeight="true" outlineLevel="0" collapsed="false">
      <c r="B57" s="32" t="s">
        <v>121</v>
      </c>
      <c r="C57" s="33" t="n">
        <v>79149</v>
      </c>
      <c r="D57" s="33" t="n">
        <v>13650</v>
      </c>
      <c r="F57" s="33" t="n">
        <v>2108</v>
      </c>
      <c r="G57" s="33" t="n">
        <v>63391</v>
      </c>
    </row>
    <row r="58" customFormat="false" ht="15" hidden="false" customHeight="true" outlineLevel="0" collapsed="false">
      <c r="B58" s="32" t="s">
        <v>123</v>
      </c>
      <c r="C58" s="33" t="n">
        <v>16236</v>
      </c>
      <c r="D58" s="33" t="n">
        <v>2800</v>
      </c>
      <c r="F58" s="33" t="n">
        <v>432</v>
      </c>
      <c r="G58" s="33" t="n">
        <v>13004</v>
      </c>
    </row>
    <row r="60" customFormat="false" ht="15" hidden="false" customHeight="true" outlineLevel="0" collapsed="false">
      <c r="A60" s="34" t="s">
        <v>89</v>
      </c>
      <c r="B60" s="34"/>
      <c r="C60" s="34"/>
      <c r="D60" s="34"/>
      <c r="E60" s="34"/>
      <c r="F60" s="34"/>
      <c r="G60" s="34"/>
      <c r="H60" s="34"/>
      <c r="I60" s="34"/>
      <c r="J60" s="34"/>
    </row>
    <row r="61" customFormat="false" ht="15" hidden="false" customHeight="true" outlineLevel="0" collapsed="false">
      <c r="A61" s="35" t="s">
        <v>33</v>
      </c>
      <c r="B61" s="35"/>
      <c r="C61" s="35"/>
      <c r="D61" s="35"/>
      <c r="E61" s="35"/>
      <c r="F61" s="35"/>
      <c r="G61" s="35"/>
      <c r="H61" s="35"/>
      <c r="I61" s="35"/>
      <c r="J61" s="35"/>
    </row>
    <row r="62" customFormat="false" ht="15" hidden="false" customHeight="true" outlineLevel="0" collapsed="false">
      <c r="A62" s="36"/>
      <c r="B62" s="36" t="s">
        <v>90</v>
      </c>
      <c r="C62" s="37" t="s">
        <v>91</v>
      </c>
      <c r="D62" s="37" t="s">
        <v>92</v>
      </c>
      <c r="E62" s="37" t="s">
        <v>93</v>
      </c>
      <c r="F62" s="37" t="s">
        <v>94</v>
      </c>
      <c r="G62" s="37" t="s">
        <v>95</v>
      </c>
      <c r="H62" s="37" t="s">
        <v>96</v>
      </c>
      <c r="I62" s="37" t="s">
        <v>97</v>
      </c>
      <c r="J62" s="37" t="s">
        <v>98</v>
      </c>
    </row>
    <row r="63" customFormat="false" ht="15" hidden="false" customHeight="true" outlineLevel="0" collapsed="false">
      <c r="B63" s="38" t="s">
        <v>125</v>
      </c>
      <c r="C63" s="39" t="n">
        <v>6088</v>
      </c>
      <c r="D63" s="39" t="n">
        <v>0</v>
      </c>
      <c r="E63" s="39" t="n">
        <v>2882.61</v>
      </c>
      <c r="F63" s="39" t="n">
        <v>359.5</v>
      </c>
      <c r="G63" s="39" t="n">
        <v>3242.11</v>
      </c>
      <c r="H63" s="39" t="n">
        <v>2845.89</v>
      </c>
      <c r="I63" s="40" t="s">
        <v>100</v>
      </c>
      <c r="J63" s="41" t="n">
        <v>15</v>
      </c>
    </row>
    <row r="64" customFormat="false" ht="15" hidden="false" customHeight="true" outlineLevel="0" collapsed="false">
      <c r="B64" s="15" t="s">
        <v>126</v>
      </c>
      <c r="C64" s="17" t="n">
        <v>79149</v>
      </c>
      <c r="D64" s="17" t="n">
        <v>0</v>
      </c>
      <c r="E64" s="17" t="n">
        <v>17388.86</v>
      </c>
      <c r="F64" s="17" t="n">
        <v>2878.15</v>
      </c>
      <c r="G64" s="17" t="n">
        <v>20267.01</v>
      </c>
      <c r="H64" s="17" t="n">
        <v>58881.99</v>
      </c>
      <c r="I64" s="42" t="s">
        <v>102</v>
      </c>
      <c r="J64" s="43" t="n">
        <v>27.5</v>
      </c>
    </row>
    <row r="65" customFormat="false" ht="15" hidden="false" customHeight="true" outlineLevel="0" collapsed="false">
      <c r="B65" s="38" t="s">
        <v>127</v>
      </c>
      <c r="C65" s="39" t="n">
        <v>16236</v>
      </c>
      <c r="D65" s="39" t="n">
        <v>16236</v>
      </c>
      <c r="E65" s="39" t="n">
        <v>16236</v>
      </c>
      <c r="F65" s="39" t="n">
        <v>0</v>
      </c>
      <c r="G65" s="39" t="n">
        <v>16236</v>
      </c>
      <c r="H65" s="39" t="n">
        <v>0</v>
      </c>
      <c r="I65" s="40" t="s">
        <v>104</v>
      </c>
      <c r="J65" s="41" t="n">
        <v>5</v>
      </c>
    </row>
    <row r="66" customFormat="false" ht="15" hidden="false" customHeight="true" outlineLevel="0" collapsed="false">
      <c r="A66" s="44"/>
      <c r="B66" s="45" t="s">
        <v>16</v>
      </c>
      <c r="C66" s="46" t="n">
        <f aca="false">SUM(C63:C65)</f>
        <v>101473</v>
      </c>
      <c r="D66" s="46" t="n">
        <f aca="false">SUM(D63:D65)</f>
        <v>16236</v>
      </c>
      <c r="E66" s="46" t="n">
        <f aca="false">SUM(E63:E65)</f>
        <v>36507.47</v>
      </c>
      <c r="F66" s="46" t="n">
        <f aca="false">SUM(F63:F65)</f>
        <v>3237.65</v>
      </c>
      <c r="G66" s="46" t="n">
        <f aca="false">SUM(G63:G65)</f>
        <v>39745.12</v>
      </c>
      <c r="H66" s="46" t="n">
        <f aca="false">SUM(H63:H65)</f>
        <v>61727.88</v>
      </c>
      <c r="I66" s="44"/>
      <c r="J66" s="44"/>
    </row>
    <row r="68" customFormat="false" ht="15" hidden="false" customHeight="true" outlineLevel="0" collapsed="false">
      <c r="A68" s="31" t="s">
        <v>105</v>
      </c>
      <c r="B68" s="31"/>
      <c r="C68" s="31"/>
      <c r="D68" s="31"/>
      <c r="E68" s="31"/>
      <c r="F68" s="31"/>
      <c r="G68" s="31"/>
      <c r="H68" s="31"/>
      <c r="I68" s="31"/>
      <c r="J68" s="31"/>
    </row>
    <row r="69" customFormat="false" ht="15" hidden="false" customHeight="true" outlineLevel="0" collapsed="false">
      <c r="A69" s="36"/>
      <c r="B69" s="36" t="s">
        <v>90</v>
      </c>
      <c r="C69" s="37" t="s">
        <v>91</v>
      </c>
      <c r="D69" s="37" t="s">
        <v>92</v>
      </c>
      <c r="E69" s="37" t="s">
        <v>93</v>
      </c>
      <c r="F69" s="37" t="s">
        <v>94</v>
      </c>
      <c r="G69" s="37" t="s">
        <v>95</v>
      </c>
      <c r="H69" s="37" t="s">
        <v>96</v>
      </c>
      <c r="I69" s="37" t="s">
        <v>97</v>
      </c>
      <c r="J69" s="37" t="s">
        <v>98</v>
      </c>
    </row>
    <row r="70" customFormat="false" ht="15" hidden="false" customHeight="true" outlineLevel="0" collapsed="false">
      <c r="B70" s="38" t="s">
        <v>128</v>
      </c>
      <c r="C70" s="39" t="n">
        <v>1050</v>
      </c>
      <c r="D70" s="39" t="n">
        <v>0</v>
      </c>
      <c r="E70" s="39" t="n">
        <v>1050</v>
      </c>
      <c r="F70" s="39" t="n">
        <v>0</v>
      </c>
      <c r="G70" s="39" t="n">
        <v>1050</v>
      </c>
      <c r="H70" s="39" t="n">
        <v>0</v>
      </c>
      <c r="I70" s="40" t="s">
        <v>104</v>
      </c>
      <c r="J70" s="41" t="n">
        <v>5</v>
      </c>
    </row>
    <row r="71" customFormat="false" ht="15" hidden="false" customHeight="true" outlineLevel="0" collapsed="false">
      <c r="B71" s="15" t="s">
        <v>129</v>
      </c>
      <c r="C71" s="17" t="n">
        <v>162</v>
      </c>
      <c r="D71" s="17" t="n">
        <v>0</v>
      </c>
      <c r="E71" s="17" t="n">
        <v>80.7</v>
      </c>
      <c r="F71" s="17" t="n">
        <v>9.56</v>
      </c>
      <c r="G71" s="17" t="n">
        <v>90.26</v>
      </c>
      <c r="H71" s="17" t="n">
        <v>71.74</v>
      </c>
      <c r="I71" s="42" t="s">
        <v>100</v>
      </c>
      <c r="J71" s="43" t="n">
        <v>15</v>
      </c>
    </row>
    <row r="72" customFormat="false" ht="15" hidden="false" customHeight="true" outlineLevel="0" collapsed="false">
      <c r="B72" s="38" t="s">
        <v>130</v>
      </c>
      <c r="C72" s="39" t="n">
        <v>4876</v>
      </c>
      <c r="D72" s="39" t="n">
        <v>0</v>
      </c>
      <c r="E72" s="39" t="n">
        <v>1071.25</v>
      </c>
      <c r="F72" s="39" t="n">
        <v>177.31</v>
      </c>
      <c r="G72" s="39" t="n">
        <v>1248.56</v>
      </c>
      <c r="H72" s="39" t="n">
        <v>3627.44</v>
      </c>
      <c r="I72" s="40" t="s">
        <v>102</v>
      </c>
      <c r="J72" s="41" t="n">
        <v>27.5</v>
      </c>
    </row>
    <row r="73" customFormat="false" ht="15" hidden="false" customHeight="true" outlineLevel="0" collapsed="false">
      <c r="B73" s="15" t="s">
        <v>131</v>
      </c>
      <c r="C73" s="17" t="n">
        <v>13650</v>
      </c>
      <c r="D73" s="17" t="n">
        <v>13650</v>
      </c>
      <c r="E73" s="17" t="n">
        <v>13650</v>
      </c>
      <c r="F73" s="17" t="n">
        <v>0</v>
      </c>
      <c r="G73" s="17" t="n">
        <v>13650</v>
      </c>
      <c r="H73" s="17" t="n">
        <v>0</v>
      </c>
      <c r="I73" s="42" t="s">
        <v>104</v>
      </c>
      <c r="J73" s="43" t="n">
        <v>5</v>
      </c>
    </row>
    <row r="74" customFormat="false" ht="15" hidden="false" customHeight="true" outlineLevel="0" collapsed="false">
      <c r="B74" s="38" t="s">
        <v>132</v>
      </c>
      <c r="C74" s="39" t="n">
        <v>2108</v>
      </c>
      <c r="D74" s="39" t="n">
        <v>2108</v>
      </c>
      <c r="E74" s="39" t="n">
        <v>2108</v>
      </c>
      <c r="F74" s="39" t="n">
        <v>0</v>
      </c>
      <c r="G74" s="39" t="n">
        <v>2108</v>
      </c>
      <c r="H74" s="39" t="n">
        <v>0</v>
      </c>
      <c r="I74" s="40" t="s">
        <v>100</v>
      </c>
      <c r="J74" s="41" t="n">
        <v>15</v>
      </c>
    </row>
    <row r="75" customFormat="false" ht="15" hidden="false" customHeight="true" outlineLevel="0" collapsed="false">
      <c r="B75" s="15" t="s">
        <v>133</v>
      </c>
      <c r="C75" s="17" t="n">
        <v>63391</v>
      </c>
      <c r="D75" s="17" t="n">
        <v>0</v>
      </c>
      <c r="E75" s="17" t="n">
        <v>13926.83</v>
      </c>
      <c r="F75" s="17" t="n">
        <v>2305.13</v>
      </c>
      <c r="G75" s="17" t="n">
        <v>16231.96</v>
      </c>
      <c r="H75" s="17" t="n">
        <v>47159.04</v>
      </c>
      <c r="I75" s="42" t="s">
        <v>102</v>
      </c>
      <c r="J75" s="43" t="n">
        <v>27.5</v>
      </c>
    </row>
    <row r="76" customFormat="false" ht="15" hidden="false" customHeight="true" outlineLevel="0" collapsed="false">
      <c r="B76" s="38" t="s">
        <v>134</v>
      </c>
      <c r="C76" s="39" t="n">
        <v>2800</v>
      </c>
      <c r="D76" s="39" t="n">
        <v>2800</v>
      </c>
      <c r="E76" s="39" t="n">
        <v>2800</v>
      </c>
      <c r="F76" s="39" t="n">
        <v>0</v>
      </c>
      <c r="G76" s="39" t="n">
        <v>2800</v>
      </c>
      <c r="H76" s="39" t="n">
        <v>0</v>
      </c>
      <c r="I76" s="40" t="s">
        <v>104</v>
      </c>
      <c r="J76" s="41" t="n">
        <v>5</v>
      </c>
    </row>
    <row r="77" customFormat="false" ht="15" hidden="false" customHeight="true" outlineLevel="0" collapsed="false">
      <c r="B77" s="15" t="s">
        <v>135</v>
      </c>
      <c r="C77" s="17" t="n">
        <v>432</v>
      </c>
      <c r="D77" s="17" t="n">
        <v>432</v>
      </c>
      <c r="E77" s="17" t="n">
        <v>432</v>
      </c>
      <c r="F77" s="17" t="n">
        <v>0</v>
      </c>
      <c r="G77" s="17" t="n">
        <v>432</v>
      </c>
      <c r="H77" s="17" t="n">
        <v>0</v>
      </c>
      <c r="I77" s="42" t="s">
        <v>100</v>
      </c>
      <c r="J77" s="43" t="n">
        <v>15</v>
      </c>
    </row>
    <row r="78" customFormat="false" ht="15" hidden="false" customHeight="true" outlineLevel="0" collapsed="false">
      <c r="B78" s="38" t="s">
        <v>136</v>
      </c>
      <c r="C78" s="39" t="n">
        <v>13004</v>
      </c>
      <c r="D78" s="39" t="n">
        <v>0</v>
      </c>
      <c r="E78" s="39" t="n">
        <v>2856.74</v>
      </c>
      <c r="F78" s="39" t="n">
        <v>472.87</v>
      </c>
      <c r="G78" s="39" t="n">
        <v>3329.61</v>
      </c>
      <c r="H78" s="39" t="n">
        <v>9674.39</v>
      </c>
      <c r="I78" s="40" t="s">
        <v>102</v>
      </c>
      <c r="J78" s="41" t="n">
        <v>27.5</v>
      </c>
    </row>
    <row r="79" customFormat="false" ht="15" hidden="false" customHeight="true" outlineLevel="0" collapsed="false">
      <c r="A79" s="44"/>
      <c r="B79" s="45" t="s">
        <v>16</v>
      </c>
      <c r="C79" s="46" t="n">
        <f aca="false">SUM(C70:C78)</f>
        <v>101473</v>
      </c>
      <c r="D79" s="46" t="n">
        <f aca="false">SUM(D70:D78)</f>
        <v>18990</v>
      </c>
      <c r="E79" s="46" t="n">
        <f aca="false">SUM(E70:E78)</f>
        <v>37975.52</v>
      </c>
      <c r="F79" s="46" t="n">
        <f aca="false">SUM(F70:F78)</f>
        <v>2964.87</v>
      </c>
      <c r="G79" s="46" t="n">
        <f aca="false">SUM(G70:G78)</f>
        <v>40940.39</v>
      </c>
      <c r="H79" s="46" t="n">
        <f aca="false">SUM(H70:H78)</f>
        <v>60532.61</v>
      </c>
      <c r="I79" s="44"/>
      <c r="J79" s="44"/>
    </row>
    <row r="81" customFormat="false" ht="15" hidden="false" customHeight="true" outlineLevel="0" collapsed="false">
      <c r="A81" s="34" t="s">
        <v>35</v>
      </c>
      <c r="B81" s="34"/>
      <c r="C81" s="34"/>
      <c r="D81" s="34"/>
      <c r="E81" s="34"/>
    </row>
    <row r="82" customFormat="false" ht="15" hidden="false" customHeight="true" outlineLevel="0" collapsed="false">
      <c r="B82" s="15" t="s">
        <v>115</v>
      </c>
      <c r="C82" s="47" t="n">
        <f aca="false">G66</f>
        <v>39745.12</v>
      </c>
    </row>
    <row r="83" customFormat="false" ht="15" hidden="false" customHeight="true" outlineLevel="0" collapsed="false">
      <c r="B83" s="15" t="s">
        <v>116</v>
      </c>
      <c r="C83" s="47" t="n">
        <f aca="false">G79</f>
        <v>40940.39</v>
      </c>
    </row>
    <row r="84" customFormat="false" ht="15" hidden="false" customHeight="true" outlineLevel="0" collapsed="false">
      <c r="B84" s="18" t="s">
        <v>35</v>
      </c>
      <c r="C84" s="48" t="n">
        <f aca="false">C83-C82</f>
        <v>1195.27</v>
      </c>
    </row>
  </sheetData>
  <mergeCells count="13">
    <mergeCell ref="A2:J2"/>
    <mergeCell ref="A3:J3"/>
    <mergeCell ref="A4:J4"/>
    <mergeCell ref="A8:J8"/>
    <mergeCell ref="B10:J10"/>
    <mergeCell ref="B25:J25"/>
    <mergeCell ref="B30:J30"/>
    <mergeCell ref="B49:J49"/>
    <mergeCell ref="B55:J55"/>
    <mergeCell ref="A60:J60"/>
    <mergeCell ref="A61:J61"/>
    <mergeCell ref="A68:J68"/>
    <mergeCell ref="A81:E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true" outlineLevel="0" collapsed="false">
      <c r="A3" s="3" t="s">
        <v>137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2" t="s">
        <v>38</v>
      </c>
      <c r="C6" s="9" t="s">
        <v>18</v>
      </c>
    </row>
    <row r="8" customFormat="false" ht="15" hidden="false" customHeight="true" outlineLevel="0" collapsed="false">
      <c r="A8" s="23" t="s">
        <v>138</v>
      </c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true" outlineLevel="0" collapsed="false">
      <c r="A9" s="24"/>
      <c r="B9" s="24" t="s">
        <v>40</v>
      </c>
      <c r="C9" s="25" t="s">
        <v>41</v>
      </c>
      <c r="D9" s="25" t="s">
        <v>42</v>
      </c>
      <c r="E9" s="25" t="s">
        <v>43</v>
      </c>
      <c r="F9" s="25" t="s">
        <v>44</v>
      </c>
      <c r="G9" s="25" t="s">
        <v>45</v>
      </c>
      <c r="H9" s="25" t="s">
        <v>46</v>
      </c>
    </row>
    <row r="10" customFormat="false" ht="15" hidden="false" customHeight="true" outlineLevel="0" collapsed="false">
      <c r="A10" s="6"/>
      <c r="B10" s="7" t="s">
        <v>47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48</v>
      </c>
      <c r="C11" s="26" t="n">
        <v>857.75</v>
      </c>
      <c r="D11" s="26" t="n">
        <v>857.75</v>
      </c>
    </row>
    <row r="12" customFormat="false" ht="15" hidden="false" customHeight="true" outlineLevel="0" collapsed="false">
      <c r="B12" s="9" t="s">
        <v>49</v>
      </c>
      <c r="C12" s="26" t="n">
        <v>846.07</v>
      </c>
      <c r="D12" s="26" t="n">
        <v>846.07</v>
      </c>
    </row>
    <row r="13" customFormat="false" ht="15" hidden="false" customHeight="true" outlineLevel="0" collapsed="false">
      <c r="B13" s="9" t="s">
        <v>50</v>
      </c>
      <c r="C13" s="26" t="n">
        <v>2095.24</v>
      </c>
      <c r="D13" s="26" t="n">
        <v>2095.24</v>
      </c>
    </row>
    <row r="14" customFormat="false" ht="15" hidden="false" customHeight="true" outlineLevel="0" collapsed="false">
      <c r="B14" s="9" t="s">
        <v>51</v>
      </c>
      <c r="C14" s="26" t="n">
        <v>326.42</v>
      </c>
      <c r="D14" s="26" t="n">
        <v>326.42</v>
      </c>
    </row>
    <row r="15" customFormat="false" ht="15" hidden="false" customHeight="true" outlineLevel="0" collapsed="false">
      <c r="B15" s="9" t="s">
        <v>52</v>
      </c>
      <c r="C15" s="26" t="n">
        <v>208.64</v>
      </c>
      <c r="D15" s="26" t="n">
        <v>208.64</v>
      </c>
    </row>
    <row r="16" customFormat="false" ht="15" hidden="false" customHeight="true" outlineLevel="0" collapsed="false">
      <c r="B16" s="9" t="s">
        <v>53</v>
      </c>
      <c r="C16" s="26" t="n">
        <v>27.77</v>
      </c>
      <c r="D16" s="26" t="n">
        <v>27.77</v>
      </c>
    </row>
    <row r="17" customFormat="false" ht="15" hidden="false" customHeight="true" outlineLevel="0" collapsed="false">
      <c r="B17" s="9" t="s">
        <v>54</v>
      </c>
      <c r="C17" s="26" t="n">
        <v>18.26</v>
      </c>
      <c r="D17" s="26" t="n">
        <v>18.26</v>
      </c>
    </row>
    <row r="18" customFormat="false" ht="15" hidden="false" customHeight="true" outlineLevel="0" collapsed="false">
      <c r="B18" s="9" t="s">
        <v>55</v>
      </c>
      <c r="C18" s="26" t="n">
        <v>474.3</v>
      </c>
      <c r="D18" s="26" t="n">
        <v>474.3</v>
      </c>
    </row>
    <row r="19" customFormat="false" ht="15" hidden="false" customHeight="true" outlineLevel="0" collapsed="false">
      <c r="B19" s="9" t="s">
        <v>56</v>
      </c>
      <c r="C19" s="26" t="n">
        <v>274.37</v>
      </c>
      <c r="D19" s="26" t="n">
        <v>274.37</v>
      </c>
    </row>
    <row r="20" customFormat="false" ht="15" hidden="false" customHeight="true" outlineLevel="0" collapsed="false">
      <c r="B20" s="9" t="s">
        <v>57</v>
      </c>
      <c r="C20" s="26" t="n">
        <v>519.3</v>
      </c>
      <c r="D20" s="26" t="n">
        <v>519.3</v>
      </c>
    </row>
    <row r="21" customFormat="false" ht="15" hidden="false" customHeight="true" outlineLevel="0" collapsed="false">
      <c r="B21" s="9" t="s">
        <v>58</v>
      </c>
      <c r="C21" s="26" t="n">
        <v>103</v>
      </c>
      <c r="D21" s="26" t="n">
        <v>103</v>
      </c>
    </row>
    <row r="22" customFormat="false" ht="15" hidden="false" customHeight="true" outlineLevel="0" collapsed="false">
      <c r="B22" s="9" t="s">
        <v>139</v>
      </c>
      <c r="C22" s="26" t="n">
        <v>46.57</v>
      </c>
      <c r="D22" s="26" t="n">
        <v>46.57</v>
      </c>
    </row>
    <row r="23" customFormat="false" ht="15" hidden="false" customHeight="true" outlineLevel="0" collapsed="false">
      <c r="B23" s="9" t="s">
        <v>59</v>
      </c>
      <c r="C23" s="26" t="n">
        <v>520.23</v>
      </c>
      <c r="D23" s="26" t="n">
        <v>520.23</v>
      </c>
    </row>
    <row r="24" customFormat="false" ht="15" hidden="false" customHeight="true" outlineLevel="0" collapsed="false">
      <c r="A24" s="6"/>
      <c r="B24" s="7" t="s">
        <v>60</v>
      </c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true" outlineLevel="0" collapsed="false">
      <c r="B25" s="9" t="s">
        <v>61</v>
      </c>
      <c r="C25" s="26" t="n">
        <v>938.31</v>
      </c>
      <c r="F25" s="26" t="n">
        <v>938.31</v>
      </c>
    </row>
    <row r="26" customFormat="false" ht="15" hidden="false" customHeight="true" outlineLevel="0" collapsed="false">
      <c r="B26" s="9" t="s">
        <v>62</v>
      </c>
      <c r="C26" s="26" t="n">
        <v>130.23</v>
      </c>
      <c r="F26" s="26" t="n">
        <v>130.23</v>
      </c>
    </row>
    <row r="27" customFormat="false" ht="15" hidden="false" customHeight="true" outlineLevel="0" collapsed="false">
      <c r="B27" s="9" t="s">
        <v>63</v>
      </c>
      <c r="C27" s="26" t="n">
        <v>32.07</v>
      </c>
      <c r="F27" s="26" t="n">
        <v>32.07</v>
      </c>
    </row>
    <row r="28" customFormat="false" ht="15" hidden="false" customHeight="true" outlineLevel="0" collapsed="false">
      <c r="B28" s="9" t="s">
        <v>64</v>
      </c>
      <c r="C28" s="26" t="n">
        <v>19.9</v>
      </c>
      <c r="F28" s="26" t="n">
        <v>19.9</v>
      </c>
    </row>
    <row r="29" customFormat="false" ht="15" hidden="false" customHeight="true" outlineLevel="0" collapsed="false">
      <c r="A29" s="6"/>
      <c r="B29" s="7" t="s">
        <v>65</v>
      </c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true" outlineLevel="0" collapsed="false">
      <c r="B30" s="9" t="s">
        <v>66</v>
      </c>
      <c r="C30" s="26" t="n">
        <v>2029.7</v>
      </c>
      <c r="G30" s="26" t="n">
        <v>2029.7</v>
      </c>
    </row>
    <row r="31" customFormat="false" ht="15" hidden="false" customHeight="true" outlineLevel="0" collapsed="false">
      <c r="B31" s="9" t="s">
        <v>67</v>
      </c>
      <c r="C31" s="26" t="n">
        <v>4782.96</v>
      </c>
      <c r="G31" s="26" t="n">
        <v>4782.96</v>
      </c>
    </row>
    <row r="32" customFormat="false" ht="15" hidden="false" customHeight="true" outlineLevel="0" collapsed="false">
      <c r="B32" s="9" t="s">
        <v>68</v>
      </c>
      <c r="C32" s="26" t="n">
        <v>2829.99</v>
      </c>
      <c r="G32" s="26" t="n">
        <v>2829.99</v>
      </c>
    </row>
    <row r="33" customFormat="false" ht="15" hidden="false" customHeight="true" outlineLevel="0" collapsed="false">
      <c r="B33" s="9" t="s">
        <v>69</v>
      </c>
      <c r="C33" s="26" t="n">
        <v>2863.54</v>
      </c>
      <c r="G33" s="26" t="n">
        <v>2863.54</v>
      </c>
    </row>
    <row r="34" customFormat="false" ht="15" hidden="false" customHeight="true" outlineLevel="0" collapsed="false">
      <c r="B34" s="9" t="s">
        <v>70</v>
      </c>
      <c r="C34" s="26" t="n">
        <v>2484.23</v>
      </c>
      <c r="G34" s="26" t="n">
        <v>2484.23</v>
      </c>
    </row>
    <row r="35" customFormat="false" ht="15" hidden="false" customHeight="true" outlineLevel="0" collapsed="false">
      <c r="B35" s="9" t="s">
        <v>71</v>
      </c>
      <c r="C35" s="26" t="n">
        <v>138.55</v>
      </c>
      <c r="G35" s="26" t="n">
        <v>138.55</v>
      </c>
    </row>
    <row r="36" customFormat="false" ht="15" hidden="false" customHeight="true" outlineLevel="0" collapsed="false">
      <c r="B36" s="9" t="s">
        <v>72</v>
      </c>
      <c r="C36" s="26" t="n">
        <v>994.37</v>
      </c>
      <c r="G36" s="26" t="n">
        <v>994.37</v>
      </c>
    </row>
    <row r="37" customFormat="false" ht="15" hidden="false" customHeight="true" outlineLevel="0" collapsed="false">
      <c r="B37" s="9" t="s">
        <v>73</v>
      </c>
      <c r="C37" s="26" t="n">
        <v>1066.87</v>
      </c>
      <c r="G37" s="26" t="n">
        <v>1066.87</v>
      </c>
    </row>
    <row r="38" customFormat="false" ht="15" hidden="false" customHeight="true" outlineLevel="0" collapsed="false">
      <c r="B38" s="9" t="s">
        <v>74</v>
      </c>
      <c r="C38" s="26" t="n">
        <v>919.58</v>
      </c>
      <c r="G38" s="26" t="n">
        <v>919.58</v>
      </c>
    </row>
    <row r="39" customFormat="false" ht="15" hidden="false" customHeight="true" outlineLevel="0" collapsed="false">
      <c r="B39" s="9" t="s">
        <v>75</v>
      </c>
      <c r="C39" s="26" t="n">
        <v>1434.53</v>
      </c>
      <c r="G39" s="26" t="n">
        <v>1434.53</v>
      </c>
    </row>
    <row r="40" customFormat="false" ht="15" hidden="false" customHeight="true" outlineLevel="0" collapsed="false">
      <c r="B40" s="9" t="s">
        <v>76</v>
      </c>
      <c r="C40" s="26" t="n">
        <v>3724.72</v>
      </c>
      <c r="G40" s="26" t="n">
        <v>3724.72</v>
      </c>
    </row>
    <row r="41" customFormat="false" ht="15" hidden="false" customHeight="true" outlineLevel="0" collapsed="false">
      <c r="B41" s="9" t="s">
        <v>77</v>
      </c>
      <c r="C41" s="26" t="n">
        <v>1303.94</v>
      </c>
      <c r="G41" s="26" t="n">
        <v>1303.94</v>
      </c>
    </row>
    <row r="42" customFormat="false" ht="15" hidden="false" customHeight="true" outlineLevel="0" collapsed="false">
      <c r="B42" s="9" t="s">
        <v>78</v>
      </c>
      <c r="C42" s="26" t="n">
        <v>3740.14</v>
      </c>
      <c r="G42" s="26" t="n">
        <v>3740.14</v>
      </c>
    </row>
    <row r="43" customFormat="false" ht="15" hidden="false" customHeight="true" outlineLevel="0" collapsed="false">
      <c r="B43" s="9" t="s">
        <v>79</v>
      </c>
      <c r="C43" s="26" t="n">
        <v>647.78</v>
      </c>
      <c r="G43" s="26" t="n">
        <v>647.78</v>
      </c>
    </row>
    <row r="44" customFormat="false" ht="15" hidden="false" customHeight="true" outlineLevel="0" collapsed="false">
      <c r="B44" s="9" t="s">
        <v>80</v>
      </c>
      <c r="C44" s="26" t="n">
        <v>431.12</v>
      </c>
      <c r="G44" s="26" t="n">
        <v>431.12</v>
      </c>
    </row>
    <row r="45" customFormat="false" ht="15" hidden="false" customHeight="true" outlineLevel="0" collapsed="false">
      <c r="B45" s="9" t="s">
        <v>81</v>
      </c>
      <c r="C45" s="26" t="n">
        <v>256.73</v>
      </c>
      <c r="G45" s="26" t="n">
        <v>256.73</v>
      </c>
    </row>
    <row r="46" customFormat="false" ht="15" hidden="false" customHeight="true" outlineLevel="0" collapsed="false">
      <c r="A46" s="27"/>
      <c r="B46" s="28" t="s">
        <v>82</v>
      </c>
      <c r="C46" s="29" t="n">
        <f aca="false">SUM(C10:C45)</f>
        <v>37087.18</v>
      </c>
      <c r="D46" s="29" t="n">
        <f aca="false">SUM(D10:D45)</f>
        <v>6317.92</v>
      </c>
      <c r="E46" s="29" t="n">
        <f aca="false">SUM(E10:E45)</f>
        <v>0</v>
      </c>
      <c r="F46" s="29" t="n">
        <f aca="false">SUM(F10:F45)</f>
        <v>1120.51</v>
      </c>
      <c r="G46" s="29" t="n">
        <f aca="false">SUM(G10:G45)</f>
        <v>29648.75</v>
      </c>
      <c r="H46" s="27"/>
    </row>
    <row r="48" customFormat="false" ht="15" hidden="false" customHeight="true" outlineLevel="0" collapsed="false">
      <c r="A48" s="6"/>
      <c r="B48" s="7" t="s">
        <v>83</v>
      </c>
      <c r="C48" s="7"/>
      <c r="D48" s="7"/>
      <c r="E48" s="7"/>
      <c r="F48" s="7"/>
      <c r="G48" s="7"/>
      <c r="H48" s="7"/>
      <c r="I48" s="7"/>
      <c r="J48" s="7"/>
    </row>
    <row r="49" customFormat="false" ht="15" hidden="false" customHeight="true" outlineLevel="0" collapsed="false">
      <c r="B49" s="9" t="s">
        <v>140</v>
      </c>
      <c r="C49" s="26" t="n">
        <v>569814</v>
      </c>
      <c r="D49" s="26" t="n">
        <v>106017</v>
      </c>
      <c r="F49" s="26" t="n">
        <v>16634</v>
      </c>
      <c r="G49" s="26" t="n">
        <v>447163</v>
      </c>
    </row>
    <row r="50" customFormat="false" ht="15" hidden="false" customHeight="true" outlineLevel="0" collapsed="false">
      <c r="B50" s="9" t="s">
        <v>141</v>
      </c>
      <c r="C50" s="26" t="n">
        <v>43832</v>
      </c>
      <c r="D50" s="26" t="n">
        <v>8155</v>
      </c>
      <c r="F50" s="26" t="n">
        <v>1280</v>
      </c>
      <c r="G50" s="26" t="n">
        <v>34397</v>
      </c>
    </row>
    <row r="51" customFormat="false" ht="15" hidden="false" customHeight="true" outlineLevel="0" collapsed="false">
      <c r="B51" s="9" t="s">
        <v>142</v>
      </c>
      <c r="C51" s="26" t="n">
        <v>116885</v>
      </c>
      <c r="D51" s="26" t="n">
        <v>21747</v>
      </c>
      <c r="F51" s="26" t="n">
        <v>3412</v>
      </c>
      <c r="G51" s="26" t="n">
        <v>91726</v>
      </c>
    </row>
    <row r="52" customFormat="false" ht="15" hidden="false" customHeight="true" outlineLevel="0" collapsed="false">
      <c r="A52" s="27"/>
      <c r="B52" s="28" t="s">
        <v>87</v>
      </c>
      <c r="C52" s="29" t="n">
        <f aca="false">SUM(C49:C51)</f>
        <v>730531</v>
      </c>
      <c r="D52" s="29" t="n">
        <f aca="false">SUM(D49:D51)</f>
        <v>135919</v>
      </c>
      <c r="E52" s="27"/>
      <c r="F52" s="29" t="n">
        <f aca="false">SUM(F49:F51)</f>
        <v>21326</v>
      </c>
      <c r="G52" s="29" t="n">
        <f aca="false">SUM(G49:G51)</f>
        <v>573286</v>
      </c>
      <c r="H52" s="27"/>
    </row>
    <row r="54" customFormat="false" ht="15" hidden="false" customHeight="true" outlineLevel="0" collapsed="false">
      <c r="A54" s="30"/>
      <c r="B54" s="31" t="s">
        <v>143</v>
      </c>
      <c r="C54" s="31"/>
      <c r="D54" s="31"/>
      <c r="E54" s="31"/>
      <c r="F54" s="31"/>
      <c r="G54" s="31"/>
      <c r="H54" s="31"/>
      <c r="I54" s="31"/>
      <c r="J54" s="31"/>
    </row>
    <row r="55" customFormat="false" ht="15" hidden="false" customHeight="true" outlineLevel="0" collapsed="false">
      <c r="B55" s="32" t="s">
        <v>141</v>
      </c>
      <c r="C55" s="33" t="n">
        <v>43832</v>
      </c>
      <c r="D55" s="33" t="n">
        <v>8155</v>
      </c>
      <c r="F55" s="33" t="n">
        <v>1280</v>
      </c>
      <c r="G55" s="33" t="n">
        <v>34397</v>
      </c>
    </row>
    <row r="56" customFormat="false" ht="15" hidden="false" customHeight="true" outlineLevel="0" collapsed="false">
      <c r="B56" s="32" t="s">
        <v>140</v>
      </c>
      <c r="C56" s="33" t="n">
        <v>569814</v>
      </c>
      <c r="D56" s="33" t="n">
        <v>106017</v>
      </c>
      <c r="F56" s="33" t="n">
        <v>16634</v>
      </c>
      <c r="G56" s="33" t="n">
        <v>447163</v>
      </c>
    </row>
    <row r="57" customFormat="false" ht="15" hidden="false" customHeight="true" outlineLevel="0" collapsed="false">
      <c r="B57" s="32" t="s">
        <v>142</v>
      </c>
      <c r="C57" s="33" t="n">
        <v>116885</v>
      </c>
      <c r="D57" s="33" t="n">
        <v>21747</v>
      </c>
      <c r="F57" s="33" t="n">
        <v>3412</v>
      </c>
      <c r="G57" s="33" t="n">
        <v>91726</v>
      </c>
    </row>
    <row r="59" customFormat="false" ht="15" hidden="false" customHeight="true" outlineLevel="0" collapsed="false">
      <c r="A59" s="34" t="s">
        <v>89</v>
      </c>
      <c r="B59" s="34"/>
      <c r="C59" s="34"/>
      <c r="D59" s="34"/>
      <c r="E59" s="34"/>
      <c r="F59" s="34"/>
      <c r="G59" s="34"/>
      <c r="H59" s="34"/>
      <c r="I59" s="34"/>
      <c r="J59" s="34"/>
    </row>
    <row r="60" customFormat="false" ht="15" hidden="false" customHeight="true" outlineLevel="0" collapsed="false">
      <c r="A60" s="35" t="s">
        <v>33</v>
      </c>
      <c r="B60" s="35"/>
      <c r="C60" s="35"/>
      <c r="D60" s="35"/>
      <c r="E60" s="35"/>
      <c r="F60" s="35"/>
      <c r="G60" s="35"/>
      <c r="H60" s="35"/>
      <c r="I60" s="35"/>
      <c r="J60" s="35"/>
    </row>
    <row r="61" customFormat="false" ht="15" hidden="false" customHeight="true" outlineLevel="0" collapsed="false">
      <c r="A61" s="36"/>
      <c r="B61" s="36" t="s">
        <v>90</v>
      </c>
      <c r="C61" s="37" t="s">
        <v>91</v>
      </c>
      <c r="D61" s="37" t="s">
        <v>92</v>
      </c>
      <c r="E61" s="37" t="s">
        <v>93</v>
      </c>
      <c r="F61" s="37" t="s">
        <v>94</v>
      </c>
      <c r="G61" s="37" t="s">
        <v>95</v>
      </c>
      <c r="H61" s="37" t="s">
        <v>96</v>
      </c>
      <c r="I61" s="37" t="s">
        <v>97</v>
      </c>
      <c r="J61" s="37" t="s">
        <v>98</v>
      </c>
    </row>
    <row r="62" customFormat="false" ht="15" hidden="false" customHeight="true" outlineLevel="0" collapsed="false">
      <c r="B62" s="38" t="s">
        <v>144</v>
      </c>
      <c r="C62" s="39" t="n">
        <v>43832</v>
      </c>
      <c r="D62" s="39" t="n">
        <v>0</v>
      </c>
      <c r="E62" s="39" t="n">
        <v>20753.56</v>
      </c>
      <c r="F62" s="39" t="n">
        <v>2588.37</v>
      </c>
      <c r="G62" s="39" t="n">
        <v>23341.93</v>
      </c>
      <c r="H62" s="39" t="n">
        <v>20490.07</v>
      </c>
      <c r="I62" s="40" t="s">
        <v>100</v>
      </c>
      <c r="J62" s="41" t="n">
        <v>15</v>
      </c>
    </row>
    <row r="63" customFormat="false" ht="15" hidden="false" customHeight="true" outlineLevel="0" collapsed="false">
      <c r="B63" s="15" t="s">
        <v>145</v>
      </c>
      <c r="C63" s="17" t="n">
        <v>569814</v>
      </c>
      <c r="D63" s="17" t="n">
        <v>0</v>
      </c>
      <c r="E63" s="17" t="n">
        <v>125185.59</v>
      </c>
      <c r="F63" s="17" t="n">
        <v>20720.33</v>
      </c>
      <c r="G63" s="17" t="n">
        <v>145905.92</v>
      </c>
      <c r="H63" s="17" t="n">
        <v>423908.08</v>
      </c>
      <c r="I63" s="42" t="s">
        <v>102</v>
      </c>
      <c r="J63" s="43" t="n">
        <v>27.5</v>
      </c>
    </row>
    <row r="64" customFormat="false" ht="15" hidden="false" customHeight="true" outlineLevel="0" collapsed="false">
      <c r="B64" s="38" t="s">
        <v>146</v>
      </c>
      <c r="C64" s="39" t="n">
        <v>116885</v>
      </c>
      <c r="D64" s="39" t="n">
        <v>116885</v>
      </c>
      <c r="E64" s="39" t="n">
        <v>116885</v>
      </c>
      <c r="F64" s="39" t="n">
        <v>0</v>
      </c>
      <c r="G64" s="39" t="n">
        <v>116885</v>
      </c>
      <c r="H64" s="39" t="n">
        <v>0</v>
      </c>
      <c r="I64" s="40" t="s">
        <v>104</v>
      </c>
      <c r="J64" s="41" t="n">
        <v>5</v>
      </c>
    </row>
    <row r="65" customFormat="false" ht="15" hidden="false" customHeight="true" outlineLevel="0" collapsed="false">
      <c r="A65" s="44"/>
      <c r="B65" s="45" t="s">
        <v>16</v>
      </c>
      <c r="C65" s="46" t="n">
        <f aca="false">SUM(C62:C64)</f>
        <v>730531</v>
      </c>
      <c r="D65" s="46" t="n">
        <f aca="false">SUM(D62:D64)</f>
        <v>116885</v>
      </c>
      <c r="E65" s="46" t="n">
        <f aca="false">SUM(E62:E64)</f>
        <v>262824.15</v>
      </c>
      <c r="F65" s="46" t="n">
        <f aca="false">SUM(F62:F64)</f>
        <v>23308.7</v>
      </c>
      <c r="G65" s="46" t="n">
        <f aca="false">SUM(G62:G64)</f>
        <v>286132.85</v>
      </c>
      <c r="H65" s="46" t="n">
        <f aca="false">SUM(H62:H64)</f>
        <v>444398.15</v>
      </c>
      <c r="I65" s="44"/>
      <c r="J65" s="44"/>
    </row>
    <row r="67" customFormat="false" ht="15" hidden="false" customHeight="true" outlineLevel="0" collapsed="false">
      <c r="A67" s="31" t="s">
        <v>105</v>
      </c>
      <c r="B67" s="31"/>
      <c r="C67" s="31"/>
      <c r="D67" s="31"/>
      <c r="E67" s="31"/>
      <c r="F67" s="31"/>
      <c r="G67" s="31"/>
      <c r="H67" s="31"/>
      <c r="I67" s="31"/>
      <c r="J67" s="31"/>
    </row>
    <row r="68" customFormat="false" ht="15" hidden="false" customHeight="true" outlineLevel="0" collapsed="false">
      <c r="A68" s="36"/>
      <c r="B68" s="36" t="s">
        <v>90</v>
      </c>
      <c r="C68" s="37" t="s">
        <v>91</v>
      </c>
      <c r="D68" s="37" t="s">
        <v>92</v>
      </c>
      <c r="E68" s="37" t="s">
        <v>93</v>
      </c>
      <c r="F68" s="37" t="s">
        <v>94</v>
      </c>
      <c r="G68" s="37" t="s">
        <v>95</v>
      </c>
      <c r="H68" s="37" t="s">
        <v>96</v>
      </c>
      <c r="I68" s="37" t="s">
        <v>97</v>
      </c>
      <c r="J68" s="37" t="s">
        <v>98</v>
      </c>
    </row>
    <row r="69" customFormat="false" ht="15" hidden="false" customHeight="true" outlineLevel="0" collapsed="false">
      <c r="B69" s="38" t="s">
        <v>147</v>
      </c>
      <c r="C69" s="39" t="n">
        <v>8155</v>
      </c>
      <c r="D69" s="39" t="n">
        <v>0</v>
      </c>
      <c r="E69" s="39" t="n">
        <v>8155</v>
      </c>
      <c r="F69" s="39" t="n">
        <v>0</v>
      </c>
      <c r="G69" s="39" t="n">
        <v>8155</v>
      </c>
      <c r="H69" s="39" t="n">
        <v>0</v>
      </c>
      <c r="I69" s="40" t="s">
        <v>104</v>
      </c>
      <c r="J69" s="41" t="n">
        <v>5</v>
      </c>
    </row>
    <row r="70" customFormat="false" ht="15" hidden="false" customHeight="true" outlineLevel="0" collapsed="false">
      <c r="B70" s="15" t="s">
        <v>148</v>
      </c>
      <c r="C70" s="17" t="n">
        <v>1280</v>
      </c>
      <c r="D70" s="17" t="n">
        <v>0</v>
      </c>
      <c r="E70" s="17" t="n">
        <v>1280</v>
      </c>
      <c r="F70" s="17" t="n">
        <v>0</v>
      </c>
      <c r="G70" s="17" t="n">
        <v>1280</v>
      </c>
      <c r="H70" s="17" t="n">
        <v>0</v>
      </c>
      <c r="I70" s="42" t="s">
        <v>100</v>
      </c>
      <c r="J70" s="43" t="n">
        <v>15</v>
      </c>
    </row>
    <row r="71" customFormat="false" ht="15" hidden="false" customHeight="true" outlineLevel="0" collapsed="false">
      <c r="B71" s="38" t="s">
        <v>149</v>
      </c>
      <c r="C71" s="39" t="n">
        <v>34397</v>
      </c>
      <c r="D71" s="39" t="n">
        <v>0</v>
      </c>
      <c r="E71" s="39" t="n">
        <v>7556.92</v>
      </c>
      <c r="F71" s="39" t="n">
        <v>1250.8</v>
      </c>
      <c r="G71" s="39" t="n">
        <v>8807.72</v>
      </c>
      <c r="H71" s="39" t="n">
        <v>25589.28</v>
      </c>
      <c r="I71" s="40" t="s">
        <v>102</v>
      </c>
      <c r="J71" s="41" t="n">
        <v>27.5</v>
      </c>
    </row>
    <row r="72" customFormat="false" ht="15" hidden="false" customHeight="true" outlineLevel="0" collapsed="false">
      <c r="B72" s="15" t="s">
        <v>150</v>
      </c>
      <c r="C72" s="17" t="n">
        <v>106017</v>
      </c>
      <c r="D72" s="17" t="n">
        <v>106017</v>
      </c>
      <c r="E72" s="17" t="n">
        <v>106017</v>
      </c>
      <c r="F72" s="17" t="n">
        <v>0</v>
      </c>
      <c r="G72" s="17" t="n">
        <v>106017</v>
      </c>
      <c r="H72" s="17" t="n">
        <v>0</v>
      </c>
      <c r="I72" s="42" t="s">
        <v>104</v>
      </c>
      <c r="J72" s="43" t="n">
        <v>5</v>
      </c>
    </row>
    <row r="73" customFormat="false" ht="15" hidden="false" customHeight="true" outlineLevel="0" collapsed="false">
      <c r="B73" s="38" t="s">
        <v>151</v>
      </c>
      <c r="C73" s="39" t="n">
        <v>16634</v>
      </c>
      <c r="D73" s="39" t="n">
        <v>16634</v>
      </c>
      <c r="E73" s="39" t="n">
        <v>16634</v>
      </c>
      <c r="F73" s="39" t="n">
        <v>0</v>
      </c>
      <c r="G73" s="39" t="n">
        <v>16634</v>
      </c>
      <c r="H73" s="39" t="n">
        <v>0</v>
      </c>
      <c r="I73" s="40" t="s">
        <v>100</v>
      </c>
      <c r="J73" s="41" t="n">
        <v>15</v>
      </c>
    </row>
    <row r="74" customFormat="false" ht="15" hidden="false" customHeight="true" outlineLevel="0" collapsed="false">
      <c r="B74" s="15" t="s">
        <v>152</v>
      </c>
      <c r="C74" s="17" t="n">
        <v>447163</v>
      </c>
      <c r="D74" s="17" t="n">
        <v>0</v>
      </c>
      <c r="E74" s="17" t="n">
        <v>98240.34</v>
      </c>
      <c r="F74" s="17" t="n">
        <v>16260.47</v>
      </c>
      <c r="G74" s="17" t="n">
        <v>114500.81</v>
      </c>
      <c r="H74" s="17" t="n">
        <v>332662.19</v>
      </c>
      <c r="I74" s="42" t="s">
        <v>102</v>
      </c>
      <c r="J74" s="43" t="n">
        <v>27.5</v>
      </c>
    </row>
    <row r="75" customFormat="false" ht="15" hidden="false" customHeight="true" outlineLevel="0" collapsed="false">
      <c r="B75" s="38" t="s">
        <v>153</v>
      </c>
      <c r="C75" s="39" t="n">
        <v>21747</v>
      </c>
      <c r="D75" s="39" t="n">
        <v>21747</v>
      </c>
      <c r="E75" s="39" t="n">
        <v>21747</v>
      </c>
      <c r="F75" s="39" t="n">
        <v>0</v>
      </c>
      <c r="G75" s="39" t="n">
        <v>21747</v>
      </c>
      <c r="H75" s="39" t="n">
        <v>0</v>
      </c>
      <c r="I75" s="40" t="s">
        <v>104</v>
      </c>
      <c r="J75" s="41" t="n">
        <v>5</v>
      </c>
    </row>
    <row r="76" customFormat="false" ht="15" hidden="false" customHeight="true" outlineLevel="0" collapsed="false">
      <c r="B76" s="15" t="s">
        <v>154</v>
      </c>
      <c r="C76" s="17" t="n">
        <v>3412</v>
      </c>
      <c r="D76" s="17" t="n">
        <v>3412</v>
      </c>
      <c r="E76" s="17" t="n">
        <v>3412</v>
      </c>
      <c r="F76" s="17" t="n">
        <v>0</v>
      </c>
      <c r="G76" s="17" t="n">
        <v>3412</v>
      </c>
      <c r="H76" s="17" t="n">
        <v>0</v>
      </c>
      <c r="I76" s="42" t="s">
        <v>100</v>
      </c>
      <c r="J76" s="43" t="n">
        <v>15</v>
      </c>
    </row>
    <row r="77" customFormat="false" ht="15" hidden="false" customHeight="true" outlineLevel="0" collapsed="false">
      <c r="B77" s="38" t="s">
        <v>155</v>
      </c>
      <c r="C77" s="39" t="n">
        <v>91726</v>
      </c>
      <c r="D77" s="39" t="n">
        <v>0</v>
      </c>
      <c r="E77" s="39" t="n">
        <v>20151.92</v>
      </c>
      <c r="F77" s="39" t="n">
        <v>3335.49</v>
      </c>
      <c r="G77" s="39" t="n">
        <v>23487.41</v>
      </c>
      <c r="H77" s="39" t="n">
        <v>68238.59</v>
      </c>
      <c r="I77" s="40" t="s">
        <v>102</v>
      </c>
      <c r="J77" s="41" t="n">
        <v>27.5</v>
      </c>
    </row>
    <row r="78" customFormat="false" ht="15" hidden="false" customHeight="true" outlineLevel="0" collapsed="false">
      <c r="A78" s="44"/>
      <c r="B78" s="45" t="s">
        <v>16</v>
      </c>
      <c r="C78" s="46" t="n">
        <f aca="false">SUM(C69:C77)</f>
        <v>730531</v>
      </c>
      <c r="D78" s="46" t="n">
        <f aca="false">SUM(D69:D77)</f>
        <v>147810</v>
      </c>
      <c r="E78" s="46" t="n">
        <f aca="false">SUM(E69:E77)</f>
        <v>283194.18</v>
      </c>
      <c r="F78" s="46" t="n">
        <f aca="false">SUM(F69:F77)</f>
        <v>20846.76</v>
      </c>
      <c r="G78" s="46" t="n">
        <f aca="false">SUM(G69:G77)</f>
        <v>304040.94</v>
      </c>
      <c r="H78" s="46" t="n">
        <f aca="false">SUM(H69:H77)</f>
        <v>426490.06</v>
      </c>
      <c r="I78" s="44"/>
      <c r="J78" s="44"/>
    </row>
    <row r="80" customFormat="false" ht="15" hidden="false" customHeight="true" outlineLevel="0" collapsed="false">
      <c r="A80" s="34" t="s">
        <v>35</v>
      </c>
      <c r="B80" s="34"/>
      <c r="C80" s="34"/>
      <c r="D80" s="34"/>
      <c r="E80" s="34"/>
    </row>
    <row r="81" customFormat="false" ht="15" hidden="false" customHeight="true" outlineLevel="0" collapsed="false">
      <c r="B81" s="15" t="s">
        <v>115</v>
      </c>
      <c r="C81" s="47" t="n">
        <f aca="false">G65</f>
        <v>286132.85</v>
      </c>
    </row>
    <row r="82" customFormat="false" ht="15" hidden="false" customHeight="true" outlineLevel="0" collapsed="false">
      <c r="B82" s="15" t="s">
        <v>116</v>
      </c>
      <c r="C82" s="47" t="n">
        <f aca="false">G78</f>
        <v>304040.94</v>
      </c>
    </row>
    <row r="83" customFormat="false" ht="15" hidden="false" customHeight="true" outlineLevel="0" collapsed="false">
      <c r="B83" s="18" t="s">
        <v>35</v>
      </c>
      <c r="C83" s="48" t="n">
        <f aca="false">C82-C81</f>
        <v>17908.09</v>
      </c>
    </row>
  </sheetData>
  <mergeCells count="13">
    <mergeCell ref="A2:J2"/>
    <mergeCell ref="A3:J3"/>
    <mergeCell ref="A4:J4"/>
    <mergeCell ref="A8:J8"/>
    <mergeCell ref="B10:J10"/>
    <mergeCell ref="B24:J24"/>
    <mergeCell ref="B29:J29"/>
    <mergeCell ref="B48:J48"/>
    <mergeCell ref="B54:J54"/>
    <mergeCell ref="A59:J59"/>
    <mergeCell ref="A60:J60"/>
    <mergeCell ref="A67:J67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true" outlineLevel="0" collapsed="false">
      <c r="A3" s="3" t="s">
        <v>156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2" t="s">
        <v>38</v>
      </c>
      <c r="C6" s="9" t="s">
        <v>18</v>
      </c>
    </row>
    <row r="8" customFormat="false" ht="15" hidden="false" customHeight="true" outlineLevel="0" collapsed="false">
      <c r="A8" s="23" t="s">
        <v>157</v>
      </c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true" outlineLevel="0" collapsed="false">
      <c r="A9" s="24"/>
      <c r="B9" s="24" t="s">
        <v>40</v>
      </c>
      <c r="C9" s="25" t="s">
        <v>41</v>
      </c>
      <c r="D9" s="25" t="s">
        <v>42</v>
      </c>
      <c r="E9" s="25" t="s">
        <v>43</v>
      </c>
      <c r="F9" s="25" t="s">
        <v>44</v>
      </c>
      <c r="G9" s="25" t="s">
        <v>45</v>
      </c>
      <c r="H9" s="25" t="s">
        <v>46</v>
      </c>
    </row>
    <row r="10" customFormat="false" ht="15" hidden="false" customHeight="true" outlineLevel="0" collapsed="false">
      <c r="A10" s="6"/>
      <c r="B10" s="7" t="s">
        <v>47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48</v>
      </c>
      <c r="C11" s="26" t="n">
        <v>990.47</v>
      </c>
      <c r="D11" s="26" t="n">
        <v>990.47</v>
      </c>
    </row>
    <row r="12" customFormat="false" ht="15" hidden="false" customHeight="true" outlineLevel="0" collapsed="false">
      <c r="B12" s="9" t="s">
        <v>49</v>
      </c>
      <c r="C12" s="26" t="n">
        <v>702.07</v>
      </c>
      <c r="D12" s="26" t="n">
        <v>702.07</v>
      </c>
    </row>
    <row r="13" customFormat="false" ht="15" hidden="false" customHeight="true" outlineLevel="0" collapsed="false">
      <c r="B13" s="9" t="s">
        <v>50</v>
      </c>
      <c r="C13" s="26" t="n">
        <v>1541.32</v>
      </c>
      <c r="D13" s="26" t="n">
        <v>1541.32</v>
      </c>
    </row>
    <row r="14" customFormat="false" ht="15" hidden="false" customHeight="true" outlineLevel="0" collapsed="false">
      <c r="B14" s="9" t="s">
        <v>51</v>
      </c>
      <c r="C14" s="26" t="n">
        <v>326.42</v>
      </c>
      <c r="D14" s="26" t="n">
        <v>326.42</v>
      </c>
    </row>
    <row r="15" customFormat="false" ht="15" hidden="false" customHeight="true" outlineLevel="0" collapsed="false">
      <c r="B15" s="9" t="s">
        <v>52</v>
      </c>
      <c r="C15" s="26" t="n">
        <v>191.73</v>
      </c>
      <c r="D15" s="26" t="n">
        <v>191.73</v>
      </c>
    </row>
    <row r="16" customFormat="false" ht="15" hidden="false" customHeight="true" outlineLevel="0" collapsed="false">
      <c r="B16" s="9" t="s">
        <v>53</v>
      </c>
      <c r="C16" s="26" t="n">
        <v>27.77</v>
      </c>
      <c r="D16" s="26" t="n">
        <v>27.77</v>
      </c>
    </row>
    <row r="17" customFormat="false" ht="15" hidden="false" customHeight="true" outlineLevel="0" collapsed="false">
      <c r="B17" s="9" t="s">
        <v>54</v>
      </c>
      <c r="C17" s="26" t="n">
        <v>18.26</v>
      </c>
      <c r="D17" s="26" t="n">
        <v>18.26</v>
      </c>
    </row>
    <row r="18" customFormat="false" ht="15" hidden="false" customHeight="true" outlineLevel="0" collapsed="false">
      <c r="B18" s="9" t="s">
        <v>55</v>
      </c>
      <c r="C18" s="26" t="n">
        <v>474.3</v>
      </c>
      <c r="D18" s="26" t="n">
        <v>474.3</v>
      </c>
    </row>
    <row r="19" customFormat="false" ht="15" hidden="false" customHeight="true" outlineLevel="0" collapsed="false">
      <c r="B19" s="9" t="s">
        <v>56</v>
      </c>
      <c r="C19" s="26" t="n">
        <v>201.84</v>
      </c>
      <c r="D19" s="26" t="n">
        <v>201.84</v>
      </c>
    </row>
    <row r="20" customFormat="false" ht="15" hidden="false" customHeight="true" outlineLevel="0" collapsed="false">
      <c r="B20" s="9" t="s">
        <v>57</v>
      </c>
      <c r="C20" s="26" t="n">
        <v>519.3</v>
      </c>
      <c r="D20" s="26" t="n">
        <v>519.3</v>
      </c>
    </row>
    <row r="21" customFormat="false" ht="15" hidden="false" customHeight="true" outlineLevel="0" collapsed="false">
      <c r="B21" s="9" t="s">
        <v>58</v>
      </c>
      <c r="C21" s="26" t="n">
        <v>103</v>
      </c>
      <c r="D21" s="26" t="n">
        <v>103</v>
      </c>
    </row>
    <row r="22" customFormat="false" ht="15" hidden="false" customHeight="true" outlineLevel="0" collapsed="false">
      <c r="B22" s="9" t="s">
        <v>139</v>
      </c>
      <c r="C22" s="26" t="n">
        <v>46.57</v>
      </c>
      <c r="D22" s="26" t="n">
        <v>46.57</v>
      </c>
    </row>
    <row r="23" customFormat="false" ht="15" hidden="false" customHeight="true" outlineLevel="0" collapsed="false">
      <c r="B23" s="9" t="s">
        <v>59</v>
      </c>
      <c r="C23" s="26" t="n">
        <v>520.23</v>
      </c>
      <c r="D23" s="26" t="n">
        <v>520.23</v>
      </c>
    </row>
    <row r="24" customFormat="false" ht="15" hidden="false" customHeight="true" outlineLevel="0" collapsed="false">
      <c r="A24" s="6"/>
      <c r="B24" s="7" t="s">
        <v>60</v>
      </c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true" outlineLevel="0" collapsed="false">
      <c r="B25" s="9" t="s">
        <v>61</v>
      </c>
      <c r="C25" s="26" t="n">
        <v>685.64</v>
      </c>
      <c r="F25" s="26" t="n">
        <v>685.64</v>
      </c>
    </row>
    <row r="26" customFormat="false" ht="15" hidden="false" customHeight="true" outlineLevel="0" collapsed="false">
      <c r="B26" s="9" t="s">
        <v>62</v>
      </c>
      <c r="C26" s="26" t="n">
        <v>150.96</v>
      </c>
      <c r="F26" s="26" t="n">
        <v>150.96</v>
      </c>
    </row>
    <row r="27" customFormat="false" ht="15" hidden="false" customHeight="true" outlineLevel="0" collapsed="false">
      <c r="B27" s="9" t="s">
        <v>63</v>
      </c>
      <c r="C27" s="26" t="n">
        <v>32.07</v>
      </c>
      <c r="F27" s="26" t="n">
        <v>32.07</v>
      </c>
    </row>
    <row r="28" customFormat="false" ht="15" hidden="false" customHeight="true" outlineLevel="0" collapsed="false">
      <c r="B28" s="9" t="s">
        <v>64</v>
      </c>
      <c r="C28" s="26" t="n">
        <v>19.9</v>
      </c>
      <c r="F28" s="26" t="n">
        <v>19.9</v>
      </c>
    </row>
    <row r="29" customFormat="false" ht="15" hidden="false" customHeight="true" outlineLevel="0" collapsed="false">
      <c r="A29" s="6"/>
      <c r="B29" s="7" t="s">
        <v>65</v>
      </c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true" outlineLevel="0" collapsed="false">
      <c r="B30" s="9" t="s">
        <v>66</v>
      </c>
      <c r="C30" s="26" t="n">
        <v>1795.53</v>
      </c>
      <c r="G30" s="26" t="n">
        <v>1795.53</v>
      </c>
    </row>
    <row r="31" customFormat="false" ht="15" hidden="false" customHeight="true" outlineLevel="0" collapsed="false">
      <c r="B31" s="9" t="s">
        <v>67</v>
      </c>
      <c r="C31" s="26" t="n">
        <v>3640.65</v>
      </c>
      <c r="G31" s="26" t="n">
        <v>3640.65</v>
      </c>
    </row>
    <row r="32" customFormat="false" ht="15" hidden="false" customHeight="true" outlineLevel="0" collapsed="false">
      <c r="B32" s="9" t="s">
        <v>68</v>
      </c>
      <c r="C32" s="26" t="n">
        <v>2074.48</v>
      </c>
      <c r="G32" s="26" t="n">
        <v>2074.48</v>
      </c>
    </row>
    <row r="33" customFormat="false" ht="15" hidden="false" customHeight="true" outlineLevel="0" collapsed="false">
      <c r="B33" s="9" t="s">
        <v>69</v>
      </c>
      <c r="C33" s="26" t="n">
        <v>1981.12</v>
      </c>
      <c r="G33" s="26" t="n">
        <v>1981.12</v>
      </c>
    </row>
    <row r="34" customFormat="false" ht="15" hidden="false" customHeight="true" outlineLevel="0" collapsed="false">
      <c r="B34" s="9" t="s">
        <v>70</v>
      </c>
      <c r="C34" s="26" t="n">
        <v>1827.48</v>
      </c>
      <c r="G34" s="26" t="n">
        <v>1827.48</v>
      </c>
    </row>
    <row r="35" customFormat="false" ht="15" hidden="false" customHeight="true" outlineLevel="0" collapsed="false">
      <c r="B35" s="9" t="s">
        <v>71</v>
      </c>
      <c r="C35" s="26" t="n">
        <v>110.84</v>
      </c>
      <c r="G35" s="26" t="n">
        <v>110.84</v>
      </c>
    </row>
    <row r="36" customFormat="false" ht="15" hidden="false" customHeight="true" outlineLevel="0" collapsed="false">
      <c r="B36" s="9" t="s">
        <v>72</v>
      </c>
      <c r="C36" s="26" t="n">
        <v>1031.81</v>
      </c>
      <c r="G36" s="26" t="n">
        <v>1031.81</v>
      </c>
    </row>
    <row r="37" customFormat="false" ht="15" hidden="false" customHeight="true" outlineLevel="0" collapsed="false">
      <c r="B37" s="9" t="s">
        <v>73</v>
      </c>
      <c r="C37" s="26" t="n">
        <v>953.01</v>
      </c>
      <c r="G37" s="26" t="n">
        <v>953.01</v>
      </c>
    </row>
    <row r="38" customFormat="false" ht="15" hidden="false" customHeight="true" outlineLevel="0" collapsed="false">
      <c r="B38" s="9" t="s">
        <v>74</v>
      </c>
      <c r="C38" s="26" t="n">
        <v>845.03</v>
      </c>
      <c r="G38" s="26" t="n">
        <v>845.03</v>
      </c>
    </row>
    <row r="39" customFormat="false" ht="15" hidden="false" customHeight="true" outlineLevel="0" collapsed="false">
      <c r="B39" s="9" t="s">
        <v>75</v>
      </c>
      <c r="C39" s="26" t="n">
        <v>1080.49</v>
      </c>
      <c r="G39" s="26" t="n">
        <v>1080.49</v>
      </c>
    </row>
    <row r="40" customFormat="false" ht="15" hidden="false" customHeight="true" outlineLevel="0" collapsed="false">
      <c r="B40" s="9" t="s">
        <v>76</v>
      </c>
      <c r="C40" s="26" t="n">
        <v>3076.64</v>
      </c>
      <c r="G40" s="26" t="n">
        <v>3076.64</v>
      </c>
    </row>
    <row r="41" customFormat="false" ht="15" hidden="false" customHeight="true" outlineLevel="0" collapsed="false">
      <c r="B41" s="9" t="s">
        <v>77</v>
      </c>
      <c r="C41" s="26" t="n">
        <v>1043.32</v>
      </c>
      <c r="G41" s="26" t="n">
        <v>1043.32</v>
      </c>
    </row>
    <row r="42" customFormat="false" ht="15" hidden="false" customHeight="true" outlineLevel="0" collapsed="false">
      <c r="B42" s="9" t="s">
        <v>78</v>
      </c>
      <c r="C42" s="26" t="n">
        <v>3237.39</v>
      </c>
      <c r="G42" s="26" t="n">
        <v>3237.39</v>
      </c>
    </row>
    <row r="43" customFormat="false" ht="15" hidden="false" customHeight="true" outlineLevel="0" collapsed="false">
      <c r="B43" s="9" t="s">
        <v>79</v>
      </c>
      <c r="C43" s="26" t="n">
        <v>320.35</v>
      </c>
      <c r="G43" s="26" t="n">
        <v>320.35</v>
      </c>
    </row>
    <row r="44" customFormat="false" ht="15" hidden="false" customHeight="true" outlineLevel="0" collapsed="false">
      <c r="B44" s="9" t="s">
        <v>80</v>
      </c>
      <c r="C44" s="26" t="n">
        <v>441.33</v>
      </c>
      <c r="G44" s="26" t="n">
        <v>441.33</v>
      </c>
    </row>
    <row r="45" customFormat="false" ht="15" hidden="false" customHeight="true" outlineLevel="0" collapsed="false">
      <c r="B45" s="9" t="s">
        <v>81</v>
      </c>
      <c r="C45" s="26" t="n">
        <v>427.48</v>
      </c>
      <c r="G45" s="26" t="n">
        <v>427.48</v>
      </c>
    </row>
    <row r="46" customFormat="false" ht="15" hidden="false" customHeight="true" outlineLevel="0" collapsed="false">
      <c r="A46" s="27"/>
      <c r="B46" s="28" t="s">
        <v>82</v>
      </c>
      <c r="C46" s="29" t="n">
        <f aca="false">SUM(C10:C45)</f>
        <v>30438.8</v>
      </c>
      <c r="D46" s="29" t="n">
        <f aca="false">SUM(D10:D45)</f>
        <v>5663.28</v>
      </c>
      <c r="E46" s="29" t="n">
        <f aca="false">SUM(E10:E45)</f>
        <v>0</v>
      </c>
      <c r="F46" s="29" t="n">
        <f aca="false">SUM(F10:F45)</f>
        <v>888.57</v>
      </c>
      <c r="G46" s="29" t="n">
        <f aca="false">SUM(G10:G45)</f>
        <v>23886.95</v>
      </c>
      <c r="H46" s="27"/>
    </row>
    <row r="48" customFormat="false" ht="15" hidden="false" customHeight="true" outlineLevel="0" collapsed="false">
      <c r="A48" s="6"/>
      <c r="B48" s="7" t="s">
        <v>83</v>
      </c>
      <c r="C48" s="7"/>
      <c r="D48" s="7"/>
      <c r="E48" s="7"/>
      <c r="F48" s="7"/>
      <c r="G48" s="7"/>
      <c r="H48" s="7"/>
      <c r="I48" s="7"/>
      <c r="J48" s="7"/>
    </row>
    <row r="49" customFormat="false" ht="15" hidden="false" customHeight="true" outlineLevel="0" collapsed="false">
      <c r="B49" s="9" t="s">
        <v>140</v>
      </c>
      <c r="C49" s="26" t="n">
        <v>115712</v>
      </c>
      <c r="D49" s="26" t="n">
        <v>19712</v>
      </c>
      <c r="F49" s="26" t="n">
        <v>3496</v>
      </c>
      <c r="G49" s="26" t="n">
        <v>92504</v>
      </c>
    </row>
    <row r="50" customFormat="false" ht="15" hidden="false" customHeight="true" outlineLevel="0" collapsed="false">
      <c r="B50" s="9" t="s">
        <v>141</v>
      </c>
      <c r="C50" s="26" t="n">
        <v>8901</v>
      </c>
      <c r="D50" s="26" t="n">
        <v>1516</v>
      </c>
      <c r="F50" s="26" t="n">
        <v>269</v>
      </c>
      <c r="G50" s="26" t="n">
        <v>7116</v>
      </c>
    </row>
    <row r="51" customFormat="false" ht="15" hidden="false" customHeight="true" outlineLevel="0" collapsed="false">
      <c r="B51" s="9" t="s">
        <v>142</v>
      </c>
      <c r="C51" s="26" t="n">
        <v>23736</v>
      </c>
      <c r="D51" s="26" t="n">
        <v>4043</v>
      </c>
      <c r="F51" s="26" t="n">
        <v>717</v>
      </c>
      <c r="G51" s="26" t="n">
        <v>18976</v>
      </c>
    </row>
    <row r="52" customFormat="false" ht="15" hidden="false" customHeight="true" outlineLevel="0" collapsed="false">
      <c r="A52" s="27"/>
      <c r="B52" s="28" t="s">
        <v>87</v>
      </c>
      <c r="C52" s="29" t="n">
        <f aca="false">SUM(C49:C51)</f>
        <v>148349</v>
      </c>
      <c r="D52" s="29" t="n">
        <f aca="false">SUM(D49:D51)</f>
        <v>25271</v>
      </c>
      <c r="E52" s="27"/>
      <c r="F52" s="29" t="n">
        <f aca="false">SUM(F49:F51)</f>
        <v>4482</v>
      </c>
      <c r="G52" s="29" t="n">
        <f aca="false">SUM(G49:G51)</f>
        <v>118596</v>
      </c>
      <c r="H52" s="27"/>
    </row>
    <row r="54" customFormat="false" ht="15" hidden="false" customHeight="true" outlineLevel="0" collapsed="false">
      <c r="A54" s="30"/>
      <c r="B54" s="31" t="s">
        <v>158</v>
      </c>
      <c r="C54" s="31"/>
      <c r="D54" s="31"/>
      <c r="E54" s="31"/>
      <c r="F54" s="31"/>
      <c r="G54" s="31"/>
      <c r="H54" s="31"/>
      <c r="I54" s="31"/>
      <c r="J54" s="31"/>
    </row>
    <row r="55" customFormat="false" ht="15" hidden="false" customHeight="true" outlineLevel="0" collapsed="false">
      <c r="B55" s="32" t="s">
        <v>141</v>
      </c>
      <c r="C55" s="33" t="n">
        <v>8901</v>
      </c>
      <c r="D55" s="33" t="n">
        <v>1516</v>
      </c>
      <c r="F55" s="33" t="n">
        <v>269</v>
      </c>
      <c r="G55" s="33" t="n">
        <v>7116</v>
      </c>
    </row>
    <row r="56" customFormat="false" ht="15" hidden="false" customHeight="true" outlineLevel="0" collapsed="false">
      <c r="B56" s="32" t="s">
        <v>140</v>
      </c>
      <c r="C56" s="33" t="n">
        <v>115712</v>
      </c>
      <c r="D56" s="33" t="n">
        <v>19712</v>
      </c>
      <c r="F56" s="33" t="n">
        <v>3496</v>
      </c>
      <c r="G56" s="33" t="n">
        <v>92504</v>
      </c>
    </row>
    <row r="57" customFormat="false" ht="15" hidden="false" customHeight="true" outlineLevel="0" collapsed="false">
      <c r="B57" s="32" t="s">
        <v>142</v>
      </c>
      <c r="C57" s="33" t="n">
        <v>23736</v>
      </c>
      <c r="D57" s="33" t="n">
        <v>4043</v>
      </c>
      <c r="F57" s="33" t="n">
        <v>717</v>
      </c>
      <c r="G57" s="33" t="n">
        <v>18976</v>
      </c>
    </row>
    <row r="59" customFormat="false" ht="15" hidden="false" customHeight="true" outlineLevel="0" collapsed="false">
      <c r="A59" s="34" t="s">
        <v>89</v>
      </c>
      <c r="B59" s="34"/>
      <c r="C59" s="34"/>
      <c r="D59" s="34"/>
      <c r="E59" s="34"/>
      <c r="F59" s="34"/>
      <c r="G59" s="34"/>
      <c r="H59" s="34"/>
      <c r="I59" s="34"/>
      <c r="J59" s="34"/>
    </row>
    <row r="60" customFormat="false" ht="15" hidden="false" customHeight="true" outlineLevel="0" collapsed="false">
      <c r="A60" s="35" t="s">
        <v>33</v>
      </c>
      <c r="B60" s="35"/>
      <c r="C60" s="35"/>
      <c r="D60" s="35"/>
      <c r="E60" s="35"/>
      <c r="F60" s="35"/>
      <c r="G60" s="35"/>
      <c r="H60" s="35"/>
      <c r="I60" s="35"/>
      <c r="J60" s="35"/>
    </row>
    <row r="61" customFormat="false" ht="15" hidden="false" customHeight="true" outlineLevel="0" collapsed="false">
      <c r="A61" s="36"/>
      <c r="B61" s="36" t="s">
        <v>90</v>
      </c>
      <c r="C61" s="37" t="s">
        <v>91</v>
      </c>
      <c r="D61" s="37" t="s">
        <v>92</v>
      </c>
      <c r="E61" s="37" t="s">
        <v>93</v>
      </c>
      <c r="F61" s="37" t="s">
        <v>94</v>
      </c>
      <c r="G61" s="37" t="s">
        <v>95</v>
      </c>
      <c r="H61" s="37" t="s">
        <v>96</v>
      </c>
      <c r="I61" s="37" t="s">
        <v>97</v>
      </c>
      <c r="J61" s="37" t="s">
        <v>98</v>
      </c>
    </row>
    <row r="62" customFormat="false" ht="15" hidden="false" customHeight="true" outlineLevel="0" collapsed="false">
      <c r="B62" s="38" t="s">
        <v>144</v>
      </c>
      <c r="C62" s="39" t="n">
        <v>8901</v>
      </c>
      <c r="D62" s="39" t="n">
        <v>0</v>
      </c>
      <c r="E62" s="39" t="n">
        <v>4214.44</v>
      </c>
      <c r="F62" s="39" t="n">
        <v>525.63</v>
      </c>
      <c r="G62" s="39" t="n">
        <v>4740.07</v>
      </c>
      <c r="H62" s="39" t="n">
        <v>4160.93</v>
      </c>
      <c r="I62" s="40" t="s">
        <v>100</v>
      </c>
      <c r="J62" s="41" t="n">
        <v>15</v>
      </c>
    </row>
    <row r="63" customFormat="false" ht="15" hidden="false" customHeight="true" outlineLevel="0" collapsed="false">
      <c r="B63" s="15" t="s">
        <v>145</v>
      </c>
      <c r="C63" s="17" t="n">
        <v>115712</v>
      </c>
      <c r="D63" s="17" t="n">
        <v>0</v>
      </c>
      <c r="E63" s="17" t="n">
        <v>25421.41</v>
      </c>
      <c r="F63" s="17" t="n">
        <v>4207.67</v>
      </c>
      <c r="G63" s="17" t="n">
        <v>29629.08</v>
      </c>
      <c r="H63" s="17" t="n">
        <v>86082.92</v>
      </c>
      <c r="I63" s="42" t="s">
        <v>102</v>
      </c>
      <c r="J63" s="43" t="n">
        <v>27.5</v>
      </c>
    </row>
    <row r="64" customFormat="false" ht="15" hidden="false" customHeight="true" outlineLevel="0" collapsed="false">
      <c r="B64" s="38" t="s">
        <v>146</v>
      </c>
      <c r="C64" s="39" t="n">
        <v>23736</v>
      </c>
      <c r="D64" s="39" t="n">
        <v>23736</v>
      </c>
      <c r="E64" s="39" t="n">
        <v>23736</v>
      </c>
      <c r="F64" s="39" t="n">
        <v>0</v>
      </c>
      <c r="G64" s="39" t="n">
        <v>23736</v>
      </c>
      <c r="H64" s="39" t="n">
        <v>0</v>
      </c>
      <c r="I64" s="40" t="s">
        <v>104</v>
      </c>
      <c r="J64" s="41" t="n">
        <v>5</v>
      </c>
    </row>
    <row r="65" customFormat="false" ht="15" hidden="false" customHeight="true" outlineLevel="0" collapsed="false">
      <c r="A65" s="44"/>
      <c r="B65" s="45" t="s">
        <v>16</v>
      </c>
      <c r="C65" s="46" t="n">
        <f aca="false">SUM(C62:C64)</f>
        <v>148349</v>
      </c>
      <c r="D65" s="46" t="n">
        <f aca="false">SUM(D62:D64)</f>
        <v>23736</v>
      </c>
      <c r="E65" s="46" t="n">
        <f aca="false">SUM(E62:E64)</f>
        <v>53371.85</v>
      </c>
      <c r="F65" s="46" t="n">
        <f aca="false">SUM(F62:F64)</f>
        <v>4733.3</v>
      </c>
      <c r="G65" s="46" t="n">
        <f aca="false">SUM(G62:G64)</f>
        <v>58105.15</v>
      </c>
      <c r="H65" s="46" t="n">
        <f aca="false">SUM(H62:H64)</f>
        <v>90243.85</v>
      </c>
      <c r="I65" s="44"/>
      <c r="J65" s="44"/>
    </row>
    <row r="67" customFormat="false" ht="15" hidden="false" customHeight="true" outlineLevel="0" collapsed="false">
      <c r="A67" s="31" t="s">
        <v>105</v>
      </c>
      <c r="B67" s="31"/>
      <c r="C67" s="31"/>
      <c r="D67" s="31"/>
      <c r="E67" s="31"/>
      <c r="F67" s="31"/>
      <c r="G67" s="31"/>
      <c r="H67" s="31"/>
      <c r="I67" s="31"/>
      <c r="J67" s="31"/>
    </row>
    <row r="68" customFormat="false" ht="15" hidden="false" customHeight="true" outlineLevel="0" collapsed="false">
      <c r="A68" s="36"/>
      <c r="B68" s="36" t="s">
        <v>90</v>
      </c>
      <c r="C68" s="37" t="s">
        <v>91</v>
      </c>
      <c r="D68" s="37" t="s">
        <v>92</v>
      </c>
      <c r="E68" s="37" t="s">
        <v>93</v>
      </c>
      <c r="F68" s="37" t="s">
        <v>94</v>
      </c>
      <c r="G68" s="37" t="s">
        <v>95</v>
      </c>
      <c r="H68" s="37" t="s">
        <v>96</v>
      </c>
      <c r="I68" s="37" t="s">
        <v>97</v>
      </c>
      <c r="J68" s="37" t="s">
        <v>98</v>
      </c>
    </row>
    <row r="69" customFormat="false" ht="15" hidden="false" customHeight="true" outlineLevel="0" collapsed="false">
      <c r="B69" s="38" t="s">
        <v>147</v>
      </c>
      <c r="C69" s="39" t="n">
        <v>1516</v>
      </c>
      <c r="D69" s="39" t="n">
        <v>269</v>
      </c>
      <c r="E69" s="39" t="n">
        <v>1516</v>
      </c>
      <c r="F69" s="39" t="n">
        <v>0</v>
      </c>
      <c r="G69" s="39" t="n">
        <v>1516</v>
      </c>
      <c r="H69" s="39" t="n">
        <v>0</v>
      </c>
      <c r="I69" s="40" t="s">
        <v>104</v>
      </c>
      <c r="J69" s="41" t="n">
        <v>5</v>
      </c>
    </row>
    <row r="70" customFormat="false" ht="15" hidden="false" customHeight="true" outlineLevel="0" collapsed="false">
      <c r="B70" s="15" t="s">
        <v>148</v>
      </c>
      <c r="C70" s="17" t="n">
        <v>269</v>
      </c>
      <c r="D70" s="17" t="n">
        <v>269</v>
      </c>
      <c r="E70" s="17" t="n">
        <v>269</v>
      </c>
      <c r="F70" s="17" t="n">
        <v>0</v>
      </c>
      <c r="G70" s="17" t="n">
        <v>269</v>
      </c>
      <c r="H70" s="17" t="n">
        <v>0</v>
      </c>
      <c r="I70" s="42" t="s">
        <v>100</v>
      </c>
      <c r="J70" s="43" t="n">
        <v>15</v>
      </c>
    </row>
    <row r="71" customFormat="false" ht="15" hidden="false" customHeight="true" outlineLevel="0" collapsed="false">
      <c r="B71" s="38" t="s">
        <v>149</v>
      </c>
      <c r="C71" s="39" t="n">
        <v>7116</v>
      </c>
      <c r="D71" s="39" t="n">
        <v>0</v>
      </c>
      <c r="E71" s="39" t="n">
        <v>1563.34</v>
      </c>
      <c r="F71" s="39" t="n">
        <v>258.76</v>
      </c>
      <c r="G71" s="39" t="n">
        <v>1822.1</v>
      </c>
      <c r="H71" s="39" t="n">
        <v>5293.9</v>
      </c>
      <c r="I71" s="40" t="s">
        <v>102</v>
      </c>
      <c r="J71" s="41" t="n">
        <v>27.5</v>
      </c>
    </row>
    <row r="72" customFormat="false" ht="15" hidden="false" customHeight="true" outlineLevel="0" collapsed="false">
      <c r="B72" s="15" t="s">
        <v>150</v>
      </c>
      <c r="C72" s="17" t="n">
        <v>19712</v>
      </c>
      <c r="D72" s="17" t="n">
        <v>19712</v>
      </c>
      <c r="E72" s="17" t="n">
        <v>19712</v>
      </c>
      <c r="F72" s="17" t="n">
        <v>0</v>
      </c>
      <c r="G72" s="17" t="n">
        <v>19712</v>
      </c>
      <c r="H72" s="17" t="n">
        <v>0</v>
      </c>
      <c r="I72" s="42" t="s">
        <v>104</v>
      </c>
      <c r="J72" s="43" t="n">
        <v>5</v>
      </c>
    </row>
    <row r="73" customFormat="false" ht="15" hidden="false" customHeight="true" outlineLevel="0" collapsed="false">
      <c r="B73" s="38" t="s">
        <v>151</v>
      </c>
      <c r="C73" s="39" t="n">
        <v>3496</v>
      </c>
      <c r="D73" s="39" t="n">
        <v>3496</v>
      </c>
      <c r="E73" s="39" t="n">
        <v>3496</v>
      </c>
      <c r="F73" s="39" t="n">
        <v>0</v>
      </c>
      <c r="G73" s="39" t="n">
        <v>3496</v>
      </c>
      <c r="H73" s="39" t="n">
        <v>0</v>
      </c>
      <c r="I73" s="40" t="s">
        <v>100</v>
      </c>
      <c r="J73" s="41" t="n">
        <v>15</v>
      </c>
    </row>
    <row r="74" customFormat="false" ht="15" hidden="false" customHeight="true" outlineLevel="0" collapsed="false">
      <c r="B74" s="15" t="s">
        <v>152</v>
      </c>
      <c r="C74" s="17" t="n">
        <v>92504</v>
      </c>
      <c r="D74" s="17" t="n">
        <v>0</v>
      </c>
      <c r="E74" s="17" t="n">
        <v>20322.84</v>
      </c>
      <c r="F74" s="17" t="n">
        <v>3363.78</v>
      </c>
      <c r="G74" s="17" t="n">
        <v>23686.62</v>
      </c>
      <c r="H74" s="17" t="n">
        <v>68817.38</v>
      </c>
      <c r="I74" s="42" t="s">
        <v>102</v>
      </c>
      <c r="J74" s="43" t="n">
        <v>27.5</v>
      </c>
    </row>
    <row r="75" customFormat="false" ht="15" hidden="false" customHeight="true" outlineLevel="0" collapsed="false">
      <c r="B75" s="38" t="s">
        <v>153</v>
      </c>
      <c r="C75" s="39" t="n">
        <v>4043</v>
      </c>
      <c r="D75" s="39" t="n">
        <v>4043</v>
      </c>
      <c r="E75" s="39" t="n">
        <v>4043</v>
      </c>
      <c r="F75" s="39" t="n">
        <v>0</v>
      </c>
      <c r="G75" s="39" t="n">
        <v>4043</v>
      </c>
      <c r="H75" s="39" t="n">
        <v>0</v>
      </c>
      <c r="I75" s="40" t="s">
        <v>104</v>
      </c>
      <c r="J75" s="41" t="n">
        <v>5</v>
      </c>
    </row>
    <row r="76" customFormat="false" ht="15" hidden="false" customHeight="true" outlineLevel="0" collapsed="false">
      <c r="B76" s="15" t="s">
        <v>154</v>
      </c>
      <c r="C76" s="17" t="n">
        <v>717</v>
      </c>
      <c r="D76" s="17" t="n">
        <v>717</v>
      </c>
      <c r="E76" s="17" t="n">
        <v>717</v>
      </c>
      <c r="F76" s="17" t="n">
        <v>0</v>
      </c>
      <c r="G76" s="17" t="n">
        <v>717</v>
      </c>
      <c r="H76" s="17" t="n">
        <v>0</v>
      </c>
      <c r="I76" s="42" t="s">
        <v>100</v>
      </c>
      <c r="J76" s="43" t="n">
        <v>15</v>
      </c>
    </row>
    <row r="77" customFormat="false" ht="15" hidden="false" customHeight="true" outlineLevel="0" collapsed="false">
      <c r="B77" s="38" t="s">
        <v>155</v>
      </c>
      <c r="C77" s="39" t="n">
        <v>18976</v>
      </c>
      <c r="D77" s="39" t="n">
        <v>0</v>
      </c>
      <c r="E77" s="39" t="n">
        <v>4168.75</v>
      </c>
      <c r="F77" s="39" t="n">
        <v>690.04</v>
      </c>
      <c r="G77" s="39" t="n">
        <v>4858.79</v>
      </c>
      <c r="H77" s="39" t="n">
        <v>14117.21</v>
      </c>
      <c r="I77" s="40" t="s">
        <v>102</v>
      </c>
      <c r="J77" s="41" t="n">
        <v>27.5</v>
      </c>
    </row>
    <row r="78" customFormat="false" ht="15" hidden="false" customHeight="true" outlineLevel="0" collapsed="false">
      <c r="A78" s="44"/>
      <c r="B78" s="45" t="s">
        <v>16</v>
      </c>
      <c r="C78" s="46" t="n">
        <f aca="false">SUM(C69:C77)</f>
        <v>148349</v>
      </c>
      <c r="D78" s="46" t="n">
        <f aca="false">SUM(D69:D77)</f>
        <v>28506</v>
      </c>
      <c r="E78" s="46" t="n">
        <f aca="false">SUM(E69:E77)</f>
        <v>55807.93</v>
      </c>
      <c r="F78" s="46" t="n">
        <f aca="false">SUM(F69:F77)</f>
        <v>4312.58</v>
      </c>
      <c r="G78" s="46" t="n">
        <f aca="false">SUM(G69:G77)</f>
        <v>60120.51</v>
      </c>
      <c r="H78" s="46" t="n">
        <f aca="false">SUM(H69:H77)</f>
        <v>88228.49</v>
      </c>
      <c r="I78" s="44"/>
      <c r="J78" s="44"/>
    </row>
    <row r="80" customFormat="false" ht="15" hidden="false" customHeight="true" outlineLevel="0" collapsed="false">
      <c r="A80" s="34" t="s">
        <v>35</v>
      </c>
      <c r="B80" s="34"/>
      <c r="C80" s="34"/>
      <c r="D80" s="34"/>
      <c r="E80" s="34"/>
    </row>
    <row r="81" customFormat="false" ht="15" hidden="false" customHeight="true" outlineLevel="0" collapsed="false">
      <c r="B81" s="15" t="s">
        <v>115</v>
      </c>
      <c r="C81" s="47" t="n">
        <f aca="false">G65</f>
        <v>58105.15</v>
      </c>
    </row>
    <row r="82" customFormat="false" ht="15" hidden="false" customHeight="true" outlineLevel="0" collapsed="false">
      <c r="B82" s="15" t="s">
        <v>116</v>
      </c>
      <c r="C82" s="47" t="n">
        <f aca="false">G78</f>
        <v>60120.51</v>
      </c>
    </row>
    <row r="83" customFormat="false" ht="15" hidden="false" customHeight="true" outlineLevel="0" collapsed="false">
      <c r="B83" s="18" t="s">
        <v>35</v>
      </c>
      <c r="C83" s="48" t="n">
        <f aca="false">C82-C81</f>
        <v>2015.36</v>
      </c>
    </row>
  </sheetData>
  <mergeCells count="13">
    <mergeCell ref="A2:J2"/>
    <mergeCell ref="A3:J3"/>
    <mergeCell ref="A4:J4"/>
    <mergeCell ref="A8:J8"/>
    <mergeCell ref="B10:J10"/>
    <mergeCell ref="B24:J24"/>
    <mergeCell ref="B29:J29"/>
    <mergeCell ref="B48:J48"/>
    <mergeCell ref="B54:J54"/>
    <mergeCell ref="A59:J59"/>
    <mergeCell ref="A60:J60"/>
    <mergeCell ref="A67:J67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true" outlineLevel="0" collapsed="false">
      <c r="A3" s="3" t="s">
        <v>159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2" t="s">
        <v>38</v>
      </c>
      <c r="C6" s="9" t="s">
        <v>18</v>
      </c>
    </row>
    <row r="8" customFormat="false" ht="15" hidden="false" customHeight="true" outlineLevel="0" collapsed="false">
      <c r="A8" s="23" t="s">
        <v>160</v>
      </c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true" outlineLevel="0" collapsed="false">
      <c r="A9" s="24"/>
      <c r="B9" s="24" t="s">
        <v>40</v>
      </c>
      <c r="C9" s="25" t="s">
        <v>41</v>
      </c>
      <c r="D9" s="25" t="s">
        <v>42</v>
      </c>
      <c r="E9" s="25" t="s">
        <v>43</v>
      </c>
      <c r="F9" s="25" t="s">
        <v>44</v>
      </c>
      <c r="G9" s="25" t="s">
        <v>45</v>
      </c>
      <c r="H9" s="25" t="s">
        <v>46</v>
      </c>
    </row>
    <row r="10" customFormat="false" ht="15" hidden="false" customHeight="true" outlineLevel="0" collapsed="false">
      <c r="A10" s="6"/>
      <c r="B10" s="7" t="s">
        <v>47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48</v>
      </c>
      <c r="C11" s="26" t="n">
        <v>1065.36</v>
      </c>
      <c r="D11" s="26" t="n">
        <v>1065.36</v>
      </c>
    </row>
    <row r="12" customFormat="false" ht="15" hidden="false" customHeight="true" outlineLevel="0" collapsed="false">
      <c r="B12" s="9" t="s">
        <v>49</v>
      </c>
      <c r="C12" s="26" t="n">
        <v>894.1</v>
      </c>
      <c r="D12" s="26" t="n">
        <v>894.1</v>
      </c>
    </row>
    <row r="13" customFormat="false" ht="15" hidden="false" customHeight="true" outlineLevel="0" collapsed="false">
      <c r="B13" s="9" t="s">
        <v>50</v>
      </c>
      <c r="C13" s="26" t="n">
        <v>1954.35</v>
      </c>
      <c r="D13" s="26" t="n">
        <v>1954.35</v>
      </c>
    </row>
    <row r="14" customFormat="false" ht="15" hidden="false" customHeight="true" outlineLevel="0" collapsed="false">
      <c r="B14" s="9" t="s">
        <v>51</v>
      </c>
      <c r="C14" s="26" t="n">
        <v>613.8</v>
      </c>
      <c r="D14" s="26" t="n">
        <v>613.8</v>
      </c>
    </row>
    <row r="15" customFormat="false" ht="15" hidden="false" customHeight="true" outlineLevel="0" collapsed="false">
      <c r="B15" s="9" t="s">
        <v>161</v>
      </c>
      <c r="C15" s="26" t="n">
        <v>136.47</v>
      </c>
      <c r="D15" s="26" t="n">
        <v>136.47</v>
      </c>
    </row>
    <row r="16" customFormat="false" ht="15" hidden="false" customHeight="true" outlineLevel="0" collapsed="false">
      <c r="B16" s="9" t="s">
        <v>52</v>
      </c>
      <c r="C16" s="26" t="n">
        <v>302.35</v>
      </c>
      <c r="D16" s="26" t="n">
        <v>302.35</v>
      </c>
    </row>
    <row r="17" customFormat="false" ht="15" hidden="false" customHeight="true" outlineLevel="0" collapsed="false">
      <c r="B17" s="9" t="s">
        <v>53</v>
      </c>
      <c r="C17" s="26" t="n">
        <v>30.15</v>
      </c>
      <c r="D17" s="26" t="n">
        <v>30.15</v>
      </c>
    </row>
    <row r="18" customFormat="false" ht="15" hidden="false" customHeight="true" outlineLevel="0" collapsed="false">
      <c r="B18" s="9" t="s">
        <v>54</v>
      </c>
      <c r="C18" s="26" t="n">
        <v>19.82</v>
      </c>
      <c r="D18" s="26" t="n">
        <v>19.82</v>
      </c>
    </row>
    <row r="19" customFormat="false" ht="15" hidden="false" customHeight="true" outlineLevel="0" collapsed="false">
      <c r="B19" s="9" t="s">
        <v>55</v>
      </c>
      <c r="C19" s="26" t="n">
        <v>514.89</v>
      </c>
      <c r="D19" s="26" t="n">
        <v>514.89</v>
      </c>
    </row>
    <row r="20" customFormat="false" ht="15" hidden="false" customHeight="true" outlineLevel="0" collapsed="false">
      <c r="B20" s="9" t="s">
        <v>56</v>
      </c>
      <c r="C20" s="26" t="n">
        <v>255.92</v>
      </c>
      <c r="D20" s="26" t="n">
        <v>255.92</v>
      </c>
    </row>
    <row r="21" customFormat="false" ht="15" hidden="false" customHeight="true" outlineLevel="0" collapsed="false">
      <c r="B21" s="9" t="s">
        <v>57</v>
      </c>
      <c r="C21" s="26" t="n">
        <v>563.75</v>
      </c>
      <c r="D21" s="26" t="n">
        <v>563.75</v>
      </c>
    </row>
    <row r="22" customFormat="false" ht="15" hidden="false" customHeight="true" outlineLevel="0" collapsed="false">
      <c r="B22" s="9" t="s">
        <v>58</v>
      </c>
      <c r="C22" s="26" t="n">
        <v>192.79</v>
      </c>
      <c r="D22" s="26" t="n">
        <v>192.79</v>
      </c>
    </row>
    <row r="23" customFormat="false" ht="15" hidden="false" customHeight="true" outlineLevel="0" collapsed="false">
      <c r="B23" s="9" t="s">
        <v>139</v>
      </c>
      <c r="C23" s="26" t="n">
        <v>50.57</v>
      </c>
      <c r="D23" s="26" t="n">
        <v>50.57</v>
      </c>
    </row>
    <row r="24" customFormat="false" ht="15" hidden="false" customHeight="true" outlineLevel="0" collapsed="false">
      <c r="B24" s="9" t="s">
        <v>59</v>
      </c>
      <c r="C24" s="26" t="n">
        <v>564.76</v>
      </c>
      <c r="D24" s="26" t="n">
        <v>564.76</v>
      </c>
    </row>
    <row r="25" customFormat="false" ht="15" hidden="false" customHeight="true" outlineLevel="0" collapsed="false">
      <c r="A25" s="6"/>
      <c r="B25" s="7" t="s">
        <v>60</v>
      </c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true" outlineLevel="0" collapsed="false">
      <c r="B26" s="9" t="s">
        <v>61</v>
      </c>
      <c r="C26" s="26" t="n">
        <v>679.12</v>
      </c>
      <c r="F26" s="26" t="n">
        <v>679.12</v>
      </c>
    </row>
    <row r="27" customFormat="false" ht="15" hidden="false" customHeight="true" outlineLevel="0" collapsed="false">
      <c r="B27" s="9" t="s">
        <v>62</v>
      </c>
      <c r="C27" s="26" t="n">
        <v>285.36</v>
      </c>
      <c r="F27" s="26" t="n">
        <v>285.36</v>
      </c>
    </row>
    <row r="28" customFormat="false" ht="15" hidden="false" customHeight="true" outlineLevel="0" collapsed="false">
      <c r="B28" s="9" t="s">
        <v>63</v>
      </c>
      <c r="C28" s="26" t="n">
        <v>34.81</v>
      </c>
      <c r="F28" s="26" t="n">
        <v>34.81</v>
      </c>
    </row>
    <row r="29" customFormat="false" ht="15" hidden="false" customHeight="true" outlineLevel="0" collapsed="false">
      <c r="B29" s="9" t="s">
        <v>64</v>
      </c>
      <c r="C29" s="26" t="n">
        <v>21.6</v>
      </c>
      <c r="F29" s="26" t="n">
        <v>21.6</v>
      </c>
    </row>
    <row r="30" customFormat="false" ht="15" hidden="false" customHeight="true" outlineLevel="0" collapsed="false">
      <c r="A30" s="6"/>
      <c r="B30" s="7" t="s">
        <v>65</v>
      </c>
      <c r="C30" s="7"/>
      <c r="D30" s="7"/>
      <c r="E30" s="7"/>
      <c r="F30" s="7"/>
      <c r="G30" s="7"/>
      <c r="H30" s="7"/>
      <c r="I30" s="7"/>
      <c r="J30" s="7"/>
    </row>
    <row r="31" customFormat="false" ht="15" hidden="false" customHeight="true" outlineLevel="0" collapsed="false">
      <c r="B31" s="9" t="s">
        <v>66</v>
      </c>
      <c r="C31" s="26" t="n">
        <v>2393.31</v>
      </c>
      <c r="G31" s="26" t="n">
        <v>2393.31</v>
      </c>
    </row>
    <row r="32" customFormat="false" ht="15" hidden="false" customHeight="true" outlineLevel="0" collapsed="false">
      <c r="B32" s="9" t="s">
        <v>67</v>
      </c>
      <c r="C32" s="26" t="n">
        <v>5241.81</v>
      </c>
      <c r="G32" s="26" t="n">
        <v>5241.81</v>
      </c>
    </row>
    <row r="33" customFormat="false" ht="15" hidden="false" customHeight="true" outlineLevel="0" collapsed="false">
      <c r="B33" s="9" t="s">
        <v>68</v>
      </c>
      <c r="C33" s="26" t="n">
        <v>2635.44</v>
      </c>
      <c r="G33" s="26" t="n">
        <v>2635.44</v>
      </c>
    </row>
    <row r="34" customFormat="false" ht="15" hidden="false" customHeight="true" outlineLevel="0" collapsed="false">
      <c r="B34" s="9" t="s">
        <v>69</v>
      </c>
      <c r="C34" s="26" t="n">
        <v>2808.52</v>
      </c>
      <c r="G34" s="26" t="n">
        <v>2808.52</v>
      </c>
    </row>
    <row r="35" customFormat="false" ht="15" hidden="false" customHeight="true" outlineLevel="0" collapsed="false">
      <c r="B35" s="9" t="s">
        <v>70</v>
      </c>
      <c r="C35" s="26" t="n">
        <v>2317.18</v>
      </c>
      <c r="G35" s="26" t="n">
        <v>2317.18</v>
      </c>
    </row>
    <row r="36" customFormat="false" ht="15" hidden="false" customHeight="true" outlineLevel="0" collapsed="false">
      <c r="B36" s="9" t="s">
        <v>71</v>
      </c>
      <c r="C36" s="26" t="n">
        <v>120.33</v>
      </c>
      <c r="G36" s="26" t="n">
        <v>120.33</v>
      </c>
    </row>
    <row r="37" customFormat="false" ht="15" hidden="false" customHeight="true" outlineLevel="0" collapsed="false">
      <c r="B37" s="9" t="s">
        <v>72</v>
      </c>
      <c r="C37" s="26" t="n">
        <v>1467.77</v>
      </c>
      <c r="G37" s="26" t="n">
        <v>1467.77</v>
      </c>
    </row>
    <row r="38" customFormat="false" ht="15" hidden="false" customHeight="true" outlineLevel="0" collapsed="false">
      <c r="B38" s="9" t="s">
        <v>73</v>
      </c>
      <c r="C38" s="26" t="n">
        <v>1559.85</v>
      </c>
      <c r="G38" s="26" t="n">
        <v>1559.85</v>
      </c>
    </row>
    <row r="39" customFormat="false" ht="15" hidden="false" customHeight="true" outlineLevel="0" collapsed="false">
      <c r="B39" s="9" t="s">
        <v>74</v>
      </c>
      <c r="C39" s="26" t="n">
        <v>1214.17</v>
      </c>
      <c r="G39" s="26" t="n">
        <v>1214.17</v>
      </c>
    </row>
    <row r="40" customFormat="false" ht="15" hidden="false" customHeight="true" outlineLevel="0" collapsed="false">
      <c r="B40" s="9" t="s">
        <v>75</v>
      </c>
      <c r="C40" s="26" t="n">
        <v>1352.65</v>
      </c>
      <c r="G40" s="26" t="n">
        <v>1352.65</v>
      </c>
    </row>
    <row r="41" customFormat="false" ht="15" hidden="false" customHeight="true" outlineLevel="0" collapsed="false">
      <c r="B41" s="9" t="s">
        <v>76</v>
      </c>
      <c r="C41" s="26" t="n">
        <v>4299.13</v>
      </c>
      <c r="G41" s="26" t="n">
        <v>4299.13</v>
      </c>
    </row>
    <row r="42" customFormat="false" ht="15" hidden="false" customHeight="true" outlineLevel="0" collapsed="false">
      <c r="B42" s="9" t="s">
        <v>77</v>
      </c>
      <c r="C42" s="26" t="n">
        <v>1422.08</v>
      </c>
      <c r="G42" s="26" t="n">
        <v>1422.08</v>
      </c>
    </row>
    <row r="43" customFormat="false" ht="15" hidden="false" customHeight="true" outlineLevel="0" collapsed="false">
      <c r="B43" s="9" t="s">
        <v>162</v>
      </c>
      <c r="C43" s="26" t="n">
        <v>537.9</v>
      </c>
      <c r="G43" s="26" t="n">
        <v>537.9</v>
      </c>
    </row>
    <row r="44" customFormat="false" ht="15" hidden="false" customHeight="true" outlineLevel="0" collapsed="false">
      <c r="B44" s="9" t="s">
        <v>78</v>
      </c>
      <c r="C44" s="26" t="n">
        <v>4290.9</v>
      </c>
      <c r="G44" s="26" t="n">
        <v>4290.9</v>
      </c>
    </row>
    <row r="45" customFormat="false" ht="15" hidden="false" customHeight="true" outlineLevel="0" collapsed="false">
      <c r="B45" s="9" t="s">
        <v>79</v>
      </c>
      <c r="C45" s="26" t="n">
        <v>470.52</v>
      </c>
      <c r="G45" s="26" t="n">
        <v>470.52</v>
      </c>
    </row>
    <row r="46" customFormat="false" ht="15" hidden="false" customHeight="true" outlineLevel="0" collapsed="false">
      <c r="B46" s="9" t="s">
        <v>163</v>
      </c>
      <c r="C46" s="26" t="n">
        <v>397.47</v>
      </c>
      <c r="G46" s="26" t="n">
        <v>397.47</v>
      </c>
    </row>
    <row r="47" customFormat="false" ht="15" hidden="false" customHeight="true" outlineLevel="0" collapsed="false">
      <c r="B47" s="9" t="s">
        <v>164</v>
      </c>
      <c r="C47" s="26" t="n">
        <v>45.13</v>
      </c>
      <c r="G47" s="26" t="n">
        <v>45.13</v>
      </c>
    </row>
    <row r="48" customFormat="false" ht="15" hidden="false" customHeight="true" outlineLevel="0" collapsed="false">
      <c r="B48" s="9" t="s">
        <v>80</v>
      </c>
      <c r="C48" s="26" t="n">
        <v>468.02</v>
      </c>
      <c r="G48" s="26" t="n">
        <v>468.02</v>
      </c>
    </row>
    <row r="49" customFormat="false" ht="15" hidden="false" customHeight="true" outlineLevel="0" collapsed="false">
      <c r="B49" s="9" t="s">
        <v>81</v>
      </c>
      <c r="C49" s="26" t="n">
        <v>419.32</v>
      </c>
      <c r="G49" s="26" t="n">
        <v>419.32</v>
      </c>
    </row>
    <row r="50" customFormat="false" ht="15" hidden="false" customHeight="true" outlineLevel="0" collapsed="false">
      <c r="A50" s="27"/>
      <c r="B50" s="28" t="s">
        <v>82</v>
      </c>
      <c r="C50" s="29" t="n">
        <f aca="false">SUM(C10:C49)</f>
        <v>41641.47</v>
      </c>
      <c r="D50" s="29" t="n">
        <f aca="false">SUM(D10:D49)</f>
        <v>7159.08</v>
      </c>
      <c r="E50" s="29" t="n">
        <f aca="false">SUM(E10:E49)</f>
        <v>0</v>
      </c>
      <c r="F50" s="29" t="n">
        <f aca="false">SUM(F10:F49)</f>
        <v>1020.89</v>
      </c>
      <c r="G50" s="29" t="n">
        <f aca="false">SUM(G10:G49)</f>
        <v>33461.5</v>
      </c>
      <c r="H50" s="27"/>
    </row>
    <row r="52" customFormat="false" ht="15" hidden="false" customHeight="true" outlineLevel="0" collapsed="false">
      <c r="A52" s="6"/>
      <c r="B52" s="7" t="s">
        <v>83</v>
      </c>
      <c r="C52" s="7"/>
      <c r="D52" s="7"/>
      <c r="E52" s="7"/>
      <c r="F52" s="7"/>
      <c r="G52" s="7"/>
      <c r="H52" s="7"/>
      <c r="I52" s="7"/>
      <c r="J52" s="7"/>
    </row>
    <row r="53" customFormat="false" ht="15" hidden="false" customHeight="true" outlineLevel="0" collapsed="false">
      <c r="B53" s="9" t="s">
        <v>165</v>
      </c>
      <c r="C53" s="26" t="n">
        <v>617127</v>
      </c>
      <c r="D53" s="26" t="n">
        <v>106098</v>
      </c>
      <c r="F53" s="26" t="n">
        <v>15130</v>
      </c>
      <c r="G53" s="26" t="n">
        <v>495900</v>
      </c>
    </row>
    <row r="54" customFormat="false" ht="15" hidden="false" customHeight="true" outlineLevel="0" collapsed="false">
      <c r="B54" s="9" t="s">
        <v>166</v>
      </c>
      <c r="C54" s="26" t="n">
        <v>47472</v>
      </c>
      <c r="D54" s="26" t="n">
        <v>8161</v>
      </c>
      <c r="F54" s="26" t="n">
        <v>1164</v>
      </c>
      <c r="G54" s="26" t="n">
        <v>38146</v>
      </c>
    </row>
    <row r="55" customFormat="false" ht="15" hidden="false" customHeight="true" outlineLevel="0" collapsed="false">
      <c r="B55" s="9" t="s">
        <v>167</v>
      </c>
      <c r="C55" s="26" t="n">
        <v>126590</v>
      </c>
      <c r="D55" s="26" t="n">
        <v>21764</v>
      </c>
      <c r="F55" s="26" t="n">
        <v>3103</v>
      </c>
      <c r="G55" s="26" t="n">
        <v>101723</v>
      </c>
    </row>
    <row r="56" customFormat="false" ht="15" hidden="false" customHeight="true" outlineLevel="0" collapsed="false">
      <c r="A56" s="27"/>
      <c r="B56" s="28" t="s">
        <v>87</v>
      </c>
      <c r="C56" s="29" t="n">
        <f aca="false">SUM(C53:C55)</f>
        <v>791189</v>
      </c>
      <c r="D56" s="29" t="n">
        <f aca="false">SUM(D53:D55)</f>
        <v>136023</v>
      </c>
      <c r="E56" s="27"/>
      <c r="F56" s="29" t="n">
        <f aca="false">SUM(F53:F55)</f>
        <v>19397</v>
      </c>
      <c r="G56" s="29" t="n">
        <f aca="false">SUM(G53:G55)</f>
        <v>635769</v>
      </c>
      <c r="H56" s="27"/>
    </row>
    <row r="58" customFormat="false" ht="15" hidden="false" customHeight="true" outlineLevel="0" collapsed="false">
      <c r="A58" s="30"/>
      <c r="B58" s="31" t="s">
        <v>168</v>
      </c>
      <c r="C58" s="31"/>
      <c r="D58" s="31"/>
      <c r="E58" s="31"/>
      <c r="F58" s="31"/>
      <c r="G58" s="31"/>
      <c r="H58" s="31"/>
      <c r="I58" s="31"/>
      <c r="J58" s="31"/>
    </row>
    <row r="59" customFormat="false" ht="15" hidden="false" customHeight="true" outlineLevel="0" collapsed="false">
      <c r="B59" s="32" t="s">
        <v>166</v>
      </c>
      <c r="C59" s="33" t="n">
        <v>47472</v>
      </c>
      <c r="D59" s="33" t="n">
        <v>8161</v>
      </c>
      <c r="F59" s="33" t="n">
        <v>1164</v>
      </c>
      <c r="G59" s="33" t="n">
        <v>38146</v>
      </c>
    </row>
    <row r="60" customFormat="false" ht="15" hidden="false" customHeight="true" outlineLevel="0" collapsed="false">
      <c r="B60" s="32" t="s">
        <v>165</v>
      </c>
      <c r="C60" s="33" t="n">
        <v>617127</v>
      </c>
      <c r="D60" s="33" t="n">
        <v>106098</v>
      </c>
      <c r="F60" s="33" t="n">
        <v>15130</v>
      </c>
      <c r="G60" s="33" t="n">
        <v>495900</v>
      </c>
    </row>
    <row r="61" customFormat="false" ht="15" hidden="false" customHeight="true" outlineLevel="0" collapsed="false">
      <c r="B61" s="32" t="s">
        <v>167</v>
      </c>
      <c r="C61" s="33" t="n">
        <v>126590</v>
      </c>
      <c r="D61" s="33" t="n">
        <v>21764</v>
      </c>
      <c r="F61" s="33" t="n">
        <v>3103</v>
      </c>
      <c r="G61" s="33" t="n">
        <v>101723</v>
      </c>
    </row>
    <row r="63" customFormat="false" ht="15" hidden="false" customHeight="true" outlineLevel="0" collapsed="false">
      <c r="A63" s="34" t="s">
        <v>89</v>
      </c>
      <c r="B63" s="34"/>
      <c r="C63" s="34"/>
      <c r="D63" s="34"/>
      <c r="E63" s="34"/>
      <c r="F63" s="34"/>
      <c r="G63" s="34"/>
      <c r="H63" s="34"/>
      <c r="I63" s="34"/>
      <c r="J63" s="34"/>
    </row>
    <row r="64" customFormat="false" ht="15" hidden="false" customHeight="true" outlineLevel="0" collapsed="false">
      <c r="A64" s="35" t="s">
        <v>33</v>
      </c>
      <c r="B64" s="35"/>
      <c r="C64" s="35"/>
      <c r="D64" s="35"/>
      <c r="E64" s="35"/>
      <c r="F64" s="35"/>
      <c r="G64" s="35"/>
      <c r="H64" s="35"/>
      <c r="I64" s="35"/>
      <c r="J64" s="35"/>
    </row>
    <row r="65" customFormat="false" ht="15" hidden="false" customHeight="true" outlineLevel="0" collapsed="false">
      <c r="A65" s="36"/>
      <c r="B65" s="36" t="s">
        <v>90</v>
      </c>
      <c r="C65" s="37" t="s">
        <v>91</v>
      </c>
      <c r="D65" s="37" t="s">
        <v>92</v>
      </c>
      <c r="E65" s="37" t="s">
        <v>93</v>
      </c>
      <c r="F65" s="37" t="s">
        <v>94</v>
      </c>
      <c r="G65" s="37" t="s">
        <v>95</v>
      </c>
      <c r="H65" s="37" t="s">
        <v>96</v>
      </c>
      <c r="I65" s="37" t="s">
        <v>97</v>
      </c>
      <c r="J65" s="37" t="s">
        <v>98</v>
      </c>
    </row>
    <row r="66" customFormat="false" ht="15" hidden="false" customHeight="true" outlineLevel="0" collapsed="false">
      <c r="B66" s="38" t="s">
        <v>169</v>
      </c>
      <c r="C66" s="39" t="n">
        <v>47472</v>
      </c>
      <c r="D66" s="39" t="n">
        <v>0</v>
      </c>
      <c r="E66" s="39" t="n">
        <v>22477.31</v>
      </c>
      <c r="F66" s="39" t="n">
        <v>2803.31</v>
      </c>
      <c r="G66" s="39" t="n">
        <v>25280.62</v>
      </c>
      <c r="H66" s="39" t="n">
        <v>22191.38</v>
      </c>
      <c r="I66" s="40" t="s">
        <v>100</v>
      </c>
      <c r="J66" s="41" t="n">
        <v>15</v>
      </c>
    </row>
    <row r="67" customFormat="false" ht="15" hidden="false" customHeight="true" outlineLevel="0" collapsed="false">
      <c r="B67" s="15" t="s">
        <v>170</v>
      </c>
      <c r="C67" s="17" t="n">
        <v>617127</v>
      </c>
      <c r="D67" s="17" t="n">
        <v>0</v>
      </c>
      <c r="E67" s="17" t="n">
        <v>135580.9</v>
      </c>
      <c r="F67" s="17" t="n">
        <v>22440.93</v>
      </c>
      <c r="G67" s="17" t="n">
        <v>158021.83</v>
      </c>
      <c r="H67" s="17" t="n">
        <v>459105.17</v>
      </c>
      <c r="I67" s="42" t="s">
        <v>102</v>
      </c>
      <c r="J67" s="43" t="n">
        <v>27.5</v>
      </c>
    </row>
    <row r="68" customFormat="false" ht="15" hidden="false" customHeight="true" outlineLevel="0" collapsed="false">
      <c r="B68" s="38" t="s">
        <v>171</v>
      </c>
      <c r="C68" s="39" t="n">
        <v>126590</v>
      </c>
      <c r="D68" s="39" t="n">
        <v>126590</v>
      </c>
      <c r="E68" s="39" t="n">
        <v>126590</v>
      </c>
      <c r="F68" s="39" t="n">
        <v>0</v>
      </c>
      <c r="G68" s="39" t="n">
        <v>126590</v>
      </c>
      <c r="H68" s="39" t="n">
        <v>0</v>
      </c>
      <c r="I68" s="40" t="s">
        <v>104</v>
      </c>
      <c r="J68" s="41" t="n">
        <v>5</v>
      </c>
    </row>
    <row r="69" customFormat="false" ht="15" hidden="false" customHeight="true" outlineLevel="0" collapsed="false">
      <c r="A69" s="44"/>
      <c r="B69" s="45" t="s">
        <v>16</v>
      </c>
      <c r="C69" s="46" t="n">
        <f aca="false">SUM(C66:C68)</f>
        <v>791189</v>
      </c>
      <c r="D69" s="46" t="n">
        <f aca="false">SUM(D66:D68)</f>
        <v>126590</v>
      </c>
      <c r="E69" s="46" t="n">
        <f aca="false">SUM(E66:E68)</f>
        <v>284648.21</v>
      </c>
      <c r="F69" s="46" t="n">
        <f aca="false">SUM(F66:F68)</f>
        <v>25244.24</v>
      </c>
      <c r="G69" s="46" t="n">
        <f aca="false">SUM(G66:G68)</f>
        <v>309892.45</v>
      </c>
      <c r="H69" s="46" t="n">
        <f aca="false">SUM(H66:H68)</f>
        <v>481296.55</v>
      </c>
      <c r="I69" s="44"/>
      <c r="J69" s="44"/>
    </row>
    <row r="71" customFormat="false" ht="15" hidden="false" customHeight="true" outlineLevel="0" collapsed="false">
      <c r="A71" s="31" t="s">
        <v>105</v>
      </c>
      <c r="B71" s="31"/>
      <c r="C71" s="31"/>
      <c r="D71" s="31"/>
      <c r="E71" s="31"/>
      <c r="F71" s="31"/>
      <c r="G71" s="31"/>
      <c r="H71" s="31"/>
      <c r="I71" s="31"/>
      <c r="J71" s="31"/>
    </row>
    <row r="72" customFormat="false" ht="15" hidden="false" customHeight="true" outlineLevel="0" collapsed="false">
      <c r="A72" s="36"/>
      <c r="B72" s="36" t="s">
        <v>90</v>
      </c>
      <c r="C72" s="37" t="s">
        <v>91</v>
      </c>
      <c r="D72" s="37" t="s">
        <v>92</v>
      </c>
      <c r="E72" s="37" t="s">
        <v>93</v>
      </c>
      <c r="F72" s="37" t="s">
        <v>94</v>
      </c>
      <c r="G72" s="37" t="s">
        <v>95</v>
      </c>
      <c r="H72" s="37" t="s">
        <v>96</v>
      </c>
      <c r="I72" s="37" t="s">
        <v>97</v>
      </c>
      <c r="J72" s="37" t="s">
        <v>98</v>
      </c>
    </row>
    <row r="73" customFormat="false" ht="15" hidden="false" customHeight="true" outlineLevel="0" collapsed="false">
      <c r="B73" s="38" t="s">
        <v>172</v>
      </c>
      <c r="C73" s="39" t="n">
        <v>8161</v>
      </c>
      <c r="D73" s="39" t="n">
        <v>0</v>
      </c>
      <c r="E73" s="39" t="n">
        <v>8161</v>
      </c>
      <c r="F73" s="39" t="n">
        <v>0</v>
      </c>
      <c r="G73" s="39" t="n">
        <v>8161</v>
      </c>
      <c r="H73" s="39" t="n">
        <v>0</v>
      </c>
      <c r="I73" s="40" t="s">
        <v>104</v>
      </c>
      <c r="J73" s="41" t="n">
        <v>5</v>
      </c>
    </row>
    <row r="74" customFormat="false" ht="15" hidden="false" customHeight="true" outlineLevel="0" collapsed="false">
      <c r="B74" s="15" t="s">
        <v>173</v>
      </c>
      <c r="C74" s="17" t="n">
        <v>1164</v>
      </c>
      <c r="D74" s="17" t="n">
        <v>0</v>
      </c>
      <c r="E74" s="17" t="n">
        <v>1164</v>
      </c>
      <c r="F74" s="17" t="n">
        <v>0</v>
      </c>
      <c r="G74" s="17" t="n">
        <v>1164</v>
      </c>
      <c r="H74" s="17" t="n">
        <v>0</v>
      </c>
      <c r="I74" s="42" t="s">
        <v>100</v>
      </c>
      <c r="J74" s="43" t="n">
        <v>15</v>
      </c>
    </row>
    <row r="75" customFormat="false" ht="15" hidden="false" customHeight="true" outlineLevel="0" collapsed="false">
      <c r="B75" s="38" t="s">
        <v>174</v>
      </c>
      <c r="C75" s="39" t="n">
        <v>38146</v>
      </c>
      <c r="D75" s="39" t="n">
        <v>0</v>
      </c>
      <c r="E75" s="39" t="n">
        <v>8380.76</v>
      </c>
      <c r="F75" s="39" t="n">
        <v>1387.13</v>
      </c>
      <c r="G75" s="39" t="n">
        <v>9767.89</v>
      </c>
      <c r="H75" s="39" t="n">
        <v>28378.11</v>
      </c>
      <c r="I75" s="40" t="s">
        <v>102</v>
      </c>
      <c r="J75" s="41" t="n">
        <v>27.5</v>
      </c>
    </row>
    <row r="76" customFormat="false" ht="15" hidden="false" customHeight="true" outlineLevel="0" collapsed="false">
      <c r="B76" s="15" t="s">
        <v>175</v>
      </c>
      <c r="C76" s="17" t="n">
        <v>106098</v>
      </c>
      <c r="D76" s="17" t="n">
        <v>106098</v>
      </c>
      <c r="E76" s="17" t="n">
        <v>106098</v>
      </c>
      <c r="F76" s="17" t="n">
        <v>0</v>
      </c>
      <c r="G76" s="17" t="n">
        <v>106098</v>
      </c>
      <c r="H76" s="17" t="n">
        <v>0</v>
      </c>
      <c r="I76" s="42" t="s">
        <v>104</v>
      </c>
      <c r="J76" s="43" t="n">
        <v>5</v>
      </c>
    </row>
    <row r="77" customFormat="false" ht="15" hidden="false" customHeight="true" outlineLevel="0" collapsed="false">
      <c r="B77" s="38" t="s">
        <v>176</v>
      </c>
      <c r="C77" s="39" t="n">
        <v>15130</v>
      </c>
      <c r="D77" s="39" t="n">
        <v>15130</v>
      </c>
      <c r="E77" s="39" t="n">
        <v>15130</v>
      </c>
      <c r="F77" s="39" t="n">
        <v>0</v>
      </c>
      <c r="G77" s="39" t="n">
        <v>15130</v>
      </c>
      <c r="H77" s="39" t="n">
        <v>0</v>
      </c>
      <c r="I77" s="40" t="s">
        <v>100</v>
      </c>
      <c r="J77" s="41" t="n">
        <v>15</v>
      </c>
    </row>
    <row r="78" customFormat="false" ht="15" hidden="false" customHeight="true" outlineLevel="0" collapsed="false">
      <c r="B78" s="15" t="s">
        <v>177</v>
      </c>
      <c r="C78" s="17" t="n">
        <v>495900</v>
      </c>
      <c r="D78" s="17" t="n">
        <v>0</v>
      </c>
      <c r="E78" s="17" t="n">
        <v>108947.74</v>
      </c>
      <c r="F78" s="17" t="n">
        <v>18032.73</v>
      </c>
      <c r="G78" s="17" t="n">
        <v>126980.47</v>
      </c>
      <c r="H78" s="17" t="n">
        <v>368919.53</v>
      </c>
      <c r="I78" s="42" t="s">
        <v>102</v>
      </c>
      <c r="J78" s="43" t="n">
        <v>27.5</v>
      </c>
    </row>
    <row r="79" customFormat="false" ht="15" hidden="false" customHeight="true" outlineLevel="0" collapsed="false">
      <c r="B79" s="38" t="s">
        <v>178</v>
      </c>
      <c r="C79" s="39" t="n">
        <v>21764</v>
      </c>
      <c r="D79" s="39" t="n">
        <v>21764</v>
      </c>
      <c r="E79" s="39" t="n">
        <v>21764</v>
      </c>
      <c r="F79" s="39" t="n">
        <v>0</v>
      </c>
      <c r="G79" s="39" t="n">
        <v>21764</v>
      </c>
      <c r="H79" s="39" t="n">
        <v>0</v>
      </c>
      <c r="I79" s="40" t="s">
        <v>104</v>
      </c>
      <c r="J79" s="41" t="n">
        <v>5</v>
      </c>
    </row>
    <row r="80" customFormat="false" ht="15" hidden="false" customHeight="true" outlineLevel="0" collapsed="false">
      <c r="B80" s="15" t="s">
        <v>179</v>
      </c>
      <c r="C80" s="17" t="n">
        <v>3103</v>
      </c>
      <c r="D80" s="17" t="n">
        <v>3103</v>
      </c>
      <c r="E80" s="17" t="n">
        <v>3103</v>
      </c>
      <c r="F80" s="17" t="n">
        <v>0</v>
      </c>
      <c r="G80" s="17" t="n">
        <v>3103</v>
      </c>
      <c r="H80" s="17" t="n">
        <v>0</v>
      </c>
      <c r="I80" s="42" t="s">
        <v>100</v>
      </c>
      <c r="J80" s="43" t="n">
        <v>15</v>
      </c>
    </row>
    <row r="81" customFormat="false" ht="15" hidden="false" customHeight="true" outlineLevel="0" collapsed="false">
      <c r="B81" s="38" t="s">
        <v>180</v>
      </c>
      <c r="C81" s="39" t="n">
        <v>101723</v>
      </c>
      <c r="D81" s="39" t="n">
        <v>0</v>
      </c>
      <c r="E81" s="39" t="n">
        <v>22348.25</v>
      </c>
      <c r="F81" s="39" t="n">
        <v>3699.02</v>
      </c>
      <c r="G81" s="39" t="n">
        <v>26047.27</v>
      </c>
      <c r="H81" s="39" t="n">
        <v>75675.73</v>
      </c>
      <c r="I81" s="40" t="s">
        <v>102</v>
      </c>
      <c r="J81" s="41" t="n">
        <v>27.5</v>
      </c>
    </row>
    <row r="82" customFormat="false" ht="15" hidden="false" customHeight="true" outlineLevel="0" collapsed="false">
      <c r="A82" s="44"/>
      <c r="B82" s="45" t="s">
        <v>16</v>
      </c>
      <c r="C82" s="46" t="n">
        <f aca="false">SUM(C73:C81)</f>
        <v>791189</v>
      </c>
      <c r="D82" s="46" t="n">
        <f aca="false">SUM(D73:D81)</f>
        <v>146095</v>
      </c>
      <c r="E82" s="46" t="n">
        <f aca="false">SUM(E73:E81)</f>
        <v>295096.75</v>
      </c>
      <c r="F82" s="46" t="n">
        <f aca="false">SUM(F73:F81)</f>
        <v>23118.88</v>
      </c>
      <c r="G82" s="46" t="n">
        <f aca="false">SUM(G73:G81)</f>
        <v>318215.63</v>
      </c>
      <c r="H82" s="46" t="n">
        <f aca="false">SUM(H73:H81)</f>
        <v>472973.37</v>
      </c>
      <c r="I82" s="44"/>
      <c r="J82" s="44"/>
    </row>
    <row r="84" customFormat="false" ht="15" hidden="false" customHeight="true" outlineLevel="0" collapsed="false">
      <c r="A84" s="34" t="s">
        <v>35</v>
      </c>
      <c r="B84" s="34"/>
      <c r="C84" s="34"/>
      <c r="D84" s="34"/>
      <c r="E84" s="34"/>
    </row>
    <row r="85" customFormat="false" ht="15" hidden="false" customHeight="true" outlineLevel="0" collapsed="false">
      <c r="B85" s="15" t="s">
        <v>115</v>
      </c>
      <c r="C85" s="47" t="n">
        <f aca="false">G69</f>
        <v>309892.45</v>
      </c>
    </row>
    <row r="86" customFormat="false" ht="15" hidden="false" customHeight="true" outlineLevel="0" collapsed="false">
      <c r="B86" s="15" t="s">
        <v>116</v>
      </c>
      <c r="C86" s="47" t="n">
        <f aca="false">G82</f>
        <v>318215.63</v>
      </c>
    </row>
    <row r="87" customFormat="false" ht="15" hidden="false" customHeight="true" outlineLevel="0" collapsed="false">
      <c r="B87" s="18" t="s">
        <v>35</v>
      </c>
      <c r="C87" s="48" t="n">
        <f aca="false">C86-C85</f>
        <v>8323.17999999999</v>
      </c>
    </row>
  </sheetData>
  <mergeCells count="13">
    <mergeCell ref="A2:J2"/>
    <mergeCell ref="A3:J3"/>
    <mergeCell ref="A4:J4"/>
    <mergeCell ref="A8:J8"/>
    <mergeCell ref="B10:J10"/>
    <mergeCell ref="B25:J25"/>
    <mergeCell ref="B30:J30"/>
    <mergeCell ref="B52:J52"/>
    <mergeCell ref="B58:J58"/>
    <mergeCell ref="A63:J63"/>
    <mergeCell ref="A64:J64"/>
    <mergeCell ref="A71:J71"/>
    <mergeCell ref="A84:E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true" outlineLevel="0" collapsed="false">
      <c r="A3" s="3" t="s">
        <v>181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2" t="s">
        <v>38</v>
      </c>
      <c r="C6" s="9" t="s">
        <v>18</v>
      </c>
    </row>
    <row r="8" customFormat="false" ht="15" hidden="false" customHeight="true" outlineLevel="0" collapsed="false">
      <c r="A8" s="23" t="s">
        <v>182</v>
      </c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true" outlineLevel="0" collapsed="false">
      <c r="A9" s="24"/>
      <c r="B9" s="24" t="s">
        <v>40</v>
      </c>
      <c r="C9" s="25" t="s">
        <v>41</v>
      </c>
      <c r="D9" s="25" t="s">
        <v>42</v>
      </c>
      <c r="E9" s="25" t="s">
        <v>43</v>
      </c>
      <c r="F9" s="25" t="s">
        <v>44</v>
      </c>
      <c r="G9" s="25" t="s">
        <v>45</v>
      </c>
      <c r="H9" s="25" t="s">
        <v>46</v>
      </c>
    </row>
    <row r="10" customFormat="false" ht="15" hidden="false" customHeight="true" outlineLevel="0" collapsed="false">
      <c r="A10" s="6"/>
      <c r="B10" s="7" t="s">
        <v>47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48</v>
      </c>
      <c r="C11" s="26" t="n">
        <v>1194.23</v>
      </c>
      <c r="D11" s="26" t="n">
        <v>1194.23</v>
      </c>
    </row>
    <row r="12" customFormat="false" ht="15" hidden="false" customHeight="true" outlineLevel="0" collapsed="false">
      <c r="B12" s="9" t="s">
        <v>49</v>
      </c>
      <c r="C12" s="26" t="n">
        <v>892.45</v>
      </c>
      <c r="D12" s="26" t="n">
        <v>892.45</v>
      </c>
    </row>
    <row r="13" customFormat="false" ht="15" hidden="false" customHeight="true" outlineLevel="0" collapsed="false">
      <c r="B13" s="9" t="s">
        <v>50</v>
      </c>
      <c r="C13" s="26" t="n">
        <v>772.85</v>
      </c>
      <c r="D13" s="26" t="n">
        <v>772.85</v>
      </c>
    </row>
    <row r="14" customFormat="false" ht="15" hidden="false" customHeight="true" outlineLevel="0" collapsed="false">
      <c r="B14" s="9" t="s">
        <v>51</v>
      </c>
      <c r="C14" s="26" t="n">
        <v>479.69</v>
      </c>
      <c r="D14" s="26" t="n">
        <v>479.69</v>
      </c>
    </row>
    <row r="15" customFormat="false" ht="15" hidden="false" customHeight="true" outlineLevel="0" collapsed="false">
      <c r="B15" s="9" t="s">
        <v>52</v>
      </c>
      <c r="C15" s="26" t="n">
        <v>324.2</v>
      </c>
      <c r="D15" s="26" t="n">
        <v>324.2</v>
      </c>
    </row>
    <row r="16" customFormat="false" ht="15" hidden="false" customHeight="true" outlineLevel="0" collapsed="false">
      <c r="B16" s="9" t="s">
        <v>53</v>
      </c>
      <c r="C16" s="26" t="n">
        <v>30.15</v>
      </c>
      <c r="D16" s="26" t="n">
        <v>30.15</v>
      </c>
    </row>
    <row r="17" customFormat="false" ht="15" hidden="false" customHeight="true" outlineLevel="0" collapsed="false">
      <c r="B17" s="9" t="s">
        <v>54</v>
      </c>
      <c r="C17" s="26" t="n">
        <v>19.82</v>
      </c>
      <c r="D17" s="26" t="n">
        <v>19.82</v>
      </c>
    </row>
    <row r="18" customFormat="false" ht="15" hidden="false" customHeight="true" outlineLevel="0" collapsed="false">
      <c r="B18" s="9" t="s">
        <v>55</v>
      </c>
      <c r="C18" s="26" t="n">
        <v>514.89</v>
      </c>
      <c r="D18" s="26" t="n">
        <v>514.89</v>
      </c>
    </row>
    <row r="19" customFormat="false" ht="15" hidden="false" customHeight="true" outlineLevel="0" collapsed="false">
      <c r="B19" s="9" t="s">
        <v>56</v>
      </c>
      <c r="C19" s="26" t="n">
        <v>253.01</v>
      </c>
      <c r="D19" s="26" t="n">
        <v>253.01</v>
      </c>
    </row>
    <row r="20" customFormat="false" ht="15" hidden="false" customHeight="true" outlineLevel="0" collapsed="false">
      <c r="B20" s="9" t="s">
        <v>57</v>
      </c>
      <c r="C20" s="26" t="n">
        <v>563.75</v>
      </c>
      <c r="D20" s="26" t="n">
        <v>563.75</v>
      </c>
    </row>
    <row r="21" customFormat="false" ht="15" hidden="false" customHeight="true" outlineLevel="0" collapsed="false">
      <c r="B21" s="9" t="s">
        <v>58</v>
      </c>
      <c r="C21" s="26" t="n">
        <v>111.83</v>
      </c>
      <c r="D21" s="26" t="n">
        <v>111.83</v>
      </c>
    </row>
    <row r="22" customFormat="false" ht="15" hidden="false" customHeight="true" outlineLevel="0" collapsed="false">
      <c r="B22" s="9" t="s">
        <v>59</v>
      </c>
      <c r="C22" s="26" t="n">
        <v>564.76</v>
      </c>
      <c r="D22" s="26" t="n">
        <v>564.76</v>
      </c>
    </row>
    <row r="23" customFormat="false" ht="15" hidden="false" customHeight="true" outlineLevel="0" collapsed="false">
      <c r="A23" s="6"/>
      <c r="B23" s="7" t="s">
        <v>60</v>
      </c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true" outlineLevel="0" collapsed="false">
      <c r="B24" s="9" t="s">
        <v>61</v>
      </c>
      <c r="C24" s="26" t="n">
        <v>508.62</v>
      </c>
      <c r="F24" s="26" t="n">
        <v>508.62</v>
      </c>
    </row>
    <row r="25" customFormat="false" ht="15" hidden="false" customHeight="true" outlineLevel="0" collapsed="false">
      <c r="B25" s="9" t="s">
        <v>62</v>
      </c>
      <c r="C25" s="26" t="n">
        <v>142.45</v>
      </c>
      <c r="F25" s="26" t="n">
        <v>142.45</v>
      </c>
    </row>
    <row r="26" customFormat="false" ht="15" hidden="false" customHeight="true" outlineLevel="0" collapsed="false">
      <c r="B26" s="9" t="s">
        <v>63</v>
      </c>
      <c r="C26" s="26" t="n">
        <v>34.81</v>
      </c>
      <c r="F26" s="26" t="n">
        <v>34.81</v>
      </c>
    </row>
    <row r="27" customFormat="false" ht="15" hidden="false" customHeight="true" outlineLevel="0" collapsed="false">
      <c r="B27" s="9" t="s">
        <v>64</v>
      </c>
      <c r="C27" s="26" t="n">
        <v>21.6</v>
      </c>
      <c r="F27" s="26" t="n">
        <v>21.6</v>
      </c>
    </row>
    <row r="28" customFormat="false" ht="15" hidden="false" customHeight="true" outlineLevel="0" collapsed="false">
      <c r="A28" s="6"/>
      <c r="B28" s="7" t="s">
        <v>65</v>
      </c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true" outlineLevel="0" collapsed="false">
      <c r="B29" s="9" t="s">
        <v>66</v>
      </c>
      <c r="C29" s="26" t="n">
        <v>2544.9</v>
      </c>
      <c r="G29" s="26" t="n">
        <v>2544.9</v>
      </c>
    </row>
    <row r="30" customFormat="false" ht="15" hidden="false" customHeight="true" outlineLevel="0" collapsed="false">
      <c r="B30" s="9" t="s">
        <v>67</v>
      </c>
      <c r="C30" s="26" t="n">
        <v>5290.6</v>
      </c>
      <c r="G30" s="26" t="n">
        <v>5290.6</v>
      </c>
    </row>
    <row r="31" customFormat="false" ht="15" hidden="false" customHeight="true" outlineLevel="0" collapsed="false">
      <c r="B31" s="9" t="s">
        <v>68</v>
      </c>
      <c r="C31" s="26" t="n">
        <v>2605.13</v>
      </c>
      <c r="G31" s="26" t="n">
        <v>2605.13</v>
      </c>
    </row>
    <row r="32" customFormat="false" ht="15" hidden="false" customHeight="true" outlineLevel="0" collapsed="false">
      <c r="B32" s="9" t="s">
        <v>69</v>
      </c>
      <c r="C32" s="26" t="n">
        <v>2808.12</v>
      </c>
      <c r="G32" s="26" t="n">
        <v>2808.12</v>
      </c>
    </row>
    <row r="33" customFormat="false" ht="15" hidden="false" customHeight="true" outlineLevel="0" collapsed="false">
      <c r="B33" s="9" t="s">
        <v>70</v>
      </c>
      <c r="C33" s="26" t="n">
        <v>2290.83</v>
      </c>
      <c r="G33" s="26" t="n">
        <v>2290.83</v>
      </c>
    </row>
    <row r="34" customFormat="false" ht="15" hidden="false" customHeight="true" outlineLevel="0" collapsed="false">
      <c r="B34" s="9" t="s">
        <v>71</v>
      </c>
      <c r="C34" s="26" t="n">
        <v>150.42</v>
      </c>
      <c r="G34" s="26" t="n">
        <v>150.42</v>
      </c>
    </row>
    <row r="35" customFormat="false" ht="15" hidden="false" customHeight="true" outlineLevel="0" collapsed="false">
      <c r="B35" s="9" t="s">
        <v>72</v>
      </c>
      <c r="C35" s="26" t="n">
        <v>1919.86</v>
      </c>
      <c r="G35" s="26" t="n">
        <v>1919.86</v>
      </c>
    </row>
    <row r="36" customFormat="false" ht="15" hidden="false" customHeight="true" outlineLevel="0" collapsed="false">
      <c r="B36" s="9" t="s">
        <v>73</v>
      </c>
      <c r="C36" s="26" t="n">
        <v>1776.29</v>
      </c>
      <c r="G36" s="26" t="n">
        <v>1776.29</v>
      </c>
    </row>
    <row r="37" customFormat="false" ht="15" hidden="false" customHeight="true" outlineLevel="0" collapsed="false">
      <c r="B37" s="9" t="s">
        <v>74</v>
      </c>
      <c r="C37" s="26" t="n">
        <v>1322.1</v>
      </c>
      <c r="G37" s="26" t="n">
        <v>1322.1</v>
      </c>
    </row>
    <row r="38" customFormat="false" ht="15" hidden="false" customHeight="true" outlineLevel="0" collapsed="false">
      <c r="B38" s="9" t="s">
        <v>75</v>
      </c>
      <c r="C38" s="26" t="n">
        <v>1338.43</v>
      </c>
      <c r="G38" s="26" t="n">
        <v>1338.43</v>
      </c>
    </row>
    <row r="39" customFormat="false" ht="15" hidden="false" customHeight="true" outlineLevel="0" collapsed="false">
      <c r="B39" s="9" t="s">
        <v>76</v>
      </c>
      <c r="C39" s="26" t="n">
        <v>4310.61</v>
      </c>
      <c r="G39" s="26" t="n">
        <v>4310.61</v>
      </c>
    </row>
    <row r="40" customFormat="false" ht="15" hidden="false" customHeight="true" outlineLevel="0" collapsed="false">
      <c r="B40" s="9" t="s">
        <v>77</v>
      </c>
      <c r="C40" s="26" t="n">
        <v>1420.92</v>
      </c>
      <c r="G40" s="26" t="n">
        <v>1420.92</v>
      </c>
    </row>
    <row r="41" customFormat="false" ht="15" hidden="false" customHeight="true" outlineLevel="0" collapsed="false">
      <c r="B41" s="9" t="s">
        <v>162</v>
      </c>
      <c r="C41" s="26" t="n">
        <v>509.47</v>
      </c>
      <c r="G41" s="26" t="n">
        <v>509.47</v>
      </c>
    </row>
    <row r="42" customFormat="false" ht="15" hidden="false" customHeight="true" outlineLevel="0" collapsed="false">
      <c r="B42" s="9" t="s">
        <v>78</v>
      </c>
      <c r="C42" s="26" t="n">
        <v>4496.26</v>
      </c>
      <c r="G42" s="26" t="n">
        <v>4496.26</v>
      </c>
    </row>
    <row r="43" customFormat="false" ht="15" hidden="false" customHeight="true" outlineLevel="0" collapsed="false">
      <c r="B43" s="9" t="s">
        <v>79</v>
      </c>
      <c r="C43" s="26" t="n">
        <v>373.61</v>
      </c>
      <c r="G43" s="26" t="n">
        <v>373.61</v>
      </c>
    </row>
    <row r="44" customFormat="false" ht="15" hidden="false" customHeight="true" outlineLevel="0" collapsed="false">
      <c r="B44" s="9" t="s">
        <v>163</v>
      </c>
      <c r="C44" s="26" t="n">
        <v>397.47</v>
      </c>
      <c r="G44" s="26" t="n">
        <v>397.47</v>
      </c>
    </row>
    <row r="45" customFormat="false" ht="15" hidden="false" customHeight="true" outlineLevel="0" collapsed="false">
      <c r="B45" s="9" t="s">
        <v>164</v>
      </c>
      <c r="C45" s="26" t="n">
        <v>52.64</v>
      </c>
      <c r="G45" s="26" t="n">
        <v>52.64</v>
      </c>
    </row>
    <row r="46" customFormat="false" ht="15" hidden="false" customHeight="true" outlineLevel="0" collapsed="false">
      <c r="B46" s="9" t="s">
        <v>80</v>
      </c>
      <c r="C46" s="26" t="n">
        <v>468.02</v>
      </c>
      <c r="G46" s="26" t="n">
        <v>468.02</v>
      </c>
    </row>
    <row r="47" customFormat="false" ht="15" hidden="false" customHeight="true" outlineLevel="0" collapsed="false">
      <c r="B47" s="9" t="s">
        <v>183</v>
      </c>
      <c r="C47" s="26" t="n">
        <v>1629.46</v>
      </c>
      <c r="G47" s="26" t="n">
        <v>1629.46</v>
      </c>
    </row>
    <row r="48" customFormat="false" ht="15" hidden="false" customHeight="true" outlineLevel="0" collapsed="false">
      <c r="B48" s="9" t="s">
        <v>81</v>
      </c>
      <c r="C48" s="26" t="n">
        <v>362.41</v>
      </c>
      <c r="G48" s="26" t="n">
        <v>362.41</v>
      </c>
    </row>
    <row r="49" customFormat="false" ht="15" hidden="false" customHeight="true" outlineLevel="0" collapsed="false">
      <c r="A49" s="27"/>
      <c r="B49" s="28" t="s">
        <v>82</v>
      </c>
      <c r="C49" s="29" t="n">
        <f aca="false">SUM(C10:C48)</f>
        <v>42496.66</v>
      </c>
      <c r="D49" s="29" t="n">
        <f aca="false">SUM(D10:D48)</f>
        <v>5721.63</v>
      </c>
      <c r="E49" s="29" t="n">
        <f aca="false">SUM(E10:E48)</f>
        <v>0</v>
      </c>
      <c r="F49" s="29" t="n">
        <f aca="false">SUM(F10:F48)</f>
        <v>707.48</v>
      </c>
      <c r="G49" s="29" t="n">
        <f aca="false">SUM(G10:G48)</f>
        <v>36067.55</v>
      </c>
      <c r="H49" s="27"/>
    </row>
    <row r="51" customFormat="false" ht="15" hidden="false" customHeight="true" outlineLevel="0" collapsed="false">
      <c r="A51" s="6"/>
      <c r="B51" s="7" t="s">
        <v>83</v>
      </c>
      <c r="C51" s="7"/>
      <c r="D51" s="7"/>
      <c r="E51" s="7"/>
      <c r="F51" s="7"/>
      <c r="G51" s="7"/>
      <c r="H51" s="7"/>
      <c r="I51" s="7"/>
      <c r="J51" s="7"/>
    </row>
    <row r="52" customFormat="false" ht="15" hidden="false" customHeight="true" outlineLevel="0" collapsed="false">
      <c r="B52" s="9" t="s">
        <v>184</v>
      </c>
      <c r="C52" s="26" t="n">
        <v>99442</v>
      </c>
      <c r="D52" s="26" t="n">
        <v>13389</v>
      </c>
      <c r="F52" s="26" t="n">
        <v>1655</v>
      </c>
      <c r="G52" s="26" t="n">
        <v>84398</v>
      </c>
    </row>
    <row r="53" customFormat="false" ht="15" hidden="false" customHeight="true" outlineLevel="0" collapsed="false">
      <c r="B53" s="9" t="s">
        <v>185</v>
      </c>
      <c r="C53" s="26" t="n">
        <v>7649</v>
      </c>
      <c r="D53" s="26" t="n">
        <v>1030</v>
      </c>
      <c r="F53" s="26" t="n">
        <v>127</v>
      </c>
      <c r="G53" s="26" t="n">
        <v>6493</v>
      </c>
    </row>
    <row r="54" customFormat="false" ht="15" hidden="false" customHeight="true" outlineLevel="0" collapsed="false">
      <c r="B54" s="9" t="s">
        <v>186</v>
      </c>
      <c r="C54" s="26" t="n">
        <v>20398</v>
      </c>
      <c r="D54" s="26" t="n">
        <v>2746</v>
      </c>
      <c r="F54" s="26" t="n">
        <v>340</v>
      </c>
      <c r="G54" s="26" t="n">
        <v>17312</v>
      </c>
    </row>
    <row r="55" customFormat="false" ht="15" hidden="false" customHeight="true" outlineLevel="0" collapsed="false">
      <c r="A55" s="27"/>
      <c r="B55" s="28" t="s">
        <v>87</v>
      </c>
      <c r="C55" s="29" t="n">
        <f aca="false">SUM(C52:C54)</f>
        <v>127489</v>
      </c>
      <c r="D55" s="29" t="n">
        <f aca="false">SUM(D52:D54)</f>
        <v>17165</v>
      </c>
      <c r="E55" s="27"/>
      <c r="F55" s="29" t="n">
        <f aca="false">SUM(F52:F54)</f>
        <v>2122</v>
      </c>
      <c r="G55" s="29" t="n">
        <f aca="false">SUM(G52:G54)</f>
        <v>108203</v>
      </c>
      <c r="H55" s="27"/>
    </row>
    <row r="57" customFormat="false" ht="15" hidden="false" customHeight="true" outlineLevel="0" collapsed="false">
      <c r="A57" s="30"/>
      <c r="B57" s="31" t="s">
        <v>187</v>
      </c>
      <c r="C57" s="31"/>
      <c r="D57" s="31"/>
      <c r="E57" s="31"/>
      <c r="F57" s="31"/>
      <c r="G57" s="31"/>
      <c r="H57" s="31"/>
      <c r="I57" s="31"/>
      <c r="J57" s="31"/>
    </row>
    <row r="58" customFormat="false" ht="15" hidden="false" customHeight="true" outlineLevel="0" collapsed="false">
      <c r="B58" s="32" t="s">
        <v>185</v>
      </c>
      <c r="C58" s="33" t="n">
        <v>7649</v>
      </c>
      <c r="D58" s="33" t="n">
        <v>1030</v>
      </c>
      <c r="F58" s="33" t="n">
        <v>127</v>
      </c>
      <c r="G58" s="33" t="n">
        <v>6493</v>
      </c>
    </row>
    <row r="59" customFormat="false" ht="15" hidden="false" customHeight="true" outlineLevel="0" collapsed="false">
      <c r="B59" s="32" t="s">
        <v>184</v>
      </c>
      <c r="C59" s="33" t="n">
        <v>99442</v>
      </c>
      <c r="D59" s="33" t="n">
        <v>13389</v>
      </c>
      <c r="F59" s="33" t="n">
        <v>1655</v>
      </c>
      <c r="G59" s="33" t="n">
        <v>84398</v>
      </c>
    </row>
    <row r="60" customFormat="false" ht="15" hidden="false" customHeight="true" outlineLevel="0" collapsed="false">
      <c r="B60" s="32" t="s">
        <v>186</v>
      </c>
      <c r="C60" s="33" t="n">
        <v>20398</v>
      </c>
      <c r="D60" s="33" t="n">
        <v>2746</v>
      </c>
      <c r="F60" s="33" t="n">
        <v>340</v>
      </c>
      <c r="G60" s="33" t="n">
        <v>17312</v>
      </c>
    </row>
    <row r="62" customFormat="false" ht="15" hidden="false" customHeight="true" outlineLevel="0" collapsed="false">
      <c r="A62" s="34" t="s">
        <v>89</v>
      </c>
      <c r="B62" s="34"/>
      <c r="C62" s="34"/>
      <c r="D62" s="34"/>
      <c r="E62" s="34"/>
      <c r="F62" s="34"/>
      <c r="G62" s="34"/>
      <c r="H62" s="34"/>
      <c r="I62" s="34"/>
      <c r="J62" s="34"/>
    </row>
    <row r="63" customFormat="false" ht="15" hidden="false" customHeight="true" outlineLevel="0" collapsed="false">
      <c r="A63" s="35" t="s">
        <v>33</v>
      </c>
      <c r="B63" s="35"/>
      <c r="C63" s="35"/>
      <c r="D63" s="35"/>
      <c r="E63" s="35"/>
      <c r="F63" s="35"/>
      <c r="G63" s="35"/>
      <c r="H63" s="35"/>
      <c r="I63" s="35"/>
      <c r="J63" s="35"/>
    </row>
    <row r="64" customFormat="false" ht="15" hidden="false" customHeight="true" outlineLevel="0" collapsed="false">
      <c r="A64" s="36"/>
      <c r="B64" s="36" t="s">
        <v>90</v>
      </c>
      <c r="C64" s="37" t="s">
        <v>91</v>
      </c>
      <c r="D64" s="37" t="s">
        <v>92</v>
      </c>
      <c r="E64" s="37" t="s">
        <v>93</v>
      </c>
      <c r="F64" s="37" t="s">
        <v>94</v>
      </c>
      <c r="G64" s="37" t="s">
        <v>95</v>
      </c>
      <c r="H64" s="37" t="s">
        <v>96</v>
      </c>
      <c r="I64" s="37" t="s">
        <v>97</v>
      </c>
      <c r="J64" s="37" t="s">
        <v>98</v>
      </c>
    </row>
    <row r="65" customFormat="false" ht="15" hidden="false" customHeight="true" outlineLevel="0" collapsed="false">
      <c r="B65" s="38" t="s">
        <v>188</v>
      </c>
      <c r="C65" s="39" t="n">
        <v>7649</v>
      </c>
      <c r="D65" s="39" t="n">
        <v>0</v>
      </c>
      <c r="E65" s="39" t="n">
        <v>3621.69</v>
      </c>
      <c r="F65" s="39" t="n">
        <v>451.69</v>
      </c>
      <c r="G65" s="39" t="n">
        <v>4073.38</v>
      </c>
      <c r="H65" s="39" t="n">
        <v>3575.62</v>
      </c>
      <c r="I65" s="40" t="s">
        <v>100</v>
      </c>
      <c r="J65" s="41" t="n">
        <v>15</v>
      </c>
    </row>
    <row r="66" customFormat="false" ht="15" hidden="false" customHeight="true" outlineLevel="0" collapsed="false">
      <c r="B66" s="15" t="s">
        <v>189</v>
      </c>
      <c r="C66" s="17" t="n">
        <v>99442</v>
      </c>
      <c r="D66" s="17" t="n">
        <v>0</v>
      </c>
      <c r="E66" s="17" t="n">
        <v>21847.1</v>
      </c>
      <c r="F66" s="17" t="n">
        <v>3616.07</v>
      </c>
      <c r="G66" s="17" t="n">
        <v>25463.17</v>
      </c>
      <c r="H66" s="17" t="n">
        <v>73978.83</v>
      </c>
      <c r="I66" s="42" t="s">
        <v>102</v>
      </c>
      <c r="J66" s="43" t="n">
        <v>27.5</v>
      </c>
    </row>
    <row r="67" customFormat="false" ht="15" hidden="false" customHeight="true" outlineLevel="0" collapsed="false">
      <c r="B67" s="38" t="s">
        <v>190</v>
      </c>
      <c r="C67" s="39" t="n">
        <v>20398</v>
      </c>
      <c r="D67" s="39" t="n">
        <v>20398</v>
      </c>
      <c r="E67" s="39" t="n">
        <v>20398</v>
      </c>
      <c r="F67" s="39" t="n">
        <v>0</v>
      </c>
      <c r="G67" s="39" t="n">
        <v>20398</v>
      </c>
      <c r="H67" s="39" t="n">
        <v>0</v>
      </c>
      <c r="I67" s="40" t="s">
        <v>104</v>
      </c>
      <c r="J67" s="41" t="n">
        <v>5</v>
      </c>
    </row>
    <row r="68" customFormat="false" ht="15" hidden="false" customHeight="true" outlineLevel="0" collapsed="false">
      <c r="A68" s="44"/>
      <c r="B68" s="45" t="s">
        <v>16</v>
      </c>
      <c r="C68" s="46" t="n">
        <f aca="false">SUM(C65:C67)</f>
        <v>127489</v>
      </c>
      <c r="D68" s="46" t="n">
        <f aca="false">SUM(D65:D67)</f>
        <v>20398</v>
      </c>
      <c r="E68" s="46" t="n">
        <f aca="false">SUM(E65:E67)</f>
        <v>45866.79</v>
      </c>
      <c r="F68" s="46" t="n">
        <f aca="false">SUM(F65:F67)</f>
        <v>4067.76</v>
      </c>
      <c r="G68" s="46" t="n">
        <f aca="false">SUM(G65:G67)</f>
        <v>49934.55</v>
      </c>
      <c r="H68" s="46" t="n">
        <f aca="false">SUM(H65:H67)</f>
        <v>77554.45</v>
      </c>
      <c r="I68" s="44"/>
      <c r="J68" s="44"/>
    </row>
    <row r="70" customFormat="false" ht="15" hidden="false" customHeight="true" outlineLevel="0" collapsed="false">
      <c r="A70" s="31" t="s">
        <v>105</v>
      </c>
      <c r="B70" s="31"/>
      <c r="C70" s="31"/>
      <c r="D70" s="31"/>
      <c r="E70" s="31"/>
      <c r="F70" s="31"/>
      <c r="G70" s="31"/>
      <c r="H70" s="31"/>
      <c r="I70" s="31"/>
      <c r="J70" s="31"/>
    </row>
    <row r="71" customFormat="false" ht="15" hidden="false" customHeight="true" outlineLevel="0" collapsed="false">
      <c r="A71" s="36"/>
      <c r="B71" s="36" t="s">
        <v>90</v>
      </c>
      <c r="C71" s="37" t="s">
        <v>91</v>
      </c>
      <c r="D71" s="37" t="s">
        <v>92</v>
      </c>
      <c r="E71" s="37" t="s">
        <v>93</v>
      </c>
      <c r="F71" s="37" t="s">
        <v>94</v>
      </c>
      <c r="G71" s="37" t="s">
        <v>95</v>
      </c>
      <c r="H71" s="37" t="s">
        <v>96</v>
      </c>
      <c r="I71" s="37" t="s">
        <v>97</v>
      </c>
      <c r="J71" s="37" t="s">
        <v>98</v>
      </c>
    </row>
    <row r="72" customFormat="false" ht="15" hidden="false" customHeight="true" outlineLevel="0" collapsed="false">
      <c r="B72" s="38" t="s">
        <v>191</v>
      </c>
      <c r="C72" s="39" t="n">
        <v>1030</v>
      </c>
      <c r="D72" s="39" t="n">
        <v>0</v>
      </c>
      <c r="E72" s="39" t="n">
        <v>1030</v>
      </c>
      <c r="F72" s="39" t="n">
        <v>0</v>
      </c>
      <c r="G72" s="39" t="n">
        <v>1030</v>
      </c>
      <c r="H72" s="39" t="n">
        <v>0</v>
      </c>
      <c r="I72" s="40" t="s">
        <v>104</v>
      </c>
      <c r="J72" s="41" t="n">
        <v>5</v>
      </c>
    </row>
    <row r="73" customFormat="false" ht="15" hidden="false" customHeight="true" outlineLevel="0" collapsed="false">
      <c r="B73" s="15" t="s">
        <v>192</v>
      </c>
      <c r="C73" s="17" t="n">
        <v>127</v>
      </c>
      <c r="D73" s="17" t="n">
        <v>0</v>
      </c>
      <c r="E73" s="17" t="n">
        <v>63.27</v>
      </c>
      <c r="F73" s="17" t="n">
        <v>7.5</v>
      </c>
      <c r="G73" s="17" t="n">
        <v>70.77</v>
      </c>
      <c r="H73" s="17" t="n">
        <v>56.23</v>
      </c>
      <c r="I73" s="42" t="s">
        <v>100</v>
      </c>
      <c r="J73" s="43" t="n">
        <v>15</v>
      </c>
    </row>
    <row r="74" customFormat="false" ht="15" hidden="false" customHeight="true" outlineLevel="0" collapsed="false">
      <c r="B74" s="38" t="s">
        <v>193</v>
      </c>
      <c r="C74" s="39" t="n">
        <v>6493</v>
      </c>
      <c r="D74" s="39" t="n">
        <v>0</v>
      </c>
      <c r="E74" s="39" t="n">
        <v>1426.26</v>
      </c>
      <c r="F74" s="39" t="n">
        <v>236.11</v>
      </c>
      <c r="G74" s="39" t="n">
        <v>1662.37</v>
      </c>
      <c r="H74" s="39" t="n">
        <v>4830.63</v>
      </c>
      <c r="I74" s="40" t="s">
        <v>102</v>
      </c>
      <c r="J74" s="41" t="n">
        <v>27.5</v>
      </c>
    </row>
    <row r="75" customFormat="false" ht="15" hidden="false" customHeight="true" outlineLevel="0" collapsed="false">
      <c r="B75" s="15" t="s">
        <v>194</v>
      </c>
      <c r="C75" s="17" t="n">
        <v>13389</v>
      </c>
      <c r="D75" s="17" t="n">
        <v>13389</v>
      </c>
      <c r="E75" s="17" t="n">
        <v>13389</v>
      </c>
      <c r="F75" s="17" t="n">
        <v>0</v>
      </c>
      <c r="G75" s="17" t="n">
        <v>13389</v>
      </c>
      <c r="H75" s="17" t="n">
        <v>0</v>
      </c>
      <c r="I75" s="42" t="s">
        <v>104</v>
      </c>
      <c r="J75" s="43" t="n">
        <v>5</v>
      </c>
    </row>
    <row r="76" customFormat="false" ht="15" hidden="false" customHeight="true" outlineLevel="0" collapsed="false">
      <c r="B76" s="38" t="s">
        <v>195</v>
      </c>
      <c r="C76" s="39" t="n">
        <v>1655</v>
      </c>
      <c r="D76" s="39" t="n">
        <v>1655</v>
      </c>
      <c r="E76" s="39" t="n">
        <v>1655</v>
      </c>
      <c r="F76" s="39" t="n">
        <v>0</v>
      </c>
      <c r="G76" s="39" t="n">
        <v>1655</v>
      </c>
      <c r="H76" s="39" t="n">
        <v>0</v>
      </c>
      <c r="I76" s="40" t="s">
        <v>100</v>
      </c>
      <c r="J76" s="41" t="n">
        <v>15</v>
      </c>
    </row>
    <row r="77" customFormat="false" ht="15" hidden="false" customHeight="true" outlineLevel="0" collapsed="false">
      <c r="B77" s="15" t="s">
        <v>196</v>
      </c>
      <c r="C77" s="17" t="n">
        <v>84398</v>
      </c>
      <c r="D77" s="17" t="n">
        <v>0</v>
      </c>
      <c r="E77" s="17" t="n">
        <v>18542</v>
      </c>
      <c r="F77" s="17" t="n">
        <v>3069.02</v>
      </c>
      <c r="G77" s="17" t="n">
        <v>21611.02</v>
      </c>
      <c r="H77" s="17" t="n">
        <v>62786.98</v>
      </c>
      <c r="I77" s="42" t="s">
        <v>102</v>
      </c>
      <c r="J77" s="43" t="n">
        <v>27.5</v>
      </c>
    </row>
    <row r="78" customFormat="false" ht="15" hidden="false" customHeight="true" outlineLevel="0" collapsed="false">
      <c r="B78" s="38" t="s">
        <v>197</v>
      </c>
      <c r="C78" s="39" t="n">
        <v>2746</v>
      </c>
      <c r="D78" s="39" t="n">
        <v>2746</v>
      </c>
      <c r="E78" s="39" t="n">
        <v>2746</v>
      </c>
      <c r="F78" s="39" t="n">
        <v>0</v>
      </c>
      <c r="G78" s="39" t="n">
        <v>2746</v>
      </c>
      <c r="H78" s="39" t="n">
        <v>0</v>
      </c>
      <c r="I78" s="40" t="s">
        <v>104</v>
      </c>
      <c r="J78" s="41" t="n">
        <v>5</v>
      </c>
    </row>
    <row r="79" customFormat="false" ht="15" hidden="false" customHeight="true" outlineLevel="0" collapsed="false">
      <c r="B79" s="15" t="s">
        <v>198</v>
      </c>
      <c r="C79" s="17" t="n">
        <v>340</v>
      </c>
      <c r="D79" s="17" t="n">
        <v>340</v>
      </c>
      <c r="E79" s="17" t="n">
        <v>340</v>
      </c>
      <c r="F79" s="17" t="n">
        <v>0</v>
      </c>
      <c r="G79" s="17" t="n">
        <v>340</v>
      </c>
      <c r="H79" s="17" t="n">
        <v>0</v>
      </c>
      <c r="I79" s="42" t="s">
        <v>100</v>
      </c>
      <c r="J79" s="43" t="n">
        <v>15</v>
      </c>
    </row>
    <row r="80" customFormat="false" ht="15" hidden="false" customHeight="true" outlineLevel="0" collapsed="false">
      <c r="B80" s="38" t="s">
        <v>199</v>
      </c>
      <c r="C80" s="39" t="n">
        <v>17312</v>
      </c>
      <c r="D80" s="39" t="n">
        <v>0</v>
      </c>
      <c r="E80" s="39" t="n">
        <v>3803.41</v>
      </c>
      <c r="F80" s="39" t="n">
        <v>629.53</v>
      </c>
      <c r="G80" s="39" t="n">
        <v>4432.94</v>
      </c>
      <c r="H80" s="39" t="n">
        <v>12879.06</v>
      </c>
      <c r="I80" s="40" t="s">
        <v>102</v>
      </c>
      <c r="J80" s="41" t="n">
        <v>27.5</v>
      </c>
    </row>
    <row r="81" customFormat="false" ht="15" hidden="false" customHeight="true" outlineLevel="0" collapsed="false">
      <c r="A81" s="44"/>
      <c r="B81" s="45" t="s">
        <v>16</v>
      </c>
      <c r="C81" s="46" t="n">
        <f aca="false">SUM(C72:C80)</f>
        <v>127490</v>
      </c>
      <c r="D81" s="46" t="n">
        <f aca="false">SUM(D72:D80)</f>
        <v>18130</v>
      </c>
      <c r="E81" s="46" t="n">
        <f aca="false">SUM(E72:E80)</f>
        <v>42994.94</v>
      </c>
      <c r="F81" s="46" t="n">
        <f aca="false">SUM(F72:F80)</f>
        <v>3942.16</v>
      </c>
      <c r="G81" s="46" t="n">
        <f aca="false">SUM(G72:G80)</f>
        <v>46937.1</v>
      </c>
      <c r="H81" s="46" t="n">
        <f aca="false">SUM(H72:H80)</f>
        <v>80552.9</v>
      </c>
      <c r="I81" s="44"/>
      <c r="J81" s="44"/>
    </row>
    <row r="83" customFormat="false" ht="15" hidden="false" customHeight="true" outlineLevel="0" collapsed="false">
      <c r="A83" s="34" t="s">
        <v>35</v>
      </c>
      <c r="B83" s="34"/>
      <c r="C83" s="34"/>
      <c r="D83" s="34"/>
      <c r="E83" s="34"/>
    </row>
    <row r="84" customFormat="false" ht="15" hidden="false" customHeight="true" outlineLevel="0" collapsed="false">
      <c r="B84" s="15" t="s">
        <v>115</v>
      </c>
      <c r="C84" s="47" t="n">
        <f aca="false">G68</f>
        <v>49934.55</v>
      </c>
    </row>
    <row r="85" customFormat="false" ht="15" hidden="false" customHeight="true" outlineLevel="0" collapsed="false">
      <c r="B85" s="15" t="s">
        <v>116</v>
      </c>
      <c r="C85" s="47" t="n">
        <f aca="false">G81</f>
        <v>46937.1</v>
      </c>
    </row>
    <row r="86" customFormat="false" ht="15" hidden="false" customHeight="true" outlineLevel="0" collapsed="false">
      <c r="B86" s="18" t="s">
        <v>35</v>
      </c>
      <c r="C86" s="48" t="n">
        <f aca="false">C85-C84</f>
        <v>-2997.45</v>
      </c>
    </row>
  </sheetData>
  <mergeCells count="13">
    <mergeCell ref="A2:J2"/>
    <mergeCell ref="A3:J3"/>
    <mergeCell ref="A4:J4"/>
    <mergeCell ref="A8:J8"/>
    <mergeCell ref="B10:J10"/>
    <mergeCell ref="B23:J23"/>
    <mergeCell ref="B28:J28"/>
    <mergeCell ref="B51:J51"/>
    <mergeCell ref="B57:J57"/>
    <mergeCell ref="A62:J62"/>
    <mergeCell ref="A63:J63"/>
    <mergeCell ref="A70:J70"/>
    <mergeCell ref="A83:E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true" outlineLevel="0" collapsed="false">
      <c r="A3" s="3" t="s">
        <v>200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2" t="s">
        <v>38</v>
      </c>
      <c r="C6" s="9" t="s">
        <v>201</v>
      </c>
    </row>
    <row r="8" customFormat="false" ht="15" hidden="false" customHeight="true" outlineLevel="0" collapsed="false">
      <c r="A8" s="23" t="s">
        <v>202</v>
      </c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true" outlineLevel="0" collapsed="false">
      <c r="A9" s="24"/>
      <c r="B9" s="24" t="s">
        <v>40</v>
      </c>
      <c r="C9" s="25" t="s">
        <v>41</v>
      </c>
      <c r="D9" s="25" t="s">
        <v>42</v>
      </c>
      <c r="E9" s="25" t="s">
        <v>43</v>
      </c>
      <c r="F9" s="25" t="s">
        <v>44</v>
      </c>
      <c r="G9" s="25" t="s">
        <v>45</v>
      </c>
      <c r="H9" s="25" t="s">
        <v>46</v>
      </c>
    </row>
    <row r="10" customFormat="false" ht="15" hidden="false" customHeight="true" outlineLevel="0" collapsed="false">
      <c r="A10" s="6"/>
      <c r="B10" s="7" t="s">
        <v>47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48</v>
      </c>
      <c r="C11" s="26" t="n">
        <v>769.54</v>
      </c>
      <c r="D11" s="26" t="n">
        <v>769.54</v>
      </c>
    </row>
    <row r="12" customFormat="false" ht="15" hidden="false" customHeight="true" outlineLevel="0" collapsed="false">
      <c r="B12" s="9" t="s">
        <v>49</v>
      </c>
      <c r="C12" s="26" t="n">
        <v>1073.38</v>
      </c>
      <c r="D12" s="26" t="n">
        <v>1073.38</v>
      </c>
    </row>
    <row r="13" customFormat="false" ht="15" hidden="false" customHeight="true" outlineLevel="0" collapsed="false">
      <c r="B13" s="9" t="s">
        <v>50</v>
      </c>
      <c r="C13" s="26" t="n">
        <v>1525.14</v>
      </c>
      <c r="D13" s="26" t="n">
        <v>1525.14</v>
      </c>
    </row>
    <row r="14" customFormat="false" ht="15" hidden="false" customHeight="true" outlineLevel="0" collapsed="false">
      <c r="B14" s="9" t="s">
        <v>51</v>
      </c>
      <c r="C14" s="26" t="n">
        <v>391.94</v>
      </c>
      <c r="D14" s="26" t="n">
        <v>391.94</v>
      </c>
    </row>
    <row r="15" customFormat="false" ht="15" hidden="false" customHeight="true" outlineLevel="0" collapsed="false">
      <c r="B15" s="9" t="s">
        <v>52</v>
      </c>
      <c r="C15" s="26" t="n">
        <v>399.45</v>
      </c>
      <c r="D15" s="26" t="n">
        <v>399.45</v>
      </c>
    </row>
    <row r="16" customFormat="false" ht="15" hidden="false" customHeight="true" outlineLevel="0" collapsed="false">
      <c r="B16" s="9" t="s">
        <v>53</v>
      </c>
      <c r="C16" s="26" t="n">
        <v>33.34</v>
      </c>
      <c r="D16" s="26" t="n">
        <v>33.34</v>
      </c>
    </row>
    <row r="17" customFormat="false" ht="15" hidden="false" customHeight="true" outlineLevel="0" collapsed="false">
      <c r="B17" s="9" t="s">
        <v>54</v>
      </c>
      <c r="C17" s="26" t="n">
        <v>21.93</v>
      </c>
      <c r="D17" s="26" t="n">
        <v>21.93</v>
      </c>
    </row>
    <row r="18" customFormat="false" ht="15" hidden="false" customHeight="true" outlineLevel="0" collapsed="false">
      <c r="B18" s="9" t="s">
        <v>55</v>
      </c>
      <c r="C18" s="26" t="n">
        <v>569.4</v>
      </c>
      <c r="D18" s="26" t="n">
        <v>569.4</v>
      </c>
    </row>
    <row r="19" customFormat="false" ht="15" hidden="false" customHeight="true" outlineLevel="0" collapsed="false">
      <c r="B19" s="9" t="s">
        <v>56</v>
      </c>
      <c r="C19" s="26" t="n">
        <v>233.79</v>
      </c>
      <c r="D19" s="26" t="n">
        <v>233.79</v>
      </c>
    </row>
    <row r="20" customFormat="false" ht="15" hidden="false" customHeight="true" outlineLevel="0" collapsed="false">
      <c r="B20" s="9" t="s">
        <v>57</v>
      </c>
      <c r="C20" s="26" t="n">
        <v>623.44</v>
      </c>
      <c r="D20" s="26" t="n">
        <v>623.44</v>
      </c>
    </row>
    <row r="21" customFormat="false" ht="15" hidden="false" customHeight="true" outlineLevel="0" collapsed="false">
      <c r="B21" s="9" t="s">
        <v>58</v>
      </c>
      <c r="C21" s="26" t="n">
        <v>123.66</v>
      </c>
      <c r="D21" s="26" t="n">
        <v>123.66</v>
      </c>
    </row>
    <row r="22" customFormat="false" ht="15" hidden="false" customHeight="true" outlineLevel="0" collapsed="false">
      <c r="B22" s="9" t="s">
        <v>59</v>
      </c>
      <c r="C22" s="26" t="n">
        <v>624.56</v>
      </c>
      <c r="D22" s="26" t="n">
        <v>624.56</v>
      </c>
    </row>
    <row r="23" customFormat="false" ht="15" hidden="false" customHeight="true" outlineLevel="0" collapsed="false">
      <c r="A23" s="6"/>
      <c r="B23" s="7" t="s">
        <v>60</v>
      </c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true" outlineLevel="0" collapsed="false">
      <c r="B24" s="9" t="s">
        <v>61</v>
      </c>
      <c r="C24" s="26" t="n">
        <v>462.21</v>
      </c>
      <c r="F24" s="26" t="n">
        <v>462.21</v>
      </c>
    </row>
    <row r="25" customFormat="false" ht="15" hidden="false" customHeight="true" outlineLevel="0" collapsed="false">
      <c r="B25" s="9" t="s">
        <v>62</v>
      </c>
      <c r="C25" s="26" t="n">
        <v>179.88</v>
      </c>
      <c r="F25" s="26" t="n">
        <v>179.88</v>
      </c>
    </row>
    <row r="26" customFormat="false" ht="15" hidden="false" customHeight="true" outlineLevel="0" collapsed="false">
      <c r="B26" s="9" t="s">
        <v>203</v>
      </c>
      <c r="C26" s="26" t="n">
        <v>16.47</v>
      </c>
      <c r="F26" s="26" t="n">
        <v>16.47</v>
      </c>
    </row>
    <row r="27" customFormat="false" ht="15" hidden="false" customHeight="true" outlineLevel="0" collapsed="false">
      <c r="B27" s="9" t="s">
        <v>63</v>
      </c>
      <c r="C27" s="26" t="n">
        <v>38.5</v>
      </c>
      <c r="F27" s="26" t="n">
        <v>38.5</v>
      </c>
    </row>
    <row r="28" customFormat="false" ht="15" hidden="false" customHeight="true" outlineLevel="0" collapsed="false">
      <c r="B28" s="9" t="s">
        <v>64</v>
      </c>
      <c r="C28" s="26" t="n">
        <v>23.87</v>
      </c>
      <c r="F28" s="26" t="n">
        <v>23.87</v>
      </c>
    </row>
    <row r="29" customFormat="false" ht="15" hidden="false" customHeight="true" outlineLevel="0" collapsed="false">
      <c r="A29" s="6"/>
      <c r="B29" s="7" t="s">
        <v>65</v>
      </c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true" outlineLevel="0" collapsed="false">
      <c r="B30" s="9" t="s">
        <v>66</v>
      </c>
      <c r="C30" s="26" t="n">
        <v>2692.77</v>
      </c>
      <c r="G30" s="26" t="n">
        <v>2692.77</v>
      </c>
    </row>
    <row r="31" customFormat="false" ht="15" hidden="false" customHeight="true" outlineLevel="0" collapsed="false">
      <c r="B31" s="9" t="s">
        <v>67</v>
      </c>
      <c r="C31" s="26" t="n">
        <v>4528.89</v>
      </c>
      <c r="G31" s="26" t="n">
        <v>4528.89</v>
      </c>
    </row>
    <row r="32" customFormat="false" ht="15" hidden="false" customHeight="true" outlineLevel="0" collapsed="false">
      <c r="B32" s="9" t="s">
        <v>68</v>
      </c>
      <c r="C32" s="26" t="n">
        <v>2401.76</v>
      </c>
      <c r="G32" s="26" t="n">
        <v>2401.76</v>
      </c>
    </row>
    <row r="33" customFormat="false" ht="15" hidden="false" customHeight="true" outlineLevel="0" collapsed="false">
      <c r="B33" s="9" t="s">
        <v>69</v>
      </c>
      <c r="C33" s="26" t="n">
        <v>2545.73</v>
      </c>
      <c r="G33" s="26" t="n">
        <v>2545.73</v>
      </c>
    </row>
    <row r="34" customFormat="false" ht="15" hidden="false" customHeight="true" outlineLevel="0" collapsed="false">
      <c r="B34" s="9" t="s">
        <v>70</v>
      </c>
      <c r="C34" s="26" t="n">
        <v>2116.83</v>
      </c>
      <c r="G34" s="26" t="n">
        <v>2116.83</v>
      </c>
    </row>
    <row r="35" customFormat="false" ht="15" hidden="false" customHeight="true" outlineLevel="0" collapsed="false">
      <c r="B35" s="9" t="s">
        <v>71</v>
      </c>
      <c r="C35" s="26" t="n">
        <v>133.07</v>
      </c>
      <c r="G35" s="26" t="n">
        <v>133.07</v>
      </c>
    </row>
    <row r="36" customFormat="false" ht="15" hidden="false" customHeight="true" outlineLevel="0" collapsed="false">
      <c r="B36" s="9" t="s">
        <v>72</v>
      </c>
      <c r="C36" s="26" t="n">
        <v>2525.75</v>
      </c>
      <c r="G36" s="26" t="n">
        <v>2525.75</v>
      </c>
    </row>
    <row r="37" customFormat="false" ht="15" hidden="false" customHeight="true" outlineLevel="0" collapsed="false">
      <c r="B37" s="9" t="s">
        <v>73</v>
      </c>
      <c r="C37" s="26" t="n">
        <v>1588.26</v>
      </c>
      <c r="G37" s="26" t="n">
        <v>1588.26</v>
      </c>
    </row>
    <row r="38" customFormat="false" ht="15" hidden="false" customHeight="true" outlineLevel="0" collapsed="false">
      <c r="B38" s="9" t="s">
        <v>74</v>
      </c>
      <c r="C38" s="26" t="n">
        <v>1402.38</v>
      </c>
      <c r="G38" s="26" t="n">
        <v>1402.38</v>
      </c>
    </row>
    <row r="39" customFormat="false" ht="15" hidden="false" customHeight="true" outlineLevel="0" collapsed="false">
      <c r="B39" s="9" t="s">
        <v>75</v>
      </c>
      <c r="C39" s="26" t="n">
        <v>1255.57</v>
      </c>
      <c r="G39" s="26" t="n">
        <v>1255.57</v>
      </c>
    </row>
    <row r="40" customFormat="false" ht="15" hidden="false" customHeight="true" outlineLevel="0" collapsed="false">
      <c r="B40" s="9" t="s">
        <v>76</v>
      </c>
      <c r="C40" s="26" t="n">
        <v>5166.35</v>
      </c>
      <c r="G40" s="26" t="n">
        <v>5166.35</v>
      </c>
    </row>
    <row r="41" customFormat="false" ht="15" hidden="false" customHeight="true" outlineLevel="0" collapsed="false">
      <c r="B41" s="9" t="s">
        <v>77</v>
      </c>
      <c r="C41" s="26" t="n">
        <v>1609.06</v>
      </c>
      <c r="G41" s="26" t="n">
        <v>1609.06</v>
      </c>
    </row>
    <row r="42" customFormat="false" ht="15" hidden="false" customHeight="true" outlineLevel="0" collapsed="false">
      <c r="B42" s="9" t="s">
        <v>162</v>
      </c>
      <c r="C42" s="26" t="n">
        <v>510.29</v>
      </c>
      <c r="G42" s="26" t="n">
        <v>510.29</v>
      </c>
    </row>
    <row r="43" customFormat="false" ht="15" hidden="false" customHeight="true" outlineLevel="0" collapsed="false">
      <c r="B43" s="9" t="s">
        <v>78</v>
      </c>
      <c r="C43" s="26" t="n">
        <v>4954.03</v>
      </c>
      <c r="G43" s="26" t="n">
        <v>4954.03</v>
      </c>
    </row>
    <row r="44" customFormat="false" ht="15" hidden="false" customHeight="true" outlineLevel="0" collapsed="false">
      <c r="B44" s="9" t="s">
        <v>79</v>
      </c>
      <c r="C44" s="26" t="n">
        <v>363.68</v>
      </c>
      <c r="G44" s="26" t="n">
        <v>363.68</v>
      </c>
    </row>
    <row r="45" customFormat="false" ht="15" hidden="false" customHeight="true" outlineLevel="0" collapsed="false">
      <c r="B45" s="9" t="s">
        <v>163</v>
      </c>
      <c r="C45" s="26" t="n">
        <v>439.55</v>
      </c>
      <c r="G45" s="26" t="n">
        <v>439.55</v>
      </c>
    </row>
    <row r="46" customFormat="false" ht="15" hidden="false" customHeight="true" outlineLevel="0" collapsed="false">
      <c r="B46" s="9" t="s">
        <v>164</v>
      </c>
      <c r="C46" s="26" t="n">
        <v>58.21</v>
      </c>
      <c r="G46" s="26" t="n">
        <v>58.21</v>
      </c>
    </row>
    <row r="47" customFormat="false" ht="15" hidden="false" customHeight="true" outlineLevel="0" collapsed="false">
      <c r="B47" s="9" t="s">
        <v>80</v>
      </c>
      <c r="C47" s="26" t="n">
        <v>517.57</v>
      </c>
      <c r="G47" s="26" t="n">
        <v>517.57</v>
      </c>
    </row>
    <row r="48" customFormat="false" ht="15" hidden="false" customHeight="true" outlineLevel="0" collapsed="false">
      <c r="B48" s="9" t="s">
        <v>183</v>
      </c>
      <c r="C48" s="26" t="n">
        <v>365.76</v>
      </c>
      <c r="G48" s="26" t="n">
        <v>365.76</v>
      </c>
    </row>
    <row r="49" customFormat="false" ht="15" hidden="false" customHeight="true" outlineLevel="0" collapsed="false">
      <c r="B49" s="9" t="s">
        <v>81</v>
      </c>
      <c r="C49" s="26" t="n">
        <v>304.95</v>
      </c>
      <c r="G49" s="26" t="n">
        <v>304.95</v>
      </c>
    </row>
    <row r="50" customFormat="false" ht="15" hidden="false" customHeight="true" outlineLevel="0" collapsed="false">
      <c r="A50" s="27"/>
      <c r="B50" s="28" t="s">
        <v>82</v>
      </c>
      <c r="C50" s="29" t="n">
        <f aca="false">SUM(C10:C49)</f>
        <v>42590.96</v>
      </c>
      <c r="D50" s="29" t="n">
        <f aca="false">SUM(D10:D49)</f>
        <v>6389.57</v>
      </c>
      <c r="E50" s="29" t="n">
        <f aca="false">SUM(E10:E49)</f>
        <v>0</v>
      </c>
      <c r="F50" s="29" t="n">
        <f aca="false">SUM(F10:F49)</f>
        <v>720.93</v>
      </c>
      <c r="G50" s="29" t="n">
        <f aca="false">SUM(G10:G49)</f>
        <v>35480.46</v>
      </c>
      <c r="H50" s="27"/>
    </row>
    <row r="52" customFormat="false" ht="15" hidden="false" customHeight="true" outlineLevel="0" collapsed="false">
      <c r="A52" s="6"/>
      <c r="B52" s="7" t="s">
        <v>83</v>
      </c>
      <c r="C52" s="7"/>
      <c r="D52" s="7"/>
      <c r="E52" s="7"/>
      <c r="F52" s="7"/>
      <c r="G52" s="7"/>
      <c r="H52" s="7"/>
      <c r="I52" s="7"/>
      <c r="J52" s="7"/>
    </row>
    <row r="53" customFormat="false" ht="15" hidden="false" customHeight="true" outlineLevel="0" collapsed="false">
      <c r="B53" s="9" t="s">
        <v>204</v>
      </c>
      <c r="C53" s="26" t="n">
        <v>1131216</v>
      </c>
      <c r="D53" s="26" t="n">
        <v>169707</v>
      </c>
      <c r="F53" s="26" t="n">
        <v>19148</v>
      </c>
      <c r="G53" s="26" t="n">
        <v>942361</v>
      </c>
    </row>
    <row r="54" customFormat="false" ht="15" hidden="false" customHeight="true" outlineLevel="0" collapsed="false">
      <c r="B54" s="9" t="s">
        <v>205</v>
      </c>
      <c r="C54" s="26" t="n">
        <v>40887</v>
      </c>
      <c r="D54" s="26" t="n">
        <v>6134</v>
      </c>
      <c r="F54" s="26" t="n">
        <v>692</v>
      </c>
      <c r="G54" s="26" t="n">
        <v>34061</v>
      </c>
    </row>
    <row r="55" customFormat="false" ht="15" hidden="false" customHeight="true" outlineLevel="0" collapsed="false">
      <c r="B55" s="9" t="s">
        <v>206</v>
      </c>
      <c r="C55" s="26" t="n">
        <v>190807</v>
      </c>
      <c r="D55" s="26" t="n">
        <v>28625</v>
      </c>
      <c r="F55" s="26" t="n">
        <v>3230</v>
      </c>
      <c r="G55" s="26" t="n">
        <v>158953</v>
      </c>
    </row>
    <row r="56" customFormat="false" ht="15" hidden="false" customHeight="true" outlineLevel="0" collapsed="false">
      <c r="A56" s="27"/>
      <c r="B56" s="28" t="s">
        <v>87</v>
      </c>
      <c r="C56" s="29" t="n">
        <f aca="false">SUM(C53:C55)</f>
        <v>1362910</v>
      </c>
      <c r="D56" s="29" t="n">
        <f aca="false">SUM(D53:D55)</f>
        <v>204466</v>
      </c>
      <c r="E56" s="27"/>
      <c r="F56" s="29" t="n">
        <f aca="false">SUM(F53:F55)</f>
        <v>23070</v>
      </c>
      <c r="G56" s="29" t="n">
        <f aca="false">SUM(G53:G55)</f>
        <v>1135375</v>
      </c>
      <c r="H56" s="27"/>
    </row>
    <row r="58" customFormat="false" ht="15" hidden="false" customHeight="true" outlineLevel="0" collapsed="false">
      <c r="A58" s="30"/>
      <c r="B58" s="31" t="s">
        <v>207</v>
      </c>
      <c r="C58" s="31"/>
      <c r="D58" s="31"/>
      <c r="E58" s="31"/>
      <c r="F58" s="31"/>
      <c r="G58" s="31"/>
      <c r="H58" s="31"/>
      <c r="I58" s="31"/>
      <c r="J58" s="31"/>
    </row>
    <row r="59" customFormat="false" ht="15" hidden="false" customHeight="true" outlineLevel="0" collapsed="false">
      <c r="B59" s="32" t="s">
        <v>205</v>
      </c>
      <c r="C59" s="33" t="n">
        <v>40887</v>
      </c>
      <c r="D59" s="33" t="n">
        <v>6134</v>
      </c>
      <c r="F59" s="33" t="n">
        <v>692</v>
      </c>
      <c r="G59" s="33" t="n">
        <v>34061</v>
      </c>
    </row>
    <row r="60" customFormat="false" ht="15" hidden="false" customHeight="true" outlineLevel="0" collapsed="false">
      <c r="B60" s="32" t="s">
        <v>204</v>
      </c>
      <c r="C60" s="33" t="n">
        <v>1131216</v>
      </c>
      <c r="D60" s="33" t="n">
        <v>169707</v>
      </c>
      <c r="F60" s="33" t="n">
        <v>19148</v>
      </c>
      <c r="G60" s="33" t="n">
        <v>942361</v>
      </c>
    </row>
    <row r="61" customFormat="false" ht="15" hidden="false" customHeight="true" outlineLevel="0" collapsed="false">
      <c r="B61" s="32" t="s">
        <v>206</v>
      </c>
      <c r="C61" s="33" t="n">
        <v>190807</v>
      </c>
      <c r="D61" s="33" t="n">
        <v>28625</v>
      </c>
      <c r="F61" s="33" t="n">
        <v>3230</v>
      </c>
      <c r="G61" s="33" t="n">
        <v>158953</v>
      </c>
    </row>
    <row r="63" customFormat="false" ht="15" hidden="false" customHeight="true" outlineLevel="0" collapsed="false">
      <c r="A63" s="34" t="s">
        <v>89</v>
      </c>
      <c r="B63" s="34"/>
      <c r="C63" s="34"/>
      <c r="D63" s="34"/>
      <c r="E63" s="34"/>
      <c r="F63" s="34"/>
      <c r="G63" s="34"/>
      <c r="H63" s="34"/>
      <c r="I63" s="34"/>
      <c r="J63" s="34"/>
    </row>
    <row r="64" customFormat="false" ht="15" hidden="false" customHeight="true" outlineLevel="0" collapsed="false">
      <c r="A64" s="35" t="s">
        <v>33</v>
      </c>
      <c r="B64" s="35"/>
      <c r="C64" s="35"/>
      <c r="D64" s="35"/>
      <c r="E64" s="35"/>
      <c r="F64" s="35"/>
      <c r="G64" s="35"/>
      <c r="H64" s="35"/>
      <c r="I64" s="35"/>
      <c r="J64" s="35"/>
    </row>
    <row r="65" customFormat="false" ht="15" hidden="false" customHeight="true" outlineLevel="0" collapsed="false">
      <c r="A65" s="36"/>
      <c r="B65" s="36" t="s">
        <v>90</v>
      </c>
      <c r="C65" s="37" t="s">
        <v>91</v>
      </c>
      <c r="D65" s="37" t="s">
        <v>92</v>
      </c>
      <c r="E65" s="37" t="s">
        <v>93</v>
      </c>
      <c r="F65" s="37" t="s">
        <v>94</v>
      </c>
      <c r="G65" s="37" t="s">
        <v>95</v>
      </c>
      <c r="H65" s="37" t="s">
        <v>96</v>
      </c>
      <c r="I65" s="37" t="s">
        <v>97</v>
      </c>
      <c r="J65" s="37" t="s">
        <v>98</v>
      </c>
    </row>
    <row r="66" customFormat="false" ht="15" hidden="false" customHeight="true" outlineLevel="0" collapsed="false">
      <c r="B66" s="38" t="s">
        <v>208</v>
      </c>
      <c r="C66" s="39" t="n">
        <v>40887</v>
      </c>
      <c r="D66" s="39" t="n">
        <v>0</v>
      </c>
      <c r="E66" s="39" t="n">
        <v>40887</v>
      </c>
      <c r="F66" s="39" t="n">
        <v>0</v>
      </c>
      <c r="G66" s="39" t="n">
        <v>40887</v>
      </c>
      <c r="H66" s="39" t="n">
        <v>0</v>
      </c>
      <c r="I66" s="40" t="s">
        <v>100</v>
      </c>
      <c r="J66" s="41" t="n">
        <v>15</v>
      </c>
    </row>
    <row r="67" customFormat="false" ht="15" hidden="false" customHeight="true" outlineLevel="0" collapsed="false">
      <c r="B67" s="15" t="s">
        <v>209</v>
      </c>
      <c r="C67" s="17" t="n">
        <v>1131216</v>
      </c>
      <c r="D67" s="17" t="n">
        <v>0</v>
      </c>
      <c r="E67" s="17" t="n">
        <v>245097.45</v>
      </c>
      <c r="F67" s="17" t="n">
        <v>41135.17</v>
      </c>
      <c r="G67" s="17" t="n">
        <v>286232.62</v>
      </c>
      <c r="H67" s="17" t="n">
        <v>844983.38</v>
      </c>
      <c r="I67" s="42" t="s">
        <v>102</v>
      </c>
      <c r="J67" s="43" t="n">
        <v>27.5</v>
      </c>
    </row>
    <row r="68" customFormat="false" ht="15" hidden="false" customHeight="true" outlineLevel="0" collapsed="false">
      <c r="B68" s="38" t="s">
        <v>210</v>
      </c>
      <c r="C68" s="39" t="n">
        <v>190807</v>
      </c>
      <c r="D68" s="39" t="n">
        <v>190807</v>
      </c>
      <c r="E68" s="39" t="n">
        <v>190807</v>
      </c>
      <c r="F68" s="39" t="n">
        <v>0</v>
      </c>
      <c r="G68" s="39" t="n">
        <v>190807</v>
      </c>
      <c r="H68" s="39" t="n">
        <v>0</v>
      </c>
      <c r="I68" s="40" t="s">
        <v>104</v>
      </c>
      <c r="J68" s="41" t="n">
        <v>5</v>
      </c>
    </row>
    <row r="69" customFormat="false" ht="15" hidden="false" customHeight="true" outlineLevel="0" collapsed="false">
      <c r="A69" s="44"/>
      <c r="B69" s="45" t="s">
        <v>16</v>
      </c>
      <c r="C69" s="46" t="n">
        <f aca="false">SUM(C66:C68)</f>
        <v>1362910</v>
      </c>
      <c r="D69" s="46" t="n">
        <f aca="false">SUM(D66:D68)</f>
        <v>190807</v>
      </c>
      <c r="E69" s="46" t="n">
        <f aca="false">SUM(E66:E68)</f>
        <v>476791.45</v>
      </c>
      <c r="F69" s="46" t="n">
        <f aca="false">SUM(F66:F68)</f>
        <v>41135.17</v>
      </c>
      <c r="G69" s="46" t="n">
        <f aca="false">SUM(G66:G68)</f>
        <v>517926.62</v>
      </c>
      <c r="H69" s="46" t="n">
        <f aca="false">SUM(H66:H68)</f>
        <v>844983.38</v>
      </c>
      <c r="I69" s="44"/>
      <c r="J69" s="44"/>
    </row>
    <row r="71" customFormat="false" ht="15" hidden="false" customHeight="true" outlineLevel="0" collapsed="false">
      <c r="A71" s="31" t="s">
        <v>105</v>
      </c>
      <c r="B71" s="31"/>
      <c r="C71" s="31"/>
      <c r="D71" s="31"/>
      <c r="E71" s="31"/>
      <c r="F71" s="31"/>
      <c r="G71" s="31"/>
      <c r="H71" s="31"/>
      <c r="I71" s="31"/>
      <c r="J71" s="31"/>
    </row>
    <row r="72" customFormat="false" ht="15" hidden="false" customHeight="true" outlineLevel="0" collapsed="false">
      <c r="A72" s="36"/>
      <c r="B72" s="36" t="s">
        <v>90</v>
      </c>
      <c r="C72" s="37" t="s">
        <v>91</v>
      </c>
      <c r="D72" s="37" t="s">
        <v>92</v>
      </c>
      <c r="E72" s="37" t="s">
        <v>93</v>
      </c>
      <c r="F72" s="37" t="s">
        <v>94</v>
      </c>
      <c r="G72" s="37" t="s">
        <v>95</v>
      </c>
      <c r="H72" s="37" t="s">
        <v>96</v>
      </c>
      <c r="I72" s="37" t="s">
        <v>97</v>
      </c>
      <c r="J72" s="37" t="s">
        <v>98</v>
      </c>
    </row>
    <row r="73" customFormat="false" ht="15" hidden="false" customHeight="true" outlineLevel="0" collapsed="false">
      <c r="B73" s="38" t="s">
        <v>211</v>
      </c>
      <c r="C73" s="39" t="n">
        <v>6134</v>
      </c>
      <c r="D73" s="39" t="n">
        <v>0</v>
      </c>
      <c r="E73" s="39" t="n">
        <v>6134</v>
      </c>
      <c r="F73" s="39" t="n">
        <v>0</v>
      </c>
      <c r="G73" s="39" t="n">
        <v>6134</v>
      </c>
      <c r="H73" s="39" t="n">
        <v>0</v>
      </c>
      <c r="I73" s="40" t="s">
        <v>104</v>
      </c>
      <c r="J73" s="41" t="n">
        <v>5</v>
      </c>
    </row>
    <row r="74" customFormat="false" ht="15" hidden="false" customHeight="true" outlineLevel="0" collapsed="false">
      <c r="B74" s="15" t="s">
        <v>212</v>
      </c>
      <c r="C74" s="17" t="n">
        <v>692</v>
      </c>
      <c r="D74" s="17" t="n">
        <v>0</v>
      </c>
      <c r="E74" s="17" t="n">
        <v>692</v>
      </c>
      <c r="F74" s="17" t="n">
        <v>0</v>
      </c>
      <c r="G74" s="17" t="n">
        <v>692</v>
      </c>
      <c r="H74" s="17" t="n">
        <v>0</v>
      </c>
      <c r="I74" s="42" t="s">
        <v>100</v>
      </c>
      <c r="J74" s="43" t="n">
        <v>15</v>
      </c>
    </row>
    <row r="75" customFormat="false" ht="15" hidden="false" customHeight="true" outlineLevel="0" collapsed="false">
      <c r="B75" s="38" t="s">
        <v>213</v>
      </c>
      <c r="C75" s="39" t="n">
        <v>34061</v>
      </c>
      <c r="D75" s="39" t="n">
        <v>0</v>
      </c>
      <c r="E75" s="39" t="n">
        <v>7379.87</v>
      </c>
      <c r="F75" s="39" t="n">
        <v>1238.58</v>
      </c>
      <c r="G75" s="39" t="n">
        <v>8618.45</v>
      </c>
      <c r="H75" s="39" t="n">
        <v>25442.55</v>
      </c>
      <c r="I75" s="40" t="s">
        <v>102</v>
      </c>
      <c r="J75" s="41" t="n">
        <v>27.5</v>
      </c>
    </row>
    <row r="76" customFormat="false" ht="15" hidden="false" customHeight="true" outlineLevel="0" collapsed="false">
      <c r="B76" s="15" t="s">
        <v>214</v>
      </c>
      <c r="C76" s="17" t="n">
        <v>169707</v>
      </c>
      <c r="D76" s="17" t="n">
        <v>169707</v>
      </c>
      <c r="E76" s="17" t="n">
        <v>169707</v>
      </c>
      <c r="F76" s="17" t="n">
        <v>0</v>
      </c>
      <c r="G76" s="17" t="n">
        <v>169707</v>
      </c>
      <c r="H76" s="17" t="n">
        <v>0</v>
      </c>
      <c r="I76" s="42" t="s">
        <v>104</v>
      </c>
      <c r="J76" s="43" t="n">
        <v>5</v>
      </c>
    </row>
    <row r="77" customFormat="false" ht="15" hidden="false" customHeight="true" outlineLevel="0" collapsed="false">
      <c r="B77" s="38" t="s">
        <v>215</v>
      </c>
      <c r="C77" s="39" t="n">
        <v>19148</v>
      </c>
      <c r="D77" s="39" t="n">
        <v>19148</v>
      </c>
      <c r="E77" s="39" t="n">
        <v>19148</v>
      </c>
      <c r="F77" s="39" t="n">
        <v>0</v>
      </c>
      <c r="G77" s="39" t="n">
        <v>19148</v>
      </c>
      <c r="H77" s="39" t="n">
        <v>0</v>
      </c>
      <c r="I77" s="40" t="s">
        <v>100</v>
      </c>
      <c r="J77" s="41" t="n">
        <v>15</v>
      </c>
    </row>
    <row r="78" customFormat="false" ht="15" hidden="false" customHeight="true" outlineLevel="0" collapsed="false">
      <c r="B78" s="15" t="s">
        <v>216</v>
      </c>
      <c r="C78" s="17" t="n">
        <v>942361</v>
      </c>
      <c r="D78" s="17" t="n">
        <v>0</v>
      </c>
      <c r="E78" s="17" t="n">
        <v>204178.2</v>
      </c>
      <c r="F78" s="17" t="n">
        <v>34267.67</v>
      </c>
      <c r="G78" s="17" t="n">
        <v>238445.87</v>
      </c>
      <c r="H78" s="17" t="n">
        <v>703915.13</v>
      </c>
      <c r="I78" s="42" t="s">
        <v>102</v>
      </c>
      <c r="J78" s="43" t="n">
        <v>27.5</v>
      </c>
    </row>
    <row r="79" customFormat="false" ht="15" hidden="false" customHeight="true" outlineLevel="0" collapsed="false">
      <c r="B79" s="38" t="s">
        <v>217</v>
      </c>
      <c r="C79" s="39" t="n">
        <v>28625</v>
      </c>
      <c r="D79" s="39" t="n">
        <v>28625</v>
      </c>
      <c r="E79" s="39" t="n">
        <v>28625</v>
      </c>
      <c r="F79" s="39" t="n">
        <v>0</v>
      </c>
      <c r="G79" s="39" t="n">
        <v>28625</v>
      </c>
      <c r="H79" s="39" t="n">
        <v>0</v>
      </c>
      <c r="I79" s="40" t="s">
        <v>104</v>
      </c>
      <c r="J79" s="41" t="n">
        <v>5</v>
      </c>
    </row>
    <row r="80" customFormat="false" ht="15" hidden="false" customHeight="true" outlineLevel="0" collapsed="false">
      <c r="B80" s="15" t="s">
        <v>218</v>
      </c>
      <c r="C80" s="17" t="n">
        <v>3230</v>
      </c>
      <c r="D80" s="17" t="n">
        <v>3230</v>
      </c>
      <c r="E80" s="17" t="n">
        <v>3230</v>
      </c>
      <c r="F80" s="17" t="n">
        <v>0</v>
      </c>
      <c r="G80" s="17" t="n">
        <v>3230</v>
      </c>
      <c r="H80" s="17" t="n">
        <v>0</v>
      </c>
      <c r="I80" s="42" t="s">
        <v>100</v>
      </c>
      <c r="J80" s="43" t="n">
        <v>15</v>
      </c>
    </row>
    <row r="81" customFormat="false" ht="15" hidden="false" customHeight="true" outlineLevel="0" collapsed="false">
      <c r="B81" s="38" t="s">
        <v>219</v>
      </c>
      <c r="C81" s="39" t="n">
        <v>158953</v>
      </c>
      <c r="D81" s="39" t="n">
        <v>0</v>
      </c>
      <c r="E81" s="39" t="n">
        <v>34439.59</v>
      </c>
      <c r="F81" s="39" t="n">
        <v>5780.11</v>
      </c>
      <c r="G81" s="39" t="n">
        <v>40219.7</v>
      </c>
      <c r="H81" s="39" t="n">
        <v>118733.3</v>
      </c>
      <c r="I81" s="40" t="s">
        <v>102</v>
      </c>
      <c r="J81" s="41" t="n">
        <v>27.5</v>
      </c>
    </row>
    <row r="82" customFormat="false" ht="15" hidden="false" customHeight="true" outlineLevel="0" collapsed="false">
      <c r="A82" s="44"/>
      <c r="B82" s="45" t="s">
        <v>16</v>
      </c>
      <c r="C82" s="46" t="n">
        <f aca="false">SUM(C73:C81)</f>
        <v>1362911</v>
      </c>
      <c r="D82" s="46" t="n">
        <f aca="false">SUM(D73:D81)</f>
        <v>220710</v>
      </c>
      <c r="E82" s="46" t="n">
        <f aca="false">SUM(E73:E81)</f>
        <v>473533.66</v>
      </c>
      <c r="F82" s="46" t="n">
        <f aca="false">SUM(F73:F81)</f>
        <v>41286.36</v>
      </c>
      <c r="G82" s="46" t="n">
        <f aca="false">SUM(G73:G81)</f>
        <v>514820.02</v>
      </c>
      <c r="H82" s="46" t="n">
        <f aca="false">SUM(H73:H81)</f>
        <v>848090.98</v>
      </c>
      <c r="I82" s="44"/>
      <c r="J82" s="44"/>
    </row>
    <row r="84" customFormat="false" ht="15" hidden="false" customHeight="true" outlineLevel="0" collapsed="false">
      <c r="A84" s="34" t="s">
        <v>35</v>
      </c>
      <c r="B84" s="34"/>
      <c r="C84" s="34"/>
      <c r="D84" s="34"/>
      <c r="E84" s="34"/>
    </row>
    <row r="85" customFormat="false" ht="15" hidden="false" customHeight="true" outlineLevel="0" collapsed="false">
      <c r="B85" s="15" t="s">
        <v>115</v>
      </c>
      <c r="C85" s="47" t="n">
        <f aca="false">G69</f>
        <v>517926.62</v>
      </c>
    </row>
    <row r="86" customFormat="false" ht="15" hidden="false" customHeight="true" outlineLevel="0" collapsed="false">
      <c r="B86" s="15" t="s">
        <v>116</v>
      </c>
      <c r="C86" s="47" t="n">
        <f aca="false">G82</f>
        <v>514820.02</v>
      </c>
    </row>
    <row r="87" customFormat="false" ht="15" hidden="false" customHeight="true" outlineLevel="0" collapsed="false">
      <c r="B87" s="18" t="s">
        <v>35</v>
      </c>
      <c r="C87" s="48" t="n">
        <f aca="false">C86-C85</f>
        <v>-3106.59999999998</v>
      </c>
    </row>
  </sheetData>
  <mergeCells count="13">
    <mergeCell ref="A2:J2"/>
    <mergeCell ref="A3:J3"/>
    <mergeCell ref="A4:J4"/>
    <mergeCell ref="A8:J8"/>
    <mergeCell ref="B10:J10"/>
    <mergeCell ref="B23:J23"/>
    <mergeCell ref="B29:J29"/>
    <mergeCell ref="B52:J52"/>
    <mergeCell ref="B58:J58"/>
    <mergeCell ref="A63:J63"/>
    <mergeCell ref="A64:J64"/>
    <mergeCell ref="A71:J71"/>
    <mergeCell ref="A84:E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true" outlineLevel="0" collapsed="false">
      <c r="A3" s="3" t="s">
        <v>220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2" t="s">
        <v>38</v>
      </c>
      <c r="C6" s="9" t="s">
        <v>201</v>
      </c>
    </row>
    <row r="8" customFormat="false" ht="15" hidden="false" customHeight="true" outlineLevel="0" collapsed="false">
      <c r="A8" s="23" t="s">
        <v>221</v>
      </c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true" outlineLevel="0" collapsed="false">
      <c r="A9" s="24"/>
      <c r="B9" s="24" t="s">
        <v>40</v>
      </c>
      <c r="C9" s="25" t="s">
        <v>41</v>
      </c>
      <c r="D9" s="25" t="s">
        <v>42</v>
      </c>
      <c r="E9" s="25" t="s">
        <v>43</v>
      </c>
      <c r="F9" s="25" t="s">
        <v>44</v>
      </c>
      <c r="G9" s="25" t="s">
        <v>45</v>
      </c>
      <c r="H9" s="25" t="s">
        <v>46</v>
      </c>
    </row>
    <row r="10" customFormat="false" ht="15" hidden="false" customHeight="true" outlineLevel="0" collapsed="false">
      <c r="A10" s="6"/>
      <c r="B10" s="7" t="s">
        <v>47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48</v>
      </c>
      <c r="C11" s="26" t="n">
        <v>835.76</v>
      </c>
      <c r="D11" s="26" t="n">
        <v>835.76</v>
      </c>
    </row>
    <row r="12" customFormat="false" ht="15" hidden="false" customHeight="true" outlineLevel="0" collapsed="false">
      <c r="B12" s="9" t="s">
        <v>49</v>
      </c>
      <c r="C12" s="26" t="n">
        <v>712.35</v>
      </c>
      <c r="D12" s="26" t="n">
        <v>712.35</v>
      </c>
    </row>
    <row r="13" customFormat="false" ht="15" hidden="false" customHeight="true" outlineLevel="0" collapsed="false">
      <c r="B13" s="9" t="s">
        <v>120</v>
      </c>
      <c r="C13" s="26" t="n">
        <v>1187.54</v>
      </c>
      <c r="D13" s="26" t="n">
        <v>1187.54</v>
      </c>
    </row>
    <row r="14" customFormat="false" ht="15" hidden="false" customHeight="true" outlineLevel="0" collapsed="false">
      <c r="B14" s="9" t="s">
        <v>50</v>
      </c>
      <c r="C14" s="26" t="n">
        <v>1052.42</v>
      </c>
      <c r="D14" s="26" t="n">
        <v>1052.42</v>
      </c>
    </row>
    <row r="15" customFormat="false" ht="15" hidden="false" customHeight="true" outlineLevel="0" collapsed="false">
      <c r="B15" s="9" t="s">
        <v>51</v>
      </c>
      <c r="C15" s="26" t="n">
        <v>530.5</v>
      </c>
      <c r="D15" s="26" t="n">
        <v>530.5</v>
      </c>
    </row>
    <row r="16" customFormat="false" ht="15" hidden="false" customHeight="true" outlineLevel="0" collapsed="false">
      <c r="B16" s="9" t="s">
        <v>52</v>
      </c>
      <c r="C16" s="26" t="n">
        <v>622.76</v>
      </c>
      <c r="D16" s="26" t="n">
        <v>622.76</v>
      </c>
    </row>
    <row r="17" customFormat="false" ht="15" hidden="false" customHeight="true" outlineLevel="0" collapsed="false">
      <c r="B17" s="9" t="s">
        <v>53</v>
      </c>
      <c r="C17" s="26" t="n">
        <v>33.34</v>
      </c>
      <c r="D17" s="26" t="n">
        <v>33.34</v>
      </c>
    </row>
    <row r="18" customFormat="false" ht="15" hidden="false" customHeight="true" outlineLevel="0" collapsed="false">
      <c r="B18" s="9" t="s">
        <v>54</v>
      </c>
      <c r="C18" s="26" t="n">
        <v>21.93</v>
      </c>
      <c r="D18" s="26" t="n">
        <v>21.93</v>
      </c>
    </row>
    <row r="19" customFormat="false" ht="15" hidden="false" customHeight="true" outlineLevel="0" collapsed="false">
      <c r="B19" s="9" t="s">
        <v>55</v>
      </c>
      <c r="C19" s="26" t="n">
        <v>569.4</v>
      </c>
      <c r="D19" s="26" t="n">
        <v>569.4</v>
      </c>
    </row>
    <row r="20" customFormat="false" ht="15" hidden="false" customHeight="true" outlineLevel="0" collapsed="false">
      <c r="B20" s="9" t="s">
        <v>56</v>
      </c>
      <c r="C20" s="26" t="n">
        <v>284.9</v>
      </c>
      <c r="D20" s="26" t="n">
        <v>284.9</v>
      </c>
    </row>
    <row r="21" customFormat="false" ht="15" hidden="false" customHeight="true" outlineLevel="0" collapsed="false">
      <c r="B21" s="9" t="s">
        <v>57</v>
      </c>
      <c r="C21" s="26" t="n">
        <v>623.44</v>
      </c>
      <c r="D21" s="26" t="n">
        <v>623.44</v>
      </c>
    </row>
    <row r="22" customFormat="false" ht="15" hidden="false" customHeight="true" outlineLevel="0" collapsed="false">
      <c r="B22" s="9" t="s">
        <v>58</v>
      </c>
      <c r="C22" s="26" t="n">
        <v>123.66</v>
      </c>
      <c r="D22" s="26" t="n">
        <v>123.66</v>
      </c>
    </row>
    <row r="23" customFormat="false" ht="15" hidden="false" customHeight="true" outlineLevel="0" collapsed="false">
      <c r="B23" s="9" t="s">
        <v>59</v>
      </c>
      <c r="C23" s="26" t="n">
        <v>624.56</v>
      </c>
      <c r="D23" s="26" t="n">
        <v>624.56</v>
      </c>
    </row>
    <row r="24" customFormat="false" ht="15" hidden="false" customHeight="true" outlineLevel="0" collapsed="false">
      <c r="A24" s="6"/>
      <c r="B24" s="7" t="s">
        <v>60</v>
      </c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true" outlineLevel="0" collapsed="false">
      <c r="B25" s="9" t="s">
        <v>61</v>
      </c>
      <c r="C25" s="26" t="n">
        <v>669.91</v>
      </c>
      <c r="F25" s="26" t="n">
        <v>669.91</v>
      </c>
    </row>
    <row r="26" customFormat="false" ht="15" hidden="false" customHeight="true" outlineLevel="0" collapsed="false">
      <c r="B26" s="9" t="s">
        <v>62</v>
      </c>
      <c r="C26" s="26" t="n">
        <v>276.49</v>
      </c>
      <c r="F26" s="26" t="n">
        <v>276.49</v>
      </c>
    </row>
    <row r="27" customFormat="false" ht="15" hidden="false" customHeight="true" outlineLevel="0" collapsed="false">
      <c r="B27" s="9" t="s">
        <v>203</v>
      </c>
      <c r="C27" s="26" t="n">
        <v>16.47</v>
      </c>
      <c r="F27" s="26" t="n">
        <v>16.47</v>
      </c>
    </row>
    <row r="28" customFormat="false" ht="15" hidden="false" customHeight="true" outlineLevel="0" collapsed="false">
      <c r="B28" s="9" t="s">
        <v>63</v>
      </c>
      <c r="C28" s="26" t="n">
        <v>38.5</v>
      </c>
      <c r="F28" s="26" t="n">
        <v>38.5</v>
      </c>
    </row>
    <row r="29" customFormat="false" ht="15" hidden="false" customHeight="true" outlineLevel="0" collapsed="false">
      <c r="B29" s="9" t="s">
        <v>64</v>
      </c>
      <c r="C29" s="26" t="n">
        <v>23.87</v>
      </c>
      <c r="F29" s="26" t="n">
        <v>23.87</v>
      </c>
    </row>
    <row r="30" customFormat="false" ht="15" hidden="false" customHeight="true" outlineLevel="0" collapsed="false">
      <c r="A30" s="6"/>
      <c r="B30" s="7" t="s">
        <v>65</v>
      </c>
      <c r="C30" s="7"/>
      <c r="D30" s="7"/>
      <c r="E30" s="7"/>
      <c r="F30" s="7"/>
      <c r="G30" s="7"/>
      <c r="H30" s="7"/>
      <c r="I30" s="7"/>
      <c r="J30" s="7"/>
    </row>
    <row r="31" customFormat="false" ht="15" hidden="false" customHeight="true" outlineLevel="0" collapsed="false">
      <c r="B31" s="9" t="s">
        <v>66</v>
      </c>
      <c r="C31" s="26" t="n">
        <v>1690.23</v>
      </c>
      <c r="G31" s="26" t="n">
        <v>1690.23</v>
      </c>
    </row>
    <row r="32" customFormat="false" ht="15" hidden="false" customHeight="true" outlineLevel="0" collapsed="false">
      <c r="B32" s="9" t="s">
        <v>67</v>
      </c>
      <c r="C32" s="26" t="n">
        <v>2714.92</v>
      </c>
      <c r="G32" s="26" t="n">
        <v>2714.92</v>
      </c>
    </row>
    <row r="33" customFormat="false" ht="15" hidden="false" customHeight="true" outlineLevel="0" collapsed="false">
      <c r="B33" s="9" t="s">
        <v>68</v>
      </c>
      <c r="C33" s="26" t="n">
        <v>2934.13</v>
      </c>
      <c r="G33" s="26" t="n">
        <v>2934.13</v>
      </c>
    </row>
    <row r="34" customFormat="false" ht="15" hidden="false" customHeight="true" outlineLevel="0" collapsed="false">
      <c r="B34" s="9" t="s">
        <v>69</v>
      </c>
      <c r="C34" s="26" t="n">
        <v>3148.18</v>
      </c>
      <c r="G34" s="26" t="n">
        <v>3148.18</v>
      </c>
    </row>
    <row r="35" customFormat="false" ht="15" hidden="false" customHeight="true" outlineLevel="0" collapsed="false">
      <c r="B35" s="9" t="s">
        <v>70</v>
      </c>
      <c r="C35" s="26" t="n">
        <v>2579.61</v>
      </c>
      <c r="G35" s="26" t="n">
        <v>2579.61</v>
      </c>
    </row>
    <row r="36" customFormat="false" ht="15" hidden="false" customHeight="true" outlineLevel="0" collapsed="false">
      <c r="B36" s="9" t="s">
        <v>71</v>
      </c>
      <c r="C36" s="26" t="n">
        <v>199.61</v>
      </c>
      <c r="G36" s="26" t="n">
        <v>199.61</v>
      </c>
    </row>
    <row r="37" customFormat="false" ht="15" hidden="false" customHeight="true" outlineLevel="0" collapsed="false">
      <c r="B37" s="9" t="s">
        <v>72</v>
      </c>
      <c r="C37" s="26" t="n">
        <v>2160.08</v>
      </c>
      <c r="G37" s="26" t="n">
        <v>2160.08</v>
      </c>
    </row>
    <row r="38" customFormat="false" ht="15" hidden="false" customHeight="true" outlineLevel="0" collapsed="false">
      <c r="B38" s="9" t="s">
        <v>73</v>
      </c>
      <c r="C38" s="26" t="n">
        <v>1998.37</v>
      </c>
      <c r="G38" s="26" t="n">
        <v>1998.37</v>
      </c>
    </row>
    <row r="39" customFormat="false" ht="15" hidden="false" customHeight="true" outlineLevel="0" collapsed="false">
      <c r="B39" s="9" t="s">
        <v>74</v>
      </c>
      <c r="C39" s="26" t="n">
        <v>1909.62</v>
      </c>
      <c r="G39" s="26" t="n">
        <v>1909.62</v>
      </c>
    </row>
    <row r="40" customFormat="false" ht="15" hidden="false" customHeight="true" outlineLevel="0" collapsed="false">
      <c r="B40" s="9" t="s">
        <v>75</v>
      </c>
      <c r="C40" s="26" t="n">
        <v>1505.06</v>
      </c>
      <c r="G40" s="26" t="n">
        <v>1505.06</v>
      </c>
    </row>
    <row r="41" customFormat="false" ht="15" hidden="false" customHeight="true" outlineLevel="0" collapsed="false">
      <c r="B41" s="9" t="s">
        <v>76</v>
      </c>
      <c r="C41" s="26" t="n">
        <v>5656.78</v>
      </c>
      <c r="G41" s="26" t="n">
        <v>5656.78</v>
      </c>
    </row>
    <row r="42" customFormat="false" ht="15" hidden="false" customHeight="true" outlineLevel="0" collapsed="false">
      <c r="B42" s="9" t="s">
        <v>77</v>
      </c>
      <c r="C42" s="26" t="n">
        <v>1800.79</v>
      </c>
      <c r="G42" s="26" t="n">
        <v>1800.79</v>
      </c>
    </row>
    <row r="43" customFormat="false" ht="15" hidden="false" customHeight="true" outlineLevel="0" collapsed="false">
      <c r="B43" s="9" t="s">
        <v>162</v>
      </c>
      <c r="C43" s="26" t="n">
        <v>563.39</v>
      </c>
      <c r="G43" s="26" t="n">
        <v>563.39</v>
      </c>
    </row>
    <row r="44" customFormat="false" ht="15" hidden="false" customHeight="true" outlineLevel="0" collapsed="false">
      <c r="B44" s="9" t="s">
        <v>78</v>
      </c>
      <c r="C44" s="26" t="n">
        <v>5028.83</v>
      </c>
      <c r="G44" s="26" t="n">
        <v>5028.83</v>
      </c>
    </row>
    <row r="45" customFormat="false" ht="15" hidden="false" customHeight="true" outlineLevel="0" collapsed="false">
      <c r="B45" s="9" t="s">
        <v>79</v>
      </c>
      <c r="C45" s="26" t="n">
        <v>476.38</v>
      </c>
      <c r="G45" s="26" t="n">
        <v>476.38</v>
      </c>
    </row>
    <row r="46" customFormat="false" ht="15" hidden="false" customHeight="true" outlineLevel="0" collapsed="false">
      <c r="B46" s="9" t="s">
        <v>222</v>
      </c>
      <c r="C46" s="26" t="n">
        <v>845.93</v>
      </c>
      <c r="G46" s="26" t="n">
        <v>845.93</v>
      </c>
    </row>
    <row r="47" customFormat="false" ht="15" hidden="false" customHeight="true" outlineLevel="0" collapsed="false">
      <c r="B47" s="9" t="s">
        <v>163</v>
      </c>
      <c r="C47" s="26" t="n">
        <v>439.55</v>
      </c>
      <c r="G47" s="26" t="n">
        <v>439.55</v>
      </c>
    </row>
    <row r="48" customFormat="false" ht="15" hidden="false" customHeight="true" outlineLevel="0" collapsed="false">
      <c r="B48" s="9" t="s">
        <v>164</v>
      </c>
      <c r="C48" s="26" t="n">
        <v>54.06</v>
      </c>
      <c r="G48" s="26" t="n">
        <v>54.06</v>
      </c>
    </row>
    <row r="49" customFormat="false" ht="15" hidden="false" customHeight="true" outlineLevel="0" collapsed="false">
      <c r="B49" s="9" t="s">
        <v>80</v>
      </c>
      <c r="C49" s="26" t="n">
        <v>517.57</v>
      </c>
      <c r="G49" s="26" t="n">
        <v>517.57</v>
      </c>
    </row>
    <row r="50" customFormat="false" ht="15" hidden="false" customHeight="true" outlineLevel="0" collapsed="false">
      <c r="B50" s="9" t="s">
        <v>183</v>
      </c>
      <c r="C50" s="26" t="n">
        <v>81.28</v>
      </c>
      <c r="G50" s="26" t="n">
        <v>81.28</v>
      </c>
    </row>
    <row r="51" customFormat="false" ht="15" hidden="false" customHeight="true" outlineLevel="0" collapsed="false">
      <c r="B51" s="9" t="s">
        <v>81</v>
      </c>
      <c r="C51" s="26" t="n">
        <v>308.22</v>
      </c>
      <c r="G51" s="26" t="n">
        <v>308.22</v>
      </c>
    </row>
    <row r="52" customFormat="false" ht="15" hidden="false" customHeight="true" outlineLevel="0" collapsed="false">
      <c r="A52" s="27"/>
      <c r="B52" s="28" t="s">
        <v>82</v>
      </c>
      <c r="C52" s="29" t="n">
        <f aca="false">SUM(C10:C51)</f>
        <v>44860.39</v>
      </c>
      <c r="D52" s="29" t="n">
        <f aca="false">SUM(D10:D51)</f>
        <v>7222.56</v>
      </c>
      <c r="E52" s="29" t="n">
        <f aca="false">SUM(E10:E51)</f>
        <v>0</v>
      </c>
      <c r="F52" s="29" t="n">
        <f aca="false">SUM(F10:F51)</f>
        <v>1025.24</v>
      </c>
      <c r="G52" s="29" t="n">
        <f aca="false">SUM(G10:G51)</f>
        <v>36612.59</v>
      </c>
      <c r="H52" s="27"/>
    </row>
    <row r="54" customFormat="false" ht="15" hidden="false" customHeight="true" outlineLevel="0" collapsed="false">
      <c r="A54" s="6"/>
      <c r="B54" s="7" t="s">
        <v>83</v>
      </c>
      <c r="C54" s="7"/>
      <c r="D54" s="7"/>
      <c r="E54" s="7"/>
      <c r="F54" s="7"/>
      <c r="G54" s="7"/>
      <c r="H54" s="7"/>
      <c r="I54" s="7"/>
      <c r="J54" s="7"/>
    </row>
    <row r="55" customFormat="false" ht="15" hidden="false" customHeight="true" outlineLevel="0" collapsed="false">
      <c r="B55" s="9" t="s">
        <v>204</v>
      </c>
      <c r="C55" s="26" t="n">
        <v>223405</v>
      </c>
      <c r="D55" s="26" t="n">
        <v>35968</v>
      </c>
      <c r="F55" s="26" t="n">
        <v>5106</v>
      </c>
      <c r="G55" s="26" t="n">
        <v>182331</v>
      </c>
    </row>
    <row r="56" customFormat="false" ht="15" hidden="false" customHeight="true" outlineLevel="0" collapsed="false">
      <c r="B56" s="9" t="s">
        <v>205</v>
      </c>
      <c r="C56" s="26" t="n">
        <v>8075</v>
      </c>
      <c r="D56" s="26" t="n">
        <v>1300</v>
      </c>
      <c r="F56" s="26" t="n">
        <v>185</v>
      </c>
      <c r="G56" s="26" t="n">
        <v>6590</v>
      </c>
    </row>
    <row r="57" customFormat="false" ht="15" hidden="false" customHeight="true" outlineLevel="0" collapsed="false">
      <c r="B57" s="9" t="s">
        <v>206</v>
      </c>
      <c r="C57" s="26" t="n">
        <v>37683</v>
      </c>
      <c r="D57" s="26" t="n">
        <v>6067</v>
      </c>
      <c r="F57" s="26" t="n">
        <v>861</v>
      </c>
      <c r="G57" s="26" t="n">
        <v>30755</v>
      </c>
    </row>
    <row r="58" customFormat="false" ht="15" hidden="false" customHeight="true" outlineLevel="0" collapsed="false">
      <c r="A58" s="27"/>
      <c r="B58" s="28" t="s">
        <v>87</v>
      </c>
      <c r="C58" s="29" t="n">
        <f aca="false">SUM(C55:C57)</f>
        <v>269163</v>
      </c>
      <c r="D58" s="29" t="n">
        <f aca="false">SUM(D55:D57)</f>
        <v>43335</v>
      </c>
      <c r="E58" s="27"/>
      <c r="F58" s="29" t="n">
        <f aca="false">SUM(F55:F57)</f>
        <v>6152</v>
      </c>
      <c r="G58" s="29" t="n">
        <f aca="false">SUM(G55:G57)</f>
        <v>219676</v>
      </c>
      <c r="H58" s="27"/>
    </row>
    <row r="60" customFormat="false" ht="15" hidden="false" customHeight="true" outlineLevel="0" collapsed="false">
      <c r="A60" s="30"/>
      <c r="B60" s="31" t="s">
        <v>223</v>
      </c>
      <c r="C60" s="31"/>
      <c r="D60" s="31"/>
      <c r="E60" s="31"/>
      <c r="F60" s="31"/>
      <c r="G60" s="31"/>
      <c r="H60" s="31"/>
      <c r="I60" s="31"/>
      <c r="J60" s="31"/>
    </row>
    <row r="61" customFormat="false" ht="15" hidden="false" customHeight="true" outlineLevel="0" collapsed="false">
      <c r="B61" s="32" t="s">
        <v>205</v>
      </c>
      <c r="C61" s="33" t="n">
        <v>8075</v>
      </c>
      <c r="D61" s="33" t="n">
        <v>1300</v>
      </c>
      <c r="F61" s="33" t="n">
        <v>185</v>
      </c>
      <c r="G61" s="33" t="n">
        <v>6590</v>
      </c>
    </row>
    <row r="62" customFormat="false" ht="15" hidden="false" customHeight="true" outlineLevel="0" collapsed="false">
      <c r="B62" s="32" t="s">
        <v>204</v>
      </c>
      <c r="C62" s="33" t="n">
        <v>223405</v>
      </c>
      <c r="D62" s="33" t="n">
        <v>35968</v>
      </c>
      <c r="F62" s="33" t="n">
        <v>5106</v>
      </c>
      <c r="G62" s="33" t="n">
        <v>182331</v>
      </c>
    </row>
    <row r="63" customFormat="false" ht="15" hidden="false" customHeight="true" outlineLevel="0" collapsed="false">
      <c r="B63" s="32" t="s">
        <v>206</v>
      </c>
      <c r="C63" s="33" t="n">
        <v>37683</v>
      </c>
      <c r="D63" s="33" t="n">
        <v>6067</v>
      </c>
      <c r="F63" s="33" t="n">
        <v>861</v>
      </c>
      <c r="G63" s="33" t="n">
        <v>30755</v>
      </c>
    </row>
    <row r="65" customFormat="false" ht="15" hidden="false" customHeight="true" outlineLevel="0" collapsed="false">
      <c r="A65" s="34" t="s">
        <v>89</v>
      </c>
      <c r="B65" s="34"/>
      <c r="C65" s="34"/>
      <c r="D65" s="34"/>
      <c r="E65" s="34"/>
      <c r="F65" s="34"/>
      <c r="G65" s="34"/>
      <c r="H65" s="34"/>
      <c r="I65" s="34"/>
      <c r="J65" s="34"/>
    </row>
    <row r="66" customFormat="false" ht="15" hidden="false" customHeight="true" outlineLevel="0" collapsed="false">
      <c r="A66" s="35" t="s">
        <v>33</v>
      </c>
      <c r="B66" s="35"/>
      <c r="C66" s="35"/>
      <c r="D66" s="35"/>
      <c r="E66" s="35"/>
      <c r="F66" s="35"/>
      <c r="G66" s="35"/>
      <c r="H66" s="35"/>
      <c r="I66" s="35"/>
      <c r="J66" s="35"/>
    </row>
    <row r="67" customFormat="false" ht="15" hidden="false" customHeight="true" outlineLevel="0" collapsed="false">
      <c r="A67" s="36"/>
      <c r="B67" s="36" t="s">
        <v>90</v>
      </c>
      <c r="C67" s="37" t="s">
        <v>91</v>
      </c>
      <c r="D67" s="37" t="s">
        <v>92</v>
      </c>
      <c r="E67" s="37" t="s">
        <v>93</v>
      </c>
      <c r="F67" s="37" t="s">
        <v>94</v>
      </c>
      <c r="G67" s="37" t="s">
        <v>95</v>
      </c>
      <c r="H67" s="37" t="s">
        <v>96</v>
      </c>
      <c r="I67" s="37" t="s">
        <v>97</v>
      </c>
      <c r="J67" s="37" t="s">
        <v>98</v>
      </c>
    </row>
    <row r="68" customFormat="false" ht="15" hidden="false" customHeight="true" outlineLevel="0" collapsed="false">
      <c r="B68" s="38" t="s">
        <v>208</v>
      </c>
      <c r="C68" s="39" t="n">
        <v>8075</v>
      </c>
      <c r="D68" s="39" t="n">
        <v>0</v>
      </c>
      <c r="E68" s="39" t="n">
        <v>8075</v>
      </c>
      <c r="F68" s="39" t="n">
        <v>0</v>
      </c>
      <c r="G68" s="39" t="n">
        <v>8075</v>
      </c>
      <c r="H68" s="39" t="n">
        <v>0</v>
      </c>
      <c r="I68" s="40" t="s">
        <v>100</v>
      </c>
      <c r="J68" s="41" t="n">
        <v>15</v>
      </c>
    </row>
    <row r="69" customFormat="false" ht="15" hidden="false" customHeight="true" outlineLevel="0" collapsed="false">
      <c r="B69" s="15" t="s">
        <v>209</v>
      </c>
      <c r="C69" s="17" t="n">
        <v>223405</v>
      </c>
      <c r="D69" s="17" t="n">
        <v>0</v>
      </c>
      <c r="E69" s="17" t="n">
        <v>48404.55</v>
      </c>
      <c r="F69" s="17" t="n">
        <v>8123.83</v>
      </c>
      <c r="G69" s="17" t="n">
        <v>56528.38</v>
      </c>
      <c r="H69" s="17" t="n">
        <v>166876.62</v>
      </c>
      <c r="I69" s="42" t="s">
        <v>102</v>
      </c>
      <c r="J69" s="43" t="n">
        <v>27.5</v>
      </c>
    </row>
    <row r="70" customFormat="false" ht="15" hidden="false" customHeight="true" outlineLevel="0" collapsed="false">
      <c r="B70" s="38" t="s">
        <v>210</v>
      </c>
      <c r="C70" s="39" t="n">
        <v>37683</v>
      </c>
      <c r="D70" s="39" t="n">
        <v>37682</v>
      </c>
      <c r="E70" s="39" t="n">
        <v>37682</v>
      </c>
      <c r="F70" s="39" t="n">
        <v>0</v>
      </c>
      <c r="G70" s="39" t="n">
        <v>37682</v>
      </c>
      <c r="H70" s="39" t="n">
        <v>1</v>
      </c>
      <c r="I70" s="40" t="s">
        <v>104</v>
      </c>
      <c r="J70" s="41" t="n">
        <v>5</v>
      </c>
    </row>
    <row r="71" customFormat="false" ht="15" hidden="false" customHeight="true" outlineLevel="0" collapsed="false">
      <c r="A71" s="44"/>
      <c r="B71" s="45" t="s">
        <v>16</v>
      </c>
      <c r="C71" s="46" t="n">
        <f aca="false">SUM(C68:C70)</f>
        <v>269163</v>
      </c>
      <c r="D71" s="46" t="n">
        <f aca="false">SUM(D68:D70)</f>
        <v>37682</v>
      </c>
      <c r="E71" s="46" t="n">
        <f aca="false">SUM(E68:E70)</f>
        <v>94161.55</v>
      </c>
      <c r="F71" s="46" t="n">
        <f aca="false">SUM(F68:F70)</f>
        <v>8123.83</v>
      </c>
      <c r="G71" s="46" t="n">
        <f aca="false">SUM(G68:G70)</f>
        <v>102285.38</v>
      </c>
      <c r="H71" s="46" t="n">
        <f aca="false">SUM(H68:H70)</f>
        <v>166877.62</v>
      </c>
      <c r="I71" s="44"/>
      <c r="J71" s="44"/>
    </row>
    <row r="73" customFormat="false" ht="15" hidden="false" customHeight="true" outlineLevel="0" collapsed="false">
      <c r="A73" s="31" t="s">
        <v>105</v>
      </c>
      <c r="B73" s="31"/>
      <c r="C73" s="31"/>
      <c r="D73" s="31"/>
      <c r="E73" s="31"/>
      <c r="F73" s="31"/>
      <c r="G73" s="31"/>
      <c r="H73" s="31"/>
      <c r="I73" s="31"/>
      <c r="J73" s="31"/>
    </row>
    <row r="74" customFormat="false" ht="15" hidden="false" customHeight="true" outlineLevel="0" collapsed="false">
      <c r="A74" s="36"/>
      <c r="B74" s="36" t="s">
        <v>90</v>
      </c>
      <c r="C74" s="37" t="s">
        <v>91</v>
      </c>
      <c r="D74" s="37" t="s">
        <v>92</v>
      </c>
      <c r="E74" s="37" t="s">
        <v>93</v>
      </c>
      <c r="F74" s="37" t="s">
        <v>94</v>
      </c>
      <c r="G74" s="37" t="s">
        <v>95</v>
      </c>
      <c r="H74" s="37" t="s">
        <v>96</v>
      </c>
      <c r="I74" s="37" t="s">
        <v>97</v>
      </c>
      <c r="J74" s="37" t="s">
        <v>98</v>
      </c>
    </row>
    <row r="75" customFormat="false" ht="15" hidden="false" customHeight="true" outlineLevel="0" collapsed="false">
      <c r="B75" s="38" t="s">
        <v>211</v>
      </c>
      <c r="C75" s="39" t="n">
        <v>1300</v>
      </c>
      <c r="D75" s="39" t="n">
        <v>0</v>
      </c>
      <c r="E75" s="39" t="n">
        <v>1300</v>
      </c>
      <c r="F75" s="39" t="n">
        <v>0</v>
      </c>
      <c r="G75" s="39" t="n">
        <v>1300</v>
      </c>
      <c r="H75" s="39" t="n">
        <v>0</v>
      </c>
      <c r="I75" s="40" t="s">
        <v>104</v>
      </c>
      <c r="J75" s="41" t="n">
        <v>5</v>
      </c>
    </row>
    <row r="76" customFormat="false" ht="15" hidden="false" customHeight="true" outlineLevel="0" collapsed="false">
      <c r="B76" s="15" t="s">
        <v>212</v>
      </c>
      <c r="C76" s="17" t="n">
        <v>185</v>
      </c>
      <c r="D76" s="17" t="n">
        <v>0</v>
      </c>
      <c r="E76" s="17" t="n">
        <v>185</v>
      </c>
      <c r="F76" s="17" t="n">
        <v>0</v>
      </c>
      <c r="G76" s="17" t="n">
        <v>185</v>
      </c>
      <c r="H76" s="17" t="n">
        <v>0</v>
      </c>
      <c r="I76" s="42" t="s">
        <v>100</v>
      </c>
      <c r="J76" s="43" t="n">
        <v>15</v>
      </c>
    </row>
    <row r="77" customFormat="false" ht="15" hidden="false" customHeight="true" outlineLevel="0" collapsed="false">
      <c r="B77" s="38" t="s">
        <v>213</v>
      </c>
      <c r="C77" s="39" t="n">
        <v>6590</v>
      </c>
      <c r="D77" s="39" t="n">
        <v>0</v>
      </c>
      <c r="E77" s="39" t="n">
        <v>1427.85</v>
      </c>
      <c r="F77" s="39" t="n">
        <v>239.64</v>
      </c>
      <c r="G77" s="39" t="n">
        <v>1667.49</v>
      </c>
      <c r="H77" s="39" t="n">
        <v>4922.51</v>
      </c>
      <c r="I77" s="40" t="s">
        <v>102</v>
      </c>
      <c r="J77" s="41" t="n">
        <v>27.5</v>
      </c>
    </row>
    <row r="78" customFormat="false" ht="15" hidden="false" customHeight="true" outlineLevel="0" collapsed="false">
      <c r="B78" s="15" t="s">
        <v>214</v>
      </c>
      <c r="C78" s="17" t="n">
        <v>35968</v>
      </c>
      <c r="D78" s="17" t="n">
        <v>35968</v>
      </c>
      <c r="E78" s="17" t="n">
        <v>35968</v>
      </c>
      <c r="F78" s="17" t="n">
        <v>0</v>
      </c>
      <c r="G78" s="17" t="n">
        <v>35968</v>
      </c>
      <c r="H78" s="17" t="n">
        <v>0</v>
      </c>
      <c r="I78" s="42" t="s">
        <v>104</v>
      </c>
      <c r="J78" s="43" t="n">
        <v>5</v>
      </c>
    </row>
    <row r="79" customFormat="false" ht="15" hidden="false" customHeight="true" outlineLevel="0" collapsed="false">
      <c r="B79" s="38" t="s">
        <v>215</v>
      </c>
      <c r="C79" s="39" t="n">
        <v>5106</v>
      </c>
      <c r="D79" s="39" t="n">
        <v>5106</v>
      </c>
      <c r="E79" s="39" t="n">
        <v>5106</v>
      </c>
      <c r="F79" s="39" t="n">
        <v>0</v>
      </c>
      <c r="G79" s="39" t="n">
        <v>5106</v>
      </c>
      <c r="H79" s="39" t="n">
        <v>0</v>
      </c>
      <c r="I79" s="40" t="s">
        <v>100</v>
      </c>
      <c r="J79" s="41" t="n">
        <v>15</v>
      </c>
    </row>
    <row r="80" customFormat="false" ht="15" hidden="false" customHeight="true" outlineLevel="0" collapsed="false">
      <c r="B80" s="15" t="s">
        <v>216</v>
      </c>
      <c r="C80" s="17" t="n">
        <v>182331</v>
      </c>
      <c r="D80" s="17" t="n">
        <v>0</v>
      </c>
      <c r="E80" s="17" t="n">
        <v>39505.06</v>
      </c>
      <c r="F80" s="17" t="n">
        <v>6630.22</v>
      </c>
      <c r="G80" s="17" t="n">
        <v>46135.28</v>
      </c>
      <c r="H80" s="17" t="n">
        <v>136195.72</v>
      </c>
      <c r="I80" s="42" t="s">
        <v>102</v>
      </c>
      <c r="J80" s="43" t="n">
        <v>27.5</v>
      </c>
    </row>
    <row r="81" customFormat="false" ht="15" hidden="false" customHeight="true" outlineLevel="0" collapsed="false">
      <c r="B81" s="38" t="s">
        <v>217</v>
      </c>
      <c r="C81" s="39" t="n">
        <v>6067</v>
      </c>
      <c r="D81" s="39" t="n">
        <v>6067</v>
      </c>
      <c r="E81" s="39" t="n">
        <v>6067</v>
      </c>
      <c r="F81" s="39" t="n">
        <v>0</v>
      </c>
      <c r="G81" s="39" t="n">
        <v>6067</v>
      </c>
      <c r="H81" s="39" t="n">
        <v>0</v>
      </c>
      <c r="I81" s="40" t="s">
        <v>104</v>
      </c>
      <c r="J81" s="41" t="n">
        <v>5</v>
      </c>
    </row>
    <row r="82" customFormat="false" ht="15" hidden="false" customHeight="true" outlineLevel="0" collapsed="false">
      <c r="B82" s="15" t="s">
        <v>218</v>
      </c>
      <c r="C82" s="17" t="n">
        <v>861</v>
      </c>
      <c r="D82" s="17" t="n">
        <v>861</v>
      </c>
      <c r="E82" s="17" t="n">
        <v>861</v>
      </c>
      <c r="F82" s="17" t="n">
        <v>0</v>
      </c>
      <c r="G82" s="17" t="n">
        <v>861</v>
      </c>
      <c r="H82" s="17" t="n">
        <v>0</v>
      </c>
      <c r="I82" s="42" t="s">
        <v>100</v>
      </c>
      <c r="J82" s="43" t="n">
        <v>15</v>
      </c>
    </row>
    <row r="83" customFormat="false" ht="15" hidden="false" customHeight="true" outlineLevel="0" collapsed="false">
      <c r="B83" s="38" t="s">
        <v>219</v>
      </c>
      <c r="C83" s="39" t="n">
        <v>30755</v>
      </c>
      <c r="D83" s="39" t="n">
        <v>0</v>
      </c>
      <c r="E83" s="39" t="n">
        <v>6663.57</v>
      </c>
      <c r="F83" s="39" t="n">
        <v>1118.36</v>
      </c>
      <c r="G83" s="39" t="n">
        <v>7781.93</v>
      </c>
      <c r="H83" s="39" t="n">
        <v>22973.07</v>
      </c>
      <c r="I83" s="40" t="s">
        <v>102</v>
      </c>
      <c r="J83" s="41" t="n">
        <v>27.5</v>
      </c>
    </row>
    <row r="84" customFormat="false" ht="15" hidden="false" customHeight="true" outlineLevel="0" collapsed="false">
      <c r="A84" s="44"/>
      <c r="B84" s="45" t="s">
        <v>16</v>
      </c>
      <c r="C84" s="46" t="n">
        <f aca="false">SUM(C75:C83)</f>
        <v>269163</v>
      </c>
      <c r="D84" s="46" t="n">
        <f aca="false">SUM(D75:D83)</f>
        <v>48002</v>
      </c>
      <c r="E84" s="46" t="n">
        <f aca="false">SUM(E75:E83)</f>
        <v>97083.48</v>
      </c>
      <c r="F84" s="46" t="n">
        <f aca="false">SUM(F75:F83)</f>
        <v>7988.22</v>
      </c>
      <c r="G84" s="46" t="n">
        <f aca="false">SUM(G75:G83)</f>
        <v>105071.7</v>
      </c>
      <c r="H84" s="46" t="n">
        <f aca="false">SUM(H75:H83)</f>
        <v>164091.3</v>
      </c>
      <c r="I84" s="44"/>
      <c r="J84" s="44"/>
    </row>
    <row r="86" customFormat="false" ht="15" hidden="false" customHeight="true" outlineLevel="0" collapsed="false">
      <c r="A86" s="34" t="s">
        <v>35</v>
      </c>
      <c r="B86" s="34"/>
      <c r="C86" s="34"/>
      <c r="D86" s="34"/>
      <c r="E86" s="34"/>
    </row>
    <row r="87" customFormat="false" ht="15" hidden="false" customHeight="true" outlineLevel="0" collapsed="false">
      <c r="B87" s="15" t="s">
        <v>115</v>
      </c>
      <c r="C87" s="47" t="n">
        <f aca="false">G71</f>
        <v>102285.38</v>
      </c>
    </row>
    <row r="88" customFormat="false" ht="15" hidden="false" customHeight="true" outlineLevel="0" collapsed="false">
      <c r="B88" s="15" t="s">
        <v>116</v>
      </c>
      <c r="C88" s="47" t="n">
        <f aca="false">G84</f>
        <v>105071.7</v>
      </c>
    </row>
    <row r="89" customFormat="false" ht="15" hidden="false" customHeight="true" outlineLevel="0" collapsed="false">
      <c r="B89" s="18" t="s">
        <v>35</v>
      </c>
      <c r="C89" s="48" t="n">
        <f aca="false">C88-C87</f>
        <v>2786.31999999999</v>
      </c>
    </row>
  </sheetData>
  <mergeCells count="13">
    <mergeCell ref="A2:J2"/>
    <mergeCell ref="A3:J3"/>
    <mergeCell ref="A4:J4"/>
    <mergeCell ref="A8:J8"/>
    <mergeCell ref="B10:J10"/>
    <mergeCell ref="B24:J24"/>
    <mergeCell ref="B30:J30"/>
    <mergeCell ref="B54:J54"/>
    <mergeCell ref="B60:J60"/>
    <mergeCell ref="A65:J65"/>
    <mergeCell ref="A66:J66"/>
    <mergeCell ref="A73:J73"/>
    <mergeCell ref="A86:E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true" outlineLevel="0" collapsed="false">
      <c r="A3" s="3" t="s">
        <v>224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2" t="s">
        <v>38</v>
      </c>
      <c r="C6" s="9" t="s">
        <v>18</v>
      </c>
    </row>
    <row r="8" customFormat="false" ht="15" hidden="false" customHeight="true" outlineLevel="0" collapsed="false">
      <c r="A8" s="23" t="s">
        <v>225</v>
      </c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true" outlineLevel="0" collapsed="false">
      <c r="A9" s="24"/>
      <c r="B9" s="24" t="s">
        <v>40</v>
      </c>
      <c r="C9" s="25" t="s">
        <v>41</v>
      </c>
      <c r="D9" s="25" t="s">
        <v>42</v>
      </c>
      <c r="E9" s="25" t="s">
        <v>43</v>
      </c>
      <c r="F9" s="25" t="s">
        <v>44</v>
      </c>
      <c r="G9" s="25" t="s">
        <v>45</v>
      </c>
      <c r="H9" s="25" t="s">
        <v>46</v>
      </c>
    </row>
    <row r="10" customFormat="false" ht="15" hidden="false" customHeight="true" outlineLevel="0" collapsed="false">
      <c r="A10" s="6"/>
      <c r="B10" s="7" t="s">
        <v>47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48</v>
      </c>
      <c r="C11" s="26" t="n">
        <v>1253.18</v>
      </c>
      <c r="D11" s="26" t="n">
        <v>1253.18</v>
      </c>
    </row>
    <row r="12" customFormat="false" ht="15" hidden="false" customHeight="true" outlineLevel="0" collapsed="false">
      <c r="B12" s="9" t="s">
        <v>49</v>
      </c>
      <c r="C12" s="26" t="n">
        <v>1025.1</v>
      </c>
      <c r="D12" s="26" t="n">
        <v>1025.1</v>
      </c>
    </row>
    <row r="13" customFormat="false" ht="15" hidden="false" customHeight="true" outlineLevel="0" collapsed="false">
      <c r="B13" s="9" t="s">
        <v>50</v>
      </c>
      <c r="C13" s="26" t="n">
        <v>1949.87</v>
      </c>
      <c r="D13" s="26" t="n">
        <v>1949.87</v>
      </c>
    </row>
    <row r="14" customFormat="false" ht="15" hidden="false" customHeight="true" outlineLevel="0" collapsed="false">
      <c r="B14" s="9" t="s">
        <v>51</v>
      </c>
      <c r="C14" s="26" t="n">
        <v>539.2</v>
      </c>
      <c r="D14" s="26" t="n">
        <v>539.2</v>
      </c>
    </row>
    <row r="15" customFormat="false" ht="15" hidden="false" customHeight="true" outlineLevel="0" collapsed="false">
      <c r="B15" s="9" t="s">
        <v>52</v>
      </c>
      <c r="C15" s="26" t="n">
        <v>392.2</v>
      </c>
      <c r="D15" s="26" t="n">
        <v>392.2</v>
      </c>
    </row>
    <row r="16" customFormat="false" ht="15" hidden="false" customHeight="true" outlineLevel="0" collapsed="false">
      <c r="B16" s="9" t="s">
        <v>53</v>
      </c>
      <c r="C16" s="26" t="n">
        <v>33.89</v>
      </c>
      <c r="D16" s="26" t="n">
        <v>33.89</v>
      </c>
    </row>
    <row r="17" customFormat="false" ht="15" hidden="false" customHeight="true" outlineLevel="0" collapsed="false">
      <c r="B17" s="9" t="s">
        <v>54</v>
      </c>
      <c r="C17" s="26" t="n">
        <v>22.29</v>
      </c>
      <c r="D17" s="26" t="n">
        <v>22.29</v>
      </c>
    </row>
    <row r="18" customFormat="false" ht="15" hidden="false" customHeight="true" outlineLevel="0" collapsed="false">
      <c r="B18" s="9" t="s">
        <v>55</v>
      </c>
      <c r="C18" s="26" t="n">
        <v>578.78</v>
      </c>
      <c r="D18" s="26" t="n">
        <v>578.78</v>
      </c>
    </row>
    <row r="19" customFormat="false" ht="15" hidden="false" customHeight="true" outlineLevel="0" collapsed="false">
      <c r="B19" s="9" t="s">
        <v>56</v>
      </c>
      <c r="C19" s="26" t="n">
        <v>255.33</v>
      </c>
      <c r="D19" s="26" t="n">
        <v>255.33</v>
      </c>
    </row>
    <row r="20" customFormat="false" ht="15" hidden="false" customHeight="true" outlineLevel="0" collapsed="false">
      <c r="B20" s="9" t="s">
        <v>57</v>
      </c>
      <c r="C20" s="26" t="n">
        <v>633.66</v>
      </c>
      <c r="D20" s="26" t="n">
        <v>633.66</v>
      </c>
    </row>
    <row r="21" customFormat="false" ht="15" hidden="false" customHeight="true" outlineLevel="0" collapsed="false">
      <c r="B21" s="9" t="s">
        <v>58</v>
      </c>
      <c r="C21" s="26" t="n">
        <v>125.71</v>
      </c>
      <c r="D21" s="26" t="n">
        <v>125.71</v>
      </c>
    </row>
    <row r="22" customFormat="false" ht="15" hidden="false" customHeight="true" outlineLevel="0" collapsed="false">
      <c r="B22" s="9" t="s">
        <v>59</v>
      </c>
      <c r="C22" s="26" t="n">
        <v>634.82</v>
      </c>
      <c r="D22" s="26" t="n">
        <v>634.82</v>
      </c>
    </row>
    <row r="23" customFormat="false" ht="15" hidden="false" customHeight="true" outlineLevel="0" collapsed="false">
      <c r="A23" s="6"/>
      <c r="B23" s="7" t="s">
        <v>60</v>
      </c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true" outlineLevel="0" collapsed="false">
      <c r="B24" s="9" t="s">
        <v>61</v>
      </c>
      <c r="C24" s="26" t="n">
        <v>440.5</v>
      </c>
      <c r="F24" s="26" t="n">
        <v>440.5</v>
      </c>
    </row>
    <row r="25" customFormat="false" ht="15" hidden="false" customHeight="true" outlineLevel="0" collapsed="false">
      <c r="B25" s="9" t="s">
        <v>62</v>
      </c>
      <c r="C25" s="26" t="n">
        <v>159.55</v>
      </c>
      <c r="F25" s="26" t="n">
        <v>159.55</v>
      </c>
    </row>
    <row r="26" customFormat="false" ht="15" hidden="false" customHeight="true" outlineLevel="0" collapsed="false">
      <c r="B26" s="9" t="s">
        <v>63</v>
      </c>
      <c r="C26" s="26" t="n">
        <v>39.13</v>
      </c>
      <c r="F26" s="26" t="n">
        <v>39.13</v>
      </c>
    </row>
    <row r="27" customFormat="false" ht="15" hidden="false" customHeight="true" outlineLevel="0" collapsed="false">
      <c r="B27" s="9" t="s">
        <v>64</v>
      </c>
      <c r="C27" s="26" t="n">
        <v>24.26</v>
      </c>
      <c r="F27" s="26" t="n">
        <v>24.26</v>
      </c>
    </row>
    <row r="28" customFormat="false" ht="15" hidden="false" customHeight="true" outlineLevel="0" collapsed="false">
      <c r="A28" s="6"/>
      <c r="B28" s="7" t="s">
        <v>65</v>
      </c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true" outlineLevel="0" collapsed="false">
      <c r="B29" s="9" t="s">
        <v>66</v>
      </c>
      <c r="C29" s="26" t="n">
        <v>2834.33</v>
      </c>
      <c r="G29" s="26" t="n">
        <v>2834.33</v>
      </c>
    </row>
    <row r="30" customFormat="false" ht="15" hidden="false" customHeight="true" outlineLevel="0" collapsed="false">
      <c r="B30" s="9" t="s">
        <v>67</v>
      </c>
      <c r="C30" s="26" t="n">
        <v>5611.36</v>
      </c>
      <c r="G30" s="26" t="n">
        <v>5611.36</v>
      </c>
    </row>
    <row r="31" customFormat="false" ht="15" hidden="false" customHeight="true" outlineLevel="0" collapsed="false">
      <c r="B31" s="9" t="s">
        <v>68</v>
      </c>
      <c r="C31" s="26" t="n">
        <v>2625.61</v>
      </c>
      <c r="G31" s="26" t="n">
        <v>2625.61</v>
      </c>
    </row>
    <row r="32" customFormat="false" ht="15" hidden="false" customHeight="true" outlineLevel="0" collapsed="false">
      <c r="B32" s="9" t="s">
        <v>69</v>
      </c>
      <c r="C32" s="26" t="n">
        <v>2802.9</v>
      </c>
      <c r="G32" s="26" t="n">
        <v>2802.9</v>
      </c>
    </row>
    <row r="33" customFormat="false" ht="15" hidden="false" customHeight="true" outlineLevel="0" collapsed="false">
      <c r="B33" s="9" t="s">
        <v>70</v>
      </c>
      <c r="C33" s="26" t="n">
        <v>2311.88</v>
      </c>
      <c r="G33" s="26" t="n">
        <v>2311.88</v>
      </c>
    </row>
    <row r="34" customFormat="false" ht="15" hidden="false" customHeight="true" outlineLevel="0" collapsed="false">
      <c r="B34" s="9" t="s">
        <v>71</v>
      </c>
      <c r="C34" s="26" t="n">
        <v>135.25</v>
      </c>
      <c r="G34" s="26" t="n">
        <v>135.25</v>
      </c>
    </row>
    <row r="35" customFormat="false" ht="15" hidden="false" customHeight="true" outlineLevel="0" collapsed="false">
      <c r="B35" s="9" t="s">
        <v>72</v>
      </c>
      <c r="C35" s="26" t="n">
        <v>2244.42</v>
      </c>
      <c r="G35" s="26" t="n">
        <v>2244.42</v>
      </c>
    </row>
    <row r="36" customFormat="false" ht="15" hidden="false" customHeight="true" outlineLevel="0" collapsed="false">
      <c r="B36" s="9" t="s">
        <v>73</v>
      </c>
      <c r="C36" s="26" t="n">
        <v>1579.74</v>
      </c>
      <c r="G36" s="26" t="n">
        <v>1579.74</v>
      </c>
    </row>
    <row r="37" customFormat="false" ht="15" hidden="false" customHeight="true" outlineLevel="0" collapsed="false">
      <c r="B37" s="9" t="s">
        <v>74</v>
      </c>
      <c r="C37" s="26" t="n">
        <v>1728.69</v>
      </c>
      <c r="G37" s="26" t="n">
        <v>1728.69</v>
      </c>
    </row>
    <row r="38" customFormat="false" ht="15" hidden="false" customHeight="true" outlineLevel="0" collapsed="false">
      <c r="B38" s="9" t="s">
        <v>75</v>
      </c>
      <c r="C38" s="26" t="n">
        <v>1362.6</v>
      </c>
      <c r="G38" s="26" t="n">
        <v>1362.6</v>
      </c>
    </row>
    <row r="39" customFormat="false" ht="15" hidden="false" customHeight="true" outlineLevel="0" collapsed="false">
      <c r="B39" s="9" t="s">
        <v>76</v>
      </c>
      <c r="C39" s="26" t="n">
        <v>4921.02</v>
      </c>
      <c r="G39" s="26" t="n">
        <v>4921.02</v>
      </c>
    </row>
    <row r="40" customFormat="false" ht="15" hidden="false" customHeight="true" outlineLevel="0" collapsed="false">
      <c r="B40" s="9" t="s">
        <v>77</v>
      </c>
      <c r="C40" s="26" t="n">
        <v>1576.54</v>
      </c>
      <c r="G40" s="26" t="n">
        <v>1576.54</v>
      </c>
    </row>
    <row r="41" customFormat="false" ht="15" hidden="false" customHeight="true" outlineLevel="0" collapsed="false">
      <c r="B41" s="9" t="s">
        <v>78</v>
      </c>
      <c r="C41" s="26" t="n">
        <v>5014.17</v>
      </c>
      <c r="G41" s="26" t="n">
        <v>5014.17</v>
      </c>
    </row>
    <row r="42" customFormat="false" ht="15" hidden="false" customHeight="true" outlineLevel="0" collapsed="false">
      <c r="B42" s="9" t="s">
        <v>79</v>
      </c>
      <c r="C42" s="26" t="n">
        <v>380.3</v>
      </c>
      <c r="G42" s="26" t="n">
        <v>380.3</v>
      </c>
    </row>
    <row r="43" customFormat="false" ht="15" hidden="false" customHeight="true" outlineLevel="0" collapsed="false">
      <c r="B43" s="9" t="s">
        <v>163</v>
      </c>
      <c r="C43" s="26" t="n">
        <v>446.76</v>
      </c>
      <c r="G43" s="26" t="n">
        <v>446.76</v>
      </c>
    </row>
    <row r="44" customFormat="false" ht="15" hidden="false" customHeight="true" outlineLevel="0" collapsed="false">
      <c r="B44" s="9" t="s">
        <v>164</v>
      </c>
      <c r="C44" s="26" t="n">
        <v>59.17</v>
      </c>
      <c r="G44" s="26" t="n">
        <v>59.17</v>
      </c>
    </row>
    <row r="45" customFormat="false" ht="15" hidden="false" customHeight="true" outlineLevel="0" collapsed="false">
      <c r="B45" s="9" t="s">
        <v>80</v>
      </c>
      <c r="C45" s="26" t="n">
        <v>526.09</v>
      </c>
      <c r="G45" s="26" t="n">
        <v>526.09</v>
      </c>
    </row>
    <row r="46" customFormat="false" ht="15" hidden="false" customHeight="true" outlineLevel="0" collapsed="false">
      <c r="B46" s="9" t="s">
        <v>81</v>
      </c>
      <c r="C46" s="26" t="n">
        <v>311.62</v>
      </c>
      <c r="G46" s="26" t="n">
        <v>311.62</v>
      </c>
    </row>
    <row r="47" customFormat="false" ht="15" hidden="false" customHeight="true" outlineLevel="0" collapsed="false">
      <c r="A47" s="27"/>
      <c r="B47" s="28" t="s">
        <v>82</v>
      </c>
      <c r="C47" s="29" t="n">
        <f aca="false">SUM(C10:C46)</f>
        <v>44579.92</v>
      </c>
      <c r="D47" s="29" t="n">
        <f aca="false">SUM(D10:D46)</f>
        <v>7444.03</v>
      </c>
      <c r="E47" s="29" t="n">
        <f aca="false">SUM(E10:E46)</f>
        <v>0</v>
      </c>
      <c r="F47" s="29" t="n">
        <f aca="false">SUM(F10:F46)</f>
        <v>663.44</v>
      </c>
      <c r="G47" s="29" t="n">
        <f aca="false">SUM(G10:G46)</f>
        <v>36472.45</v>
      </c>
      <c r="H47" s="27"/>
    </row>
    <row r="49" customFormat="false" ht="15" hidden="false" customHeight="true" outlineLevel="0" collapsed="false">
      <c r="A49" s="6"/>
      <c r="B49" s="7" t="s">
        <v>83</v>
      </c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true" outlineLevel="0" collapsed="false">
      <c r="B50" s="9" t="s">
        <v>226</v>
      </c>
      <c r="C50" s="26" t="n">
        <v>1043171</v>
      </c>
      <c r="D50" s="26" t="n">
        <v>174191</v>
      </c>
      <c r="F50" s="26" t="n">
        <v>15524</v>
      </c>
      <c r="G50" s="26" t="n">
        <v>853456</v>
      </c>
    </row>
    <row r="51" customFormat="false" ht="15" hidden="false" customHeight="true" outlineLevel="0" collapsed="false">
      <c r="B51" s="9" t="s">
        <v>227</v>
      </c>
      <c r="C51" s="26" t="n">
        <v>80244</v>
      </c>
      <c r="D51" s="26" t="n">
        <v>13399</v>
      </c>
      <c r="F51" s="26" t="n">
        <v>1194</v>
      </c>
      <c r="G51" s="26" t="n">
        <v>65650</v>
      </c>
    </row>
    <row r="52" customFormat="false" ht="15" hidden="false" customHeight="true" outlineLevel="0" collapsed="false">
      <c r="B52" s="9" t="s">
        <v>228</v>
      </c>
      <c r="C52" s="26" t="n">
        <v>213983</v>
      </c>
      <c r="D52" s="26" t="n">
        <v>35731</v>
      </c>
      <c r="F52" s="26" t="n">
        <v>3185</v>
      </c>
      <c r="G52" s="26" t="n">
        <v>175068</v>
      </c>
    </row>
    <row r="53" customFormat="false" ht="15" hidden="false" customHeight="true" outlineLevel="0" collapsed="false">
      <c r="A53" s="27"/>
      <c r="B53" s="28" t="s">
        <v>87</v>
      </c>
      <c r="C53" s="29" t="n">
        <f aca="false">SUM(C50:C52)</f>
        <v>1337398</v>
      </c>
      <c r="D53" s="29" t="n">
        <f aca="false">SUM(D50:D52)</f>
        <v>223321</v>
      </c>
      <c r="E53" s="27"/>
      <c r="F53" s="29" t="n">
        <f aca="false">SUM(F50:F52)</f>
        <v>19903</v>
      </c>
      <c r="G53" s="29" t="n">
        <f aca="false">SUM(G50:G52)</f>
        <v>1094174</v>
      </c>
      <c r="H53" s="27"/>
    </row>
    <row r="55" customFormat="false" ht="15" hidden="false" customHeight="true" outlineLevel="0" collapsed="false">
      <c r="A55" s="30"/>
      <c r="B55" s="31" t="s">
        <v>229</v>
      </c>
      <c r="C55" s="31"/>
      <c r="D55" s="31"/>
      <c r="E55" s="31"/>
      <c r="F55" s="31"/>
      <c r="G55" s="31"/>
      <c r="H55" s="31"/>
      <c r="I55" s="31"/>
      <c r="J55" s="31"/>
    </row>
    <row r="56" customFormat="false" ht="15" hidden="false" customHeight="true" outlineLevel="0" collapsed="false">
      <c r="B56" s="32" t="s">
        <v>227</v>
      </c>
      <c r="C56" s="33" t="n">
        <v>80244</v>
      </c>
      <c r="D56" s="33" t="n">
        <v>13399</v>
      </c>
      <c r="F56" s="33" t="n">
        <v>1194</v>
      </c>
      <c r="G56" s="33" t="n">
        <v>65650</v>
      </c>
    </row>
    <row r="57" customFormat="false" ht="15" hidden="false" customHeight="true" outlineLevel="0" collapsed="false">
      <c r="B57" s="32" t="s">
        <v>226</v>
      </c>
      <c r="C57" s="33" t="n">
        <v>1043171</v>
      </c>
      <c r="D57" s="33" t="n">
        <v>174191</v>
      </c>
      <c r="F57" s="33" t="n">
        <v>15524</v>
      </c>
      <c r="G57" s="33" t="n">
        <v>853456</v>
      </c>
    </row>
    <row r="58" customFormat="false" ht="15" hidden="false" customHeight="true" outlineLevel="0" collapsed="false">
      <c r="B58" s="32" t="s">
        <v>228</v>
      </c>
      <c r="C58" s="33" t="n">
        <v>213983</v>
      </c>
      <c r="D58" s="33" t="n">
        <v>35731</v>
      </c>
      <c r="F58" s="33" t="n">
        <v>3185</v>
      </c>
      <c r="G58" s="33" t="n">
        <v>175068</v>
      </c>
    </row>
    <row r="60" customFormat="false" ht="15" hidden="false" customHeight="true" outlineLevel="0" collapsed="false">
      <c r="A60" s="34" t="s">
        <v>89</v>
      </c>
      <c r="B60" s="34"/>
      <c r="C60" s="34"/>
      <c r="D60" s="34"/>
      <c r="E60" s="34"/>
      <c r="F60" s="34"/>
      <c r="G60" s="34"/>
      <c r="H60" s="34"/>
      <c r="I60" s="34"/>
      <c r="J60" s="34"/>
    </row>
    <row r="61" customFormat="false" ht="15" hidden="false" customHeight="true" outlineLevel="0" collapsed="false">
      <c r="A61" s="35" t="s">
        <v>33</v>
      </c>
      <c r="B61" s="35"/>
      <c r="C61" s="35"/>
      <c r="D61" s="35"/>
      <c r="E61" s="35"/>
      <c r="F61" s="35"/>
      <c r="G61" s="35"/>
      <c r="H61" s="35"/>
      <c r="I61" s="35"/>
      <c r="J61" s="35"/>
    </row>
    <row r="62" customFormat="false" ht="15" hidden="false" customHeight="true" outlineLevel="0" collapsed="false">
      <c r="A62" s="36"/>
      <c r="B62" s="36" t="s">
        <v>90</v>
      </c>
      <c r="C62" s="37" t="s">
        <v>91</v>
      </c>
      <c r="D62" s="37" t="s">
        <v>92</v>
      </c>
      <c r="E62" s="37" t="s">
        <v>93</v>
      </c>
      <c r="F62" s="37" t="s">
        <v>94</v>
      </c>
      <c r="G62" s="37" t="s">
        <v>95</v>
      </c>
      <c r="H62" s="37" t="s">
        <v>96</v>
      </c>
      <c r="I62" s="37" t="s">
        <v>97</v>
      </c>
      <c r="J62" s="37" t="s">
        <v>98</v>
      </c>
    </row>
    <row r="63" customFormat="false" ht="15" hidden="false" customHeight="true" outlineLevel="0" collapsed="false">
      <c r="B63" s="38" t="s">
        <v>230</v>
      </c>
      <c r="C63" s="39" t="n">
        <v>80244</v>
      </c>
      <c r="D63" s="39" t="n">
        <v>0</v>
      </c>
      <c r="E63" s="39" t="n">
        <v>37993.4</v>
      </c>
      <c r="F63" s="39" t="n">
        <v>4738.57</v>
      </c>
      <c r="G63" s="39" t="n">
        <v>42731.97</v>
      </c>
      <c r="H63" s="39" t="n">
        <v>37512.03</v>
      </c>
      <c r="I63" s="40" t="s">
        <v>100</v>
      </c>
      <c r="J63" s="41" t="n">
        <v>15</v>
      </c>
    </row>
    <row r="64" customFormat="false" ht="15" hidden="false" customHeight="true" outlineLevel="0" collapsed="false">
      <c r="B64" s="15" t="s">
        <v>231</v>
      </c>
      <c r="C64" s="17" t="n">
        <v>1043171</v>
      </c>
      <c r="D64" s="17" t="n">
        <v>0</v>
      </c>
      <c r="E64" s="17" t="n">
        <v>229182.26</v>
      </c>
      <c r="F64" s="17" t="n">
        <v>37933.65</v>
      </c>
      <c r="G64" s="17" t="n">
        <v>267115.91</v>
      </c>
      <c r="H64" s="17" t="n">
        <v>776055.09</v>
      </c>
      <c r="I64" s="42" t="s">
        <v>102</v>
      </c>
      <c r="J64" s="43" t="n">
        <v>27.5</v>
      </c>
    </row>
    <row r="65" customFormat="false" ht="15" hidden="false" customHeight="true" outlineLevel="0" collapsed="false">
      <c r="B65" s="38" t="s">
        <v>232</v>
      </c>
      <c r="C65" s="39" t="n">
        <v>213983</v>
      </c>
      <c r="D65" s="39" t="n">
        <v>213983</v>
      </c>
      <c r="E65" s="39" t="n">
        <v>213983</v>
      </c>
      <c r="F65" s="39" t="n">
        <v>0</v>
      </c>
      <c r="G65" s="39" t="n">
        <v>213983</v>
      </c>
      <c r="H65" s="39" t="n">
        <v>0</v>
      </c>
      <c r="I65" s="40" t="s">
        <v>104</v>
      </c>
      <c r="J65" s="41" t="n">
        <v>5</v>
      </c>
    </row>
    <row r="66" customFormat="false" ht="15" hidden="false" customHeight="true" outlineLevel="0" collapsed="false">
      <c r="A66" s="44"/>
      <c r="B66" s="45" t="s">
        <v>16</v>
      </c>
      <c r="C66" s="46" t="n">
        <f aca="false">SUM(C63:C65)</f>
        <v>1337398</v>
      </c>
      <c r="D66" s="46" t="n">
        <f aca="false">SUM(D63:D65)</f>
        <v>213983</v>
      </c>
      <c r="E66" s="46" t="n">
        <f aca="false">SUM(E63:E65)</f>
        <v>481158.66</v>
      </c>
      <c r="F66" s="46" t="n">
        <f aca="false">SUM(F63:F65)</f>
        <v>42672.22</v>
      </c>
      <c r="G66" s="46" t="n">
        <f aca="false">SUM(G63:G65)</f>
        <v>523830.88</v>
      </c>
      <c r="H66" s="46" t="n">
        <f aca="false">SUM(H63:H65)</f>
        <v>813567.12</v>
      </c>
      <c r="I66" s="44"/>
      <c r="J66" s="44"/>
    </row>
    <row r="68" customFormat="false" ht="15" hidden="false" customHeight="true" outlineLevel="0" collapsed="false">
      <c r="A68" s="31" t="s">
        <v>105</v>
      </c>
      <c r="B68" s="31"/>
      <c r="C68" s="31"/>
      <c r="D68" s="31"/>
      <c r="E68" s="31"/>
      <c r="F68" s="31"/>
      <c r="G68" s="31"/>
      <c r="H68" s="31"/>
      <c r="I68" s="31"/>
      <c r="J68" s="31"/>
    </row>
    <row r="69" customFormat="false" ht="15" hidden="false" customHeight="true" outlineLevel="0" collapsed="false">
      <c r="A69" s="36"/>
      <c r="B69" s="36" t="s">
        <v>90</v>
      </c>
      <c r="C69" s="37" t="s">
        <v>91</v>
      </c>
      <c r="D69" s="37" t="s">
        <v>92</v>
      </c>
      <c r="E69" s="37" t="s">
        <v>93</v>
      </c>
      <c r="F69" s="37" t="s">
        <v>94</v>
      </c>
      <c r="G69" s="37" t="s">
        <v>95</v>
      </c>
      <c r="H69" s="37" t="s">
        <v>96</v>
      </c>
      <c r="I69" s="37" t="s">
        <v>97</v>
      </c>
      <c r="J69" s="37" t="s">
        <v>98</v>
      </c>
    </row>
    <row r="70" customFormat="false" ht="15" hidden="false" customHeight="true" outlineLevel="0" collapsed="false">
      <c r="B70" s="38" t="s">
        <v>233</v>
      </c>
      <c r="C70" s="39" t="n">
        <v>13399</v>
      </c>
      <c r="D70" s="39" t="n">
        <v>0</v>
      </c>
      <c r="E70" s="39" t="n">
        <v>13399</v>
      </c>
      <c r="F70" s="39" t="n">
        <v>0</v>
      </c>
      <c r="G70" s="39" t="n">
        <v>13399</v>
      </c>
      <c r="H70" s="39" t="n">
        <v>0</v>
      </c>
      <c r="I70" s="40" t="s">
        <v>104</v>
      </c>
      <c r="J70" s="41" t="n">
        <v>5</v>
      </c>
    </row>
    <row r="71" customFormat="false" ht="15" hidden="false" customHeight="true" outlineLevel="0" collapsed="false">
      <c r="B71" s="15" t="s">
        <v>234</v>
      </c>
      <c r="C71" s="17" t="n">
        <v>1194</v>
      </c>
      <c r="D71" s="17" t="n">
        <v>0</v>
      </c>
      <c r="E71" s="17" t="n">
        <v>1194</v>
      </c>
      <c r="F71" s="17" t="n">
        <v>0</v>
      </c>
      <c r="G71" s="17" t="n">
        <v>1194</v>
      </c>
      <c r="H71" s="17" t="n">
        <v>0</v>
      </c>
      <c r="I71" s="42" t="s">
        <v>100</v>
      </c>
      <c r="J71" s="43" t="n">
        <v>15</v>
      </c>
    </row>
    <row r="72" customFormat="false" ht="15" hidden="false" customHeight="true" outlineLevel="0" collapsed="false">
      <c r="B72" s="38" t="s">
        <v>235</v>
      </c>
      <c r="C72" s="39" t="n">
        <v>65650</v>
      </c>
      <c r="D72" s="39" t="n">
        <v>0</v>
      </c>
      <c r="E72" s="39" t="n">
        <v>14423.09</v>
      </c>
      <c r="F72" s="39" t="n">
        <v>2387.27</v>
      </c>
      <c r="G72" s="39" t="n">
        <v>16810.36</v>
      </c>
      <c r="H72" s="39" t="n">
        <v>48839.64</v>
      </c>
      <c r="I72" s="40" t="s">
        <v>102</v>
      </c>
      <c r="J72" s="41" t="n">
        <v>27.5</v>
      </c>
    </row>
    <row r="73" customFormat="false" ht="15" hidden="false" customHeight="true" outlineLevel="0" collapsed="false">
      <c r="B73" s="15" t="s">
        <v>236</v>
      </c>
      <c r="C73" s="17" t="n">
        <v>174191</v>
      </c>
      <c r="D73" s="17" t="n">
        <v>174191</v>
      </c>
      <c r="E73" s="17" t="n">
        <v>174191</v>
      </c>
      <c r="F73" s="17" t="n">
        <v>0</v>
      </c>
      <c r="G73" s="17" t="n">
        <v>174191</v>
      </c>
      <c r="H73" s="17" t="n">
        <v>0</v>
      </c>
      <c r="I73" s="42" t="s">
        <v>104</v>
      </c>
      <c r="J73" s="43" t="n">
        <v>5</v>
      </c>
    </row>
    <row r="74" customFormat="false" ht="15" hidden="false" customHeight="true" outlineLevel="0" collapsed="false">
      <c r="B74" s="38" t="s">
        <v>237</v>
      </c>
      <c r="C74" s="39" t="n">
        <v>15524</v>
      </c>
      <c r="D74" s="39" t="n">
        <v>15524</v>
      </c>
      <c r="E74" s="39" t="n">
        <v>15524</v>
      </c>
      <c r="F74" s="39" t="n">
        <v>0</v>
      </c>
      <c r="G74" s="39" t="n">
        <v>15524</v>
      </c>
      <c r="H74" s="39" t="n">
        <v>0</v>
      </c>
      <c r="I74" s="40" t="s">
        <v>100</v>
      </c>
      <c r="J74" s="41" t="n">
        <v>15</v>
      </c>
    </row>
    <row r="75" customFormat="false" ht="15" hidden="false" customHeight="true" outlineLevel="0" collapsed="false">
      <c r="B75" s="15" t="s">
        <v>238</v>
      </c>
      <c r="C75" s="17" t="n">
        <v>853456</v>
      </c>
      <c r="D75" s="17" t="n">
        <v>0</v>
      </c>
      <c r="E75" s="17" t="n">
        <v>187501.68</v>
      </c>
      <c r="F75" s="17" t="n">
        <v>31034.76</v>
      </c>
      <c r="G75" s="17" t="n">
        <v>218536.44</v>
      </c>
      <c r="H75" s="17" t="n">
        <v>634919.56</v>
      </c>
      <c r="I75" s="42" t="s">
        <v>102</v>
      </c>
      <c r="J75" s="43" t="n">
        <v>27.5</v>
      </c>
    </row>
    <row r="76" customFormat="false" ht="15" hidden="false" customHeight="true" outlineLevel="0" collapsed="false">
      <c r="B76" s="38" t="s">
        <v>239</v>
      </c>
      <c r="C76" s="39" t="n">
        <v>35731</v>
      </c>
      <c r="D76" s="39" t="n">
        <v>35731</v>
      </c>
      <c r="E76" s="39" t="n">
        <v>35731</v>
      </c>
      <c r="F76" s="39" t="n">
        <v>0</v>
      </c>
      <c r="G76" s="39" t="n">
        <v>35731</v>
      </c>
      <c r="H76" s="39" t="n">
        <v>0</v>
      </c>
      <c r="I76" s="40" t="s">
        <v>104</v>
      </c>
      <c r="J76" s="41" t="n">
        <v>5</v>
      </c>
    </row>
    <row r="77" customFormat="false" ht="15" hidden="false" customHeight="true" outlineLevel="0" collapsed="false">
      <c r="B77" s="15" t="s">
        <v>240</v>
      </c>
      <c r="C77" s="17" t="n">
        <v>3185</v>
      </c>
      <c r="D77" s="17" t="n">
        <v>3185</v>
      </c>
      <c r="E77" s="17" t="n">
        <v>3185</v>
      </c>
      <c r="F77" s="17" t="n">
        <v>0</v>
      </c>
      <c r="G77" s="17" t="n">
        <v>3185</v>
      </c>
      <c r="H77" s="17" t="n">
        <v>0</v>
      </c>
      <c r="I77" s="42" t="s">
        <v>100</v>
      </c>
      <c r="J77" s="43" t="n">
        <v>15</v>
      </c>
    </row>
    <row r="78" customFormat="false" ht="15" hidden="false" customHeight="true" outlineLevel="0" collapsed="false">
      <c r="B78" s="38" t="s">
        <v>241</v>
      </c>
      <c r="C78" s="39" t="n">
        <v>175068</v>
      </c>
      <c r="D78" s="39" t="n">
        <v>0</v>
      </c>
      <c r="E78" s="39" t="n">
        <v>38461.91</v>
      </c>
      <c r="F78" s="39" t="n">
        <v>6366.11</v>
      </c>
      <c r="G78" s="39" t="n">
        <v>44828.02</v>
      </c>
      <c r="H78" s="39" t="n">
        <v>130239.98</v>
      </c>
      <c r="I78" s="40" t="s">
        <v>102</v>
      </c>
      <c r="J78" s="41" t="n">
        <v>27.5</v>
      </c>
    </row>
    <row r="79" customFormat="false" ht="15" hidden="false" customHeight="true" outlineLevel="0" collapsed="false">
      <c r="A79" s="44"/>
      <c r="B79" s="45" t="s">
        <v>16</v>
      </c>
      <c r="C79" s="46" t="n">
        <f aca="false">SUM(C70:C78)</f>
        <v>1337398</v>
      </c>
      <c r="D79" s="46" t="n">
        <f aca="false">SUM(D70:D78)</f>
        <v>228631</v>
      </c>
      <c r="E79" s="46" t="n">
        <f aca="false">SUM(E70:E78)</f>
        <v>483610.68</v>
      </c>
      <c r="F79" s="46" t="n">
        <f aca="false">SUM(F70:F78)</f>
        <v>39788.14</v>
      </c>
      <c r="G79" s="46" t="n">
        <f aca="false">SUM(G70:G78)</f>
        <v>523398.82</v>
      </c>
      <c r="H79" s="46" t="n">
        <f aca="false">SUM(H70:H78)</f>
        <v>813999.18</v>
      </c>
      <c r="I79" s="44"/>
      <c r="J79" s="44"/>
    </row>
    <row r="81" customFormat="false" ht="15" hidden="false" customHeight="true" outlineLevel="0" collapsed="false">
      <c r="A81" s="34" t="s">
        <v>35</v>
      </c>
      <c r="B81" s="34"/>
      <c r="C81" s="34"/>
      <c r="D81" s="34"/>
      <c r="E81" s="34"/>
    </row>
    <row r="82" customFormat="false" ht="15" hidden="false" customHeight="true" outlineLevel="0" collapsed="false">
      <c r="B82" s="15" t="s">
        <v>115</v>
      </c>
      <c r="C82" s="47" t="n">
        <f aca="false">G66</f>
        <v>523830.88</v>
      </c>
    </row>
    <row r="83" customFormat="false" ht="15" hidden="false" customHeight="true" outlineLevel="0" collapsed="false">
      <c r="B83" s="15" t="s">
        <v>116</v>
      </c>
      <c r="C83" s="47" t="n">
        <f aca="false">G79</f>
        <v>523398.82</v>
      </c>
    </row>
    <row r="84" customFormat="false" ht="15" hidden="false" customHeight="true" outlineLevel="0" collapsed="false">
      <c r="B84" s="18" t="s">
        <v>35</v>
      </c>
      <c r="C84" s="48" t="n">
        <f aca="false">C83-C82</f>
        <v>-432.059999999998</v>
      </c>
    </row>
  </sheetData>
  <mergeCells count="13">
    <mergeCell ref="A2:J2"/>
    <mergeCell ref="A3:J3"/>
    <mergeCell ref="A4:J4"/>
    <mergeCell ref="A8:J8"/>
    <mergeCell ref="B10:J10"/>
    <mergeCell ref="B23:J23"/>
    <mergeCell ref="B28:J28"/>
    <mergeCell ref="B49:J49"/>
    <mergeCell ref="B55:J55"/>
    <mergeCell ref="A60:J60"/>
    <mergeCell ref="A61:J61"/>
    <mergeCell ref="A68:J68"/>
    <mergeCell ref="A81:E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5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true" outlineLevel="0" collapsed="false">
      <c r="A3" s="3" t="s">
        <v>242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2" t="s">
        <v>38</v>
      </c>
      <c r="C6" s="9" t="s">
        <v>18</v>
      </c>
    </row>
    <row r="8" customFormat="false" ht="15" hidden="false" customHeight="true" outlineLevel="0" collapsed="false">
      <c r="A8" s="23" t="s">
        <v>243</v>
      </c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true" outlineLevel="0" collapsed="false">
      <c r="A9" s="24"/>
      <c r="B9" s="24" t="s">
        <v>40</v>
      </c>
      <c r="C9" s="25" t="s">
        <v>41</v>
      </c>
      <c r="D9" s="25" t="s">
        <v>42</v>
      </c>
      <c r="E9" s="25" t="s">
        <v>43</v>
      </c>
      <c r="F9" s="25" t="s">
        <v>44</v>
      </c>
      <c r="G9" s="25" t="s">
        <v>45</v>
      </c>
      <c r="H9" s="25" t="s">
        <v>46</v>
      </c>
    </row>
    <row r="10" customFormat="false" ht="15" hidden="false" customHeight="true" outlineLevel="0" collapsed="false">
      <c r="A10" s="6"/>
      <c r="B10" s="7" t="s">
        <v>47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48</v>
      </c>
      <c r="C11" s="26" t="n">
        <v>1224.05</v>
      </c>
      <c r="D11" s="26" t="n">
        <v>1224.05</v>
      </c>
    </row>
    <row r="12" customFormat="false" ht="15" hidden="false" customHeight="true" outlineLevel="0" collapsed="false">
      <c r="B12" s="9" t="s">
        <v>49</v>
      </c>
      <c r="C12" s="26" t="n">
        <v>1003.14</v>
      </c>
      <c r="D12" s="26" t="n">
        <v>1003.14</v>
      </c>
    </row>
    <row r="13" customFormat="false" ht="15" hidden="false" customHeight="true" outlineLevel="0" collapsed="false">
      <c r="B13" s="9" t="s">
        <v>50</v>
      </c>
      <c r="C13" s="26" t="n">
        <v>1894.04</v>
      </c>
      <c r="D13" s="26" t="n">
        <v>1894.04</v>
      </c>
    </row>
    <row r="14" customFormat="false" ht="15" hidden="false" customHeight="true" outlineLevel="0" collapsed="false">
      <c r="B14" s="9" t="s">
        <v>51</v>
      </c>
      <c r="C14" s="26" t="n">
        <v>398.36</v>
      </c>
      <c r="D14" s="26" t="n">
        <v>398.36</v>
      </c>
    </row>
    <row r="15" customFormat="false" ht="15" hidden="false" customHeight="true" outlineLevel="0" collapsed="false">
      <c r="B15" s="9" t="s">
        <v>52</v>
      </c>
      <c r="C15" s="26" t="n">
        <v>254.6</v>
      </c>
      <c r="D15" s="26" t="n">
        <v>254.6</v>
      </c>
    </row>
    <row r="16" customFormat="false" ht="15" hidden="false" customHeight="true" outlineLevel="0" collapsed="false">
      <c r="B16" s="9" t="s">
        <v>53</v>
      </c>
      <c r="C16" s="26" t="n">
        <v>33.89</v>
      </c>
      <c r="D16" s="26" t="n">
        <v>33.89</v>
      </c>
    </row>
    <row r="17" customFormat="false" ht="15" hidden="false" customHeight="true" outlineLevel="0" collapsed="false">
      <c r="B17" s="9" t="s">
        <v>54</v>
      </c>
      <c r="C17" s="26" t="n">
        <v>22.29</v>
      </c>
      <c r="D17" s="26" t="n">
        <v>22.29</v>
      </c>
    </row>
    <row r="18" customFormat="false" ht="15" hidden="false" customHeight="true" outlineLevel="0" collapsed="false">
      <c r="B18" s="9" t="s">
        <v>55</v>
      </c>
      <c r="C18" s="26" t="n">
        <v>578.78</v>
      </c>
      <c r="D18" s="26" t="n">
        <v>578.78</v>
      </c>
    </row>
    <row r="19" customFormat="false" ht="15" hidden="false" customHeight="true" outlineLevel="0" collapsed="false">
      <c r="B19" s="9" t="s">
        <v>56</v>
      </c>
      <c r="C19" s="26" t="n">
        <v>248.02</v>
      </c>
      <c r="D19" s="26" t="n">
        <v>248.02</v>
      </c>
    </row>
    <row r="20" customFormat="false" ht="15" hidden="false" customHeight="true" outlineLevel="0" collapsed="false">
      <c r="B20" s="9" t="s">
        <v>57</v>
      </c>
      <c r="C20" s="26" t="n">
        <v>633.66</v>
      </c>
      <c r="D20" s="26" t="n">
        <v>633.66</v>
      </c>
    </row>
    <row r="21" customFormat="false" ht="15" hidden="false" customHeight="true" outlineLevel="0" collapsed="false">
      <c r="B21" s="9" t="s">
        <v>58</v>
      </c>
      <c r="C21" s="26" t="n">
        <v>125.71</v>
      </c>
      <c r="D21" s="26" t="n">
        <v>125.71</v>
      </c>
    </row>
    <row r="22" customFormat="false" ht="15" hidden="false" customHeight="true" outlineLevel="0" collapsed="false">
      <c r="B22" s="9" t="s">
        <v>59</v>
      </c>
      <c r="C22" s="26" t="n">
        <v>634.82</v>
      </c>
      <c r="D22" s="26" t="n">
        <v>634.82</v>
      </c>
    </row>
    <row r="23" customFormat="false" ht="15" hidden="false" customHeight="true" outlineLevel="0" collapsed="false">
      <c r="A23" s="6"/>
      <c r="B23" s="7" t="s">
        <v>60</v>
      </c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true" outlineLevel="0" collapsed="false">
      <c r="B24" s="9" t="s">
        <v>61</v>
      </c>
      <c r="C24" s="26" t="n">
        <v>506.65</v>
      </c>
      <c r="F24" s="26" t="n">
        <v>506.65</v>
      </c>
    </row>
    <row r="25" customFormat="false" ht="15" hidden="false" customHeight="true" outlineLevel="0" collapsed="false">
      <c r="B25" s="9" t="s">
        <v>62</v>
      </c>
      <c r="C25" s="26" t="n">
        <v>229.17</v>
      </c>
      <c r="F25" s="26" t="n">
        <v>229.17</v>
      </c>
    </row>
    <row r="26" customFormat="false" ht="15" hidden="false" customHeight="true" outlineLevel="0" collapsed="false">
      <c r="B26" s="9" t="s">
        <v>63</v>
      </c>
      <c r="C26" s="26" t="n">
        <v>39.13</v>
      </c>
      <c r="F26" s="26" t="n">
        <v>39.13</v>
      </c>
    </row>
    <row r="27" customFormat="false" ht="15" hidden="false" customHeight="true" outlineLevel="0" collapsed="false">
      <c r="B27" s="9" t="s">
        <v>64</v>
      </c>
      <c r="C27" s="26" t="n">
        <v>24.26</v>
      </c>
      <c r="F27" s="26" t="n">
        <v>24.26</v>
      </c>
    </row>
    <row r="28" customFormat="false" ht="15" hidden="false" customHeight="true" outlineLevel="0" collapsed="false">
      <c r="A28" s="6"/>
      <c r="B28" s="7" t="s">
        <v>65</v>
      </c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true" outlineLevel="0" collapsed="false">
      <c r="B29" s="9" t="s">
        <v>66</v>
      </c>
      <c r="C29" s="26" t="n">
        <v>2548.43</v>
      </c>
      <c r="G29" s="26" t="n">
        <v>2548.43</v>
      </c>
    </row>
    <row r="30" customFormat="false" ht="15" hidden="false" customHeight="true" outlineLevel="0" collapsed="false">
      <c r="B30" s="9" t="s">
        <v>67</v>
      </c>
      <c r="C30" s="26" t="n">
        <v>5484.79</v>
      </c>
      <c r="G30" s="26" t="n">
        <v>5484.79</v>
      </c>
    </row>
    <row r="31" customFormat="false" ht="15" hidden="false" customHeight="true" outlineLevel="0" collapsed="false">
      <c r="B31" s="9" t="s">
        <v>68</v>
      </c>
      <c r="C31" s="26" t="n">
        <v>2549.45</v>
      </c>
      <c r="G31" s="26" t="n">
        <v>2549.45</v>
      </c>
    </row>
    <row r="32" customFormat="false" ht="15" hidden="false" customHeight="true" outlineLevel="0" collapsed="false">
      <c r="B32" s="9" t="s">
        <v>69</v>
      </c>
      <c r="C32" s="26" t="n">
        <v>2713.95</v>
      </c>
      <c r="G32" s="26" t="n">
        <v>2713.95</v>
      </c>
    </row>
    <row r="33" customFormat="false" ht="15" hidden="false" customHeight="true" outlineLevel="0" collapsed="false">
      <c r="B33" s="9" t="s">
        <v>70</v>
      </c>
      <c r="C33" s="26" t="n">
        <v>2245.68</v>
      </c>
      <c r="G33" s="26" t="n">
        <v>2245.68</v>
      </c>
    </row>
    <row r="34" customFormat="false" ht="15" hidden="false" customHeight="true" outlineLevel="0" collapsed="false">
      <c r="B34" s="9" t="s">
        <v>71</v>
      </c>
      <c r="C34" s="26" t="n">
        <v>169.07</v>
      </c>
      <c r="G34" s="26" t="n">
        <v>169.07</v>
      </c>
    </row>
    <row r="35" customFormat="false" ht="15" hidden="false" customHeight="true" outlineLevel="0" collapsed="false">
      <c r="B35" s="9" t="s">
        <v>72</v>
      </c>
      <c r="C35" s="26" t="n">
        <v>2358.3</v>
      </c>
      <c r="G35" s="26" t="n">
        <v>2358.3</v>
      </c>
    </row>
    <row r="36" customFormat="false" ht="15" hidden="false" customHeight="true" outlineLevel="0" collapsed="false">
      <c r="B36" s="9" t="s">
        <v>73</v>
      </c>
      <c r="C36" s="26" t="n">
        <v>1892.23</v>
      </c>
      <c r="G36" s="26" t="n">
        <v>1892.23</v>
      </c>
    </row>
    <row r="37" customFormat="false" ht="15" hidden="false" customHeight="true" outlineLevel="0" collapsed="false">
      <c r="B37" s="9" t="s">
        <v>74</v>
      </c>
      <c r="C37" s="26" t="n">
        <v>1122.14</v>
      </c>
      <c r="G37" s="26" t="n">
        <v>1122.14</v>
      </c>
    </row>
    <row r="38" customFormat="false" ht="15" hidden="false" customHeight="true" outlineLevel="0" collapsed="false">
      <c r="B38" s="9" t="s">
        <v>75</v>
      </c>
      <c r="C38" s="26" t="n">
        <v>1326.93</v>
      </c>
      <c r="G38" s="26" t="n">
        <v>1326.93</v>
      </c>
    </row>
    <row r="39" customFormat="false" ht="15" hidden="false" customHeight="true" outlineLevel="0" collapsed="false">
      <c r="B39" s="9" t="s">
        <v>76</v>
      </c>
      <c r="C39" s="26" t="n">
        <v>4881.53</v>
      </c>
      <c r="G39" s="26" t="n">
        <v>4881.53</v>
      </c>
    </row>
    <row r="40" customFormat="false" ht="15" hidden="false" customHeight="true" outlineLevel="0" collapsed="false">
      <c r="B40" s="9" t="s">
        <v>77</v>
      </c>
      <c r="C40" s="26" t="n">
        <v>1557.23</v>
      </c>
      <c r="G40" s="26" t="n">
        <v>1557.23</v>
      </c>
    </row>
    <row r="41" customFormat="false" ht="15" hidden="false" customHeight="true" outlineLevel="0" collapsed="false">
      <c r="B41" s="9" t="s">
        <v>78</v>
      </c>
      <c r="C41" s="26" t="n">
        <v>4653.25</v>
      </c>
      <c r="G41" s="26" t="n">
        <v>4653.25</v>
      </c>
    </row>
    <row r="42" customFormat="false" ht="15" hidden="false" customHeight="true" outlineLevel="0" collapsed="false">
      <c r="B42" s="9" t="s">
        <v>79</v>
      </c>
      <c r="C42" s="26" t="n">
        <v>419.93</v>
      </c>
      <c r="G42" s="26" t="n">
        <v>419.93</v>
      </c>
    </row>
    <row r="43" customFormat="false" ht="15" hidden="false" customHeight="true" outlineLevel="0" collapsed="false">
      <c r="B43" s="9" t="s">
        <v>163</v>
      </c>
      <c r="C43" s="26" t="n">
        <v>446.76</v>
      </c>
      <c r="G43" s="26" t="n">
        <v>446.76</v>
      </c>
    </row>
    <row r="44" customFormat="false" ht="15" hidden="false" customHeight="true" outlineLevel="0" collapsed="false">
      <c r="B44" s="9" t="s">
        <v>164</v>
      </c>
      <c r="C44" s="26" t="n">
        <v>59.17</v>
      </c>
      <c r="G44" s="26" t="n">
        <v>59.17</v>
      </c>
    </row>
    <row r="45" customFormat="false" ht="15" hidden="false" customHeight="true" outlineLevel="0" collapsed="false">
      <c r="B45" s="9" t="s">
        <v>80</v>
      </c>
      <c r="C45" s="26" t="n">
        <v>526.09</v>
      </c>
      <c r="G45" s="26" t="n">
        <v>526.09</v>
      </c>
    </row>
    <row r="46" customFormat="false" ht="15" hidden="false" customHeight="true" outlineLevel="0" collapsed="false">
      <c r="B46" s="9" t="s">
        <v>81</v>
      </c>
      <c r="C46" s="26" t="n">
        <v>314.69</v>
      </c>
      <c r="G46" s="26" t="n">
        <v>314.69</v>
      </c>
    </row>
    <row r="47" customFormat="false" ht="15" hidden="false" customHeight="true" outlineLevel="0" collapsed="false">
      <c r="A47" s="27"/>
      <c r="B47" s="28" t="s">
        <v>82</v>
      </c>
      <c r="C47" s="29" t="n">
        <f aca="false">SUM(C10:C46)</f>
        <v>43120.19</v>
      </c>
      <c r="D47" s="29" t="n">
        <f aca="false">SUM(D10:D46)</f>
        <v>7051.36</v>
      </c>
      <c r="E47" s="29" t="n">
        <f aca="false">SUM(E10:E46)</f>
        <v>0</v>
      </c>
      <c r="F47" s="29" t="n">
        <f aca="false">SUM(F10:F46)</f>
        <v>799.21</v>
      </c>
      <c r="G47" s="29" t="n">
        <f aca="false">SUM(G10:G46)</f>
        <v>35269.62</v>
      </c>
      <c r="H47" s="27"/>
    </row>
    <row r="49" customFormat="false" ht="15" hidden="false" customHeight="true" outlineLevel="0" collapsed="false">
      <c r="A49" s="6"/>
      <c r="B49" s="7" t="s">
        <v>83</v>
      </c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true" outlineLevel="0" collapsed="false">
      <c r="B50" s="9" t="s">
        <v>226</v>
      </c>
      <c r="C50" s="26" t="n">
        <v>235436</v>
      </c>
      <c r="D50" s="26" t="n">
        <v>38500</v>
      </c>
      <c r="F50" s="26" t="n">
        <v>4364</v>
      </c>
      <c r="G50" s="26" t="n">
        <v>192572</v>
      </c>
    </row>
    <row r="51" customFormat="false" ht="15" hidden="false" customHeight="true" outlineLevel="0" collapsed="false">
      <c r="B51" s="9" t="s">
        <v>227</v>
      </c>
      <c r="C51" s="26" t="n">
        <v>18110</v>
      </c>
      <c r="D51" s="26" t="n">
        <v>2962</v>
      </c>
      <c r="F51" s="26" t="n">
        <v>336</v>
      </c>
      <c r="G51" s="26" t="n">
        <v>14813</v>
      </c>
    </row>
    <row r="52" customFormat="false" ht="15" hidden="false" customHeight="true" outlineLevel="0" collapsed="false">
      <c r="B52" s="9" t="s">
        <v>228</v>
      </c>
      <c r="C52" s="26" t="n">
        <v>48295</v>
      </c>
      <c r="D52" s="26" t="n">
        <v>7898</v>
      </c>
      <c r="F52" s="26" t="n">
        <v>895</v>
      </c>
      <c r="G52" s="26" t="n">
        <v>39501</v>
      </c>
    </row>
    <row r="53" customFormat="false" ht="15" hidden="false" customHeight="true" outlineLevel="0" collapsed="false">
      <c r="A53" s="27"/>
      <c r="B53" s="28" t="s">
        <v>87</v>
      </c>
      <c r="C53" s="29" t="n">
        <f aca="false">SUM(C50:C52)</f>
        <v>301841</v>
      </c>
      <c r="D53" s="29" t="n">
        <f aca="false">SUM(D50:D52)</f>
        <v>49360</v>
      </c>
      <c r="E53" s="27"/>
      <c r="F53" s="29" t="n">
        <f aca="false">SUM(F50:F52)</f>
        <v>5595</v>
      </c>
      <c r="G53" s="29" t="n">
        <f aca="false">SUM(G50:G52)</f>
        <v>246886</v>
      </c>
      <c r="H53" s="27"/>
    </row>
    <row r="55" customFormat="false" ht="15" hidden="false" customHeight="true" outlineLevel="0" collapsed="false">
      <c r="A55" s="30"/>
      <c r="B55" s="31" t="s">
        <v>244</v>
      </c>
      <c r="C55" s="31"/>
      <c r="D55" s="31"/>
      <c r="E55" s="31"/>
      <c r="F55" s="31"/>
      <c r="G55" s="31"/>
      <c r="H55" s="31"/>
      <c r="I55" s="31"/>
      <c r="J55" s="31"/>
    </row>
    <row r="56" customFormat="false" ht="15" hidden="false" customHeight="true" outlineLevel="0" collapsed="false">
      <c r="B56" s="32" t="s">
        <v>227</v>
      </c>
      <c r="C56" s="33" t="n">
        <v>18110</v>
      </c>
      <c r="D56" s="33" t="n">
        <v>2962</v>
      </c>
      <c r="F56" s="33" t="n">
        <v>336</v>
      </c>
      <c r="G56" s="33" t="n">
        <v>14813</v>
      </c>
    </row>
    <row r="57" customFormat="false" ht="15" hidden="false" customHeight="true" outlineLevel="0" collapsed="false">
      <c r="B57" s="32" t="s">
        <v>226</v>
      </c>
      <c r="C57" s="33" t="n">
        <v>235436</v>
      </c>
      <c r="D57" s="33" t="n">
        <v>38500</v>
      </c>
      <c r="F57" s="33" t="n">
        <v>4364</v>
      </c>
      <c r="G57" s="33" t="n">
        <v>192572</v>
      </c>
    </row>
    <row r="58" customFormat="false" ht="15" hidden="false" customHeight="true" outlineLevel="0" collapsed="false">
      <c r="B58" s="32" t="s">
        <v>228</v>
      </c>
      <c r="C58" s="33" t="n">
        <v>48295</v>
      </c>
      <c r="D58" s="33" t="n">
        <v>7898</v>
      </c>
      <c r="F58" s="33" t="n">
        <v>895</v>
      </c>
      <c r="G58" s="33" t="n">
        <v>39501</v>
      </c>
    </row>
    <row r="60" customFormat="false" ht="15" hidden="false" customHeight="true" outlineLevel="0" collapsed="false">
      <c r="A60" s="34" t="s">
        <v>89</v>
      </c>
      <c r="B60" s="34"/>
      <c r="C60" s="34"/>
      <c r="D60" s="34"/>
      <c r="E60" s="34"/>
      <c r="F60" s="34"/>
      <c r="G60" s="34"/>
      <c r="H60" s="34"/>
      <c r="I60" s="34"/>
      <c r="J60" s="34"/>
    </row>
    <row r="61" customFormat="false" ht="15" hidden="false" customHeight="true" outlineLevel="0" collapsed="false">
      <c r="A61" s="35" t="s">
        <v>33</v>
      </c>
      <c r="B61" s="35"/>
      <c r="C61" s="35"/>
      <c r="D61" s="35"/>
      <c r="E61" s="35"/>
      <c r="F61" s="35"/>
      <c r="G61" s="35"/>
      <c r="H61" s="35"/>
      <c r="I61" s="35"/>
      <c r="J61" s="35"/>
    </row>
    <row r="62" customFormat="false" ht="15" hidden="false" customHeight="true" outlineLevel="0" collapsed="false">
      <c r="A62" s="36"/>
      <c r="B62" s="36" t="s">
        <v>90</v>
      </c>
      <c r="C62" s="37" t="s">
        <v>91</v>
      </c>
      <c r="D62" s="37" t="s">
        <v>92</v>
      </c>
      <c r="E62" s="37" t="s">
        <v>93</v>
      </c>
      <c r="F62" s="37" t="s">
        <v>94</v>
      </c>
      <c r="G62" s="37" t="s">
        <v>95</v>
      </c>
      <c r="H62" s="37" t="s">
        <v>96</v>
      </c>
      <c r="I62" s="37" t="s">
        <v>97</v>
      </c>
      <c r="J62" s="37" t="s">
        <v>98</v>
      </c>
    </row>
    <row r="63" customFormat="false" ht="15" hidden="false" customHeight="true" outlineLevel="0" collapsed="false">
      <c r="B63" s="38" t="s">
        <v>230</v>
      </c>
      <c r="C63" s="39" t="n">
        <v>18110</v>
      </c>
      <c r="D63" s="39" t="n">
        <v>0</v>
      </c>
      <c r="E63" s="39" t="n">
        <v>8574.6</v>
      </c>
      <c r="F63" s="39" t="n">
        <v>1069.43</v>
      </c>
      <c r="G63" s="39" t="n">
        <v>9644.03</v>
      </c>
      <c r="H63" s="39" t="n">
        <v>8465.97</v>
      </c>
      <c r="I63" s="40" t="s">
        <v>100</v>
      </c>
      <c r="J63" s="41" t="n">
        <v>15</v>
      </c>
    </row>
    <row r="64" customFormat="false" ht="15" hidden="false" customHeight="true" outlineLevel="0" collapsed="false">
      <c r="B64" s="15" t="s">
        <v>231</v>
      </c>
      <c r="C64" s="17" t="n">
        <v>235436</v>
      </c>
      <c r="D64" s="17" t="n">
        <v>0</v>
      </c>
      <c r="E64" s="17" t="n">
        <v>51724.74</v>
      </c>
      <c r="F64" s="17" t="n">
        <v>8561.35</v>
      </c>
      <c r="G64" s="17" t="n">
        <v>60286.09</v>
      </c>
      <c r="H64" s="17" t="n">
        <v>175149.91</v>
      </c>
      <c r="I64" s="42" t="s">
        <v>102</v>
      </c>
      <c r="J64" s="43" t="n">
        <v>27.5</v>
      </c>
    </row>
    <row r="65" customFormat="false" ht="15" hidden="false" customHeight="true" outlineLevel="0" collapsed="false">
      <c r="B65" s="38" t="s">
        <v>232</v>
      </c>
      <c r="C65" s="39" t="n">
        <v>48295</v>
      </c>
      <c r="D65" s="39" t="n">
        <v>48295</v>
      </c>
      <c r="E65" s="39" t="n">
        <v>48295</v>
      </c>
      <c r="F65" s="39" t="n">
        <v>0</v>
      </c>
      <c r="G65" s="39" t="n">
        <v>48295</v>
      </c>
      <c r="H65" s="39" t="n">
        <v>0</v>
      </c>
      <c r="I65" s="40" t="s">
        <v>104</v>
      </c>
      <c r="J65" s="41" t="n">
        <v>5</v>
      </c>
    </row>
    <row r="66" customFormat="false" ht="15" hidden="false" customHeight="true" outlineLevel="0" collapsed="false">
      <c r="A66" s="44"/>
      <c r="B66" s="45" t="s">
        <v>16</v>
      </c>
      <c r="C66" s="46" t="n">
        <f aca="false">SUM(C63:C65)</f>
        <v>301841</v>
      </c>
      <c r="D66" s="46" t="n">
        <f aca="false">SUM(D63:D65)</f>
        <v>48295</v>
      </c>
      <c r="E66" s="46" t="n">
        <f aca="false">SUM(E63:E65)</f>
        <v>108594.34</v>
      </c>
      <c r="F66" s="46" t="n">
        <f aca="false">SUM(F63:F65)</f>
        <v>9630.78</v>
      </c>
      <c r="G66" s="46" t="n">
        <f aca="false">SUM(G63:G65)</f>
        <v>118225.12</v>
      </c>
      <c r="H66" s="46" t="n">
        <f aca="false">SUM(H63:H65)</f>
        <v>183615.88</v>
      </c>
      <c r="I66" s="44"/>
      <c r="J66" s="44"/>
    </row>
    <row r="68" customFormat="false" ht="15" hidden="false" customHeight="true" outlineLevel="0" collapsed="false">
      <c r="A68" s="31" t="s">
        <v>105</v>
      </c>
      <c r="B68" s="31"/>
      <c r="C68" s="31"/>
      <c r="D68" s="31"/>
      <c r="E68" s="31"/>
      <c r="F68" s="31"/>
      <c r="G68" s="31"/>
      <c r="H68" s="31"/>
      <c r="I68" s="31"/>
      <c r="J68" s="31"/>
    </row>
    <row r="69" customFormat="false" ht="15" hidden="false" customHeight="true" outlineLevel="0" collapsed="false">
      <c r="A69" s="36"/>
      <c r="B69" s="36" t="s">
        <v>90</v>
      </c>
      <c r="C69" s="37" t="s">
        <v>91</v>
      </c>
      <c r="D69" s="37" t="s">
        <v>92</v>
      </c>
      <c r="E69" s="37" t="s">
        <v>93</v>
      </c>
      <c r="F69" s="37" t="s">
        <v>94</v>
      </c>
      <c r="G69" s="37" t="s">
        <v>95</v>
      </c>
      <c r="H69" s="37" t="s">
        <v>96</v>
      </c>
      <c r="I69" s="37" t="s">
        <v>97</v>
      </c>
      <c r="J69" s="37" t="s">
        <v>98</v>
      </c>
    </row>
    <row r="70" customFormat="false" ht="15" hidden="false" customHeight="true" outlineLevel="0" collapsed="false">
      <c r="B70" s="38" t="s">
        <v>233</v>
      </c>
      <c r="C70" s="39" t="n">
        <v>2962</v>
      </c>
      <c r="D70" s="39" t="n">
        <v>0</v>
      </c>
      <c r="E70" s="39" t="n">
        <v>2962</v>
      </c>
      <c r="F70" s="39" t="n">
        <v>0</v>
      </c>
      <c r="G70" s="39" t="n">
        <v>2962</v>
      </c>
      <c r="H70" s="39" t="n">
        <v>0</v>
      </c>
      <c r="I70" s="40" t="s">
        <v>104</v>
      </c>
      <c r="J70" s="41" t="n">
        <v>5</v>
      </c>
    </row>
    <row r="71" customFormat="false" ht="15" hidden="false" customHeight="true" outlineLevel="0" collapsed="false">
      <c r="B71" s="15" t="s">
        <v>234</v>
      </c>
      <c r="C71" s="17" t="n">
        <v>336</v>
      </c>
      <c r="D71" s="17" t="n">
        <v>0</v>
      </c>
      <c r="E71" s="17" t="n">
        <v>336</v>
      </c>
      <c r="F71" s="17" t="n">
        <v>0</v>
      </c>
      <c r="G71" s="17" t="n">
        <v>336</v>
      </c>
      <c r="H71" s="17" t="n">
        <v>0</v>
      </c>
      <c r="I71" s="42" t="s">
        <v>100</v>
      </c>
      <c r="J71" s="43" t="n">
        <v>15</v>
      </c>
    </row>
    <row r="72" customFormat="false" ht="15" hidden="false" customHeight="true" outlineLevel="0" collapsed="false">
      <c r="B72" s="38" t="s">
        <v>235</v>
      </c>
      <c r="C72" s="39" t="n">
        <v>14813</v>
      </c>
      <c r="D72" s="39" t="n">
        <v>0</v>
      </c>
      <c r="E72" s="39" t="n">
        <v>3254.34</v>
      </c>
      <c r="F72" s="39" t="n">
        <v>538.65</v>
      </c>
      <c r="G72" s="39" t="n">
        <v>3792.99</v>
      </c>
      <c r="H72" s="39" t="n">
        <v>11020.01</v>
      </c>
      <c r="I72" s="40" t="s">
        <v>102</v>
      </c>
      <c r="J72" s="41" t="n">
        <v>27.5</v>
      </c>
    </row>
    <row r="73" customFormat="false" ht="15" hidden="false" customHeight="true" outlineLevel="0" collapsed="false">
      <c r="B73" s="15" t="s">
        <v>236</v>
      </c>
      <c r="C73" s="17" t="n">
        <v>38500</v>
      </c>
      <c r="D73" s="17" t="n">
        <v>38500</v>
      </c>
      <c r="E73" s="17" t="n">
        <v>38500</v>
      </c>
      <c r="F73" s="17" t="n">
        <v>0</v>
      </c>
      <c r="G73" s="17" t="n">
        <v>38500</v>
      </c>
      <c r="H73" s="17" t="n">
        <v>0</v>
      </c>
      <c r="I73" s="42" t="s">
        <v>104</v>
      </c>
      <c r="J73" s="43" t="n">
        <v>5</v>
      </c>
    </row>
    <row r="74" customFormat="false" ht="15" hidden="false" customHeight="true" outlineLevel="0" collapsed="false">
      <c r="B74" s="38" t="s">
        <v>237</v>
      </c>
      <c r="C74" s="39" t="n">
        <v>4364</v>
      </c>
      <c r="D74" s="39" t="n">
        <v>4364</v>
      </c>
      <c r="E74" s="39" t="n">
        <v>4364</v>
      </c>
      <c r="F74" s="39" t="n">
        <v>0</v>
      </c>
      <c r="G74" s="39" t="n">
        <v>4364</v>
      </c>
      <c r="H74" s="39" t="n">
        <v>0</v>
      </c>
      <c r="I74" s="40" t="s">
        <v>100</v>
      </c>
      <c r="J74" s="41" t="n">
        <v>15</v>
      </c>
    </row>
    <row r="75" customFormat="false" ht="15" hidden="false" customHeight="true" outlineLevel="0" collapsed="false">
      <c r="B75" s="15" t="s">
        <v>238</v>
      </c>
      <c r="C75" s="17" t="n">
        <v>192572</v>
      </c>
      <c r="D75" s="17" t="n">
        <v>0</v>
      </c>
      <c r="E75" s="17" t="n">
        <v>42307.5</v>
      </c>
      <c r="F75" s="17" t="n">
        <v>7002.62</v>
      </c>
      <c r="G75" s="17" t="n">
        <v>49310.12</v>
      </c>
      <c r="H75" s="17" t="n">
        <v>143261.88</v>
      </c>
      <c r="I75" s="42" t="s">
        <v>102</v>
      </c>
      <c r="J75" s="43" t="n">
        <v>27.5</v>
      </c>
    </row>
    <row r="76" customFormat="false" ht="15" hidden="false" customHeight="true" outlineLevel="0" collapsed="false">
      <c r="B76" s="38" t="s">
        <v>239</v>
      </c>
      <c r="C76" s="39" t="n">
        <v>7898</v>
      </c>
      <c r="D76" s="39" t="n">
        <v>7898</v>
      </c>
      <c r="E76" s="39" t="n">
        <v>7898</v>
      </c>
      <c r="F76" s="39" t="n">
        <v>0</v>
      </c>
      <c r="G76" s="39" t="n">
        <v>7898</v>
      </c>
      <c r="H76" s="39" t="n">
        <v>0</v>
      </c>
      <c r="I76" s="40" t="s">
        <v>104</v>
      </c>
      <c r="J76" s="41" t="n">
        <v>5</v>
      </c>
    </row>
    <row r="77" customFormat="false" ht="15" hidden="false" customHeight="true" outlineLevel="0" collapsed="false">
      <c r="B77" s="15" t="s">
        <v>240</v>
      </c>
      <c r="C77" s="17" t="n">
        <v>895</v>
      </c>
      <c r="D77" s="17" t="n">
        <v>895</v>
      </c>
      <c r="E77" s="17" t="n">
        <v>895</v>
      </c>
      <c r="F77" s="17" t="n">
        <v>0</v>
      </c>
      <c r="G77" s="17" t="n">
        <v>895</v>
      </c>
      <c r="H77" s="17" t="n">
        <v>0</v>
      </c>
      <c r="I77" s="42" t="s">
        <v>100</v>
      </c>
      <c r="J77" s="43" t="n">
        <v>15</v>
      </c>
    </row>
    <row r="78" customFormat="false" ht="15" hidden="false" customHeight="true" outlineLevel="0" collapsed="false">
      <c r="B78" s="38" t="s">
        <v>241</v>
      </c>
      <c r="C78" s="39" t="n">
        <v>39501</v>
      </c>
      <c r="D78" s="39" t="n">
        <v>0</v>
      </c>
      <c r="E78" s="39" t="n">
        <v>8678.49</v>
      </c>
      <c r="F78" s="39" t="n">
        <v>1436.4</v>
      </c>
      <c r="G78" s="39" t="n">
        <v>10114.89</v>
      </c>
      <c r="H78" s="39" t="n">
        <v>29386.11</v>
      </c>
      <c r="I78" s="40" t="s">
        <v>102</v>
      </c>
      <c r="J78" s="41" t="n">
        <v>27.5</v>
      </c>
    </row>
    <row r="79" customFormat="false" ht="15" hidden="false" customHeight="true" outlineLevel="0" collapsed="false">
      <c r="A79" s="44"/>
      <c r="B79" s="45" t="s">
        <v>16</v>
      </c>
      <c r="C79" s="46" t="n">
        <f aca="false">SUM(C70:C78)</f>
        <v>301841</v>
      </c>
      <c r="D79" s="46" t="n">
        <f aca="false">SUM(D70:D78)</f>
        <v>51657</v>
      </c>
      <c r="E79" s="46" t="n">
        <f aca="false">SUM(E70:E78)</f>
        <v>109195.33</v>
      </c>
      <c r="F79" s="46" t="n">
        <f aca="false">SUM(F70:F78)</f>
        <v>8977.67</v>
      </c>
      <c r="G79" s="46" t="n">
        <f aca="false">SUM(G70:G78)</f>
        <v>118173</v>
      </c>
      <c r="H79" s="46" t="n">
        <f aca="false">SUM(H70:H78)</f>
        <v>183668</v>
      </c>
      <c r="I79" s="44"/>
      <c r="J79" s="44"/>
    </row>
    <row r="81" customFormat="false" ht="15" hidden="false" customHeight="true" outlineLevel="0" collapsed="false">
      <c r="A81" s="34" t="s">
        <v>35</v>
      </c>
      <c r="B81" s="34"/>
      <c r="C81" s="34"/>
      <c r="D81" s="34"/>
      <c r="E81" s="34"/>
    </row>
    <row r="82" customFormat="false" ht="15" hidden="false" customHeight="true" outlineLevel="0" collapsed="false">
      <c r="B82" s="15" t="s">
        <v>115</v>
      </c>
      <c r="C82" s="47" t="n">
        <f aca="false">G66</f>
        <v>118225.12</v>
      </c>
    </row>
    <row r="83" customFormat="false" ht="15" hidden="false" customHeight="true" outlineLevel="0" collapsed="false">
      <c r="B83" s="15" t="s">
        <v>116</v>
      </c>
      <c r="C83" s="47" t="n">
        <f aca="false">G79</f>
        <v>118173</v>
      </c>
    </row>
    <row r="84" customFormat="false" ht="15" hidden="false" customHeight="true" outlineLevel="0" collapsed="false">
      <c r="B84" s="18" t="s">
        <v>35</v>
      </c>
      <c r="C84" s="48" t="n">
        <f aca="false">C83-C82</f>
        <v>-52.1199999999953</v>
      </c>
    </row>
  </sheetData>
  <mergeCells count="13">
    <mergeCell ref="A2:J2"/>
    <mergeCell ref="A3:J3"/>
    <mergeCell ref="A4:J4"/>
    <mergeCell ref="A8:J8"/>
    <mergeCell ref="B10:J10"/>
    <mergeCell ref="B23:J23"/>
    <mergeCell ref="B28:J28"/>
    <mergeCell ref="B49:J49"/>
    <mergeCell ref="B55:J55"/>
    <mergeCell ref="A60:J60"/>
    <mergeCell ref="A61:J61"/>
    <mergeCell ref="A68:J68"/>
    <mergeCell ref="A81:E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2026-07-08T20:59:08Z</dcterms:created>
  <dc:creator>openpyxl</dc:creator>
  <dc:description/>
  <dc:language>en-US</dc:language>
  <cp:lastModifiedBy/>
  <dcterms:modified xsi:type="dcterms:W3CDTF">2026-07-09T17:36:35Z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