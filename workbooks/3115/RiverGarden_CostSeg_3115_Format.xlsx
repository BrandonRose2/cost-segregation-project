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Building 1" sheetId="3" state="visible" r:id="rId5"/>
    <sheet name="Building 2" sheetId="4" state="visible" r:id="rId6"/>
    <sheet name="Building 3" sheetId="5" state="visible" r:id="rId7"/>
    <sheet name="Building 4" sheetId="6" state="visible" r:id="rId8"/>
    <sheet name="Building 5" sheetId="7" state="visible" r:id="rId9"/>
    <sheet name="Building 6" sheetId="8" state="visible" r:id="rId10"/>
    <sheet name="Building 7" sheetId="9" state="visible" r:id="rId11"/>
    <sheet name="Building 8" sheetId="10" state="visible" r:id="rId12"/>
    <sheet name="Building 9" sheetId="11" state="visible" r:id="rId13"/>
    <sheet name="Building 10" sheetId="12" state="visible" r:id="rId14"/>
    <sheet name="Building 11" sheetId="13" state="visible" r:id="rId15"/>
    <sheet name="Building 12" sheetId="14" state="visible" r:id="rId16"/>
    <sheet name="Building 13" sheetId="15" state="visible" r:id="rId17"/>
    <sheet name="Building 14" sheetId="16" state="visible" r:id="rId18"/>
    <sheet name="Building 15" sheetId="17" state="visible" r:id="rId19"/>
    <sheet name="Building 16" sheetId="18" state="visible" r:id="rId20"/>
    <sheet name="Building 17" sheetId="19" state="visible" r:id="rId21"/>
    <sheet name="Building 18" sheetId="20" state="visible" r:id="rId22"/>
    <sheet name="Building 19" sheetId="21" state="visible" r:id="rId23"/>
    <sheet name="Building 20" sheetId="22" state="visible" r:id="rId24"/>
    <sheet name="Building 21" sheetId="23" state="visible" r:id="rId25"/>
    <sheet name="Building 22" sheetId="24" state="visible" r:id="rId26"/>
    <sheet name="Shed A" sheetId="25" state="visible" r:id="rId27"/>
    <sheet name="Shed B" sheetId="26" state="visible" r:id="rId28"/>
    <sheet name="Laundry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<sst xmlns="http://schemas.openxmlformats.org/spreadsheetml/2006/main" count="3003" uniqueCount="666">
  <si>
    <t xml:space="preserve">River Garden Estates</t>
  </si>
  <si>
    <t xml:space="preserve">Summary of Cost Seg Adjustments</t>
  </si>
  <si>
    <t xml:space="preserve">As of December 31, 2024  |  EIN: 93-2096487  |  Report #107752-43</t>
  </si>
  <si>
    <t xml:space="preserve">Acq Date</t>
  </si>
  <si>
    <t xml:space="preserve">Asset Description</t>
  </si>
  <si>
    <t xml:space="preserve">Total</t>
  </si>
  <si>
    <t xml:space="preserve">Site</t>
  </si>
  <si>
    <t xml:space="preserve">Building 1</t>
  </si>
  <si>
    <t xml:space="preserve">Building 2</t>
  </si>
  <si>
    <t xml:space="preserve">Building 3</t>
  </si>
  <si>
    <t xml:space="preserve">Building 4</t>
  </si>
  <si>
    <t xml:space="preserve">Building 5</t>
  </si>
  <si>
    <t xml:space="preserve">Building 6</t>
  </si>
  <si>
    <t xml:space="preserve">Building 7</t>
  </si>
  <si>
    <t xml:space="preserve">Building 8</t>
  </si>
  <si>
    <t xml:space="preserve">Building 9</t>
  </si>
  <si>
    <t xml:space="preserve">Building 10</t>
  </si>
  <si>
    <t xml:space="preserve">Building 11</t>
  </si>
  <si>
    <t xml:space="preserve">Building 12</t>
  </si>
  <si>
    <t xml:space="preserve">Building 13</t>
  </si>
  <si>
    <t xml:space="preserve">Building 14</t>
  </si>
  <si>
    <t xml:space="preserve">Building 15</t>
  </si>
  <si>
    <t xml:space="preserve">Building 16</t>
  </si>
  <si>
    <t xml:space="preserve">Building 17</t>
  </si>
  <si>
    <t xml:space="preserve">Building 18</t>
  </si>
  <si>
    <t xml:space="preserve">Building 19</t>
  </si>
  <si>
    <t xml:space="preserve">Building 20</t>
  </si>
  <si>
    <t xml:space="preserve">Building 21</t>
  </si>
  <si>
    <t xml:space="preserve">Building 22</t>
  </si>
  <si>
    <t xml:space="preserve">Shed A</t>
  </si>
  <si>
    <t xml:space="preserve">Shed B</t>
  </si>
  <si>
    <t xml:space="preserve">Laundry</t>
  </si>
  <si>
    <t xml:space="preserve">Grand Total</t>
  </si>
  <si>
    <t xml:space="preserve">Property Cost Summary</t>
  </si>
  <si>
    <t xml:space="preserve">7/30/24</t>
  </si>
  <si>
    <t xml:space="preserve">Property - Site</t>
  </si>
  <si>
    <t xml:space="preserve">Property - Building 1</t>
  </si>
  <si>
    <t xml:space="preserve">Property - Building 2</t>
  </si>
  <si>
    <t xml:space="preserve">Property - Building 3</t>
  </si>
  <si>
    <t xml:space="preserve">Property - Building 4</t>
  </si>
  <si>
    <t xml:space="preserve">Property - Building 5</t>
  </si>
  <si>
    <t xml:space="preserve">Property - Building 6</t>
  </si>
  <si>
    <t xml:space="preserve">Property - Building 7</t>
  </si>
  <si>
    <t xml:space="preserve">Property - Building 8</t>
  </si>
  <si>
    <t xml:space="preserve">Property - Building 9</t>
  </si>
  <si>
    <t xml:space="preserve">Property - Building 10</t>
  </si>
  <si>
    <t xml:space="preserve">Property - Building 11</t>
  </si>
  <si>
    <t xml:space="preserve">Property - Building 12</t>
  </si>
  <si>
    <t xml:space="preserve">Property - Building 13</t>
  </si>
  <si>
    <t xml:space="preserve">Property - Building 14</t>
  </si>
  <si>
    <t xml:space="preserve">Property - Building 15</t>
  </si>
  <si>
    <t xml:space="preserve">Property - Building 16</t>
  </si>
  <si>
    <t xml:space="preserve">Property - Building 17</t>
  </si>
  <si>
    <t xml:space="preserve">Property - Building 18</t>
  </si>
  <si>
    <t xml:space="preserve">Property - Building 19</t>
  </si>
  <si>
    <t xml:space="preserve">Property - Building 20</t>
  </si>
  <si>
    <t xml:space="preserve">Property - Building 21</t>
  </si>
  <si>
    <t xml:space="preserve">Property - Building 22</t>
  </si>
  <si>
    <t xml:space="preserve">Property - Shed A</t>
  </si>
  <si>
    <t xml:space="preserve">Property - Shed B</t>
  </si>
  <si>
    <t xml:space="preserve">Property - Laundry</t>
  </si>
  <si>
    <t xml:space="preserve">Section 481(a) Adjustment Summary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</si>
  <si>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</si>
  <si>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</si>
  <si>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</si>
  <si>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Cost Segregation Study - Site</t>
  </si>
  <si>
    <t xml:space="preserve">Report #107752-43</t>
  </si>
  <si>
    <t xml:space="preserve">Acquisition Date:</t>
  </si>
  <si>
    <t xml:space="preserve">River Garden Estates - Site</t>
  </si>
  <si>
    <t xml:space="preserve">Property Category</t>
  </si>
  <si>
    <t xml:space="preserve">Cost</t>
  </si>
  <si>
    <t xml:space="preserve">5 Year</t>
  </si>
  <si>
    <t xml:space="preserve">7 Year</t>
  </si>
  <si>
    <t xml:space="preserve">15 Year</t>
  </si>
  <si>
    <t xml:space="preserve">27.5 Year</t>
  </si>
  <si>
    <t xml:space="preserve">15 yr QIP</t>
  </si>
  <si>
    <t xml:space="preserve">Building Components</t>
  </si>
  <si>
    <t xml:space="preserve">Access Control</t>
  </si>
  <si>
    <t xml:space="preserve">Site Work / Improvements</t>
  </si>
  <si>
    <t xml:space="preserve">Site Drainage</t>
  </si>
  <si>
    <t xml:space="preserve">Parking Lot</t>
  </si>
  <si>
    <t xml:space="preserve">Exterior Signage</t>
  </si>
  <si>
    <t xml:space="preserve">Parking Lot Striping / Barriers</t>
  </si>
  <si>
    <t xml:space="preserve">Sidewalks / Curbs</t>
  </si>
  <si>
    <t xml:space="preserve">Landscaping</t>
  </si>
  <si>
    <t xml:space="preserve">Security Lighting Poles</t>
  </si>
  <si>
    <t xml:space="preserve">Exterior Fencing</t>
  </si>
  <si>
    <t xml:space="preserve">Dumpster Enclosures</t>
  </si>
  <si>
    <t xml:space="preserve">Mailboxes</t>
  </si>
  <si>
    <t xml:space="preserve">Site Utilities</t>
  </si>
  <si>
    <t xml:space="preserve">Total Cost</t>
  </si>
  <si>
    <t xml:space="preserve">Asset Allocation:</t>
  </si>
  <si>
    <t xml:space="preserve">Asset #2-Bldg-712 Northfield</t>
  </si>
  <si>
    <t xml:space="preserve">Asset #3-Land Imp-712 Northfield</t>
  </si>
  <si>
    <t xml:space="preserve">Asset #4-Equip-712 Northfield</t>
  </si>
  <si>
    <t xml:space="preserve">Asset #7-Bldg-2201 Northview</t>
  </si>
  <si>
    <t xml:space="preserve">Asset #8-Land Imp-2201 Northview</t>
  </si>
  <si>
    <t xml:space="preserve">Asset #9-Equip-2201 Northview</t>
  </si>
  <si>
    <t xml:space="preserve">Total Allocation:</t>
  </si>
  <si>
    <t xml:space="preserve">End Depreciation Reconciliation</t>
  </si>
  <si>
    <t xml:space="preserve">Property Description</t>
  </si>
  <si>
    <t xml:space="preserve">Tax Cost</t>
  </si>
  <si>
    <t xml:space="preserve">Tax Bonus Amt</t>
  </si>
  <si>
    <t xml:space="preserve">Tax Prior Depr</t>
  </si>
  <si>
    <t xml:space="preserve">Tax Current Depr</t>
  </si>
  <si>
    <t xml:space="preserve">Tax End Depr</t>
  </si>
  <si>
    <t xml:space="preserve">Tax Net Book Value</t>
  </si>
  <si>
    <t xml:space="preserve">Tax Method</t>
  </si>
  <si>
    <t xml:space="preserve">Tax Period</t>
  </si>
  <si>
    <t xml:space="preserve">2-Bldg-712 Northfield</t>
  </si>
  <si>
    <t xml:space="preserve">S/L</t>
  </si>
  <si>
    <t xml:space="preserve">3-Northfield</t>
  </si>
  <si>
    <t xml:space="preserve">150DB</t>
  </si>
  <si>
    <t xml:space="preserve">4-Northfield</t>
  </si>
  <si>
    <t xml:space="preserve">200DB</t>
  </si>
  <si>
    <t xml:space="preserve">7-Bldg-2202 Northview</t>
  </si>
  <si>
    <t xml:space="preserve">8-Northview</t>
  </si>
  <si>
    <t xml:space="preserve">9-Northview</t>
  </si>
  <si>
    <t xml:space="preserve">After Cost Segregation Correction</t>
  </si>
  <si>
    <t xml:space="preserve">2-Bldg-712 NF-5yr</t>
  </si>
  <si>
    <t xml:space="preserve">2-Bldg-712 NF-15yr</t>
  </si>
  <si>
    <t xml:space="preserve">2-Bldg-712 NF-27.5yr</t>
  </si>
  <si>
    <t xml:space="preserve">3-NF-5yr</t>
  </si>
  <si>
    <t xml:space="preserve">3-NF-15yr</t>
  </si>
  <si>
    <t xml:space="preserve">3-NF-27.5yr</t>
  </si>
  <si>
    <t xml:space="preserve">4-NF-5yr</t>
  </si>
  <si>
    <t xml:space="preserve">4-NF-15yr</t>
  </si>
  <si>
    <t xml:space="preserve">4-NF-27.5yr</t>
  </si>
  <si>
    <t xml:space="preserve">7-Bldg-2201 NV-5yr</t>
  </si>
  <si>
    <t xml:space="preserve">7-Bldg-2201 NV-15yr</t>
  </si>
  <si>
    <t xml:space="preserve">7-Bldg-2201 NV-27.5yr</t>
  </si>
  <si>
    <t xml:space="preserve">8-NV-5yr</t>
  </si>
  <si>
    <t xml:space="preserve">8-NV-15yr</t>
  </si>
  <si>
    <t xml:space="preserve">8-NV-27.5yr</t>
  </si>
  <si>
    <t xml:space="preserve">9-NV-5yr</t>
  </si>
  <si>
    <t xml:space="preserve">9-NV-15yr</t>
  </si>
  <si>
    <t xml:space="preserve">9-NV-27.5yr</t>
  </si>
  <si>
    <t xml:space="preserve">Depreciation Reported Previously</t>
  </si>
  <si>
    <t xml:space="preserve">Cost Segregation Corrected Depreciation</t>
  </si>
  <si>
    <t xml:space="preserve">Cost Segregation Study - Building 1</t>
  </si>
  <si>
    <t xml:space="preserve">River Garden Estates - Building 1</t>
  </si>
  <si>
    <t xml:space="preserve">Cabinets / Millwork</t>
  </si>
  <si>
    <t xml:space="preserve">Moldings</t>
  </si>
  <si>
    <t xml:space="preserve">Flooring - Wood Laminate</t>
  </si>
  <si>
    <t xml:space="preserve">Window Treatments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</si>
  <si>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</si>
  <si>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</si>
  <si>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</si>
  <si>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Sinks</t>
  </si>
  <si>
    <t xml:space="preserve">Security / Exterior Lighting</t>
  </si>
  <si>
    <t xml:space="preserve">Entry Canopies</t>
  </si>
  <si>
    <t xml:space="preserve">Appliances</t>
  </si>
  <si>
    <t xml:space="preserve">Building Structure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</si>
  <si>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</si>
  <si>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</si>
  <si>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</si>
  <si>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</si>
  <si>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</si>
  <si>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</si>
  <si>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</si>
  <si>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</si>
  <si>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</si>
  <si>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</si>
  <si>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</si>
  <si>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</si>
  <si>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Structural Framing</t>
  </si>
  <si>
    <t xml:space="preserve">Asset #3-LI-712 Northfield</t>
  </si>
  <si>
    <t xml:space="preserve">Asset #8-LI-2201 Northview</t>
  </si>
  <si>
    <t xml:space="preserve">2-Bldg-712 NF-Building 1</t>
  </si>
  <si>
    <t xml:space="preserve">3-LI-712 NF-Building 1</t>
  </si>
  <si>
    <t xml:space="preserve">4-Equip-712 NF-Building 1</t>
  </si>
  <si>
    <t xml:space="preserve">7-Bldg-2201 NV-Building 1</t>
  </si>
  <si>
    <t xml:space="preserve">8-LI-2201 NV-Building 1</t>
  </si>
  <si>
    <t xml:space="preserve">9-Equip-2201 NV-Building 1</t>
  </si>
  <si>
    <t xml:space="preserve">2-Bldg-712 NF-5yr-Building 1</t>
  </si>
  <si>
    <t xml:space="preserve">2-Bldg-712 NF-27.5yr-Building 1</t>
  </si>
  <si>
    <t xml:space="preserve">3-LI-712 NF-5yr-Building 1</t>
  </si>
  <si>
    <t xml:space="preserve">3-LI-712 NF-27.5yr-Building 1</t>
  </si>
  <si>
    <t xml:space="preserve">4-Equip-712 NF-5yr-Building 1</t>
  </si>
  <si>
    <t xml:space="preserve">4-Equip-712 NF-27.5yr-Building 1</t>
  </si>
  <si>
    <t xml:space="preserve">7-Bldg-2201 NV-5yr-Building 1</t>
  </si>
  <si>
    <t xml:space="preserve">7-Bldg-2201 NV-27.5yr-Building 1</t>
  </si>
  <si>
    <t xml:space="preserve">8-LI-2201 NV-5yr-Building 1</t>
  </si>
  <si>
    <t xml:space="preserve">8-LI-2201 NV-27.5yr-Building 1</t>
  </si>
  <si>
    <t xml:space="preserve">9-Equip-2201 NV-5yr-Building 1</t>
  </si>
  <si>
    <t xml:space="preserve">9-Equip-2201 NV-27.5yr-Building 1</t>
  </si>
  <si>
    <t xml:space="preserve">Cost Segregation Study - Building 2</t>
  </si>
  <si>
    <t xml:space="preserve">River Garden Estates - Building 2</t>
  </si>
  <si>
    <t xml:space="preserve">2-Bldg-712 NF-Building 2</t>
  </si>
  <si>
    <t xml:space="preserve">3-LI-712 NF-Building 2</t>
  </si>
  <si>
    <t xml:space="preserve">4-Equip-712 NF-Building 2</t>
  </si>
  <si>
    <t xml:space="preserve">7-Bldg-2201 NV-Building 2</t>
  </si>
  <si>
    <t xml:space="preserve">8-LI-2201 NV-Building 2</t>
  </si>
  <si>
    <t xml:space="preserve">9-Equip-2201 NV-Building 2</t>
  </si>
  <si>
    <t xml:space="preserve">2-Bldg-712 NF-5yr-Building 2</t>
  </si>
  <si>
    <t xml:space="preserve">2-Bldg-712 NF-27.5yr-Building 2</t>
  </si>
  <si>
    <t xml:space="preserve">3-LI-712 NF-5yr-Building 2</t>
  </si>
  <si>
    <t xml:space="preserve">3-LI-712 NF-27.5yr-Building 2</t>
  </si>
  <si>
    <t xml:space="preserve">4-Equip-712 NF-5yr-Building 2</t>
  </si>
  <si>
    <t xml:space="preserve">4-Equip-712 NF-27.5yr-Building 2</t>
  </si>
  <si>
    <t xml:space="preserve">7-Bldg-2201 NV-5yr-Building 2</t>
  </si>
  <si>
    <t xml:space="preserve">7-Bldg-2201 NV-27.5yr-Building 2</t>
  </si>
  <si>
    <t xml:space="preserve">8-LI-2201 NV-5yr-Building 2</t>
  </si>
  <si>
    <t xml:space="preserve">8-LI-2201 NV-27.5yr-Building 2</t>
  </si>
  <si>
    <t xml:space="preserve">9-Equip-2201 NV-5yr-Building 2</t>
  </si>
  <si>
    <t xml:space="preserve">9-Equip-2201 NV-27.5yr-Building 2</t>
  </si>
  <si>
    <t xml:space="preserve">Cost Segregation Study - Building 3</t>
  </si>
  <si>
    <t xml:space="preserve">River Garden Estates - Building 3</t>
  </si>
  <si>
    <t xml:space="preserve">2-Bldg-712 NF-Building 3</t>
  </si>
  <si>
    <t xml:space="preserve">3-LI-712 NF-Building 3</t>
  </si>
  <si>
    <t xml:space="preserve">4-Equip-712 NF-Building 3</t>
  </si>
  <si>
    <t xml:space="preserve">7-Bldg-2201 NV-Building 3</t>
  </si>
  <si>
    <t xml:space="preserve">8-LI-2201 NV-Building 3</t>
  </si>
  <si>
    <t xml:space="preserve">9-Equip-2201 NV-Building 3</t>
  </si>
  <si>
    <t xml:space="preserve">2-Bldg-712 NF-5yr-Building 3</t>
  </si>
  <si>
    <t xml:space="preserve">2-Bldg-712 NF-27.5yr-Building 3</t>
  </si>
  <si>
    <t xml:space="preserve">3-LI-712 NF-5yr-Building 3</t>
  </si>
  <si>
    <t xml:space="preserve">3-LI-712 NF-27.5yr-Building 3</t>
  </si>
  <si>
    <t xml:space="preserve">4-Equip-712 NF-5yr-Building 3</t>
  </si>
  <si>
    <t xml:space="preserve">4-Equip-712 NF-27.5yr-Building 3</t>
  </si>
  <si>
    <t xml:space="preserve">7-Bldg-2201 NV-5yr-Building 3</t>
  </si>
  <si>
    <t xml:space="preserve">7-Bldg-2201 NV-27.5yr-Building 3</t>
  </si>
  <si>
    <t xml:space="preserve">8-LI-2201 NV-5yr-Building 3</t>
  </si>
  <si>
    <t xml:space="preserve">8-LI-2201 NV-27.5yr-Building 3</t>
  </si>
  <si>
    <t xml:space="preserve">9-Equip-2201 NV-5yr-Building 3</t>
  </si>
  <si>
    <t xml:space="preserve">9-Equip-2201 NV-27.5yr-Building 3</t>
  </si>
  <si>
    <t xml:space="preserve">Cost Segregation Study - Building 4</t>
  </si>
  <si>
    <t xml:space="preserve">River Garden Estates - Building 4</t>
  </si>
  <si>
    <t xml:space="preserve">2-Bldg-712 NF-Building 4</t>
  </si>
  <si>
    <t xml:space="preserve">3-LI-712 NF-Building 4</t>
  </si>
  <si>
    <t xml:space="preserve">4-Equip-712 NF-Building 4</t>
  </si>
  <si>
    <t xml:space="preserve">7-Bldg-2201 NV-Building 4</t>
  </si>
  <si>
    <t xml:space="preserve">8-LI-2201 NV-Building 4</t>
  </si>
  <si>
    <t xml:space="preserve">9-Equip-2201 NV-Building 4</t>
  </si>
  <si>
    <t xml:space="preserve">2-Bldg-712 NF-5yr-Building 4</t>
  </si>
  <si>
    <t xml:space="preserve">2-Bldg-712 NF-27.5yr-Building 4</t>
  </si>
  <si>
    <t xml:space="preserve">3-LI-712 NF-5yr-Building 4</t>
  </si>
  <si>
    <t xml:space="preserve">3-LI-712 NF-27.5yr-Building 4</t>
  </si>
  <si>
    <t xml:space="preserve">4-Equip-712 NF-5yr-Building 4</t>
  </si>
  <si>
    <t xml:space="preserve">4-Equip-712 NF-27.5yr-Building 4</t>
  </si>
  <si>
    <t xml:space="preserve">7-Bldg-2201 NV-5yr-Building 4</t>
  </si>
  <si>
    <t xml:space="preserve">7-Bldg-2201 NV-27.5yr-Building 4</t>
  </si>
  <si>
    <t xml:space="preserve">8-LI-2201 NV-5yr-Building 4</t>
  </si>
  <si>
    <t xml:space="preserve">8-LI-2201 NV-27.5yr-Building 4</t>
  </si>
  <si>
    <t xml:space="preserve">9-Equip-2201 NV-5yr-Building 4</t>
  </si>
  <si>
    <t xml:space="preserve">9-Equip-2201 NV-27.5yr-Building 4</t>
  </si>
  <si>
    <t xml:space="preserve">Cost Segregation Study - Building 5</t>
  </si>
  <si>
    <t xml:space="preserve">River Garden Estates - Building 5</t>
  </si>
  <si>
    <t xml:space="preserve">2-Bldg-712 NF-Building 5</t>
  </si>
  <si>
    <t xml:space="preserve">3-LI-712 NF-Building 5</t>
  </si>
  <si>
    <t xml:space="preserve">4-Equip-712 NF-Building 5</t>
  </si>
  <si>
    <t xml:space="preserve">7-Bldg-2201 NV-Building 5</t>
  </si>
  <si>
    <t xml:space="preserve">8-LI-2201 NV-Building 5</t>
  </si>
  <si>
    <t xml:space="preserve">9-Equip-2201 NV-Building 5</t>
  </si>
  <si>
    <t xml:space="preserve">2-Bldg-712 NF-5yr-Building 5</t>
  </si>
  <si>
    <t xml:space="preserve">2-Bldg-712 NF-27.5yr-Building 5</t>
  </si>
  <si>
    <t xml:space="preserve">3-LI-712 NF-5yr-Building 5</t>
  </si>
  <si>
    <t xml:space="preserve">3-LI-712 NF-27.5yr-Building 5</t>
  </si>
  <si>
    <t xml:space="preserve">4-Equip-712 NF-5yr-Building 5</t>
  </si>
  <si>
    <t xml:space="preserve">4-Equip-712 NF-27.5yr-Building 5</t>
  </si>
  <si>
    <t xml:space="preserve">7-Bldg-2201 NV-5yr-Building 5</t>
  </si>
  <si>
    <t xml:space="preserve">7-Bldg-2201 NV-27.5yr-Building 5</t>
  </si>
  <si>
    <t xml:space="preserve">8-LI-2201 NV-5yr-Building 5</t>
  </si>
  <si>
    <t xml:space="preserve">8-LI-2201 NV-27.5yr-Building 5</t>
  </si>
  <si>
    <t xml:space="preserve">9-Equip-2201 NV-5yr-Building 5</t>
  </si>
  <si>
    <t xml:space="preserve">9-Equip-2201 NV-27.5yr-Building 5</t>
  </si>
  <si>
    <t xml:space="preserve">Cost Segregation Study - Building 6</t>
  </si>
  <si>
    <t xml:space="preserve">River Garden Estates - Building 6</t>
  </si>
  <si>
    <t xml:space="preserve">2-Bldg-712 NF-Building 6</t>
  </si>
  <si>
    <t xml:space="preserve">3-LI-712 NF-Building 6</t>
  </si>
  <si>
    <t xml:space="preserve">4-Equip-712 NF-Building 6</t>
  </si>
  <si>
    <t xml:space="preserve">7-Bldg-2201 NV-Building 6</t>
  </si>
  <si>
    <t xml:space="preserve">8-LI-2201 NV-Building 6</t>
  </si>
  <si>
    <t xml:space="preserve">9-Equip-2201 NV-Building 6</t>
  </si>
  <si>
    <t xml:space="preserve">2-Bldg-712 NF-5yr-Building 6</t>
  </si>
  <si>
    <t xml:space="preserve">2-Bldg-712 NF-27.5yr-Building 6</t>
  </si>
  <si>
    <t xml:space="preserve">3-LI-712 NF-5yr-Building 6</t>
  </si>
  <si>
    <t xml:space="preserve">3-LI-712 NF-27.5yr-Building 6</t>
  </si>
  <si>
    <t xml:space="preserve">4-Equip-712 NF-5yr-Building 6</t>
  </si>
  <si>
    <t xml:space="preserve">4-Equip-712 NF-27.5yr-Building 6</t>
  </si>
  <si>
    <t xml:space="preserve">7-Bldg-2201 NV-5yr-Building 6</t>
  </si>
  <si>
    <t xml:space="preserve">7-Bldg-2201 NV-27.5yr-Building 6</t>
  </si>
  <si>
    <t xml:space="preserve">8-LI-2201 NV-5yr-Building 6</t>
  </si>
  <si>
    <t xml:space="preserve">8-LI-2201 NV-27.5yr-Building 6</t>
  </si>
  <si>
    <t xml:space="preserve">9-Equip-2201 NV-5yr-Building 6</t>
  </si>
  <si>
    <t xml:space="preserve">9-Equip-2201 NV-27.5yr-Building 6</t>
  </si>
  <si>
    <t xml:space="preserve">Cost Segregation Study - Building 7</t>
  </si>
  <si>
    <t xml:space="preserve">River Garden Estates - Building 7</t>
  </si>
  <si>
    <t xml:space="preserve">2-Bldg-712 NF-Building 7</t>
  </si>
  <si>
    <t xml:space="preserve">3-LI-712 NF-Building 7</t>
  </si>
  <si>
    <t xml:space="preserve">4-Equip-712 NF-Building 7</t>
  </si>
  <si>
    <t xml:space="preserve">7-Bldg-2201 NV-Building 7</t>
  </si>
  <si>
    <t xml:space="preserve">8-LI-2201 NV-Building 7</t>
  </si>
  <si>
    <t xml:space="preserve">9-Equip-2201 NV-Building 7</t>
  </si>
  <si>
    <t xml:space="preserve">2-Bldg-712 NF-5yr-Building 7</t>
  </si>
  <si>
    <t xml:space="preserve">2-Bldg-712 NF-27.5yr-Building 7</t>
  </si>
  <si>
    <t xml:space="preserve">3-LI-712 NF-5yr-Building 7</t>
  </si>
  <si>
    <t xml:space="preserve">3-LI-712 NF-27.5yr-Building 7</t>
  </si>
  <si>
    <t xml:space="preserve">4-Equip-712 NF-5yr-Building 7</t>
  </si>
  <si>
    <t xml:space="preserve">4-Equip-712 NF-27.5yr-Building 7</t>
  </si>
  <si>
    <t xml:space="preserve">7-Bldg-2201 NV-5yr-Building 7</t>
  </si>
  <si>
    <t xml:space="preserve">7-Bldg-2201 NV-27.5yr-Building 7</t>
  </si>
  <si>
    <t xml:space="preserve">8-LI-2201 NV-5yr-Building 7</t>
  </si>
  <si>
    <t xml:space="preserve">8-LI-2201 NV-27.5yr-Building 7</t>
  </si>
  <si>
    <t xml:space="preserve">9-Equip-2201 NV-5yr-Building 7</t>
  </si>
  <si>
    <t xml:space="preserve">9-Equip-2201 NV-27.5yr-Building 7</t>
  </si>
  <si>
    <t xml:space="preserve">Cost Segregation Study - Building 8</t>
  </si>
  <si>
    <t xml:space="preserve">River Garden Estates - Building 8</t>
  </si>
  <si>
    <t xml:space="preserve">2-Bldg-712 NF-Building 8</t>
  </si>
  <si>
    <t xml:space="preserve">3-LI-712 NF-Building 8</t>
  </si>
  <si>
    <t xml:space="preserve">4-Equip-712 NF-Building 8</t>
  </si>
  <si>
    <t xml:space="preserve">7-Bldg-2201 NV-Building 8</t>
  </si>
  <si>
    <t xml:space="preserve">8-LI-2201 NV-Building 8</t>
  </si>
  <si>
    <t xml:space="preserve">9-Equip-2201 NV-Building 8</t>
  </si>
  <si>
    <t xml:space="preserve">2-Bldg-712 NF-5yr-Building 8</t>
  </si>
  <si>
    <t xml:space="preserve">2-Bldg-712 NF-27.5yr-Building 8</t>
  </si>
  <si>
    <t xml:space="preserve">3-LI-712 NF-5yr-Building 8</t>
  </si>
  <si>
    <t xml:space="preserve">3-LI-712 NF-27.5yr-Building 8</t>
  </si>
  <si>
    <t xml:space="preserve">4-Equip-712 NF-5yr-Building 8</t>
  </si>
  <si>
    <t xml:space="preserve">4-Equip-712 NF-27.5yr-Building 8</t>
  </si>
  <si>
    <t xml:space="preserve">7-Bldg-2201 NV-5yr-Building 8</t>
  </si>
  <si>
    <t xml:space="preserve">7-Bldg-2201 NV-27.5yr-Building 8</t>
  </si>
  <si>
    <t xml:space="preserve">8-LI-2201 NV-5yr-Building 8</t>
  </si>
  <si>
    <t xml:space="preserve">8-LI-2201 NV-27.5yr-Building 8</t>
  </si>
  <si>
    <t xml:space="preserve">9-Equip-2201 NV-5yr-Building 8</t>
  </si>
  <si>
    <t xml:space="preserve">9-Equip-2201 NV-27.5yr-Building 8</t>
  </si>
  <si>
    <t xml:space="preserve">Cost Segregation Study - Building 9</t>
  </si>
  <si>
    <t xml:space="preserve">River Garden Estates - Building 9</t>
  </si>
  <si>
    <t xml:space="preserve">2-Bldg-712 NF-Building 9</t>
  </si>
  <si>
    <t xml:space="preserve">3-LI-712 NF-Building 9</t>
  </si>
  <si>
    <t xml:space="preserve">4-Equip-712 NF-Building 9</t>
  </si>
  <si>
    <t xml:space="preserve">7-Bldg-2201 NV-Building 9</t>
  </si>
  <si>
    <t xml:space="preserve">8-LI-2201 NV-Building 9</t>
  </si>
  <si>
    <t xml:space="preserve">9-Equip-2201 NV-Building 9</t>
  </si>
  <si>
    <t xml:space="preserve">2-Bldg-712 NF-5yr-Building 9</t>
  </si>
  <si>
    <t xml:space="preserve">2-Bldg-712 NF-27.5yr-Building 9</t>
  </si>
  <si>
    <t xml:space="preserve">3-LI-712 NF-5yr-Building 9</t>
  </si>
  <si>
    <t xml:space="preserve">3-LI-712 NF-27.5yr-Building 9</t>
  </si>
  <si>
    <t xml:space="preserve">4-Equip-712 NF-5yr-Building 9</t>
  </si>
  <si>
    <t xml:space="preserve">4-Equip-712 NF-27.5yr-Building 9</t>
  </si>
  <si>
    <t xml:space="preserve">7-Bldg-2201 NV-5yr-Building 9</t>
  </si>
  <si>
    <t xml:space="preserve">7-Bldg-2201 NV-27.5yr-Building 9</t>
  </si>
  <si>
    <t xml:space="preserve">8-LI-2201 NV-5yr-Building 9</t>
  </si>
  <si>
    <t xml:space="preserve">8-LI-2201 NV-27.5yr-Building 9</t>
  </si>
  <si>
    <t xml:space="preserve">9-Equip-2201 NV-5yr-Building 9</t>
  </si>
  <si>
    <t xml:space="preserve">9-Equip-2201 NV-27.5yr-Building 9</t>
  </si>
  <si>
    <t xml:space="preserve">Cost Segregation Study - Building 10</t>
  </si>
  <si>
    <t xml:space="preserve">River Garden Estates - Building 10</t>
  </si>
  <si>
    <t xml:space="preserve">2-Bldg-712 NF-Building 10</t>
  </si>
  <si>
    <t xml:space="preserve">3-LI-712 NF-Building 10</t>
  </si>
  <si>
    <t xml:space="preserve">4-Equip-712 NF-Building 10</t>
  </si>
  <si>
    <t xml:space="preserve">7-Bldg-2201 NV-Building 10</t>
  </si>
  <si>
    <t xml:space="preserve">8-LI-2201 NV-Building 10</t>
  </si>
  <si>
    <t xml:space="preserve">9-Equip-2201 NV-Building 10</t>
  </si>
  <si>
    <t xml:space="preserve">2-Bldg-712 NF-5yr-Building 10</t>
  </si>
  <si>
    <t xml:space="preserve">2-Bldg-712 NF-27.5yr-Building 10</t>
  </si>
  <si>
    <t xml:space="preserve">3-LI-712 NF-5yr-Building 10</t>
  </si>
  <si>
    <t xml:space="preserve">3-LI-712 NF-27.5yr-Building 10</t>
  </si>
  <si>
    <t xml:space="preserve">4-Equip-712 NF-5yr-Building 10</t>
  </si>
  <si>
    <t xml:space="preserve">4-Equip-712 NF-27.5yr-Building 10</t>
  </si>
  <si>
    <t xml:space="preserve">7-Bldg-2201 NV-5yr-Building 10</t>
  </si>
  <si>
    <t xml:space="preserve">7-Bldg-2201 NV-27.5yr-Building 10</t>
  </si>
  <si>
    <t xml:space="preserve">8-LI-2201 NV-5yr-Building 10</t>
  </si>
  <si>
    <t xml:space="preserve">8-LI-2201 NV-27.5yr-Building 10</t>
  </si>
  <si>
    <t xml:space="preserve">9-Equip-2201 NV-5yr-Building 10</t>
  </si>
  <si>
    <t xml:space="preserve">9-Equip-2201 NV-27.5yr-Building 10</t>
  </si>
  <si>
    <t xml:space="preserve">Cost Segregation Study - Building 11</t>
  </si>
  <si>
    <t xml:space="preserve">River Garden Estates - Building 11</t>
  </si>
  <si>
    <t xml:space="preserve">2-Bldg-712 NF-Building 11</t>
  </si>
  <si>
    <t xml:space="preserve">3-LI-712 NF-Building 11</t>
  </si>
  <si>
    <t xml:space="preserve">4-Equip-712 NF-Building 11</t>
  </si>
  <si>
    <t xml:space="preserve">7-Bldg-2201 NV-Building 11</t>
  </si>
  <si>
    <t xml:space="preserve">8-LI-2201 NV-Building 11</t>
  </si>
  <si>
    <t xml:space="preserve">9-Equip-2201 NV-Building 11</t>
  </si>
  <si>
    <t xml:space="preserve">2-Bldg-712 NF-5yr-Building 11</t>
  </si>
  <si>
    <t xml:space="preserve">2-Bldg-712 NF-27.5yr-Building 11</t>
  </si>
  <si>
    <t xml:space="preserve">3-LI-712 NF-5yr-Building 11</t>
  </si>
  <si>
    <t xml:space="preserve">3-LI-712 NF-27.5yr-Building 11</t>
  </si>
  <si>
    <t xml:space="preserve">4-Equip-712 NF-5yr-Building 11</t>
  </si>
  <si>
    <t xml:space="preserve">4-Equip-712 NF-27.5yr-Building 11</t>
  </si>
  <si>
    <t xml:space="preserve">7-Bldg-2201 NV-5yr-Building 11</t>
  </si>
  <si>
    <t xml:space="preserve">7-Bldg-2201 NV-27.5yr-Building 11</t>
  </si>
  <si>
    <t xml:space="preserve">8-LI-2201 NV-5yr-Building 11</t>
  </si>
  <si>
    <t xml:space="preserve">8-LI-2201 NV-27.5yr-Building 11</t>
  </si>
  <si>
    <t xml:space="preserve">9-Equip-2201 NV-5yr-Building 11</t>
  </si>
  <si>
    <t xml:space="preserve">9-Equip-2201 NV-27.5yr-Building 11</t>
  </si>
  <si>
    <t xml:space="preserve">Cost Segregation Study - Building 12</t>
  </si>
  <si>
    <t xml:space="preserve">River Garden Estates - Building 12</t>
  </si>
  <si>
    <t xml:space="preserve">2-Bldg-712 NF-Building 12</t>
  </si>
  <si>
    <t xml:space="preserve">3-LI-712 NF-Building 12</t>
  </si>
  <si>
    <t xml:space="preserve">4-Equip-712 NF-Building 12</t>
  </si>
  <si>
    <t xml:space="preserve">7-Bldg-2201 NV-Building 12</t>
  </si>
  <si>
    <t xml:space="preserve">8-LI-2201 NV-Building 12</t>
  </si>
  <si>
    <t xml:space="preserve">9-Equip-2201 NV-Building 12</t>
  </si>
  <si>
    <t xml:space="preserve">2-Bldg-712 NF-5yr-Building 12</t>
  </si>
  <si>
    <t xml:space="preserve">2-Bldg-712 NF-27.5yr-Building 12</t>
  </si>
  <si>
    <t xml:space="preserve">3-LI-712 NF-5yr-Building 12</t>
  </si>
  <si>
    <t xml:space="preserve">3-LI-712 NF-27.5yr-Building 12</t>
  </si>
  <si>
    <t xml:space="preserve">4-Equip-712 NF-5yr-Building 12</t>
  </si>
  <si>
    <t xml:space="preserve">4-Equip-712 NF-27.5yr-Building 12</t>
  </si>
  <si>
    <t xml:space="preserve">7-Bldg-2201 NV-5yr-Building 12</t>
  </si>
  <si>
    <t xml:space="preserve">7-Bldg-2201 NV-27.5yr-Building 12</t>
  </si>
  <si>
    <t xml:space="preserve">8-LI-2201 NV-5yr-Building 12</t>
  </si>
  <si>
    <t xml:space="preserve">8-LI-2201 NV-27.5yr-Building 12</t>
  </si>
  <si>
    <t xml:space="preserve">9-Equip-2201 NV-5yr-Building 12</t>
  </si>
  <si>
    <t xml:space="preserve">9-Equip-2201 NV-27.5yr-Building 12</t>
  </si>
  <si>
    <t xml:space="preserve">Cost Segregation Study - Building 13</t>
  </si>
  <si>
    <t xml:space="preserve">River Garden Estates - Building 13</t>
  </si>
  <si>
    <t xml:space="preserve">2-Bldg-712 NF-Building 13</t>
  </si>
  <si>
    <t xml:space="preserve">3-LI-712 NF-Building 13</t>
  </si>
  <si>
    <t xml:space="preserve">4-Equip-712 NF-Building 13</t>
  </si>
  <si>
    <t xml:space="preserve">7-Bldg-2201 NV-Building 13</t>
  </si>
  <si>
    <t xml:space="preserve">8-LI-2201 NV-Building 13</t>
  </si>
  <si>
    <t xml:space="preserve">9-Equip-2201 NV-Building 13</t>
  </si>
  <si>
    <t xml:space="preserve">2-Bldg-712 NF-5yr-Building 13</t>
  </si>
  <si>
    <t xml:space="preserve">2-Bldg-712 NF-27.5yr-Building 13</t>
  </si>
  <si>
    <t xml:space="preserve">3-LI-712 NF-5yr-Building 13</t>
  </si>
  <si>
    <t xml:space="preserve">3-LI-712 NF-27.5yr-Building 13</t>
  </si>
  <si>
    <t xml:space="preserve">4-Equip-712 NF-5yr-Building 13</t>
  </si>
  <si>
    <t xml:space="preserve">4-Equip-712 NF-27.5yr-Building 13</t>
  </si>
  <si>
    <t xml:space="preserve">7-Bldg-2201 NV-5yr-Building 13</t>
  </si>
  <si>
    <t xml:space="preserve">7-Bldg-2201 NV-27.5yr-Building 13</t>
  </si>
  <si>
    <t xml:space="preserve">8-LI-2201 NV-5yr-Building 13</t>
  </si>
  <si>
    <t xml:space="preserve">8-LI-2201 NV-27.5yr-Building 13</t>
  </si>
  <si>
    <t xml:space="preserve">9-Equip-2201 NV-5yr-Building 13</t>
  </si>
  <si>
    <t xml:space="preserve">9-Equip-2201 NV-27.5yr-Building 13</t>
  </si>
  <si>
    <t xml:space="preserve">Cost Segregation Study - Building 14</t>
  </si>
  <si>
    <t xml:space="preserve">River Garden Estates - Building 14</t>
  </si>
  <si>
    <t xml:space="preserve">2-Bldg-712 NF-Building 14</t>
  </si>
  <si>
    <t xml:space="preserve">3-LI-712 NF-Building 14</t>
  </si>
  <si>
    <t xml:space="preserve">4-Equip-712 NF-Building 14</t>
  </si>
  <si>
    <t xml:space="preserve">7-Bldg-2201 NV-Building 14</t>
  </si>
  <si>
    <t xml:space="preserve">8-LI-2201 NV-Building 14</t>
  </si>
  <si>
    <t xml:space="preserve">9-Equip-2201 NV-Building 14</t>
  </si>
  <si>
    <t xml:space="preserve">2-Bldg-712 NF-5yr-Building 14</t>
  </si>
  <si>
    <t xml:space="preserve">2-Bldg-712 NF-27.5yr-Building 14</t>
  </si>
  <si>
    <t xml:space="preserve">3-LI-712 NF-5yr-Building 14</t>
  </si>
  <si>
    <t xml:space="preserve">3-LI-712 NF-27.5yr-Building 14</t>
  </si>
  <si>
    <t xml:space="preserve">4-Equip-712 NF-5yr-Building 14</t>
  </si>
  <si>
    <t xml:space="preserve">4-Equip-712 NF-27.5yr-Building 14</t>
  </si>
  <si>
    <t xml:space="preserve">7-Bldg-2201 NV-5yr-Building 14</t>
  </si>
  <si>
    <t xml:space="preserve">7-Bldg-2201 NV-27.5yr-Building 14</t>
  </si>
  <si>
    <t xml:space="preserve">8-LI-2201 NV-5yr-Building 14</t>
  </si>
  <si>
    <t xml:space="preserve">8-LI-2201 NV-27.5yr-Building 14</t>
  </si>
  <si>
    <t xml:space="preserve">9-Equip-2201 NV-5yr-Building 14</t>
  </si>
  <si>
    <t xml:space="preserve">9-Equip-2201 NV-27.5yr-Building 14</t>
  </si>
  <si>
    <t xml:space="preserve">Cost Segregation Study - Building 15</t>
  </si>
  <si>
    <t xml:space="preserve">River Garden Estates - Building 15</t>
  </si>
  <si>
    <t xml:space="preserve">2-Bldg-712 NF-Building 15</t>
  </si>
  <si>
    <t xml:space="preserve">3-LI-712 NF-Building 15</t>
  </si>
  <si>
    <t xml:space="preserve">4-Equip-712 NF-Building 15</t>
  </si>
  <si>
    <t xml:space="preserve">7-Bldg-2201 NV-Building 15</t>
  </si>
  <si>
    <t xml:space="preserve">8-LI-2201 NV-Building 15</t>
  </si>
  <si>
    <t xml:space="preserve">9-Equip-2201 NV-Building 15</t>
  </si>
  <si>
    <t xml:space="preserve">2-Bldg-712 NF-5yr-Building 15</t>
  </si>
  <si>
    <t xml:space="preserve">2-Bldg-712 NF-27.5yr-Building 15</t>
  </si>
  <si>
    <t xml:space="preserve">3-LI-712 NF-5yr-Building 15</t>
  </si>
  <si>
    <t xml:space="preserve">3-LI-712 NF-27.5yr-Building 15</t>
  </si>
  <si>
    <t xml:space="preserve">4-Equip-712 NF-5yr-Building 15</t>
  </si>
  <si>
    <t xml:space="preserve">4-Equip-712 NF-27.5yr-Building 15</t>
  </si>
  <si>
    <t xml:space="preserve">7-Bldg-2201 NV-5yr-Building 15</t>
  </si>
  <si>
    <t xml:space="preserve">7-Bldg-2201 NV-27.5yr-Building 15</t>
  </si>
  <si>
    <t xml:space="preserve">8-LI-2201 NV-5yr-Building 15</t>
  </si>
  <si>
    <t xml:space="preserve">8-LI-2201 NV-27.5yr-Building 15</t>
  </si>
  <si>
    <t xml:space="preserve">9-Equip-2201 NV-5yr-Building 15</t>
  </si>
  <si>
    <t xml:space="preserve">9-Equip-2201 NV-27.5yr-Building 15</t>
  </si>
  <si>
    <t xml:space="preserve">Cost Segregation Study - Building 16</t>
  </si>
  <si>
    <t xml:space="preserve">River Garden Estates - Building 16</t>
  </si>
  <si>
    <t xml:space="preserve">2-Bldg-712 NF-Building 16</t>
  </si>
  <si>
    <t xml:space="preserve">3-LI-712 NF-Building 16</t>
  </si>
  <si>
    <t xml:space="preserve">4-Equip-712 NF-Building 16</t>
  </si>
  <si>
    <t xml:space="preserve">7-Bldg-2201 NV-Building 16</t>
  </si>
  <si>
    <t xml:space="preserve">8-LI-2201 NV-Building 16</t>
  </si>
  <si>
    <t xml:space="preserve">9-Equip-2201 NV-Building 16</t>
  </si>
  <si>
    <t xml:space="preserve">2-Bldg-712 NF-5yr-Building 16</t>
  </si>
  <si>
    <t xml:space="preserve">2-Bldg-712 NF-27.5yr-Building 16</t>
  </si>
  <si>
    <t xml:space="preserve">3-LI-712 NF-5yr-Building 16</t>
  </si>
  <si>
    <t xml:space="preserve">3-LI-712 NF-27.5yr-Building 16</t>
  </si>
  <si>
    <t xml:space="preserve">4-Equip-712 NF-5yr-Building 16</t>
  </si>
  <si>
    <t xml:space="preserve">4-Equip-712 NF-27.5yr-Building 16</t>
  </si>
  <si>
    <t xml:space="preserve">7-Bldg-2201 NV-5yr-Building 16</t>
  </si>
  <si>
    <t xml:space="preserve">7-Bldg-2201 NV-27.5yr-Building 16</t>
  </si>
  <si>
    <t xml:space="preserve">8-LI-2201 NV-5yr-Building 16</t>
  </si>
  <si>
    <t xml:space="preserve">8-LI-2201 NV-27.5yr-Building 16</t>
  </si>
  <si>
    <t xml:space="preserve">9-Equip-2201 NV-5yr-Building 16</t>
  </si>
  <si>
    <t xml:space="preserve">9-Equip-2201 NV-27.5yr-Building 16</t>
  </si>
  <si>
    <t xml:space="preserve">Cost Segregation Study - Building 17</t>
  </si>
  <si>
    <t xml:space="preserve">River Garden Estates - Building 17</t>
  </si>
  <si>
    <t xml:space="preserve">2-Bldg-712 NF-Building 17</t>
  </si>
  <si>
    <t xml:space="preserve">3-LI-712 NF-Building 17</t>
  </si>
  <si>
    <t xml:space="preserve">4-Equip-712 NF-Building 17</t>
  </si>
  <si>
    <t xml:space="preserve">7-Bldg-2201 NV-Building 17</t>
  </si>
  <si>
    <t xml:space="preserve">8-LI-2201 NV-Building 17</t>
  </si>
  <si>
    <t xml:space="preserve">9-Equip-2201 NV-Building 17</t>
  </si>
  <si>
    <t xml:space="preserve">2-Bldg-712 NF-5yr-Building 17</t>
  </si>
  <si>
    <t xml:space="preserve">2-Bldg-712 NF-27.5yr-Building 17</t>
  </si>
  <si>
    <t xml:space="preserve">3-LI-712 NF-5yr-Building 17</t>
  </si>
  <si>
    <t xml:space="preserve">3-LI-712 NF-27.5yr-Building 17</t>
  </si>
  <si>
    <t xml:space="preserve">4-Equip-712 NF-5yr-Building 17</t>
  </si>
  <si>
    <t xml:space="preserve">4-Equip-712 NF-27.5yr-Building 17</t>
  </si>
  <si>
    <t xml:space="preserve">7-Bldg-2201 NV-5yr-Building 17</t>
  </si>
  <si>
    <t xml:space="preserve">7-Bldg-2201 NV-27.5yr-Building 17</t>
  </si>
  <si>
    <t xml:space="preserve">8-LI-2201 NV-5yr-Building 17</t>
  </si>
  <si>
    <t xml:space="preserve">8-LI-2201 NV-27.5yr-Building 17</t>
  </si>
  <si>
    <t xml:space="preserve">9-Equip-2201 NV-5yr-Building 17</t>
  </si>
  <si>
    <t xml:space="preserve">9-Equip-2201 NV-27.5yr-Building 17</t>
  </si>
  <si>
    <t xml:space="preserve">Cost Segregation Study - Building 18</t>
  </si>
  <si>
    <t xml:space="preserve">River Garden Estates - Building 18</t>
  </si>
  <si>
    <t xml:space="preserve">2-Bldg-712 NF-Building 18</t>
  </si>
  <si>
    <t xml:space="preserve">3-LI-712 NF-Building 18</t>
  </si>
  <si>
    <t xml:space="preserve">4-Equip-712 NF-Building 18</t>
  </si>
  <si>
    <t xml:space="preserve">7-Bldg-2201 NV-Building 18</t>
  </si>
  <si>
    <t xml:space="preserve">8-LI-2201 NV-Building 18</t>
  </si>
  <si>
    <t xml:space="preserve">9-Equip-2201 NV-Building 18</t>
  </si>
  <si>
    <t xml:space="preserve">2-Bldg-712 NF-5yr-Building 18</t>
  </si>
  <si>
    <t xml:space="preserve">2-Bldg-712 NF-27.5yr-Building 18</t>
  </si>
  <si>
    <t xml:space="preserve">3-LI-712 NF-5yr-Building 18</t>
  </si>
  <si>
    <t xml:space="preserve">3-LI-712 NF-27.5yr-Building 18</t>
  </si>
  <si>
    <t xml:space="preserve">4-Equip-712 NF-5yr-Building 18</t>
  </si>
  <si>
    <t xml:space="preserve">4-Equip-712 NF-27.5yr-Building 18</t>
  </si>
  <si>
    <t xml:space="preserve">7-Bldg-2201 NV-5yr-Building 18</t>
  </si>
  <si>
    <t xml:space="preserve">7-Bldg-2201 NV-27.5yr-Building 18</t>
  </si>
  <si>
    <t xml:space="preserve">8-LI-2201 NV-5yr-Building 18</t>
  </si>
  <si>
    <t xml:space="preserve">8-LI-2201 NV-27.5yr-Building 18</t>
  </si>
  <si>
    <t xml:space="preserve">9-Equip-2201 NV-5yr-Building 18</t>
  </si>
  <si>
    <t xml:space="preserve">9-Equip-2201 NV-27.5yr-Building 18</t>
  </si>
  <si>
    <t xml:space="preserve">Cost Segregation Study - Building 19</t>
  </si>
  <si>
    <t xml:space="preserve">River Garden Estates - Building 19</t>
  </si>
  <si>
    <t xml:space="preserve">2-Bldg-712 NF-Building 19</t>
  </si>
  <si>
    <t xml:space="preserve">3-LI-712 NF-Building 19</t>
  </si>
  <si>
    <t xml:space="preserve">4-Equip-712 NF-Building 19</t>
  </si>
  <si>
    <t xml:space="preserve">7-Bldg-2201 NV-Building 19</t>
  </si>
  <si>
    <t xml:space="preserve">8-LI-2201 NV-Building 19</t>
  </si>
  <si>
    <t xml:space="preserve">9-Equip-2201 NV-Building 19</t>
  </si>
  <si>
    <t xml:space="preserve">2-Bldg-712 NF-5yr-Building 19</t>
  </si>
  <si>
    <t xml:space="preserve">2-Bldg-712 NF-27.5yr-Building 19</t>
  </si>
  <si>
    <t xml:space="preserve">3-LI-712 NF-5yr-Building 19</t>
  </si>
  <si>
    <t xml:space="preserve">3-LI-712 NF-27.5yr-Building 19</t>
  </si>
  <si>
    <t xml:space="preserve">4-Equip-712 NF-5yr-Building 19</t>
  </si>
  <si>
    <t xml:space="preserve">4-Equip-712 NF-27.5yr-Building 19</t>
  </si>
  <si>
    <t xml:space="preserve">7-Bldg-2201 NV-5yr-Building 19</t>
  </si>
  <si>
    <t xml:space="preserve">7-Bldg-2201 NV-27.5yr-Building 19</t>
  </si>
  <si>
    <t xml:space="preserve">8-LI-2201 NV-5yr-Building 19</t>
  </si>
  <si>
    <t xml:space="preserve">8-LI-2201 NV-27.5yr-Building 19</t>
  </si>
  <si>
    <t xml:space="preserve">9-Equip-2201 NV-5yr-Building 19</t>
  </si>
  <si>
    <t xml:space="preserve">9-Equip-2201 NV-27.5yr-Building 19</t>
  </si>
  <si>
    <t xml:space="preserve">Cost Segregation Study - Building 20</t>
  </si>
  <si>
    <t xml:space="preserve">River Garden Estates - Building 20</t>
  </si>
  <si>
    <t xml:space="preserve">2-Bldg-712 NF-Building 20</t>
  </si>
  <si>
    <t xml:space="preserve">3-LI-712 NF-Building 20</t>
  </si>
  <si>
    <t xml:space="preserve">4-Equip-712 NF-Building 20</t>
  </si>
  <si>
    <t xml:space="preserve">7-Bldg-2201 NV-Building 20</t>
  </si>
  <si>
    <t xml:space="preserve">8-LI-2201 NV-Building 20</t>
  </si>
  <si>
    <t xml:space="preserve">9-Equip-2201 NV-Building 20</t>
  </si>
  <si>
    <t xml:space="preserve">2-Bldg-712 NF-5yr-Building 20</t>
  </si>
  <si>
    <t xml:space="preserve">2-Bldg-712 NF-27.5yr-Building 20</t>
  </si>
  <si>
    <t xml:space="preserve">3-LI-712 NF-5yr-Building 20</t>
  </si>
  <si>
    <t xml:space="preserve">3-LI-712 NF-27.5yr-Building 20</t>
  </si>
  <si>
    <t xml:space="preserve">4-Equip-712 NF-5yr-Building 20</t>
  </si>
  <si>
    <t xml:space="preserve">4-Equip-712 NF-27.5yr-Building 20</t>
  </si>
  <si>
    <t xml:space="preserve">7-Bldg-2201 NV-5yr-Building 20</t>
  </si>
  <si>
    <t xml:space="preserve">7-Bldg-2201 NV-27.5yr-Building 20</t>
  </si>
  <si>
    <t xml:space="preserve">8-LI-2201 NV-5yr-Building 20</t>
  </si>
  <si>
    <t xml:space="preserve">8-LI-2201 NV-27.5yr-Building 20</t>
  </si>
  <si>
    <t xml:space="preserve">9-Equip-2201 NV-5yr-Building 20</t>
  </si>
  <si>
    <t xml:space="preserve">9-Equip-2201 NV-27.5yr-Building 20</t>
  </si>
  <si>
    <t xml:space="preserve">Cost Segregation Study - Building 21</t>
  </si>
  <si>
    <t xml:space="preserve">River Garden Estates - Building 21</t>
  </si>
  <si>
    <t xml:space="preserve">2-Bldg-712 NF-Building 21</t>
  </si>
  <si>
    <t xml:space="preserve">3-LI-712 NF-Building 21</t>
  </si>
  <si>
    <t xml:space="preserve">4-Equip-712 NF-Building 21</t>
  </si>
  <si>
    <t xml:space="preserve">7-Bldg-2201 NV-Building 21</t>
  </si>
  <si>
    <t xml:space="preserve">8-LI-2201 NV-Building 21</t>
  </si>
  <si>
    <t xml:space="preserve">9-Equip-2201 NV-Building 21</t>
  </si>
  <si>
    <t xml:space="preserve">2-Bldg-712 NF-5yr-Building 21</t>
  </si>
  <si>
    <t xml:space="preserve">2-Bldg-712 NF-27.5yr-Building 21</t>
  </si>
  <si>
    <t xml:space="preserve">3-LI-712 NF-5yr-Building 21</t>
  </si>
  <si>
    <t xml:space="preserve">3-LI-712 NF-27.5yr-Building 21</t>
  </si>
  <si>
    <t xml:space="preserve">4-Equip-712 NF-5yr-Building 21</t>
  </si>
  <si>
    <t xml:space="preserve">4-Equip-712 NF-27.5yr-Building 21</t>
  </si>
  <si>
    <t xml:space="preserve">7-Bldg-2201 NV-5yr-Building 21</t>
  </si>
  <si>
    <t xml:space="preserve">7-Bldg-2201 NV-27.5yr-Building 21</t>
  </si>
  <si>
    <t xml:space="preserve">8-LI-2201 NV-5yr-Building 21</t>
  </si>
  <si>
    <t xml:space="preserve">8-LI-2201 NV-27.5yr-Building 21</t>
  </si>
  <si>
    <t xml:space="preserve">9-Equip-2201 NV-5yr-Building 21</t>
  </si>
  <si>
    <t xml:space="preserve">9-Equip-2201 NV-27.5yr-Building 21</t>
  </si>
  <si>
    <t xml:space="preserve">Cost Segregation Study - Building 22</t>
  </si>
  <si>
    <t xml:space="preserve">River Garden Estates - Building 22</t>
  </si>
  <si>
    <t xml:space="preserve">2-Bldg-712 NF-Building 22</t>
  </si>
  <si>
    <t xml:space="preserve">3-LI-712 NF-Building 22</t>
  </si>
  <si>
    <t xml:space="preserve">4-Equip-712 NF-Building 22</t>
  </si>
  <si>
    <t xml:space="preserve">7-Bldg-2201 NV-Building 22</t>
  </si>
  <si>
    <t xml:space="preserve">8-LI-2201 NV-Building 22</t>
  </si>
  <si>
    <t xml:space="preserve">9-Equip-2201 NV-Building 22</t>
  </si>
  <si>
    <t xml:space="preserve">2-Bldg-712 NF-5yr-Building 22</t>
  </si>
  <si>
    <t xml:space="preserve">2-Bldg-712 NF-27.5yr-Building 22</t>
  </si>
  <si>
    <t xml:space="preserve">3-LI-712 NF-5yr-Building 22</t>
  </si>
  <si>
    <t xml:space="preserve">3-LI-712 NF-27.5yr-Building 22</t>
  </si>
  <si>
    <t xml:space="preserve">4-Equip-712 NF-5yr-Building 22</t>
  </si>
  <si>
    <t xml:space="preserve">4-Equip-712 NF-27.5yr-Building 22</t>
  </si>
  <si>
    <t xml:space="preserve">7-Bldg-2201 NV-5yr-Building 22</t>
  </si>
  <si>
    <t xml:space="preserve">7-Bldg-2201 NV-27.5yr-Building 22</t>
  </si>
  <si>
    <t xml:space="preserve">8-LI-2201 NV-5yr-Building 22</t>
  </si>
  <si>
    <t xml:space="preserve">8-LI-2201 NV-27.5yr-Building 22</t>
  </si>
  <si>
    <t xml:space="preserve">9-Equip-2201 NV-5yr-Building 22</t>
  </si>
  <si>
    <t xml:space="preserve">9-Equip-2201 NV-27.5yr-Building 22</t>
  </si>
  <si>
    <t xml:space="preserve">Cost Segregation Study - Shed A</t>
  </si>
  <si>
    <t xml:space="preserve">River Garden Estates - Shed A</t>
  </si>
  <si>
    <t xml:space="preserve">2-Bldg-712 NF-Shed A</t>
  </si>
  <si>
    <t xml:space="preserve">3-LI-712 NF-Shed A</t>
  </si>
  <si>
    <t xml:space="preserve">4-Equip-712 NF-Shed A</t>
  </si>
  <si>
    <t xml:space="preserve">7-Bldg-2201 NV-Shed A</t>
  </si>
  <si>
    <t xml:space="preserve">8-LI-2201 NV-Shed A</t>
  </si>
  <si>
    <t xml:space="preserve">9-Equip-2201 NV-Shed A</t>
  </si>
  <si>
    <t xml:space="preserve">2-Bldg-712 NF-5yr-Shed A</t>
  </si>
  <si>
    <t xml:space="preserve">2-Bldg-712 NF-27.5yr-Shed A</t>
  </si>
  <si>
    <t xml:space="preserve">3-LI-712 NF-5yr-Shed A</t>
  </si>
  <si>
    <t xml:space="preserve">3-LI-712 NF-27.5yr-Shed A</t>
  </si>
  <si>
    <t xml:space="preserve">4-Equip-712 NF-5yr-Shed A</t>
  </si>
  <si>
    <t xml:space="preserve">4-Equip-712 NF-27.5yr-Shed A</t>
  </si>
  <si>
    <t xml:space="preserve">7-Bldg-2201 NV-5yr-Shed A</t>
  </si>
  <si>
    <t xml:space="preserve">7-Bldg-2201 NV-27.5yr-Shed A</t>
  </si>
  <si>
    <t xml:space="preserve">8-LI-2201 NV-5yr-Shed A</t>
  </si>
  <si>
    <t xml:space="preserve">8-LI-2201 NV-27.5yr-Shed A</t>
  </si>
  <si>
    <t xml:space="preserve">9-Equip-2201 NV-5yr-Shed A</t>
  </si>
  <si>
    <t xml:space="preserve">9-Equip-2201 NV-27.5yr-Shed A</t>
  </si>
  <si>
    <t xml:space="preserve">Cost Segregation Study - Shed B</t>
  </si>
  <si>
    <t xml:space="preserve">River Garden Estates - Shed B</t>
  </si>
  <si>
    <t xml:space="preserve">2-Bldg-712 NF-Shed B</t>
  </si>
  <si>
    <t xml:space="preserve">3-LI-712 NF-Shed B</t>
  </si>
  <si>
    <t xml:space="preserve">4-Equip-712 NF-Shed B</t>
  </si>
  <si>
    <t xml:space="preserve">7-Bldg-2201 NV-Shed B</t>
  </si>
  <si>
    <t xml:space="preserve">8-LI-2201 NV-Shed B</t>
  </si>
  <si>
    <t xml:space="preserve">9-Equip-2201 NV-Shed B</t>
  </si>
  <si>
    <t xml:space="preserve">2-Bldg-712 NF-5yr-Shed B</t>
  </si>
  <si>
    <t xml:space="preserve">2-Bldg-712 NF-27.5yr-Shed B</t>
  </si>
  <si>
    <t xml:space="preserve">3-LI-712 NF-5yr-Shed B</t>
  </si>
  <si>
    <t xml:space="preserve">3-LI-712 NF-27.5yr-Shed B</t>
  </si>
  <si>
    <t xml:space="preserve">4-Equip-712 NF-5yr-Shed B</t>
  </si>
  <si>
    <t xml:space="preserve">4-Equip-712 NF-27.5yr-Shed B</t>
  </si>
  <si>
    <t xml:space="preserve">7-Bldg-2201 NV-5yr-Shed B</t>
  </si>
  <si>
    <t xml:space="preserve">7-Bldg-2201 NV-27.5yr-Shed B</t>
  </si>
  <si>
    <t xml:space="preserve">8-LI-2201 NV-5yr-Shed B</t>
  </si>
  <si>
    <t xml:space="preserve">8-LI-2201 NV-27.5yr-Shed B</t>
  </si>
  <si>
    <t xml:space="preserve">9-Equip-2201 NV-5yr-Shed B</t>
  </si>
  <si>
    <t xml:space="preserve">9-Equip-2201 NV-27.5yr-Shed B</t>
  </si>
  <si>
    <t xml:space="preserve">Cost Segregation Study - Laundry</t>
  </si>
  <si>
    <t xml:space="preserve">River Garden Estates - Laundry</t>
  </si>
  <si>
    <t xml:space="preserve">2-Bldg-712 NF-Laundry</t>
  </si>
  <si>
    <t xml:space="preserve">3-LI-712 NF-Laundry</t>
  </si>
  <si>
    <t xml:space="preserve">4-Equip-712 NF-Laundry</t>
  </si>
  <si>
    <t xml:space="preserve">7-Bldg-2201 NV-Laundry</t>
  </si>
  <si>
    <t xml:space="preserve">8-LI-2201 NV-Laundry</t>
  </si>
  <si>
    <t xml:space="preserve">9-Equip-2201 NV-Laundry</t>
  </si>
  <si>
    <t xml:space="preserve">2-Bldg-712 NF-5yr-Laundry</t>
  </si>
  <si>
    <t xml:space="preserve">2-Bldg-712 NF-27.5yr-Laundry</t>
  </si>
  <si>
    <t xml:space="preserve">3-LI-712 NF-5yr-Laundry</t>
  </si>
  <si>
    <t xml:space="preserve">3-LI-712 NF-27.5yr-Laundry</t>
  </si>
  <si>
    <t xml:space="preserve">4-Equip-712 NF-5yr-Laundry</t>
  </si>
  <si>
    <t xml:space="preserve">4-Equip-712 NF-27.5yr-Laundry</t>
  </si>
  <si>
    <t xml:space="preserve">7-Bldg-2201 NV-5yr-Laundry</t>
  </si>
  <si>
    <t xml:space="preserve">7-Bldg-2201 NV-27.5yr-Laundry</t>
  </si>
  <si>
    <t xml:space="preserve">8-LI-2201 NV-5yr-Laundry</t>
  </si>
  <si>
    <t xml:space="preserve">8-LI-2201 NV-27.5yr-Laundry</t>
  </si>
  <si>
    <t xml:space="preserve">9-Equip-2201 NV-5yr-Laundry</t>
  </si>
  <si>
    <t xml:space="preserve">9-Equip-2201 NV-27.5yr-Laundry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</si>
</sst>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"/>
    <numFmt numFmtId="168" formatCode="\$#,##0.00;&quot;($&quot;#,##0.0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32" min="5" style="0" width="14"/>
  </cols>
  <sheetData>
    <row r="2" customFormat="false" ht="17.3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29</v>
      </c>
      <c r="AC6" s="4" t="s">
        <v>30</v>
      </c>
      <c r="AD6" s="4" t="s">
        <v>31</v>
      </c>
      <c r="AE6" s="4" t="s">
        <v>32</v>
      </c>
    </row>
    <row r="7" customFormat="false" ht="15" hidden="false" customHeight="false" outlineLevel="0" collapsed="false">
      <c r="A7" s="5"/>
      <c r="B7" s="6" t="s">
        <v>33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customFormat="false" ht="15" hidden="false" customHeight="false" outlineLevel="0" collapsed="false">
      <c r="B8" s="7" t="s">
        <v>34</v>
      </c>
      <c r="C8" s="8" t="s">
        <v>35</v>
      </c>
      <c r="D8" s="9" t="n">
        <v>1280158.57</v>
      </c>
      <c r="E8" s="9" t="n">
        <v>6661.53</v>
      </c>
      <c r="F8" s="9" t="n">
        <v>845856.89</v>
      </c>
      <c r="G8" s="9" t="n">
        <v>427640.15</v>
      </c>
    </row>
    <row r="9" customFormat="false" ht="15" hidden="false" customHeight="false" outlineLevel="0" collapsed="false">
      <c r="B9" s="7" t="s">
        <v>34</v>
      </c>
      <c r="C9" s="8" t="s">
        <v>36</v>
      </c>
      <c r="D9" s="9" t="n">
        <v>347897.92</v>
      </c>
      <c r="E9" s="9" t="n">
        <v>60834.44</v>
      </c>
      <c r="G9" s="9" t="n">
        <v>287063.48</v>
      </c>
    </row>
    <row r="10" customFormat="false" ht="15" hidden="false" customHeight="false" outlineLevel="0" collapsed="false">
      <c r="B10" s="7" t="s">
        <v>34</v>
      </c>
      <c r="C10" s="8" t="s">
        <v>37</v>
      </c>
      <c r="D10" s="9" t="n">
        <v>265779.16</v>
      </c>
      <c r="E10" s="9" t="n">
        <v>48410.29</v>
      </c>
      <c r="G10" s="9" t="n">
        <v>217368.87</v>
      </c>
    </row>
    <row r="11" customFormat="false" ht="15" hidden="false" customHeight="false" outlineLevel="0" collapsed="false">
      <c r="B11" s="7" t="s">
        <v>34</v>
      </c>
      <c r="C11" s="8" t="s">
        <v>38</v>
      </c>
      <c r="D11" s="9" t="n">
        <v>209723.78</v>
      </c>
      <c r="E11" s="9" t="n">
        <v>38436.55</v>
      </c>
      <c r="G11" s="9" t="n">
        <v>171287.23</v>
      </c>
    </row>
    <row r="12" customFormat="false" ht="15" hidden="false" customHeight="false" outlineLevel="0" collapsed="false">
      <c r="B12" s="7" t="s">
        <v>34</v>
      </c>
      <c r="C12" s="8" t="s">
        <v>39</v>
      </c>
      <c r="D12" s="9" t="n">
        <v>411281.62</v>
      </c>
      <c r="E12" s="9" t="n">
        <v>76823.56</v>
      </c>
      <c r="G12" s="9" t="n">
        <v>334458.06</v>
      </c>
    </row>
    <row r="13" customFormat="false" ht="15" hidden="false" customHeight="false" outlineLevel="0" collapsed="false">
      <c r="B13" s="7" t="s">
        <v>34</v>
      </c>
      <c r="C13" s="8" t="s">
        <v>40</v>
      </c>
      <c r="D13" s="9" t="n">
        <v>209723.78</v>
      </c>
      <c r="E13" s="9" t="n">
        <v>38436.55</v>
      </c>
      <c r="G13" s="9" t="n">
        <v>171287.23</v>
      </c>
    </row>
    <row r="14" customFormat="false" ht="15" hidden="false" customHeight="false" outlineLevel="0" collapsed="false">
      <c r="B14" s="7" t="s">
        <v>34</v>
      </c>
      <c r="C14" s="8" t="s">
        <v>41</v>
      </c>
      <c r="D14" s="9" t="n">
        <v>411281.62</v>
      </c>
      <c r="E14" s="9" t="n">
        <v>76823.56</v>
      </c>
      <c r="G14" s="9" t="n">
        <v>334458.06</v>
      </c>
    </row>
    <row r="15" customFormat="false" ht="15" hidden="false" customHeight="false" outlineLevel="0" collapsed="false">
      <c r="B15" s="7" t="s">
        <v>34</v>
      </c>
      <c r="C15" s="8" t="s">
        <v>42</v>
      </c>
      <c r="D15" s="9" t="n">
        <v>265779.16</v>
      </c>
      <c r="E15" s="9" t="n">
        <v>48410.29</v>
      </c>
      <c r="G15" s="9" t="n">
        <v>217368.87</v>
      </c>
    </row>
    <row r="16" customFormat="false" ht="15" hidden="false" customHeight="false" outlineLevel="0" collapsed="false">
      <c r="B16" s="7" t="s">
        <v>34</v>
      </c>
      <c r="C16" s="8" t="s">
        <v>43</v>
      </c>
      <c r="D16" s="9" t="n">
        <v>356960.53</v>
      </c>
      <c r="E16" s="9" t="n">
        <v>65124.76</v>
      </c>
      <c r="G16" s="9" t="n">
        <v>291835.77</v>
      </c>
    </row>
    <row r="17" customFormat="false" ht="15" hidden="false" customHeight="false" outlineLevel="0" collapsed="false">
      <c r="B17" s="7" t="s">
        <v>34</v>
      </c>
      <c r="C17" s="8" t="s">
        <v>44</v>
      </c>
      <c r="D17" s="9" t="n">
        <v>355971.86</v>
      </c>
      <c r="E17" s="9" t="n">
        <v>64944.48</v>
      </c>
      <c r="G17" s="9" t="n">
        <v>291027.38</v>
      </c>
    </row>
    <row r="18" customFormat="false" ht="15" hidden="false" customHeight="false" outlineLevel="0" collapsed="false">
      <c r="B18" s="7" t="s">
        <v>34</v>
      </c>
      <c r="C18" s="8" t="s">
        <v>45</v>
      </c>
      <c r="D18" s="9" t="n">
        <v>209723.78</v>
      </c>
      <c r="E18" s="9" t="n">
        <v>38436.55</v>
      </c>
      <c r="G18" s="9" t="n">
        <v>171287.23</v>
      </c>
    </row>
    <row r="19" customFormat="false" ht="15" hidden="false" customHeight="false" outlineLevel="0" collapsed="false">
      <c r="B19" s="7" t="s">
        <v>34</v>
      </c>
      <c r="C19" s="8" t="s">
        <v>46</v>
      </c>
      <c r="D19" s="9" t="n">
        <v>462776</v>
      </c>
      <c r="E19" s="9" t="n">
        <v>86837.47</v>
      </c>
      <c r="G19" s="9" t="n">
        <v>375938.53</v>
      </c>
    </row>
    <row r="20" customFormat="false" ht="15" hidden="false" customHeight="false" outlineLevel="0" collapsed="false">
      <c r="B20" s="7" t="s">
        <v>34</v>
      </c>
      <c r="C20" s="8" t="s">
        <v>47</v>
      </c>
      <c r="D20" s="9" t="n">
        <v>307313.67</v>
      </c>
      <c r="E20" s="9" t="n">
        <v>55009.97</v>
      </c>
      <c r="G20" s="9" t="n">
        <v>252303.7</v>
      </c>
    </row>
    <row r="21" customFormat="false" ht="15" hidden="false" customHeight="false" outlineLevel="0" collapsed="false">
      <c r="B21" s="7" t="s">
        <v>34</v>
      </c>
      <c r="C21" s="8" t="s">
        <v>48</v>
      </c>
      <c r="D21" s="9" t="n">
        <v>307313.67</v>
      </c>
      <c r="E21" s="9" t="n">
        <v>55009.97</v>
      </c>
      <c r="G21" s="9" t="n">
        <v>252303.7</v>
      </c>
    </row>
    <row r="22" customFormat="false" ht="15" hidden="false" customHeight="false" outlineLevel="0" collapsed="false">
      <c r="B22" s="7" t="s">
        <v>34</v>
      </c>
      <c r="C22" s="8" t="s">
        <v>49</v>
      </c>
      <c r="D22" s="9" t="n">
        <v>307313.67</v>
      </c>
      <c r="E22" s="9" t="n">
        <v>55009.97</v>
      </c>
      <c r="G22" s="9" t="n">
        <v>252303.7</v>
      </c>
    </row>
    <row r="23" customFormat="false" ht="15" hidden="false" customHeight="false" outlineLevel="0" collapsed="false">
      <c r="B23" s="7" t="s">
        <v>34</v>
      </c>
      <c r="C23" s="8" t="s">
        <v>50</v>
      </c>
      <c r="D23" s="9" t="n">
        <v>462776</v>
      </c>
      <c r="E23" s="9" t="n">
        <v>86837.47</v>
      </c>
      <c r="G23" s="9" t="n">
        <v>375938.53</v>
      </c>
    </row>
    <row r="24" customFormat="false" ht="15" hidden="false" customHeight="false" outlineLevel="0" collapsed="false">
      <c r="B24" s="7" t="s">
        <v>34</v>
      </c>
      <c r="C24" s="8" t="s">
        <v>51</v>
      </c>
      <c r="D24" s="9" t="n">
        <v>209723.78</v>
      </c>
      <c r="E24" s="9" t="n">
        <v>38436.55</v>
      </c>
      <c r="G24" s="9" t="n">
        <v>171287.23</v>
      </c>
    </row>
    <row r="25" customFormat="false" ht="15" hidden="false" customHeight="false" outlineLevel="0" collapsed="false">
      <c r="B25" s="7" t="s">
        <v>34</v>
      </c>
      <c r="C25" s="8" t="s">
        <v>52</v>
      </c>
      <c r="D25" s="9" t="n">
        <v>158466.95</v>
      </c>
      <c r="E25" s="9" t="n">
        <v>27345.78</v>
      </c>
      <c r="G25" s="9" t="n">
        <v>131121.17</v>
      </c>
    </row>
    <row r="26" customFormat="false" ht="15" hidden="false" customHeight="false" outlineLevel="0" collapsed="false">
      <c r="B26" s="7" t="s">
        <v>34</v>
      </c>
      <c r="C26" s="8" t="s">
        <v>53</v>
      </c>
      <c r="D26" s="9" t="n">
        <v>158466.95</v>
      </c>
      <c r="E26" s="9" t="n">
        <v>27345.78</v>
      </c>
      <c r="G26" s="9" t="n">
        <v>131121.17</v>
      </c>
    </row>
    <row r="27" customFormat="false" ht="15" hidden="false" customHeight="false" outlineLevel="0" collapsed="false">
      <c r="B27" s="7" t="s">
        <v>34</v>
      </c>
      <c r="C27" s="8" t="s">
        <v>54</v>
      </c>
      <c r="D27" s="9" t="n">
        <v>262907.83</v>
      </c>
      <c r="E27" s="9" t="n">
        <v>46628.13</v>
      </c>
      <c r="G27" s="9" t="n">
        <v>216279.7</v>
      </c>
    </row>
    <row r="28" customFormat="false" ht="15" hidden="false" customHeight="false" outlineLevel="0" collapsed="false">
      <c r="B28" s="7" t="s">
        <v>34</v>
      </c>
      <c r="C28" s="8" t="s">
        <v>55</v>
      </c>
      <c r="D28" s="9" t="n">
        <v>351927.67</v>
      </c>
      <c r="E28" s="9" t="n">
        <v>62124.27</v>
      </c>
      <c r="G28" s="9" t="n">
        <v>289803.4</v>
      </c>
    </row>
    <row r="29" customFormat="false" ht="15" hidden="false" customHeight="false" outlineLevel="0" collapsed="false">
      <c r="B29" s="7" t="s">
        <v>34</v>
      </c>
      <c r="C29" s="8" t="s">
        <v>56</v>
      </c>
      <c r="D29" s="9" t="n">
        <v>209723.78</v>
      </c>
      <c r="E29" s="9" t="n">
        <v>38436.55</v>
      </c>
      <c r="G29" s="9" t="n">
        <v>171287.23</v>
      </c>
    </row>
    <row r="30" customFormat="false" ht="15" hidden="false" customHeight="false" outlineLevel="0" collapsed="false">
      <c r="B30" s="7" t="s">
        <v>34</v>
      </c>
      <c r="C30" s="8" t="s">
        <v>57</v>
      </c>
      <c r="D30" s="9" t="n">
        <v>262907.83</v>
      </c>
      <c r="E30" s="9" t="n">
        <v>46628.13</v>
      </c>
      <c r="G30" s="9" t="n">
        <v>216279.7</v>
      </c>
    </row>
    <row r="31" customFormat="false" ht="15" hidden="false" customHeight="false" outlineLevel="0" collapsed="false">
      <c r="B31" s="7" t="s">
        <v>34</v>
      </c>
      <c r="C31" s="8" t="s">
        <v>58</v>
      </c>
      <c r="D31" s="9" t="n">
        <v>8320.46</v>
      </c>
      <c r="E31" s="9" t="n">
        <v>1454.65</v>
      </c>
      <c r="G31" s="9" t="n">
        <v>6865.81</v>
      </c>
    </row>
    <row r="32" customFormat="false" ht="15" hidden="false" customHeight="false" outlineLevel="0" collapsed="false">
      <c r="B32" s="7" t="s">
        <v>34</v>
      </c>
      <c r="C32" s="8" t="s">
        <v>59</v>
      </c>
      <c r="D32" s="9" t="n">
        <v>8316.73</v>
      </c>
      <c r="E32" s="9" t="n">
        <v>1453.99</v>
      </c>
      <c r="G32" s="9" t="n">
        <v>6862.74</v>
      </c>
    </row>
    <row r="33" customFormat="false" ht="15" hidden="false" customHeight="false" outlineLevel="0" collapsed="false">
      <c r="B33" s="7" t="s">
        <v>34</v>
      </c>
      <c r="C33" s="8" t="s">
        <v>60</v>
      </c>
      <c r="D33" s="9" t="n">
        <v>27519.23</v>
      </c>
      <c r="E33" s="9" t="n">
        <v>4994.14</v>
      </c>
      <c r="G33" s="9" t="n">
        <v>22525.09</v>
      </c>
    </row>
    <row r="34" customFormat="false" ht="15" hidden="false" customHeight="false" outlineLevel="0" collapsed="false">
      <c r="A34" s="10"/>
      <c r="B34" s="11" t="s">
        <v>32</v>
      </c>
      <c r="C34" s="10"/>
      <c r="D34" s="12" t="n">
        <f aca="false">SUM(D8:D33)</f>
        <v>7830056</v>
      </c>
      <c r="E34" s="12" t="n">
        <f aca="false">SUM(E8:E33)</f>
        <v>1196895.38</v>
      </c>
      <c r="F34" s="12" t="n">
        <f aca="false">SUM(F8:F33)</f>
        <v>845856.89</v>
      </c>
      <c r="G34" s="12" t="n">
        <f aca="false">SUM(G8:G33)</f>
        <v>5787303.73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6" customFormat="false" ht="15" hidden="false" customHeight="false" outlineLevel="0" collapsed="false">
      <c r="A36" s="13"/>
      <c r="B36" s="14" t="s">
        <v>61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customFormat="false" ht="15" hidden="false" customHeight="false" outlineLevel="0" collapsed="false">
      <c r="C37" s="8" t="s">
        <v>62</v>
      </c>
      <c r="D37" s="15" t="n">
        <f aca="false">SUM(E37:AD37)</f>
        <v>1486790</v>
      </c>
      <c r="E37" s="16" t="n">
        <v>243079.61</v>
      </c>
      <c r="F37" s="16" t="n">
        <v>66059.7</v>
      </c>
      <c r="G37" s="16" t="n">
        <v>50466.79</v>
      </c>
      <c r="H37" s="16" t="n">
        <v>39822.85</v>
      </c>
      <c r="I37" s="16" t="n">
        <v>78095.16</v>
      </c>
      <c r="J37" s="16" t="n">
        <v>39822.85</v>
      </c>
      <c r="K37" s="16" t="n">
        <v>78095.16</v>
      </c>
      <c r="L37" s="16" t="n">
        <v>50466.79</v>
      </c>
      <c r="M37" s="16" t="n">
        <v>67780.54</v>
      </c>
      <c r="N37" s="16" t="n">
        <v>67592.81</v>
      </c>
      <c r="O37" s="16" t="n">
        <v>39822.85</v>
      </c>
      <c r="P37" s="16" t="n">
        <v>87873.03</v>
      </c>
      <c r="Q37" s="16" t="n">
        <v>58353.46</v>
      </c>
      <c r="R37" s="16" t="n">
        <v>58353.46</v>
      </c>
      <c r="S37" s="16" t="n">
        <v>58353.46</v>
      </c>
      <c r="T37" s="16" t="n">
        <v>87873.03</v>
      </c>
      <c r="U37" s="16" t="n">
        <v>39822.85</v>
      </c>
      <c r="V37" s="16" t="n">
        <v>30090.09</v>
      </c>
      <c r="W37" s="16" t="n">
        <v>30090.09</v>
      </c>
      <c r="X37" s="16" t="n">
        <v>49921.58</v>
      </c>
      <c r="Y37" s="16" t="n">
        <v>66824.88</v>
      </c>
      <c r="Z37" s="16" t="n">
        <v>39822.85</v>
      </c>
      <c r="AA37" s="16" t="n">
        <v>49921.58</v>
      </c>
      <c r="AB37" s="16" t="n">
        <v>1579.91</v>
      </c>
      <c r="AC37" s="16" t="n">
        <v>1579.19</v>
      </c>
      <c r="AD37" s="16" t="n">
        <v>5225.43</v>
      </c>
    </row>
    <row r="38" customFormat="false" ht="15" hidden="false" customHeight="false" outlineLevel="0" collapsed="false">
      <c r="C38" s="8" t="s">
        <v>63</v>
      </c>
      <c r="D38" s="15" t="n">
        <f aca="false">SUM(E38:AD38)</f>
        <v>1452209.17</v>
      </c>
      <c r="E38" s="16" t="n">
        <v>536088.47</v>
      </c>
      <c r="F38" s="16" t="n">
        <v>46151.8</v>
      </c>
      <c r="G38" s="16" t="n">
        <v>36541.81</v>
      </c>
      <c r="H38" s="16" t="n">
        <v>28991.64</v>
      </c>
      <c r="I38" s="16" t="n">
        <v>57814.32</v>
      </c>
      <c r="J38" s="16" t="n">
        <v>28991.64</v>
      </c>
      <c r="K38" s="16" t="n">
        <v>57814.32</v>
      </c>
      <c r="L38" s="16" t="n">
        <v>36541.81</v>
      </c>
      <c r="M38" s="16" t="n">
        <v>50192.2</v>
      </c>
      <c r="N38" s="16" t="n">
        <v>49788.18</v>
      </c>
      <c r="O38" s="16" t="n">
        <v>28991.64</v>
      </c>
      <c r="P38" s="16" t="n">
        <v>64925.95</v>
      </c>
      <c r="Q38" s="16" t="n">
        <v>43171.13</v>
      </c>
      <c r="R38" s="16" t="n">
        <v>43171.13</v>
      </c>
      <c r="S38" s="16" t="n">
        <v>43171.13</v>
      </c>
      <c r="T38" s="16" t="n">
        <v>64925.95</v>
      </c>
      <c r="U38" s="16" t="n">
        <v>28991.64</v>
      </c>
      <c r="V38" s="16" t="n">
        <v>21824.89</v>
      </c>
      <c r="W38" s="16" t="n">
        <v>21824.89</v>
      </c>
      <c r="X38" s="16" t="n">
        <v>35906.72</v>
      </c>
      <c r="Y38" s="16" t="n">
        <v>49058.5</v>
      </c>
      <c r="Z38" s="16" t="n">
        <v>28991.64</v>
      </c>
      <c r="AA38" s="16" t="n">
        <v>35906.72</v>
      </c>
      <c r="AB38" s="16" t="n">
        <v>138.69</v>
      </c>
      <c r="AC38" s="16" t="n">
        <v>251.1</v>
      </c>
      <c r="AD38" s="16" t="n">
        <v>12041.26</v>
      </c>
    </row>
    <row r="39" customFormat="false" ht="15" hidden="false" customHeight="false" outlineLevel="0" collapsed="false">
      <c r="C39" s="17" t="s">
        <v>64</v>
      </c>
      <c r="D39" s="18" t="n">
        <f aca="false">SUM(E39:AD39)</f>
        <v>-34580.83</v>
      </c>
      <c r="E39" s="18" t="n">
        <f aca="false">E38-E37</f>
        <v>293008.86</v>
      </c>
      <c r="F39" s="18" t="n">
        <f aca="false">F38-F37</f>
        <v>-19907.9</v>
      </c>
      <c r="G39" s="18" t="n">
        <f aca="false">G38-G37</f>
        <v>-13924.98</v>
      </c>
      <c r="H39" s="18" t="n">
        <f aca="false">H38-H37</f>
        <v>-10831.21</v>
      </c>
      <c r="I39" s="18" t="n">
        <f aca="false">I38-I37</f>
        <v>-20280.84</v>
      </c>
      <c r="J39" s="18" t="n">
        <f aca="false">J38-J37</f>
        <v>-10831.21</v>
      </c>
      <c r="K39" s="18" t="n">
        <f aca="false">K38-K37</f>
        <v>-20280.84</v>
      </c>
      <c r="L39" s="18" t="n">
        <f aca="false">L38-L37</f>
        <v>-13924.98</v>
      </c>
      <c r="M39" s="18" t="n">
        <f aca="false">M38-M37</f>
        <v>-17588.34</v>
      </c>
      <c r="N39" s="18" t="n">
        <f aca="false">N38-N37</f>
        <v>-17804.63</v>
      </c>
      <c r="O39" s="18" t="n">
        <f aca="false">O38-O37</f>
        <v>-10831.21</v>
      </c>
      <c r="P39" s="18" t="n">
        <f aca="false">P38-P37</f>
        <v>-22947.08</v>
      </c>
      <c r="Q39" s="18" t="n">
        <f aca="false">Q38-Q37</f>
        <v>-15182.33</v>
      </c>
      <c r="R39" s="18" t="n">
        <f aca="false">R38-R37</f>
        <v>-15182.33</v>
      </c>
      <c r="S39" s="18" t="n">
        <f aca="false">S38-S37</f>
        <v>-15182.33</v>
      </c>
      <c r="T39" s="18" t="n">
        <f aca="false">T38-T37</f>
        <v>-22947.08</v>
      </c>
      <c r="U39" s="18" t="n">
        <f aca="false">U38-U37</f>
        <v>-10831.21</v>
      </c>
      <c r="V39" s="18" t="n">
        <f aca="false">V38-V37</f>
        <v>-8265.2</v>
      </c>
      <c r="W39" s="18" t="n">
        <f aca="false">W38-W37</f>
        <v>-8265.2</v>
      </c>
      <c r="X39" s="18" t="n">
        <f aca="false">X38-X37</f>
        <v>-14014.86</v>
      </c>
      <c r="Y39" s="18" t="n">
        <f aca="false">Y38-Y37</f>
        <v>-17766.38</v>
      </c>
      <c r="Z39" s="18" t="n">
        <f aca="false">Z38-Z37</f>
        <v>-10831.21</v>
      </c>
      <c r="AA39" s="18" t="n">
        <f aca="false">AA38-AA37</f>
        <v>-14014.86</v>
      </c>
      <c r="AB39" s="18" t="n">
        <f aca="false">AB38-AB37</f>
        <v>-1441.22</v>
      </c>
      <c r="AC39" s="18" t="n">
        <f aca="false">AC38-AC37</f>
        <v>-1328.09</v>
      </c>
      <c r="AD39" s="18" t="n">
        <f aca="false">AD38-AD37</f>
        <v>6815.83</v>
      </c>
    </row>
  </sheetData>
  <mergeCells count="5">
    <mergeCell ref="A2:AE2"/>
    <mergeCell ref="A3:AE3"/>
    <mergeCell ref="A4:AE4"/>
    <mergeCell ref="B7:AE7"/>
    <mergeCell ref="B36:A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65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68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77</v>
      </c>
      <c r="C11" s="16" t="n">
        <v>6661.53</v>
      </c>
      <c r="D11" s="16" t="n">
        <v>6661.53</v>
      </c>
    </row>
    <row r="12" customFormat="false" ht="15" hidden="false" customHeight="false" outlineLevel="0" collapsed="false">
      <c r="A12" s="5"/>
      <c r="B12" s="6" t="s">
        <v>78</v>
      </c>
      <c r="C12" s="6"/>
      <c r="D12" s="6"/>
      <c r="E12" s="6"/>
      <c r="F12" s="6"/>
      <c r="G12" s="6"/>
      <c r="H12" s="6"/>
      <c r="I12" s="6"/>
      <c r="J12" s="6"/>
    </row>
    <row r="13" customFormat="false" ht="15" hidden="false" customHeight="false" outlineLevel="0" collapsed="false">
      <c r="B13" s="8" t="s">
        <v>79</v>
      </c>
      <c r="C13" s="16" t="n">
        <v>76326.73</v>
      </c>
      <c r="F13" s="16" t="n">
        <v>76326.73</v>
      </c>
    </row>
    <row r="14" customFormat="false" ht="15" hidden="false" customHeight="false" outlineLevel="0" collapsed="false">
      <c r="B14" s="8" t="s">
        <v>80</v>
      </c>
      <c r="C14" s="16" t="n">
        <v>192460.32</v>
      </c>
      <c r="F14" s="16" t="n">
        <v>192460.32</v>
      </c>
    </row>
    <row r="15" customFormat="false" ht="15" hidden="false" customHeight="false" outlineLevel="0" collapsed="false">
      <c r="B15" s="8" t="s">
        <v>81</v>
      </c>
      <c r="C15" s="16" t="n">
        <v>1455.53</v>
      </c>
      <c r="F15" s="16" t="n">
        <v>1455.53</v>
      </c>
    </row>
    <row r="16" customFormat="false" ht="15" hidden="false" customHeight="false" outlineLevel="0" collapsed="false">
      <c r="B16" s="8" t="s">
        <v>82</v>
      </c>
      <c r="C16" s="16" t="n">
        <v>10024.14</v>
      </c>
      <c r="F16" s="16" t="n">
        <v>10024.14</v>
      </c>
    </row>
    <row r="17" customFormat="false" ht="15" hidden="false" customHeight="false" outlineLevel="0" collapsed="false">
      <c r="B17" s="8" t="s">
        <v>83</v>
      </c>
      <c r="C17" s="16" t="n">
        <v>222825.4</v>
      </c>
      <c r="F17" s="16" t="n">
        <v>222825.4</v>
      </c>
    </row>
    <row r="18" customFormat="false" ht="15" hidden="false" customHeight="false" outlineLevel="0" collapsed="false">
      <c r="B18" s="8" t="s">
        <v>84</v>
      </c>
      <c r="C18" s="16" t="n">
        <v>7131.4</v>
      </c>
      <c r="F18" s="16" t="n">
        <v>7131.4</v>
      </c>
    </row>
    <row r="19" customFormat="false" ht="15" hidden="false" customHeight="false" outlineLevel="0" collapsed="false">
      <c r="B19" s="8" t="s">
        <v>85</v>
      </c>
      <c r="C19" s="16" t="n">
        <v>3738.18</v>
      </c>
      <c r="F19" s="16" t="n">
        <v>3738.18</v>
      </c>
    </row>
    <row r="20" customFormat="false" ht="15" hidden="false" customHeight="false" outlineLevel="0" collapsed="false">
      <c r="B20" s="8" t="s">
        <v>86</v>
      </c>
      <c r="C20" s="16" t="n">
        <v>54694.48</v>
      </c>
      <c r="F20" s="16" t="n">
        <v>54694.48</v>
      </c>
    </row>
    <row r="21" customFormat="false" ht="15" hidden="false" customHeight="false" outlineLevel="0" collapsed="false">
      <c r="B21" s="8" t="s">
        <v>87</v>
      </c>
      <c r="C21" s="16" t="n">
        <v>9628.74</v>
      </c>
      <c r="F21" s="16" t="n">
        <v>9628.74</v>
      </c>
    </row>
    <row r="22" customFormat="false" ht="15" hidden="false" customHeight="false" outlineLevel="0" collapsed="false">
      <c r="B22" s="8" t="s">
        <v>88</v>
      </c>
      <c r="C22" s="16" t="n">
        <v>6369.64</v>
      </c>
      <c r="F22" s="16" t="n">
        <v>6369.64</v>
      </c>
    </row>
    <row r="23" customFormat="false" ht="15" hidden="false" customHeight="false" outlineLevel="0" collapsed="false">
      <c r="A23" s="5"/>
      <c r="B23" s="6" t="s">
        <v>89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89</v>
      </c>
      <c r="C24" s="16" t="n">
        <v>427640.15</v>
      </c>
      <c r="G24" s="16" t="n">
        <v>427640.15</v>
      </c>
    </row>
    <row r="25" customFormat="false" ht="15" hidden="false" customHeight="false" outlineLevel="0" collapsed="false">
      <c r="A25" s="24"/>
      <c r="B25" s="25" t="s">
        <v>90</v>
      </c>
      <c r="C25" s="26" t="n">
        <f aca="false">SUM(C10:C24)</f>
        <v>1018956.24</v>
      </c>
      <c r="D25" s="26" t="n">
        <f aca="false">SUM(D10:D24)</f>
        <v>6661.53</v>
      </c>
      <c r="E25" s="26" t="n">
        <f aca="false">SUM(E10:E24)</f>
        <v>0</v>
      </c>
      <c r="F25" s="26" t="n">
        <f aca="false">SUM(F10:F24)</f>
        <v>584654.56</v>
      </c>
      <c r="G25" s="26" t="n">
        <f aca="false">SUM(G10:G24)</f>
        <v>427640.15</v>
      </c>
      <c r="H25" s="24"/>
    </row>
    <row r="27" customFormat="false" ht="15" hidden="false" customHeight="false" outlineLevel="0" collapsed="false">
      <c r="A27" s="5"/>
      <c r="B27" s="6" t="s">
        <v>91</v>
      </c>
      <c r="C27" s="6"/>
      <c r="D27" s="6"/>
      <c r="E27" s="6"/>
      <c r="F27" s="6"/>
      <c r="G27" s="6"/>
      <c r="H27" s="6"/>
      <c r="I27" s="6"/>
      <c r="J27" s="6"/>
    </row>
    <row r="28" customFormat="false" ht="15" hidden="false" customHeight="false" outlineLevel="0" collapsed="false">
      <c r="B28" s="8" t="s">
        <v>92</v>
      </c>
      <c r="C28" s="16" t="n">
        <v>166583.41</v>
      </c>
      <c r="D28" s="16" t="n">
        <v>866.85</v>
      </c>
      <c r="F28" s="16" t="n">
        <v>110068.96</v>
      </c>
      <c r="G28" s="16" t="n">
        <v>55647.6</v>
      </c>
    </row>
    <row r="29" customFormat="false" ht="15" hidden="false" customHeight="false" outlineLevel="0" collapsed="false">
      <c r="B29" s="8" t="s">
        <v>93</v>
      </c>
      <c r="C29" s="16" t="n">
        <v>21494.58</v>
      </c>
      <c r="D29" s="16" t="n">
        <v>111.85</v>
      </c>
      <c r="F29" s="16" t="n">
        <v>14202.41</v>
      </c>
      <c r="G29" s="16" t="n">
        <v>7180.32</v>
      </c>
    </row>
    <row r="30" customFormat="false" ht="15" hidden="false" customHeight="false" outlineLevel="0" collapsed="false">
      <c r="B30" s="8" t="s">
        <v>94</v>
      </c>
      <c r="C30" s="16" t="n">
        <v>40302.47</v>
      </c>
      <c r="D30" s="16" t="n">
        <v>209.72</v>
      </c>
      <c r="F30" s="16" t="n">
        <v>26629.61</v>
      </c>
      <c r="G30" s="16" t="n">
        <v>13463.14</v>
      </c>
    </row>
    <row r="31" customFormat="false" ht="15" hidden="false" customHeight="false" outlineLevel="0" collapsed="false">
      <c r="B31" s="8" t="s">
        <v>95</v>
      </c>
      <c r="C31" s="16" t="n">
        <v>767179.32</v>
      </c>
      <c r="D31" s="16" t="n">
        <v>3992.15</v>
      </c>
      <c r="F31" s="16" t="n">
        <v>506909.01</v>
      </c>
      <c r="G31" s="16" t="n">
        <v>256278.16</v>
      </c>
    </row>
    <row r="32" customFormat="false" ht="15" hidden="false" customHeight="false" outlineLevel="0" collapsed="false">
      <c r="B32" s="8" t="s">
        <v>96</v>
      </c>
      <c r="C32" s="16" t="n">
        <v>98990.86</v>
      </c>
      <c r="D32" s="16" t="n">
        <v>515.12</v>
      </c>
      <c r="F32" s="16" t="n">
        <v>65407.6</v>
      </c>
      <c r="G32" s="16" t="n">
        <v>33068.14</v>
      </c>
    </row>
    <row r="33" customFormat="false" ht="15" hidden="false" customHeight="false" outlineLevel="0" collapsed="false">
      <c r="B33" s="8" t="s">
        <v>97</v>
      </c>
      <c r="C33" s="16" t="n">
        <v>185607.93</v>
      </c>
      <c r="D33" s="16" t="n">
        <v>965.84</v>
      </c>
      <c r="F33" s="16" t="n">
        <v>122639.3</v>
      </c>
      <c r="G33" s="16" t="n">
        <v>62002.79</v>
      </c>
    </row>
    <row r="34" customFormat="false" ht="15" hidden="false" customHeight="false" outlineLevel="0" collapsed="false">
      <c r="A34" s="24"/>
      <c r="B34" s="25" t="s">
        <v>98</v>
      </c>
      <c r="C34" s="26" t="n">
        <f aca="false">SUM(C28:C33)</f>
        <v>1280158.57</v>
      </c>
      <c r="D34" s="26" t="n">
        <f aca="false">SUM(D28:D33)</f>
        <v>6661.53</v>
      </c>
      <c r="E34" s="24"/>
      <c r="F34" s="26" t="n">
        <f aca="false">SUM(F28:F33)</f>
        <v>845856.89</v>
      </c>
      <c r="G34" s="26" t="n">
        <f aca="false">SUM(G28:G33)</f>
        <v>427640.15</v>
      </c>
      <c r="H34" s="24"/>
    </row>
    <row r="36" customFormat="false" ht="15" hidden="false" customHeight="false" outlineLevel="0" collapsed="false">
      <c r="A36" s="27" t="s">
        <v>99</v>
      </c>
      <c r="B36" s="27"/>
      <c r="C36" s="27"/>
      <c r="D36" s="27"/>
      <c r="E36" s="27"/>
      <c r="F36" s="27"/>
      <c r="G36" s="27"/>
      <c r="H36" s="27"/>
      <c r="I36" s="27"/>
      <c r="J36" s="27"/>
    </row>
    <row r="37" customFormat="false" ht="15" hidden="false" customHeight="false" outlineLevel="0" collapsed="false">
      <c r="A37" s="28" t="s">
        <v>62</v>
      </c>
      <c r="B37" s="28"/>
      <c r="C37" s="28"/>
      <c r="D37" s="28"/>
      <c r="E37" s="28"/>
      <c r="F37" s="28"/>
      <c r="G37" s="28"/>
      <c r="H37" s="28"/>
      <c r="I37" s="28"/>
      <c r="J37" s="28"/>
    </row>
    <row r="38" customFormat="false" ht="15" hidden="false" customHeight="false" outlineLevel="0" collapsed="false">
      <c r="A38" s="29"/>
      <c r="B38" s="29" t="s">
        <v>100</v>
      </c>
      <c r="C38" s="30" t="s">
        <v>101</v>
      </c>
      <c r="D38" s="30" t="s">
        <v>102</v>
      </c>
      <c r="E38" s="30" t="s">
        <v>103</v>
      </c>
      <c r="F38" s="30" t="s">
        <v>104</v>
      </c>
      <c r="G38" s="30" t="s">
        <v>105</v>
      </c>
      <c r="H38" s="30" t="s">
        <v>106</v>
      </c>
      <c r="I38" s="30" t="s">
        <v>107</v>
      </c>
      <c r="J38" s="30" t="s">
        <v>108</v>
      </c>
    </row>
    <row r="39" customFormat="false" ht="15" hidden="false" customHeight="false" outlineLevel="0" collapsed="false">
      <c r="B39" s="31" t="s">
        <v>109</v>
      </c>
      <c r="C39" s="32" t="n">
        <v>166583.41</v>
      </c>
      <c r="D39" s="32" t="n">
        <v>0</v>
      </c>
      <c r="E39" s="32" t="n">
        <v>0</v>
      </c>
      <c r="F39" s="32" t="n">
        <v>2776.44</v>
      </c>
      <c r="G39" s="32" t="n">
        <v>2776.44</v>
      </c>
      <c r="H39" s="32" t="n">
        <v>163806.97</v>
      </c>
      <c r="I39" s="33" t="s">
        <v>110</v>
      </c>
      <c r="J39" s="34" t="n">
        <v>27.5</v>
      </c>
    </row>
    <row r="40" customFormat="false" ht="15" hidden="false" customHeight="false" outlineLevel="0" collapsed="false">
      <c r="B40" s="35" t="s">
        <v>111</v>
      </c>
      <c r="C40" s="36" t="n">
        <v>21494.58</v>
      </c>
      <c r="D40" s="36" t="n">
        <v>12896.75</v>
      </c>
      <c r="E40" s="36" t="n">
        <v>0</v>
      </c>
      <c r="F40" s="36" t="n">
        <v>13183.42</v>
      </c>
      <c r="G40" s="36" t="n">
        <v>13183.42</v>
      </c>
      <c r="H40" s="36" t="n">
        <v>8311.16</v>
      </c>
      <c r="I40" s="37" t="s">
        <v>112</v>
      </c>
      <c r="J40" s="38" t="n">
        <v>15</v>
      </c>
    </row>
    <row r="41" customFormat="false" ht="15" hidden="false" customHeight="false" outlineLevel="0" collapsed="false">
      <c r="B41" s="31" t="s">
        <v>113</v>
      </c>
      <c r="C41" s="32" t="n">
        <v>40302.47</v>
      </c>
      <c r="D41" s="32" t="n">
        <v>24181.48</v>
      </c>
      <c r="E41" s="32" t="n">
        <v>0</v>
      </c>
      <c r="F41" s="32" t="n">
        <v>27405.66</v>
      </c>
      <c r="G41" s="32" t="n">
        <v>27405.66</v>
      </c>
      <c r="H41" s="32" t="n">
        <v>12896.81</v>
      </c>
      <c r="I41" s="33" t="s">
        <v>114</v>
      </c>
      <c r="J41" s="34" t="n">
        <v>5</v>
      </c>
    </row>
    <row r="42" customFormat="false" ht="15" hidden="false" customHeight="false" outlineLevel="0" collapsed="false">
      <c r="B42" s="35" t="s">
        <v>115</v>
      </c>
      <c r="C42" s="36" t="n">
        <v>767179.32</v>
      </c>
      <c r="D42" s="36" t="n">
        <v>0</v>
      </c>
      <c r="E42" s="36" t="n">
        <v>0</v>
      </c>
      <c r="F42" s="36" t="n">
        <v>12786.29</v>
      </c>
      <c r="G42" s="36" t="n">
        <v>12786.29</v>
      </c>
      <c r="H42" s="36" t="n">
        <v>754393.03</v>
      </c>
      <c r="I42" s="37" t="s">
        <v>110</v>
      </c>
      <c r="J42" s="38" t="n">
        <v>27.5</v>
      </c>
    </row>
    <row r="43" customFormat="false" ht="15" hidden="false" customHeight="false" outlineLevel="0" collapsed="false">
      <c r="B43" s="31" t="s">
        <v>116</v>
      </c>
      <c r="C43" s="32" t="n">
        <v>98990.86</v>
      </c>
      <c r="D43" s="32" t="n">
        <v>59394.52</v>
      </c>
      <c r="E43" s="32" t="n">
        <v>0</v>
      </c>
      <c r="F43" s="32" t="n">
        <v>60714.39</v>
      </c>
      <c r="G43" s="32" t="n">
        <v>60714.39</v>
      </c>
      <c r="H43" s="32" t="n">
        <v>38276.47</v>
      </c>
      <c r="I43" s="33" t="s">
        <v>112</v>
      </c>
      <c r="J43" s="34" t="n">
        <v>15</v>
      </c>
    </row>
    <row r="44" customFormat="false" ht="15" hidden="false" customHeight="false" outlineLevel="0" collapsed="false">
      <c r="B44" s="35" t="s">
        <v>117</v>
      </c>
      <c r="C44" s="36" t="n">
        <v>185607.93</v>
      </c>
      <c r="D44" s="36" t="n">
        <v>111364.76</v>
      </c>
      <c r="E44" s="36" t="n">
        <v>0</v>
      </c>
      <c r="F44" s="36" t="n">
        <v>126213.41</v>
      </c>
      <c r="G44" s="36" t="n">
        <v>126213.41</v>
      </c>
      <c r="H44" s="36" t="n">
        <v>59394.52</v>
      </c>
      <c r="I44" s="37" t="s">
        <v>114</v>
      </c>
      <c r="J44" s="38" t="n">
        <v>5</v>
      </c>
    </row>
    <row r="45" customFormat="false" ht="15" hidden="false" customHeight="false" outlineLevel="0" collapsed="false">
      <c r="A45" s="10"/>
      <c r="B45" s="11" t="s">
        <v>32</v>
      </c>
      <c r="C45" s="39" t="n">
        <f aca="false">SUM(C39:C44)</f>
        <v>1280158.57</v>
      </c>
      <c r="D45" s="39" t="n">
        <f aca="false">SUM(D39:D44)</f>
        <v>207837.51</v>
      </c>
      <c r="E45" s="39" t="n">
        <f aca="false">SUM(E39:E44)</f>
        <v>0</v>
      </c>
      <c r="F45" s="39" t="n">
        <f aca="false">SUM(F39:F44)</f>
        <v>243079.61</v>
      </c>
      <c r="G45" s="39" t="n">
        <f aca="false">SUM(G39:G44)</f>
        <v>243079.61</v>
      </c>
      <c r="H45" s="39" t="n">
        <f aca="false">SUM(H39:H44)</f>
        <v>1037078.96</v>
      </c>
      <c r="I45" s="10"/>
      <c r="J45" s="10"/>
    </row>
    <row r="47" customFormat="false" ht="15" hidden="false" customHeight="false" outlineLevel="0" collapsed="false">
      <c r="A47" s="40" t="s">
        <v>118</v>
      </c>
      <c r="B47" s="40"/>
      <c r="C47" s="40"/>
      <c r="D47" s="40"/>
      <c r="E47" s="40"/>
      <c r="F47" s="40"/>
      <c r="G47" s="40"/>
      <c r="H47" s="40"/>
      <c r="I47" s="40"/>
      <c r="J47" s="40"/>
    </row>
    <row r="48" customFormat="false" ht="15" hidden="false" customHeight="false" outlineLevel="0" collapsed="false">
      <c r="A48" s="29"/>
      <c r="B48" s="29" t="s">
        <v>100</v>
      </c>
      <c r="C48" s="30" t="s">
        <v>101</v>
      </c>
      <c r="D48" s="30" t="s">
        <v>102</v>
      </c>
      <c r="E48" s="30" t="s">
        <v>103</v>
      </c>
      <c r="F48" s="30" t="s">
        <v>104</v>
      </c>
      <c r="G48" s="30" t="s">
        <v>105</v>
      </c>
      <c r="H48" s="30" t="s">
        <v>106</v>
      </c>
      <c r="I48" s="30" t="s">
        <v>107</v>
      </c>
      <c r="J48" s="30" t="s">
        <v>108</v>
      </c>
    </row>
    <row r="49" customFormat="false" ht="15" hidden="false" customHeight="false" outlineLevel="0" collapsed="false">
      <c r="B49" s="31" t="s">
        <v>119</v>
      </c>
      <c r="C49" s="32" t="n">
        <v>866.85</v>
      </c>
      <c r="D49" s="32" t="n">
        <v>520.11</v>
      </c>
      <c r="E49" s="32" t="n">
        <v>0</v>
      </c>
      <c r="F49" s="32" t="n">
        <v>589.46</v>
      </c>
      <c r="G49" s="32" t="n">
        <v>589.46</v>
      </c>
      <c r="H49" s="32" t="n">
        <v>277.39</v>
      </c>
      <c r="I49" s="33" t="s">
        <v>114</v>
      </c>
      <c r="J49" s="34" t="n">
        <v>5</v>
      </c>
    </row>
    <row r="50" customFormat="false" ht="15" hidden="false" customHeight="false" outlineLevel="0" collapsed="false">
      <c r="B50" s="35" t="s">
        <v>120</v>
      </c>
      <c r="C50" s="36" t="n">
        <v>110068.96</v>
      </c>
      <c r="D50" s="36" t="n">
        <v>66041.38</v>
      </c>
      <c r="E50" s="36" t="n">
        <v>0</v>
      </c>
      <c r="F50" s="36" t="n">
        <v>68242.76</v>
      </c>
      <c r="G50" s="36" t="n">
        <v>68242.76</v>
      </c>
      <c r="H50" s="36" t="n">
        <v>41826.2</v>
      </c>
      <c r="I50" s="37" t="s">
        <v>112</v>
      </c>
      <c r="J50" s="38" t="n">
        <v>15</v>
      </c>
    </row>
    <row r="51" customFormat="false" ht="15" hidden="false" customHeight="false" outlineLevel="0" collapsed="false">
      <c r="B51" s="31" t="s">
        <v>121</v>
      </c>
      <c r="C51" s="32" t="n">
        <v>55647.6</v>
      </c>
      <c r="D51" s="32" t="n">
        <v>0</v>
      </c>
      <c r="E51" s="32" t="n">
        <v>0</v>
      </c>
      <c r="F51" s="32" t="n">
        <v>927.46</v>
      </c>
      <c r="G51" s="32" t="n">
        <v>927.46</v>
      </c>
      <c r="H51" s="32" t="n">
        <v>54720.14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122</v>
      </c>
      <c r="C52" s="36" t="n">
        <v>111.85</v>
      </c>
      <c r="D52" s="36" t="n">
        <v>67.11</v>
      </c>
      <c r="E52" s="36" t="n">
        <v>0</v>
      </c>
      <c r="F52" s="36" t="n">
        <v>76.06</v>
      </c>
      <c r="G52" s="36" t="n">
        <v>76.06</v>
      </c>
      <c r="H52" s="36" t="n">
        <v>35.79</v>
      </c>
      <c r="I52" s="37" t="s">
        <v>114</v>
      </c>
      <c r="J52" s="38" t="n">
        <v>5</v>
      </c>
    </row>
    <row r="53" customFormat="false" ht="15" hidden="false" customHeight="false" outlineLevel="0" collapsed="false">
      <c r="B53" s="31" t="s">
        <v>123</v>
      </c>
      <c r="C53" s="32" t="n">
        <v>14202.41</v>
      </c>
      <c r="D53" s="32" t="n">
        <v>8521.45</v>
      </c>
      <c r="E53" s="32" t="n">
        <v>0</v>
      </c>
      <c r="F53" s="32" t="n">
        <v>8805.5</v>
      </c>
      <c r="G53" s="32" t="n">
        <v>8805.5</v>
      </c>
      <c r="H53" s="32" t="n">
        <v>5396.91</v>
      </c>
      <c r="I53" s="33" t="s">
        <v>112</v>
      </c>
      <c r="J53" s="34" t="n">
        <v>15</v>
      </c>
    </row>
    <row r="54" customFormat="false" ht="15" hidden="false" customHeight="false" outlineLevel="0" collapsed="false">
      <c r="B54" s="35" t="s">
        <v>124</v>
      </c>
      <c r="C54" s="36" t="n">
        <v>7180.32</v>
      </c>
      <c r="D54" s="36" t="n">
        <v>0</v>
      </c>
      <c r="E54" s="36" t="n">
        <v>0</v>
      </c>
      <c r="F54" s="36" t="n">
        <v>119.67</v>
      </c>
      <c r="G54" s="36" t="n">
        <v>119.67</v>
      </c>
      <c r="H54" s="36" t="n">
        <v>7060.65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125</v>
      </c>
      <c r="C55" s="32" t="n">
        <v>209.72</v>
      </c>
      <c r="D55" s="32" t="n">
        <v>125.83</v>
      </c>
      <c r="E55" s="32" t="n">
        <v>0</v>
      </c>
      <c r="F55" s="32" t="n">
        <v>142.61</v>
      </c>
      <c r="G55" s="32" t="n">
        <v>142.61</v>
      </c>
      <c r="H55" s="32" t="n">
        <v>67.11</v>
      </c>
      <c r="I55" s="33" t="s">
        <v>114</v>
      </c>
      <c r="J55" s="34" t="n">
        <v>5</v>
      </c>
    </row>
    <row r="56" customFormat="false" ht="15" hidden="false" customHeight="false" outlineLevel="0" collapsed="false">
      <c r="B56" s="35" t="s">
        <v>126</v>
      </c>
      <c r="C56" s="36" t="n">
        <v>26629.61</v>
      </c>
      <c r="D56" s="36" t="n">
        <v>15977.77</v>
      </c>
      <c r="E56" s="36" t="n">
        <v>0</v>
      </c>
      <c r="F56" s="36" t="n">
        <v>16510.36</v>
      </c>
      <c r="G56" s="36" t="n">
        <v>16510.36</v>
      </c>
      <c r="H56" s="36" t="n">
        <v>10119.25</v>
      </c>
      <c r="I56" s="37" t="s">
        <v>112</v>
      </c>
      <c r="J56" s="38" t="n">
        <v>15</v>
      </c>
    </row>
    <row r="57" customFormat="false" ht="15" hidden="false" customHeight="false" outlineLevel="0" collapsed="false">
      <c r="B57" s="31" t="s">
        <v>127</v>
      </c>
      <c r="C57" s="32" t="n">
        <v>13463.14</v>
      </c>
      <c r="D57" s="32" t="n">
        <v>0</v>
      </c>
      <c r="E57" s="32" t="n">
        <v>0</v>
      </c>
      <c r="F57" s="32" t="n">
        <v>224.39</v>
      </c>
      <c r="G57" s="32" t="n">
        <v>224.39</v>
      </c>
      <c r="H57" s="32" t="n">
        <v>13238.75</v>
      </c>
      <c r="I57" s="33" t="s">
        <v>110</v>
      </c>
      <c r="J57" s="34" t="n">
        <v>27.5</v>
      </c>
    </row>
    <row r="58" customFormat="false" ht="15" hidden="false" customHeight="false" outlineLevel="0" collapsed="false">
      <c r="B58" s="35" t="s">
        <v>128</v>
      </c>
      <c r="C58" s="36" t="n">
        <v>3992.15</v>
      </c>
      <c r="D58" s="36" t="n">
        <v>2395.29</v>
      </c>
      <c r="E58" s="36" t="n">
        <v>0</v>
      </c>
      <c r="F58" s="36" t="n">
        <v>2714.66</v>
      </c>
      <c r="G58" s="36" t="n">
        <v>2714.66</v>
      </c>
      <c r="H58" s="36" t="n">
        <v>1277.49</v>
      </c>
      <c r="I58" s="37" t="s">
        <v>114</v>
      </c>
      <c r="J58" s="38" t="n">
        <v>5</v>
      </c>
    </row>
    <row r="59" customFormat="false" ht="15" hidden="false" customHeight="false" outlineLevel="0" collapsed="false">
      <c r="B59" s="31" t="s">
        <v>129</v>
      </c>
      <c r="C59" s="32" t="n">
        <v>506909.01</v>
      </c>
      <c r="D59" s="32" t="n">
        <v>304145.41</v>
      </c>
      <c r="E59" s="32" t="n">
        <v>0</v>
      </c>
      <c r="F59" s="32" t="n">
        <v>314283.59</v>
      </c>
      <c r="G59" s="32" t="n">
        <v>314283.59</v>
      </c>
      <c r="H59" s="32" t="n">
        <v>192625.42</v>
      </c>
      <c r="I59" s="33" t="s">
        <v>112</v>
      </c>
      <c r="J59" s="34" t="n">
        <v>15</v>
      </c>
    </row>
    <row r="60" customFormat="false" ht="15" hidden="false" customHeight="false" outlineLevel="0" collapsed="false">
      <c r="B60" s="35" t="s">
        <v>130</v>
      </c>
      <c r="C60" s="36" t="n">
        <v>256278.16</v>
      </c>
      <c r="D60" s="36" t="n">
        <v>0</v>
      </c>
      <c r="E60" s="36" t="n">
        <v>0</v>
      </c>
      <c r="F60" s="36" t="n">
        <v>4271.3</v>
      </c>
      <c r="G60" s="36" t="n">
        <v>4271.3</v>
      </c>
      <c r="H60" s="36" t="n">
        <v>252006.86</v>
      </c>
      <c r="I60" s="37" t="s">
        <v>110</v>
      </c>
      <c r="J60" s="38" t="n">
        <v>27.5</v>
      </c>
    </row>
    <row r="61" customFormat="false" ht="15" hidden="false" customHeight="false" outlineLevel="0" collapsed="false">
      <c r="B61" s="31" t="s">
        <v>131</v>
      </c>
      <c r="C61" s="32" t="n">
        <v>515.12</v>
      </c>
      <c r="D61" s="32" t="n">
        <v>309.07</v>
      </c>
      <c r="E61" s="32" t="n">
        <v>0</v>
      </c>
      <c r="F61" s="32" t="n">
        <v>350.28</v>
      </c>
      <c r="G61" s="32" t="n">
        <v>350.28</v>
      </c>
      <c r="H61" s="32" t="n">
        <v>164.84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132</v>
      </c>
      <c r="C62" s="36" t="n">
        <v>65407.6</v>
      </c>
      <c r="D62" s="36" t="n">
        <v>39244.56</v>
      </c>
      <c r="E62" s="36" t="n">
        <v>0</v>
      </c>
      <c r="F62" s="36" t="n">
        <v>40552.71</v>
      </c>
      <c r="G62" s="36" t="n">
        <v>40552.71</v>
      </c>
      <c r="H62" s="36" t="n">
        <v>24854.89</v>
      </c>
      <c r="I62" s="37" t="s">
        <v>112</v>
      </c>
      <c r="J62" s="38" t="n">
        <v>15</v>
      </c>
    </row>
    <row r="63" customFormat="false" ht="15" hidden="false" customHeight="false" outlineLevel="0" collapsed="false">
      <c r="B63" s="31" t="s">
        <v>133</v>
      </c>
      <c r="C63" s="32" t="n">
        <v>33068.14</v>
      </c>
      <c r="D63" s="32" t="n">
        <v>0</v>
      </c>
      <c r="E63" s="32" t="n">
        <v>0</v>
      </c>
      <c r="F63" s="32" t="n">
        <v>551.14</v>
      </c>
      <c r="G63" s="32" t="n">
        <v>551.14</v>
      </c>
      <c r="H63" s="32" t="n">
        <v>32517</v>
      </c>
      <c r="I63" s="33" t="s">
        <v>110</v>
      </c>
      <c r="J63" s="34" t="n">
        <v>27.5</v>
      </c>
    </row>
    <row r="64" customFormat="false" ht="15" hidden="false" customHeight="false" outlineLevel="0" collapsed="false">
      <c r="B64" s="35" t="s">
        <v>134</v>
      </c>
      <c r="C64" s="36" t="n">
        <v>965.84</v>
      </c>
      <c r="D64" s="36" t="n">
        <v>579.5</v>
      </c>
      <c r="E64" s="36" t="n">
        <v>0</v>
      </c>
      <c r="F64" s="36" t="n">
        <v>656.77</v>
      </c>
      <c r="G64" s="36" t="n">
        <v>656.77</v>
      </c>
      <c r="H64" s="36" t="n">
        <v>309.07</v>
      </c>
      <c r="I64" s="37" t="s">
        <v>114</v>
      </c>
      <c r="J64" s="38" t="n">
        <v>5</v>
      </c>
    </row>
    <row r="65" customFormat="false" ht="15" hidden="false" customHeight="false" outlineLevel="0" collapsed="false">
      <c r="B65" s="31" t="s">
        <v>135</v>
      </c>
      <c r="C65" s="32" t="n">
        <v>122639.3</v>
      </c>
      <c r="D65" s="32" t="n">
        <v>73583.58</v>
      </c>
      <c r="E65" s="32" t="n">
        <v>0</v>
      </c>
      <c r="F65" s="32" t="n">
        <v>76036.37</v>
      </c>
      <c r="G65" s="32" t="n">
        <v>76036.37</v>
      </c>
      <c r="H65" s="32" t="n">
        <v>46602.93</v>
      </c>
      <c r="I65" s="33" t="s">
        <v>112</v>
      </c>
      <c r="J65" s="34" t="n">
        <v>15</v>
      </c>
    </row>
    <row r="66" customFormat="false" ht="15" hidden="false" customHeight="false" outlineLevel="0" collapsed="false">
      <c r="B66" s="35" t="s">
        <v>136</v>
      </c>
      <c r="C66" s="36" t="n">
        <v>62002.79</v>
      </c>
      <c r="D66" s="36" t="n">
        <v>0</v>
      </c>
      <c r="E66" s="36" t="n">
        <v>0</v>
      </c>
      <c r="F66" s="36" t="n">
        <v>1033.38</v>
      </c>
      <c r="G66" s="36" t="n">
        <v>1033.38</v>
      </c>
      <c r="H66" s="36" t="n">
        <v>60969.41</v>
      </c>
      <c r="I66" s="37" t="s">
        <v>110</v>
      </c>
      <c r="J66" s="38" t="n">
        <v>27.5</v>
      </c>
    </row>
    <row r="67" customFormat="false" ht="15" hidden="false" customHeight="false" outlineLevel="0" collapsed="false">
      <c r="A67" s="10"/>
      <c r="B67" s="11" t="s">
        <v>32</v>
      </c>
      <c r="C67" s="39" t="n">
        <f aca="false">SUM(C49:C66)</f>
        <v>1280158.57</v>
      </c>
      <c r="D67" s="39" t="n">
        <f aca="false">SUM(D49:D66)</f>
        <v>511511.06</v>
      </c>
      <c r="E67" s="39" t="n">
        <f aca="false">SUM(E49:E66)</f>
        <v>0</v>
      </c>
      <c r="F67" s="39" t="n">
        <f aca="false">SUM(F49:F66)</f>
        <v>536088.47</v>
      </c>
      <c r="G67" s="39" t="n">
        <f aca="false">SUM(G49:G66)</f>
        <v>536088.47</v>
      </c>
      <c r="H67" s="39" t="n">
        <f aca="false">SUM(H49:H66)</f>
        <v>744070.1</v>
      </c>
      <c r="I67" s="10"/>
      <c r="J67" s="10"/>
    </row>
    <row r="69" customFormat="false" ht="15" hidden="false" customHeight="false" outlineLevel="0" collapsed="false">
      <c r="A69" s="27" t="s">
        <v>64</v>
      </c>
      <c r="B69" s="27"/>
      <c r="C69" s="27"/>
      <c r="D69" s="27"/>
      <c r="E69" s="27"/>
    </row>
    <row r="70" customFormat="false" ht="15" hidden="false" customHeight="false" outlineLevel="0" collapsed="false">
      <c r="B70" s="8" t="s">
        <v>137</v>
      </c>
      <c r="C70" s="41" t="n">
        <f aca="false">G45</f>
        <v>243079.61</v>
      </c>
    </row>
    <row r="71" customFormat="false" ht="15" hidden="false" customHeight="false" outlineLevel="0" collapsed="false">
      <c r="B71" s="8" t="s">
        <v>138</v>
      </c>
      <c r="C71" s="41" t="n">
        <f aca="false">G67</f>
        <v>536088.47</v>
      </c>
    </row>
    <row r="72" customFormat="false" ht="15" hidden="false" customHeight="false" outlineLevel="0" collapsed="false">
      <c r="B72" s="17" t="s">
        <v>64</v>
      </c>
      <c r="C72" s="42" t="n">
        <f aca="false">C71-C70</f>
        <v>293008.86</v>
      </c>
    </row>
  </sheetData>
  <mergeCells count="12">
    <mergeCell ref="A2:J2"/>
    <mergeCell ref="A3:J3"/>
    <mergeCell ref="A4:J4"/>
    <mergeCell ref="A8:J8"/>
    <mergeCell ref="B10:J10"/>
    <mergeCell ref="B12:J12"/>
    <mergeCell ref="B23:J23"/>
    <mergeCell ref="B27:J27"/>
    <mergeCell ref="A36:J36"/>
    <mergeCell ref="A37:J37"/>
    <mergeCell ref="A47:J47"/>
    <mergeCell ref="A69:E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139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140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12358.73</v>
      </c>
      <c r="D11" s="16" t="n">
        <v>12358.73</v>
      </c>
    </row>
    <row r="12" customFormat="false" ht="15" hidden="false" customHeight="false" outlineLevel="0" collapsed="false">
      <c r="B12" s="8" t="s">
        <v>142</v>
      </c>
      <c r="C12" s="16" t="n">
        <v>5146.33</v>
      </c>
      <c r="D12" s="16" t="n">
        <v>5146.33</v>
      </c>
    </row>
    <row r="13" customFormat="false" ht="15" hidden="false" customHeight="false" outlineLevel="0" collapsed="false">
      <c r="B13" s="8" t="s">
        <v>143</v>
      </c>
      <c r="C13" s="16" t="n">
        <v>15651.6</v>
      </c>
      <c r="D13" s="16" t="n">
        <v>15651.6</v>
      </c>
    </row>
    <row r="14" customFormat="false" ht="15" hidden="false" customHeight="false" outlineLevel="0" collapsed="false">
      <c r="B14" s="8" t="s">
        <v>144</v>
      </c>
      <c r="C14" s="16" t="n">
        <v>4419.8</v>
      </c>
      <c r="D14" s="16" t="n">
        <v>4419.8</v>
      </c>
    </row>
    <row r="15" customFormat="false" ht="15" hidden="false" customHeight="false" outlineLevel="0" collapsed="false">
      <c r="B15" s="8" t="s">
        <v>145</v>
      </c>
      <c r="C15" s="16" t="n">
        <v>171.07</v>
      </c>
      <c r="D15" s="16" t="n">
        <v>171.07</v>
      </c>
    </row>
    <row r="16" customFormat="false" ht="15" hidden="false" customHeight="false" outlineLevel="0" collapsed="false">
      <c r="B16" s="8" t="s">
        <v>146</v>
      </c>
      <c r="C16" s="16" t="n">
        <v>2691.07</v>
      </c>
      <c r="D16" s="16" t="n">
        <v>2691.07</v>
      </c>
    </row>
    <row r="17" customFormat="false" ht="15" hidden="false" customHeight="false" outlineLevel="0" collapsed="false">
      <c r="B17" s="8" t="s">
        <v>147</v>
      </c>
      <c r="C17" s="16" t="n">
        <v>4781.49</v>
      </c>
      <c r="D17" s="16" t="n">
        <v>4781.49</v>
      </c>
    </row>
    <row r="18" customFormat="false" ht="15" hidden="false" customHeight="false" outlineLevel="0" collapsed="false">
      <c r="B18" s="8" t="s">
        <v>148</v>
      </c>
      <c r="C18" s="16" t="n">
        <v>4922.4</v>
      </c>
      <c r="D18" s="16" t="n">
        <v>4922.4</v>
      </c>
    </row>
    <row r="19" customFormat="false" ht="15" hidden="false" customHeight="false" outlineLevel="0" collapsed="false">
      <c r="B19" s="8" t="s">
        <v>149</v>
      </c>
      <c r="C19" s="16" t="n">
        <v>1746.74</v>
      </c>
      <c r="D19" s="16" t="n">
        <v>1746.74</v>
      </c>
    </row>
    <row r="20" customFormat="false" ht="15" hidden="false" customHeight="false" outlineLevel="0" collapsed="false">
      <c r="B20" s="8" t="s">
        <v>77</v>
      </c>
      <c r="C20" s="16" t="n">
        <v>66.45</v>
      </c>
      <c r="D20" s="16" t="n">
        <v>66.45</v>
      </c>
    </row>
    <row r="21" customFormat="false" ht="15" hidden="false" customHeight="false" outlineLevel="0" collapsed="false">
      <c r="B21" s="8" t="s">
        <v>150</v>
      </c>
      <c r="C21" s="16" t="n">
        <v>1604.32</v>
      </c>
      <c r="D21" s="16" t="n">
        <v>1604.32</v>
      </c>
    </row>
    <row r="22" customFormat="false" ht="15" hidden="false" customHeight="false" outlineLevel="0" collapsed="false">
      <c r="B22" s="8" t="s">
        <v>151</v>
      </c>
      <c r="C22" s="16" t="n">
        <v>3270.44</v>
      </c>
      <c r="D22" s="16" t="n">
        <v>3270.44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20094.44</v>
      </c>
      <c r="G24" s="16" t="n">
        <v>20094.44</v>
      </c>
    </row>
    <row r="25" customFormat="false" ht="15" hidden="false" customHeight="false" outlineLevel="0" collapsed="false">
      <c r="B25" s="8" t="s">
        <v>154</v>
      </c>
      <c r="C25" s="16" t="n">
        <v>17223.81</v>
      </c>
      <c r="G25" s="16" t="n">
        <v>17223.81</v>
      </c>
    </row>
    <row r="26" customFormat="false" ht="15" hidden="false" customHeight="false" outlineLevel="0" collapsed="false">
      <c r="B26" s="8" t="s">
        <v>155</v>
      </c>
      <c r="C26" s="16" t="n">
        <v>20094.44</v>
      </c>
      <c r="G26" s="16" t="n">
        <v>20094.44</v>
      </c>
    </row>
    <row r="27" customFormat="false" ht="15" hidden="false" customHeight="false" outlineLevel="0" collapsed="false">
      <c r="B27" s="8" t="s">
        <v>156</v>
      </c>
      <c r="C27" s="16" t="n">
        <v>15788.49</v>
      </c>
      <c r="G27" s="16" t="n">
        <v>15788.49</v>
      </c>
    </row>
    <row r="28" customFormat="false" ht="15" hidden="false" customHeight="false" outlineLevel="0" collapsed="false">
      <c r="B28" s="8" t="s">
        <v>157</v>
      </c>
      <c r="C28" s="16" t="n">
        <v>2296.51</v>
      </c>
      <c r="G28" s="16" t="n">
        <v>2296.51</v>
      </c>
    </row>
    <row r="29" customFormat="false" ht="15" hidden="false" customHeight="false" outlineLevel="0" collapsed="false">
      <c r="B29" s="8" t="s">
        <v>158</v>
      </c>
      <c r="C29" s="16" t="n">
        <v>17223.81</v>
      </c>
      <c r="G29" s="16" t="n">
        <v>17223.81</v>
      </c>
    </row>
    <row r="30" customFormat="false" ht="15" hidden="false" customHeight="false" outlineLevel="0" collapsed="false">
      <c r="B30" s="8" t="s">
        <v>159</v>
      </c>
      <c r="C30" s="16" t="n">
        <v>14353.17</v>
      </c>
      <c r="G30" s="16" t="n">
        <v>14353.17</v>
      </c>
    </row>
    <row r="31" customFormat="false" ht="15" hidden="false" customHeight="false" outlineLevel="0" collapsed="false">
      <c r="B31" s="8" t="s">
        <v>160</v>
      </c>
      <c r="C31" s="16" t="n">
        <v>12917.86</v>
      </c>
      <c r="G31" s="16" t="n">
        <v>12917.86</v>
      </c>
    </row>
    <row r="32" customFormat="false" ht="15" hidden="false" customHeight="false" outlineLevel="0" collapsed="false">
      <c r="B32" s="8" t="s">
        <v>161</v>
      </c>
      <c r="C32" s="16" t="n">
        <v>11482.54</v>
      </c>
      <c r="G32" s="16" t="n">
        <v>11482.54</v>
      </c>
    </row>
    <row r="33" customFormat="false" ht="15" hidden="false" customHeight="false" outlineLevel="0" collapsed="false">
      <c r="B33" s="8" t="s">
        <v>162</v>
      </c>
      <c r="C33" s="16" t="n">
        <v>31576.98</v>
      </c>
      <c r="G33" s="16" t="n">
        <v>31576.98</v>
      </c>
    </row>
    <row r="34" customFormat="false" ht="15" hidden="false" customHeight="false" outlineLevel="0" collapsed="false">
      <c r="B34" s="8" t="s">
        <v>163</v>
      </c>
      <c r="C34" s="16" t="n">
        <v>12917.86</v>
      </c>
      <c r="G34" s="16" t="n">
        <v>12917.86</v>
      </c>
    </row>
    <row r="35" customFormat="false" ht="15" hidden="false" customHeight="false" outlineLevel="0" collapsed="false">
      <c r="B35" s="8" t="s">
        <v>164</v>
      </c>
      <c r="C35" s="16" t="n">
        <v>2296.51</v>
      </c>
      <c r="G35" s="16" t="n">
        <v>2296.51</v>
      </c>
    </row>
    <row r="36" customFormat="false" ht="15" hidden="false" customHeight="false" outlineLevel="0" collapsed="false">
      <c r="B36" s="8" t="s">
        <v>165</v>
      </c>
      <c r="C36" s="16" t="n">
        <v>77507.14</v>
      </c>
      <c r="G36" s="16" t="n">
        <v>77507.14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312604</v>
      </c>
      <c r="D37" s="26" t="n">
        <f aca="false">SUM(D10:D36)</f>
        <v>56830.44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255773.56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37572.98</v>
      </c>
      <c r="D40" s="16" t="n">
        <v>1423.53</v>
      </c>
      <c r="G40" s="16" t="n">
        <v>31002.86</v>
      </c>
    </row>
    <row r="41" customFormat="false" ht="15" hidden="false" customHeight="false" outlineLevel="0" collapsed="false">
      <c r="B41" s="8" t="s">
        <v>166</v>
      </c>
      <c r="C41" s="16" t="n">
        <v>4821.87</v>
      </c>
      <c r="D41" s="16" t="n">
        <v>186.15</v>
      </c>
      <c r="G41" s="16" t="n">
        <v>3978.7</v>
      </c>
    </row>
    <row r="42" customFormat="false" ht="15" hidden="false" customHeight="false" outlineLevel="0" collapsed="false">
      <c r="B42" s="8" t="s">
        <v>94</v>
      </c>
      <c r="C42" s="16" t="n">
        <v>9080.14</v>
      </c>
      <c r="D42" s="16" t="n">
        <v>361.36</v>
      </c>
      <c r="G42" s="16" t="n">
        <v>7492.36</v>
      </c>
    </row>
    <row r="43" customFormat="false" ht="15" hidden="false" customHeight="false" outlineLevel="0" collapsed="false">
      <c r="B43" s="8" t="s">
        <v>95</v>
      </c>
      <c r="C43" s="16" t="n">
        <v>171165.78</v>
      </c>
      <c r="D43" s="16" t="n">
        <v>6484.95</v>
      </c>
      <c r="G43" s="16" t="n">
        <v>141235.23</v>
      </c>
    </row>
    <row r="44" customFormat="false" ht="15" hidden="false" customHeight="false" outlineLevel="0" collapsed="false">
      <c r="B44" s="8" t="s">
        <v>167</v>
      </c>
      <c r="C44" s="16" t="n">
        <v>21966.27</v>
      </c>
      <c r="D44" s="16" t="n">
        <v>848.03</v>
      </c>
      <c r="G44" s="16" t="n">
        <v>18125.19</v>
      </c>
    </row>
    <row r="45" customFormat="false" ht="15" hidden="false" customHeight="false" outlineLevel="0" collapsed="false">
      <c r="B45" s="8" t="s">
        <v>97</v>
      </c>
      <c r="C45" s="16" t="n">
        <v>41365.06</v>
      </c>
      <c r="D45" s="16" t="n">
        <v>1646.18</v>
      </c>
      <c r="G45" s="16" t="n">
        <v>34131.85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285972.1</v>
      </c>
      <c r="D46" s="26" t="n">
        <f aca="false">SUM(D40:D45)</f>
        <v>10950.2</v>
      </c>
      <c r="E46" s="24"/>
      <c r="F46" s="26" t="n">
        <f aca="false">SUM(F40:F45)</f>
        <v>0</v>
      </c>
      <c r="G46" s="26" t="n">
        <f aca="false">SUM(G40:G45)</f>
        <v>235966.19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168</v>
      </c>
      <c r="C51" s="32" t="n">
        <v>37572.97536</v>
      </c>
      <c r="D51" s="32" t="n">
        <v>0</v>
      </c>
      <c r="E51" s="32" t="n">
        <v>0</v>
      </c>
      <c r="F51" s="32" t="n">
        <v>627.468688512</v>
      </c>
      <c r="G51" s="32" t="n">
        <v>627.468688512</v>
      </c>
      <c r="H51" s="32" t="n">
        <v>36934.23477888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169</v>
      </c>
      <c r="C52" s="36" t="n">
        <v>4821.8651712</v>
      </c>
      <c r="D52" s="36" t="n">
        <v>2893.11910272</v>
      </c>
      <c r="E52" s="36" t="n">
        <v>0</v>
      </c>
      <c r="F52" s="36" t="n">
        <v>2965.447080288</v>
      </c>
      <c r="G52" s="36" t="n">
        <v>2965.447080288</v>
      </c>
      <c r="H52" s="36" t="n">
        <v>1856.418090912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170</v>
      </c>
      <c r="C53" s="32" t="n">
        <v>9080.135712</v>
      </c>
      <c r="D53" s="32" t="n">
        <v>5448.0814272</v>
      </c>
      <c r="E53" s="32" t="n">
        <v>0</v>
      </c>
      <c r="F53" s="32" t="n">
        <v>6174.49228416</v>
      </c>
      <c r="G53" s="32" t="n">
        <v>6174.49228416</v>
      </c>
      <c r="H53" s="32" t="n">
        <v>2905.64342784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171</v>
      </c>
      <c r="C54" s="36" t="n">
        <v>171165.77664</v>
      </c>
      <c r="D54" s="36" t="n">
        <v>0</v>
      </c>
      <c r="E54" s="36" t="n">
        <v>0</v>
      </c>
      <c r="F54" s="36" t="n">
        <v>2858.468469888</v>
      </c>
      <c r="G54" s="36" t="n">
        <v>2858.468469888</v>
      </c>
      <c r="H54" s="36" t="n">
        <v>168255.95843712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172</v>
      </c>
      <c r="C55" s="32" t="n">
        <v>21966.2746688</v>
      </c>
      <c r="D55" s="32" t="n">
        <v>13179.76480128</v>
      </c>
      <c r="E55" s="32" t="n">
        <v>0</v>
      </c>
      <c r="F55" s="32" t="n">
        <v>13509.258921312</v>
      </c>
      <c r="G55" s="32" t="n">
        <v>13509.258921312</v>
      </c>
      <c r="H55" s="32" t="n">
        <v>8457.015747488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173</v>
      </c>
      <c r="C56" s="36" t="n">
        <v>41365.062688</v>
      </c>
      <c r="D56" s="36" t="n">
        <v>24819.0376128</v>
      </c>
      <c r="E56" s="36" t="n">
        <v>0</v>
      </c>
      <c r="F56" s="36" t="n">
        <v>28128.24262784</v>
      </c>
      <c r="G56" s="36" t="n">
        <v>28128.24262784</v>
      </c>
      <c r="H56" s="36" t="n">
        <v>13236.82006016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285972.09024</v>
      </c>
      <c r="D57" s="39" t="n">
        <f aca="false">SUM(D51:D56)</f>
        <v>46340.002944</v>
      </c>
      <c r="E57" s="39" t="n">
        <f aca="false">SUM(E51:E56)</f>
        <v>0</v>
      </c>
      <c r="F57" s="39" t="n">
        <f aca="false">SUM(F51:F56)</f>
        <v>54263.378072</v>
      </c>
      <c r="G57" s="39" t="n">
        <f aca="false">SUM(G51:G56)</f>
        <v>54263.378072</v>
      </c>
      <c r="H57" s="39" t="n">
        <f aca="false">SUM(H51:H56)</f>
        <v>231646.0905424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174</v>
      </c>
      <c r="C61" s="32" t="n">
        <v>1440.2973888</v>
      </c>
      <c r="D61" s="32" t="n">
        <v>864.17843328</v>
      </c>
      <c r="E61" s="32" t="n">
        <v>0</v>
      </c>
      <c r="F61" s="32" t="n">
        <v>993.805198272</v>
      </c>
      <c r="G61" s="32" t="n">
        <v>993.805198272</v>
      </c>
      <c r="H61" s="32" t="n">
        <v>446.492190528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175</v>
      </c>
      <c r="C62" s="36" t="n">
        <v>36132.6779712</v>
      </c>
      <c r="D62" s="36" t="n">
        <v>0</v>
      </c>
      <c r="E62" s="36" t="n">
        <v>0</v>
      </c>
      <c r="F62" s="36" t="n">
        <v>603.41572211904</v>
      </c>
      <c r="G62" s="36" t="n">
        <v>603.41572211904</v>
      </c>
      <c r="H62" s="36" t="n">
        <v>35518.4224456896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176</v>
      </c>
      <c r="C63" s="32" t="n">
        <v>187.8648768</v>
      </c>
      <c r="D63" s="32" t="n">
        <v>112.71892608</v>
      </c>
      <c r="E63" s="32" t="n">
        <v>0</v>
      </c>
      <c r="F63" s="32" t="n">
        <v>129.626764992</v>
      </c>
      <c r="G63" s="32" t="n">
        <v>129.626764992</v>
      </c>
      <c r="H63" s="32" t="n">
        <v>58.238111808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177</v>
      </c>
      <c r="C64" s="36" t="n">
        <v>4634.0002944</v>
      </c>
      <c r="D64" s="36" t="n">
        <v>0</v>
      </c>
      <c r="E64" s="36" t="n">
        <v>0</v>
      </c>
      <c r="F64" s="36" t="n">
        <v>77.38780491648</v>
      </c>
      <c r="G64" s="36" t="n">
        <v>77.38780491648</v>
      </c>
      <c r="H64" s="36" t="n">
        <v>4555.2222893952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178</v>
      </c>
      <c r="C65" s="32" t="n">
        <v>3444.189408</v>
      </c>
      <c r="D65" s="32" t="n">
        <v>2066.5136448</v>
      </c>
      <c r="E65" s="32" t="n">
        <v>0</v>
      </c>
      <c r="F65" s="32" t="n">
        <v>2376.49069152</v>
      </c>
      <c r="G65" s="32" t="n">
        <v>2376.49069152</v>
      </c>
      <c r="H65" s="32" t="n">
        <v>1067.69871648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179</v>
      </c>
      <c r="C66" s="36" t="n">
        <v>5635.946304</v>
      </c>
      <c r="D66" s="36" t="n">
        <v>0</v>
      </c>
      <c r="E66" s="36" t="n">
        <v>0</v>
      </c>
      <c r="F66" s="36" t="n">
        <v>94.1203032768</v>
      </c>
      <c r="G66" s="36" t="n">
        <v>94.1203032768</v>
      </c>
      <c r="H66" s="36" t="n">
        <v>5540.135216832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180</v>
      </c>
      <c r="C67" s="32" t="n">
        <v>6561.3547712</v>
      </c>
      <c r="D67" s="32" t="n">
        <v>3936.81286272</v>
      </c>
      <c r="E67" s="32" t="n">
        <v>0</v>
      </c>
      <c r="F67" s="32" t="n">
        <v>4527.334792128</v>
      </c>
      <c r="G67" s="32" t="n">
        <v>4527.334792128</v>
      </c>
      <c r="H67" s="32" t="n">
        <v>2034.019979072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181</v>
      </c>
      <c r="C68" s="36" t="n">
        <v>164604.4218688</v>
      </c>
      <c r="D68" s="36" t="n">
        <v>0</v>
      </c>
      <c r="E68" s="36" t="n">
        <v>0</v>
      </c>
      <c r="F68" s="36" t="n">
        <v>2748.89384520896</v>
      </c>
      <c r="G68" s="36" t="n">
        <v>2748.89384520896</v>
      </c>
      <c r="H68" s="36" t="n">
        <v>161806.14669703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182</v>
      </c>
      <c r="C69" s="32" t="n">
        <v>855.8288832</v>
      </c>
      <c r="D69" s="32" t="n">
        <v>513.49732992</v>
      </c>
      <c r="E69" s="32" t="n">
        <v>0</v>
      </c>
      <c r="F69" s="32" t="n">
        <v>590.521929408</v>
      </c>
      <c r="G69" s="32" t="n">
        <v>590.521929408</v>
      </c>
      <c r="H69" s="32" t="n">
        <v>265.306953792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183</v>
      </c>
      <c r="C70" s="36" t="n">
        <v>21110.4457856</v>
      </c>
      <c r="D70" s="36" t="n">
        <v>0</v>
      </c>
      <c r="E70" s="36" t="n">
        <v>0</v>
      </c>
      <c r="F70" s="36" t="n">
        <v>352.54444461952</v>
      </c>
      <c r="G70" s="36" t="n">
        <v>352.54444461952</v>
      </c>
      <c r="H70" s="36" t="n">
        <v>20751.5682072448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184</v>
      </c>
      <c r="C71" s="32" t="n">
        <v>15690.196192</v>
      </c>
      <c r="D71" s="32" t="n">
        <v>9414.1177152</v>
      </c>
      <c r="E71" s="32" t="n">
        <v>0</v>
      </c>
      <c r="F71" s="32" t="n">
        <v>10826.23537248</v>
      </c>
      <c r="G71" s="32" t="n">
        <v>10826.23537248</v>
      </c>
      <c r="H71" s="32" t="n">
        <v>4863.96081952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185</v>
      </c>
      <c r="C72" s="36" t="n">
        <v>25674.866496</v>
      </c>
      <c r="D72" s="36" t="n">
        <v>0</v>
      </c>
      <c r="E72" s="36" t="n">
        <v>0</v>
      </c>
      <c r="F72" s="36" t="n">
        <v>428.7702704832</v>
      </c>
      <c r="G72" s="36" t="n">
        <v>428.7702704832</v>
      </c>
      <c r="H72" s="36" t="n">
        <v>25238.393765568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285972.09024</v>
      </c>
      <c r="D73" s="39" t="n">
        <f aca="false">SUM(D61:D72)</f>
        <v>16907.838912</v>
      </c>
      <c r="E73" s="39" t="n">
        <f aca="false">SUM(E61:E72)</f>
        <v>0</v>
      </c>
      <c r="F73" s="39" t="n">
        <f aca="false">SUM(F61:F72)</f>
        <v>23749.147139424</v>
      </c>
      <c r="G73" s="39" t="n">
        <f aca="false">SUM(G61:G72)</f>
        <v>23749.147139424</v>
      </c>
      <c r="H73" s="39" t="n">
        <f aca="false">SUM(H61:H72)</f>
        <v>262145.60539296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54263.378072</v>
      </c>
    </row>
    <row r="77" customFormat="false" ht="15" hidden="false" customHeight="false" outlineLevel="0" collapsed="false">
      <c r="B77" s="8" t="s">
        <v>138</v>
      </c>
      <c r="C77" s="41" t="n">
        <f aca="false">G73</f>
        <v>23749.147139424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-30514.230932576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186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187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9441.54</v>
      </c>
      <c r="D11" s="16" t="n">
        <v>9441.54</v>
      </c>
    </row>
    <row r="12" customFormat="false" ht="15" hidden="false" customHeight="false" outlineLevel="0" collapsed="false">
      <c r="B12" s="8" t="s">
        <v>142</v>
      </c>
      <c r="C12" s="16" t="n">
        <v>3931.58</v>
      </c>
      <c r="D12" s="16" t="n">
        <v>3931.58</v>
      </c>
    </row>
    <row r="13" customFormat="false" ht="15" hidden="false" customHeight="false" outlineLevel="0" collapsed="false">
      <c r="B13" s="8" t="s">
        <v>143</v>
      </c>
      <c r="C13" s="16" t="n">
        <v>11957.15</v>
      </c>
      <c r="D13" s="16" t="n">
        <v>11957.15</v>
      </c>
    </row>
    <row r="14" customFormat="false" ht="15" hidden="false" customHeight="false" outlineLevel="0" collapsed="false">
      <c r="B14" s="8" t="s">
        <v>144</v>
      </c>
      <c r="C14" s="16" t="n">
        <v>3376.54</v>
      </c>
      <c r="D14" s="16" t="n">
        <v>3376.54</v>
      </c>
    </row>
    <row r="15" customFormat="false" ht="15" hidden="false" customHeight="false" outlineLevel="0" collapsed="false">
      <c r="B15" s="8" t="s">
        <v>145</v>
      </c>
      <c r="C15" s="16" t="n">
        <v>130.69</v>
      </c>
      <c r="D15" s="16" t="n">
        <v>130.69</v>
      </c>
    </row>
    <row r="16" customFormat="false" ht="15" hidden="false" customHeight="false" outlineLevel="0" collapsed="false">
      <c r="B16" s="8" t="s">
        <v>146</v>
      </c>
      <c r="C16" s="16" t="n">
        <v>2055.86</v>
      </c>
      <c r="D16" s="16" t="n">
        <v>2055.86</v>
      </c>
    </row>
    <row r="17" customFormat="false" ht="15" hidden="false" customHeight="false" outlineLevel="0" collapsed="false">
      <c r="B17" s="8" t="s">
        <v>147</v>
      </c>
      <c r="C17" s="16" t="n">
        <v>3652.85</v>
      </c>
      <c r="D17" s="16" t="n">
        <v>3652.85</v>
      </c>
    </row>
    <row r="18" customFormat="false" ht="15" hidden="false" customHeight="false" outlineLevel="0" collapsed="false">
      <c r="B18" s="8" t="s">
        <v>148</v>
      </c>
      <c r="C18" s="16" t="n">
        <v>3760.5</v>
      </c>
      <c r="D18" s="16" t="n">
        <v>3760.5</v>
      </c>
    </row>
    <row r="19" customFormat="false" ht="15" hidden="false" customHeight="false" outlineLevel="0" collapsed="false">
      <c r="B19" s="8" t="s">
        <v>149</v>
      </c>
      <c r="C19" s="16" t="n">
        <v>1334.43</v>
      </c>
      <c r="D19" s="16" t="n">
        <v>1334.43</v>
      </c>
    </row>
    <row r="20" customFormat="false" ht="15" hidden="false" customHeight="false" outlineLevel="0" collapsed="false">
      <c r="B20" s="8" t="s">
        <v>77</v>
      </c>
      <c r="C20" s="16" t="n">
        <v>50.76</v>
      </c>
      <c r="D20" s="16" t="n">
        <v>50.76</v>
      </c>
    </row>
    <row r="21" customFormat="false" ht="15" hidden="false" customHeight="false" outlineLevel="0" collapsed="false">
      <c r="B21" s="8" t="s">
        <v>150</v>
      </c>
      <c r="C21" s="16" t="n">
        <v>1225.63</v>
      </c>
      <c r="D21" s="16" t="n">
        <v>1225.63</v>
      </c>
    </row>
    <row r="22" customFormat="false" ht="15" hidden="false" customHeight="false" outlineLevel="0" collapsed="false">
      <c r="B22" s="8" t="s">
        <v>151</v>
      </c>
      <c r="C22" s="16" t="n">
        <v>2498.48</v>
      </c>
      <c r="D22" s="16" t="n">
        <v>2498.48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15215.82</v>
      </c>
      <c r="G24" s="16" t="n">
        <v>15215.82</v>
      </c>
    </row>
    <row r="25" customFormat="false" ht="15" hidden="false" customHeight="false" outlineLevel="0" collapsed="false">
      <c r="B25" s="8" t="s">
        <v>154</v>
      </c>
      <c r="C25" s="16" t="n">
        <v>13042.13</v>
      </c>
      <c r="G25" s="16" t="n">
        <v>13042.13</v>
      </c>
    </row>
    <row r="26" customFormat="false" ht="15" hidden="false" customHeight="false" outlineLevel="0" collapsed="false">
      <c r="B26" s="8" t="s">
        <v>155</v>
      </c>
      <c r="C26" s="16" t="n">
        <v>15215.82</v>
      </c>
      <c r="G26" s="16" t="n">
        <v>15215.82</v>
      </c>
    </row>
    <row r="27" customFormat="false" ht="15" hidden="false" customHeight="false" outlineLevel="0" collapsed="false">
      <c r="B27" s="8" t="s">
        <v>156</v>
      </c>
      <c r="C27" s="16" t="n">
        <v>11955.29</v>
      </c>
      <c r="G27" s="16" t="n">
        <v>11955.29</v>
      </c>
    </row>
    <row r="28" customFormat="false" ht="15" hidden="false" customHeight="false" outlineLevel="0" collapsed="false">
      <c r="B28" s="8" t="s">
        <v>157</v>
      </c>
      <c r="C28" s="16" t="n">
        <v>1738.95</v>
      </c>
      <c r="G28" s="16" t="n">
        <v>1738.95</v>
      </c>
    </row>
    <row r="29" customFormat="false" ht="15" hidden="false" customHeight="false" outlineLevel="0" collapsed="false">
      <c r="B29" s="8" t="s">
        <v>158</v>
      </c>
      <c r="C29" s="16" t="n">
        <v>13042.13</v>
      </c>
      <c r="G29" s="16" t="n">
        <v>13042.13</v>
      </c>
    </row>
    <row r="30" customFormat="false" ht="15" hidden="false" customHeight="false" outlineLevel="0" collapsed="false">
      <c r="B30" s="8" t="s">
        <v>159</v>
      </c>
      <c r="C30" s="16" t="n">
        <v>10868.44</v>
      </c>
      <c r="G30" s="16" t="n">
        <v>10868.44</v>
      </c>
    </row>
    <row r="31" customFormat="false" ht="15" hidden="false" customHeight="false" outlineLevel="0" collapsed="false">
      <c r="B31" s="8" t="s">
        <v>160</v>
      </c>
      <c r="C31" s="16" t="n">
        <v>9781.6</v>
      </c>
      <c r="G31" s="16" t="n">
        <v>9781.6</v>
      </c>
    </row>
    <row r="32" customFormat="false" ht="15" hidden="false" customHeight="false" outlineLevel="0" collapsed="false">
      <c r="B32" s="8" t="s">
        <v>161</v>
      </c>
      <c r="C32" s="16" t="n">
        <v>8694.75</v>
      </c>
      <c r="G32" s="16" t="n">
        <v>8694.75</v>
      </c>
    </row>
    <row r="33" customFormat="false" ht="15" hidden="false" customHeight="false" outlineLevel="0" collapsed="false">
      <c r="B33" s="8" t="s">
        <v>162</v>
      </c>
      <c r="C33" s="16" t="n">
        <v>23910.58</v>
      </c>
      <c r="G33" s="16" t="n">
        <v>23910.58</v>
      </c>
    </row>
    <row r="34" customFormat="false" ht="15" hidden="false" customHeight="false" outlineLevel="0" collapsed="false">
      <c r="B34" s="8" t="s">
        <v>163</v>
      </c>
      <c r="C34" s="16" t="n">
        <v>9781.6</v>
      </c>
      <c r="G34" s="16" t="n">
        <v>9781.6</v>
      </c>
    </row>
    <row r="35" customFormat="false" ht="15" hidden="false" customHeight="false" outlineLevel="0" collapsed="false">
      <c r="B35" s="8" t="s">
        <v>164</v>
      </c>
      <c r="C35" s="16" t="n">
        <v>1738.95</v>
      </c>
      <c r="G35" s="16" t="n">
        <v>1738.95</v>
      </c>
    </row>
    <row r="36" customFormat="false" ht="15" hidden="false" customHeight="false" outlineLevel="0" collapsed="false">
      <c r="B36" s="8" t="s">
        <v>165</v>
      </c>
      <c r="C36" s="16" t="n">
        <v>58689.59</v>
      </c>
      <c r="G36" s="16" t="n">
        <v>58689.59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237091.66</v>
      </c>
      <c r="D37" s="26" t="n">
        <f aca="false">SUM(D10:D36)</f>
        <v>43416.01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193675.65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28704.15</v>
      </c>
      <c r="D40" s="16" t="n">
        <v>1132.8</v>
      </c>
      <c r="G40" s="16" t="n">
        <v>23475.84</v>
      </c>
    </row>
    <row r="41" customFormat="false" ht="15" hidden="false" customHeight="false" outlineLevel="0" collapsed="false">
      <c r="B41" s="8" t="s">
        <v>166</v>
      </c>
      <c r="C41" s="16" t="n">
        <v>3683.7</v>
      </c>
      <c r="D41" s="16" t="n">
        <v>148.14</v>
      </c>
      <c r="G41" s="16" t="n">
        <v>3012.73</v>
      </c>
    </row>
    <row r="42" customFormat="false" ht="15" hidden="false" customHeight="false" outlineLevel="0" collapsed="false">
      <c r="B42" s="8" t="s">
        <v>94</v>
      </c>
      <c r="C42" s="16" t="n">
        <v>6936.84</v>
      </c>
      <c r="D42" s="16" t="n">
        <v>287.56</v>
      </c>
      <c r="G42" s="16" t="n">
        <v>5673.33</v>
      </c>
    </row>
    <row r="43" customFormat="false" ht="15" hidden="false" customHeight="false" outlineLevel="0" collapsed="false">
      <c r="B43" s="8" t="s">
        <v>95</v>
      </c>
      <c r="C43" s="16" t="n">
        <v>130763.35</v>
      </c>
      <c r="D43" s="16" t="n">
        <v>5160.54</v>
      </c>
      <c r="G43" s="16" t="n">
        <v>106945.48</v>
      </c>
    </row>
    <row r="44" customFormat="false" ht="15" hidden="false" customHeight="false" outlineLevel="0" collapsed="false">
      <c r="B44" s="8" t="s">
        <v>167</v>
      </c>
      <c r="C44" s="16" t="n">
        <v>16781.3</v>
      </c>
      <c r="D44" s="16" t="n">
        <v>674.84</v>
      </c>
      <c r="G44" s="16" t="n">
        <v>13724.67</v>
      </c>
    </row>
    <row r="45" customFormat="false" ht="15" hidden="false" customHeight="false" outlineLevel="0" collapsed="false">
      <c r="B45" s="8" t="s">
        <v>97</v>
      </c>
      <c r="C45" s="16" t="n">
        <v>31601.14</v>
      </c>
      <c r="D45" s="16" t="n">
        <v>1309.98</v>
      </c>
      <c r="G45" s="16" t="n">
        <v>25845.16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218470.48</v>
      </c>
      <c r="D46" s="26" t="n">
        <f aca="false">SUM(D40:D45)</f>
        <v>8713.86</v>
      </c>
      <c r="E46" s="24"/>
      <c r="F46" s="26" t="n">
        <f aca="false">SUM(F40:F45)</f>
        <v>0</v>
      </c>
      <c r="G46" s="26" t="n">
        <f aca="false">SUM(G40:G45)</f>
        <v>178677.21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188</v>
      </c>
      <c r="C51" s="32" t="n">
        <v>28704.14928</v>
      </c>
      <c r="D51" s="32" t="n">
        <v>0</v>
      </c>
      <c r="E51" s="32" t="n">
        <v>0</v>
      </c>
      <c r="F51" s="32" t="n">
        <v>479.359292976</v>
      </c>
      <c r="G51" s="32" t="n">
        <v>479.359292976</v>
      </c>
      <c r="H51" s="32" t="n">
        <v>28216.17874224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189</v>
      </c>
      <c r="C52" s="36" t="n">
        <v>3683.6991576</v>
      </c>
      <c r="D52" s="36" t="n">
        <v>2210.21949456</v>
      </c>
      <c r="E52" s="36" t="n">
        <v>0</v>
      </c>
      <c r="F52" s="36" t="n">
        <v>2265.474981924</v>
      </c>
      <c r="G52" s="36" t="n">
        <v>2265.474981924</v>
      </c>
      <c r="H52" s="36" t="n">
        <v>1418.224175676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190</v>
      </c>
      <c r="C53" s="32" t="n">
        <v>6936.836076</v>
      </c>
      <c r="D53" s="32" t="n">
        <v>4162.1016456</v>
      </c>
      <c r="E53" s="32" t="n">
        <v>0</v>
      </c>
      <c r="F53" s="32" t="n">
        <v>4717.04853168</v>
      </c>
      <c r="G53" s="32" t="n">
        <v>4717.04853168</v>
      </c>
      <c r="H53" s="32" t="n">
        <v>2219.78754432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191</v>
      </c>
      <c r="C54" s="36" t="n">
        <v>130763.34672</v>
      </c>
      <c r="D54" s="36" t="n">
        <v>0</v>
      </c>
      <c r="E54" s="36" t="n">
        <v>0</v>
      </c>
      <c r="F54" s="36" t="n">
        <v>2183.747890224</v>
      </c>
      <c r="G54" s="36" t="n">
        <v>2183.747890224</v>
      </c>
      <c r="H54" s="36" t="n">
        <v>128540.36982576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192</v>
      </c>
      <c r="C55" s="32" t="n">
        <v>16781.2961624</v>
      </c>
      <c r="D55" s="32" t="n">
        <v>10068.77769744</v>
      </c>
      <c r="E55" s="32" t="n">
        <v>0</v>
      </c>
      <c r="F55" s="32" t="n">
        <v>10320.497139876</v>
      </c>
      <c r="G55" s="32" t="n">
        <v>10320.497139876</v>
      </c>
      <c r="H55" s="32" t="n">
        <v>6460.799022524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193</v>
      </c>
      <c r="C56" s="36" t="n">
        <v>31601.142124</v>
      </c>
      <c r="D56" s="36" t="n">
        <v>18960.6852744</v>
      </c>
      <c r="E56" s="36" t="n">
        <v>0</v>
      </c>
      <c r="F56" s="36" t="n">
        <v>21488.77664432</v>
      </c>
      <c r="G56" s="36" t="n">
        <v>21488.77664432</v>
      </c>
      <c r="H56" s="36" t="n">
        <v>10112.36547968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218470.46952</v>
      </c>
      <c r="D57" s="39" t="n">
        <f aca="false">SUM(D51:D56)</f>
        <v>35401.784112</v>
      </c>
      <c r="E57" s="39" t="n">
        <f aca="false">SUM(E51:E56)</f>
        <v>0</v>
      </c>
      <c r="F57" s="39" t="n">
        <f aca="false">SUM(F51:F56)</f>
        <v>41454.904481</v>
      </c>
      <c r="G57" s="39" t="n">
        <f aca="false">SUM(G51:G56)</f>
        <v>41454.904481</v>
      </c>
      <c r="H57" s="39" t="n">
        <f aca="false">SUM(H51:H56)</f>
        <v>176967.7247902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194</v>
      </c>
      <c r="C61" s="32" t="n">
        <v>1100.3257224</v>
      </c>
      <c r="D61" s="32" t="n">
        <v>660.19543344</v>
      </c>
      <c r="E61" s="32" t="n">
        <v>0</v>
      </c>
      <c r="F61" s="32" t="n">
        <v>759.224748456</v>
      </c>
      <c r="G61" s="32" t="n">
        <v>759.224748456</v>
      </c>
      <c r="H61" s="32" t="n">
        <v>341.100973944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195</v>
      </c>
      <c r="C62" s="36" t="n">
        <v>27603.8235576</v>
      </c>
      <c r="D62" s="36" t="n">
        <v>0</v>
      </c>
      <c r="E62" s="36" t="n">
        <v>0</v>
      </c>
      <c r="F62" s="36" t="n">
        <v>460.98385341192</v>
      </c>
      <c r="G62" s="36" t="n">
        <v>460.98385341192</v>
      </c>
      <c r="H62" s="36" t="n">
        <v>27134.5585571208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196</v>
      </c>
      <c r="C63" s="32" t="n">
        <v>143.5207464</v>
      </c>
      <c r="D63" s="32" t="n">
        <v>86.11244784</v>
      </c>
      <c r="E63" s="32" t="n">
        <v>0</v>
      </c>
      <c r="F63" s="32" t="n">
        <v>99.029315016</v>
      </c>
      <c r="G63" s="32" t="n">
        <v>99.029315016</v>
      </c>
      <c r="H63" s="32" t="n">
        <v>44.491431384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197</v>
      </c>
      <c r="C64" s="36" t="n">
        <v>3540.1784112</v>
      </c>
      <c r="D64" s="36" t="n">
        <v>0</v>
      </c>
      <c r="E64" s="36" t="n">
        <v>0</v>
      </c>
      <c r="F64" s="36" t="n">
        <v>59.12097946704</v>
      </c>
      <c r="G64" s="36" t="n">
        <v>59.12097946704</v>
      </c>
      <c r="H64" s="36" t="n">
        <v>3479.9953782096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198</v>
      </c>
      <c r="C65" s="32" t="n">
        <v>2631.213684</v>
      </c>
      <c r="D65" s="32" t="n">
        <v>1578.7282104</v>
      </c>
      <c r="E65" s="32" t="n">
        <v>0</v>
      </c>
      <c r="F65" s="32" t="n">
        <v>1815.53744196</v>
      </c>
      <c r="G65" s="32" t="n">
        <v>1815.53744196</v>
      </c>
      <c r="H65" s="32" t="n">
        <v>815.67624204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199</v>
      </c>
      <c r="C66" s="36" t="n">
        <v>4305.622392</v>
      </c>
      <c r="D66" s="36" t="n">
        <v>0</v>
      </c>
      <c r="E66" s="36" t="n">
        <v>0</v>
      </c>
      <c r="F66" s="36" t="n">
        <v>71.9038939464</v>
      </c>
      <c r="G66" s="36" t="n">
        <v>71.9038939464</v>
      </c>
      <c r="H66" s="36" t="n">
        <v>4232.426811336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200</v>
      </c>
      <c r="C67" s="32" t="n">
        <v>5012.5949576</v>
      </c>
      <c r="D67" s="32" t="n">
        <v>3007.55697456</v>
      </c>
      <c r="E67" s="32" t="n">
        <v>0</v>
      </c>
      <c r="F67" s="32" t="n">
        <v>3458.690520744</v>
      </c>
      <c r="G67" s="32" t="n">
        <v>3458.690520744</v>
      </c>
      <c r="H67" s="32" t="n">
        <v>1553.904436856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201</v>
      </c>
      <c r="C68" s="36" t="n">
        <v>125750.7517624</v>
      </c>
      <c r="D68" s="36" t="n">
        <v>0</v>
      </c>
      <c r="E68" s="36" t="n">
        <v>0</v>
      </c>
      <c r="F68" s="36" t="n">
        <v>2100.03755443208</v>
      </c>
      <c r="G68" s="36" t="n">
        <v>2100.03755443208</v>
      </c>
      <c r="H68" s="36" t="n">
        <v>123612.988982439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202</v>
      </c>
      <c r="C69" s="32" t="n">
        <v>653.8167336</v>
      </c>
      <c r="D69" s="32" t="n">
        <v>392.29004016</v>
      </c>
      <c r="E69" s="32" t="n">
        <v>0</v>
      </c>
      <c r="F69" s="32" t="n">
        <v>451.133546184</v>
      </c>
      <c r="G69" s="32" t="n">
        <v>451.133546184</v>
      </c>
      <c r="H69" s="32" t="n">
        <v>202.683187416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203</v>
      </c>
      <c r="C70" s="36" t="n">
        <v>16127.4794288</v>
      </c>
      <c r="D70" s="36" t="n">
        <v>0</v>
      </c>
      <c r="E70" s="36" t="n">
        <v>0</v>
      </c>
      <c r="F70" s="36" t="n">
        <v>269.32890646096</v>
      </c>
      <c r="G70" s="36" t="n">
        <v>269.32890646096</v>
      </c>
      <c r="H70" s="36" t="n">
        <v>15853.3122785104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204</v>
      </c>
      <c r="C71" s="32" t="n">
        <v>11986.640116</v>
      </c>
      <c r="D71" s="32" t="n">
        <v>7191.9840696</v>
      </c>
      <c r="E71" s="32" t="n">
        <v>0</v>
      </c>
      <c r="F71" s="32" t="n">
        <v>8270.78168004</v>
      </c>
      <c r="G71" s="32" t="n">
        <v>8270.78168004</v>
      </c>
      <c r="H71" s="32" t="n">
        <v>3715.85843596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205</v>
      </c>
      <c r="C72" s="36" t="n">
        <v>19614.502008</v>
      </c>
      <c r="D72" s="36" t="n">
        <v>0</v>
      </c>
      <c r="E72" s="36" t="n">
        <v>0</v>
      </c>
      <c r="F72" s="36" t="n">
        <v>327.5621835336</v>
      </c>
      <c r="G72" s="36" t="n">
        <v>327.5621835336</v>
      </c>
      <c r="H72" s="36" t="n">
        <v>19281.055473864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218470.46952</v>
      </c>
      <c r="D73" s="39" t="n">
        <f aca="false">SUM(D61:D72)</f>
        <v>12916.867176</v>
      </c>
      <c r="E73" s="39" t="n">
        <f aca="false">SUM(E61:E72)</f>
        <v>0</v>
      </c>
      <c r="F73" s="39" t="n">
        <f aca="false">SUM(F61:F72)</f>
        <v>18143.334623652</v>
      </c>
      <c r="G73" s="39" t="n">
        <f aca="false">SUM(G61:G72)</f>
        <v>18143.334623652</v>
      </c>
      <c r="H73" s="39" t="n">
        <f aca="false">SUM(H61:H72)</f>
        <v>200268.05218908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41454.904481</v>
      </c>
    </row>
    <row r="77" customFormat="false" ht="15" hidden="false" customHeight="false" outlineLevel="0" collapsed="false">
      <c r="B77" s="8" t="s">
        <v>138</v>
      </c>
      <c r="C77" s="41" t="n">
        <f aca="false">G73</f>
        <v>18143.334623652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-23311.569857348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206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207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7450.23</v>
      </c>
      <c r="D11" s="16" t="n">
        <v>7450.23</v>
      </c>
    </row>
    <row r="12" customFormat="false" ht="15" hidden="false" customHeight="false" outlineLevel="0" collapsed="false">
      <c r="B12" s="8" t="s">
        <v>142</v>
      </c>
      <c r="C12" s="16" t="n">
        <v>3102.37</v>
      </c>
      <c r="D12" s="16" t="n">
        <v>3102.37</v>
      </c>
    </row>
    <row r="13" customFormat="false" ht="15" hidden="false" customHeight="false" outlineLevel="0" collapsed="false">
      <c r="B13" s="8" t="s">
        <v>143</v>
      </c>
      <c r="C13" s="16" t="n">
        <v>9435.28</v>
      </c>
      <c r="D13" s="16" t="n">
        <v>9435.28</v>
      </c>
    </row>
    <row r="14" customFormat="false" ht="15" hidden="false" customHeight="false" outlineLevel="0" collapsed="false">
      <c r="B14" s="8" t="s">
        <v>144</v>
      </c>
      <c r="C14" s="16" t="n">
        <v>2664.39</v>
      </c>
      <c r="D14" s="16" t="n">
        <v>2664.39</v>
      </c>
    </row>
    <row r="15" customFormat="false" ht="15" hidden="false" customHeight="false" outlineLevel="0" collapsed="false">
      <c r="B15" s="8" t="s">
        <v>145</v>
      </c>
      <c r="C15" s="16" t="n">
        <v>103.13</v>
      </c>
      <c r="D15" s="16" t="n">
        <v>103.13</v>
      </c>
    </row>
    <row r="16" customFormat="false" ht="15" hidden="false" customHeight="false" outlineLevel="0" collapsed="false">
      <c r="B16" s="8" t="s">
        <v>146</v>
      </c>
      <c r="C16" s="16" t="n">
        <v>1622.26</v>
      </c>
      <c r="D16" s="16" t="n">
        <v>1622.26</v>
      </c>
    </row>
    <row r="17" customFormat="false" ht="15" hidden="false" customHeight="false" outlineLevel="0" collapsed="false">
      <c r="B17" s="8" t="s">
        <v>147</v>
      </c>
      <c r="C17" s="16" t="n">
        <v>2882.43</v>
      </c>
      <c r="D17" s="16" t="n">
        <v>2882.43</v>
      </c>
    </row>
    <row r="18" customFormat="false" ht="15" hidden="false" customHeight="false" outlineLevel="0" collapsed="false">
      <c r="B18" s="8" t="s">
        <v>148</v>
      </c>
      <c r="C18" s="16" t="n">
        <v>2967.38</v>
      </c>
      <c r="D18" s="16" t="n">
        <v>2967.38</v>
      </c>
    </row>
    <row r="19" customFormat="false" ht="15" hidden="false" customHeight="false" outlineLevel="0" collapsed="false">
      <c r="B19" s="8" t="s">
        <v>149</v>
      </c>
      <c r="C19" s="16" t="n">
        <v>1052.99</v>
      </c>
      <c r="D19" s="16" t="n">
        <v>1052.99</v>
      </c>
    </row>
    <row r="20" customFormat="false" ht="15" hidden="false" customHeight="false" outlineLevel="0" collapsed="false">
      <c r="B20" s="8" t="s">
        <v>77</v>
      </c>
      <c r="C20" s="16" t="n">
        <v>40.06</v>
      </c>
      <c r="D20" s="16" t="n">
        <v>40.06</v>
      </c>
    </row>
    <row r="21" customFormat="false" ht="15" hidden="false" customHeight="false" outlineLevel="0" collapsed="false">
      <c r="B21" s="8" t="s">
        <v>150</v>
      </c>
      <c r="C21" s="16" t="n">
        <v>967.13</v>
      </c>
      <c r="D21" s="16" t="n">
        <v>967.13</v>
      </c>
    </row>
    <row r="22" customFormat="false" ht="15" hidden="false" customHeight="false" outlineLevel="0" collapsed="false">
      <c r="B22" s="8" t="s">
        <v>151</v>
      </c>
      <c r="C22" s="16" t="n">
        <v>1971.52</v>
      </c>
      <c r="D22" s="16" t="n">
        <v>1971.52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11990.11</v>
      </c>
      <c r="G24" s="16" t="n">
        <v>11990.11</v>
      </c>
    </row>
    <row r="25" customFormat="false" ht="15" hidden="false" customHeight="false" outlineLevel="0" collapsed="false">
      <c r="B25" s="8" t="s">
        <v>154</v>
      </c>
      <c r="C25" s="16" t="n">
        <v>10277.23</v>
      </c>
      <c r="G25" s="16" t="n">
        <v>10277.23</v>
      </c>
    </row>
    <row r="26" customFormat="false" ht="15" hidden="false" customHeight="false" outlineLevel="0" collapsed="false">
      <c r="B26" s="8" t="s">
        <v>155</v>
      </c>
      <c r="C26" s="16" t="n">
        <v>11990.11</v>
      </c>
      <c r="G26" s="16" t="n">
        <v>11990.11</v>
      </c>
    </row>
    <row r="27" customFormat="false" ht="15" hidden="false" customHeight="false" outlineLevel="0" collapsed="false">
      <c r="B27" s="8" t="s">
        <v>156</v>
      </c>
      <c r="C27" s="16" t="n">
        <v>9420.8</v>
      </c>
      <c r="G27" s="16" t="n">
        <v>9420.8</v>
      </c>
    </row>
    <row r="28" customFormat="false" ht="15" hidden="false" customHeight="false" outlineLevel="0" collapsed="false">
      <c r="B28" s="8" t="s">
        <v>157</v>
      </c>
      <c r="C28" s="16" t="n">
        <v>1370.3</v>
      </c>
      <c r="G28" s="16" t="n">
        <v>1370.3</v>
      </c>
    </row>
    <row r="29" customFormat="false" ht="15" hidden="false" customHeight="false" outlineLevel="0" collapsed="false">
      <c r="B29" s="8" t="s">
        <v>158</v>
      </c>
      <c r="C29" s="16" t="n">
        <v>10277.23</v>
      </c>
      <c r="G29" s="16" t="n">
        <v>10277.23</v>
      </c>
    </row>
    <row r="30" customFormat="false" ht="15" hidden="false" customHeight="false" outlineLevel="0" collapsed="false">
      <c r="B30" s="8" t="s">
        <v>159</v>
      </c>
      <c r="C30" s="16" t="n">
        <v>8564.36</v>
      </c>
      <c r="G30" s="16" t="n">
        <v>8564.36</v>
      </c>
    </row>
    <row r="31" customFormat="false" ht="15" hidden="false" customHeight="false" outlineLevel="0" collapsed="false">
      <c r="B31" s="8" t="s">
        <v>160</v>
      </c>
      <c r="C31" s="16" t="n">
        <v>7707.93</v>
      </c>
      <c r="G31" s="16" t="n">
        <v>7707.93</v>
      </c>
    </row>
    <row r="32" customFormat="false" ht="15" hidden="false" customHeight="false" outlineLevel="0" collapsed="false">
      <c r="B32" s="8" t="s">
        <v>161</v>
      </c>
      <c r="C32" s="16" t="n">
        <v>6851.49</v>
      </c>
      <c r="G32" s="16" t="n">
        <v>6851.49</v>
      </c>
    </row>
    <row r="33" customFormat="false" ht="15" hidden="false" customHeight="false" outlineLevel="0" collapsed="false">
      <c r="B33" s="8" t="s">
        <v>162</v>
      </c>
      <c r="C33" s="16" t="n">
        <v>18841.6</v>
      </c>
      <c r="G33" s="16" t="n">
        <v>18841.6</v>
      </c>
    </row>
    <row r="34" customFormat="false" ht="15" hidden="false" customHeight="false" outlineLevel="0" collapsed="false">
      <c r="B34" s="8" t="s">
        <v>163</v>
      </c>
      <c r="C34" s="16" t="n">
        <v>7707.93</v>
      </c>
      <c r="G34" s="16" t="n">
        <v>7707.93</v>
      </c>
    </row>
    <row r="35" customFormat="false" ht="15" hidden="false" customHeight="false" outlineLevel="0" collapsed="false">
      <c r="B35" s="8" t="s">
        <v>164</v>
      </c>
      <c r="C35" s="16" t="n">
        <v>1370.3</v>
      </c>
      <c r="G35" s="16" t="n">
        <v>1370.3</v>
      </c>
    </row>
    <row r="36" customFormat="false" ht="15" hidden="false" customHeight="false" outlineLevel="0" collapsed="false">
      <c r="B36" s="8" t="s">
        <v>165</v>
      </c>
      <c r="C36" s="16" t="n">
        <v>46247.55</v>
      </c>
      <c r="G36" s="16" t="n">
        <v>46247.55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186876.11</v>
      </c>
      <c r="D37" s="26" t="n">
        <f aca="false">SUM(D10:D36)</f>
        <v>34259.17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152616.94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22650.17</v>
      </c>
      <c r="D40" s="16" t="n">
        <v>899.42</v>
      </c>
      <c r="G40" s="16" t="n">
        <v>18499.02</v>
      </c>
    </row>
    <row r="41" customFormat="false" ht="15" hidden="false" customHeight="false" outlineLevel="0" collapsed="false">
      <c r="B41" s="8" t="s">
        <v>166</v>
      </c>
      <c r="C41" s="16" t="n">
        <v>2906.77</v>
      </c>
      <c r="D41" s="16" t="n">
        <v>117.62</v>
      </c>
      <c r="G41" s="16" t="n">
        <v>2374.04</v>
      </c>
    </row>
    <row r="42" customFormat="false" ht="15" hidden="false" customHeight="false" outlineLevel="0" collapsed="false">
      <c r="B42" s="8" t="s">
        <v>94</v>
      </c>
      <c r="C42" s="16" t="n">
        <v>5473.79</v>
      </c>
      <c r="D42" s="16" t="n">
        <v>228.31</v>
      </c>
      <c r="G42" s="16" t="n">
        <v>4470.6</v>
      </c>
    </row>
    <row r="43" customFormat="false" ht="15" hidden="false" customHeight="false" outlineLevel="0" collapsed="false">
      <c r="B43" s="8" t="s">
        <v>95</v>
      </c>
      <c r="C43" s="16" t="n">
        <v>103184.1</v>
      </c>
      <c r="D43" s="16" t="n">
        <v>4097.34</v>
      </c>
      <c r="G43" s="16" t="n">
        <v>84273.32</v>
      </c>
    </row>
    <row r="44" customFormat="false" ht="15" hidden="false" customHeight="false" outlineLevel="0" collapsed="false">
      <c r="B44" s="8" t="s">
        <v>167</v>
      </c>
      <c r="C44" s="16" t="n">
        <v>13241.96</v>
      </c>
      <c r="D44" s="16" t="n">
        <v>535.81</v>
      </c>
      <c r="G44" s="16" t="n">
        <v>10815.08</v>
      </c>
    </row>
    <row r="45" customFormat="false" ht="15" hidden="false" customHeight="false" outlineLevel="0" collapsed="false">
      <c r="B45" s="8" t="s">
        <v>97</v>
      </c>
      <c r="C45" s="16" t="n">
        <v>24936.16</v>
      </c>
      <c r="D45" s="16" t="n">
        <v>1040.09</v>
      </c>
      <c r="G45" s="16" t="n">
        <v>20366.05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172392.95</v>
      </c>
      <c r="D46" s="26" t="n">
        <f aca="false">SUM(D40:D45)</f>
        <v>6918.59</v>
      </c>
      <c r="E46" s="24"/>
      <c r="F46" s="26" t="n">
        <f aca="false">SUM(F40:F45)</f>
        <v>0</v>
      </c>
      <c r="G46" s="26" t="n">
        <f aca="false">SUM(G40:G45)</f>
        <v>140798.11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208</v>
      </c>
      <c r="C51" s="32" t="n">
        <v>22650.16824</v>
      </c>
      <c r="D51" s="32" t="n">
        <v>0</v>
      </c>
      <c r="E51" s="32" t="n">
        <v>0</v>
      </c>
      <c r="F51" s="32" t="n">
        <v>378.257809608</v>
      </c>
      <c r="G51" s="32" t="n">
        <v>378.257809608</v>
      </c>
      <c r="H51" s="32" t="n">
        <v>22265.11537992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209</v>
      </c>
      <c r="C52" s="36" t="n">
        <v>2906.7715908</v>
      </c>
      <c r="D52" s="36" t="n">
        <v>1744.06295448</v>
      </c>
      <c r="E52" s="36" t="n">
        <v>0</v>
      </c>
      <c r="F52" s="36" t="n">
        <v>1787.664528342</v>
      </c>
      <c r="G52" s="36" t="n">
        <v>1787.664528342</v>
      </c>
      <c r="H52" s="36" t="n">
        <v>1119.107062458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210</v>
      </c>
      <c r="C53" s="32" t="n">
        <v>5473.790658</v>
      </c>
      <c r="D53" s="32" t="n">
        <v>3284.2743948</v>
      </c>
      <c r="E53" s="32" t="n">
        <v>0</v>
      </c>
      <c r="F53" s="32" t="n">
        <v>3722.17764744</v>
      </c>
      <c r="G53" s="32" t="n">
        <v>3722.17764744</v>
      </c>
      <c r="H53" s="32" t="n">
        <v>1751.61301056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211</v>
      </c>
      <c r="C54" s="36" t="n">
        <v>103184.09976</v>
      </c>
      <c r="D54" s="36" t="n">
        <v>0</v>
      </c>
      <c r="E54" s="36" t="n">
        <v>0</v>
      </c>
      <c r="F54" s="36" t="n">
        <v>1723.174465992</v>
      </c>
      <c r="G54" s="36" t="n">
        <v>1723.174465992</v>
      </c>
      <c r="H54" s="36" t="n">
        <v>101429.97006408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212</v>
      </c>
      <c r="C55" s="32" t="n">
        <v>13241.9594692</v>
      </c>
      <c r="D55" s="32" t="n">
        <v>7945.17568152</v>
      </c>
      <c r="E55" s="32" t="n">
        <v>0</v>
      </c>
      <c r="F55" s="32" t="n">
        <v>8143.805073558</v>
      </c>
      <c r="G55" s="32" t="n">
        <v>8143.805073558</v>
      </c>
      <c r="H55" s="32" t="n">
        <v>5098.154395642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213</v>
      </c>
      <c r="C56" s="36" t="n">
        <v>24936.157442</v>
      </c>
      <c r="D56" s="36" t="n">
        <v>14961.6944652</v>
      </c>
      <c r="E56" s="36" t="n">
        <v>0</v>
      </c>
      <c r="F56" s="36" t="n">
        <v>16956.58706056</v>
      </c>
      <c r="G56" s="36" t="n">
        <v>16956.58706056</v>
      </c>
      <c r="H56" s="36" t="n">
        <v>7979.57038144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172392.94716</v>
      </c>
      <c r="D57" s="39" t="n">
        <f aca="false">SUM(D51:D56)</f>
        <v>27935.207496</v>
      </c>
      <c r="E57" s="39" t="n">
        <f aca="false">SUM(E51:E56)</f>
        <v>0</v>
      </c>
      <c r="F57" s="39" t="n">
        <f aca="false">SUM(F51:F56)</f>
        <v>32711.6665855</v>
      </c>
      <c r="G57" s="39" t="n">
        <f aca="false">SUM(G51:G56)</f>
        <v>32711.6665855</v>
      </c>
      <c r="H57" s="39" t="n">
        <f aca="false">SUM(H51:H56)</f>
        <v>139643.5302941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214</v>
      </c>
      <c r="C61" s="32" t="n">
        <v>868.2564492</v>
      </c>
      <c r="D61" s="32" t="n">
        <v>520.95386952</v>
      </c>
      <c r="E61" s="32" t="n">
        <v>0</v>
      </c>
      <c r="F61" s="32" t="n">
        <v>599.096949948</v>
      </c>
      <c r="G61" s="32" t="n">
        <v>599.096949948</v>
      </c>
      <c r="H61" s="32" t="n">
        <v>269.159499252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215</v>
      </c>
      <c r="C62" s="36" t="n">
        <v>21781.9117908</v>
      </c>
      <c r="D62" s="36" t="n">
        <v>0</v>
      </c>
      <c r="E62" s="36" t="n">
        <v>0</v>
      </c>
      <c r="F62" s="36" t="n">
        <v>363.75792690636</v>
      </c>
      <c r="G62" s="36" t="n">
        <v>363.75792690636</v>
      </c>
      <c r="H62" s="36" t="n">
        <v>21411.6192903564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216</v>
      </c>
      <c r="C63" s="32" t="n">
        <v>113.2508412</v>
      </c>
      <c r="D63" s="32" t="n">
        <v>67.95050472</v>
      </c>
      <c r="E63" s="32" t="n">
        <v>0</v>
      </c>
      <c r="F63" s="32" t="n">
        <v>78.143080428</v>
      </c>
      <c r="G63" s="32" t="n">
        <v>78.143080428</v>
      </c>
      <c r="H63" s="32" t="n">
        <v>35.107760772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217</v>
      </c>
      <c r="C64" s="36" t="n">
        <v>2793.5207496</v>
      </c>
      <c r="D64" s="36" t="n">
        <v>0</v>
      </c>
      <c r="E64" s="36" t="n">
        <v>0</v>
      </c>
      <c r="F64" s="36" t="n">
        <v>46.65179651832</v>
      </c>
      <c r="G64" s="36" t="n">
        <v>46.65179651832</v>
      </c>
      <c r="H64" s="36" t="n">
        <v>2746.0308968568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218</v>
      </c>
      <c r="C65" s="32" t="n">
        <v>2076.265422</v>
      </c>
      <c r="D65" s="32" t="n">
        <v>1245.7592532</v>
      </c>
      <c r="E65" s="32" t="n">
        <v>0</v>
      </c>
      <c r="F65" s="32" t="n">
        <v>1432.62314118</v>
      </c>
      <c r="G65" s="32" t="n">
        <v>1432.62314118</v>
      </c>
      <c r="H65" s="32" t="n">
        <v>643.64228082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219</v>
      </c>
      <c r="C66" s="36" t="n">
        <v>3397.525236</v>
      </c>
      <c r="D66" s="36" t="n">
        <v>0</v>
      </c>
      <c r="E66" s="36" t="n">
        <v>0</v>
      </c>
      <c r="F66" s="36" t="n">
        <v>56.7386714412</v>
      </c>
      <c r="G66" s="36" t="n">
        <v>56.7386714412</v>
      </c>
      <c r="H66" s="36" t="n">
        <v>3339.767306988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220</v>
      </c>
      <c r="C67" s="32" t="n">
        <v>3955.3904908</v>
      </c>
      <c r="D67" s="32" t="n">
        <v>2373.23429448</v>
      </c>
      <c r="E67" s="32" t="n">
        <v>0</v>
      </c>
      <c r="F67" s="32" t="n">
        <v>2729.219438652</v>
      </c>
      <c r="G67" s="32" t="n">
        <v>2729.219438652</v>
      </c>
      <c r="H67" s="32" t="n">
        <v>1226.171052148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221</v>
      </c>
      <c r="C68" s="36" t="n">
        <v>99228.7092692</v>
      </c>
      <c r="D68" s="36" t="n">
        <v>0</v>
      </c>
      <c r="E68" s="36" t="n">
        <v>0</v>
      </c>
      <c r="F68" s="36" t="n">
        <v>1657.11944479564</v>
      </c>
      <c r="G68" s="36" t="n">
        <v>1657.11944479564</v>
      </c>
      <c r="H68" s="36" t="n">
        <v>97541.8212116236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222</v>
      </c>
      <c r="C69" s="32" t="n">
        <v>515.9204988</v>
      </c>
      <c r="D69" s="32" t="n">
        <v>309.55229928</v>
      </c>
      <c r="E69" s="32" t="n">
        <v>0</v>
      </c>
      <c r="F69" s="32" t="n">
        <v>355.985144172</v>
      </c>
      <c r="G69" s="32" t="n">
        <v>355.985144172</v>
      </c>
      <c r="H69" s="32" t="n">
        <v>159.935354628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223</v>
      </c>
      <c r="C70" s="36" t="n">
        <v>12726.0389704</v>
      </c>
      <c r="D70" s="36" t="n">
        <v>0</v>
      </c>
      <c r="E70" s="36" t="n">
        <v>0</v>
      </c>
      <c r="F70" s="36" t="n">
        <v>212.52485080568</v>
      </c>
      <c r="G70" s="36" t="n">
        <v>212.52485080568</v>
      </c>
      <c r="H70" s="36" t="n">
        <v>12509.6963079032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224</v>
      </c>
      <c r="C71" s="32" t="n">
        <v>9458.542478</v>
      </c>
      <c r="D71" s="32" t="n">
        <v>5675.1254868</v>
      </c>
      <c r="E71" s="32" t="n">
        <v>0</v>
      </c>
      <c r="F71" s="32" t="n">
        <v>6526.39430982</v>
      </c>
      <c r="G71" s="32" t="n">
        <v>6526.39430982</v>
      </c>
      <c r="H71" s="32" t="n">
        <v>2932.14816818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225</v>
      </c>
      <c r="C72" s="36" t="n">
        <v>15477.614964</v>
      </c>
      <c r="D72" s="36" t="n">
        <v>0</v>
      </c>
      <c r="E72" s="36" t="n">
        <v>0</v>
      </c>
      <c r="F72" s="36" t="n">
        <v>258.4761698988</v>
      </c>
      <c r="G72" s="36" t="n">
        <v>258.4761698988</v>
      </c>
      <c r="H72" s="36" t="n">
        <v>15214.495509612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172392.94716</v>
      </c>
      <c r="D73" s="39" t="n">
        <f aca="false">SUM(D61:D72)</f>
        <v>10192.575708</v>
      </c>
      <c r="E73" s="39" t="n">
        <f aca="false">SUM(E61:E72)</f>
        <v>0</v>
      </c>
      <c r="F73" s="39" t="n">
        <f aca="false">SUM(F61:F72)</f>
        <v>14316.730924566</v>
      </c>
      <c r="G73" s="39" t="n">
        <f aca="false">SUM(G61:G72)</f>
        <v>14316.730924566</v>
      </c>
      <c r="H73" s="39" t="n">
        <f aca="false">SUM(H61:H72)</f>
        <v>158029.59463914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32711.6665855</v>
      </c>
    </row>
    <row r="77" customFormat="false" ht="15" hidden="false" customHeight="false" outlineLevel="0" collapsed="false">
      <c r="B77" s="8" t="s">
        <v>138</v>
      </c>
      <c r="C77" s="41" t="n">
        <f aca="false">G73</f>
        <v>14316.730924566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-18394.935660934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226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227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14610.37</v>
      </c>
      <c r="D11" s="16" t="n">
        <v>14610.37</v>
      </c>
    </row>
    <row r="12" customFormat="false" ht="15" hidden="false" customHeight="false" outlineLevel="0" collapsed="false">
      <c r="B12" s="8" t="s">
        <v>142</v>
      </c>
      <c r="C12" s="16" t="n">
        <v>6083.94</v>
      </c>
      <c r="D12" s="16" t="n">
        <v>6083.94</v>
      </c>
    </row>
    <row r="13" customFormat="false" ht="15" hidden="false" customHeight="false" outlineLevel="0" collapsed="false">
      <c r="B13" s="8" t="s">
        <v>143</v>
      </c>
      <c r="C13" s="16" t="n">
        <v>18503.17</v>
      </c>
      <c r="D13" s="16" t="n">
        <v>18503.17</v>
      </c>
    </row>
    <row r="14" customFormat="false" ht="15" hidden="false" customHeight="false" outlineLevel="0" collapsed="false">
      <c r="B14" s="8" t="s">
        <v>144</v>
      </c>
      <c r="C14" s="16" t="n">
        <v>5225.05</v>
      </c>
      <c r="D14" s="16" t="n">
        <v>5225.05</v>
      </c>
    </row>
    <row r="15" customFormat="false" ht="15" hidden="false" customHeight="false" outlineLevel="0" collapsed="false">
      <c r="B15" s="8" t="s">
        <v>145</v>
      </c>
      <c r="C15" s="16" t="n">
        <v>202.24</v>
      </c>
      <c r="D15" s="16" t="n">
        <v>202.24</v>
      </c>
    </row>
    <row r="16" customFormat="false" ht="15" hidden="false" customHeight="false" outlineLevel="0" collapsed="false">
      <c r="B16" s="8" t="s">
        <v>146</v>
      </c>
      <c r="C16" s="16" t="n">
        <v>3181.36</v>
      </c>
      <c r="D16" s="16" t="n">
        <v>3181.36</v>
      </c>
    </row>
    <row r="17" customFormat="false" ht="15" hidden="false" customHeight="false" outlineLevel="0" collapsed="false">
      <c r="B17" s="8" t="s">
        <v>147</v>
      </c>
      <c r="C17" s="16" t="n">
        <v>5652.63</v>
      </c>
      <c r="D17" s="16" t="n">
        <v>5652.63</v>
      </c>
    </row>
    <row r="18" customFormat="false" ht="15" hidden="false" customHeight="false" outlineLevel="0" collapsed="false">
      <c r="B18" s="8" t="s">
        <v>148</v>
      </c>
      <c r="C18" s="16" t="n">
        <v>5819.21</v>
      </c>
      <c r="D18" s="16" t="n">
        <v>5819.21</v>
      </c>
    </row>
    <row r="19" customFormat="false" ht="15" hidden="false" customHeight="false" outlineLevel="0" collapsed="false">
      <c r="B19" s="8" t="s">
        <v>149</v>
      </c>
      <c r="C19" s="16" t="n">
        <v>2064.98</v>
      </c>
      <c r="D19" s="16" t="n">
        <v>2064.98</v>
      </c>
    </row>
    <row r="20" customFormat="false" ht="15" hidden="false" customHeight="false" outlineLevel="0" collapsed="false">
      <c r="B20" s="8" t="s">
        <v>77</v>
      </c>
      <c r="C20" s="16" t="n">
        <v>78.56</v>
      </c>
      <c r="D20" s="16" t="n">
        <v>78.56</v>
      </c>
    </row>
    <row r="21" customFormat="false" ht="15" hidden="false" customHeight="false" outlineLevel="0" collapsed="false">
      <c r="B21" s="8" t="s">
        <v>150</v>
      </c>
      <c r="C21" s="16" t="n">
        <v>1896.61</v>
      </c>
      <c r="D21" s="16" t="n">
        <v>1896.61</v>
      </c>
    </row>
    <row r="22" customFormat="false" ht="15" hidden="false" customHeight="false" outlineLevel="0" collapsed="false">
      <c r="B22" s="8" t="s">
        <v>151</v>
      </c>
      <c r="C22" s="16" t="n">
        <v>3866.28</v>
      </c>
      <c r="D22" s="16" t="n">
        <v>3866.28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23412.06</v>
      </c>
      <c r="G24" s="16" t="n">
        <v>23412.06</v>
      </c>
    </row>
    <row r="25" customFormat="false" ht="15" hidden="false" customHeight="false" outlineLevel="0" collapsed="false">
      <c r="B25" s="8" t="s">
        <v>154</v>
      </c>
      <c r="C25" s="16" t="n">
        <v>20067.48</v>
      </c>
      <c r="G25" s="16" t="n">
        <v>20067.48</v>
      </c>
    </row>
    <row r="26" customFormat="false" ht="15" hidden="false" customHeight="false" outlineLevel="0" collapsed="false">
      <c r="B26" s="8" t="s">
        <v>155</v>
      </c>
      <c r="C26" s="16" t="n">
        <v>23412.06</v>
      </c>
      <c r="G26" s="16" t="n">
        <v>23412.06</v>
      </c>
    </row>
    <row r="27" customFormat="false" ht="15" hidden="false" customHeight="false" outlineLevel="0" collapsed="false">
      <c r="B27" s="8" t="s">
        <v>156</v>
      </c>
      <c r="C27" s="16" t="n">
        <v>18395.19</v>
      </c>
      <c r="G27" s="16" t="n">
        <v>18395.19</v>
      </c>
    </row>
    <row r="28" customFormat="false" ht="15" hidden="false" customHeight="false" outlineLevel="0" collapsed="false">
      <c r="B28" s="8" t="s">
        <v>157</v>
      </c>
      <c r="C28" s="16" t="n">
        <v>2675.66</v>
      </c>
      <c r="G28" s="16" t="n">
        <v>2675.66</v>
      </c>
    </row>
    <row r="29" customFormat="false" ht="15" hidden="false" customHeight="false" outlineLevel="0" collapsed="false">
      <c r="B29" s="8" t="s">
        <v>158</v>
      </c>
      <c r="C29" s="16" t="n">
        <v>20067.48</v>
      </c>
      <c r="G29" s="16" t="n">
        <v>20067.48</v>
      </c>
    </row>
    <row r="30" customFormat="false" ht="15" hidden="false" customHeight="false" outlineLevel="0" collapsed="false">
      <c r="B30" s="8" t="s">
        <v>159</v>
      </c>
      <c r="C30" s="16" t="n">
        <v>16722.9</v>
      </c>
      <c r="G30" s="16" t="n">
        <v>16722.9</v>
      </c>
    </row>
    <row r="31" customFormat="false" ht="15" hidden="false" customHeight="false" outlineLevel="0" collapsed="false">
      <c r="B31" s="8" t="s">
        <v>160</v>
      </c>
      <c r="C31" s="16" t="n">
        <v>15050.61</v>
      </c>
      <c r="G31" s="16" t="n">
        <v>15050.61</v>
      </c>
    </row>
    <row r="32" customFormat="false" ht="15" hidden="false" customHeight="false" outlineLevel="0" collapsed="false">
      <c r="B32" s="8" t="s">
        <v>161</v>
      </c>
      <c r="C32" s="16" t="n">
        <v>13378.32</v>
      </c>
      <c r="G32" s="16" t="n">
        <v>13378.32</v>
      </c>
    </row>
    <row r="33" customFormat="false" ht="15" hidden="false" customHeight="false" outlineLevel="0" collapsed="false">
      <c r="B33" s="8" t="s">
        <v>162</v>
      </c>
      <c r="C33" s="16" t="n">
        <v>36790.39</v>
      </c>
      <c r="G33" s="16" t="n">
        <v>36790.39</v>
      </c>
    </row>
    <row r="34" customFormat="false" ht="15" hidden="false" customHeight="false" outlineLevel="0" collapsed="false">
      <c r="B34" s="8" t="s">
        <v>163</v>
      </c>
      <c r="C34" s="16" t="n">
        <v>15050.61</v>
      </c>
      <c r="G34" s="16" t="n">
        <v>15050.61</v>
      </c>
    </row>
    <row r="35" customFormat="false" ht="15" hidden="false" customHeight="false" outlineLevel="0" collapsed="false">
      <c r="B35" s="8" t="s">
        <v>164</v>
      </c>
      <c r="C35" s="16" t="n">
        <v>2675.66</v>
      </c>
      <c r="G35" s="16" t="n">
        <v>2675.66</v>
      </c>
    </row>
    <row r="36" customFormat="false" ht="15" hidden="false" customHeight="false" outlineLevel="0" collapsed="false">
      <c r="B36" s="8" t="s">
        <v>165</v>
      </c>
      <c r="C36" s="16" t="n">
        <v>90303.68</v>
      </c>
      <c r="G36" s="16" t="n">
        <v>90303.68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365186.5</v>
      </c>
      <c r="D37" s="26" t="n">
        <f aca="false">SUM(D10:D36)</f>
        <v>67184.4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298002.1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44418.41</v>
      </c>
      <c r="D40" s="16" t="n">
        <v>1797.67</v>
      </c>
      <c r="G40" s="16" t="n">
        <v>36121.47</v>
      </c>
    </row>
    <row r="41" customFormat="false" ht="15" hidden="false" customHeight="false" outlineLevel="0" collapsed="false">
      <c r="B41" s="8" t="s">
        <v>166</v>
      </c>
      <c r="C41" s="16" t="n">
        <v>5700.36</v>
      </c>
      <c r="D41" s="16" t="n">
        <v>235.08</v>
      </c>
      <c r="G41" s="16" t="n">
        <v>4635.59</v>
      </c>
    </row>
    <row r="42" customFormat="false" ht="15" hidden="false" customHeight="false" outlineLevel="0" collapsed="false">
      <c r="B42" s="8" t="s">
        <v>94</v>
      </c>
      <c r="C42" s="16" t="n">
        <v>10734.45</v>
      </c>
      <c r="D42" s="16" t="n">
        <v>456.33</v>
      </c>
      <c r="G42" s="16" t="n">
        <v>8729.36</v>
      </c>
    </row>
    <row r="43" customFormat="false" ht="15" hidden="false" customHeight="false" outlineLevel="0" collapsed="false">
      <c r="B43" s="8" t="s">
        <v>95</v>
      </c>
      <c r="C43" s="16" t="n">
        <v>202350.56</v>
      </c>
      <c r="D43" s="16" t="n">
        <v>8189.39</v>
      </c>
      <c r="G43" s="16" t="n">
        <v>164553.37</v>
      </c>
    </row>
    <row r="44" customFormat="false" ht="15" hidden="false" customHeight="false" outlineLevel="0" collapsed="false">
      <c r="B44" s="8" t="s">
        <v>167</v>
      </c>
      <c r="C44" s="16" t="n">
        <v>25968.32</v>
      </c>
      <c r="D44" s="16" t="n">
        <v>1070.92</v>
      </c>
      <c r="G44" s="16" t="n">
        <v>21117.68</v>
      </c>
    </row>
    <row r="45" customFormat="false" ht="15" hidden="false" customHeight="false" outlineLevel="0" collapsed="false">
      <c r="B45" s="8" t="s">
        <v>97</v>
      </c>
      <c r="C45" s="16" t="n">
        <v>48901.38</v>
      </c>
      <c r="D45" s="16" t="n">
        <v>2078.85</v>
      </c>
      <c r="G45" s="16" t="n">
        <v>39767.06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338073.48</v>
      </c>
      <c r="D46" s="26" t="n">
        <f aca="false">SUM(D40:D45)</f>
        <v>13828.24</v>
      </c>
      <c r="E46" s="24"/>
      <c r="F46" s="26" t="n">
        <f aca="false">SUM(F40:F45)</f>
        <v>0</v>
      </c>
      <c r="G46" s="26" t="n">
        <f aca="false">SUM(G40:G45)</f>
        <v>274924.53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228</v>
      </c>
      <c r="C51" s="32" t="n">
        <v>44418.41496</v>
      </c>
      <c r="D51" s="32" t="n">
        <v>0</v>
      </c>
      <c r="E51" s="32" t="n">
        <v>0</v>
      </c>
      <c r="F51" s="32" t="n">
        <v>741.787529832</v>
      </c>
      <c r="G51" s="32" t="n">
        <v>741.787529832</v>
      </c>
      <c r="H51" s="32" t="n">
        <v>43663.30190568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229</v>
      </c>
      <c r="C52" s="36" t="n">
        <v>5700.3632532</v>
      </c>
      <c r="D52" s="36" t="n">
        <v>3420.21795192</v>
      </c>
      <c r="E52" s="36" t="n">
        <v>0</v>
      </c>
      <c r="F52" s="36" t="n">
        <v>3505.723400718</v>
      </c>
      <c r="G52" s="36" t="n">
        <v>3505.723400718</v>
      </c>
      <c r="H52" s="36" t="n">
        <v>2194.639852482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230</v>
      </c>
      <c r="C53" s="32" t="n">
        <v>10734.450282</v>
      </c>
      <c r="D53" s="32" t="n">
        <v>6440.6701692</v>
      </c>
      <c r="E53" s="32" t="n">
        <v>0</v>
      </c>
      <c r="F53" s="32" t="n">
        <v>7299.42619176</v>
      </c>
      <c r="G53" s="32" t="n">
        <v>7299.42619176</v>
      </c>
      <c r="H53" s="32" t="n">
        <v>3435.02409024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231</v>
      </c>
      <c r="C54" s="36" t="n">
        <v>202350.55704</v>
      </c>
      <c r="D54" s="36" t="n">
        <v>0</v>
      </c>
      <c r="E54" s="36" t="n">
        <v>0</v>
      </c>
      <c r="F54" s="36" t="n">
        <v>3379.254302568</v>
      </c>
      <c r="G54" s="36" t="n">
        <v>3379.254302568</v>
      </c>
      <c r="H54" s="36" t="n">
        <v>198910.59757032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232</v>
      </c>
      <c r="C55" s="32" t="n">
        <v>25968.3214868</v>
      </c>
      <c r="D55" s="32" t="n">
        <v>15580.99289208</v>
      </c>
      <c r="E55" s="32" t="n">
        <v>0</v>
      </c>
      <c r="F55" s="32" t="n">
        <v>15970.517714382</v>
      </c>
      <c r="G55" s="32" t="n">
        <v>15970.517714382</v>
      </c>
      <c r="H55" s="32" t="n">
        <v>9997.803772418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233</v>
      </c>
      <c r="C56" s="36" t="n">
        <v>48901.384618</v>
      </c>
      <c r="D56" s="36" t="n">
        <v>29340.8307708</v>
      </c>
      <c r="E56" s="36" t="n">
        <v>0</v>
      </c>
      <c r="F56" s="36" t="n">
        <v>33252.94154024</v>
      </c>
      <c r="G56" s="36" t="n">
        <v>33252.94154024</v>
      </c>
      <c r="H56" s="36" t="n">
        <v>15648.44307776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338073.49164</v>
      </c>
      <c r="D57" s="39" t="n">
        <f aca="false">SUM(D51:D56)</f>
        <v>54782.711784</v>
      </c>
      <c r="E57" s="39" t="n">
        <f aca="false">SUM(E51:E56)</f>
        <v>0</v>
      </c>
      <c r="F57" s="39" t="n">
        <f aca="false">SUM(F51:F56)</f>
        <v>64149.6506795</v>
      </c>
      <c r="G57" s="39" t="n">
        <f aca="false">SUM(G51:G56)</f>
        <v>64149.6506795</v>
      </c>
      <c r="H57" s="39" t="n">
        <f aca="false">SUM(H51:H56)</f>
        <v>273849.8102689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234</v>
      </c>
      <c r="C61" s="32" t="n">
        <v>1702.7059068</v>
      </c>
      <c r="D61" s="32" t="n">
        <v>1021.62354408</v>
      </c>
      <c r="E61" s="32" t="n">
        <v>0</v>
      </c>
      <c r="F61" s="32" t="n">
        <v>1174.867075692</v>
      </c>
      <c r="G61" s="32" t="n">
        <v>1174.867075692</v>
      </c>
      <c r="H61" s="32" t="n">
        <v>527.838831108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235</v>
      </c>
      <c r="C62" s="36" t="n">
        <v>42715.7090532</v>
      </c>
      <c r="D62" s="36" t="n">
        <v>0</v>
      </c>
      <c r="E62" s="36" t="n">
        <v>0</v>
      </c>
      <c r="F62" s="36" t="n">
        <v>713.35234118844</v>
      </c>
      <c r="G62" s="36" t="n">
        <v>713.35234118844</v>
      </c>
      <c r="H62" s="36" t="n">
        <v>41989.5419992956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236</v>
      </c>
      <c r="C63" s="32" t="n">
        <v>222.0920748</v>
      </c>
      <c r="D63" s="32" t="n">
        <v>133.25524488</v>
      </c>
      <c r="E63" s="32" t="n">
        <v>0</v>
      </c>
      <c r="F63" s="32" t="n">
        <v>153.243531612</v>
      </c>
      <c r="G63" s="32" t="n">
        <v>153.243531612</v>
      </c>
      <c r="H63" s="32" t="n">
        <v>68.848543188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237</v>
      </c>
      <c r="C64" s="36" t="n">
        <v>5478.2711784</v>
      </c>
      <c r="D64" s="36" t="n">
        <v>0</v>
      </c>
      <c r="E64" s="36" t="n">
        <v>0</v>
      </c>
      <c r="F64" s="36" t="n">
        <v>91.48712867928</v>
      </c>
      <c r="G64" s="36" t="n">
        <v>91.48712867928</v>
      </c>
      <c r="H64" s="36" t="n">
        <v>5385.1405683672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238</v>
      </c>
      <c r="C65" s="32" t="n">
        <v>4071.688038</v>
      </c>
      <c r="D65" s="32" t="n">
        <v>2443.0128228</v>
      </c>
      <c r="E65" s="32" t="n">
        <v>0</v>
      </c>
      <c r="F65" s="32" t="n">
        <v>2809.46474622</v>
      </c>
      <c r="G65" s="32" t="n">
        <v>2809.46474622</v>
      </c>
      <c r="H65" s="32" t="n">
        <v>1262.22329178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239</v>
      </c>
      <c r="C66" s="36" t="n">
        <v>6662.762244</v>
      </c>
      <c r="D66" s="36" t="n">
        <v>0</v>
      </c>
      <c r="E66" s="36" t="n">
        <v>0</v>
      </c>
      <c r="F66" s="36" t="n">
        <v>111.2681294748</v>
      </c>
      <c r="G66" s="36" t="n">
        <v>111.2681294748</v>
      </c>
      <c r="H66" s="36" t="n">
        <v>6549.495285852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240</v>
      </c>
      <c r="C67" s="32" t="n">
        <v>7756.7713532</v>
      </c>
      <c r="D67" s="32" t="n">
        <v>4654.06281192</v>
      </c>
      <c r="E67" s="32" t="n">
        <v>0</v>
      </c>
      <c r="F67" s="32" t="n">
        <v>5352.172233708</v>
      </c>
      <c r="G67" s="32" t="n">
        <v>5352.172233708</v>
      </c>
      <c r="H67" s="32" t="n">
        <v>2404.599119492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241</v>
      </c>
      <c r="C68" s="36" t="n">
        <v>194593.7856868</v>
      </c>
      <c r="D68" s="36" t="n">
        <v>0</v>
      </c>
      <c r="E68" s="36" t="n">
        <v>0</v>
      </c>
      <c r="F68" s="36" t="n">
        <v>3249.71622096956</v>
      </c>
      <c r="G68" s="36" t="n">
        <v>3249.71622096956</v>
      </c>
      <c r="H68" s="36" t="n">
        <v>191285.691330124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242</v>
      </c>
      <c r="C69" s="32" t="n">
        <v>1011.7527852</v>
      </c>
      <c r="D69" s="32" t="n">
        <v>607.05167112</v>
      </c>
      <c r="E69" s="32" t="n">
        <v>0</v>
      </c>
      <c r="F69" s="32" t="n">
        <v>698.109421788</v>
      </c>
      <c r="G69" s="32" t="n">
        <v>698.109421788</v>
      </c>
      <c r="H69" s="32" t="n">
        <v>313.643363412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243</v>
      </c>
      <c r="C70" s="36" t="n">
        <v>24956.5687016</v>
      </c>
      <c r="D70" s="36" t="n">
        <v>0</v>
      </c>
      <c r="E70" s="36" t="n">
        <v>0</v>
      </c>
      <c r="F70" s="36" t="n">
        <v>416.77469731672</v>
      </c>
      <c r="G70" s="36" t="n">
        <v>416.77469731672</v>
      </c>
      <c r="H70" s="36" t="n">
        <v>24532.3070336728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244</v>
      </c>
      <c r="C71" s="32" t="n">
        <v>18548.801062</v>
      </c>
      <c r="D71" s="32" t="n">
        <v>11129.2806372</v>
      </c>
      <c r="E71" s="32" t="n">
        <v>0</v>
      </c>
      <c r="F71" s="32" t="n">
        <v>12798.67273278</v>
      </c>
      <c r="G71" s="32" t="n">
        <v>12798.67273278</v>
      </c>
      <c r="H71" s="32" t="n">
        <v>5750.12832922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245</v>
      </c>
      <c r="C72" s="36" t="n">
        <v>30352.583556</v>
      </c>
      <c r="D72" s="36" t="n">
        <v>0</v>
      </c>
      <c r="E72" s="36" t="n">
        <v>0</v>
      </c>
      <c r="F72" s="36" t="n">
        <v>506.8881453852</v>
      </c>
      <c r="G72" s="36" t="n">
        <v>506.8881453852</v>
      </c>
      <c r="H72" s="36" t="n">
        <v>29836.589635548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338073.49164</v>
      </c>
      <c r="D73" s="39" t="n">
        <f aca="false">SUM(D61:D72)</f>
        <v>19988.286732</v>
      </c>
      <c r="E73" s="39" t="n">
        <f aca="false">SUM(E61:E72)</f>
        <v>0</v>
      </c>
      <c r="F73" s="39" t="n">
        <f aca="false">SUM(F61:F72)</f>
        <v>28076.016404814</v>
      </c>
      <c r="G73" s="39" t="n">
        <f aca="false">SUM(G61:G72)</f>
        <v>28076.016404814</v>
      </c>
      <c r="H73" s="39" t="n">
        <f aca="false">SUM(H61:H72)</f>
        <v>309906.04733106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64149.6506795</v>
      </c>
    </row>
    <row r="77" customFormat="false" ht="15" hidden="false" customHeight="false" outlineLevel="0" collapsed="false">
      <c r="B77" s="8" t="s">
        <v>138</v>
      </c>
      <c r="C77" s="41" t="n">
        <f aca="false">G73</f>
        <v>28076.016404814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-36073.634274686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246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247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7450.23</v>
      </c>
      <c r="D11" s="16" t="n">
        <v>7450.23</v>
      </c>
    </row>
    <row r="12" customFormat="false" ht="15" hidden="false" customHeight="false" outlineLevel="0" collapsed="false">
      <c r="B12" s="8" t="s">
        <v>142</v>
      </c>
      <c r="C12" s="16" t="n">
        <v>3102.37</v>
      </c>
      <c r="D12" s="16" t="n">
        <v>3102.37</v>
      </c>
    </row>
    <row r="13" customFormat="false" ht="15" hidden="false" customHeight="false" outlineLevel="0" collapsed="false">
      <c r="B13" s="8" t="s">
        <v>143</v>
      </c>
      <c r="C13" s="16" t="n">
        <v>9435.28</v>
      </c>
      <c r="D13" s="16" t="n">
        <v>9435.28</v>
      </c>
    </row>
    <row r="14" customFormat="false" ht="15" hidden="false" customHeight="false" outlineLevel="0" collapsed="false">
      <c r="B14" s="8" t="s">
        <v>144</v>
      </c>
      <c r="C14" s="16" t="n">
        <v>2664.39</v>
      </c>
      <c r="D14" s="16" t="n">
        <v>2664.39</v>
      </c>
    </row>
    <row r="15" customFormat="false" ht="15" hidden="false" customHeight="false" outlineLevel="0" collapsed="false">
      <c r="B15" s="8" t="s">
        <v>145</v>
      </c>
      <c r="C15" s="16" t="n">
        <v>103.13</v>
      </c>
      <c r="D15" s="16" t="n">
        <v>103.13</v>
      </c>
    </row>
    <row r="16" customFormat="false" ht="15" hidden="false" customHeight="false" outlineLevel="0" collapsed="false">
      <c r="B16" s="8" t="s">
        <v>146</v>
      </c>
      <c r="C16" s="16" t="n">
        <v>1622.26</v>
      </c>
      <c r="D16" s="16" t="n">
        <v>1622.26</v>
      </c>
    </row>
    <row r="17" customFormat="false" ht="15" hidden="false" customHeight="false" outlineLevel="0" collapsed="false">
      <c r="B17" s="8" t="s">
        <v>147</v>
      </c>
      <c r="C17" s="16" t="n">
        <v>2882.43</v>
      </c>
      <c r="D17" s="16" t="n">
        <v>2882.43</v>
      </c>
    </row>
    <row r="18" customFormat="false" ht="15" hidden="false" customHeight="false" outlineLevel="0" collapsed="false">
      <c r="B18" s="8" t="s">
        <v>148</v>
      </c>
      <c r="C18" s="16" t="n">
        <v>2967.38</v>
      </c>
      <c r="D18" s="16" t="n">
        <v>2967.38</v>
      </c>
    </row>
    <row r="19" customFormat="false" ht="15" hidden="false" customHeight="false" outlineLevel="0" collapsed="false">
      <c r="B19" s="8" t="s">
        <v>149</v>
      </c>
      <c r="C19" s="16" t="n">
        <v>1052.99</v>
      </c>
      <c r="D19" s="16" t="n">
        <v>1052.99</v>
      </c>
    </row>
    <row r="20" customFormat="false" ht="15" hidden="false" customHeight="false" outlineLevel="0" collapsed="false">
      <c r="B20" s="8" t="s">
        <v>77</v>
      </c>
      <c r="C20" s="16" t="n">
        <v>40.06</v>
      </c>
      <c r="D20" s="16" t="n">
        <v>40.06</v>
      </c>
    </row>
    <row r="21" customFormat="false" ht="15" hidden="false" customHeight="false" outlineLevel="0" collapsed="false">
      <c r="B21" s="8" t="s">
        <v>150</v>
      </c>
      <c r="C21" s="16" t="n">
        <v>967.13</v>
      </c>
      <c r="D21" s="16" t="n">
        <v>967.13</v>
      </c>
    </row>
    <row r="22" customFormat="false" ht="15" hidden="false" customHeight="false" outlineLevel="0" collapsed="false">
      <c r="B22" s="8" t="s">
        <v>151</v>
      </c>
      <c r="C22" s="16" t="n">
        <v>1971.52</v>
      </c>
      <c r="D22" s="16" t="n">
        <v>1971.52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11990.11</v>
      </c>
      <c r="G24" s="16" t="n">
        <v>11990.11</v>
      </c>
    </row>
    <row r="25" customFormat="false" ht="15" hidden="false" customHeight="false" outlineLevel="0" collapsed="false">
      <c r="B25" s="8" t="s">
        <v>154</v>
      </c>
      <c r="C25" s="16" t="n">
        <v>10277.23</v>
      </c>
      <c r="G25" s="16" t="n">
        <v>10277.23</v>
      </c>
    </row>
    <row r="26" customFormat="false" ht="15" hidden="false" customHeight="false" outlineLevel="0" collapsed="false">
      <c r="B26" s="8" t="s">
        <v>155</v>
      </c>
      <c r="C26" s="16" t="n">
        <v>11990.11</v>
      </c>
      <c r="G26" s="16" t="n">
        <v>11990.11</v>
      </c>
    </row>
    <row r="27" customFormat="false" ht="15" hidden="false" customHeight="false" outlineLevel="0" collapsed="false">
      <c r="B27" s="8" t="s">
        <v>156</v>
      </c>
      <c r="C27" s="16" t="n">
        <v>9420.8</v>
      </c>
      <c r="G27" s="16" t="n">
        <v>9420.8</v>
      </c>
    </row>
    <row r="28" customFormat="false" ht="15" hidden="false" customHeight="false" outlineLevel="0" collapsed="false">
      <c r="B28" s="8" t="s">
        <v>157</v>
      </c>
      <c r="C28" s="16" t="n">
        <v>1370.3</v>
      </c>
      <c r="G28" s="16" t="n">
        <v>1370.3</v>
      </c>
    </row>
    <row r="29" customFormat="false" ht="15" hidden="false" customHeight="false" outlineLevel="0" collapsed="false">
      <c r="B29" s="8" t="s">
        <v>158</v>
      </c>
      <c r="C29" s="16" t="n">
        <v>10277.23</v>
      </c>
      <c r="G29" s="16" t="n">
        <v>10277.23</v>
      </c>
    </row>
    <row r="30" customFormat="false" ht="15" hidden="false" customHeight="false" outlineLevel="0" collapsed="false">
      <c r="B30" s="8" t="s">
        <v>159</v>
      </c>
      <c r="C30" s="16" t="n">
        <v>8564.36</v>
      </c>
      <c r="G30" s="16" t="n">
        <v>8564.36</v>
      </c>
    </row>
    <row r="31" customFormat="false" ht="15" hidden="false" customHeight="false" outlineLevel="0" collapsed="false">
      <c r="B31" s="8" t="s">
        <v>160</v>
      </c>
      <c r="C31" s="16" t="n">
        <v>7707.93</v>
      </c>
      <c r="G31" s="16" t="n">
        <v>7707.93</v>
      </c>
    </row>
    <row r="32" customFormat="false" ht="15" hidden="false" customHeight="false" outlineLevel="0" collapsed="false">
      <c r="B32" s="8" t="s">
        <v>161</v>
      </c>
      <c r="C32" s="16" t="n">
        <v>6851.49</v>
      </c>
      <c r="G32" s="16" t="n">
        <v>6851.49</v>
      </c>
    </row>
    <row r="33" customFormat="false" ht="15" hidden="false" customHeight="false" outlineLevel="0" collapsed="false">
      <c r="B33" s="8" t="s">
        <v>162</v>
      </c>
      <c r="C33" s="16" t="n">
        <v>18841.6</v>
      </c>
      <c r="G33" s="16" t="n">
        <v>18841.6</v>
      </c>
    </row>
    <row r="34" customFormat="false" ht="15" hidden="false" customHeight="false" outlineLevel="0" collapsed="false">
      <c r="B34" s="8" t="s">
        <v>163</v>
      </c>
      <c r="C34" s="16" t="n">
        <v>7707.93</v>
      </c>
      <c r="G34" s="16" t="n">
        <v>7707.93</v>
      </c>
    </row>
    <row r="35" customFormat="false" ht="15" hidden="false" customHeight="false" outlineLevel="0" collapsed="false">
      <c r="B35" s="8" t="s">
        <v>164</v>
      </c>
      <c r="C35" s="16" t="n">
        <v>1370.3</v>
      </c>
      <c r="G35" s="16" t="n">
        <v>1370.3</v>
      </c>
    </row>
    <row r="36" customFormat="false" ht="15" hidden="false" customHeight="false" outlineLevel="0" collapsed="false">
      <c r="B36" s="8" t="s">
        <v>165</v>
      </c>
      <c r="C36" s="16" t="n">
        <v>46247.55</v>
      </c>
      <c r="G36" s="16" t="n">
        <v>46247.55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186876.11</v>
      </c>
      <c r="D37" s="26" t="n">
        <f aca="false">SUM(D10:D36)</f>
        <v>34259.17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152616.94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22650.17</v>
      </c>
      <c r="D40" s="16" t="n">
        <v>899.42</v>
      </c>
      <c r="G40" s="16" t="n">
        <v>18499.02</v>
      </c>
    </row>
    <row r="41" customFormat="false" ht="15" hidden="false" customHeight="false" outlineLevel="0" collapsed="false">
      <c r="B41" s="8" t="s">
        <v>166</v>
      </c>
      <c r="C41" s="16" t="n">
        <v>2906.77</v>
      </c>
      <c r="D41" s="16" t="n">
        <v>117.62</v>
      </c>
      <c r="G41" s="16" t="n">
        <v>2374.04</v>
      </c>
    </row>
    <row r="42" customFormat="false" ht="15" hidden="false" customHeight="false" outlineLevel="0" collapsed="false">
      <c r="B42" s="8" t="s">
        <v>94</v>
      </c>
      <c r="C42" s="16" t="n">
        <v>5473.79</v>
      </c>
      <c r="D42" s="16" t="n">
        <v>228.31</v>
      </c>
      <c r="G42" s="16" t="n">
        <v>4470.6</v>
      </c>
    </row>
    <row r="43" customFormat="false" ht="15" hidden="false" customHeight="false" outlineLevel="0" collapsed="false">
      <c r="B43" s="8" t="s">
        <v>95</v>
      </c>
      <c r="C43" s="16" t="n">
        <v>103184.1</v>
      </c>
      <c r="D43" s="16" t="n">
        <v>4097.34</v>
      </c>
      <c r="G43" s="16" t="n">
        <v>84273.32</v>
      </c>
    </row>
    <row r="44" customFormat="false" ht="15" hidden="false" customHeight="false" outlineLevel="0" collapsed="false">
      <c r="B44" s="8" t="s">
        <v>167</v>
      </c>
      <c r="C44" s="16" t="n">
        <v>13241.96</v>
      </c>
      <c r="D44" s="16" t="n">
        <v>535.81</v>
      </c>
      <c r="G44" s="16" t="n">
        <v>10815.08</v>
      </c>
    </row>
    <row r="45" customFormat="false" ht="15" hidden="false" customHeight="false" outlineLevel="0" collapsed="false">
      <c r="B45" s="8" t="s">
        <v>97</v>
      </c>
      <c r="C45" s="16" t="n">
        <v>24936.16</v>
      </c>
      <c r="D45" s="16" t="n">
        <v>1040.09</v>
      </c>
      <c r="G45" s="16" t="n">
        <v>20366.05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172392.95</v>
      </c>
      <c r="D46" s="26" t="n">
        <f aca="false">SUM(D40:D45)</f>
        <v>6918.59</v>
      </c>
      <c r="E46" s="24"/>
      <c r="F46" s="26" t="n">
        <f aca="false">SUM(F40:F45)</f>
        <v>0</v>
      </c>
      <c r="G46" s="26" t="n">
        <f aca="false">SUM(G40:G45)</f>
        <v>140798.11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248</v>
      </c>
      <c r="C51" s="32" t="n">
        <v>22650.16824</v>
      </c>
      <c r="D51" s="32" t="n">
        <v>0</v>
      </c>
      <c r="E51" s="32" t="n">
        <v>0</v>
      </c>
      <c r="F51" s="32" t="n">
        <v>378.257809608</v>
      </c>
      <c r="G51" s="32" t="n">
        <v>378.257809608</v>
      </c>
      <c r="H51" s="32" t="n">
        <v>22265.11537992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249</v>
      </c>
      <c r="C52" s="36" t="n">
        <v>2906.7715908</v>
      </c>
      <c r="D52" s="36" t="n">
        <v>1744.06295448</v>
      </c>
      <c r="E52" s="36" t="n">
        <v>0</v>
      </c>
      <c r="F52" s="36" t="n">
        <v>1787.664528342</v>
      </c>
      <c r="G52" s="36" t="n">
        <v>1787.664528342</v>
      </c>
      <c r="H52" s="36" t="n">
        <v>1119.107062458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250</v>
      </c>
      <c r="C53" s="32" t="n">
        <v>5473.790658</v>
      </c>
      <c r="D53" s="32" t="n">
        <v>3284.2743948</v>
      </c>
      <c r="E53" s="32" t="n">
        <v>0</v>
      </c>
      <c r="F53" s="32" t="n">
        <v>3722.17764744</v>
      </c>
      <c r="G53" s="32" t="n">
        <v>3722.17764744</v>
      </c>
      <c r="H53" s="32" t="n">
        <v>1751.61301056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251</v>
      </c>
      <c r="C54" s="36" t="n">
        <v>103184.09976</v>
      </c>
      <c r="D54" s="36" t="n">
        <v>0</v>
      </c>
      <c r="E54" s="36" t="n">
        <v>0</v>
      </c>
      <c r="F54" s="36" t="n">
        <v>1723.174465992</v>
      </c>
      <c r="G54" s="36" t="n">
        <v>1723.174465992</v>
      </c>
      <c r="H54" s="36" t="n">
        <v>101429.97006408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252</v>
      </c>
      <c r="C55" s="32" t="n">
        <v>13241.9594692</v>
      </c>
      <c r="D55" s="32" t="n">
        <v>7945.17568152</v>
      </c>
      <c r="E55" s="32" t="n">
        <v>0</v>
      </c>
      <c r="F55" s="32" t="n">
        <v>8143.805073558</v>
      </c>
      <c r="G55" s="32" t="n">
        <v>8143.805073558</v>
      </c>
      <c r="H55" s="32" t="n">
        <v>5098.154395642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253</v>
      </c>
      <c r="C56" s="36" t="n">
        <v>24936.157442</v>
      </c>
      <c r="D56" s="36" t="n">
        <v>14961.6944652</v>
      </c>
      <c r="E56" s="36" t="n">
        <v>0</v>
      </c>
      <c r="F56" s="36" t="n">
        <v>16956.58706056</v>
      </c>
      <c r="G56" s="36" t="n">
        <v>16956.58706056</v>
      </c>
      <c r="H56" s="36" t="n">
        <v>7979.57038144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172392.94716</v>
      </c>
      <c r="D57" s="39" t="n">
        <f aca="false">SUM(D51:D56)</f>
        <v>27935.207496</v>
      </c>
      <c r="E57" s="39" t="n">
        <f aca="false">SUM(E51:E56)</f>
        <v>0</v>
      </c>
      <c r="F57" s="39" t="n">
        <f aca="false">SUM(F51:F56)</f>
        <v>32711.6665855</v>
      </c>
      <c r="G57" s="39" t="n">
        <f aca="false">SUM(G51:G56)</f>
        <v>32711.6665855</v>
      </c>
      <c r="H57" s="39" t="n">
        <f aca="false">SUM(H51:H56)</f>
        <v>139643.5302941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254</v>
      </c>
      <c r="C61" s="32" t="n">
        <v>868.2564492</v>
      </c>
      <c r="D61" s="32" t="n">
        <v>520.95386952</v>
      </c>
      <c r="E61" s="32" t="n">
        <v>0</v>
      </c>
      <c r="F61" s="32" t="n">
        <v>599.096949948</v>
      </c>
      <c r="G61" s="32" t="n">
        <v>599.096949948</v>
      </c>
      <c r="H61" s="32" t="n">
        <v>269.159499252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255</v>
      </c>
      <c r="C62" s="36" t="n">
        <v>21781.9117908</v>
      </c>
      <c r="D62" s="36" t="n">
        <v>0</v>
      </c>
      <c r="E62" s="36" t="n">
        <v>0</v>
      </c>
      <c r="F62" s="36" t="n">
        <v>363.75792690636</v>
      </c>
      <c r="G62" s="36" t="n">
        <v>363.75792690636</v>
      </c>
      <c r="H62" s="36" t="n">
        <v>21411.6192903564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256</v>
      </c>
      <c r="C63" s="32" t="n">
        <v>113.2508412</v>
      </c>
      <c r="D63" s="32" t="n">
        <v>67.95050472</v>
      </c>
      <c r="E63" s="32" t="n">
        <v>0</v>
      </c>
      <c r="F63" s="32" t="n">
        <v>78.143080428</v>
      </c>
      <c r="G63" s="32" t="n">
        <v>78.143080428</v>
      </c>
      <c r="H63" s="32" t="n">
        <v>35.107760772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257</v>
      </c>
      <c r="C64" s="36" t="n">
        <v>2793.5207496</v>
      </c>
      <c r="D64" s="36" t="n">
        <v>0</v>
      </c>
      <c r="E64" s="36" t="n">
        <v>0</v>
      </c>
      <c r="F64" s="36" t="n">
        <v>46.65179651832</v>
      </c>
      <c r="G64" s="36" t="n">
        <v>46.65179651832</v>
      </c>
      <c r="H64" s="36" t="n">
        <v>2746.0308968568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258</v>
      </c>
      <c r="C65" s="32" t="n">
        <v>2076.265422</v>
      </c>
      <c r="D65" s="32" t="n">
        <v>1245.7592532</v>
      </c>
      <c r="E65" s="32" t="n">
        <v>0</v>
      </c>
      <c r="F65" s="32" t="n">
        <v>1432.62314118</v>
      </c>
      <c r="G65" s="32" t="n">
        <v>1432.62314118</v>
      </c>
      <c r="H65" s="32" t="n">
        <v>643.64228082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259</v>
      </c>
      <c r="C66" s="36" t="n">
        <v>3397.525236</v>
      </c>
      <c r="D66" s="36" t="n">
        <v>0</v>
      </c>
      <c r="E66" s="36" t="n">
        <v>0</v>
      </c>
      <c r="F66" s="36" t="n">
        <v>56.7386714412</v>
      </c>
      <c r="G66" s="36" t="n">
        <v>56.7386714412</v>
      </c>
      <c r="H66" s="36" t="n">
        <v>3339.767306988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260</v>
      </c>
      <c r="C67" s="32" t="n">
        <v>3955.3904908</v>
      </c>
      <c r="D67" s="32" t="n">
        <v>2373.23429448</v>
      </c>
      <c r="E67" s="32" t="n">
        <v>0</v>
      </c>
      <c r="F67" s="32" t="n">
        <v>2729.219438652</v>
      </c>
      <c r="G67" s="32" t="n">
        <v>2729.219438652</v>
      </c>
      <c r="H67" s="32" t="n">
        <v>1226.171052148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261</v>
      </c>
      <c r="C68" s="36" t="n">
        <v>99228.7092692</v>
      </c>
      <c r="D68" s="36" t="n">
        <v>0</v>
      </c>
      <c r="E68" s="36" t="n">
        <v>0</v>
      </c>
      <c r="F68" s="36" t="n">
        <v>1657.11944479564</v>
      </c>
      <c r="G68" s="36" t="n">
        <v>1657.11944479564</v>
      </c>
      <c r="H68" s="36" t="n">
        <v>97541.8212116236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262</v>
      </c>
      <c r="C69" s="32" t="n">
        <v>515.9204988</v>
      </c>
      <c r="D69" s="32" t="n">
        <v>309.55229928</v>
      </c>
      <c r="E69" s="32" t="n">
        <v>0</v>
      </c>
      <c r="F69" s="32" t="n">
        <v>355.985144172</v>
      </c>
      <c r="G69" s="32" t="n">
        <v>355.985144172</v>
      </c>
      <c r="H69" s="32" t="n">
        <v>159.935354628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263</v>
      </c>
      <c r="C70" s="36" t="n">
        <v>12726.0389704</v>
      </c>
      <c r="D70" s="36" t="n">
        <v>0</v>
      </c>
      <c r="E70" s="36" t="n">
        <v>0</v>
      </c>
      <c r="F70" s="36" t="n">
        <v>212.52485080568</v>
      </c>
      <c r="G70" s="36" t="n">
        <v>212.52485080568</v>
      </c>
      <c r="H70" s="36" t="n">
        <v>12509.6963079032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264</v>
      </c>
      <c r="C71" s="32" t="n">
        <v>9458.542478</v>
      </c>
      <c r="D71" s="32" t="n">
        <v>5675.1254868</v>
      </c>
      <c r="E71" s="32" t="n">
        <v>0</v>
      </c>
      <c r="F71" s="32" t="n">
        <v>6526.39430982</v>
      </c>
      <c r="G71" s="32" t="n">
        <v>6526.39430982</v>
      </c>
      <c r="H71" s="32" t="n">
        <v>2932.14816818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265</v>
      </c>
      <c r="C72" s="36" t="n">
        <v>15477.614964</v>
      </c>
      <c r="D72" s="36" t="n">
        <v>0</v>
      </c>
      <c r="E72" s="36" t="n">
        <v>0</v>
      </c>
      <c r="F72" s="36" t="n">
        <v>258.4761698988</v>
      </c>
      <c r="G72" s="36" t="n">
        <v>258.4761698988</v>
      </c>
      <c r="H72" s="36" t="n">
        <v>15214.495509612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172392.94716</v>
      </c>
      <c r="D73" s="39" t="n">
        <f aca="false">SUM(D61:D72)</f>
        <v>10192.575708</v>
      </c>
      <c r="E73" s="39" t="n">
        <f aca="false">SUM(E61:E72)</f>
        <v>0</v>
      </c>
      <c r="F73" s="39" t="n">
        <f aca="false">SUM(F61:F72)</f>
        <v>14316.730924566</v>
      </c>
      <c r="G73" s="39" t="n">
        <f aca="false">SUM(G61:G72)</f>
        <v>14316.730924566</v>
      </c>
      <c r="H73" s="39" t="n">
        <f aca="false">SUM(H61:H72)</f>
        <v>158029.59463914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32711.6665855</v>
      </c>
    </row>
    <row r="77" customFormat="false" ht="15" hidden="false" customHeight="false" outlineLevel="0" collapsed="false">
      <c r="B77" s="8" t="s">
        <v>138</v>
      </c>
      <c r="C77" s="41" t="n">
        <f aca="false">G73</f>
        <v>14316.730924566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-18394.935660934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266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267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14610.37</v>
      </c>
      <c r="D11" s="16" t="n">
        <v>14610.37</v>
      </c>
    </row>
    <row r="12" customFormat="false" ht="15" hidden="false" customHeight="false" outlineLevel="0" collapsed="false">
      <c r="B12" s="8" t="s">
        <v>142</v>
      </c>
      <c r="C12" s="16" t="n">
        <v>6083.94</v>
      </c>
      <c r="D12" s="16" t="n">
        <v>6083.94</v>
      </c>
    </row>
    <row r="13" customFormat="false" ht="15" hidden="false" customHeight="false" outlineLevel="0" collapsed="false">
      <c r="B13" s="8" t="s">
        <v>143</v>
      </c>
      <c r="C13" s="16" t="n">
        <v>18503.17</v>
      </c>
      <c r="D13" s="16" t="n">
        <v>18503.17</v>
      </c>
    </row>
    <row r="14" customFormat="false" ht="15" hidden="false" customHeight="false" outlineLevel="0" collapsed="false">
      <c r="B14" s="8" t="s">
        <v>144</v>
      </c>
      <c r="C14" s="16" t="n">
        <v>5225.05</v>
      </c>
      <c r="D14" s="16" t="n">
        <v>5225.05</v>
      </c>
    </row>
    <row r="15" customFormat="false" ht="15" hidden="false" customHeight="false" outlineLevel="0" collapsed="false">
      <c r="B15" s="8" t="s">
        <v>145</v>
      </c>
      <c r="C15" s="16" t="n">
        <v>202.24</v>
      </c>
      <c r="D15" s="16" t="n">
        <v>202.24</v>
      </c>
    </row>
    <row r="16" customFormat="false" ht="15" hidden="false" customHeight="false" outlineLevel="0" collapsed="false">
      <c r="B16" s="8" t="s">
        <v>146</v>
      </c>
      <c r="C16" s="16" t="n">
        <v>3181.36</v>
      </c>
      <c r="D16" s="16" t="n">
        <v>3181.36</v>
      </c>
    </row>
    <row r="17" customFormat="false" ht="15" hidden="false" customHeight="false" outlineLevel="0" collapsed="false">
      <c r="B17" s="8" t="s">
        <v>147</v>
      </c>
      <c r="C17" s="16" t="n">
        <v>5652.63</v>
      </c>
      <c r="D17" s="16" t="n">
        <v>5652.63</v>
      </c>
    </row>
    <row r="18" customFormat="false" ht="15" hidden="false" customHeight="false" outlineLevel="0" collapsed="false">
      <c r="B18" s="8" t="s">
        <v>148</v>
      </c>
      <c r="C18" s="16" t="n">
        <v>5819.21</v>
      </c>
      <c r="D18" s="16" t="n">
        <v>5819.21</v>
      </c>
    </row>
    <row r="19" customFormat="false" ht="15" hidden="false" customHeight="false" outlineLevel="0" collapsed="false">
      <c r="B19" s="8" t="s">
        <v>149</v>
      </c>
      <c r="C19" s="16" t="n">
        <v>2064.98</v>
      </c>
      <c r="D19" s="16" t="n">
        <v>2064.98</v>
      </c>
    </row>
    <row r="20" customFormat="false" ht="15" hidden="false" customHeight="false" outlineLevel="0" collapsed="false">
      <c r="B20" s="8" t="s">
        <v>77</v>
      </c>
      <c r="C20" s="16" t="n">
        <v>78.56</v>
      </c>
      <c r="D20" s="16" t="n">
        <v>78.56</v>
      </c>
    </row>
    <row r="21" customFormat="false" ht="15" hidden="false" customHeight="false" outlineLevel="0" collapsed="false">
      <c r="B21" s="8" t="s">
        <v>150</v>
      </c>
      <c r="C21" s="16" t="n">
        <v>1896.61</v>
      </c>
      <c r="D21" s="16" t="n">
        <v>1896.61</v>
      </c>
    </row>
    <row r="22" customFormat="false" ht="15" hidden="false" customHeight="false" outlineLevel="0" collapsed="false">
      <c r="B22" s="8" t="s">
        <v>151</v>
      </c>
      <c r="C22" s="16" t="n">
        <v>3866.28</v>
      </c>
      <c r="D22" s="16" t="n">
        <v>3866.28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23412.06</v>
      </c>
      <c r="G24" s="16" t="n">
        <v>23412.06</v>
      </c>
    </row>
    <row r="25" customFormat="false" ht="15" hidden="false" customHeight="false" outlineLevel="0" collapsed="false">
      <c r="B25" s="8" t="s">
        <v>154</v>
      </c>
      <c r="C25" s="16" t="n">
        <v>20067.48</v>
      </c>
      <c r="G25" s="16" t="n">
        <v>20067.48</v>
      </c>
    </row>
    <row r="26" customFormat="false" ht="15" hidden="false" customHeight="false" outlineLevel="0" collapsed="false">
      <c r="B26" s="8" t="s">
        <v>155</v>
      </c>
      <c r="C26" s="16" t="n">
        <v>23412.06</v>
      </c>
      <c r="G26" s="16" t="n">
        <v>23412.06</v>
      </c>
    </row>
    <row r="27" customFormat="false" ht="15" hidden="false" customHeight="false" outlineLevel="0" collapsed="false">
      <c r="B27" s="8" t="s">
        <v>156</v>
      </c>
      <c r="C27" s="16" t="n">
        <v>18395.19</v>
      </c>
      <c r="G27" s="16" t="n">
        <v>18395.19</v>
      </c>
    </row>
    <row r="28" customFormat="false" ht="15" hidden="false" customHeight="false" outlineLevel="0" collapsed="false">
      <c r="B28" s="8" t="s">
        <v>157</v>
      </c>
      <c r="C28" s="16" t="n">
        <v>2675.66</v>
      </c>
      <c r="G28" s="16" t="n">
        <v>2675.66</v>
      </c>
    </row>
    <row r="29" customFormat="false" ht="15" hidden="false" customHeight="false" outlineLevel="0" collapsed="false">
      <c r="B29" s="8" t="s">
        <v>158</v>
      </c>
      <c r="C29" s="16" t="n">
        <v>20067.48</v>
      </c>
      <c r="G29" s="16" t="n">
        <v>20067.48</v>
      </c>
    </row>
    <row r="30" customFormat="false" ht="15" hidden="false" customHeight="false" outlineLevel="0" collapsed="false">
      <c r="B30" s="8" t="s">
        <v>159</v>
      </c>
      <c r="C30" s="16" t="n">
        <v>16722.9</v>
      </c>
      <c r="G30" s="16" t="n">
        <v>16722.9</v>
      </c>
    </row>
    <row r="31" customFormat="false" ht="15" hidden="false" customHeight="false" outlineLevel="0" collapsed="false">
      <c r="B31" s="8" t="s">
        <v>160</v>
      </c>
      <c r="C31" s="16" t="n">
        <v>15050.61</v>
      </c>
      <c r="G31" s="16" t="n">
        <v>15050.61</v>
      </c>
    </row>
    <row r="32" customFormat="false" ht="15" hidden="false" customHeight="false" outlineLevel="0" collapsed="false">
      <c r="B32" s="8" t="s">
        <v>161</v>
      </c>
      <c r="C32" s="16" t="n">
        <v>13378.32</v>
      </c>
      <c r="G32" s="16" t="n">
        <v>13378.32</v>
      </c>
    </row>
    <row r="33" customFormat="false" ht="15" hidden="false" customHeight="false" outlineLevel="0" collapsed="false">
      <c r="B33" s="8" t="s">
        <v>162</v>
      </c>
      <c r="C33" s="16" t="n">
        <v>36790.39</v>
      </c>
      <c r="G33" s="16" t="n">
        <v>36790.39</v>
      </c>
    </row>
    <row r="34" customFormat="false" ht="15" hidden="false" customHeight="false" outlineLevel="0" collapsed="false">
      <c r="B34" s="8" t="s">
        <v>163</v>
      </c>
      <c r="C34" s="16" t="n">
        <v>15050.61</v>
      </c>
      <c r="G34" s="16" t="n">
        <v>15050.61</v>
      </c>
    </row>
    <row r="35" customFormat="false" ht="15" hidden="false" customHeight="false" outlineLevel="0" collapsed="false">
      <c r="B35" s="8" t="s">
        <v>164</v>
      </c>
      <c r="C35" s="16" t="n">
        <v>2675.66</v>
      </c>
      <c r="G35" s="16" t="n">
        <v>2675.66</v>
      </c>
    </row>
    <row r="36" customFormat="false" ht="15" hidden="false" customHeight="false" outlineLevel="0" collapsed="false">
      <c r="B36" s="8" t="s">
        <v>165</v>
      </c>
      <c r="C36" s="16" t="n">
        <v>90303.68</v>
      </c>
      <c r="G36" s="16" t="n">
        <v>90303.68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365186.5</v>
      </c>
      <c r="D37" s="26" t="n">
        <f aca="false">SUM(D10:D36)</f>
        <v>67184.4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298002.1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44418.41</v>
      </c>
      <c r="D40" s="16" t="n">
        <v>1797.67</v>
      </c>
      <c r="G40" s="16" t="n">
        <v>36121.47</v>
      </c>
    </row>
    <row r="41" customFormat="false" ht="15" hidden="false" customHeight="false" outlineLevel="0" collapsed="false">
      <c r="B41" s="8" t="s">
        <v>166</v>
      </c>
      <c r="C41" s="16" t="n">
        <v>5700.36</v>
      </c>
      <c r="D41" s="16" t="n">
        <v>235.08</v>
      </c>
      <c r="G41" s="16" t="n">
        <v>4635.59</v>
      </c>
    </row>
    <row r="42" customFormat="false" ht="15" hidden="false" customHeight="false" outlineLevel="0" collapsed="false">
      <c r="B42" s="8" t="s">
        <v>94</v>
      </c>
      <c r="C42" s="16" t="n">
        <v>10734.45</v>
      </c>
      <c r="D42" s="16" t="n">
        <v>456.33</v>
      </c>
      <c r="G42" s="16" t="n">
        <v>8729.36</v>
      </c>
    </row>
    <row r="43" customFormat="false" ht="15" hidden="false" customHeight="false" outlineLevel="0" collapsed="false">
      <c r="B43" s="8" t="s">
        <v>95</v>
      </c>
      <c r="C43" s="16" t="n">
        <v>202350.56</v>
      </c>
      <c r="D43" s="16" t="n">
        <v>8189.39</v>
      </c>
      <c r="G43" s="16" t="n">
        <v>164553.37</v>
      </c>
    </row>
    <row r="44" customFormat="false" ht="15" hidden="false" customHeight="false" outlineLevel="0" collapsed="false">
      <c r="B44" s="8" t="s">
        <v>167</v>
      </c>
      <c r="C44" s="16" t="n">
        <v>25968.32</v>
      </c>
      <c r="D44" s="16" t="n">
        <v>1070.92</v>
      </c>
      <c r="G44" s="16" t="n">
        <v>21117.68</v>
      </c>
    </row>
    <row r="45" customFormat="false" ht="15" hidden="false" customHeight="false" outlineLevel="0" collapsed="false">
      <c r="B45" s="8" t="s">
        <v>97</v>
      </c>
      <c r="C45" s="16" t="n">
        <v>48901.38</v>
      </c>
      <c r="D45" s="16" t="n">
        <v>2078.85</v>
      </c>
      <c r="G45" s="16" t="n">
        <v>39767.06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338073.48</v>
      </c>
      <c r="D46" s="26" t="n">
        <f aca="false">SUM(D40:D45)</f>
        <v>13828.24</v>
      </c>
      <c r="E46" s="24"/>
      <c r="F46" s="26" t="n">
        <f aca="false">SUM(F40:F45)</f>
        <v>0</v>
      </c>
      <c r="G46" s="26" t="n">
        <f aca="false">SUM(G40:G45)</f>
        <v>274924.53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268</v>
      </c>
      <c r="C51" s="32" t="n">
        <v>44418.41496</v>
      </c>
      <c r="D51" s="32" t="n">
        <v>0</v>
      </c>
      <c r="E51" s="32" t="n">
        <v>0</v>
      </c>
      <c r="F51" s="32" t="n">
        <v>741.787529832</v>
      </c>
      <c r="G51" s="32" t="n">
        <v>741.787529832</v>
      </c>
      <c r="H51" s="32" t="n">
        <v>43663.30190568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269</v>
      </c>
      <c r="C52" s="36" t="n">
        <v>5700.3632532</v>
      </c>
      <c r="D52" s="36" t="n">
        <v>3420.21795192</v>
      </c>
      <c r="E52" s="36" t="n">
        <v>0</v>
      </c>
      <c r="F52" s="36" t="n">
        <v>3505.723400718</v>
      </c>
      <c r="G52" s="36" t="n">
        <v>3505.723400718</v>
      </c>
      <c r="H52" s="36" t="n">
        <v>2194.639852482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270</v>
      </c>
      <c r="C53" s="32" t="n">
        <v>10734.450282</v>
      </c>
      <c r="D53" s="32" t="n">
        <v>6440.6701692</v>
      </c>
      <c r="E53" s="32" t="n">
        <v>0</v>
      </c>
      <c r="F53" s="32" t="n">
        <v>7299.42619176</v>
      </c>
      <c r="G53" s="32" t="n">
        <v>7299.42619176</v>
      </c>
      <c r="H53" s="32" t="n">
        <v>3435.02409024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271</v>
      </c>
      <c r="C54" s="36" t="n">
        <v>202350.55704</v>
      </c>
      <c r="D54" s="36" t="n">
        <v>0</v>
      </c>
      <c r="E54" s="36" t="n">
        <v>0</v>
      </c>
      <c r="F54" s="36" t="n">
        <v>3379.254302568</v>
      </c>
      <c r="G54" s="36" t="n">
        <v>3379.254302568</v>
      </c>
      <c r="H54" s="36" t="n">
        <v>198910.59757032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272</v>
      </c>
      <c r="C55" s="32" t="n">
        <v>25968.3214868</v>
      </c>
      <c r="D55" s="32" t="n">
        <v>15580.99289208</v>
      </c>
      <c r="E55" s="32" t="n">
        <v>0</v>
      </c>
      <c r="F55" s="32" t="n">
        <v>15970.517714382</v>
      </c>
      <c r="G55" s="32" t="n">
        <v>15970.517714382</v>
      </c>
      <c r="H55" s="32" t="n">
        <v>9997.803772418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273</v>
      </c>
      <c r="C56" s="36" t="n">
        <v>48901.384618</v>
      </c>
      <c r="D56" s="36" t="n">
        <v>29340.8307708</v>
      </c>
      <c r="E56" s="36" t="n">
        <v>0</v>
      </c>
      <c r="F56" s="36" t="n">
        <v>33252.94154024</v>
      </c>
      <c r="G56" s="36" t="n">
        <v>33252.94154024</v>
      </c>
      <c r="H56" s="36" t="n">
        <v>15648.44307776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338073.49164</v>
      </c>
      <c r="D57" s="39" t="n">
        <f aca="false">SUM(D51:D56)</f>
        <v>54782.711784</v>
      </c>
      <c r="E57" s="39" t="n">
        <f aca="false">SUM(E51:E56)</f>
        <v>0</v>
      </c>
      <c r="F57" s="39" t="n">
        <f aca="false">SUM(F51:F56)</f>
        <v>64149.6506795</v>
      </c>
      <c r="G57" s="39" t="n">
        <f aca="false">SUM(G51:G56)</f>
        <v>64149.6506795</v>
      </c>
      <c r="H57" s="39" t="n">
        <f aca="false">SUM(H51:H56)</f>
        <v>273849.8102689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274</v>
      </c>
      <c r="C61" s="32" t="n">
        <v>1702.7059068</v>
      </c>
      <c r="D61" s="32" t="n">
        <v>1021.62354408</v>
      </c>
      <c r="E61" s="32" t="n">
        <v>0</v>
      </c>
      <c r="F61" s="32" t="n">
        <v>1174.867075692</v>
      </c>
      <c r="G61" s="32" t="n">
        <v>1174.867075692</v>
      </c>
      <c r="H61" s="32" t="n">
        <v>527.838831108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275</v>
      </c>
      <c r="C62" s="36" t="n">
        <v>42715.7090532</v>
      </c>
      <c r="D62" s="36" t="n">
        <v>0</v>
      </c>
      <c r="E62" s="36" t="n">
        <v>0</v>
      </c>
      <c r="F62" s="36" t="n">
        <v>713.35234118844</v>
      </c>
      <c r="G62" s="36" t="n">
        <v>713.35234118844</v>
      </c>
      <c r="H62" s="36" t="n">
        <v>41989.5419992956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276</v>
      </c>
      <c r="C63" s="32" t="n">
        <v>222.0920748</v>
      </c>
      <c r="D63" s="32" t="n">
        <v>133.25524488</v>
      </c>
      <c r="E63" s="32" t="n">
        <v>0</v>
      </c>
      <c r="F63" s="32" t="n">
        <v>153.243531612</v>
      </c>
      <c r="G63" s="32" t="n">
        <v>153.243531612</v>
      </c>
      <c r="H63" s="32" t="n">
        <v>68.848543188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277</v>
      </c>
      <c r="C64" s="36" t="n">
        <v>5478.2711784</v>
      </c>
      <c r="D64" s="36" t="n">
        <v>0</v>
      </c>
      <c r="E64" s="36" t="n">
        <v>0</v>
      </c>
      <c r="F64" s="36" t="n">
        <v>91.48712867928</v>
      </c>
      <c r="G64" s="36" t="n">
        <v>91.48712867928</v>
      </c>
      <c r="H64" s="36" t="n">
        <v>5385.1405683672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278</v>
      </c>
      <c r="C65" s="32" t="n">
        <v>4071.688038</v>
      </c>
      <c r="D65" s="32" t="n">
        <v>2443.0128228</v>
      </c>
      <c r="E65" s="32" t="n">
        <v>0</v>
      </c>
      <c r="F65" s="32" t="n">
        <v>2809.46474622</v>
      </c>
      <c r="G65" s="32" t="n">
        <v>2809.46474622</v>
      </c>
      <c r="H65" s="32" t="n">
        <v>1262.22329178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279</v>
      </c>
      <c r="C66" s="36" t="n">
        <v>6662.762244</v>
      </c>
      <c r="D66" s="36" t="n">
        <v>0</v>
      </c>
      <c r="E66" s="36" t="n">
        <v>0</v>
      </c>
      <c r="F66" s="36" t="n">
        <v>111.2681294748</v>
      </c>
      <c r="G66" s="36" t="n">
        <v>111.2681294748</v>
      </c>
      <c r="H66" s="36" t="n">
        <v>6549.495285852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280</v>
      </c>
      <c r="C67" s="32" t="n">
        <v>7756.7713532</v>
      </c>
      <c r="D67" s="32" t="n">
        <v>4654.06281192</v>
      </c>
      <c r="E67" s="32" t="n">
        <v>0</v>
      </c>
      <c r="F67" s="32" t="n">
        <v>5352.172233708</v>
      </c>
      <c r="G67" s="32" t="n">
        <v>5352.172233708</v>
      </c>
      <c r="H67" s="32" t="n">
        <v>2404.599119492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281</v>
      </c>
      <c r="C68" s="36" t="n">
        <v>194593.7856868</v>
      </c>
      <c r="D68" s="36" t="n">
        <v>0</v>
      </c>
      <c r="E68" s="36" t="n">
        <v>0</v>
      </c>
      <c r="F68" s="36" t="n">
        <v>3249.71622096956</v>
      </c>
      <c r="G68" s="36" t="n">
        <v>3249.71622096956</v>
      </c>
      <c r="H68" s="36" t="n">
        <v>191285.691330124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282</v>
      </c>
      <c r="C69" s="32" t="n">
        <v>1011.7527852</v>
      </c>
      <c r="D69" s="32" t="n">
        <v>607.05167112</v>
      </c>
      <c r="E69" s="32" t="n">
        <v>0</v>
      </c>
      <c r="F69" s="32" t="n">
        <v>698.109421788</v>
      </c>
      <c r="G69" s="32" t="n">
        <v>698.109421788</v>
      </c>
      <c r="H69" s="32" t="n">
        <v>313.643363412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283</v>
      </c>
      <c r="C70" s="36" t="n">
        <v>24956.5687016</v>
      </c>
      <c r="D70" s="36" t="n">
        <v>0</v>
      </c>
      <c r="E70" s="36" t="n">
        <v>0</v>
      </c>
      <c r="F70" s="36" t="n">
        <v>416.77469731672</v>
      </c>
      <c r="G70" s="36" t="n">
        <v>416.77469731672</v>
      </c>
      <c r="H70" s="36" t="n">
        <v>24532.3070336728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284</v>
      </c>
      <c r="C71" s="32" t="n">
        <v>18548.801062</v>
      </c>
      <c r="D71" s="32" t="n">
        <v>11129.2806372</v>
      </c>
      <c r="E71" s="32" t="n">
        <v>0</v>
      </c>
      <c r="F71" s="32" t="n">
        <v>12798.67273278</v>
      </c>
      <c r="G71" s="32" t="n">
        <v>12798.67273278</v>
      </c>
      <c r="H71" s="32" t="n">
        <v>5750.12832922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285</v>
      </c>
      <c r="C72" s="36" t="n">
        <v>30352.583556</v>
      </c>
      <c r="D72" s="36" t="n">
        <v>0</v>
      </c>
      <c r="E72" s="36" t="n">
        <v>0</v>
      </c>
      <c r="F72" s="36" t="n">
        <v>506.8881453852</v>
      </c>
      <c r="G72" s="36" t="n">
        <v>506.8881453852</v>
      </c>
      <c r="H72" s="36" t="n">
        <v>29836.589635548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338073.49164</v>
      </c>
      <c r="D73" s="39" t="n">
        <f aca="false">SUM(D61:D72)</f>
        <v>19988.286732</v>
      </c>
      <c r="E73" s="39" t="n">
        <f aca="false">SUM(E61:E72)</f>
        <v>0</v>
      </c>
      <c r="F73" s="39" t="n">
        <f aca="false">SUM(F61:F72)</f>
        <v>28076.016404814</v>
      </c>
      <c r="G73" s="39" t="n">
        <f aca="false">SUM(G61:G72)</f>
        <v>28076.016404814</v>
      </c>
      <c r="H73" s="39" t="n">
        <f aca="false">SUM(H61:H72)</f>
        <v>309906.04733106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64149.6506795</v>
      </c>
    </row>
    <row r="77" customFormat="false" ht="15" hidden="false" customHeight="false" outlineLevel="0" collapsed="false">
      <c r="B77" s="8" t="s">
        <v>138</v>
      </c>
      <c r="C77" s="41" t="n">
        <f aca="false">G73</f>
        <v>28076.016404814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-36073.634274686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286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287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9441.54</v>
      </c>
      <c r="D11" s="16" t="n">
        <v>9441.54</v>
      </c>
    </row>
    <row r="12" customFormat="false" ht="15" hidden="false" customHeight="false" outlineLevel="0" collapsed="false">
      <c r="B12" s="8" t="s">
        <v>142</v>
      </c>
      <c r="C12" s="16" t="n">
        <v>3931.58</v>
      </c>
      <c r="D12" s="16" t="n">
        <v>3931.58</v>
      </c>
    </row>
    <row r="13" customFormat="false" ht="15" hidden="false" customHeight="false" outlineLevel="0" collapsed="false">
      <c r="B13" s="8" t="s">
        <v>143</v>
      </c>
      <c r="C13" s="16" t="n">
        <v>11957.15</v>
      </c>
      <c r="D13" s="16" t="n">
        <v>11957.15</v>
      </c>
    </row>
    <row r="14" customFormat="false" ht="15" hidden="false" customHeight="false" outlineLevel="0" collapsed="false">
      <c r="B14" s="8" t="s">
        <v>144</v>
      </c>
      <c r="C14" s="16" t="n">
        <v>3376.54</v>
      </c>
      <c r="D14" s="16" t="n">
        <v>3376.54</v>
      </c>
    </row>
    <row r="15" customFormat="false" ht="15" hidden="false" customHeight="false" outlineLevel="0" collapsed="false">
      <c r="B15" s="8" t="s">
        <v>145</v>
      </c>
      <c r="C15" s="16" t="n">
        <v>130.69</v>
      </c>
      <c r="D15" s="16" t="n">
        <v>130.69</v>
      </c>
    </row>
    <row r="16" customFormat="false" ht="15" hidden="false" customHeight="false" outlineLevel="0" collapsed="false">
      <c r="B16" s="8" t="s">
        <v>146</v>
      </c>
      <c r="C16" s="16" t="n">
        <v>2055.86</v>
      </c>
      <c r="D16" s="16" t="n">
        <v>2055.86</v>
      </c>
    </row>
    <row r="17" customFormat="false" ht="15" hidden="false" customHeight="false" outlineLevel="0" collapsed="false">
      <c r="B17" s="8" t="s">
        <v>147</v>
      </c>
      <c r="C17" s="16" t="n">
        <v>3652.85</v>
      </c>
      <c r="D17" s="16" t="n">
        <v>3652.85</v>
      </c>
    </row>
    <row r="18" customFormat="false" ht="15" hidden="false" customHeight="false" outlineLevel="0" collapsed="false">
      <c r="B18" s="8" t="s">
        <v>148</v>
      </c>
      <c r="C18" s="16" t="n">
        <v>3760.5</v>
      </c>
      <c r="D18" s="16" t="n">
        <v>3760.5</v>
      </c>
    </row>
    <row r="19" customFormat="false" ht="15" hidden="false" customHeight="false" outlineLevel="0" collapsed="false">
      <c r="B19" s="8" t="s">
        <v>149</v>
      </c>
      <c r="C19" s="16" t="n">
        <v>1334.43</v>
      </c>
      <c r="D19" s="16" t="n">
        <v>1334.43</v>
      </c>
    </row>
    <row r="20" customFormat="false" ht="15" hidden="false" customHeight="false" outlineLevel="0" collapsed="false">
      <c r="B20" s="8" t="s">
        <v>77</v>
      </c>
      <c r="C20" s="16" t="n">
        <v>50.76</v>
      </c>
      <c r="D20" s="16" t="n">
        <v>50.76</v>
      </c>
    </row>
    <row r="21" customFormat="false" ht="15" hidden="false" customHeight="false" outlineLevel="0" collapsed="false">
      <c r="B21" s="8" t="s">
        <v>150</v>
      </c>
      <c r="C21" s="16" t="n">
        <v>1225.63</v>
      </c>
      <c r="D21" s="16" t="n">
        <v>1225.63</v>
      </c>
    </row>
    <row r="22" customFormat="false" ht="15" hidden="false" customHeight="false" outlineLevel="0" collapsed="false">
      <c r="B22" s="8" t="s">
        <v>151</v>
      </c>
      <c r="C22" s="16" t="n">
        <v>2498.48</v>
      </c>
      <c r="D22" s="16" t="n">
        <v>2498.48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15215.82</v>
      </c>
      <c r="G24" s="16" t="n">
        <v>15215.82</v>
      </c>
    </row>
    <row r="25" customFormat="false" ht="15" hidden="false" customHeight="false" outlineLevel="0" collapsed="false">
      <c r="B25" s="8" t="s">
        <v>154</v>
      </c>
      <c r="C25" s="16" t="n">
        <v>13042.13</v>
      </c>
      <c r="G25" s="16" t="n">
        <v>13042.13</v>
      </c>
    </row>
    <row r="26" customFormat="false" ht="15" hidden="false" customHeight="false" outlineLevel="0" collapsed="false">
      <c r="B26" s="8" t="s">
        <v>155</v>
      </c>
      <c r="C26" s="16" t="n">
        <v>15215.82</v>
      </c>
      <c r="G26" s="16" t="n">
        <v>15215.82</v>
      </c>
    </row>
    <row r="27" customFormat="false" ht="15" hidden="false" customHeight="false" outlineLevel="0" collapsed="false">
      <c r="B27" s="8" t="s">
        <v>156</v>
      </c>
      <c r="C27" s="16" t="n">
        <v>11955.29</v>
      </c>
      <c r="G27" s="16" t="n">
        <v>11955.29</v>
      </c>
    </row>
    <row r="28" customFormat="false" ht="15" hidden="false" customHeight="false" outlineLevel="0" collapsed="false">
      <c r="B28" s="8" t="s">
        <v>157</v>
      </c>
      <c r="C28" s="16" t="n">
        <v>1738.95</v>
      </c>
      <c r="G28" s="16" t="n">
        <v>1738.95</v>
      </c>
    </row>
    <row r="29" customFormat="false" ht="15" hidden="false" customHeight="false" outlineLevel="0" collapsed="false">
      <c r="B29" s="8" t="s">
        <v>158</v>
      </c>
      <c r="C29" s="16" t="n">
        <v>13042.13</v>
      </c>
      <c r="G29" s="16" t="n">
        <v>13042.13</v>
      </c>
    </row>
    <row r="30" customFormat="false" ht="15" hidden="false" customHeight="false" outlineLevel="0" collapsed="false">
      <c r="B30" s="8" t="s">
        <v>159</v>
      </c>
      <c r="C30" s="16" t="n">
        <v>10868.44</v>
      </c>
      <c r="G30" s="16" t="n">
        <v>10868.44</v>
      </c>
    </row>
    <row r="31" customFormat="false" ht="15" hidden="false" customHeight="false" outlineLevel="0" collapsed="false">
      <c r="B31" s="8" t="s">
        <v>160</v>
      </c>
      <c r="C31" s="16" t="n">
        <v>9781.6</v>
      </c>
      <c r="G31" s="16" t="n">
        <v>9781.6</v>
      </c>
    </row>
    <row r="32" customFormat="false" ht="15" hidden="false" customHeight="false" outlineLevel="0" collapsed="false">
      <c r="B32" s="8" t="s">
        <v>161</v>
      </c>
      <c r="C32" s="16" t="n">
        <v>8694.75</v>
      </c>
      <c r="G32" s="16" t="n">
        <v>8694.75</v>
      </c>
    </row>
    <row r="33" customFormat="false" ht="15" hidden="false" customHeight="false" outlineLevel="0" collapsed="false">
      <c r="B33" s="8" t="s">
        <v>162</v>
      </c>
      <c r="C33" s="16" t="n">
        <v>23910.58</v>
      </c>
      <c r="G33" s="16" t="n">
        <v>23910.58</v>
      </c>
    </row>
    <row r="34" customFormat="false" ht="15" hidden="false" customHeight="false" outlineLevel="0" collapsed="false">
      <c r="B34" s="8" t="s">
        <v>163</v>
      </c>
      <c r="C34" s="16" t="n">
        <v>9781.6</v>
      </c>
      <c r="G34" s="16" t="n">
        <v>9781.6</v>
      </c>
    </row>
    <row r="35" customFormat="false" ht="15" hidden="false" customHeight="false" outlineLevel="0" collapsed="false">
      <c r="B35" s="8" t="s">
        <v>164</v>
      </c>
      <c r="C35" s="16" t="n">
        <v>1738.95</v>
      </c>
      <c r="G35" s="16" t="n">
        <v>1738.95</v>
      </c>
    </row>
    <row r="36" customFormat="false" ht="15" hidden="false" customHeight="false" outlineLevel="0" collapsed="false">
      <c r="B36" s="8" t="s">
        <v>165</v>
      </c>
      <c r="C36" s="16" t="n">
        <v>58689.59</v>
      </c>
      <c r="G36" s="16" t="n">
        <v>58689.59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237091.66</v>
      </c>
      <c r="D37" s="26" t="n">
        <f aca="false">SUM(D10:D36)</f>
        <v>43416.01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193675.65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28704.15</v>
      </c>
      <c r="D40" s="16" t="n">
        <v>1132.8</v>
      </c>
      <c r="G40" s="16" t="n">
        <v>23475.84</v>
      </c>
    </row>
    <row r="41" customFormat="false" ht="15" hidden="false" customHeight="false" outlineLevel="0" collapsed="false">
      <c r="B41" s="8" t="s">
        <v>166</v>
      </c>
      <c r="C41" s="16" t="n">
        <v>3683.7</v>
      </c>
      <c r="D41" s="16" t="n">
        <v>148.14</v>
      </c>
      <c r="G41" s="16" t="n">
        <v>3012.73</v>
      </c>
    </row>
    <row r="42" customFormat="false" ht="15" hidden="false" customHeight="false" outlineLevel="0" collapsed="false">
      <c r="B42" s="8" t="s">
        <v>94</v>
      </c>
      <c r="C42" s="16" t="n">
        <v>6936.84</v>
      </c>
      <c r="D42" s="16" t="n">
        <v>287.56</v>
      </c>
      <c r="G42" s="16" t="n">
        <v>5673.33</v>
      </c>
    </row>
    <row r="43" customFormat="false" ht="15" hidden="false" customHeight="false" outlineLevel="0" collapsed="false">
      <c r="B43" s="8" t="s">
        <v>95</v>
      </c>
      <c r="C43" s="16" t="n">
        <v>130763.35</v>
      </c>
      <c r="D43" s="16" t="n">
        <v>5160.54</v>
      </c>
      <c r="G43" s="16" t="n">
        <v>106945.48</v>
      </c>
    </row>
    <row r="44" customFormat="false" ht="15" hidden="false" customHeight="false" outlineLevel="0" collapsed="false">
      <c r="B44" s="8" t="s">
        <v>167</v>
      </c>
      <c r="C44" s="16" t="n">
        <v>16781.3</v>
      </c>
      <c r="D44" s="16" t="n">
        <v>674.84</v>
      </c>
      <c r="G44" s="16" t="n">
        <v>13724.67</v>
      </c>
    </row>
    <row r="45" customFormat="false" ht="15" hidden="false" customHeight="false" outlineLevel="0" collapsed="false">
      <c r="B45" s="8" t="s">
        <v>97</v>
      </c>
      <c r="C45" s="16" t="n">
        <v>31601.14</v>
      </c>
      <c r="D45" s="16" t="n">
        <v>1309.98</v>
      </c>
      <c r="G45" s="16" t="n">
        <v>25845.16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218470.48</v>
      </c>
      <c r="D46" s="26" t="n">
        <f aca="false">SUM(D40:D45)</f>
        <v>8713.86</v>
      </c>
      <c r="E46" s="24"/>
      <c r="F46" s="26" t="n">
        <f aca="false">SUM(F40:F45)</f>
        <v>0</v>
      </c>
      <c r="G46" s="26" t="n">
        <f aca="false">SUM(G40:G45)</f>
        <v>178677.21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288</v>
      </c>
      <c r="C51" s="32" t="n">
        <v>28704.14928</v>
      </c>
      <c r="D51" s="32" t="n">
        <v>0</v>
      </c>
      <c r="E51" s="32" t="n">
        <v>0</v>
      </c>
      <c r="F51" s="32" t="n">
        <v>479.359292976</v>
      </c>
      <c r="G51" s="32" t="n">
        <v>479.359292976</v>
      </c>
      <c r="H51" s="32" t="n">
        <v>28216.17874224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289</v>
      </c>
      <c r="C52" s="36" t="n">
        <v>3683.6991576</v>
      </c>
      <c r="D52" s="36" t="n">
        <v>2210.21949456</v>
      </c>
      <c r="E52" s="36" t="n">
        <v>0</v>
      </c>
      <c r="F52" s="36" t="n">
        <v>2265.474981924</v>
      </c>
      <c r="G52" s="36" t="n">
        <v>2265.474981924</v>
      </c>
      <c r="H52" s="36" t="n">
        <v>1418.224175676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290</v>
      </c>
      <c r="C53" s="32" t="n">
        <v>6936.836076</v>
      </c>
      <c r="D53" s="32" t="n">
        <v>4162.1016456</v>
      </c>
      <c r="E53" s="32" t="n">
        <v>0</v>
      </c>
      <c r="F53" s="32" t="n">
        <v>4717.04853168</v>
      </c>
      <c r="G53" s="32" t="n">
        <v>4717.04853168</v>
      </c>
      <c r="H53" s="32" t="n">
        <v>2219.78754432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291</v>
      </c>
      <c r="C54" s="36" t="n">
        <v>130763.34672</v>
      </c>
      <c r="D54" s="36" t="n">
        <v>0</v>
      </c>
      <c r="E54" s="36" t="n">
        <v>0</v>
      </c>
      <c r="F54" s="36" t="n">
        <v>2183.747890224</v>
      </c>
      <c r="G54" s="36" t="n">
        <v>2183.747890224</v>
      </c>
      <c r="H54" s="36" t="n">
        <v>128540.36982576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292</v>
      </c>
      <c r="C55" s="32" t="n">
        <v>16781.2961624</v>
      </c>
      <c r="D55" s="32" t="n">
        <v>10068.77769744</v>
      </c>
      <c r="E55" s="32" t="n">
        <v>0</v>
      </c>
      <c r="F55" s="32" t="n">
        <v>10320.497139876</v>
      </c>
      <c r="G55" s="32" t="n">
        <v>10320.497139876</v>
      </c>
      <c r="H55" s="32" t="n">
        <v>6460.799022524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293</v>
      </c>
      <c r="C56" s="36" t="n">
        <v>31601.142124</v>
      </c>
      <c r="D56" s="36" t="n">
        <v>18960.6852744</v>
      </c>
      <c r="E56" s="36" t="n">
        <v>0</v>
      </c>
      <c r="F56" s="36" t="n">
        <v>21488.77664432</v>
      </c>
      <c r="G56" s="36" t="n">
        <v>21488.77664432</v>
      </c>
      <c r="H56" s="36" t="n">
        <v>10112.36547968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218470.46952</v>
      </c>
      <c r="D57" s="39" t="n">
        <f aca="false">SUM(D51:D56)</f>
        <v>35401.784112</v>
      </c>
      <c r="E57" s="39" t="n">
        <f aca="false">SUM(E51:E56)</f>
        <v>0</v>
      </c>
      <c r="F57" s="39" t="n">
        <f aca="false">SUM(F51:F56)</f>
        <v>41454.904481</v>
      </c>
      <c r="G57" s="39" t="n">
        <f aca="false">SUM(G51:G56)</f>
        <v>41454.904481</v>
      </c>
      <c r="H57" s="39" t="n">
        <f aca="false">SUM(H51:H56)</f>
        <v>176967.7247902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294</v>
      </c>
      <c r="C61" s="32" t="n">
        <v>1100.3257224</v>
      </c>
      <c r="D61" s="32" t="n">
        <v>660.19543344</v>
      </c>
      <c r="E61" s="32" t="n">
        <v>0</v>
      </c>
      <c r="F61" s="32" t="n">
        <v>759.224748456</v>
      </c>
      <c r="G61" s="32" t="n">
        <v>759.224748456</v>
      </c>
      <c r="H61" s="32" t="n">
        <v>341.100973944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295</v>
      </c>
      <c r="C62" s="36" t="n">
        <v>27603.8235576</v>
      </c>
      <c r="D62" s="36" t="n">
        <v>0</v>
      </c>
      <c r="E62" s="36" t="n">
        <v>0</v>
      </c>
      <c r="F62" s="36" t="n">
        <v>460.98385341192</v>
      </c>
      <c r="G62" s="36" t="n">
        <v>460.98385341192</v>
      </c>
      <c r="H62" s="36" t="n">
        <v>27134.5585571208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296</v>
      </c>
      <c r="C63" s="32" t="n">
        <v>143.5207464</v>
      </c>
      <c r="D63" s="32" t="n">
        <v>86.11244784</v>
      </c>
      <c r="E63" s="32" t="n">
        <v>0</v>
      </c>
      <c r="F63" s="32" t="n">
        <v>99.029315016</v>
      </c>
      <c r="G63" s="32" t="n">
        <v>99.029315016</v>
      </c>
      <c r="H63" s="32" t="n">
        <v>44.491431384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297</v>
      </c>
      <c r="C64" s="36" t="n">
        <v>3540.1784112</v>
      </c>
      <c r="D64" s="36" t="n">
        <v>0</v>
      </c>
      <c r="E64" s="36" t="n">
        <v>0</v>
      </c>
      <c r="F64" s="36" t="n">
        <v>59.12097946704</v>
      </c>
      <c r="G64" s="36" t="n">
        <v>59.12097946704</v>
      </c>
      <c r="H64" s="36" t="n">
        <v>3479.9953782096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298</v>
      </c>
      <c r="C65" s="32" t="n">
        <v>2631.213684</v>
      </c>
      <c r="D65" s="32" t="n">
        <v>1578.7282104</v>
      </c>
      <c r="E65" s="32" t="n">
        <v>0</v>
      </c>
      <c r="F65" s="32" t="n">
        <v>1815.53744196</v>
      </c>
      <c r="G65" s="32" t="n">
        <v>1815.53744196</v>
      </c>
      <c r="H65" s="32" t="n">
        <v>815.67624204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299</v>
      </c>
      <c r="C66" s="36" t="n">
        <v>4305.622392</v>
      </c>
      <c r="D66" s="36" t="n">
        <v>0</v>
      </c>
      <c r="E66" s="36" t="n">
        <v>0</v>
      </c>
      <c r="F66" s="36" t="n">
        <v>71.9038939464</v>
      </c>
      <c r="G66" s="36" t="n">
        <v>71.9038939464</v>
      </c>
      <c r="H66" s="36" t="n">
        <v>4232.426811336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300</v>
      </c>
      <c r="C67" s="32" t="n">
        <v>5012.5949576</v>
      </c>
      <c r="D67" s="32" t="n">
        <v>3007.55697456</v>
      </c>
      <c r="E67" s="32" t="n">
        <v>0</v>
      </c>
      <c r="F67" s="32" t="n">
        <v>3458.690520744</v>
      </c>
      <c r="G67" s="32" t="n">
        <v>3458.690520744</v>
      </c>
      <c r="H67" s="32" t="n">
        <v>1553.904436856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301</v>
      </c>
      <c r="C68" s="36" t="n">
        <v>125750.7517624</v>
      </c>
      <c r="D68" s="36" t="n">
        <v>0</v>
      </c>
      <c r="E68" s="36" t="n">
        <v>0</v>
      </c>
      <c r="F68" s="36" t="n">
        <v>2100.03755443208</v>
      </c>
      <c r="G68" s="36" t="n">
        <v>2100.03755443208</v>
      </c>
      <c r="H68" s="36" t="n">
        <v>123612.988982439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302</v>
      </c>
      <c r="C69" s="32" t="n">
        <v>653.8167336</v>
      </c>
      <c r="D69" s="32" t="n">
        <v>392.29004016</v>
      </c>
      <c r="E69" s="32" t="n">
        <v>0</v>
      </c>
      <c r="F69" s="32" t="n">
        <v>451.133546184</v>
      </c>
      <c r="G69" s="32" t="n">
        <v>451.133546184</v>
      </c>
      <c r="H69" s="32" t="n">
        <v>202.683187416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303</v>
      </c>
      <c r="C70" s="36" t="n">
        <v>16127.4794288</v>
      </c>
      <c r="D70" s="36" t="n">
        <v>0</v>
      </c>
      <c r="E70" s="36" t="n">
        <v>0</v>
      </c>
      <c r="F70" s="36" t="n">
        <v>269.32890646096</v>
      </c>
      <c r="G70" s="36" t="n">
        <v>269.32890646096</v>
      </c>
      <c r="H70" s="36" t="n">
        <v>15853.3122785104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304</v>
      </c>
      <c r="C71" s="32" t="n">
        <v>11986.640116</v>
      </c>
      <c r="D71" s="32" t="n">
        <v>7191.9840696</v>
      </c>
      <c r="E71" s="32" t="n">
        <v>0</v>
      </c>
      <c r="F71" s="32" t="n">
        <v>8270.78168004</v>
      </c>
      <c r="G71" s="32" t="n">
        <v>8270.78168004</v>
      </c>
      <c r="H71" s="32" t="n">
        <v>3715.85843596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305</v>
      </c>
      <c r="C72" s="36" t="n">
        <v>19614.502008</v>
      </c>
      <c r="D72" s="36" t="n">
        <v>0</v>
      </c>
      <c r="E72" s="36" t="n">
        <v>0</v>
      </c>
      <c r="F72" s="36" t="n">
        <v>327.5621835336</v>
      </c>
      <c r="G72" s="36" t="n">
        <v>327.5621835336</v>
      </c>
      <c r="H72" s="36" t="n">
        <v>19281.055473864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218470.46952</v>
      </c>
      <c r="D73" s="39" t="n">
        <f aca="false">SUM(D61:D72)</f>
        <v>12916.867176</v>
      </c>
      <c r="E73" s="39" t="n">
        <f aca="false">SUM(E61:E72)</f>
        <v>0</v>
      </c>
      <c r="F73" s="39" t="n">
        <f aca="false">SUM(F61:F72)</f>
        <v>18143.334623652</v>
      </c>
      <c r="G73" s="39" t="n">
        <f aca="false">SUM(G61:G72)</f>
        <v>18143.334623652</v>
      </c>
      <c r="H73" s="39" t="n">
        <f aca="false">SUM(H61:H72)</f>
        <v>200268.05218908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41454.904481</v>
      </c>
    </row>
    <row r="77" customFormat="false" ht="15" hidden="false" customHeight="false" outlineLevel="0" collapsed="false">
      <c r="B77" s="8" t="s">
        <v>138</v>
      </c>
      <c r="C77" s="41" t="n">
        <f aca="false">G73</f>
        <v>18143.334623652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-23311.569857348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306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307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12680.67</v>
      </c>
      <c r="D11" s="16" t="n">
        <v>12680.67</v>
      </c>
    </row>
    <row r="12" customFormat="false" ht="15" hidden="false" customHeight="false" outlineLevel="0" collapsed="false">
      <c r="B12" s="8" t="s">
        <v>142</v>
      </c>
      <c r="C12" s="16" t="n">
        <v>5280.39</v>
      </c>
      <c r="D12" s="16" t="n">
        <v>5280.39</v>
      </c>
    </row>
    <row r="13" customFormat="false" ht="15" hidden="false" customHeight="false" outlineLevel="0" collapsed="false">
      <c r="B13" s="8" t="s">
        <v>143</v>
      </c>
      <c r="C13" s="16" t="n">
        <v>16059.32</v>
      </c>
      <c r="D13" s="16" t="n">
        <v>16059.32</v>
      </c>
    </row>
    <row r="14" customFormat="false" ht="15" hidden="false" customHeight="false" outlineLevel="0" collapsed="false">
      <c r="B14" s="8" t="s">
        <v>144</v>
      </c>
      <c r="C14" s="16" t="n">
        <v>4534.93</v>
      </c>
      <c r="D14" s="16" t="n">
        <v>4534.93</v>
      </c>
    </row>
    <row r="15" customFormat="false" ht="15" hidden="false" customHeight="false" outlineLevel="0" collapsed="false">
      <c r="B15" s="8" t="s">
        <v>145</v>
      </c>
      <c r="C15" s="16" t="n">
        <v>175.53</v>
      </c>
      <c r="D15" s="16" t="n">
        <v>175.53</v>
      </c>
    </row>
    <row r="16" customFormat="false" ht="15" hidden="false" customHeight="false" outlineLevel="0" collapsed="false">
      <c r="B16" s="8" t="s">
        <v>146</v>
      </c>
      <c r="C16" s="16" t="n">
        <v>2761.17</v>
      </c>
      <c r="D16" s="16" t="n">
        <v>2761.17</v>
      </c>
    </row>
    <row r="17" customFormat="false" ht="15" hidden="false" customHeight="false" outlineLevel="0" collapsed="false">
      <c r="B17" s="8" t="s">
        <v>147</v>
      </c>
      <c r="C17" s="16" t="n">
        <v>4906.05</v>
      </c>
      <c r="D17" s="16" t="n">
        <v>4906.05</v>
      </c>
    </row>
    <row r="18" customFormat="false" ht="15" hidden="false" customHeight="false" outlineLevel="0" collapsed="false">
      <c r="B18" s="8" t="s">
        <v>148</v>
      </c>
      <c r="C18" s="16" t="n">
        <v>5050.63</v>
      </c>
      <c r="D18" s="16" t="n">
        <v>5050.63</v>
      </c>
    </row>
    <row r="19" customFormat="false" ht="15" hidden="false" customHeight="false" outlineLevel="0" collapsed="false">
      <c r="B19" s="8" t="s">
        <v>149</v>
      </c>
      <c r="C19" s="16" t="n">
        <v>1792.24</v>
      </c>
      <c r="D19" s="16" t="n">
        <v>1792.24</v>
      </c>
    </row>
    <row r="20" customFormat="false" ht="15" hidden="false" customHeight="false" outlineLevel="0" collapsed="false">
      <c r="B20" s="8" t="s">
        <v>77</v>
      </c>
      <c r="C20" s="16" t="n">
        <v>68.18</v>
      </c>
      <c r="D20" s="16" t="n">
        <v>68.18</v>
      </c>
    </row>
    <row r="21" customFormat="false" ht="15" hidden="false" customHeight="false" outlineLevel="0" collapsed="false">
      <c r="B21" s="8" t="s">
        <v>150</v>
      </c>
      <c r="C21" s="16" t="n">
        <v>1646.11</v>
      </c>
      <c r="D21" s="16" t="n">
        <v>1646.11</v>
      </c>
    </row>
    <row r="22" customFormat="false" ht="15" hidden="false" customHeight="false" outlineLevel="0" collapsed="false">
      <c r="B22" s="8" t="s">
        <v>151</v>
      </c>
      <c r="C22" s="16" t="n">
        <v>3355.63</v>
      </c>
      <c r="D22" s="16" t="n">
        <v>3355.63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20428.5</v>
      </c>
      <c r="G24" s="16" t="n">
        <v>20428.5</v>
      </c>
    </row>
    <row r="25" customFormat="false" ht="15" hidden="false" customHeight="false" outlineLevel="0" collapsed="false">
      <c r="B25" s="8" t="s">
        <v>154</v>
      </c>
      <c r="C25" s="16" t="n">
        <v>17510.15</v>
      </c>
      <c r="G25" s="16" t="n">
        <v>17510.15</v>
      </c>
    </row>
    <row r="26" customFormat="false" ht="15" hidden="false" customHeight="false" outlineLevel="0" collapsed="false">
      <c r="B26" s="8" t="s">
        <v>155</v>
      </c>
      <c r="C26" s="16" t="n">
        <v>20428.5</v>
      </c>
      <c r="G26" s="16" t="n">
        <v>20428.5</v>
      </c>
    </row>
    <row r="27" customFormat="false" ht="15" hidden="false" customHeight="false" outlineLevel="0" collapsed="false">
      <c r="B27" s="8" t="s">
        <v>156</v>
      </c>
      <c r="C27" s="16" t="n">
        <v>16050.97</v>
      </c>
      <c r="G27" s="16" t="n">
        <v>16050.97</v>
      </c>
    </row>
    <row r="28" customFormat="false" ht="15" hidden="false" customHeight="false" outlineLevel="0" collapsed="false">
      <c r="B28" s="8" t="s">
        <v>157</v>
      </c>
      <c r="C28" s="16" t="n">
        <v>2334.69</v>
      </c>
      <c r="G28" s="16" t="n">
        <v>2334.69</v>
      </c>
    </row>
    <row r="29" customFormat="false" ht="15" hidden="false" customHeight="false" outlineLevel="0" collapsed="false">
      <c r="B29" s="8" t="s">
        <v>158</v>
      </c>
      <c r="C29" s="16" t="n">
        <v>17510.15</v>
      </c>
      <c r="G29" s="16" t="n">
        <v>17510.15</v>
      </c>
    </row>
    <row r="30" customFormat="false" ht="15" hidden="false" customHeight="false" outlineLevel="0" collapsed="false">
      <c r="B30" s="8" t="s">
        <v>159</v>
      </c>
      <c r="C30" s="16" t="n">
        <v>14591.79</v>
      </c>
      <c r="G30" s="16" t="n">
        <v>14591.79</v>
      </c>
    </row>
    <row r="31" customFormat="false" ht="15" hidden="false" customHeight="false" outlineLevel="0" collapsed="false">
      <c r="B31" s="8" t="s">
        <v>160</v>
      </c>
      <c r="C31" s="16" t="n">
        <v>13132.61</v>
      </c>
      <c r="G31" s="16" t="n">
        <v>13132.61</v>
      </c>
    </row>
    <row r="32" customFormat="false" ht="15" hidden="false" customHeight="false" outlineLevel="0" collapsed="false">
      <c r="B32" s="8" t="s">
        <v>161</v>
      </c>
      <c r="C32" s="16" t="n">
        <v>11673.43</v>
      </c>
      <c r="G32" s="16" t="n">
        <v>11673.43</v>
      </c>
    </row>
    <row r="33" customFormat="false" ht="15" hidden="false" customHeight="false" outlineLevel="0" collapsed="false">
      <c r="B33" s="8" t="s">
        <v>162</v>
      </c>
      <c r="C33" s="16" t="n">
        <v>32101.93</v>
      </c>
      <c r="G33" s="16" t="n">
        <v>32101.93</v>
      </c>
    </row>
    <row r="34" customFormat="false" ht="15" hidden="false" customHeight="false" outlineLevel="0" collapsed="false">
      <c r="B34" s="8" t="s">
        <v>163</v>
      </c>
      <c r="C34" s="16" t="n">
        <v>13132.61</v>
      </c>
      <c r="G34" s="16" t="n">
        <v>13132.61</v>
      </c>
    </row>
    <row r="35" customFormat="false" ht="15" hidden="false" customHeight="false" outlineLevel="0" collapsed="false">
      <c r="B35" s="8" t="s">
        <v>164</v>
      </c>
      <c r="C35" s="16" t="n">
        <v>2334.69</v>
      </c>
      <c r="G35" s="16" t="n">
        <v>2334.69</v>
      </c>
    </row>
    <row r="36" customFormat="false" ht="15" hidden="false" customHeight="false" outlineLevel="0" collapsed="false">
      <c r="B36" s="8" t="s">
        <v>165</v>
      </c>
      <c r="C36" s="16" t="n">
        <v>78795.66</v>
      </c>
      <c r="G36" s="16" t="n">
        <v>78795.66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318336.53</v>
      </c>
      <c r="D37" s="26" t="n">
        <f aca="false">SUM(D10:D36)</f>
        <v>58310.85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260025.68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38551.74</v>
      </c>
      <c r="D40" s="16" t="n">
        <v>1523.92</v>
      </c>
      <c r="G40" s="16" t="n">
        <v>31518.26</v>
      </c>
    </row>
    <row r="41" customFormat="false" ht="15" hidden="false" customHeight="false" outlineLevel="0" collapsed="false">
      <c r="B41" s="8" t="s">
        <v>166</v>
      </c>
      <c r="C41" s="16" t="n">
        <v>4947.47</v>
      </c>
      <c r="D41" s="16" t="n">
        <v>199.28</v>
      </c>
      <c r="G41" s="16" t="n">
        <v>4044.84</v>
      </c>
    </row>
    <row r="42" customFormat="false" ht="15" hidden="false" customHeight="false" outlineLevel="0" collapsed="false">
      <c r="B42" s="8" t="s">
        <v>94</v>
      </c>
      <c r="C42" s="16" t="n">
        <v>9316.67</v>
      </c>
      <c r="D42" s="16" t="n">
        <v>386.84</v>
      </c>
      <c r="G42" s="16" t="n">
        <v>7616.91</v>
      </c>
    </row>
    <row r="43" customFormat="false" ht="15" hidden="false" customHeight="false" outlineLevel="0" collapsed="false">
      <c r="B43" s="8" t="s">
        <v>95</v>
      </c>
      <c r="C43" s="16" t="n">
        <v>175624.58</v>
      </c>
      <c r="D43" s="16" t="n">
        <v>6942.3</v>
      </c>
      <c r="G43" s="16" t="n">
        <v>143583.2</v>
      </c>
    </row>
    <row r="44" customFormat="false" ht="15" hidden="false" customHeight="false" outlineLevel="0" collapsed="false">
      <c r="B44" s="8" t="s">
        <v>167</v>
      </c>
      <c r="C44" s="16" t="n">
        <v>22538.49</v>
      </c>
      <c r="D44" s="16" t="n">
        <v>907.84</v>
      </c>
      <c r="G44" s="16" t="n">
        <v>18426.51</v>
      </c>
    </row>
    <row r="45" customFormat="false" ht="15" hidden="false" customHeight="false" outlineLevel="0" collapsed="false">
      <c r="B45" s="8" t="s">
        <v>97</v>
      </c>
      <c r="C45" s="16" t="n">
        <v>42442.61</v>
      </c>
      <c r="D45" s="16" t="n">
        <v>1762.28</v>
      </c>
      <c r="G45" s="16" t="n">
        <v>34699.27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293421.56</v>
      </c>
      <c r="D46" s="26" t="n">
        <f aca="false">SUM(D40:D45)</f>
        <v>11722.46</v>
      </c>
      <c r="E46" s="24"/>
      <c r="F46" s="26" t="n">
        <f aca="false">SUM(F40:F45)</f>
        <v>0</v>
      </c>
      <c r="G46" s="26" t="n">
        <f aca="false">SUM(G40:G45)</f>
        <v>239888.99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308</v>
      </c>
      <c r="C51" s="32" t="n">
        <v>38551.73724</v>
      </c>
      <c r="D51" s="32" t="n">
        <v>0</v>
      </c>
      <c r="E51" s="32" t="n">
        <v>0</v>
      </c>
      <c r="F51" s="32" t="n">
        <v>643.814011908</v>
      </c>
      <c r="G51" s="32" t="n">
        <v>643.814011908</v>
      </c>
      <c r="H51" s="32" t="n">
        <v>37896.35770692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309</v>
      </c>
      <c r="C52" s="36" t="n">
        <v>4947.4729458</v>
      </c>
      <c r="D52" s="36" t="n">
        <v>2968.48376748</v>
      </c>
      <c r="E52" s="36" t="n">
        <v>0</v>
      </c>
      <c r="F52" s="36" t="n">
        <v>3042.695861667</v>
      </c>
      <c r="G52" s="36" t="n">
        <v>3042.695861667</v>
      </c>
      <c r="H52" s="36" t="n">
        <v>1904.777084133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310</v>
      </c>
      <c r="C53" s="32" t="n">
        <v>9316.669833</v>
      </c>
      <c r="D53" s="32" t="n">
        <v>5590.0018998</v>
      </c>
      <c r="E53" s="32" t="n">
        <v>0</v>
      </c>
      <c r="F53" s="32" t="n">
        <v>6335.33548644</v>
      </c>
      <c r="G53" s="32" t="n">
        <v>6335.33548644</v>
      </c>
      <c r="H53" s="32" t="n">
        <v>2981.33434656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311</v>
      </c>
      <c r="C54" s="36" t="n">
        <v>175624.58076</v>
      </c>
      <c r="D54" s="36" t="n">
        <v>0</v>
      </c>
      <c r="E54" s="36" t="n">
        <v>0</v>
      </c>
      <c r="F54" s="36" t="n">
        <v>2932.930498692</v>
      </c>
      <c r="G54" s="36" t="n">
        <v>2932.930498692</v>
      </c>
      <c r="H54" s="36" t="n">
        <v>172638.96288708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312</v>
      </c>
      <c r="C55" s="32" t="n">
        <v>22538.4878642</v>
      </c>
      <c r="D55" s="32" t="n">
        <v>13523.09271852</v>
      </c>
      <c r="E55" s="32" t="n">
        <v>0</v>
      </c>
      <c r="F55" s="32" t="n">
        <v>13861.170036483</v>
      </c>
      <c r="G55" s="32" t="n">
        <v>13861.170036483</v>
      </c>
      <c r="H55" s="32" t="n">
        <v>8677.317827717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313</v>
      </c>
      <c r="C56" s="36" t="n">
        <v>42442.607017</v>
      </c>
      <c r="D56" s="36" t="n">
        <v>25465.5642102</v>
      </c>
      <c r="E56" s="36" t="n">
        <v>0</v>
      </c>
      <c r="F56" s="36" t="n">
        <v>28860.97277156</v>
      </c>
      <c r="G56" s="36" t="n">
        <v>28860.97277156</v>
      </c>
      <c r="H56" s="36" t="n">
        <v>13581.63424544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293421.55566</v>
      </c>
      <c r="D57" s="39" t="n">
        <f aca="false">SUM(D51:D56)</f>
        <v>47547.142596</v>
      </c>
      <c r="E57" s="39" t="n">
        <f aca="false">SUM(E51:E56)</f>
        <v>0</v>
      </c>
      <c r="F57" s="39" t="n">
        <f aca="false">SUM(F51:F56)</f>
        <v>55676.91866675</v>
      </c>
      <c r="G57" s="39" t="n">
        <f aca="false">SUM(G51:G56)</f>
        <v>55676.91866675</v>
      </c>
      <c r="H57" s="39" t="n">
        <f aca="false">SUM(H51:H56)</f>
        <v>237680.38409785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314</v>
      </c>
      <c r="C61" s="32" t="n">
        <v>1477.8165942</v>
      </c>
      <c r="D61" s="32" t="n">
        <v>886.68995652</v>
      </c>
      <c r="E61" s="32" t="n">
        <v>0</v>
      </c>
      <c r="F61" s="32" t="n">
        <v>1019.693449998</v>
      </c>
      <c r="G61" s="32" t="n">
        <v>1019.693449998</v>
      </c>
      <c r="H61" s="32" t="n">
        <v>458.123144202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315</v>
      </c>
      <c r="C62" s="36" t="n">
        <v>37073.9206458</v>
      </c>
      <c r="D62" s="36" t="n">
        <v>0</v>
      </c>
      <c r="E62" s="36" t="n">
        <v>0</v>
      </c>
      <c r="F62" s="36" t="n">
        <v>619.13447478486</v>
      </c>
      <c r="G62" s="36" t="n">
        <v>619.13447478486</v>
      </c>
      <c r="H62" s="36" t="n">
        <v>36443.6639948214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316</v>
      </c>
      <c r="C63" s="32" t="n">
        <v>192.7586862</v>
      </c>
      <c r="D63" s="32" t="n">
        <v>115.65521172</v>
      </c>
      <c r="E63" s="32" t="n">
        <v>0</v>
      </c>
      <c r="F63" s="32" t="n">
        <v>133.003493478</v>
      </c>
      <c r="G63" s="32" t="n">
        <v>133.003493478</v>
      </c>
      <c r="H63" s="32" t="n">
        <v>59.755192722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317</v>
      </c>
      <c r="C64" s="36" t="n">
        <v>4754.7142596</v>
      </c>
      <c r="D64" s="36" t="n">
        <v>0</v>
      </c>
      <c r="E64" s="36" t="n">
        <v>0</v>
      </c>
      <c r="F64" s="36" t="n">
        <v>79.40372813532</v>
      </c>
      <c r="G64" s="36" t="n">
        <v>79.40372813532</v>
      </c>
      <c r="H64" s="36" t="n">
        <v>4673.8841171868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318</v>
      </c>
      <c r="C65" s="32" t="n">
        <v>3533.909247</v>
      </c>
      <c r="D65" s="32" t="n">
        <v>2120.3455482</v>
      </c>
      <c r="E65" s="32" t="n">
        <v>0</v>
      </c>
      <c r="F65" s="32" t="n">
        <v>2438.39738043</v>
      </c>
      <c r="G65" s="32" t="n">
        <v>2438.39738043</v>
      </c>
      <c r="H65" s="32" t="n">
        <v>1095.51186657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319</v>
      </c>
      <c r="C66" s="36" t="n">
        <v>5782.760586</v>
      </c>
      <c r="D66" s="36" t="n">
        <v>0</v>
      </c>
      <c r="E66" s="36" t="n">
        <v>0</v>
      </c>
      <c r="F66" s="36" t="n">
        <v>96.5721017862</v>
      </c>
      <c r="G66" s="36" t="n">
        <v>96.5721017862</v>
      </c>
      <c r="H66" s="36" t="n">
        <v>5684.453656038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320</v>
      </c>
      <c r="C67" s="32" t="n">
        <v>6732.2755958</v>
      </c>
      <c r="D67" s="32" t="n">
        <v>4039.36535748</v>
      </c>
      <c r="E67" s="32" t="n">
        <v>0</v>
      </c>
      <c r="F67" s="32" t="n">
        <v>4645.270161102</v>
      </c>
      <c r="G67" s="32" t="n">
        <v>4645.270161102</v>
      </c>
      <c r="H67" s="32" t="n">
        <v>2087.005434698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321</v>
      </c>
      <c r="C68" s="36" t="n">
        <v>168892.3051642</v>
      </c>
      <c r="D68" s="36" t="n">
        <v>0</v>
      </c>
      <c r="E68" s="36" t="n">
        <v>0</v>
      </c>
      <c r="F68" s="36" t="n">
        <v>2820.50149624214</v>
      </c>
      <c r="G68" s="36" t="n">
        <v>2820.50149624214</v>
      </c>
      <c r="H68" s="36" t="n">
        <v>166021.135976409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322</v>
      </c>
      <c r="C69" s="32" t="n">
        <v>878.1229038</v>
      </c>
      <c r="D69" s="32" t="n">
        <v>526.87374228</v>
      </c>
      <c r="E69" s="32" t="n">
        <v>0</v>
      </c>
      <c r="F69" s="32" t="n">
        <v>605.904803622</v>
      </c>
      <c r="G69" s="32" t="n">
        <v>605.904803622</v>
      </c>
      <c r="H69" s="32" t="n">
        <v>272.218100178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323</v>
      </c>
      <c r="C70" s="36" t="n">
        <v>21660.3649604</v>
      </c>
      <c r="D70" s="36" t="n">
        <v>0</v>
      </c>
      <c r="E70" s="36" t="n">
        <v>0</v>
      </c>
      <c r="F70" s="36" t="n">
        <v>361.72809483868</v>
      </c>
      <c r="G70" s="36" t="n">
        <v>361.72809483868</v>
      </c>
      <c r="H70" s="36" t="n">
        <v>21292.1387560732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324</v>
      </c>
      <c r="C71" s="32" t="n">
        <v>16098.919903</v>
      </c>
      <c r="D71" s="32" t="n">
        <v>9659.3519418</v>
      </c>
      <c r="E71" s="32" t="n">
        <v>0</v>
      </c>
      <c r="F71" s="32" t="n">
        <v>11108.25473307</v>
      </c>
      <c r="G71" s="32" t="n">
        <v>11108.25473307</v>
      </c>
      <c r="H71" s="32" t="n">
        <v>4990.66516993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325</v>
      </c>
      <c r="C72" s="36" t="n">
        <v>26343.687114</v>
      </c>
      <c r="D72" s="36" t="n">
        <v>0</v>
      </c>
      <c r="E72" s="36" t="n">
        <v>0</v>
      </c>
      <c r="F72" s="36" t="n">
        <v>439.9395748038</v>
      </c>
      <c r="G72" s="36" t="n">
        <v>439.9395748038</v>
      </c>
      <c r="H72" s="36" t="n">
        <v>25895.844433062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293421.55566</v>
      </c>
      <c r="D73" s="39" t="n">
        <f aca="false">SUM(D61:D72)</f>
        <v>17348.281758</v>
      </c>
      <c r="E73" s="39" t="n">
        <f aca="false">SUM(E61:E72)</f>
        <v>0</v>
      </c>
      <c r="F73" s="39" t="n">
        <f aca="false">SUM(F61:F72)</f>
        <v>24367.803492291</v>
      </c>
      <c r="G73" s="39" t="n">
        <f aca="false">SUM(G61:G72)</f>
        <v>24367.803492291</v>
      </c>
      <c r="H73" s="39" t="n">
        <f aca="false">SUM(H61:H72)</f>
        <v>268974.39984189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55676.91866675</v>
      </c>
    </row>
    <row r="77" customFormat="false" ht="15" hidden="false" customHeight="false" outlineLevel="0" collapsed="false">
      <c r="B77" s="8" t="s">
        <v>138</v>
      </c>
      <c r="C77" s="41" t="n">
        <f aca="false">G73</f>
        <v>24367.803492291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-31309.115174459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326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327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12645.55</v>
      </c>
      <c r="D11" s="16" t="n">
        <v>12645.55</v>
      </c>
    </row>
    <row r="12" customFormat="false" ht="15" hidden="false" customHeight="false" outlineLevel="0" collapsed="false">
      <c r="B12" s="8" t="s">
        <v>142</v>
      </c>
      <c r="C12" s="16" t="n">
        <v>5265.76</v>
      </c>
      <c r="D12" s="16" t="n">
        <v>5265.76</v>
      </c>
    </row>
    <row r="13" customFormat="false" ht="15" hidden="false" customHeight="false" outlineLevel="0" collapsed="false">
      <c r="B13" s="8" t="s">
        <v>143</v>
      </c>
      <c r="C13" s="16" t="n">
        <v>16014.84</v>
      </c>
      <c r="D13" s="16" t="n">
        <v>16014.84</v>
      </c>
    </row>
    <row r="14" customFormat="false" ht="15" hidden="false" customHeight="false" outlineLevel="0" collapsed="false">
      <c r="B14" s="8" t="s">
        <v>144</v>
      </c>
      <c r="C14" s="16" t="n">
        <v>4522.37</v>
      </c>
      <c r="D14" s="16" t="n">
        <v>4522.37</v>
      </c>
    </row>
    <row r="15" customFormat="false" ht="15" hidden="false" customHeight="false" outlineLevel="0" collapsed="false">
      <c r="B15" s="8" t="s">
        <v>145</v>
      </c>
      <c r="C15" s="16" t="n">
        <v>175.04</v>
      </c>
      <c r="D15" s="16" t="n">
        <v>175.04</v>
      </c>
    </row>
    <row r="16" customFormat="false" ht="15" hidden="false" customHeight="false" outlineLevel="0" collapsed="false">
      <c r="B16" s="8" t="s">
        <v>146</v>
      </c>
      <c r="C16" s="16" t="n">
        <v>2753.52</v>
      </c>
      <c r="D16" s="16" t="n">
        <v>2753.52</v>
      </c>
    </row>
    <row r="17" customFormat="false" ht="15" hidden="false" customHeight="false" outlineLevel="0" collapsed="false">
      <c r="B17" s="8" t="s">
        <v>147</v>
      </c>
      <c r="C17" s="16" t="n">
        <v>4892.46</v>
      </c>
      <c r="D17" s="16" t="n">
        <v>4892.46</v>
      </c>
    </row>
    <row r="18" customFormat="false" ht="15" hidden="false" customHeight="false" outlineLevel="0" collapsed="false">
      <c r="B18" s="8" t="s">
        <v>148</v>
      </c>
      <c r="C18" s="16" t="n">
        <v>5036.64</v>
      </c>
      <c r="D18" s="16" t="n">
        <v>5036.64</v>
      </c>
    </row>
    <row r="19" customFormat="false" ht="15" hidden="false" customHeight="false" outlineLevel="0" collapsed="false">
      <c r="B19" s="8" t="s">
        <v>149</v>
      </c>
      <c r="C19" s="16" t="n">
        <v>1787.28</v>
      </c>
      <c r="D19" s="16" t="n">
        <v>1787.28</v>
      </c>
    </row>
    <row r="20" customFormat="false" ht="15" hidden="false" customHeight="false" outlineLevel="0" collapsed="false">
      <c r="B20" s="8" t="s">
        <v>77</v>
      </c>
      <c r="C20" s="16" t="n">
        <v>67.99</v>
      </c>
      <c r="D20" s="16" t="n">
        <v>67.99</v>
      </c>
    </row>
    <row r="21" customFormat="false" ht="15" hidden="false" customHeight="false" outlineLevel="0" collapsed="false">
      <c r="B21" s="8" t="s">
        <v>150</v>
      </c>
      <c r="C21" s="16" t="n">
        <v>1641.55</v>
      </c>
      <c r="D21" s="16" t="n">
        <v>1641.55</v>
      </c>
    </row>
    <row r="22" customFormat="false" ht="15" hidden="false" customHeight="false" outlineLevel="0" collapsed="false">
      <c r="B22" s="8" t="s">
        <v>151</v>
      </c>
      <c r="C22" s="16" t="n">
        <v>3346.34</v>
      </c>
      <c r="D22" s="16" t="n">
        <v>3346.34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20371.92</v>
      </c>
      <c r="G24" s="16" t="n">
        <v>20371.92</v>
      </c>
    </row>
    <row r="25" customFormat="false" ht="15" hidden="false" customHeight="false" outlineLevel="0" collapsed="false">
      <c r="B25" s="8" t="s">
        <v>154</v>
      </c>
      <c r="C25" s="16" t="n">
        <v>17461.64</v>
      </c>
      <c r="G25" s="16" t="n">
        <v>17461.64</v>
      </c>
    </row>
    <row r="26" customFormat="false" ht="15" hidden="false" customHeight="false" outlineLevel="0" collapsed="false">
      <c r="B26" s="8" t="s">
        <v>155</v>
      </c>
      <c r="C26" s="16" t="n">
        <v>20371.92</v>
      </c>
      <c r="G26" s="16" t="n">
        <v>20371.92</v>
      </c>
    </row>
    <row r="27" customFormat="false" ht="15" hidden="false" customHeight="false" outlineLevel="0" collapsed="false">
      <c r="B27" s="8" t="s">
        <v>156</v>
      </c>
      <c r="C27" s="16" t="n">
        <v>16006.51</v>
      </c>
      <c r="G27" s="16" t="n">
        <v>16006.51</v>
      </c>
    </row>
    <row r="28" customFormat="false" ht="15" hidden="false" customHeight="false" outlineLevel="0" collapsed="false">
      <c r="B28" s="8" t="s">
        <v>157</v>
      </c>
      <c r="C28" s="16" t="n">
        <v>2328.22</v>
      </c>
      <c r="G28" s="16" t="n">
        <v>2328.22</v>
      </c>
    </row>
    <row r="29" customFormat="false" ht="15" hidden="false" customHeight="false" outlineLevel="0" collapsed="false">
      <c r="B29" s="8" t="s">
        <v>158</v>
      </c>
      <c r="C29" s="16" t="n">
        <v>17461.64</v>
      </c>
      <c r="G29" s="16" t="n">
        <v>17461.64</v>
      </c>
    </row>
    <row r="30" customFormat="false" ht="15" hidden="false" customHeight="false" outlineLevel="0" collapsed="false">
      <c r="B30" s="8" t="s">
        <v>159</v>
      </c>
      <c r="C30" s="16" t="n">
        <v>14551.37</v>
      </c>
      <c r="G30" s="16" t="n">
        <v>14551.37</v>
      </c>
    </row>
    <row r="31" customFormat="false" ht="15" hidden="false" customHeight="false" outlineLevel="0" collapsed="false">
      <c r="B31" s="8" t="s">
        <v>160</v>
      </c>
      <c r="C31" s="16" t="n">
        <v>13096.23</v>
      </c>
      <c r="G31" s="16" t="n">
        <v>13096.23</v>
      </c>
    </row>
    <row r="32" customFormat="false" ht="15" hidden="false" customHeight="false" outlineLevel="0" collapsed="false">
      <c r="B32" s="8" t="s">
        <v>161</v>
      </c>
      <c r="C32" s="16" t="n">
        <v>11641.1</v>
      </c>
      <c r="G32" s="16" t="n">
        <v>11641.1</v>
      </c>
    </row>
    <row r="33" customFormat="false" ht="15" hidden="false" customHeight="false" outlineLevel="0" collapsed="false">
      <c r="B33" s="8" t="s">
        <v>162</v>
      </c>
      <c r="C33" s="16" t="n">
        <v>32013.01</v>
      </c>
      <c r="G33" s="16" t="n">
        <v>32013.01</v>
      </c>
    </row>
    <row r="34" customFormat="false" ht="15" hidden="false" customHeight="false" outlineLevel="0" collapsed="false">
      <c r="B34" s="8" t="s">
        <v>163</v>
      </c>
      <c r="C34" s="16" t="n">
        <v>13096.23</v>
      </c>
      <c r="G34" s="16" t="n">
        <v>13096.23</v>
      </c>
    </row>
    <row r="35" customFormat="false" ht="15" hidden="false" customHeight="false" outlineLevel="0" collapsed="false">
      <c r="B35" s="8" t="s">
        <v>164</v>
      </c>
      <c r="C35" s="16" t="n">
        <v>2328.22</v>
      </c>
      <c r="G35" s="16" t="n">
        <v>2328.22</v>
      </c>
    </row>
    <row r="36" customFormat="false" ht="15" hidden="false" customHeight="false" outlineLevel="0" collapsed="false">
      <c r="B36" s="8" t="s">
        <v>165</v>
      </c>
      <c r="C36" s="16" t="n">
        <v>78577.39</v>
      </c>
      <c r="G36" s="16" t="n">
        <v>78577.39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317454.74</v>
      </c>
      <c r="D37" s="26" t="n">
        <f aca="false">SUM(D10:D36)</f>
        <v>58149.34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259305.4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38444.96</v>
      </c>
      <c r="D40" s="16" t="n">
        <v>1519.7</v>
      </c>
      <c r="G40" s="16" t="n">
        <v>31430.96</v>
      </c>
    </row>
    <row r="41" customFormat="false" ht="15" hidden="false" customHeight="false" outlineLevel="0" collapsed="false">
      <c r="B41" s="8" t="s">
        <v>166</v>
      </c>
      <c r="C41" s="16" t="n">
        <v>4933.77</v>
      </c>
      <c r="D41" s="16" t="n">
        <v>198.73</v>
      </c>
      <c r="G41" s="16" t="n">
        <v>4033.64</v>
      </c>
    </row>
    <row r="42" customFormat="false" ht="15" hidden="false" customHeight="false" outlineLevel="0" collapsed="false">
      <c r="B42" s="8" t="s">
        <v>94</v>
      </c>
      <c r="C42" s="16" t="n">
        <v>9290.87</v>
      </c>
      <c r="D42" s="16" t="n">
        <v>385.77</v>
      </c>
      <c r="G42" s="16" t="n">
        <v>7595.81</v>
      </c>
    </row>
    <row r="43" customFormat="false" ht="15" hidden="false" customHeight="false" outlineLevel="0" collapsed="false">
      <c r="B43" s="8" t="s">
        <v>95</v>
      </c>
      <c r="C43" s="16" t="n">
        <v>175138.16</v>
      </c>
      <c r="D43" s="16" t="n">
        <v>6923.08</v>
      </c>
      <c r="G43" s="16" t="n">
        <v>143185.47</v>
      </c>
    </row>
    <row r="44" customFormat="false" ht="15" hidden="false" customHeight="false" outlineLevel="0" collapsed="false">
      <c r="B44" s="8" t="s">
        <v>167</v>
      </c>
      <c r="C44" s="16" t="n">
        <v>22476.06</v>
      </c>
      <c r="D44" s="16" t="n">
        <v>905.33</v>
      </c>
      <c r="G44" s="16" t="n">
        <v>18375.47</v>
      </c>
    </row>
    <row r="45" customFormat="false" ht="15" hidden="false" customHeight="false" outlineLevel="0" collapsed="false">
      <c r="B45" s="8" t="s">
        <v>97</v>
      </c>
      <c r="C45" s="16" t="n">
        <v>42325.05</v>
      </c>
      <c r="D45" s="16" t="n">
        <v>1757.4</v>
      </c>
      <c r="G45" s="16" t="n">
        <v>34603.16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292608.87</v>
      </c>
      <c r="D46" s="26" t="n">
        <f aca="false">SUM(D40:D45)</f>
        <v>11690.01</v>
      </c>
      <c r="E46" s="24"/>
      <c r="F46" s="26" t="n">
        <f aca="false">SUM(F40:F45)</f>
        <v>0</v>
      </c>
      <c r="G46" s="26" t="n">
        <f aca="false">SUM(G40:G45)</f>
        <v>239224.51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328</v>
      </c>
      <c r="C51" s="32" t="n">
        <v>38444.96088</v>
      </c>
      <c r="D51" s="32" t="n">
        <v>0</v>
      </c>
      <c r="E51" s="32" t="n">
        <v>0</v>
      </c>
      <c r="F51" s="32" t="n">
        <v>642.030846696</v>
      </c>
      <c r="G51" s="32" t="n">
        <v>642.030846696</v>
      </c>
      <c r="H51" s="32" t="n">
        <v>37791.39654504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329</v>
      </c>
      <c r="C52" s="36" t="n">
        <v>4933.7699796</v>
      </c>
      <c r="D52" s="36" t="n">
        <v>2960.26198776</v>
      </c>
      <c r="E52" s="36" t="n">
        <v>0</v>
      </c>
      <c r="F52" s="36" t="n">
        <v>3034.268537454</v>
      </c>
      <c r="G52" s="36" t="n">
        <v>3034.268537454</v>
      </c>
      <c r="H52" s="36" t="n">
        <v>1899.501442146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330</v>
      </c>
      <c r="C53" s="32" t="n">
        <v>9290.865546</v>
      </c>
      <c r="D53" s="32" t="n">
        <v>5574.5193276</v>
      </c>
      <c r="E53" s="32" t="n">
        <v>0</v>
      </c>
      <c r="F53" s="32" t="n">
        <v>6317.78857128</v>
      </c>
      <c r="G53" s="32" t="n">
        <v>6317.78857128</v>
      </c>
      <c r="H53" s="32" t="n">
        <v>2973.07697472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331</v>
      </c>
      <c r="C54" s="36" t="n">
        <v>175138.15512</v>
      </c>
      <c r="D54" s="36" t="n">
        <v>0</v>
      </c>
      <c r="E54" s="36" t="n">
        <v>0</v>
      </c>
      <c r="F54" s="36" t="n">
        <v>2924.807190504</v>
      </c>
      <c r="G54" s="36" t="n">
        <v>2924.807190504</v>
      </c>
      <c r="H54" s="36" t="n">
        <v>172160.80648296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332</v>
      </c>
      <c r="C55" s="32" t="n">
        <v>22476.0632404</v>
      </c>
      <c r="D55" s="32" t="n">
        <v>13485.63794424</v>
      </c>
      <c r="E55" s="32" t="n">
        <v>0</v>
      </c>
      <c r="F55" s="32" t="n">
        <v>13822.778892846</v>
      </c>
      <c r="G55" s="32" t="n">
        <v>13822.778892846</v>
      </c>
      <c r="H55" s="32" t="n">
        <v>8653.284347554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333</v>
      </c>
      <c r="C56" s="36" t="n">
        <v>42325.054154</v>
      </c>
      <c r="D56" s="36" t="n">
        <v>25395.0324924</v>
      </c>
      <c r="E56" s="36" t="n">
        <v>0</v>
      </c>
      <c r="F56" s="36" t="n">
        <v>28781.03682472</v>
      </c>
      <c r="G56" s="36" t="n">
        <v>28781.03682472</v>
      </c>
      <c r="H56" s="36" t="n">
        <v>13544.01732928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292608.86892</v>
      </c>
      <c r="D57" s="39" t="n">
        <f aca="false">SUM(D51:D56)</f>
        <v>47415.451752</v>
      </c>
      <c r="E57" s="39" t="n">
        <f aca="false">SUM(E51:E56)</f>
        <v>0</v>
      </c>
      <c r="F57" s="39" t="n">
        <f aca="false">SUM(F51:F56)</f>
        <v>55522.7108635</v>
      </c>
      <c r="G57" s="39" t="n">
        <f aca="false">SUM(G51:G56)</f>
        <v>55522.7108635</v>
      </c>
      <c r="H57" s="39" t="n">
        <f aca="false">SUM(H51:H56)</f>
        <v>237022.0831217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334</v>
      </c>
      <c r="C61" s="32" t="n">
        <v>1473.7235004</v>
      </c>
      <c r="D61" s="32" t="n">
        <v>884.23410024</v>
      </c>
      <c r="E61" s="32" t="n">
        <v>0</v>
      </c>
      <c r="F61" s="32" t="n">
        <v>1016.869215276</v>
      </c>
      <c r="G61" s="32" t="n">
        <v>1016.869215276</v>
      </c>
      <c r="H61" s="32" t="n">
        <v>456.854285124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335</v>
      </c>
      <c r="C62" s="36" t="n">
        <v>36971.2373796</v>
      </c>
      <c r="D62" s="36" t="n">
        <v>0</v>
      </c>
      <c r="E62" s="36" t="n">
        <v>0</v>
      </c>
      <c r="F62" s="36" t="n">
        <v>617.41966423932</v>
      </c>
      <c r="G62" s="36" t="n">
        <v>617.41966423932</v>
      </c>
      <c r="H62" s="36" t="n">
        <v>36342.7263441468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336</v>
      </c>
      <c r="C63" s="32" t="n">
        <v>192.2248044</v>
      </c>
      <c r="D63" s="32" t="n">
        <v>115.33488264</v>
      </c>
      <c r="E63" s="32" t="n">
        <v>0</v>
      </c>
      <c r="F63" s="32" t="n">
        <v>132.635115036</v>
      </c>
      <c r="G63" s="32" t="n">
        <v>132.635115036</v>
      </c>
      <c r="H63" s="32" t="n">
        <v>59.589689364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337</v>
      </c>
      <c r="C64" s="36" t="n">
        <v>4741.5451752</v>
      </c>
      <c r="D64" s="36" t="n">
        <v>0</v>
      </c>
      <c r="E64" s="36" t="n">
        <v>0</v>
      </c>
      <c r="F64" s="36" t="n">
        <v>79.18380442584</v>
      </c>
      <c r="G64" s="36" t="n">
        <v>79.18380442584</v>
      </c>
      <c r="H64" s="36" t="n">
        <v>4660.9389072216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338</v>
      </c>
      <c r="C65" s="32" t="n">
        <v>3524.121414</v>
      </c>
      <c r="D65" s="32" t="n">
        <v>2114.4728484</v>
      </c>
      <c r="E65" s="32" t="n">
        <v>0</v>
      </c>
      <c r="F65" s="32" t="n">
        <v>2431.64377566</v>
      </c>
      <c r="G65" s="32" t="n">
        <v>2431.64377566</v>
      </c>
      <c r="H65" s="32" t="n">
        <v>1092.47763834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339</v>
      </c>
      <c r="C66" s="36" t="n">
        <v>5766.744132</v>
      </c>
      <c r="D66" s="36" t="n">
        <v>0</v>
      </c>
      <c r="E66" s="36" t="n">
        <v>0</v>
      </c>
      <c r="F66" s="36" t="n">
        <v>96.3046270044</v>
      </c>
      <c r="G66" s="36" t="n">
        <v>96.3046270044</v>
      </c>
      <c r="H66" s="36" t="n">
        <v>5668.709481756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340</v>
      </c>
      <c r="C67" s="32" t="n">
        <v>6713.6292796</v>
      </c>
      <c r="D67" s="32" t="n">
        <v>4028.17756776</v>
      </c>
      <c r="E67" s="32" t="n">
        <v>0</v>
      </c>
      <c r="F67" s="32" t="n">
        <v>4632.404202924</v>
      </c>
      <c r="G67" s="32" t="n">
        <v>4632.404202924</v>
      </c>
      <c r="H67" s="32" t="n">
        <v>2081.225076676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341</v>
      </c>
      <c r="C68" s="36" t="n">
        <v>168424.5258404</v>
      </c>
      <c r="D68" s="36" t="n">
        <v>0</v>
      </c>
      <c r="E68" s="36" t="n">
        <v>0</v>
      </c>
      <c r="F68" s="36" t="n">
        <v>2812.68958153468</v>
      </c>
      <c r="G68" s="36" t="n">
        <v>2812.68958153468</v>
      </c>
      <c r="H68" s="36" t="n">
        <v>165561.308901113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342</v>
      </c>
      <c r="C69" s="32" t="n">
        <v>875.6907756</v>
      </c>
      <c r="D69" s="32" t="n">
        <v>525.41446536</v>
      </c>
      <c r="E69" s="32" t="n">
        <v>0</v>
      </c>
      <c r="F69" s="32" t="n">
        <v>604.226635164</v>
      </c>
      <c r="G69" s="32" t="n">
        <v>604.226635164</v>
      </c>
      <c r="H69" s="32" t="n">
        <v>271.464140436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343</v>
      </c>
      <c r="C70" s="36" t="n">
        <v>21600.3724648</v>
      </c>
      <c r="D70" s="36" t="n">
        <v>0</v>
      </c>
      <c r="E70" s="36" t="n">
        <v>0</v>
      </c>
      <c r="F70" s="36" t="n">
        <v>360.72622016216</v>
      </c>
      <c r="G70" s="36" t="n">
        <v>360.72622016216</v>
      </c>
      <c r="H70" s="36" t="n">
        <v>21233.1661328984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344</v>
      </c>
      <c r="C71" s="32" t="n">
        <v>16054.330886</v>
      </c>
      <c r="D71" s="32" t="n">
        <v>9632.5985316</v>
      </c>
      <c r="E71" s="32" t="n">
        <v>0</v>
      </c>
      <c r="F71" s="32" t="n">
        <v>11077.48831134</v>
      </c>
      <c r="G71" s="32" t="n">
        <v>11077.48831134</v>
      </c>
      <c r="H71" s="32" t="n">
        <v>4976.84257466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345</v>
      </c>
      <c r="C72" s="36" t="n">
        <v>26270.723268</v>
      </c>
      <c r="D72" s="36" t="n">
        <v>0</v>
      </c>
      <c r="E72" s="36" t="n">
        <v>0</v>
      </c>
      <c r="F72" s="36" t="n">
        <v>438.7210785756</v>
      </c>
      <c r="G72" s="36" t="n">
        <v>438.7210785756</v>
      </c>
      <c r="H72" s="36" t="n">
        <v>25824.120972444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292608.86892</v>
      </c>
      <c r="D73" s="39" t="n">
        <f aca="false">SUM(D61:D72)</f>
        <v>17300.232396</v>
      </c>
      <c r="E73" s="39" t="n">
        <f aca="false">SUM(E61:E72)</f>
        <v>0</v>
      </c>
      <c r="F73" s="39" t="n">
        <f aca="false">SUM(F61:F72)</f>
        <v>24300.312231342</v>
      </c>
      <c r="G73" s="39" t="n">
        <f aca="false">SUM(G61:G72)</f>
        <v>24300.312231342</v>
      </c>
      <c r="H73" s="39" t="n">
        <f aca="false">SUM(H61:H72)</f>
        <v>268229.42414418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55522.7108635</v>
      </c>
    </row>
    <row r="77" customFormat="false" ht="15" hidden="false" customHeight="false" outlineLevel="0" collapsed="false">
      <c r="B77" s="8" t="s">
        <v>138</v>
      </c>
      <c r="C77" s="41" t="n">
        <f aca="false">G73</f>
        <v>24300.312231342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-31222.398632158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346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347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7450.23</v>
      </c>
      <c r="D11" s="16" t="n">
        <v>7450.23</v>
      </c>
    </row>
    <row r="12" customFormat="false" ht="15" hidden="false" customHeight="false" outlineLevel="0" collapsed="false">
      <c r="B12" s="8" t="s">
        <v>142</v>
      </c>
      <c r="C12" s="16" t="n">
        <v>3102.37</v>
      </c>
      <c r="D12" s="16" t="n">
        <v>3102.37</v>
      </c>
    </row>
    <row r="13" customFormat="false" ht="15" hidden="false" customHeight="false" outlineLevel="0" collapsed="false">
      <c r="B13" s="8" t="s">
        <v>143</v>
      </c>
      <c r="C13" s="16" t="n">
        <v>9435.28</v>
      </c>
      <c r="D13" s="16" t="n">
        <v>9435.28</v>
      </c>
    </row>
    <row r="14" customFormat="false" ht="15" hidden="false" customHeight="false" outlineLevel="0" collapsed="false">
      <c r="B14" s="8" t="s">
        <v>144</v>
      </c>
      <c r="C14" s="16" t="n">
        <v>2664.39</v>
      </c>
      <c r="D14" s="16" t="n">
        <v>2664.39</v>
      </c>
    </row>
    <row r="15" customFormat="false" ht="15" hidden="false" customHeight="false" outlineLevel="0" collapsed="false">
      <c r="B15" s="8" t="s">
        <v>145</v>
      </c>
      <c r="C15" s="16" t="n">
        <v>103.13</v>
      </c>
      <c r="D15" s="16" t="n">
        <v>103.13</v>
      </c>
    </row>
    <row r="16" customFormat="false" ht="15" hidden="false" customHeight="false" outlineLevel="0" collapsed="false">
      <c r="B16" s="8" t="s">
        <v>146</v>
      </c>
      <c r="C16" s="16" t="n">
        <v>1622.26</v>
      </c>
      <c r="D16" s="16" t="n">
        <v>1622.26</v>
      </c>
    </row>
    <row r="17" customFormat="false" ht="15" hidden="false" customHeight="false" outlineLevel="0" collapsed="false">
      <c r="B17" s="8" t="s">
        <v>147</v>
      </c>
      <c r="C17" s="16" t="n">
        <v>2882.43</v>
      </c>
      <c r="D17" s="16" t="n">
        <v>2882.43</v>
      </c>
    </row>
    <row r="18" customFormat="false" ht="15" hidden="false" customHeight="false" outlineLevel="0" collapsed="false">
      <c r="B18" s="8" t="s">
        <v>148</v>
      </c>
      <c r="C18" s="16" t="n">
        <v>2967.38</v>
      </c>
      <c r="D18" s="16" t="n">
        <v>2967.38</v>
      </c>
    </row>
    <row r="19" customFormat="false" ht="15" hidden="false" customHeight="false" outlineLevel="0" collapsed="false">
      <c r="B19" s="8" t="s">
        <v>149</v>
      </c>
      <c r="C19" s="16" t="n">
        <v>1052.99</v>
      </c>
      <c r="D19" s="16" t="n">
        <v>1052.99</v>
      </c>
    </row>
    <row r="20" customFormat="false" ht="15" hidden="false" customHeight="false" outlineLevel="0" collapsed="false">
      <c r="B20" s="8" t="s">
        <v>77</v>
      </c>
      <c r="C20" s="16" t="n">
        <v>40.06</v>
      </c>
      <c r="D20" s="16" t="n">
        <v>40.06</v>
      </c>
    </row>
    <row r="21" customFormat="false" ht="15" hidden="false" customHeight="false" outlineLevel="0" collapsed="false">
      <c r="B21" s="8" t="s">
        <v>150</v>
      </c>
      <c r="C21" s="16" t="n">
        <v>967.13</v>
      </c>
      <c r="D21" s="16" t="n">
        <v>967.13</v>
      </c>
    </row>
    <row r="22" customFormat="false" ht="15" hidden="false" customHeight="false" outlineLevel="0" collapsed="false">
      <c r="B22" s="8" t="s">
        <v>151</v>
      </c>
      <c r="C22" s="16" t="n">
        <v>1971.52</v>
      </c>
      <c r="D22" s="16" t="n">
        <v>1971.52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11990.11</v>
      </c>
      <c r="G24" s="16" t="n">
        <v>11990.11</v>
      </c>
    </row>
    <row r="25" customFormat="false" ht="15" hidden="false" customHeight="false" outlineLevel="0" collapsed="false">
      <c r="B25" s="8" t="s">
        <v>154</v>
      </c>
      <c r="C25" s="16" t="n">
        <v>10277.23</v>
      </c>
      <c r="G25" s="16" t="n">
        <v>10277.23</v>
      </c>
    </row>
    <row r="26" customFormat="false" ht="15" hidden="false" customHeight="false" outlineLevel="0" collapsed="false">
      <c r="B26" s="8" t="s">
        <v>155</v>
      </c>
      <c r="C26" s="16" t="n">
        <v>11990.11</v>
      </c>
      <c r="G26" s="16" t="n">
        <v>11990.11</v>
      </c>
    </row>
    <row r="27" customFormat="false" ht="15" hidden="false" customHeight="false" outlineLevel="0" collapsed="false">
      <c r="B27" s="8" t="s">
        <v>156</v>
      </c>
      <c r="C27" s="16" t="n">
        <v>9420.8</v>
      </c>
      <c r="G27" s="16" t="n">
        <v>9420.8</v>
      </c>
    </row>
    <row r="28" customFormat="false" ht="15" hidden="false" customHeight="false" outlineLevel="0" collapsed="false">
      <c r="B28" s="8" t="s">
        <v>157</v>
      </c>
      <c r="C28" s="16" t="n">
        <v>1370.3</v>
      </c>
      <c r="G28" s="16" t="n">
        <v>1370.3</v>
      </c>
    </row>
    <row r="29" customFormat="false" ht="15" hidden="false" customHeight="false" outlineLevel="0" collapsed="false">
      <c r="B29" s="8" t="s">
        <v>158</v>
      </c>
      <c r="C29" s="16" t="n">
        <v>10277.23</v>
      </c>
      <c r="G29" s="16" t="n">
        <v>10277.23</v>
      </c>
    </row>
    <row r="30" customFormat="false" ht="15" hidden="false" customHeight="false" outlineLevel="0" collapsed="false">
      <c r="B30" s="8" t="s">
        <v>159</v>
      </c>
      <c r="C30" s="16" t="n">
        <v>8564.36</v>
      </c>
      <c r="G30" s="16" t="n">
        <v>8564.36</v>
      </c>
    </row>
    <row r="31" customFormat="false" ht="15" hidden="false" customHeight="false" outlineLevel="0" collapsed="false">
      <c r="B31" s="8" t="s">
        <v>160</v>
      </c>
      <c r="C31" s="16" t="n">
        <v>7707.93</v>
      </c>
      <c r="G31" s="16" t="n">
        <v>7707.93</v>
      </c>
    </row>
    <row r="32" customFormat="false" ht="15" hidden="false" customHeight="false" outlineLevel="0" collapsed="false">
      <c r="B32" s="8" t="s">
        <v>161</v>
      </c>
      <c r="C32" s="16" t="n">
        <v>6851.49</v>
      </c>
      <c r="G32" s="16" t="n">
        <v>6851.49</v>
      </c>
    </row>
    <row r="33" customFormat="false" ht="15" hidden="false" customHeight="false" outlineLevel="0" collapsed="false">
      <c r="B33" s="8" t="s">
        <v>162</v>
      </c>
      <c r="C33" s="16" t="n">
        <v>18841.6</v>
      </c>
      <c r="G33" s="16" t="n">
        <v>18841.6</v>
      </c>
    </row>
    <row r="34" customFormat="false" ht="15" hidden="false" customHeight="false" outlineLevel="0" collapsed="false">
      <c r="B34" s="8" t="s">
        <v>163</v>
      </c>
      <c r="C34" s="16" t="n">
        <v>7707.93</v>
      </c>
      <c r="G34" s="16" t="n">
        <v>7707.93</v>
      </c>
    </row>
    <row r="35" customFormat="false" ht="15" hidden="false" customHeight="false" outlineLevel="0" collapsed="false">
      <c r="B35" s="8" t="s">
        <v>164</v>
      </c>
      <c r="C35" s="16" t="n">
        <v>1370.3</v>
      </c>
      <c r="G35" s="16" t="n">
        <v>1370.3</v>
      </c>
    </row>
    <row r="36" customFormat="false" ht="15" hidden="false" customHeight="false" outlineLevel="0" collapsed="false">
      <c r="B36" s="8" t="s">
        <v>165</v>
      </c>
      <c r="C36" s="16" t="n">
        <v>46247.55</v>
      </c>
      <c r="G36" s="16" t="n">
        <v>46247.55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186876.11</v>
      </c>
      <c r="D37" s="26" t="n">
        <f aca="false">SUM(D10:D36)</f>
        <v>34259.17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152616.94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22650.17</v>
      </c>
      <c r="D40" s="16" t="n">
        <v>899.42</v>
      </c>
      <c r="G40" s="16" t="n">
        <v>18499.02</v>
      </c>
    </row>
    <row r="41" customFormat="false" ht="15" hidden="false" customHeight="false" outlineLevel="0" collapsed="false">
      <c r="B41" s="8" t="s">
        <v>166</v>
      </c>
      <c r="C41" s="16" t="n">
        <v>2906.77</v>
      </c>
      <c r="D41" s="16" t="n">
        <v>117.62</v>
      </c>
      <c r="G41" s="16" t="n">
        <v>2374.04</v>
      </c>
    </row>
    <row r="42" customFormat="false" ht="15" hidden="false" customHeight="false" outlineLevel="0" collapsed="false">
      <c r="B42" s="8" t="s">
        <v>94</v>
      </c>
      <c r="C42" s="16" t="n">
        <v>5473.79</v>
      </c>
      <c r="D42" s="16" t="n">
        <v>228.31</v>
      </c>
      <c r="G42" s="16" t="n">
        <v>4470.6</v>
      </c>
    </row>
    <row r="43" customFormat="false" ht="15" hidden="false" customHeight="false" outlineLevel="0" collapsed="false">
      <c r="B43" s="8" t="s">
        <v>95</v>
      </c>
      <c r="C43" s="16" t="n">
        <v>103184.1</v>
      </c>
      <c r="D43" s="16" t="n">
        <v>4097.34</v>
      </c>
      <c r="G43" s="16" t="n">
        <v>84273.32</v>
      </c>
    </row>
    <row r="44" customFormat="false" ht="15" hidden="false" customHeight="false" outlineLevel="0" collapsed="false">
      <c r="B44" s="8" t="s">
        <v>167</v>
      </c>
      <c r="C44" s="16" t="n">
        <v>13241.96</v>
      </c>
      <c r="D44" s="16" t="n">
        <v>535.81</v>
      </c>
      <c r="G44" s="16" t="n">
        <v>10815.08</v>
      </c>
    </row>
    <row r="45" customFormat="false" ht="15" hidden="false" customHeight="false" outlineLevel="0" collapsed="false">
      <c r="B45" s="8" t="s">
        <v>97</v>
      </c>
      <c r="C45" s="16" t="n">
        <v>24936.16</v>
      </c>
      <c r="D45" s="16" t="n">
        <v>1040.09</v>
      </c>
      <c r="G45" s="16" t="n">
        <v>20366.05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172392.95</v>
      </c>
      <c r="D46" s="26" t="n">
        <f aca="false">SUM(D40:D45)</f>
        <v>6918.59</v>
      </c>
      <c r="E46" s="24"/>
      <c r="F46" s="26" t="n">
        <f aca="false">SUM(F40:F45)</f>
        <v>0</v>
      </c>
      <c r="G46" s="26" t="n">
        <f aca="false">SUM(G40:G45)</f>
        <v>140798.11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348</v>
      </c>
      <c r="C51" s="32" t="n">
        <v>22650.16824</v>
      </c>
      <c r="D51" s="32" t="n">
        <v>0</v>
      </c>
      <c r="E51" s="32" t="n">
        <v>0</v>
      </c>
      <c r="F51" s="32" t="n">
        <v>378.257809608</v>
      </c>
      <c r="G51" s="32" t="n">
        <v>378.257809608</v>
      </c>
      <c r="H51" s="32" t="n">
        <v>22265.11537992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349</v>
      </c>
      <c r="C52" s="36" t="n">
        <v>2906.7715908</v>
      </c>
      <c r="D52" s="36" t="n">
        <v>1744.06295448</v>
      </c>
      <c r="E52" s="36" t="n">
        <v>0</v>
      </c>
      <c r="F52" s="36" t="n">
        <v>1787.664528342</v>
      </c>
      <c r="G52" s="36" t="n">
        <v>1787.664528342</v>
      </c>
      <c r="H52" s="36" t="n">
        <v>1119.107062458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350</v>
      </c>
      <c r="C53" s="32" t="n">
        <v>5473.790658</v>
      </c>
      <c r="D53" s="32" t="n">
        <v>3284.2743948</v>
      </c>
      <c r="E53" s="32" t="n">
        <v>0</v>
      </c>
      <c r="F53" s="32" t="n">
        <v>3722.17764744</v>
      </c>
      <c r="G53" s="32" t="n">
        <v>3722.17764744</v>
      </c>
      <c r="H53" s="32" t="n">
        <v>1751.61301056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351</v>
      </c>
      <c r="C54" s="36" t="n">
        <v>103184.09976</v>
      </c>
      <c r="D54" s="36" t="n">
        <v>0</v>
      </c>
      <c r="E54" s="36" t="n">
        <v>0</v>
      </c>
      <c r="F54" s="36" t="n">
        <v>1723.174465992</v>
      </c>
      <c r="G54" s="36" t="n">
        <v>1723.174465992</v>
      </c>
      <c r="H54" s="36" t="n">
        <v>101429.97006408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352</v>
      </c>
      <c r="C55" s="32" t="n">
        <v>13241.9594692</v>
      </c>
      <c r="D55" s="32" t="n">
        <v>7945.17568152</v>
      </c>
      <c r="E55" s="32" t="n">
        <v>0</v>
      </c>
      <c r="F55" s="32" t="n">
        <v>8143.805073558</v>
      </c>
      <c r="G55" s="32" t="n">
        <v>8143.805073558</v>
      </c>
      <c r="H55" s="32" t="n">
        <v>5098.154395642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353</v>
      </c>
      <c r="C56" s="36" t="n">
        <v>24936.157442</v>
      </c>
      <c r="D56" s="36" t="n">
        <v>14961.6944652</v>
      </c>
      <c r="E56" s="36" t="n">
        <v>0</v>
      </c>
      <c r="F56" s="36" t="n">
        <v>16956.58706056</v>
      </c>
      <c r="G56" s="36" t="n">
        <v>16956.58706056</v>
      </c>
      <c r="H56" s="36" t="n">
        <v>7979.57038144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172392.94716</v>
      </c>
      <c r="D57" s="39" t="n">
        <f aca="false">SUM(D51:D56)</f>
        <v>27935.207496</v>
      </c>
      <c r="E57" s="39" t="n">
        <f aca="false">SUM(E51:E56)</f>
        <v>0</v>
      </c>
      <c r="F57" s="39" t="n">
        <f aca="false">SUM(F51:F56)</f>
        <v>32711.6665855</v>
      </c>
      <c r="G57" s="39" t="n">
        <f aca="false">SUM(G51:G56)</f>
        <v>32711.6665855</v>
      </c>
      <c r="H57" s="39" t="n">
        <f aca="false">SUM(H51:H56)</f>
        <v>139643.5302941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354</v>
      </c>
      <c r="C61" s="32" t="n">
        <v>868.2564492</v>
      </c>
      <c r="D61" s="32" t="n">
        <v>520.95386952</v>
      </c>
      <c r="E61" s="32" t="n">
        <v>0</v>
      </c>
      <c r="F61" s="32" t="n">
        <v>599.096949948</v>
      </c>
      <c r="G61" s="32" t="n">
        <v>599.096949948</v>
      </c>
      <c r="H61" s="32" t="n">
        <v>269.159499252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355</v>
      </c>
      <c r="C62" s="36" t="n">
        <v>21781.9117908</v>
      </c>
      <c r="D62" s="36" t="n">
        <v>0</v>
      </c>
      <c r="E62" s="36" t="n">
        <v>0</v>
      </c>
      <c r="F62" s="36" t="n">
        <v>363.75792690636</v>
      </c>
      <c r="G62" s="36" t="n">
        <v>363.75792690636</v>
      </c>
      <c r="H62" s="36" t="n">
        <v>21411.6192903564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356</v>
      </c>
      <c r="C63" s="32" t="n">
        <v>113.2508412</v>
      </c>
      <c r="D63" s="32" t="n">
        <v>67.95050472</v>
      </c>
      <c r="E63" s="32" t="n">
        <v>0</v>
      </c>
      <c r="F63" s="32" t="n">
        <v>78.143080428</v>
      </c>
      <c r="G63" s="32" t="n">
        <v>78.143080428</v>
      </c>
      <c r="H63" s="32" t="n">
        <v>35.107760772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357</v>
      </c>
      <c r="C64" s="36" t="n">
        <v>2793.5207496</v>
      </c>
      <c r="D64" s="36" t="n">
        <v>0</v>
      </c>
      <c r="E64" s="36" t="n">
        <v>0</v>
      </c>
      <c r="F64" s="36" t="n">
        <v>46.65179651832</v>
      </c>
      <c r="G64" s="36" t="n">
        <v>46.65179651832</v>
      </c>
      <c r="H64" s="36" t="n">
        <v>2746.0308968568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358</v>
      </c>
      <c r="C65" s="32" t="n">
        <v>2076.265422</v>
      </c>
      <c r="D65" s="32" t="n">
        <v>1245.7592532</v>
      </c>
      <c r="E65" s="32" t="n">
        <v>0</v>
      </c>
      <c r="F65" s="32" t="n">
        <v>1432.62314118</v>
      </c>
      <c r="G65" s="32" t="n">
        <v>1432.62314118</v>
      </c>
      <c r="H65" s="32" t="n">
        <v>643.64228082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359</v>
      </c>
      <c r="C66" s="36" t="n">
        <v>3397.525236</v>
      </c>
      <c r="D66" s="36" t="n">
        <v>0</v>
      </c>
      <c r="E66" s="36" t="n">
        <v>0</v>
      </c>
      <c r="F66" s="36" t="n">
        <v>56.7386714412</v>
      </c>
      <c r="G66" s="36" t="n">
        <v>56.7386714412</v>
      </c>
      <c r="H66" s="36" t="n">
        <v>3339.767306988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360</v>
      </c>
      <c r="C67" s="32" t="n">
        <v>3955.3904908</v>
      </c>
      <c r="D67" s="32" t="n">
        <v>2373.23429448</v>
      </c>
      <c r="E67" s="32" t="n">
        <v>0</v>
      </c>
      <c r="F67" s="32" t="n">
        <v>2729.219438652</v>
      </c>
      <c r="G67" s="32" t="n">
        <v>2729.219438652</v>
      </c>
      <c r="H67" s="32" t="n">
        <v>1226.171052148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361</v>
      </c>
      <c r="C68" s="36" t="n">
        <v>99228.7092692</v>
      </c>
      <c r="D68" s="36" t="n">
        <v>0</v>
      </c>
      <c r="E68" s="36" t="n">
        <v>0</v>
      </c>
      <c r="F68" s="36" t="n">
        <v>1657.11944479564</v>
      </c>
      <c r="G68" s="36" t="n">
        <v>1657.11944479564</v>
      </c>
      <c r="H68" s="36" t="n">
        <v>97541.8212116236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362</v>
      </c>
      <c r="C69" s="32" t="n">
        <v>515.9204988</v>
      </c>
      <c r="D69" s="32" t="n">
        <v>309.55229928</v>
      </c>
      <c r="E69" s="32" t="n">
        <v>0</v>
      </c>
      <c r="F69" s="32" t="n">
        <v>355.985144172</v>
      </c>
      <c r="G69" s="32" t="n">
        <v>355.985144172</v>
      </c>
      <c r="H69" s="32" t="n">
        <v>159.935354628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363</v>
      </c>
      <c r="C70" s="36" t="n">
        <v>12726.0389704</v>
      </c>
      <c r="D70" s="36" t="n">
        <v>0</v>
      </c>
      <c r="E70" s="36" t="n">
        <v>0</v>
      </c>
      <c r="F70" s="36" t="n">
        <v>212.52485080568</v>
      </c>
      <c r="G70" s="36" t="n">
        <v>212.52485080568</v>
      </c>
      <c r="H70" s="36" t="n">
        <v>12509.6963079032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364</v>
      </c>
      <c r="C71" s="32" t="n">
        <v>9458.542478</v>
      </c>
      <c r="D71" s="32" t="n">
        <v>5675.1254868</v>
      </c>
      <c r="E71" s="32" t="n">
        <v>0</v>
      </c>
      <c r="F71" s="32" t="n">
        <v>6526.39430982</v>
      </c>
      <c r="G71" s="32" t="n">
        <v>6526.39430982</v>
      </c>
      <c r="H71" s="32" t="n">
        <v>2932.14816818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365</v>
      </c>
      <c r="C72" s="36" t="n">
        <v>15477.614964</v>
      </c>
      <c r="D72" s="36" t="n">
        <v>0</v>
      </c>
      <c r="E72" s="36" t="n">
        <v>0</v>
      </c>
      <c r="F72" s="36" t="n">
        <v>258.4761698988</v>
      </c>
      <c r="G72" s="36" t="n">
        <v>258.4761698988</v>
      </c>
      <c r="H72" s="36" t="n">
        <v>15214.495509612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172392.94716</v>
      </c>
      <c r="D73" s="39" t="n">
        <f aca="false">SUM(D61:D72)</f>
        <v>10192.575708</v>
      </c>
      <c r="E73" s="39" t="n">
        <f aca="false">SUM(E61:E72)</f>
        <v>0</v>
      </c>
      <c r="F73" s="39" t="n">
        <f aca="false">SUM(F61:F72)</f>
        <v>14316.730924566</v>
      </c>
      <c r="G73" s="39" t="n">
        <f aca="false">SUM(G61:G72)</f>
        <v>14316.730924566</v>
      </c>
      <c r="H73" s="39" t="n">
        <f aca="false">SUM(H61:H72)</f>
        <v>158029.59463914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32711.6665855</v>
      </c>
    </row>
    <row r="77" customFormat="false" ht="15" hidden="false" customHeight="false" outlineLevel="0" collapsed="false">
      <c r="B77" s="8" t="s">
        <v>138</v>
      </c>
      <c r="C77" s="41" t="n">
        <f aca="false">G73</f>
        <v>14316.730924566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-18394.935660934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366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367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16439.66</v>
      </c>
      <c r="D11" s="16" t="n">
        <v>16439.66</v>
      </c>
    </row>
    <row r="12" customFormat="false" ht="15" hidden="false" customHeight="false" outlineLevel="0" collapsed="false">
      <c r="B12" s="8" t="s">
        <v>142</v>
      </c>
      <c r="C12" s="16" t="n">
        <v>6845.68</v>
      </c>
      <c r="D12" s="16" t="n">
        <v>6845.68</v>
      </c>
    </row>
    <row r="13" customFormat="false" ht="15" hidden="false" customHeight="false" outlineLevel="0" collapsed="false">
      <c r="B13" s="8" t="s">
        <v>143</v>
      </c>
      <c r="C13" s="16" t="n">
        <v>20819.86</v>
      </c>
      <c r="D13" s="16" t="n">
        <v>20819.86</v>
      </c>
    </row>
    <row r="14" customFormat="false" ht="15" hidden="false" customHeight="false" outlineLevel="0" collapsed="false">
      <c r="B14" s="8" t="s">
        <v>144</v>
      </c>
      <c r="C14" s="16" t="n">
        <v>5879.25</v>
      </c>
      <c r="D14" s="16" t="n">
        <v>5879.25</v>
      </c>
    </row>
    <row r="15" customFormat="false" ht="15" hidden="false" customHeight="false" outlineLevel="0" collapsed="false">
      <c r="B15" s="8" t="s">
        <v>145</v>
      </c>
      <c r="C15" s="16" t="n">
        <v>227.56</v>
      </c>
      <c r="D15" s="16" t="n">
        <v>227.56</v>
      </c>
    </row>
    <row r="16" customFormat="false" ht="15" hidden="false" customHeight="false" outlineLevel="0" collapsed="false">
      <c r="B16" s="8" t="s">
        <v>146</v>
      </c>
      <c r="C16" s="16" t="n">
        <v>3579.68</v>
      </c>
      <c r="D16" s="16" t="n">
        <v>3579.68</v>
      </c>
    </row>
    <row r="17" customFormat="false" ht="15" hidden="false" customHeight="false" outlineLevel="0" collapsed="false">
      <c r="B17" s="8" t="s">
        <v>147</v>
      </c>
      <c r="C17" s="16" t="n">
        <v>6360.37</v>
      </c>
      <c r="D17" s="16" t="n">
        <v>6360.37</v>
      </c>
    </row>
    <row r="18" customFormat="false" ht="15" hidden="false" customHeight="false" outlineLevel="0" collapsed="false">
      <c r="B18" s="8" t="s">
        <v>148</v>
      </c>
      <c r="C18" s="16" t="n">
        <v>6547.81</v>
      </c>
      <c r="D18" s="16" t="n">
        <v>6547.81</v>
      </c>
    </row>
    <row r="19" customFormat="false" ht="15" hidden="false" customHeight="false" outlineLevel="0" collapsed="false">
      <c r="B19" s="8" t="s">
        <v>149</v>
      </c>
      <c r="C19" s="16" t="n">
        <v>2323.52</v>
      </c>
      <c r="D19" s="16" t="n">
        <v>2323.52</v>
      </c>
    </row>
    <row r="20" customFormat="false" ht="15" hidden="false" customHeight="false" outlineLevel="0" collapsed="false">
      <c r="B20" s="8" t="s">
        <v>77</v>
      </c>
      <c r="C20" s="16" t="n">
        <v>88.39</v>
      </c>
      <c r="D20" s="16" t="n">
        <v>88.39</v>
      </c>
    </row>
    <row r="21" customFormat="false" ht="15" hidden="false" customHeight="false" outlineLevel="0" collapsed="false">
      <c r="B21" s="8" t="s">
        <v>150</v>
      </c>
      <c r="C21" s="16" t="n">
        <v>2134.08</v>
      </c>
      <c r="D21" s="16" t="n">
        <v>2134.08</v>
      </c>
    </row>
    <row r="22" customFormat="false" ht="15" hidden="false" customHeight="false" outlineLevel="0" collapsed="false">
      <c r="B22" s="8" t="s">
        <v>151</v>
      </c>
      <c r="C22" s="16" t="n">
        <v>4350.36</v>
      </c>
      <c r="D22" s="16" t="n">
        <v>4350.36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26315.7</v>
      </c>
      <c r="G24" s="16" t="n">
        <v>26315.7</v>
      </c>
    </row>
    <row r="25" customFormat="false" ht="15" hidden="false" customHeight="false" outlineLevel="0" collapsed="false">
      <c r="B25" s="8" t="s">
        <v>154</v>
      </c>
      <c r="C25" s="16" t="n">
        <v>22556.31</v>
      </c>
      <c r="G25" s="16" t="n">
        <v>22556.31</v>
      </c>
    </row>
    <row r="26" customFormat="false" ht="15" hidden="false" customHeight="false" outlineLevel="0" collapsed="false">
      <c r="B26" s="8" t="s">
        <v>155</v>
      </c>
      <c r="C26" s="16" t="n">
        <v>26315.7</v>
      </c>
      <c r="G26" s="16" t="n">
        <v>26315.7</v>
      </c>
    </row>
    <row r="27" customFormat="false" ht="15" hidden="false" customHeight="false" outlineLevel="0" collapsed="false">
      <c r="B27" s="8" t="s">
        <v>156</v>
      </c>
      <c r="C27" s="16" t="n">
        <v>20676.62</v>
      </c>
      <c r="G27" s="16" t="n">
        <v>20676.62</v>
      </c>
    </row>
    <row r="28" customFormat="false" ht="15" hidden="false" customHeight="false" outlineLevel="0" collapsed="false">
      <c r="B28" s="8" t="s">
        <v>157</v>
      </c>
      <c r="C28" s="16" t="n">
        <v>3007.51</v>
      </c>
      <c r="G28" s="16" t="n">
        <v>3007.51</v>
      </c>
    </row>
    <row r="29" customFormat="false" ht="15" hidden="false" customHeight="false" outlineLevel="0" collapsed="false">
      <c r="B29" s="8" t="s">
        <v>158</v>
      </c>
      <c r="C29" s="16" t="n">
        <v>22556.31</v>
      </c>
      <c r="G29" s="16" t="n">
        <v>22556.31</v>
      </c>
    </row>
    <row r="30" customFormat="false" ht="15" hidden="false" customHeight="false" outlineLevel="0" collapsed="false">
      <c r="B30" s="8" t="s">
        <v>159</v>
      </c>
      <c r="C30" s="16" t="n">
        <v>18796.93</v>
      </c>
      <c r="G30" s="16" t="n">
        <v>18796.93</v>
      </c>
    </row>
    <row r="31" customFormat="false" ht="15" hidden="false" customHeight="false" outlineLevel="0" collapsed="false">
      <c r="B31" s="8" t="s">
        <v>160</v>
      </c>
      <c r="C31" s="16" t="n">
        <v>16917.23</v>
      </c>
      <c r="G31" s="16" t="n">
        <v>16917.23</v>
      </c>
    </row>
    <row r="32" customFormat="false" ht="15" hidden="false" customHeight="false" outlineLevel="0" collapsed="false">
      <c r="B32" s="8" t="s">
        <v>161</v>
      </c>
      <c r="C32" s="16" t="n">
        <v>15037.54</v>
      </c>
      <c r="G32" s="16" t="n">
        <v>15037.54</v>
      </c>
    </row>
    <row r="33" customFormat="false" ht="15" hidden="false" customHeight="false" outlineLevel="0" collapsed="false">
      <c r="B33" s="8" t="s">
        <v>162</v>
      </c>
      <c r="C33" s="16" t="n">
        <v>41353.24</v>
      </c>
      <c r="G33" s="16" t="n">
        <v>41353.24</v>
      </c>
    </row>
    <row r="34" customFormat="false" ht="15" hidden="false" customHeight="false" outlineLevel="0" collapsed="false">
      <c r="B34" s="8" t="s">
        <v>163</v>
      </c>
      <c r="C34" s="16" t="n">
        <v>16917.23</v>
      </c>
      <c r="G34" s="16" t="n">
        <v>16917.23</v>
      </c>
    </row>
    <row r="35" customFormat="false" ht="15" hidden="false" customHeight="false" outlineLevel="0" collapsed="false">
      <c r="B35" s="8" t="s">
        <v>164</v>
      </c>
      <c r="C35" s="16" t="n">
        <v>3007.51</v>
      </c>
      <c r="G35" s="16" t="n">
        <v>3007.51</v>
      </c>
    </row>
    <row r="36" customFormat="false" ht="15" hidden="false" customHeight="false" outlineLevel="0" collapsed="false">
      <c r="B36" s="8" t="s">
        <v>165</v>
      </c>
      <c r="C36" s="16" t="n">
        <v>101503.4</v>
      </c>
      <c r="G36" s="16" t="n">
        <v>101503.4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410557.45</v>
      </c>
      <c r="D37" s="26" t="n">
        <f aca="false">SUM(D10:D36)</f>
        <v>75596.22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334961.23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49979.81</v>
      </c>
      <c r="D40" s="16" t="n">
        <v>2032</v>
      </c>
      <c r="G40" s="16" t="n">
        <v>40601.36</v>
      </c>
    </row>
    <row r="41" customFormat="false" ht="15" hidden="false" customHeight="false" outlineLevel="0" collapsed="false">
      <c r="B41" s="8" t="s">
        <v>166</v>
      </c>
      <c r="C41" s="16" t="n">
        <v>6414.08</v>
      </c>
      <c r="D41" s="16" t="n">
        <v>265.72</v>
      </c>
      <c r="G41" s="16" t="n">
        <v>5210.51</v>
      </c>
    </row>
    <row r="42" customFormat="false" ht="15" hidden="false" customHeight="false" outlineLevel="0" collapsed="false">
      <c r="B42" s="8" t="s">
        <v>94</v>
      </c>
      <c r="C42" s="16" t="n">
        <v>12078.45</v>
      </c>
      <c r="D42" s="16" t="n">
        <v>515.81</v>
      </c>
      <c r="G42" s="16" t="n">
        <v>9812</v>
      </c>
    </row>
    <row r="43" customFormat="false" ht="15" hidden="false" customHeight="false" outlineLevel="0" collapsed="false">
      <c r="B43" s="8" t="s">
        <v>95</v>
      </c>
      <c r="C43" s="16" t="n">
        <v>227685.79</v>
      </c>
      <c r="D43" s="16" t="n">
        <v>9256.87</v>
      </c>
      <c r="G43" s="16" t="n">
        <v>184961.76</v>
      </c>
    </row>
    <row r="44" customFormat="false" ht="15" hidden="false" customHeight="false" outlineLevel="0" collapsed="false">
      <c r="B44" s="8" t="s">
        <v>167</v>
      </c>
      <c r="C44" s="16" t="n">
        <v>29219.68</v>
      </c>
      <c r="D44" s="16" t="n">
        <v>1210.51</v>
      </c>
      <c r="G44" s="16" t="n">
        <v>23736.76</v>
      </c>
    </row>
    <row r="45" customFormat="false" ht="15" hidden="false" customHeight="false" outlineLevel="0" collapsed="false">
      <c r="B45" s="8" t="s">
        <v>97</v>
      </c>
      <c r="C45" s="16" t="n">
        <v>55024.07</v>
      </c>
      <c r="D45" s="16" t="n">
        <v>2349.82</v>
      </c>
      <c r="G45" s="16" t="n">
        <v>44699.09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380401.88</v>
      </c>
      <c r="D46" s="26" t="n">
        <f aca="false">SUM(D40:D45)</f>
        <v>15630.73</v>
      </c>
      <c r="E46" s="24"/>
      <c r="F46" s="26" t="n">
        <f aca="false">SUM(F40:F45)</f>
        <v>0</v>
      </c>
      <c r="G46" s="26" t="n">
        <f aca="false">SUM(G40:G45)</f>
        <v>309021.48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368</v>
      </c>
      <c r="C51" s="32" t="n">
        <v>49979.808</v>
      </c>
      <c r="D51" s="32" t="n">
        <v>0</v>
      </c>
      <c r="E51" s="32" t="n">
        <v>0</v>
      </c>
      <c r="F51" s="32" t="n">
        <v>834.6627936</v>
      </c>
      <c r="G51" s="32" t="n">
        <v>834.6627936</v>
      </c>
      <c r="H51" s="32" t="n">
        <v>49130.151264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369</v>
      </c>
      <c r="C52" s="36" t="n">
        <v>6414.07536</v>
      </c>
      <c r="D52" s="36" t="n">
        <v>3848.445216</v>
      </c>
      <c r="E52" s="36" t="n">
        <v>0</v>
      </c>
      <c r="F52" s="36" t="n">
        <v>3944.6563464</v>
      </c>
      <c r="G52" s="36" t="n">
        <v>3944.6563464</v>
      </c>
      <c r="H52" s="36" t="n">
        <v>2469.4190136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370</v>
      </c>
      <c r="C53" s="32" t="n">
        <v>12078.4536</v>
      </c>
      <c r="D53" s="32" t="n">
        <v>7247.07216</v>
      </c>
      <c r="E53" s="32" t="n">
        <v>0</v>
      </c>
      <c r="F53" s="32" t="n">
        <v>8213.348448</v>
      </c>
      <c r="G53" s="32" t="n">
        <v>8213.348448</v>
      </c>
      <c r="H53" s="32" t="n">
        <v>3865.105152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371</v>
      </c>
      <c r="C54" s="36" t="n">
        <v>227685.792</v>
      </c>
      <c r="D54" s="36" t="n">
        <v>0</v>
      </c>
      <c r="E54" s="36" t="n">
        <v>0</v>
      </c>
      <c r="F54" s="36" t="n">
        <v>3802.3527264</v>
      </c>
      <c r="G54" s="36" t="n">
        <v>3802.3527264</v>
      </c>
      <c r="H54" s="36" t="n">
        <v>223815.133536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372</v>
      </c>
      <c r="C55" s="32" t="n">
        <v>29219.67664</v>
      </c>
      <c r="D55" s="32" t="n">
        <v>17531.805984</v>
      </c>
      <c r="E55" s="32" t="n">
        <v>0</v>
      </c>
      <c r="F55" s="32" t="n">
        <v>17970.1011336</v>
      </c>
      <c r="G55" s="32" t="n">
        <v>17970.1011336</v>
      </c>
      <c r="H55" s="32" t="n">
        <v>11249.5755064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373</v>
      </c>
      <c r="C56" s="36" t="n">
        <v>55024.0664</v>
      </c>
      <c r="D56" s="36" t="n">
        <v>33014.43984</v>
      </c>
      <c r="E56" s="36" t="n">
        <v>0</v>
      </c>
      <c r="F56" s="36" t="n">
        <v>37416.365152</v>
      </c>
      <c r="G56" s="36" t="n">
        <v>37416.365152</v>
      </c>
      <c r="H56" s="36" t="n">
        <v>17607.701248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380401.872</v>
      </c>
      <c r="D57" s="39" t="n">
        <f aca="false">SUM(D51:D56)</f>
        <v>61641.7632</v>
      </c>
      <c r="E57" s="39" t="n">
        <f aca="false">SUM(E51:E56)</f>
        <v>0</v>
      </c>
      <c r="F57" s="39" t="n">
        <f aca="false">SUM(F51:F56)</f>
        <v>72181.4866</v>
      </c>
      <c r="G57" s="39" t="n">
        <f aca="false">SUM(G51:G56)</f>
        <v>72181.4866</v>
      </c>
      <c r="H57" s="39" t="n">
        <f aca="false">SUM(H51:H56)</f>
        <v>308137.08572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374</v>
      </c>
      <c r="C61" s="32" t="n">
        <v>1915.89264</v>
      </c>
      <c r="D61" s="32" t="n">
        <v>1149.535584</v>
      </c>
      <c r="E61" s="32" t="n">
        <v>0</v>
      </c>
      <c r="F61" s="32" t="n">
        <v>1321.9659216</v>
      </c>
      <c r="G61" s="32" t="n">
        <v>1321.9659216</v>
      </c>
      <c r="H61" s="32" t="n">
        <v>593.9267184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375</v>
      </c>
      <c r="C62" s="36" t="n">
        <v>48063.91536</v>
      </c>
      <c r="D62" s="36" t="n">
        <v>0</v>
      </c>
      <c r="E62" s="36" t="n">
        <v>0</v>
      </c>
      <c r="F62" s="36" t="n">
        <v>802.667386512</v>
      </c>
      <c r="G62" s="36" t="n">
        <v>802.667386512</v>
      </c>
      <c r="H62" s="36" t="n">
        <v>47246.82879888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376</v>
      </c>
      <c r="C63" s="32" t="n">
        <v>249.89904</v>
      </c>
      <c r="D63" s="32" t="n">
        <v>149.939424</v>
      </c>
      <c r="E63" s="32" t="n">
        <v>0</v>
      </c>
      <c r="F63" s="32" t="n">
        <v>172.4303376</v>
      </c>
      <c r="G63" s="32" t="n">
        <v>172.4303376</v>
      </c>
      <c r="H63" s="32" t="n">
        <v>77.4687024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377</v>
      </c>
      <c r="C64" s="36" t="n">
        <v>6164.17632</v>
      </c>
      <c r="D64" s="36" t="n">
        <v>0</v>
      </c>
      <c r="E64" s="36" t="n">
        <v>0</v>
      </c>
      <c r="F64" s="36" t="n">
        <v>102.941744544</v>
      </c>
      <c r="G64" s="36" t="n">
        <v>102.941744544</v>
      </c>
      <c r="H64" s="36" t="n">
        <v>6059.38532256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378</v>
      </c>
      <c r="C65" s="32" t="n">
        <v>4581.4824</v>
      </c>
      <c r="D65" s="32" t="n">
        <v>2748.88944</v>
      </c>
      <c r="E65" s="32" t="n">
        <v>0</v>
      </c>
      <c r="F65" s="32" t="n">
        <v>3161.222856</v>
      </c>
      <c r="G65" s="32" t="n">
        <v>3161.222856</v>
      </c>
      <c r="H65" s="32" t="n">
        <v>1420.259544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379</v>
      </c>
      <c r="C66" s="36" t="n">
        <v>7496.9712</v>
      </c>
      <c r="D66" s="36" t="n">
        <v>0</v>
      </c>
      <c r="E66" s="36" t="n">
        <v>0</v>
      </c>
      <c r="F66" s="36" t="n">
        <v>125.19941904</v>
      </c>
      <c r="G66" s="36" t="n">
        <v>125.19941904</v>
      </c>
      <c r="H66" s="36" t="n">
        <v>7369.5226896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380</v>
      </c>
      <c r="C67" s="32" t="n">
        <v>8727.95536</v>
      </c>
      <c r="D67" s="32" t="n">
        <v>5236.773216</v>
      </c>
      <c r="E67" s="32" t="n">
        <v>0</v>
      </c>
      <c r="F67" s="32" t="n">
        <v>6022.2891984</v>
      </c>
      <c r="G67" s="32" t="n">
        <v>6022.2891984</v>
      </c>
      <c r="H67" s="32" t="n">
        <v>2705.6661616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381</v>
      </c>
      <c r="C68" s="36" t="n">
        <v>218957.83664</v>
      </c>
      <c r="D68" s="36" t="n">
        <v>0</v>
      </c>
      <c r="E68" s="36" t="n">
        <v>0</v>
      </c>
      <c r="F68" s="36" t="n">
        <v>3656.595871888</v>
      </c>
      <c r="G68" s="36" t="n">
        <v>3656.595871888</v>
      </c>
      <c r="H68" s="36" t="n">
        <v>215235.55341712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382</v>
      </c>
      <c r="C69" s="32" t="n">
        <v>1138.42896</v>
      </c>
      <c r="D69" s="32" t="n">
        <v>683.057376</v>
      </c>
      <c r="E69" s="32" t="n">
        <v>0</v>
      </c>
      <c r="F69" s="32" t="n">
        <v>785.5159824</v>
      </c>
      <c r="G69" s="32" t="n">
        <v>785.5159824</v>
      </c>
      <c r="H69" s="32" t="n">
        <v>352.9129776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383</v>
      </c>
      <c r="C70" s="36" t="n">
        <v>28081.24768</v>
      </c>
      <c r="D70" s="36" t="n">
        <v>0</v>
      </c>
      <c r="E70" s="36" t="n">
        <v>0</v>
      </c>
      <c r="F70" s="36" t="n">
        <v>468.956836256</v>
      </c>
      <c r="G70" s="36" t="n">
        <v>468.956836256</v>
      </c>
      <c r="H70" s="36" t="n">
        <v>27603.86646944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384</v>
      </c>
      <c r="C71" s="32" t="n">
        <v>20871.1976</v>
      </c>
      <c r="D71" s="32" t="n">
        <v>12522.71856</v>
      </c>
      <c r="E71" s="32" t="n">
        <v>0</v>
      </c>
      <c r="F71" s="32" t="n">
        <v>14401.126344</v>
      </c>
      <c r="G71" s="32" t="n">
        <v>14401.126344</v>
      </c>
      <c r="H71" s="32" t="n">
        <v>6470.071256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385</v>
      </c>
      <c r="C72" s="36" t="n">
        <v>34152.8688</v>
      </c>
      <c r="D72" s="36" t="n">
        <v>0</v>
      </c>
      <c r="E72" s="36" t="n">
        <v>0</v>
      </c>
      <c r="F72" s="36" t="n">
        <v>570.35290896</v>
      </c>
      <c r="G72" s="36" t="n">
        <v>570.35290896</v>
      </c>
      <c r="H72" s="36" t="n">
        <v>33572.2700304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380401.872</v>
      </c>
      <c r="D73" s="39" t="n">
        <f aca="false">SUM(D61:D72)</f>
        <v>22490.9136</v>
      </c>
      <c r="E73" s="39" t="n">
        <f aca="false">SUM(E61:E72)</f>
        <v>0</v>
      </c>
      <c r="F73" s="39" t="n">
        <f aca="false">SUM(F61:F72)</f>
        <v>31591.2648072</v>
      </c>
      <c r="G73" s="39" t="n">
        <f aca="false">SUM(G61:G72)</f>
        <v>31591.2648072</v>
      </c>
      <c r="H73" s="39" t="n">
        <f aca="false">SUM(H61:H72)</f>
        <v>348707.732088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72181.4866</v>
      </c>
    </row>
    <row r="77" customFormat="false" ht="15" hidden="false" customHeight="false" outlineLevel="0" collapsed="false">
      <c r="B77" s="8" t="s">
        <v>138</v>
      </c>
      <c r="C77" s="41" t="n">
        <f aca="false">G73</f>
        <v>31591.2648072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-40590.2217928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386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387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10917.01</v>
      </c>
      <c r="D11" s="16" t="n">
        <v>10917.01</v>
      </c>
    </row>
    <row r="12" customFormat="false" ht="15" hidden="false" customHeight="false" outlineLevel="0" collapsed="false">
      <c r="B12" s="8" t="s">
        <v>142</v>
      </c>
      <c r="C12" s="16" t="n">
        <v>4545.98</v>
      </c>
      <c r="D12" s="16" t="n">
        <v>4545.98</v>
      </c>
    </row>
    <row r="13" customFormat="false" ht="15" hidden="false" customHeight="false" outlineLevel="0" collapsed="false">
      <c r="B13" s="8" t="s">
        <v>143</v>
      </c>
      <c r="C13" s="16" t="n">
        <v>13825.75</v>
      </c>
      <c r="D13" s="16" t="n">
        <v>13825.75</v>
      </c>
    </row>
    <row r="14" customFormat="false" ht="15" hidden="false" customHeight="false" outlineLevel="0" collapsed="false">
      <c r="B14" s="8" t="s">
        <v>144</v>
      </c>
      <c r="C14" s="16" t="n">
        <v>3904.21</v>
      </c>
      <c r="D14" s="16" t="n">
        <v>3904.21</v>
      </c>
    </row>
    <row r="15" customFormat="false" ht="15" hidden="false" customHeight="false" outlineLevel="0" collapsed="false">
      <c r="B15" s="8" t="s">
        <v>145</v>
      </c>
      <c r="C15" s="16" t="n">
        <v>151.11</v>
      </c>
      <c r="D15" s="16" t="n">
        <v>151.11</v>
      </c>
    </row>
    <row r="16" customFormat="false" ht="15" hidden="false" customHeight="false" outlineLevel="0" collapsed="false">
      <c r="B16" s="8" t="s">
        <v>146</v>
      </c>
      <c r="C16" s="16" t="n">
        <v>2377.14</v>
      </c>
      <c r="D16" s="16" t="n">
        <v>2377.14</v>
      </c>
    </row>
    <row r="17" customFormat="false" ht="15" hidden="false" customHeight="false" outlineLevel="0" collapsed="false">
      <c r="B17" s="8" t="s">
        <v>147</v>
      </c>
      <c r="C17" s="16" t="n">
        <v>4223.7</v>
      </c>
      <c r="D17" s="16" t="n">
        <v>4223.7</v>
      </c>
    </row>
    <row r="18" customFormat="false" ht="15" hidden="false" customHeight="false" outlineLevel="0" collapsed="false">
      <c r="B18" s="8" t="s">
        <v>148</v>
      </c>
      <c r="C18" s="16" t="n">
        <v>4348.17</v>
      </c>
      <c r="D18" s="16" t="n">
        <v>4348.17</v>
      </c>
    </row>
    <row r="19" customFormat="false" ht="15" hidden="false" customHeight="false" outlineLevel="0" collapsed="false">
      <c r="B19" s="8" t="s">
        <v>149</v>
      </c>
      <c r="C19" s="16" t="n">
        <v>1542.97</v>
      </c>
      <c r="D19" s="16" t="n">
        <v>1542.97</v>
      </c>
    </row>
    <row r="20" customFormat="false" ht="15" hidden="false" customHeight="false" outlineLevel="0" collapsed="false">
      <c r="B20" s="8" t="s">
        <v>77</v>
      </c>
      <c r="C20" s="16" t="n">
        <v>58.7</v>
      </c>
      <c r="D20" s="16" t="n">
        <v>58.7</v>
      </c>
    </row>
    <row r="21" customFormat="false" ht="15" hidden="false" customHeight="false" outlineLevel="0" collapsed="false">
      <c r="B21" s="8" t="s">
        <v>150</v>
      </c>
      <c r="C21" s="16" t="n">
        <v>1417.17</v>
      </c>
      <c r="D21" s="16" t="n">
        <v>1417.17</v>
      </c>
    </row>
    <row r="22" customFormat="false" ht="15" hidden="false" customHeight="false" outlineLevel="0" collapsed="false">
      <c r="B22" s="8" t="s">
        <v>151</v>
      </c>
      <c r="C22" s="16" t="n">
        <v>2888.92</v>
      </c>
      <c r="D22" s="16" t="n">
        <v>2888.92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17661.26</v>
      </c>
      <c r="G24" s="16" t="n">
        <v>17661.26</v>
      </c>
    </row>
    <row r="25" customFormat="false" ht="15" hidden="false" customHeight="false" outlineLevel="0" collapsed="false">
      <c r="B25" s="8" t="s">
        <v>154</v>
      </c>
      <c r="C25" s="16" t="n">
        <v>15138.22</v>
      </c>
      <c r="G25" s="16" t="n">
        <v>15138.22</v>
      </c>
    </row>
    <row r="26" customFormat="false" ht="15" hidden="false" customHeight="false" outlineLevel="0" collapsed="false">
      <c r="B26" s="8" t="s">
        <v>155</v>
      </c>
      <c r="C26" s="16" t="n">
        <v>17661.26</v>
      </c>
      <c r="G26" s="16" t="n">
        <v>17661.26</v>
      </c>
    </row>
    <row r="27" customFormat="false" ht="15" hidden="false" customHeight="false" outlineLevel="0" collapsed="false">
      <c r="B27" s="8" t="s">
        <v>156</v>
      </c>
      <c r="C27" s="16" t="n">
        <v>13876.7</v>
      </c>
      <c r="G27" s="16" t="n">
        <v>13876.7</v>
      </c>
    </row>
    <row r="28" customFormat="false" ht="15" hidden="false" customHeight="false" outlineLevel="0" collapsed="false">
      <c r="B28" s="8" t="s">
        <v>157</v>
      </c>
      <c r="C28" s="16" t="n">
        <v>2018.43</v>
      </c>
      <c r="G28" s="16" t="n">
        <v>2018.43</v>
      </c>
    </row>
    <row r="29" customFormat="false" ht="15" hidden="false" customHeight="false" outlineLevel="0" collapsed="false">
      <c r="B29" s="8" t="s">
        <v>158</v>
      </c>
      <c r="C29" s="16" t="n">
        <v>15138.22</v>
      </c>
      <c r="G29" s="16" t="n">
        <v>15138.22</v>
      </c>
    </row>
    <row r="30" customFormat="false" ht="15" hidden="false" customHeight="false" outlineLevel="0" collapsed="false">
      <c r="B30" s="8" t="s">
        <v>159</v>
      </c>
      <c r="C30" s="16" t="n">
        <v>12615.19</v>
      </c>
      <c r="G30" s="16" t="n">
        <v>12615.19</v>
      </c>
    </row>
    <row r="31" customFormat="false" ht="15" hidden="false" customHeight="false" outlineLevel="0" collapsed="false">
      <c r="B31" s="8" t="s">
        <v>160</v>
      </c>
      <c r="C31" s="16" t="n">
        <v>11353.67</v>
      </c>
      <c r="G31" s="16" t="n">
        <v>11353.67</v>
      </c>
    </row>
    <row r="32" customFormat="false" ht="15" hidden="false" customHeight="false" outlineLevel="0" collapsed="false">
      <c r="B32" s="8" t="s">
        <v>161</v>
      </c>
      <c r="C32" s="16" t="n">
        <v>10092.15</v>
      </c>
      <c r="G32" s="16" t="n">
        <v>10092.15</v>
      </c>
    </row>
    <row r="33" customFormat="false" ht="15" hidden="false" customHeight="false" outlineLevel="0" collapsed="false">
      <c r="B33" s="8" t="s">
        <v>162</v>
      </c>
      <c r="C33" s="16" t="n">
        <v>27753.41</v>
      </c>
      <c r="G33" s="16" t="n">
        <v>27753.41</v>
      </c>
    </row>
    <row r="34" customFormat="false" ht="15" hidden="false" customHeight="false" outlineLevel="0" collapsed="false">
      <c r="B34" s="8" t="s">
        <v>163</v>
      </c>
      <c r="C34" s="16" t="n">
        <v>11353.67</v>
      </c>
      <c r="G34" s="16" t="n">
        <v>11353.67</v>
      </c>
    </row>
    <row r="35" customFormat="false" ht="15" hidden="false" customHeight="false" outlineLevel="0" collapsed="false">
      <c r="B35" s="8" t="s">
        <v>164</v>
      </c>
      <c r="C35" s="16" t="n">
        <v>2018.43</v>
      </c>
      <c r="G35" s="16" t="n">
        <v>2018.43</v>
      </c>
    </row>
    <row r="36" customFormat="false" ht="15" hidden="false" customHeight="false" outlineLevel="0" collapsed="false">
      <c r="B36" s="8" t="s">
        <v>165</v>
      </c>
      <c r="C36" s="16" t="n">
        <v>68122</v>
      </c>
      <c r="G36" s="16" t="n">
        <v>68122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275003.44</v>
      </c>
      <c r="D37" s="26" t="n">
        <f aca="false">SUM(D10:D36)</f>
        <v>50200.83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224802.61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33189.88</v>
      </c>
      <c r="D40" s="16" t="n">
        <v>1287.23</v>
      </c>
      <c r="G40" s="16" t="n">
        <v>27248.8</v>
      </c>
    </row>
    <row r="41" customFormat="false" ht="15" hidden="false" customHeight="false" outlineLevel="0" collapsed="false">
      <c r="B41" s="8" t="s">
        <v>166</v>
      </c>
      <c r="C41" s="16" t="n">
        <v>4259.37</v>
      </c>
      <c r="D41" s="16" t="n">
        <v>168.33</v>
      </c>
      <c r="G41" s="16" t="n">
        <v>3496.93</v>
      </c>
    </row>
    <row r="42" customFormat="false" ht="15" hidden="false" customHeight="false" outlineLevel="0" collapsed="false">
      <c r="B42" s="8" t="s">
        <v>94</v>
      </c>
      <c r="C42" s="16" t="n">
        <v>8020.89</v>
      </c>
      <c r="D42" s="16" t="n">
        <v>326.76</v>
      </c>
      <c r="G42" s="16" t="n">
        <v>6585.13</v>
      </c>
    </row>
    <row r="43" customFormat="false" ht="15" hidden="false" customHeight="false" outlineLevel="0" collapsed="false">
      <c r="B43" s="8" t="s">
        <v>95</v>
      </c>
      <c r="C43" s="16" t="n">
        <v>151198.33</v>
      </c>
      <c r="D43" s="16" t="n">
        <v>5864.06</v>
      </c>
      <c r="G43" s="16" t="n">
        <v>124133.42</v>
      </c>
    </row>
    <row r="44" customFormat="false" ht="15" hidden="false" customHeight="false" outlineLevel="0" collapsed="false">
      <c r="B44" s="8" t="s">
        <v>167</v>
      </c>
      <c r="C44" s="16" t="n">
        <v>19403.79</v>
      </c>
      <c r="D44" s="16" t="n">
        <v>766.84</v>
      </c>
      <c r="G44" s="16" t="n">
        <v>15930.46</v>
      </c>
    </row>
    <row r="45" customFormat="false" ht="15" hidden="false" customHeight="false" outlineLevel="0" collapsed="false">
      <c r="B45" s="8" t="s">
        <v>97</v>
      </c>
      <c r="C45" s="16" t="n">
        <v>36539.6</v>
      </c>
      <c r="D45" s="16" t="n">
        <v>1488.57</v>
      </c>
      <c r="G45" s="16" t="n">
        <v>29998.91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252611.86</v>
      </c>
      <c r="D46" s="26" t="n">
        <f aca="false">SUM(D40:D45)</f>
        <v>9901.79</v>
      </c>
      <c r="E46" s="24"/>
      <c r="F46" s="26" t="n">
        <f aca="false">SUM(F40:F45)</f>
        <v>0</v>
      </c>
      <c r="G46" s="26" t="n">
        <f aca="false">SUM(G40:G45)</f>
        <v>207393.65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388</v>
      </c>
      <c r="C51" s="32" t="n">
        <v>33189.87636</v>
      </c>
      <c r="D51" s="32" t="n">
        <v>0</v>
      </c>
      <c r="E51" s="32" t="n">
        <v>0</v>
      </c>
      <c r="F51" s="32" t="n">
        <v>554.270935212</v>
      </c>
      <c r="G51" s="32" t="n">
        <v>554.270935212</v>
      </c>
      <c r="H51" s="32" t="n">
        <v>32625.64846188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389</v>
      </c>
      <c r="C52" s="36" t="n">
        <v>4259.3674662</v>
      </c>
      <c r="D52" s="36" t="n">
        <v>2555.62047972</v>
      </c>
      <c r="E52" s="36" t="n">
        <v>0</v>
      </c>
      <c r="F52" s="36" t="n">
        <v>2619.510991713</v>
      </c>
      <c r="G52" s="36" t="n">
        <v>2619.510991713</v>
      </c>
      <c r="H52" s="36" t="n">
        <v>1639.856474487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390</v>
      </c>
      <c r="C53" s="32" t="n">
        <v>8020.886787</v>
      </c>
      <c r="D53" s="32" t="n">
        <v>4812.5320722</v>
      </c>
      <c r="E53" s="32" t="n">
        <v>0</v>
      </c>
      <c r="F53" s="32" t="n">
        <v>5454.20301516</v>
      </c>
      <c r="G53" s="32" t="n">
        <v>5454.20301516</v>
      </c>
      <c r="H53" s="32" t="n">
        <v>2566.68377184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391</v>
      </c>
      <c r="C54" s="36" t="n">
        <v>151198.32564</v>
      </c>
      <c r="D54" s="36" t="n">
        <v>0</v>
      </c>
      <c r="E54" s="36" t="n">
        <v>0</v>
      </c>
      <c r="F54" s="36" t="n">
        <v>2525.012038188</v>
      </c>
      <c r="G54" s="36" t="n">
        <v>2525.012038188</v>
      </c>
      <c r="H54" s="36" t="n">
        <v>148627.95410412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392</v>
      </c>
      <c r="C55" s="32" t="n">
        <v>19403.7851238</v>
      </c>
      <c r="D55" s="32" t="n">
        <v>11642.27107428</v>
      </c>
      <c r="E55" s="32" t="n">
        <v>0</v>
      </c>
      <c r="F55" s="32" t="n">
        <v>11933.327851137</v>
      </c>
      <c r="G55" s="32" t="n">
        <v>11933.327851137</v>
      </c>
      <c r="H55" s="32" t="n">
        <v>7470.457272663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393</v>
      </c>
      <c r="C56" s="36" t="n">
        <v>36539.595363</v>
      </c>
      <c r="D56" s="36" t="n">
        <v>21923.7572178</v>
      </c>
      <c r="E56" s="36" t="n">
        <v>0</v>
      </c>
      <c r="F56" s="36" t="n">
        <v>24846.92484684</v>
      </c>
      <c r="G56" s="36" t="n">
        <v>24846.92484684</v>
      </c>
      <c r="H56" s="36" t="n">
        <v>11692.67051616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252611.83674</v>
      </c>
      <c r="D57" s="39" t="n">
        <f aca="false">SUM(D51:D56)</f>
        <v>40934.180844</v>
      </c>
      <c r="E57" s="39" t="n">
        <f aca="false">SUM(E51:E56)</f>
        <v>0</v>
      </c>
      <c r="F57" s="39" t="n">
        <f aca="false">SUM(F51:F56)</f>
        <v>47933.24967825</v>
      </c>
      <c r="G57" s="39" t="n">
        <f aca="false">SUM(G51:G56)</f>
        <v>47933.24967825</v>
      </c>
      <c r="H57" s="39" t="n">
        <f aca="false">SUM(H51:H56)</f>
        <v>204623.27060115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394</v>
      </c>
      <c r="C61" s="32" t="n">
        <v>1272.2785938</v>
      </c>
      <c r="D61" s="32" t="n">
        <v>763.36715628</v>
      </c>
      <c r="E61" s="32" t="n">
        <v>0</v>
      </c>
      <c r="F61" s="32" t="n">
        <v>877.872229722</v>
      </c>
      <c r="G61" s="32" t="n">
        <v>877.872229722</v>
      </c>
      <c r="H61" s="32" t="n">
        <v>394.406364078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395</v>
      </c>
      <c r="C62" s="36" t="n">
        <v>31917.5977662</v>
      </c>
      <c r="D62" s="36" t="n">
        <v>0</v>
      </c>
      <c r="E62" s="36" t="n">
        <v>0</v>
      </c>
      <c r="F62" s="36" t="n">
        <v>533.02388269554</v>
      </c>
      <c r="G62" s="36" t="n">
        <v>533.02388269554</v>
      </c>
      <c r="H62" s="36" t="n">
        <v>31374.9986041746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396</v>
      </c>
      <c r="C63" s="32" t="n">
        <v>165.9493818</v>
      </c>
      <c r="D63" s="32" t="n">
        <v>99.56962908</v>
      </c>
      <c r="E63" s="32" t="n">
        <v>0</v>
      </c>
      <c r="F63" s="32" t="n">
        <v>114.505073442</v>
      </c>
      <c r="G63" s="32" t="n">
        <v>114.505073442</v>
      </c>
      <c r="H63" s="32" t="n">
        <v>51.444308358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397</v>
      </c>
      <c r="C64" s="36" t="n">
        <v>4093.4180844</v>
      </c>
      <c r="D64" s="36" t="n">
        <v>0</v>
      </c>
      <c r="E64" s="36" t="n">
        <v>0</v>
      </c>
      <c r="F64" s="36" t="n">
        <v>68.36008200948</v>
      </c>
      <c r="G64" s="36" t="n">
        <v>68.36008200948</v>
      </c>
      <c r="H64" s="36" t="n">
        <v>4023.8299769652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398</v>
      </c>
      <c r="C65" s="32" t="n">
        <v>3042.405333</v>
      </c>
      <c r="D65" s="32" t="n">
        <v>1825.4431998</v>
      </c>
      <c r="E65" s="32" t="n">
        <v>0</v>
      </c>
      <c r="F65" s="32" t="n">
        <v>2099.25967977</v>
      </c>
      <c r="G65" s="32" t="n">
        <v>2099.25967977</v>
      </c>
      <c r="H65" s="32" t="n">
        <v>943.14565323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399</v>
      </c>
      <c r="C66" s="36" t="n">
        <v>4978.481454</v>
      </c>
      <c r="D66" s="36" t="n">
        <v>0</v>
      </c>
      <c r="E66" s="36" t="n">
        <v>0</v>
      </c>
      <c r="F66" s="36" t="n">
        <v>83.1406402818</v>
      </c>
      <c r="G66" s="36" t="n">
        <v>83.1406402818</v>
      </c>
      <c r="H66" s="36" t="n">
        <v>4893.847269282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400</v>
      </c>
      <c r="C67" s="32" t="n">
        <v>5795.9358162</v>
      </c>
      <c r="D67" s="32" t="n">
        <v>3477.56148972</v>
      </c>
      <c r="E67" s="32" t="n">
        <v>0</v>
      </c>
      <c r="F67" s="32" t="n">
        <v>3999.195713178</v>
      </c>
      <c r="G67" s="32" t="n">
        <v>3999.195713178</v>
      </c>
      <c r="H67" s="32" t="n">
        <v>1796.740103022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401</v>
      </c>
      <c r="C68" s="36" t="n">
        <v>145402.3898238</v>
      </c>
      <c r="D68" s="36" t="n">
        <v>0</v>
      </c>
      <c r="E68" s="36" t="n">
        <v>0</v>
      </c>
      <c r="F68" s="36" t="n">
        <v>2428.21991005746</v>
      </c>
      <c r="G68" s="36" t="n">
        <v>2428.21991005746</v>
      </c>
      <c r="H68" s="36" t="n">
        <v>142930.549196795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402</v>
      </c>
      <c r="C69" s="32" t="n">
        <v>755.9916282</v>
      </c>
      <c r="D69" s="32" t="n">
        <v>453.59497692</v>
      </c>
      <c r="E69" s="32" t="n">
        <v>0</v>
      </c>
      <c r="F69" s="32" t="n">
        <v>521.634223458</v>
      </c>
      <c r="G69" s="32" t="n">
        <v>521.634223458</v>
      </c>
      <c r="H69" s="32" t="n">
        <v>234.357404742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403</v>
      </c>
      <c r="C70" s="36" t="n">
        <v>18647.7934956</v>
      </c>
      <c r="D70" s="36" t="n">
        <v>0</v>
      </c>
      <c r="E70" s="36" t="n">
        <v>0</v>
      </c>
      <c r="F70" s="36" t="n">
        <v>311.41815137652</v>
      </c>
      <c r="G70" s="36" t="n">
        <v>311.41815137652</v>
      </c>
      <c r="H70" s="36" t="n">
        <v>18330.7810061748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404</v>
      </c>
      <c r="C71" s="32" t="n">
        <v>13859.846517</v>
      </c>
      <c r="D71" s="32" t="n">
        <v>8315.9079102</v>
      </c>
      <c r="E71" s="32" t="n">
        <v>0</v>
      </c>
      <c r="F71" s="32" t="n">
        <v>9563.29409673</v>
      </c>
      <c r="G71" s="32" t="n">
        <v>9563.29409673</v>
      </c>
      <c r="H71" s="32" t="n">
        <v>4296.55242027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405</v>
      </c>
      <c r="C72" s="36" t="n">
        <v>22679.748846</v>
      </c>
      <c r="D72" s="36" t="n">
        <v>0</v>
      </c>
      <c r="E72" s="36" t="n">
        <v>0</v>
      </c>
      <c r="F72" s="36" t="n">
        <v>378.7518057282</v>
      </c>
      <c r="G72" s="36" t="n">
        <v>378.7518057282</v>
      </c>
      <c r="H72" s="36" t="n">
        <v>22294.193115618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252611.83674</v>
      </c>
      <c r="D73" s="39" t="n">
        <f aca="false">SUM(D61:D72)</f>
        <v>14935.444362</v>
      </c>
      <c r="E73" s="39" t="n">
        <f aca="false">SUM(E61:E72)</f>
        <v>0</v>
      </c>
      <c r="F73" s="39" t="n">
        <f aca="false">SUM(F61:F72)</f>
        <v>20978.675488449</v>
      </c>
      <c r="G73" s="39" t="n">
        <f aca="false">SUM(G61:G72)</f>
        <v>20978.675488449</v>
      </c>
      <c r="H73" s="39" t="n">
        <f aca="false">SUM(H61:H72)</f>
        <v>231564.84542271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47933.24967825</v>
      </c>
    </row>
    <row r="77" customFormat="false" ht="15" hidden="false" customHeight="false" outlineLevel="0" collapsed="false">
      <c r="B77" s="8" t="s">
        <v>138</v>
      </c>
      <c r="C77" s="41" t="n">
        <f aca="false">G73</f>
        <v>20978.675488449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-26954.574189801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406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407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10917.01</v>
      </c>
      <c r="D11" s="16" t="n">
        <v>10917.01</v>
      </c>
    </row>
    <row r="12" customFormat="false" ht="15" hidden="false" customHeight="false" outlineLevel="0" collapsed="false">
      <c r="B12" s="8" t="s">
        <v>142</v>
      </c>
      <c r="C12" s="16" t="n">
        <v>4545.98</v>
      </c>
      <c r="D12" s="16" t="n">
        <v>4545.98</v>
      </c>
    </row>
    <row r="13" customFormat="false" ht="15" hidden="false" customHeight="false" outlineLevel="0" collapsed="false">
      <c r="B13" s="8" t="s">
        <v>143</v>
      </c>
      <c r="C13" s="16" t="n">
        <v>13825.75</v>
      </c>
      <c r="D13" s="16" t="n">
        <v>13825.75</v>
      </c>
    </row>
    <row r="14" customFormat="false" ht="15" hidden="false" customHeight="false" outlineLevel="0" collapsed="false">
      <c r="B14" s="8" t="s">
        <v>144</v>
      </c>
      <c r="C14" s="16" t="n">
        <v>3904.21</v>
      </c>
      <c r="D14" s="16" t="n">
        <v>3904.21</v>
      </c>
    </row>
    <row r="15" customFormat="false" ht="15" hidden="false" customHeight="false" outlineLevel="0" collapsed="false">
      <c r="B15" s="8" t="s">
        <v>145</v>
      </c>
      <c r="C15" s="16" t="n">
        <v>151.11</v>
      </c>
      <c r="D15" s="16" t="n">
        <v>151.11</v>
      </c>
    </row>
    <row r="16" customFormat="false" ht="15" hidden="false" customHeight="false" outlineLevel="0" collapsed="false">
      <c r="B16" s="8" t="s">
        <v>146</v>
      </c>
      <c r="C16" s="16" t="n">
        <v>2377.14</v>
      </c>
      <c r="D16" s="16" t="n">
        <v>2377.14</v>
      </c>
    </row>
    <row r="17" customFormat="false" ht="15" hidden="false" customHeight="false" outlineLevel="0" collapsed="false">
      <c r="B17" s="8" t="s">
        <v>147</v>
      </c>
      <c r="C17" s="16" t="n">
        <v>4223.7</v>
      </c>
      <c r="D17" s="16" t="n">
        <v>4223.7</v>
      </c>
    </row>
    <row r="18" customFormat="false" ht="15" hidden="false" customHeight="false" outlineLevel="0" collapsed="false">
      <c r="B18" s="8" t="s">
        <v>148</v>
      </c>
      <c r="C18" s="16" t="n">
        <v>4348.17</v>
      </c>
      <c r="D18" s="16" t="n">
        <v>4348.17</v>
      </c>
    </row>
    <row r="19" customFormat="false" ht="15" hidden="false" customHeight="false" outlineLevel="0" collapsed="false">
      <c r="B19" s="8" t="s">
        <v>149</v>
      </c>
      <c r="C19" s="16" t="n">
        <v>1542.97</v>
      </c>
      <c r="D19" s="16" t="n">
        <v>1542.97</v>
      </c>
    </row>
    <row r="20" customFormat="false" ht="15" hidden="false" customHeight="false" outlineLevel="0" collapsed="false">
      <c r="B20" s="8" t="s">
        <v>77</v>
      </c>
      <c r="C20" s="16" t="n">
        <v>58.7</v>
      </c>
      <c r="D20" s="16" t="n">
        <v>58.7</v>
      </c>
    </row>
    <row r="21" customFormat="false" ht="15" hidden="false" customHeight="false" outlineLevel="0" collapsed="false">
      <c r="B21" s="8" t="s">
        <v>150</v>
      </c>
      <c r="C21" s="16" t="n">
        <v>1417.17</v>
      </c>
      <c r="D21" s="16" t="n">
        <v>1417.17</v>
      </c>
    </row>
    <row r="22" customFormat="false" ht="15" hidden="false" customHeight="false" outlineLevel="0" collapsed="false">
      <c r="B22" s="8" t="s">
        <v>151</v>
      </c>
      <c r="C22" s="16" t="n">
        <v>2888.92</v>
      </c>
      <c r="D22" s="16" t="n">
        <v>2888.92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17661.26</v>
      </c>
      <c r="G24" s="16" t="n">
        <v>17661.26</v>
      </c>
    </row>
    <row r="25" customFormat="false" ht="15" hidden="false" customHeight="false" outlineLevel="0" collapsed="false">
      <c r="B25" s="8" t="s">
        <v>154</v>
      </c>
      <c r="C25" s="16" t="n">
        <v>15138.22</v>
      </c>
      <c r="G25" s="16" t="n">
        <v>15138.22</v>
      </c>
    </row>
    <row r="26" customFormat="false" ht="15" hidden="false" customHeight="false" outlineLevel="0" collapsed="false">
      <c r="B26" s="8" t="s">
        <v>155</v>
      </c>
      <c r="C26" s="16" t="n">
        <v>17661.26</v>
      </c>
      <c r="G26" s="16" t="n">
        <v>17661.26</v>
      </c>
    </row>
    <row r="27" customFormat="false" ht="15" hidden="false" customHeight="false" outlineLevel="0" collapsed="false">
      <c r="B27" s="8" t="s">
        <v>156</v>
      </c>
      <c r="C27" s="16" t="n">
        <v>13876.7</v>
      </c>
      <c r="G27" s="16" t="n">
        <v>13876.7</v>
      </c>
    </row>
    <row r="28" customFormat="false" ht="15" hidden="false" customHeight="false" outlineLevel="0" collapsed="false">
      <c r="B28" s="8" t="s">
        <v>157</v>
      </c>
      <c r="C28" s="16" t="n">
        <v>2018.43</v>
      </c>
      <c r="G28" s="16" t="n">
        <v>2018.43</v>
      </c>
    </row>
    <row r="29" customFormat="false" ht="15" hidden="false" customHeight="false" outlineLevel="0" collapsed="false">
      <c r="B29" s="8" t="s">
        <v>158</v>
      </c>
      <c r="C29" s="16" t="n">
        <v>15138.22</v>
      </c>
      <c r="G29" s="16" t="n">
        <v>15138.22</v>
      </c>
    </row>
    <row r="30" customFormat="false" ht="15" hidden="false" customHeight="false" outlineLevel="0" collapsed="false">
      <c r="B30" s="8" t="s">
        <v>159</v>
      </c>
      <c r="C30" s="16" t="n">
        <v>12615.19</v>
      </c>
      <c r="G30" s="16" t="n">
        <v>12615.19</v>
      </c>
    </row>
    <row r="31" customFormat="false" ht="15" hidden="false" customHeight="false" outlineLevel="0" collapsed="false">
      <c r="B31" s="8" t="s">
        <v>160</v>
      </c>
      <c r="C31" s="16" t="n">
        <v>11353.67</v>
      </c>
      <c r="G31" s="16" t="n">
        <v>11353.67</v>
      </c>
    </row>
    <row r="32" customFormat="false" ht="15" hidden="false" customHeight="false" outlineLevel="0" collapsed="false">
      <c r="B32" s="8" t="s">
        <v>161</v>
      </c>
      <c r="C32" s="16" t="n">
        <v>10092.15</v>
      </c>
      <c r="G32" s="16" t="n">
        <v>10092.15</v>
      </c>
    </row>
    <row r="33" customFormat="false" ht="15" hidden="false" customHeight="false" outlineLevel="0" collapsed="false">
      <c r="B33" s="8" t="s">
        <v>162</v>
      </c>
      <c r="C33" s="16" t="n">
        <v>27753.41</v>
      </c>
      <c r="G33" s="16" t="n">
        <v>27753.41</v>
      </c>
    </row>
    <row r="34" customFormat="false" ht="15" hidden="false" customHeight="false" outlineLevel="0" collapsed="false">
      <c r="B34" s="8" t="s">
        <v>163</v>
      </c>
      <c r="C34" s="16" t="n">
        <v>11353.67</v>
      </c>
      <c r="G34" s="16" t="n">
        <v>11353.67</v>
      </c>
    </row>
    <row r="35" customFormat="false" ht="15" hidden="false" customHeight="false" outlineLevel="0" collapsed="false">
      <c r="B35" s="8" t="s">
        <v>164</v>
      </c>
      <c r="C35" s="16" t="n">
        <v>2018.43</v>
      </c>
      <c r="G35" s="16" t="n">
        <v>2018.43</v>
      </c>
    </row>
    <row r="36" customFormat="false" ht="15" hidden="false" customHeight="false" outlineLevel="0" collapsed="false">
      <c r="B36" s="8" t="s">
        <v>165</v>
      </c>
      <c r="C36" s="16" t="n">
        <v>68122</v>
      </c>
      <c r="G36" s="16" t="n">
        <v>68122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275003.44</v>
      </c>
      <c r="D37" s="26" t="n">
        <f aca="false">SUM(D10:D36)</f>
        <v>50200.83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224802.61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33189.88</v>
      </c>
      <c r="D40" s="16" t="n">
        <v>1287.23</v>
      </c>
      <c r="G40" s="16" t="n">
        <v>27248.8</v>
      </c>
    </row>
    <row r="41" customFormat="false" ht="15" hidden="false" customHeight="false" outlineLevel="0" collapsed="false">
      <c r="B41" s="8" t="s">
        <v>166</v>
      </c>
      <c r="C41" s="16" t="n">
        <v>4259.37</v>
      </c>
      <c r="D41" s="16" t="n">
        <v>168.33</v>
      </c>
      <c r="G41" s="16" t="n">
        <v>3496.93</v>
      </c>
    </row>
    <row r="42" customFormat="false" ht="15" hidden="false" customHeight="false" outlineLevel="0" collapsed="false">
      <c r="B42" s="8" t="s">
        <v>94</v>
      </c>
      <c r="C42" s="16" t="n">
        <v>8020.89</v>
      </c>
      <c r="D42" s="16" t="n">
        <v>326.76</v>
      </c>
      <c r="G42" s="16" t="n">
        <v>6585.13</v>
      </c>
    </row>
    <row r="43" customFormat="false" ht="15" hidden="false" customHeight="false" outlineLevel="0" collapsed="false">
      <c r="B43" s="8" t="s">
        <v>95</v>
      </c>
      <c r="C43" s="16" t="n">
        <v>151198.33</v>
      </c>
      <c r="D43" s="16" t="n">
        <v>5864.06</v>
      </c>
      <c r="G43" s="16" t="n">
        <v>124133.42</v>
      </c>
    </row>
    <row r="44" customFormat="false" ht="15" hidden="false" customHeight="false" outlineLevel="0" collapsed="false">
      <c r="B44" s="8" t="s">
        <v>167</v>
      </c>
      <c r="C44" s="16" t="n">
        <v>19403.79</v>
      </c>
      <c r="D44" s="16" t="n">
        <v>766.84</v>
      </c>
      <c r="G44" s="16" t="n">
        <v>15930.46</v>
      </c>
    </row>
    <row r="45" customFormat="false" ht="15" hidden="false" customHeight="false" outlineLevel="0" collapsed="false">
      <c r="B45" s="8" t="s">
        <v>97</v>
      </c>
      <c r="C45" s="16" t="n">
        <v>36539.6</v>
      </c>
      <c r="D45" s="16" t="n">
        <v>1488.57</v>
      </c>
      <c r="G45" s="16" t="n">
        <v>29998.91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252611.86</v>
      </c>
      <c r="D46" s="26" t="n">
        <f aca="false">SUM(D40:D45)</f>
        <v>9901.79</v>
      </c>
      <c r="E46" s="24"/>
      <c r="F46" s="26" t="n">
        <f aca="false">SUM(F40:F45)</f>
        <v>0</v>
      </c>
      <c r="G46" s="26" t="n">
        <f aca="false">SUM(G40:G45)</f>
        <v>207393.65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408</v>
      </c>
      <c r="C51" s="32" t="n">
        <v>33189.87636</v>
      </c>
      <c r="D51" s="32" t="n">
        <v>0</v>
      </c>
      <c r="E51" s="32" t="n">
        <v>0</v>
      </c>
      <c r="F51" s="32" t="n">
        <v>554.270935212</v>
      </c>
      <c r="G51" s="32" t="n">
        <v>554.270935212</v>
      </c>
      <c r="H51" s="32" t="n">
        <v>32625.64846188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409</v>
      </c>
      <c r="C52" s="36" t="n">
        <v>4259.3674662</v>
      </c>
      <c r="D52" s="36" t="n">
        <v>2555.62047972</v>
      </c>
      <c r="E52" s="36" t="n">
        <v>0</v>
      </c>
      <c r="F52" s="36" t="n">
        <v>2619.510991713</v>
      </c>
      <c r="G52" s="36" t="n">
        <v>2619.510991713</v>
      </c>
      <c r="H52" s="36" t="n">
        <v>1639.856474487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410</v>
      </c>
      <c r="C53" s="32" t="n">
        <v>8020.886787</v>
      </c>
      <c r="D53" s="32" t="n">
        <v>4812.5320722</v>
      </c>
      <c r="E53" s="32" t="n">
        <v>0</v>
      </c>
      <c r="F53" s="32" t="n">
        <v>5454.20301516</v>
      </c>
      <c r="G53" s="32" t="n">
        <v>5454.20301516</v>
      </c>
      <c r="H53" s="32" t="n">
        <v>2566.68377184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411</v>
      </c>
      <c r="C54" s="36" t="n">
        <v>151198.32564</v>
      </c>
      <c r="D54" s="36" t="n">
        <v>0</v>
      </c>
      <c r="E54" s="36" t="n">
        <v>0</v>
      </c>
      <c r="F54" s="36" t="n">
        <v>2525.012038188</v>
      </c>
      <c r="G54" s="36" t="n">
        <v>2525.012038188</v>
      </c>
      <c r="H54" s="36" t="n">
        <v>148627.95410412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412</v>
      </c>
      <c r="C55" s="32" t="n">
        <v>19403.7851238</v>
      </c>
      <c r="D55" s="32" t="n">
        <v>11642.27107428</v>
      </c>
      <c r="E55" s="32" t="n">
        <v>0</v>
      </c>
      <c r="F55" s="32" t="n">
        <v>11933.327851137</v>
      </c>
      <c r="G55" s="32" t="n">
        <v>11933.327851137</v>
      </c>
      <c r="H55" s="32" t="n">
        <v>7470.457272663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413</v>
      </c>
      <c r="C56" s="36" t="n">
        <v>36539.595363</v>
      </c>
      <c r="D56" s="36" t="n">
        <v>21923.7572178</v>
      </c>
      <c r="E56" s="36" t="n">
        <v>0</v>
      </c>
      <c r="F56" s="36" t="n">
        <v>24846.92484684</v>
      </c>
      <c r="G56" s="36" t="n">
        <v>24846.92484684</v>
      </c>
      <c r="H56" s="36" t="n">
        <v>11692.67051616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252611.83674</v>
      </c>
      <c r="D57" s="39" t="n">
        <f aca="false">SUM(D51:D56)</f>
        <v>40934.180844</v>
      </c>
      <c r="E57" s="39" t="n">
        <f aca="false">SUM(E51:E56)</f>
        <v>0</v>
      </c>
      <c r="F57" s="39" t="n">
        <f aca="false">SUM(F51:F56)</f>
        <v>47933.24967825</v>
      </c>
      <c r="G57" s="39" t="n">
        <f aca="false">SUM(G51:G56)</f>
        <v>47933.24967825</v>
      </c>
      <c r="H57" s="39" t="n">
        <f aca="false">SUM(H51:H56)</f>
        <v>204623.27060115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414</v>
      </c>
      <c r="C61" s="32" t="n">
        <v>1272.2785938</v>
      </c>
      <c r="D61" s="32" t="n">
        <v>763.36715628</v>
      </c>
      <c r="E61" s="32" t="n">
        <v>0</v>
      </c>
      <c r="F61" s="32" t="n">
        <v>877.872229722</v>
      </c>
      <c r="G61" s="32" t="n">
        <v>877.872229722</v>
      </c>
      <c r="H61" s="32" t="n">
        <v>394.406364078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415</v>
      </c>
      <c r="C62" s="36" t="n">
        <v>31917.5977662</v>
      </c>
      <c r="D62" s="36" t="n">
        <v>0</v>
      </c>
      <c r="E62" s="36" t="n">
        <v>0</v>
      </c>
      <c r="F62" s="36" t="n">
        <v>533.02388269554</v>
      </c>
      <c r="G62" s="36" t="n">
        <v>533.02388269554</v>
      </c>
      <c r="H62" s="36" t="n">
        <v>31374.9986041746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416</v>
      </c>
      <c r="C63" s="32" t="n">
        <v>165.9493818</v>
      </c>
      <c r="D63" s="32" t="n">
        <v>99.56962908</v>
      </c>
      <c r="E63" s="32" t="n">
        <v>0</v>
      </c>
      <c r="F63" s="32" t="n">
        <v>114.505073442</v>
      </c>
      <c r="G63" s="32" t="n">
        <v>114.505073442</v>
      </c>
      <c r="H63" s="32" t="n">
        <v>51.444308358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417</v>
      </c>
      <c r="C64" s="36" t="n">
        <v>4093.4180844</v>
      </c>
      <c r="D64" s="36" t="n">
        <v>0</v>
      </c>
      <c r="E64" s="36" t="n">
        <v>0</v>
      </c>
      <c r="F64" s="36" t="n">
        <v>68.36008200948</v>
      </c>
      <c r="G64" s="36" t="n">
        <v>68.36008200948</v>
      </c>
      <c r="H64" s="36" t="n">
        <v>4023.8299769652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418</v>
      </c>
      <c r="C65" s="32" t="n">
        <v>3042.405333</v>
      </c>
      <c r="D65" s="32" t="n">
        <v>1825.4431998</v>
      </c>
      <c r="E65" s="32" t="n">
        <v>0</v>
      </c>
      <c r="F65" s="32" t="n">
        <v>2099.25967977</v>
      </c>
      <c r="G65" s="32" t="n">
        <v>2099.25967977</v>
      </c>
      <c r="H65" s="32" t="n">
        <v>943.14565323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419</v>
      </c>
      <c r="C66" s="36" t="n">
        <v>4978.481454</v>
      </c>
      <c r="D66" s="36" t="n">
        <v>0</v>
      </c>
      <c r="E66" s="36" t="n">
        <v>0</v>
      </c>
      <c r="F66" s="36" t="n">
        <v>83.1406402818</v>
      </c>
      <c r="G66" s="36" t="n">
        <v>83.1406402818</v>
      </c>
      <c r="H66" s="36" t="n">
        <v>4893.847269282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420</v>
      </c>
      <c r="C67" s="32" t="n">
        <v>5795.9358162</v>
      </c>
      <c r="D67" s="32" t="n">
        <v>3477.56148972</v>
      </c>
      <c r="E67" s="32" t="n">
        <v>0</v>
      </c>
      <c r="F67" s="32" t="n">
        <v>3999.195713178</v>
      </c>
      <c r="G67" s="32" t="n">
        <v>3999.195713178</v>
      </c>
      <c r="H67" s="32" t="n">
        <v>1796.740103022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421</v>
      </c>
      <c r="C68" s="36" t="n">
        <v>145402.3898238</v>
      </c>
      <c r="D68" s="36" t="n">
        <v>0</v>
      </c>
      <c r="E68" s="36" t="n">
        <v>0</v>
      </c>
      <c r="F68" s="36" t="n">
        <v>2428.21991005746</v>
      </c>
      <c r="G68" s="36" t="n">
        <v>2428.21991005746</v>
      </c>
      <c r="H68" s="36" t="n">
        <v>142930.549196795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422</v>
      </c>
      <c r="C69" s="32" t="n">
        <v>755.9916282</v>
      </c>
      <c r="D69" s="32" t="n">
        <v>453.59497692</v>
      </c>
      <c r="E69" s="32" t="n">
        <v>0</v>
      </c>
      <c r="F69" s="32" t="n">
        <v>521.634223458</v>
      </c>
      <c r="G69" s="32" t="n">
        <v>521.634223458</v>
      </c>
      <c r="H69" s="32" t="n">
        <v>234.357404742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423</v>
      </c>
      <c r="C70" s="36" t="n">
        <v>18647.7934956</v>
      </c>
      <c r="D70" s="36" t="n">
        <v>0</v>
      </c>
      <c r="E70" s="36" t="n">
        <v>0</v>
      </c>
      <c r="F70" s="36" t="n">
        <v>311.41815137652</v>
      </c>
      <c r="G70" s="36" t="n">
        <v>311.41815137652</v>
      </c>
      <c r="H70" s="36" t="n">
        <v>18330.7810061748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424</v>
      </c>
      <c r="C71" s="32" t="n">
        <v>13859.846517</v>
      </c>
      <c r="D71" s="32" t="n">
        <v>8315.9079102</v>
      </c>
      <c r="E71" s="32" t="n">
        <v>0</v>
      </c>
      <c r="F71" s="32" t="n">
        <v>9563.29409673</v>
      </c>
      <c r="G71" s="32" t="n">
        <v>9563.29409673</v>
      </c>
      <c r="H71" s="32" t="n">
        <v>4296.55242027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425</v>
      </c>
      <c r="C72" s="36" t="n">
        <v>22679.748846</v>
      </c>
      <c r="D72" s="36" t="n">
        <v>0</v>
      </c>
      <c r="E72" s="36" t="n">
        <v>0</v>
      </c>
      <c r="F72" s="36" t="n">
        <v>378.7518057282</v>
      </c>
      <c r="G72" s="36" t="n">
        <v>378.7518057282</v>
      </c>
      <c r="H72" s="36" t="n">
        <v>22294.193115618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252611.83674</v>
      </c>
      <c r="D73" s="39" t="n">
        <f aca="false">SUM(D61:D72)</f>
        <v>14935.444362</v>
      </c>
      <c r="E73" s="39" t="n">
        <f aca="false">SUM(E61:E72)</f>
        <v>0</v>
      </c>
      <c r="F73" s="39" t="n">
        <f aca="false">SUM(F61:F72)</f>
        <v>20978.675488449</v>
      </c>
      <c r="G73" s="39" t="n">
        <f aca="false">SUM(G61:G72)</f>
        <v>20978.675488449</v>
      </c>
      <c r="H73" s="39" t="n">
        <f aca="false">SUM(H61:H72)</f>
        <v>231564.84542271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47933.24967825</v>
      </c>
    </row>
    <row r="77" customFormat="false" ht="15" hidden="false" customHeight="false" outlineLevel="0" collapsed="false">
      <c r="B77" s="8" t="s">
        <v>138</v>
      </c>
      <c r="C77" s="41" t="n">
        <f aca="false">G73</f>
        <v>20978.675488449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-26954.574189801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426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427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10917.01</v>
      </c>
      <c r="D11" s="16" t="n">
        <v>10917.01</v>
      </c>
    </row>
    <row r="12" customFormat="false" ht="15" hidden="false" customHeight="false" outlineLevel="0" collapsed="false">
      <c r="B12" s="8" t="s">
        <v>142</v>
      </c>
      <c r="C12" s="16" t="n">
        <v>4545.98</v>
      </c>
      <c r="D12" s="16" t="n">
        <v>4545.98</v>
      </c>
    </row>
    <row r="13" customFormat="false" ht="15" hidden="false" customHeight="false" outlineLevel="0" collapsed="false">
      <c r="B13" s="8" t="s">
        <v>143</v>
      </c>
      <c r="C13" s="16" t="n">
        <v>13825.75</v>
      </c>
      <c r="D13" s="16" t="n">
        <v>13825.75</v>
      </c>
    </row>
    <row r="14" customFormat="false" ht="15" hidden="false" customHeight="false" outlineLevel="0" collapsed="false">
      <c r="B14" s="8" t="s">
        <v>144</v>
      </c>
      <c r="C14" s="16" t="n">
        <v>3904.21</v>
      </c>
      <c r="D14" s="16" t="n">
        <v>3904.21</v>
      </c>
    </row>
    <row r="15" customFormat="false" ht="15" hidden="false" customHeight="false" outlineLevel="0" collapsed="false">
      <c r="B15" s="8" t="s">
        <v>145</v>
      </c>
      <c r="C15" s="16" t="n">
        <v>151.11</v>
      </c>
      <c r="D15" s="16" t="n">
        <v>151.11</v>
      </c>
    </row>
    <row r="16" customFormat="false" ht="15" hidden="false" customHeight="false" outlineLevel="0" collapsed="false">
      <c r="B16" s="8" t="s">
        <v>146</v>
      </c>
      <c r="C16" s="16" t="n">
        <v>2377.14</v>
      </c>
      <c r="D16" s="16" t="n">
        <v>2377.14</v>
      </c>
    </row>
    <row r="17" customFormat="false" ht="15" hidden="false" customHeight="false" outlineLevel="0" collapsed="false">
      <c r="B17" s="8" t="s">
        <v>147</v>
      </c>
      <c r="C17" s="16" t="n">
        <v>4223.7</v>
      </c>
      <c r="D17" s="16" t="n">
        <v>4223.7</v>
      </c>
    </row>
    <row r="18" customFormat="false" ht="15" hidden="false" customHeight="false" outlineLevel="0" collapsed="false">
      <c r="B18" s="8" t="s">
        <v>148</v>
      </c>
      <c r="C18" s="16" t="n">
        <v>4348.17</v>
      </c>
      <c r="D18" s="16" t="n">
        <v>4348.17</v>
      </c>
    </row>
    <row r="19" customFormat="false" ht="15" hidden="false" customHeight="false" outlineLevel="0" collapsed="false">
      <c r="B19" s="8" t="s">
        <v>149</v>
      </c>
      <c r="C19" s="16" t="n">
        <v>1542.97</v>
      </c>
      <c r="D19" s="16" t="n">
        <v>1542.97</v>
      </c>
    </row>
    <row r="20" customFormat="false" ht="15" hidden="false" customHeight="false" outlineLevel="0" collapsed="false">
      <c r="B20" s="8" t="s">
        <v>77</v>
      </c>
      <c r="C20" s="16" t="n">
        <v>58.7</v>
      </c>
      <c r="D20" s="16" t="n">
        <v>58.7</v>
      </c>
    </row>
    <row r="21" customFormat="false" ht="15" hidden="false" customHeight="false" outlineLevel="0" collapsed="false">
      <c r="B21" s="8" t="s">
        <v>150</v>
      </c>
      <c r="C21" s="16" t="n">
        <v>1417.17</v>
      </c>
      <c r="D21" s="16" t="n">
        <v>1417.17</v>
      </c>
    </row>
    <row r="22" customFormat="false" ht="15" hidden="false" customHeight="false" outlineLevel="0" collapsed="false">
      <c r="B22" s="8" t="s">
        <v>151</v>
      </c>
      <c r="C22" s="16" t="n">
        <v>2888.92</v>
      </c>
      <c r="D22" s="16" t="n">
        <v>2888.92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17661.26</v>
      </c>
      <c r="G24" s="16" t="n">
        <v>17661.26</v>
      </c>
    </row>
    <row r="25" customFormat="false" ht="15" hidden="false" customHeight="false" outlineLevel="0" collapsed="false">
      <c r="B25" s="8" t="s">
        <v>154</v>
      </c>
      <c r="C25" s="16" t="n">
        <v>15138.22</v>
      </c>
      <c r="G25" s="16" t="n">
        <v>15138.22</v>
      </c>
    </row>
    <row r="26" customFormat="false" ht="15" hidden="false" customHeight="false" outlineLevel="0" collapsed="false">
      <c r="B26" s="8" t="s">
        <v>155</v>
      </c>
      <c r="C26" s="16" t="n">
        <v>17661.26</v>
      </c>
      <c r="G26" s="16" t="n">
        <v>17661.26</v>
      </c>
    </row>
    <row r="27" customFormat="false" ht="15" hidden="false" customHeight="false" outlineLevel="0" collapsed="false">
      <c r="B27" s="8" t="s">
        <v>156</v>
      </c>
      <c r="C27" s="16" t="n">
        <v>13876.7</v>
      </c>
      <c r="G27" s="16" t="n">
        <v>13876.7</v>
      </c>
    </row>
    <row r="28" customFormat="false" ht="15" hidden="false" customHeight="false" outlineLevel="0" collapsed="false">
      <c r="B28" s="8" t="s">
        <v>157</v>
      </c>
      <c r="C28" s="16" t="n">
        <v>2018.43</v>
      </c>
      <c r="G28" s="16" t="n">
        <v>2018.43</v>
      </c>
    </row>
    <row r="29" customFormat="false" ht="15" hidden="false" customHeight="false" outlineLevel="0" collapsed="false">
      <c r="B29" s="8" t="s">
        <v>158</v>
      </c>
      <c r="C29" s="16" t="n">
        <v>15138.22</v>
      </c>
      <c r="G29" s="16" t="n">
        <v>15138.22</v>
      </c>
    </row>
    <row r="30" customFormat="false" ht="15" hidden="false" customHeight="false" outlineLevel="0" collapsed="false">
      <c r="B30" s="8" t="s">
        <v>159</v>
      </c>
      <c r="C30" s="16" t="n">
        <v>12615.19</v>
      </c>
      <c r="G30" s="16" t="n">
        <v>12615.19</v>
      </c>
    </row>
    <row r="31" customFormat="false" ht="15" hidden="false" customHeight="false" outlineLevel="0" collapsed="false">
      <c r="B31" s="8" t="s">
        <v>160</v>
      </c>
      <c r="C31" s="16" t="n">
        <v>11353.67</v>
      </c>
      <c r="G31" s="16" t="n">
        <v>11353.67</v>
      </c>
    </row>
    <row r="32" customFormat="false" ht="15" hidden="false" customHeight="false" outlineLevel="0" collapsed="false">
      <c r="B32" s="8" t="s">
        <v>161</v>
      </c>
      <c r="C32" s="16" t="n">
        <v>10092.15</v>
      </c>
      <c r="G32" s="16" t="n">
        <v>10092.15</v>
      </c>
    </row>
    <row r="33" customFormat="false" ht="15" hidden="false" customHeight="false" outlineLevel="0" collapsed="false">
      <c r="B33" s="8" t="s">
        <v>162</v>
      </c>
      <c r="C33" s="16" t="n">
        <v>27753.41</v>
      </c>
      <c r="G33" s="16" t="n">
        <v>27753.41</v>
      </c>
    </row>
    <row r="34" customFormat="false" ht="15" hidden="false" customHeight="false" outlineLevel="0" collapsed="false">
      <c r="B34" s="8" t="s">
        <v>163</v>
      </c>
      <c r="C34" s="16" t="n">
        <v>11353.67</v>
      </c>
      <c r="G34" s="16" t="n">
        <v>11353.67</v>
      </c>
    </row>
    <row r="35" customFormat="false" ht="15" hidden="false" customHeight="false" outlineLevel="0" collapsed="false">
      <c r="B35" s="8" t="s">
        <v>164</v>
      </c>
      <c r="C35" s="16" t="n">
        <v>2018.43</v>
      </c>
      <c r="G35" s="16" t="n">
        <v>2018.43</v>
      </c>
    </row>
    <row r="36" customFormat="false" ht="15" hidden="false" customHeight="false" outlineLevel="0" collapsed="false">
      <c r="B36" s="8" t="s">
        <v>165</v>
      </c>
      <c r="C36" s="16" t="n">
        <v>68122</v>
      </c>
      <c r="G36" s="16" t="n">
        <v>68122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275003.44</v>
      </c>
      <c r="D37" s="26" t="n">
        <f aca="false">SUM(D10:D36)</f>
        <v>50200.83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224802.61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33189.88</v>
      </c>
      <c r="D40" s="16" t="n">
        <v>1287.23</v>
      </c>
      <c r="G40" s="16" t="n">
        <v>27248.8</v>
      </c>
    </row>
    <row r="41" customFormat="false" ht="15" hidden="false" customHeight="false" outlineLevel="0" collapsed="false">
      <c r="B41" s="8" t="s">
        <v>166</v>
      </c>
      <c r="C41" s="16" t="n">
        <v>4259.37</v>
      </c>
      <c r="D41" s="16" t="n">
        <v>168.33</v>
      </c>
      <c r="G41" s="16" t="n">
        <v>3496.93</v>
      </c>
    </row>
    <row r="42" customFormat="false" ht="15" hidden="false" customHeight="false" outlineLevel="0" collapsed="false">
      <c r="B42" s="8" t="s">
        <v>94</v>
      </c>
      <c r="C42" s="16" t="n">
        <v>8020.89</v>
      </c>
      <c r="D42" s="16" t="n">
        <v>326.76</v>
      </c>
      <c r="G42" s="16" t="n">
        <v>6585.13</v>
      </c>
    </row>
    <row r="43" customFormat="false" ht="15" hidden="false" customHeight="false" outlineLevel="0" collapsed="false">
      <c r="B43" s="8" t="s">
        <v>95</v>
      </c>
      <c r="C43" s="16" t="n">
        <v>151198.33</v>
      </c>
      <c r="D43" s="16" t="n">
        <v>5864.06</v>
      </c>
      <c r="G43" s="16" t="n">
        <v>124133.42</v>
      </c>
    </row>
    <row r="44" customFormat="false" ht="15" hidden="false" customHeight="false" outlineLevel="0" collapsed="false">
      <c r="B44" s="8" t="s">
        <v>167</v>
      </c>
      <c r="C44" s="16" t="n">
        <v>19403.79</v>
      </c>
      <c r="D44" s="16" t="n">
        <v>766.84</v>
      </c>
      <c r="G44" s="16" t="n">
        <v>15930.46</v>
      </c>
    </row>
    <row r="45" customFormat="false" ht="15" hidden="false" customHeight="false" outlineLevel="0" collapsed="false">
      <c r="B45" s="8" t="s">
        <v>97</v>
      </c>
      <c r="C45" s="16" t="n">
        <v>36539.6</v>
      </c>
      <c r="D45" s="16" t="n">
        <v>1488.57</v>
      </c>
      <c r="G45" s="16" t="n">
        <v>29998.91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252611.86</v>
      </c>
      <c r="D46" s="26" t="n">
        <f aca="false">SUM(D40:D45)</f>
        <v>9901.79</v>
      </c>
      <c r="E46" s="24"/>
      <c r="F46" s="26" t="n">
        <f aca="false">SUM(F40:F45)</f>
        <v>0</v>
      </c>
      <c r="G46" s="26" t="n">
        <f aca="false">SUM(G40:G45)</f>
        <v>207393.65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428</v>
      </c>
      <c r="C51" s="32" t="n">
        <v>33189.87636</v>
      </c>
      <c r="D51" s="32" t="n">
        <v>0</v>
      </c>
      <c r="E51" s="32" t="n">
        <v>0</v>
      </c>
      <c r="F51" s="32" t="n">
        <v>554.270935212</v>
      </c>
      <c r="G51" s="32" t="n">
        <v>554.270935212</v>
      </c>
      <c r="H51" s="32" t="n">
        <v>32625.64846188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429</v>
      </c>
      <c r="C52" s="36" t="n">
        <v>4259.3674662</v>
      </c>
      <c r="D52" s="36" t="n">
        <v>2555.62047972</v>
      </c>
      <c r="E52" s="36" t="n">
        <v>0</v>
      </c>
      <c r="F52" s="36" t="n">
        <v>2619.510991713</v>
      </c>
      <c r="G52" s="36" t="n">
        <v>2619.510991713</v>
      </c>
      <c r="H52" s="36" t="n">
        <v>1639.856474487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430</v>
      </c>
      <c r="C53" s="32" t="n">
        <v>8020.886787</v>
      </c>
      <c r="D53" s="32" t="n">
        <v>4812.5320722</v>
      </c>
      <c r="E53" s="32" t="n">
        <v>0</v>
      </c>
      <c r="F53" s="32" t="n">
        <v>5454.20301516</v>
      </c>
      <c r="G53" s="32" t="n">
        <v>5454.20301516</v>
      </c>
      <c r="H53" s="32" t="n">
        <v>2566.68377184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431</v>
      </c>
      <c r="C54" s="36" t="n">
        <v>151198.32564</v>
      </c>
      <c r="D54" s="36" t="n">
        <v>0</v>
      </c>
      <c r="E54" s="36" t="n">
        <v>0</v>
      </c>
      <c r="F54" s="36" t="n">
        <v>2525.012038188</v>
      </c>
      <c r="G54" s="36" t="n">
        <v>2525.012038188</v>
      </c>
      <c r="H54" s="36" t="n">
        <v>148627.95410412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432</v>
      </c>
      <c r="C55" s="32" t="n">
        <v>19403.7851238</v>
      </c>
      <c r="D55" s="32" t="n">
        <v>11642.27107428</v>
      </c>
      <c r="E55" s="32" t="n">
        <v>0</v>
      </c>
      <c r="F55" s="32" t="n">
        <v>11933.327851137</v>
      </c>
      <c r="G55" s="32" t="n">
        <v>11933.327851137</v>
      </c>
      <c r="H55" s="32" t="n">
        <v>7470.457272663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433</v>
      </c>
      <c r="C56" s="36" t="n">
        <v>36539.595363</v>
      </c>
      <c r="D56" s="36" t="n">
        <v>21923.7572178</v>
      </c>
      <c r="E56" s="36" t="n">
        <v>0</v>
      </c>
      <c r="F56" s="36" t="n">
        <v>24846.92484684</v>
      </c>
      <c r="G56" s="36" t="n">
        <v>24846.92484684</v>
      </c>
      <c r="H56" s="36" t="n">
        <v>11692.67051616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252611.83674</v>
      </c>
      <c r="D57" s="39" t="n">
        <f aca="false">SUM(D51:D56)</f>
        <v>40934.180844</v>
      </c>
      <c r="E57" s="39" t="n">
        <f aca="false">SUM(E51:E56)</f>
        <v>0</v>
      </c>
      <c r="F57" s="39" t="n">
        <f aca="false">SUM(F51:F56)</f>
        <v>47933.24967825</v>
      </c>
      <c r="G57" s="39" t="n">
        <f aca="false">SUM(G51:G56)</f>
        <v>47933.24967825</v>
      </c>
      <c r="H57" s="39" t="n">
        <f aca="false">SUM(H51:H56)</f>
        <v>204623.27060115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434</v>
      </c>
      <c r="C61" s="32" t="n">
        <v>1272.2785938</v>
      </c>
      <c r="D61" s="32" t="n">
        <v>763.36715628</v>
      </c>
      <c r="E61" s="32" t="n">
        <v>0</v>
      </c>
      <c r="F61" s="32" t="n">
        <v>877.872229722</v>
      </c>
      <c r="G61" s="32" t="n">
        <v>877.872229722</v>
      </c>
      <c r="H61" s="32" t="n">
        <v>394.406364078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435</v>
      </c>
      <c r="C62" s="36" t="n">
        <v>31917.5977662</v>
      </c>
      <c r="D62" s="36" t="n">
        <v>0</v>
      </c>
      <c r="E62" s="36" t="n">
        <v>0</v>
      </c>
      <c r="F62" s="36" t="n">
        <v>533.02388269554</v>
      </c>
      <c r="G62" s="36" t="n">
        <v>533.02388269554</v>
      </c>
      <c r="H62" s="36" t="n">
        <v>31374.9986041746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436</v>
      </c>
      <c r="C63" s="32" t="n">
        <v>165.9493818</v>
      </c>
      <c r="D63" s="32" t="n">
        <v>99.56962908</v>
      </c>
      <c r="E63" s="32" t="n">
        <v>0</v>
      </c>
      <c r="F63" s="32" t="n">
        <v>114.505073442</v>
      </c>
      <c r="G63" s="32" t="n">
        <v>114.505073442</v>
      </c>
      <c r="H63" s="32" t="n">
        <v>51.444308358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437</v>
      </c>
      <c r="C64" s="36" t="n">
        <v>4093.4180844</v>
      </c>
      <c r="D64" s="36" t="n">
        <v>0</v>
      </c>
      <c r="E64" s="36" t="n">
        <v>0</v>
      </c>
      <c r="F64" s="36" t="n">
        <v>68.36008200948</v>
      </c>
      <c r="G64" s="36" t="n">
        <v>68.36008200948</v>
      </c>
      <c r="H64" s="36" t="n">
        <v>4023.8299769652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438</v>
      </c>
      <c r="C65" s="32" t="n">
        <v>3042.405333</v>
      </c>
      <c r="D65" s="32" t="n">
        <v>1825.4431998</v>
      </c>
      <c r="E65" s="32" t="n">
        <v>0</v>
      </c>
      <c r="F65" s="32" t="n">
        <v>2099.25967977</v>
      </c>
      <c r="G65" s="32" t="n">
        <v>2099.25967977</v>
      </c>
      <c r="H65" s="32" t="n">
        <v>943.14565323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439</v>
      </c>
      <c r="C66" s="36" t="n">
        <v>4978.481454</v>
      </c>
      <c r="D66" s="36" t="n">
        <v>0</v>
      </c>
      <c r="E66" s="36" t="n">
        <v>0</v>
      </c>
      <c r="F66" s="36" t="n">
        <v>83.1406402818</v>
      </c>
      <c r="G66" s="36" t="n">
        <v>83.1406402818</v>
      </c>
      <c r="H66" s="36" t="n">
        <v>4893.847269282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440</v>
      </c>
      <c r="C67" s="32" t="n">
        <v>5795.9358162</v>
      </c>
      <c r="D67" s="32" t="n">
        <v>3477.56148972</v>
      </c>
      <c r="E67" s="32" t="n">
        <v>0</v>
      </c>
      <c r="F67" s="32" t="n">
        <v>3999.195713178</v>
      </c>
      <c r="G67" s="32" t="n">
        <v>3999.195713178</v>
      </c>
      <c r="H67" s="32" t="n">
        <v>1796.740103022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441</v>
      </c>
      <c r="C68" s="36" t="n">
        <v>145402.3898238</v>
      </c>
      <c r="D68" s="36" t="n">
        <v>0</v>
      </c>
      <c r="E68" s="36" t="n">
        <v>0</v>
      </c>
      <c r="F68" s="36" t="n">
        <v>2428.21991005746</v>
      </c>
      <c r="G68" s="36" t="n">
        <v>2428.21991005746</v>
      </c>
      <c r="H68" s="36" t="n">
        <v>142930.549196795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442</v>
      </c>
      <c r="C69" s="32" t="n">
        <v>755.9916282</v>
      </c>
      <c r="D69" s="32" t="n">
        <v>453.59497692</v>
      </c>
      <c r="E69" s="32" t="n">
        <v>0</v>
      </c>
      <c r="F69" s="32" t="n">
        <v>521.634223458</v>
      </c>
      <c r="G69" s="32" t="n">
        <v>521.634223458</v>
      </c>
      <c r="H69" s="32" t="n">
        <v>234.357404742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443</v>
      </c>
      <c r="C70" s="36" t="n">
        <v>18647.7934956</v>
      </c>
      <c r="D70" s="36" t="n">
        <v>0</v>
      </c>
      <c r="E70" s="36" t="n">
        <v>0</v>
      </c>
      <c r="F70" s="36" t="n">
        <v>311.41815137652</v>
      </c>
      <c r="G70" s="36" t="n">
        <v>311.41815137652</v>
      </c>
      <c r="H70" s="36" t="n">
        <v>18330.7810061748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444</v>
      </c>
      <c r="C71" s="32" t="n">
        <v>13859.846517</v>
      </c>
      <c r="D71" s="32" t="n">
        <v>8315.9079102</v>
      </c>
      <c r="E71" s="32" t="n">
        <v>0</v>
      </c>
      <c r="F71" s="32" t="n">
        <v>9563.29409673</v>
      </c>
      <c r="G71" s="32" t="n">
        <v>9563.29409673</v>
      </c>
      <c r="H71" s="32" t="n">
        <v>4296.55242027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445</v>
      </c>
      <c r="C72" s="36" t="n">
        <v>22679.748846</v>
      </c>
      <c r="D72" s="36" t="n">
        <v>0</v>
      </c>
      <c r="E72" s="36" t="n">
        <v>0</v>
      </c>
      <c r="F72" s="36" t="n">
        <v>378.7518057282</v>
      </c>
      <c r="G72" s="36" t="n">
        <v>378.7518057282</v>
      </c>
      <c r="H72" s="36" t="n">
        <v>22294.193115618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252611.83674</v>
      </c>
      <c r="D73" s="39" t="n">
        <f aca="false">SUM(D61:D72)</f>
        <v>14935.444362</v>
      </c>
      <c r="E73" s="39" t="n">
        <f aca="false">SUM(E61:E72)</f>
        <v>0</v>
      </c>
      <c r="F73" s="39" t="n">
        <f aca="false">SUM(F61:F72)</f>
        <v>20978.675488449</v>
      </c>
      <c r="G73" s="39" t="n">
        <f aca="false">SUM(G61:G72)</f>
        <v>20978.675488449</v>
      </c>
      <c r="H73" s="39" t="n">
        <f aca="false">SUM(H61:H72)</f>
        <v>231564.84542271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47933.24967825</v>
      </c>
    </row>
    <row r="77" customFormat="false" ht="15" hidden="false" customHeight="false" outlineLevel="0" collapsed="false">
      <c r="B77" s="8" t="s">
        <v>138</v>
      </c>
      <c r="C77" s="41" t="n">
        <f aca="false">G73</f>
        <v>20978.675488449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-26954.574189801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446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447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16439.66</v>
      </c>
      <c r="D11" s="16" t="n">
        <v>16439.66</v>
      </c>
    </row>
    <row r="12" customFormat="false" ht="15" hidden="false" customHeight="false" outlineLevel="0" collapsed="false">
      <c r="B12" s="8" t="s">
        <v>142</v>
      </c>
      <c r="C12" s="16" t="n">
        <v>6845.68</v>
      </c>
      <c r="D12" s="16" t="n">
        <v>6845.68</v>
      </c>
    </row>
    <row r="13" customFormat="false" ht="15" hidden="false" customHeight="false" outlineLevel="0" collapsed="false">
      <c r="B13" s="8" t="s">
        <v>143</v>
      </c>
      <c r="C13" s="16" t="n">
        <v>20819.86</v>
      </c>
      <c r="D13" s="16" t="n">
        <v>20819.86</v>
      </c>
    </row>
    <row r="14" customFormat="false" ht="15" hidden="false" customHeight="false" outlineLevel="0" collapsed="false">
      <c r="B14" s="8" t="s">
        <v>144</v>
      </c>
      <c r="C14" s="16" t="n">
        <v>5879.25</v>
      </c>
      <c r="D14" s="16" t="n">
        <v>5879.25</v>
      </c>
    </row>
    <row r="15" customFormat="false" ht="15" hidden="false" customHeight="false" outlineLevel="0" collapsed="false">
      <c r="B15" s="8" t="s">
        <v>145</v>
      </c>
      <c r="C15" s="16" t="n">
        <v>227.56</v>
      </c>
      <c r="D15" s="16" t="n">
        <v>227.56</v>
      </c>
    </row>
    <row r="16" customFormat="false" ht="15" hidden="false" customHeight="false" outlineLevel="0" collapsed="false">
      <c r="B16" s="8" t="s">
        <v>146</v>
      </c>
      <c r="C16" s="16" t="n">
        <v>3579.68</v>
      </c>
      <c r="D16" s="16" t="n">
        <v>3579.68</v>
      </c>
    </row>
    <row r="17" customFormat="false" ht="15" hidden="false" customHeight="false" outlineLevel="0" collapsed="false">
      <c r="B17" s="8" t="s">
        <v>147</v>
      </c>
      <c r="C17" s="16" t="n">
        <v>6360.37</v>
      </c>
      <c r="D17" s="16" t="n">
        <v>6360.37</v>
      </c>
    </row>
    <row r="18" customFormat="false" ht="15" hidden="false" customHeight="false" outlineLevel="0" collapsed="false">
      <c r="B18" s="8" t="s">
        <v>148</v>
      </c>
      <c r="C18" s="16" t="n">
        <v>6547.81</v>
      </c>
      <c r="D18" s="16" t="n">
        <v>6547.81</v>
      </c>
    </row>
    <row r="19" customFormat="false" ht="15" hidden="false" customHeight="false" outlineLevel="0" collapsed="false">
      <c r="B19" s="8" t="s">
        <v>149</v>
      </c>
      <c r="C19" s="16" t="n">
        <v>2323.52</v>
      </c>
      <c r="D19" s="16" t="n">
        <v>2323.52</v>
      </c>
    </row>
    <row r="20" customFormat="false" ht="15" hidden="false" customHeight="false" outlineLevel="0" collapsed="false">
      <c r="B20" s="8" t="s">
        <v>77</v>
      </c>
      <c r="C20" s="16" t="n">
        <v>88.39</v>
      </c>
      <c r="D20" s="16" t="n">
        <v>88.39</v>
      </c>
    </row>
    <row r="21" customFormat="false" ht="15" hidden="false" customHeight="false" outlineLevel="0" collapsed="false">
      <c r="B21" s="8" t="s">
        <v>150</v>
      </c>
      <c r="C21" s="16" t="n">
        <v>2134.08</v>
      </c>
      <c r="D21" s="16" t="n">
        <v>2134.08</v>
      </c>
    </row>
    <row r="22" customFormat="false" ht="15" hidden="false" customHeight="false" outlineLevel="0" collapsed="false">
      <c r="B22" s="8" t="s">
        <v>151</v>
      </c>
      <c r="C22" s="16" t="n">
        <v>4350.36</v>
      </c>
      <c r="D22" s="16" t="n">
        <v>4350.36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26315.7</v>
      </c>
      <c r="G24" s="16" t="n">
        <v>26315.7</v>
      </c>
    </row>
    <row r="25" customFormat="false" ht="15" hidden="false" customHeight="false" outlineLevel="0" collapsed="false">
      <c r="B25" s="8" t="s">
        <v>154</v>
      </c>
      <c r="C25" s="16" t="n">
        <v>22556.31</v>
      </c>
      <c r="G25" s="16" t="n">
        <v>22556.31</v>
      </c>
    </row>
    <row r="26" customFormat="false" ht="15" hidden="false" customHeight="false" outlineLevel="0" collapsed="false">
      <c r="B26" s="8" t="s">
        <v>155</v>
      </c>
      <c r="C26" s="16" t="n">
        <v>26315.7</v>
      </c>
      <c r="G26" s="16" t="n">
        <v>26315.7</v>
      </c>
    </row>
    <row r="27" customFormat="false" ht="15" hidden="false" customHeight="false" outlineLevel="0" collapsed="false">
      <c r="B27" s="8" t="s">
        <v>156</v>
      </c>
      <c r="C27" s="16" t="n">
        <v>20676.62</v>
      </c>
      <c r="G27" s="16" t="n">
        <v>20676.62</v>
      </c>
    </row>
    <row r="28" customFormat="false" ht="15" hidden="false" customHeight="false" outlineLevel="0" collapsed="false">
      <c r="B28" s="8" t="s">
        <v>157</v>
      </c>
      <c r="C28" s="16" t="n">
        <v>3007.51</v>
      </c>
      <c r="G28" s="16" t="n">
        <v>3007.51</v>
      </c>
    </row>
    <row r="29" customFormat="false" ht="15" hidden="false" customHeight="false" outlineLevel="0" collapsed="false">
      <c r="B29" s="8" t="s">
        <v>158</v>
      </c>
      <c r="C29" s="16" t="n">
        <v>22556.31</v>
      </c>
      <c r="G29" s="16" t="n">
        <v>22556.31</v>
      </c>
    </row>
    <row r="30" customFormat="false" ht="15" hidden="false" customHeight="false" outlineLevel="0" collapsed="false">
      <c r="B30" s="8" t="s">
        <v>159</v>
      </c>
      <c r="C30" s="16" t="n">
        <v>18796.93</v>
      </c>
      <c r="G30" s="16" t="n">
        <v>18796.93</v>
      </c>
    </row>
    <row r="31" customFormat="false" ht="15" hidden="false" customHeight="false" outlineLevel="0" collapsed="false">
      <c r="B31" s="8" t="s">
        <v>160</v>
      </c>
      <c r="C31" s="16" t="n">
        <v>16917.23</v>
      </c>
      <c r="G31" s="16" t="n">
        <v>16917.23</v>
      </c>
    </row>
    <row r="32" customFormat="false" ht="15" hidden="false" customHeight="false" outlineLevel="0" collapsed="false">
      <c r="B32" s="8" t="s">
        <v>161</v>
      </c>
      <c r="C32" s="16" t="n">
        <v>15037.54</v>
      </c>
      <c r="G32" s="16" t="n">
        <v>15037.54</v>
      </c>
    </row>
    <row r="33" customFormat="false" ht="15" hidden="false" customHeight="false" outlineLevel="0" collapsed="false">
      <c r="B33" s="8" t="s">
        <v>162</v>
      </c>
      <c r="C33" s="16" t="n">
        <v>41353.24</v>
      </c>
      <c r="G33" s="16" t="n">
        <v>41353.24</v>
      </c>
    </row>
    <row r="34" customFormat="false" ht="15" hidden="false" customHeight="false" outlineLevel="0" collapsed="false">
      <c r="B34" s="8" t="s">
        <v>163</v>
      </c>
      <c r="C34" s="16" t="n">
        <v>16917.23</v>
      </c>
      <c r="G34" s="16" t="n">
        <v>16917.23</v>
      </c>
    </row>
    <row r="35" customFormat="false" ht="15" hidden="false" customHeight="false" outlineLevel="0" collapsed="false">
      <c r="B35" s="8" t="s">
        <v>164</v>
      </c>
      <c r="C35" s="16" t="n">
        <v>3007.51</v>
      </c>
      <c r="G35" s="16" t="n">
        <v>3007.51</v>
      </c>
    </row>
    <row r="36" customFormat="false" ht="15" hidden="false" customHeight="false" outlineLevel="0" collapsed="false">
      <c r="B36" s="8" t="s">
        <v>165</v>
      </c>
      <c r="C36" s="16" t="n">
        <v>101503.4</v>
      </c>
      <c r="G36" s="16" t="n">
        <v>101503.4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410557.45</v>
      </c>
      <c r="D37" s="26" t="n">
        <f aca="false">SUM(D10:D36)</f>
        <v>75596.22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334961.23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49979.81</v>
      </c>
      <c r="D40" s="16" t="n">
        <v>2032</v>
      </c>
      <c r="G40" s="16" t="n">
        <v>40601.36</v>
      </c>
    </row>
    <row r="41" customFormat="false" ht="15" hidden="false" customHeight="false" outlineLevel="0" collapsed="false">
      <c r="B41" s="8" t="s">
        <v>166</v>
      </c>
      <c r="C41" s="16" t="n">
        <v>6414.08</v>
      </c>
      <c r="D41" s="16" t="n">
        <v>265.72</v>
      </c>
      <c r="G41" s="16" t="n">
        <v>5210.51</v>
      </c>
    </row>
    <row r="42" customFormat="false" ht="15" hidden="false" customHeight="false" outlineLevel="0" collapsed="false">
      <c r="B42" s="8" t="s">
        <v>94</v>
      </c>
      <c r="C42" s="16" t="n">
        <v>12078.45</v>
      </c>
      <c r="D42" s="16" t="n">
        <v>515.81</v>
      </c>
      <c r="G42" s="16" t="n">
        <v>9812</v>
      </c>
    </row>
    <row r="43" customFormat="false" ht="15" hidden="false" customHeight="false" outlineLevel="0" collapsed="false">
      <c r="B43" s="8" t="s">
        <v>95</v>
      </c>
      <c r="C43" s="16" t="n">
        <v>227685.79</v>
      </c>
      <c r="D43" s="16" t="n">
        <v>9256.87</v>
      </c>
      <c r="G43" s="16" t="n">
        <v>184961.76</v>
      </c>
    </row>
    <row r="44" customFormat="false" ht="15" hidden="false" customHeight="false" outlineLevel="0" collapsed="false">
      <c r="B44" s="8" t="s">
        <v>167</v>
      </c>
      <c r="C44" s="16" t="n">
        <v>29219.68</v>
      </c>
      <c r="D44" s="16" t="n">
        <v>1210.51</v>
      </c>
      <c r="G44" s="16" t="n">
        <v>23736.76</v>
      </c>
    </row>
    <row r="45" customFormat="false" ht="15" hidden="false" customHeight="false" outlineLevel="0" collapsed="false">
      <c r="B45" s="8" t="s">
        <v>97</v>
      </c>
      <c r="C45" s="16" t="n">
        <v>55024.07</v>
      </c>
      <c r="D45" s="16" t="n">
        <v>2349.82</v>
      </c>
      <c r="G45" s="16" t="n">
        <v>44699.09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380401.88</v>
      </c>
      <c r="D46" s="26" t="n">
        <f aca="false">SUM(D40:D45)</f>
        <v>15630.73</v>
      </c>
      <c r="E46" s="24"/>
      <c r="F46" s="26" t="n">
        <f aca="false">SUM(F40:F45)</f>
        <v>0</v>
      </c>
      <c r="G46" s="26" t="n">
        <f aca="false">SUM(G40:G45)</f>
        <v>309021.48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448</v>
      </c>
      <c r="C51" s="32" t="n">
        <v>49979.808</v>
      </c>
      <c r="D51" s="32" t="n">
        <v>0</v>
      </c>
      <c r="E51" s="32" t="n">
        <v>0</v>
      </c>
      <c r="F51" s="32" t="n">
        <v>834.6627936</v>
      </c>
      <c r="G51" s="32" t="n">
        <v>834.6627936</v>
      </c>
      <c r="H51" s="32" t="n">
        <v>49130.151264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449</v>
      </c>
      <c r="C52" s="36" t="n">
        <v>6414.07536</v>
      </c>
      <c r="D52" s="36" t="n">
        <v>3848.445216</v>
      </c>
      <c r="E52" s="36" t="n">
        <v>0</v>
      </c>
      <c r="F52" s="36" t="n">
        <v>3944.6563464</v>
      </c>
      <c r="G52" s="36" t="n">
        <v>3944.6563464</v>
      </c>
      <c r="H52" s="36" t="n">
        <v>2469.4190136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450</v>
      </c>
      <c r="C53" s="32" t="n">
        <v>12078.4536</v>
      </c>
      <c r="D53" s="32" t="n">
        <v>7247.07216</v>
      </c>
      <c r="E53" s="32" t="n">
        <v>0</v>
      </c>
      <c r="F53" s="32" t="n">
        <v>8213.348448</v>
      </c>
      <c r="G53" s="32" t="n">
        <v>8213.348448</v>
      </c>
      <c r="H53" s="32" t="n">
        <v>3865.105152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451</v>
      </c>
      <c r="C54" s="36" t="n">
        <v>227685.792</v>
      </c>
      <c r="D54" s="36" t="n">
        <v>0</v>
      </c>
      <c r="E54" s="36" t="n">
        <v>0</v>
      </c>
      <c r="F54" s="36" t="n">
        <v>3802.3527264</v>
      </c>
      <c r="G54" s="36" t="n">
        <v>3802.3527264</v>
      </c>
      <c r="H54" s="36" t="n">
        <v>223815.133536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452</v>
      </c>
      <c r="C55" s="32" t="n">
        <v>29219.67664</v>
      </c>
      <c r="D55" s="32" t="n">
        <v>17531.805984</v>
      </c>
      <c r="E55" s="32" t="n">
        <v>0</v>
      </c>
      <c r="F55" s="32" t="n">
        <v>17970.1011336</v>
      </c>
      <c r="G55" s="32" t="n">
        <v>17970.1011336</v>
      </c>
      <c r="H55" s="32" t="n">
        <v>11249.5755064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453</v>
      </c>
      <c r="C56" s="36" t="n">
        <v>55024.0664</v>
      </c>
      <c r="D56" s="36" t="n">
        <v>33014.43984</v>
      </c>
      <c r="E56" s="36" t="n">
        <v>0</v>
      </c>
      <c r="F56" s="36" t="n">
        <v>37416.365152</v>
      </c>
      <c r="G56" s="36" t="n">
        <v>37416.365152</v>
      </c>
      <c r="H56" s="36" t="n">
        <v>17607.701248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380401.872</v>
      </c>
      <c r="D57" s="39" t="n">
        <f aca="false">SUM(D51:D56)</f>
        <v>61641.7632</v>
      </c>
      <c r="E57" s="39" t="n">
        <f aca="false">SUM(E51:E56)</f>
        <v>0</v>
      </c>
      <c r="F57" s="39" t="n">
        <f aca="false">SUM(F51:F56)</f>
        <v>72181.4866</v>
      </c>
      <c r="G57" s="39" t="n">
        <f aca="false">SUM(G51:G56)</f>
        <v>72181.4866</v>
      </c>
      <c r="H57" s="39" t="n">
        <f aca="false">SUM(H51:H56)</f>
        <v>308137.08572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454</v>
      </c>
      <c r="C61" s="32" t="n">
        <v>1915.89264</v>
      </c>
      <c r="D61" s="32" t="n">
        <v>1149.535584</v>
      </c>
      <c r="E61" s="32" t="n">
        <v>0</v>
      </c>
      <c r="F61" s="32" t="n">
        <v>1321.9659216</v>
      </c>
      <c r="G61" s="32" t="n">
        <v>1321.9659216</v>
      </c>
      <c r="H61" s="32" t="n">
        <v>593.9267184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455</v>
      </c>
      <c r="C62" s="36" t="n">
        <v>48063.91536</v>
      </c>
      <c r="D62" s="36" t="n">
        <v>0</v>
      </c>
      <c r="E62" s="36" t="n">
        <v>0</v>
      </c>
      <c r="F62" s="36" t="n">
        <v>802.667386512</v>
      </c>
      <c r="G62" s="36" t="n">
        <v>802.667386512</v>
      </c>
      <c r="H62" s="36" t="n">
        <v>47246.82879888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456</v>
      </c>
      <c r="C63" s="32" t="n">
        <v>249.89904</v>
      </c>
      <c r="D63" s="32" t="n">
        <v>149.939424</v>
      </c>
      <c r="E63" s="32" t="n">
        <v>0</v>
      </c>
      <c r="F63" s="32" t="n">
        <v>172.4303376</v>
      </c>
      <c r="G63" s="32" t="n">
        <v>172.4303376</v>
      </c>
      <c r="H63" s="32" t="n">
        <v>77.4687024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457</v>
      </c>
      <c r="C64" s="36" t="n">
        <v>6164.17632</v>
      </c>
      <c r="D64" s="36" t="n">
        <v>0</v>
      </c>
      <c r="E64" s="36" t="n">
        <v>0</v>
      </c>
      <c r="F64" s="36" t="n">
        <v>102.941744544</v>
      </c>
      <c r="G64" s="36" t="n">
        <v>102.941744544</v>
      </c>
      <c r="H64" s="36" t="n">
        <v>6059.38532256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458</v>
      </c>
      <c r="C65" s="32" t="n">
        <v>4581.4824</v>
      </c>
      <c r="D65" s="32" t="n">
        <v>2748.88944</v>
      </c>
      <c r="E65" s="32" t="n">
        <v>0</v>
      </c>
      <c r="F65" s="32" t="n">
        <v>3161.222856</v>
      </c>
      <c r="G65" s="32" t="n">
        <v>3161.222856</v>
      </c>
      <c r="H65" s="32" t="n">
        <v>1420.259544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459</v>
      </c>
      <c r="C66" s="36" t="n">
        <v>7496.9712</v>
      </c>
      <c r="D66" s="36" t="n">
        <v>0</v>
      </c>
      <c r="E66" s="36" t="n">
        <v>0</v>
      </c>
      <c r="F66" s="36" t="n">
        <v>125.19941904</v>
      </c>
      <c r="G66" s="36" t="n">
        <v>125.19941904</v>
      </c>
      <c r="H66" s="36" t="n">
        <v>7369.5226896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460</v>
      </c>
      <c r="C67" s="32" t="n">
        <v>8727.95536</v>
      </c>
      <c r="D67" s="32" t="n">
        <v>5236.773216</v>
      </c>
      <c r="E67" s="32" t="n">
        <v>0</v>
      </c>
      <c r="F67" s="32" t="n">
        <v>6022.2891984</v>
      </c>
      <c r="G67" s="32" t="n">
        <v>6022.2891984</v>
      </c>
      <c r="H67" s="32" t="n">
        <v>2705.6661616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461</v>
      </c>
      <c r="C68" s="36" t="n">
        <v>218957.83664</v>
      </c>
      <c r="D68" s="36" t="n">
        <v>0</v>
      </c>
      <c r="E68" s="36" t="n">
        <v>0</v>
      </c>
      <c r="F68" s="36" t="n">
        <v>3656.595871888</v>
      </c>
      <c r="G68" s="36" t="n">
        <v>3656.595871888</v>
      </c>
      <c r="H68" s="36" t="n">
        <v>215235.55341712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462</v>
      </c>
      <c r="C69" s="32" t="n">
        <v>1138.42896</v>
      </c>
      <c r="D69" s="32" t="n">
        <v>683.057376</v>
      </c>
      <c r="E69" s="32" t="n">
        <v>0</v>
      </c>
      <c r="F69" s="32" t="n">
        <v>785.5159824</v>
      </c>
      <c r="G69" s="32" t="n">
        <v>785.5159824</v>
      </c>
      <c r="H69" s="32" t="n">
        <v>352.9129776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463</v>
      </c>
      <c r="C70" s="36" t="n">
        <v>28081.24768</v>
      </c>
      <c r="D70" s="36" t="n">
        <v>0</v>
      </c>
      <c r="E70" s="36" t="n">
        <v>0</v>
      </c>
      <c r="F70" s="36" t="n">
        <v>468.956836256</v>
      </c>
      <c r="G70" s="36" t="n">
        <v>468.956836256</v>
      </c>
      <c r="H70" s="36" t="n">
        <v>27603.86646944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464</v>
      </c>
      <c r="C71" s="32" t="n">
        <v>20871.1976</v>
      </c>
      <c r="D71" s="32" t="n">
        <v>12522.71856</v>
      </c>
      <c r="E71" s="32" t="n">
        <v>0</v>
      </c>
      <c r="F71" s="32" t="n">
        <v>14401.126344</v>
      </c>
      <c r="G71" s="32" t="n">
        <v>14401.126344</v>
      </c>
      <c r="H71" s="32" t="n">
        <v>6470.071256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465</v>
      </c>
      <c r="C72" s="36" t="n">
        <v>34152.8688</v>
      </c>
      <c r="D72" s="36" t="n">
        <v>0</v>
      </c>
      <c r="E72" s="36" t="n">
        <v>0</v>
      </c>
      <c r="F72" s="36" t="n">
        <v>570.35290896</v>
      </c>
      <c r="G72" s="36" t="n">
        <v>570.35290896</v>
      </c>
      <c r="H72" s="36" t="n">
        <v>33572.2700304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380401.872</v>
      </c>
      <c r="D73" s="39" t="n">
        <f aca="false">SUM(D61:D72)</f>
        <v>22490.9136</v>
      </c>
      <c r="E73" s="39" t="n">
        <f aca="false">SUM(E61:E72)</f>
        <v>0</v>
      </c>
      <c r="F73" s="39" t="n">
        <f aca="false">SUM(F61:F72)</f>
        <v>31591.2648072</v>
      </c>
      <c r="G73" s="39" t="n">
        <f aca="false">SUM(G61:G72)</f>
        <v>31591.2648072</v>
      </c>
      <c r="H73" s="39" t="n">
        <f aca="false">SUM(H61:H72)</f>
        <v>348707.732088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72181.4866</v>
      </c>
    </row>
    <row r="77" customFormat="false" ht="15" hidden="false" customHeight="false" outlineLevel="0" collapsed="false">
      <c r="B77" s="8" t="s">
        <v>138</v>
      </c>
      <c r="C77" s="41" t="n">
        <f aca="false">G73</f>
        <v>31591.2648072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-40590.2217928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466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467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7450.23</v>
      </c>
      <c r="D11" s="16" t="n">
        <v>7450.23</v>
      </c>
    </row>
    <row r="12" customFormat="false" ht="15" hidden="false" customHeight="false" outlineLevel="0" collapsed="false">
      <c r="B12" s="8" t="s">
        <v>142</v>
      </c>
      <c r="C12" s="16" t="n">
        <v>3102.37</v>
      </c>
      <c r="D12" s="16" t="n">
        <v>3102.37</v>
      </c>
    </row>
    <row r="13" customFormat="false" ht="15" hidden="false" customHeight="false" outlineLevel="0" collapsed="false">
      <c r="B13" s="8" t="s">
        <v>143</v>
      </c>
      <c r="C13" s="16" t="n">
        <v>9435.28</v>
      </c>
      <c r="D13" s="16" t="n">
        <v>9435.28</v>
      </c>
    </row>
    <row r="14" customFormat="false" ht="15" hidden="false" customHeight="false" outlineLevel="0" collapsed="false">
      <c r="B14" s="8" t="s">
        <v>144</v>
      </c>
      <c r="C14" s="16" t="n">
        <v>2664.39</v>
      </c>
      <c r="D14" s="16" t="n">
        <v>2664.39</v>
      </c>
    </row>
    <row r="15" customFormat="false" ht="15" hidden="false" customHeight="false" outlineLevel="0" collapsed="false">
      <c r="B15" s="8" t="s">
        <v>145</v>
      </c>
      <c r="C15" s="16" t="n">
        <v>103.13</v>
      </c>
      <c r="D15" s="16" t="n">
        <v>103.13</v>
      </c>
    </row>
    <row r="16" customFormat="false" ht="15" hidden="false" customHeight="false" outlineLevel="0" collapsed="false">
      <c r="B16" s="8" t="s">
        <v>146</v>
      </c>
      <c r="C16" s="16" t="n">
        <v>1622.26</v>
      </c>
      <c r="D16" s="16" t="n">
        <v>1622.26</v>
      </c>
    </row>
    <row r="17" customFormat="false" ht="15" hidden="false" customHeight="false" outlineLevel="0" collapsed="false">
      <c r="B17" s="8" t="s">
        <v>147</v>
      </c>
      <c r="C17" s="16" t="n">
        <v>2882.43</v>
      </c>
      <c r="D17" s="16" t="n">
        <v>2882.43</v>
      </c>
    </row>
    <row r="18" customFormat="false" ht="15" hidden="false" customHeight="false" outlineLevel="0" collapsed="false">
      <c r="B18" s="8" t="s">
        <v>148</v>
      </c>
      <c r="C18" s="16" t="n">
        <v>2967.38</v>
      </c>
      <c r="D18" s="16" t="n">
        <v>2967.38</v>
      </c>
    </row>
    <row r="19" customFormat="false" ht="15" hidden="false" customHeight="false" outlineLevel="0" collapsed="false">
      <c r="B19" s="8" t="s">
        <v>149</v>
      </c>
      <c r="C19" s="16" t="n">
        <v>1052.99</v>
      </c>
      <c r="D19" s="16" t="n">
        <v>1052.99</v>
      </c>
    </row>
    <row r="20" customFormat="false" ht="15" hidden="false" customHeight="false" outlineLevel="0" collapsed="false">
      <c r="B20" s="8" t="s">
        <v>77</v>
      </c>
      <c r="C20" s="16" t="n">
        <v>40.06</v>
      </c>
      <c r="D20" s="16" t="n">
        <v>40.06</v>
      </c>
    </row>
    <row r="21" customFormat="false" ht="15" hidden="false" customHeight="false" outlineLevel="0" collapsed="false">
      <c r="B21" s="8" t="s">
        <v>150</v>
      </c>
      <c r="C21" s="16" t="n">
        <v>967.13</v>
      </c>
      <c r="D21" s="16" t="n">
        <v>967.13</v>
      </c>
    </row>
    <row r="22" customFormat="false" ht="15" hidden="false" customHeight="false" outlineLevel="0" collapsed="false">
      <c r="B22" s="8" t="s">
        <v>151</v>
      </c>
      <c r="C22" s="16" t="n">
        <v>1971.52</v>
      </c>
      <c r="D22" s="16" t="n">
        <v>1971.52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11990.11</v>
      </c>
      <c r="G24" s="16" t="n">
        <v>11990.11</v>
      </c>
    </row>
    <row r="25" customFormat="false" ht="15" hidden="false" customHeight="false" outlineLevel="0" collapsed="false">
      <c r="B25" s="8" t="s">
        <v>154</v>
      </c>
      <c r="C25" s="16" t="n">
        <v>10277.23</v>
      </c>
      <c r="G25" s="16" t="n">
        <v>10277.23</v>
      </c>
    </row>
    <row r="26" customFormat="false" ht="15" hidden="false" customHeight="false" outlineLevel="0" collapsed="false">
      <c r="B26" s="8" t="s">
        <v>155</v>
      </c>
      <c r="C26" s="16" t="n">
        <v>11990.11</v>
      </c>
      <c r="G26" s="16" t="n">
        <v>11990.11</v>
      </c>
    </row>
    <row r="27" customFormat="false" ht="15" hidden="false" customHeight="false" outlineLevel="0" collapsed="false">
      <c r="B27" s="8" t="s">
        <v>156</v>
      </c>
      <c r="C27" s="16" t="n">
        <v>9420.8</v>
      </c>
      <c r="G27" s="16" t="n">
        <v>9420.8</v>
      </c>
    </row>
    <row r="28" customFormat="false" ht="15" hidden="false" customHeight="false" outlineLevel="0" collapsed="false">
      <c r="B28" s="8" t="s">
        <v>157</v>
      </c>
      <c r="C28" s="16" t="n">
        <v>1370.3</v>
      </c>
      <c r="G28" s="16" t="n">
        <v>1370.3</v>
      </c>
    </row>
    <row r="29" customFormat="false" ht="15" hidden="false" customHeight="false" outlineLevel="0" collapsed="false">
      <c r="B29" s="8" t="s">
        <v>158</v>
      </c>
      <c r="C29" s="16" t="n">
        <v>10277.23</v>
      </c>
      <c r="G29" s="16" t="n">
        <v>10277.23</v>
      </c>
    </row>
    <row r="30" customFormat="false" ht="15" hidden="false" customHeight="false" outlineLevel="0" collapsed="false">
      <c r="B30" s="8" t="s">
        <v>159</v>
      </c>
      <c r="C30" s="16" t="n">
        <v>8564.36</v>
      </c>
      <c r="G30" s="16" t="n">
        <v>8564.36</v>
      </c>
    </row>
    <row r="31" customFormat="false" ht="15" hidden="false" customHeight="false" outlineLevel="0" collapsed="false">
      <c r="B31" s="8" t="s">
        <v>160</v>
      </c>
      <c r="C31" s="16" t="n">
        <v>7707.93</v>
      </c>
      <c r="G31" s="16" t="n">
        <v>7707.93</v>
      </c>
    </row>
    <row r="32" customFormat="false" ht="15" hidden="false" customHeight="false" outlineLevel="0" collapsed="false">
      <c r="B32" s="8" t="s">
        <v>161</v>
      </c>
      <c r="C32" s="16" t="n">
        <v>6851.49</v>
      </c>
      <c r="G32" s="16" t="n">
        <v>6851.49</v>
      </c>
    </row>
    <row r="33" customFormat="false" ht="15" hidden="false" customHeight="false" outlineLevel="0" collapsed="false">
      <c r="B33" s="8" t="s">
        <v>162</v>
      </c>
      <c r="C33" s="16" t="n">
        <v>18841.6</v>
      </c>
      <c r="G33" s="16" t="n">
        <v>18841.6</v>
      </c>
    </row>
    <row r="34" customFormat="false" ht="15" hidden="false" customHeight="false" outlineLevel="0" collapsed="false">
      <c r="B34" s="8" t="s">
        <v>163</v>
      </c>
      <c r="C34" s="16" t="n">
        <v>7707.93</v>
      </c>
      <c r="G34" s="16" t="n">
        <v>7707.93</v>
      </c>
    </row>
    <row r="35" customFormat="false" ht="15" hidden="false" customHeight="false" outlineLevel="0" collapsed="false">
      <c r="B35" s="8" t="s">
        <v>164</v>
      </c>
      <c r="C35" s="16" t="n">
        <v>1370.3</v>
      </c>
      <c r="G35" s="16" t="n">
        <v>1370.3</v>
      </c>
    </row>
    <row r="36" customFormat="false" ht="15" hidden="false" customHeight="false" outlineLevel="0" collapsed="false">
      <c r="B36" s="8" t="s">
        <v>165</v>
      </c>
      <c r="C36" s="16" t="n">
        <v>46247.55</v>
      </c>
      <c r="G36" s="16" t="n">
        <v>46247.55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186876.11</v>
      </c>
      <c r="D37" s="26" t="n">
        <f aca="false">SUM(D10:D36)</f>
        <v>34259.17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152616.94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22650.17</v>
      </c>
      <c r="D40" s="16" t="n">
        <v>899.42</v>
      </c>
      <c r="G40" s="16" t="n">
        <v>18499.02</v>
      </c>
    </row>
    <row r="41" customFormat="false" ht="15" hidden="false" customHeight="false" outlineLevel="0" collapsed="false">
      <c r="B41" s="8" t="s">
        <v>166</v>
      </c>
      <c r="C41" s="16" t="n">
        <v>2906.77</v>
      </c>
      <c r="D41" s="16" t="n">
        <v>117.62</v>
      </c>
      <c r="G41" s="16" t="n">
        <v>2374.04</v>
      </c>
    </row>
    <row r="42" customFormat="false" ht="15" hidden="false" customHeight="false" outlineLevel="0" collapsed="false">
      <c r="B42" s="8" t="s">
        <v>94</v>
      </c>
      <c r="C42" s="16" t="n">
        <v>5473.79</v>
      </c>
      <c r="D42" s="16" t="n">
        <v>228.31</v>
      </c>
      <c r="G42" s="16" t="n">
        <v>4470.6</v>
      </c>
    </row>
    <row r="43" customFormat="false" ht="15" hidden="false" customHeight="false" outlineLevel="0" collapsed="false">
      <c r="B43" s="8" t="s">
        <v>95</v>
      </c>
      <c r="C43" s="16" t="n">
        <v>103184.1</v>
      </c>
      <c r="D43" s="16" t="n">
        <v>4097.34</v>
      </c>
      <c r="G43" s="16" t="n">
        <v>84273.32</v>
      </c>
    </row>
    <row r="44" customFormat="false" ht="15" hidden="false" customHeight="false" outlineLevel="0" collapsed="false">
      <c r="B44" s="8" t="s">
        <v>167</v>
      </c>
      <c r="C44" s="16" t="n">
        <v>13241.96</v>
      </c>
      <c r="D44" s="16" t="n">
        <v>535.81</v>
      </c>
      <c r="G44" s="16" t="n">
        <v>10815.08</v>
      </c>
    </row>
    <row r="45" customFormat="false" ht="15" hidden="false" customHeight="false" outlineLevel="0" collapsed="false">
      <c r="B45" s="8" t="s">
        <v>97</v>
      </c>
      <c r="C45" s="16" t="n">
        <v>24936.16</v>
      </c>
      <c r="D45" s="16" t="n">
        <v>1040.09</v>
      </c>
      <c r="G45" s="16" t="n">
        <v>20366.05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172392.95</v>
      </c>
      <c r="D46" s="26" t="n">
        <f aca="false">SUM(D40:D45)</f>
        <v>6918.59</v>
      </c>
      <c r="E46" s="24"/>
      <c r="F46" s="26" t="n">
        <f aca="false">SUM(F40:F45)</f>
        <v>0</v>
      </c>
      <c r="G46" s="26" t="n">
        <f aca="false">SUM(G40:G45)</f>
        <v>140798.11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468</v>
      </c>
      <c r="C51" s="32" t="n">
        <v>22650.16824</v>
      </c>
      <c r="D51" s="32" t="n">
        <v>0</v>
      </c>
      <c r="E51" s="32" t="n">
        <v>0</v>
      </c>
      <c r="F51" s="32" t="n">
        <v>378.257809608</v>
      </c>
      <c r="G51" s="32" t="n">
        <v>378.257809608</v>
      </c>
      <c r="H51" s="32" t="n">
        <v>22265.11537992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469</v>
      </c>
      <c r="C52" s="36" t="n">
        <v>2906.7715908</v>
      </c>
      <c r="D52" s="36" t="n">
        <v>1744.06295448</v>
      </c>
      <c r="E52" s="36" t="n">
        <v>0</v>
      </c>
      <c r="F52" s="36" t="n">
        <v>1787.664528342</v>
      </c>
      <c r="G52" s="36" t="n">
        <v>1787.664528342</v>
      </c>
      <c r="H52" s="36" t="n">
        <v>1119.107062458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470</v>
      </c>
      <c r="C53" s="32" t="n">
        <v>5473.790658</v>
      </c>
      <c r="D53" s="32" t="n">
        <v>3284.2743948</v>
      </c>
      <c r="E53" s="32" t="n">
        <v>0</v>
      </c>
      <c r="F53" s="32" t="n">
        <v>3722.17764744</v>
      </c>
      <c r="G53" s="32" t="n">
        <v>3722.17764744</v>
      </c>
      <c r="H53" s="32" t="n">
        <v>1751.61301056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471</v>
      </c>
      <c r="C54" s="36" t="n">
        <v>103184.09976</v>
      </c>
      <c r="D54" s="36" t="n">
        <v>0</v>
      </c>
      <c r="E54" s="36" t="n">
        <v>0</v>
      </c>
      <c r="F54" s="36" t="n">
        <v>1723.174465992</v>
      </c>
      <c r="G54" s="36" t="n">
        <v>1723.174465992</v>
      </c>
      <c r="H54" s="36" t="n">
        <v>101429.97006408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472</v>
      </c>
      <c r="C55" s="32" t="n">
        <v>13241.9594692</v>
      </c>
      <c r="D55" s="32" t="n">
        <v>7945.17568152</v>
      </c>
      <c r="E55" s="32" t="n">
        <v>0</v>
      </c>
      <c r="F55" s="32" t="n">
        <v>8143.805073558</v>
      </c>
      <c r="G55" s="32" t="n">
        <v>8143.805073558</v>
      </c>
      <c r="H55" s="32" t="n">
        <v>5098.154395642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473</v>
      </c>
      <c r="C56" s="36" t="n">
        <v>24936.157442</v>
      </c>
      <c r="D56" s="36" t="n">
        <v>14961.6944652</v>
      </c>
      <c r="E56" s="36" t="n">
        <v>0</v>
      </c>
      <c r="F56" s="36" t="n">
        <v>16956.58706056</v>
      </c>
      <c r="G56" s="36" t="n">
        <v>16956.58706056</v>
      </c>
      <c r="H56" s="36" t="n">
        <v>7979.57038144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172392.94716</v>
      </c>
      <c r="D57" s="39" t="n">
        <f aca="false">SUM(D51:D56)</f>
        <v>27935.207496</v>
      </c>
      <c r="E57" s="39" t="n">
        <f aca="false">SUM(E51:E56)</f>
        <v>0</v>
      </c>
      <c r="F57" s="39" t="n">
        <f aca="false">SUM(F51:F56)</f>
        <v>32711.6665855</v>
      </c>
      <c r="G57" s="39" t="n">
        <f aca="false">SUM(G51:G56)</f>
        <v>32711.6665855</v>
      </c>
      <c r="H57" s="39" t="n">
        <f aca="false">SUM(H51:H56)</f>
        <v>139643.5302941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474</v>
      </c>
      <c r="C61" s="32" t="n">
        <v>868.2564492</v>
      </c>
      <c r="D61" s="32" t="n">
        <v>520.95386952</v>
      </c>
      <c r="E61" s="32" t="n">
        <v>0</v>
      </c>
      <c r="F61" s="32" t="n">
        <v>599.096949948</v>
      </c>
      <c r="G61" s="32" t="n">
        <v>599.096949948</v>
      </c>
      <c r="H61" s="32" t="n">
        <v>269.159499252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475</v>
      </c>
      <c r="C62" s="36" t="n">
        <v>21781.9117908</v>
      </c>
      <c r="D62" s="36" t="n">
        <v>0</v>
      </c>
      <c r="E62" s="36" t="n">
        <v>0</v>
      </c>
      <c r="F62" s="36" t="n">
        <v>363.75792690636</v>
      </c>
      <c r="G62" s="36" t="n">
        <v>363.75792690636</v>
      </c>
      <c r="H62" s="36" t="n">
        <v>21411.6192903564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476</v>
      </c>
      <c r="C63" s="32" t="n">
        <v>113.2508412</v>
      </c>
      <c r="D63" s="32" t="n">
        <v>67.95050472</v>
      </c>
      <c r="E63" s="32" t="n">
        <v>0</v>
      </c>
      <c r="F63" s="32" t="n">
        <v>78.143080428</v>
      </c>
      <c r="G63" s="32" t="n">
        <v>78.143080428</v>
      </c>
      <c r="H63" s="32" t="n">
        <v>35.107760772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477</v>
      </c>
      <c r="C64" s="36" t="n">
        <v>2793.5207496</v>
      </c>
      <c r="D64" s="36" t="n">
        <v>0</v>
      </c>
      <c r="E64" s="36" t="n">
        <v>0</v>
      </c>
      <c r="F64" s="36" t="n">
        <v>46.65179651832</v>
      </c>
      <c r="G64" s="36" t="n">
        <v>46.65179651832</v>
      </c>
      <c r="H64" s="36" t="n">
        <v>2746.0308968568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478</v>
      </c>
      <c r="C65" s="32" t="n">
        <v>2076.265422</v>
      </c>
      <c r="D65" s="32" t="n">
        <v>1245.7592532</v>
      </c>
      <c r="E65" s="32" t="n">
        <v>0</v>
      </c>
      <c r="F65" s="32" t="n">
        <v>1432.62314118</v>
      </c>
      <c r="G65" s="32" t="n">
        <v>1432.62314118</v>
      </c>
      <c r="H65" s="32" t="n">
        <v>643.64228082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479</v>
      </c>
      <c r="C66" s="36" t="n">
        <v>3397.525236</v>
      </c>
      <c r="D66" s="36" t="n">
        <v>0</v>
      </c>
      <c r="E66" s="36" t="n">
        <v>0</v>
      </c>
      <c r="F66" s="36" t="n">
        <v>56.7386714412</v>
      </c>
      <c r="G66" s="36" t="n">
        <v>56.7386714412</v>
      </c>
      <c r="H66" s="36" t="n">
        <v>3339.767306988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480</v>
      </c>
      <c r="C67" s="32" t="n">
        <v>3955.3904908</v>
      </c>
      <c r="D67" s="32" t="n">
        <v>2373.23429448</v>
      </c>
      <c r="E67" s="32" t="n">
        <v>0</v>
      </c>
      <c r="F67" s="32" t="n">
        <v>2729.219438652</v>
      </c>
      <c r="G67" s="32" t="n">
        <v>2729.219438652</v>
      </c>
      <c r="H67" s="32" t="n">
        <v>1226.171052148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481</v>
      </c>
      <c r="C68" s="36" t="n">
        <v>99228.7092692</v>
      </c>
      <c r="D68" s="36" t="n">
        <v>0</v>
      </c>
      <c r="E68" s="36" t="n">
        <v>0</v>
      </c>
      <c r="F68" s="36" t="n">
        <v>1657.11944479564</v>
      </c>
      <c r="G68" s="36" t="n">
        <v>1657.11944479564</v>
      </c>
      <c r="H68" s="36" t="n">
        <v>97541.8212116236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482</v>
      </c>
      <c r="C69" s="32" t="n">
        <v>515.9204988</v>
      </c>
      <c r="D69" s="32" t="n">
        <v>309.55229928</v>
      </c>
      <c r="E69" s="32" t="n">
        <v>0</v>
      </c>
      <c r="F69" s="32" t="n">
        <v>355.985144172</v>
      </c>
      <c r="G69" s="32" t="n">
        <v>355.985144172</v>
      </c>
      <c r="H69" s="32" t="n">
        <v>159.935354628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483</v>
      </c>
      <c r="C70" s="36" t="n">
        <v>12726.0389704</v>
      </c>
      <c r="D70" s="36" t="n">
        <v>0</v>
      </c>
      <c r="E70" s="36" t="n">
        <v>0</v>
      </c>
      <c r="F70" s="36" t="n">
        <v>212.52485080568</v>
      </c>
      <c r="G70" s="36" t="n">
        <v>212.52485080568</v>
      </c>
      <c r="H70" s="36" t="n">
        <v>12509.6963079032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484</v>
      </c>
      <c r="C71" s="32" t="n">
        <v>9458.542478</v>
      </c>
      <c r="D71" s="32" t="n">
        <v>5675.1254868</v>
      </c>
      <c r="E71" s="32" t="n">
        <v>0</v>
      </c>
      <c r="F71" s="32" t="n">
        <v>6526.39430982</v>
      </c>
      <c r="G71" s="32" t="n">
        <v>6526.39430982</v>
      </c>
      <c r="H71" s="32" t="n">
        <v>2932.14816818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485</v>
      </c>
      <c r="C72" s="36" t="n">
        <v>15477.614964</v>
      </c>
      <c r="D72" s="36" t="n">
        <v>0</v>
      </c>
      <c r="E72" s="36" t="n">
        <v>0</v>
      </c>
      <c r="F72" s="36" t="n">
        <v>258.4761698988</v>
      </c>
      <c r="G72" s="36" t="n">
        <v>258.4761698988</v>
      </c>
      <c r="H72" s="36" t="n">
        <v>15214.495509612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172392.94716</v>
      </c>
      <c r="D73" s="39" t="n">
        <f aca="false">SUM(D61:D72)</f>
        <v>10192.575708</v>
      </c>
      <c r="E73" s="39" t="n">
        <f aca="false">SUM(E61:E72)</f>
        <v>0</v>
      </c>
      <c r="F73" s="39" t="n">
        <f aca="false">SUM(F61:F72)</f>
        <v>14316.730924566</v>
      </c>
      <c r="G73" s="39" t="n">
        <f aca="false">SUM(G61:G72)</f>
        <v>14316.730924566</v>
      </c>
      <c r="H73" s="39" t="n">
        <f aca="false">SUM(H61:H72)</f>
        <v>158029.59463914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32711.6665855</v>
      </c>
    </row>
    <row r="77" customFormat="false" ht="15" hidden="false" customHeight="false" outlineLevel="0" collapsed="false">
      <c r="B77" s="8" t="s">
        <v>138</v>
      </c>
      <c r="C77" s="41" t="n">
        <f aca="false">G73</f>
        <v>14316.730924566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-18394.935660934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486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487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5629.38</v>
      </c>
      <c r="D11" s="16" t="n">
        <v>5629.38</v>
      </c>
    </row>
    <row r="12" customFormat="false" ht="15" hidden="false" customHeight="false" outlineLevel="0" collapsed="false">
      <c r="B12" s="8" t="s">
        <v>142</v>
      </c>
      <c r="C12" s="16" t="n">
        <v>2344.15</v>
      </c>
      <c r="D12" s="16" t="n">
        <v>2344.15</v>
      </c>
    </row>
    <row r="13" customFormat="false" ht="15" hidden="false" customHeight="false" outlineLevel="0" collapsed="false">
      <c r="B13" s="8" t="s">
        <v>143</v>
      </c>
      <c r="C13" s="16" t="n">
        <v>7129.28</v>
      </c>
      <c r="D13" s="16" t="n">
        <v>7129.28</v>
      </c>
    </row>
    <row r="14" customFormat="false" ht="15" hidden="false" customHeight="false" outlineLevel="0" collapsed="false">
      <c r="B14" s="8" t="s">
        <v>144</v>
      </c>
      <c r="C14" s="16" t="n">
        <v>2013.21</v>
      </c>
      <c r="D14" s="16" t="n">
        <v>2013.21</v>
      </c>
    </row>
    <row r="15" customFormat="false" ht="15" hidden="false" customHeight="false" outlineLevel="0" collapsed="false">
      <c r="B15" s="8" t="s">
        <v>145</v>
      </c>
      <c r="C15" s="16" t="n">
        <v>77.92</v>
      </c>
      <c r="D15" s="16" t="n">
        <v>77.92</v>
      </c>
    </row>
    <row r="16" customFormat="false" ht="15" hidden="false" customHeight="false" outlineLevel="0" collapsed="false">
      <c r="B16" s="8" t="s">
        <v>146</v>
      </c>
      <c r="C16" s="16" t="n">
        <v>1225.78</v>
      </c>
      <c r="D16" s="16" t="n">
        <v>1225.78</v>
      </c>
    </row>
    <row r="17" customFormat="false" ht="15" hidden="false" customHeight="false" outlineLevel="0" collapsed="false">
      <c r="B17" s="8" t="s">
        <v>147</v>
      </c>
      <c r="C17" s="16" t="n">
        <v>2177.96</v>
      </c>
      <c r="D17" s="16" t="n">
        <v>2177.96</v>
      </c>
    </row>
    <row r="18" customFormat="false" ht="15" hidden="false" customHeight="false" outlineLevel="0" collapsed="false">
      <c r="B18" s="8" t="s">
        <v>148</v>
      </c>
      <c r="C18" s="16" t="n">
        <v>2242.15</v>
      </c>
      <c r="D18" s="16" t="n">
        <v>2242.15</v>
      </c>
    </row>
    <row r="19" customFormat="false" ht="15" hidden="false" customHeight="false" outlineLevel="0" collapsed="false">
      <c r="B19" s="8" t="s">
        <v>149</v>
      </c>
      <c r="C19" s="16" t="n">
        <v>795.64</v>
      </c>
      <c r="D19" s="16" t="n">
        <v>795.64</v>
      </c>
    </row>
    <row r="20" customFormat="false" ht="15" hidden="false" customHeight="false" outlineLevel="0" collapsed="false">
      <c r="B20" s="8" t="s">
        <v>77</v>
      </c>
      <c r="C20" s="16" t="n">
        <v>30.27</v>
      </c>
      <c r="D20" s="16" t="n">
        <v>30.27</v>
      </c>
    </row>
    <row r="21" customFormat="false" ht="15" hidden="false" customHeight="false" outlineLevel="0" collapsed="false">
      <c r="B21" s="8" t="s">
        <v>150</v>
      </c>
      <c r="C21" s="16" t="n">
        <v>730.77</v>
      </c>
      <c r="D21" s="16" t="n">
        <v>730.77</v>
      </c>
    </row>
    <row r="22" customFormat="false" ht="15" hidden="false" customHeight="false" outlineLevel="0" collapsed="false">
      <c r="B22" s="8" t="s">
        <v>151</v>
      </c>
      <c r="C22" s="16" t="n">
        <v>1489.68</v>
      </c>
      <c r="D22" s="16" t="n">
        <v>1489.68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9178.48</v>
      </c>
      <c r="G24" s="16" t="n">
        <v>9178.48</v>
      </c>
    </row>
    <row r="25" customFormat="false" ht="15" hidden="false" customHeight="false" outlineLevel="0" collapsed="false">
      <c r="B25" s="8" t="s">
        <v>154</v>
      </c>
      <c r="C25" s="16" t="n">
        <v>7867.27</v>
      </c>
      <c r="G25" s="16" t="n">
        <v>7867.27</v>
      </c>
    </row>
    <row r="26" customFormat="false" ht="15" hidden="false" customHeight="false" outlineLevel="0" collapsed="false">
      <c r="B26" s="8" t="s">
        <v>155</v>
      </c>
      <c r="C26" s="16" t="n">
        <v>9178.48</v>
      </c>
      <c r="G26" s="16" t="n">
        <v>9178.48</v>
      </c>
    </row>
    <row r="27" customFormat="false" ht="15" hidden="false" customHeight="false" outlineLevel="0" collapsed="false">
      <c r="B27" s="8" t="s">
        <v>156</v>
      </c>
      <c r="C27" s="16" t="n">
        <v>7211.66</v>
      </c>
      <c r="G27" s="16" t="n">
        <v>7211.66</v>
      </c>
    </row>
    <row r="28" customFormat="false" ht="15" hidden="false" customHeight="false" outlineLevel="0" collapsed="false">
      <c r="B28" s="8" t="s">
        <v>157</v>
      </c>
      <c r="C28" s="16" t="n">
        <v>1048.97</v>
      </c>
      <c r="G28" s="16" t="n">
        <v>1048.97</v>
      </c>
    </row>
    <row r="29" customFormat="false" ht="15" hidden="false" customHeight="false" outlineLevel="0" collapsed="false">
      <c r="B29" s="8" t="s">
        <v>158</v>
      </c>
      <c r="C29" s="16" t="n">
        <v>7867.27</v>
      </c>
      <c r="G29" s="16" t="n">
        <v>7867.27</v>
      </c>
    </row>
    <row r="30" customFormat="false" ht="15" hidden="false" customHeight="false" outlineLevel="0" collapsed="false">
      <c r="B30" s="8" t="s">
        <v>159</v>
      </c>
      <c r="C30" s="16" t="n">
        <v>6556.06</v>
      </c>
      <c r="G30" s="16" t="n">
        <v>6556.06</v>
      </c>
    </row>
    <row r="31" customFormat="false" ht="15" hidden="false" customHeight="false" outlineLevel="0" collapsed="false">
      <c r="B31" s="8" t="s">
        <v>160</v>
      </c>
      <c r="C31" s="16" t="n">
        <v>5900.45</v>
      </c>
      <c r="G31" s="16" t="n">
        <v>5900.45</v>
      </c>
    </row>
    <row r="32" customFormat="false" ht="15" hidden="false" customHeight="false" outlineLevel="0" collapsed="false">
      <c r="B32" s="8" t="s">
        <v>161</v>
      </c>
      <c r="C32" s="16" t="n">
        <v>5244.85</v>
      </c>
      <c r="G32" s="16" t="n">
        <v>5244.85</v>
      </c>
    </row>
    <row r="33" customFormat="false" ht="15" hidden="false" customHeight="false" outlineLevel="0" collapsed="false">
      <c r="B33" s="8" t="s">
        <v>162</v>
      </c>
      <c r="C33" s="16" t="n">
        <v>14423.33</v>
      </c>
      <c r="G33" s="16" t="n">
        <v>14423.33</v>
      </c>
    </row>
    <row r="34" customFormat="false" ht="15" hidden="false" customHeight="false" outlineLevel="0" collapsed="false">
      <c r="B34" s="8" t="s">
        <v>163</v>
      </c>
      <c r="C34" s="16" t="n">
        <v>5900.45</v>
      </c>
      <c r="G34" s="16" t="n">
        <v>5900.45</v>
      </c>
    </row>
    <row r="35" customFormat="false" ht="15" hidden="false" customHeight="false" outlineLevel="0" collapsed="false">
      <c r="B35" s="8" t="s">
        <v>164</v>
      </c>
      <c r="C35" s="16" t="n">
        <v>1048.97</v>
      </c>
      <c r="G35" s="16" t="n">
        <v>1048.97</v>
      </c>
    </row>
    <row r="36" customFormat="false" ht="15" hidden="false" customHeight="false" outlineLevel="0" collapsed="false">
      <c r="B36" s="8" t="s">
        <v>165</v>
      </c>
      <c r="C36" s="16" t="n">
        <v>35402.72</v>
      </c>
      <c r="G36" s="16" t="n">
        <v>35402.72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142715.15</v>
      </c>
      <c r="D37" s="26" t="n">
        <f aca="false">SUM(D10:D36)</f>
        <v>25886.19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116828.96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17114.43</v>
      </c>
      <c r="D40" s="16" t="n">
        <v>639.89</v>
      </c>
      <c r="G40" s="16" t="n">
        <v>14161.09</v>
      </c>
    </row>
    <row r="41" customFormat="false" ht="15" hidden="false" customHeight="false" outlineLevel="0" collapsed="false">
      <c r="B41" s="8" t="s">
        <v>166</v>
      </c>
      <c r="C41" s="16" t="n">
        <v>2196.35</v>
      </c>
      <c r="D41" s="16" t="n">
        <v>83.68</v>
      </c>
      <c r="G41" s="16" t="n">
        <v>1817.34</v>
      </c>
    </row>
    <row r="42" customFormat="false" ht="15" hidden="false" customHeight="false" outlineLevel="0" collapsed="false">
      <c r="B42" s="8" t="s">
        <v>94</v>
      </c>
      <c r="C42" s="16" t="n">
        <v>4135.99</v>
      </c>
      <c r="D42" s="16" t="n">
        <v>162.43</v>
      </c>
      <c r="G42" s="16" t="n">
        <v>3422.26</v>
      </c>
    </row>
    <row r="43" customFormat="false" ht="15" hidden="false" customHeight="false" outlineLevel="0" collapsed="false">
      <c r="B43" s="8" t="s">
        <v>95</v>
      </c>
      <c r="C43" s="16" t="n">
        <v>77965.74</v>
      </c>
      <c r="D43" s="16" t="n">
        <v>2915.06</v>
      </c>
      <c r="G43" s="16" t="n">
        <v>64511.62</v>
      </c>
    </row>
    <row r="44" customFormat="false" ht="15" hidden="false" customHeight="false" outlineLevel="0" collapsed="false">
      <c r="B44" s="8" t="s">
        <v>167</v>
      </c>
      <c r="C44" s="16" t="n">
        <v>10005.6</v>
      </c>
      <c r="D44" s="16" t="n">
        <v>381.2</v>
      </c>
      <c r="G44" s="16" t="n">
        <v>8278.99</v>
      </c>
    </row>
    <row r="45" customFormat="false" ht="15" hidden="false" customHeight="false" outlineLevel="0" collapsed="false">
      <c r="B45" s="8" t="s">
        <v>97</v>
      </c>
      <c r="C45" s="16" t="n">
        <v>18841.72</v>
      </c>
      <c r="D45" s="16" t="n">
        <v>739.98</v>
      </c>
      <c r="G45" s="16" t="n">
        <v>15590.31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130259.83</v>
      </c>
      <c r="D46" s="26" t="n">
        <f aca="false">SUM(D40:D45)</f>
        <v>4922.24</v>
      </c>
      <c r="E46" s="24"/>
      <c r="F46" s="26" t="n">
        <f aca="false">SUM(F40:F45)</f>
        <v>0</v>
      </c>
      <c r="G46" s="26" t="n">
        <f aca="false">SUM(G40:G45)</f>
        <v>107781.61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488</v>
      </c>
      <c r="C51" s="32" t="n">
        <v>17114.4306</v>
      </c>
      <c r="D51" s="32" t="n">
        <v>0</v>
      </c>
      <c r="E51" s="32" t="n">
        <v>0</v>
      </c>
      <c r="F51" s="32" t="n">
        <v>285.81099102</v>
      </c>
      <c r="G51" s="32" t="n">
        <v>285.81099102</v>
      </c>
      <c r="H51" s="32" t="n">
        <v>16823.4852798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489</v>
      </c>
      <c r="C52" s="36" t="n">
        <v>2196.351927</v>
      </c>
      <c r="D52" s="36" t="n">
        <v>1317.8111562</v>
      </c>
      <c r="E52" s="36" t="n">
        <v>0</v>
      </c>
      <c r="F52" s="36" t="n">
        <v>1350.756435105</v>
      </c>
      <c r="G52" s="36" t="n">
        <v>1350.756435105</v>
      </c>
      <c r="H52" s="36" t="n">
        <v>845.595491895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490</v>
      </c>
      <c r="C53" s="32" t="n">
        <v>4135.987395</v>
      </c>
      <c r="D53" s="32" t="n">
        <v>2481.592437</v>
      </c>
      <c r="E53" s="32" t="n">
        <v>0</v>
      </c>
      <c r="F53" s="32" t="n">
        <v>2812.4714286</v>
      </c>
      <c r="G53" s="32" t="n">
        <v>2812.4714286</v>
      </c>
      <c r="H53" s="32" t="n">
        <v>1323.5159664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491</v>
      </c>
      <c r="C54" s="36" t="n">
        <v>77965.7394</v>
      </c>
      <c r="D54" s="36" t="n">
        <v>0</v>
      </c>
      <c r="E54" s="36" t="n">
        <v>0</v>
      </c>
      <c r="F54" s="36" t="n">
        <v>1302.02784798</v>
      </c>
      <c r="G54" s="36" t="n">
        <v>1302.02784798</v>
      </c>
      <c r="H54" s="36" t="n">
        <v>76640.3218302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492</v>
      </c>
      <c r="C55" s="32" t="n">
        <v>10005.603223</v>
      </c>
      <c r="D55" s="32" t="n">
        <v>6003.3619338</v>
      </c>
      <c r="E55" s="32" t="n">
        <v>0</v>
      </c>
      <c r="F55" s="32" t="n">
        <v>6153.445982145</v>
      </c>
      <c r="G55" s="32" t="n">
        <v>6153.445982145</v>
      </c>
      <c r="H55" s="32" t="n">
        <v>3852.157240855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493</v>
      </c>
      <c r="C56" s="36" t="n">
        <v>18841.720355</v>
      </c>
      <c r="D56" s="36" t="n">
        <v>11305.032213</v>
      </c>
      <c r="E56" s="36" t="n">
        <v>0</v>
      </c>
      <c r="F56" s="36" t="n">
        <v>12812.3698414</v>
      </c>
      <c r="G56" s="36" t="n">
        <v>12812.3698414</v>
      </c>
      <c r="H56" s="36" t="n">
        <v>6029.3505136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130259.8329</v>
      </c>
      <c r="D57" s="39" t="n">
        <f aca="false">SUM(D51:D56)</f>
        <v>21107.79774</v>
      </c>
      <c r="E57" s="39" t="n">
        <f aca="false">SUM(E51:E56)</f>
        <v>0</v>
      </c>
      <c r="F57" s="39" t="n">
        <f aca="false">SUM(F51:F56)</f>
        <v>24716.88252625</v>
      </c>
      <c r="G57" s="39" t="n">
        <f aca="false">SUM(G51:G56)</f>
        <v>24716.88252625</v>
      </c>
      <c r="H57" s="39" t="n">
        <f aca="false">SUM(H51:H56)</f>
        <v>105514.42632275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494</v>
      </c>
      <c r="C61" s="32" t="n">
        <v>656.053173</v>
      </c>
      <c r="D61" s="32" t="n">
        <v>393.6319038</v>
      </c>
      <c r="E61" s="32" t="n">
        <v>0</v>
      </c>
      <c r="F61" s="32" t="n">
        <v>452.67668937</v>
      </c>
      <c r="G61" s="32" t="n">
        <v>452.67668937</v>
      </c>
      <c r="H61" s="32" t="n">
        <v>203.37648363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495</v>
      </c>
      <c r="C62" s="36" t="n">
        <v>16458.377427</v>
      </c>
      <c r="D62" s="36" t="n">
        <v>0</v>
      </c>
      <c r="E62" s="36" t="n">
        <v>0</v>
      </c>
      <c r="F62" s="36" t="n">
        <v>274.8549030309</v>
      </c>
      <c r="G62" s="36" t="n">
        <v>274.8549030309</v>
      </c>
      <c r="H62" s="36" t="n">
        <v>16178.585010741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496</v>
      </c>
      <c r="C63" s="32" t="n">
        <v>85.572153</v>
      </c>
      <c r="D63" s="32" t="n">
        <v>51.3432918</v>
      </c>
      <c r="E63" s="32" t="n">
        <v>0</v>
      </c>
      <c r="F63" s="32" t="n">
        <v>59.04478557</v>
      </c>
      <c r="G63" s="32" t="n">
        <v>59.04478557</v>
      </c>
      <c r="H63" s="32" t="n">
        <v>26.52736743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497</v>
      </c>
      <c r="C64" s="36" t="n">
        <v>2110.779774</v>
      </c>
      <c r="D64" s="36" t="n">
        <v>0</v>
      </c>
      <c r="E64" s="36" t="n">
        <v>0</v>
      </c>
      <c r="F64" s="36" t="n">
        <v>35.2500222258</v>
      </c>
      <c r="G64" s="36" t="n">
        <v>35.2500222258</v>
      </c>
      <c r="H64" s="36" t="n">
        <v>2074.896517842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498</v>
      </c>
      <c r="C65" s="32" t="n">
        <v>1568.822805</v>
      </c>
      <c r="D65" s="32" t="n">
        <v>941.293683</v>
      </c>
      <c r="E65" s="32" t="n">
        <v>0</v>
      </c>
      <c r="F65" s="32" t="n">
        <v>1082.48773545</v>
      </c>
      <c r="G65" s="32" t="n">
        <v>1082.48773545</v>
      </c>
      <c r="H65" s="32" t="n">
        <v>486.33506955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499</v>
      </c>
      <c r="C66" s="36" t="n">
        <v>2567.16459</v>
      </c>
      <c r="D66" s="36" t="n">
        <v>0</v>
      </c>
      <c r="E66" s="36" t="n">
        <v>0</v>
      </c>
      <c r="F66" s="36" t="n">
        <v>42.871648653</v>
      </c>
      <c r="G66" s="36" t="n">
        <v>42.871648653</v>
      </c>
      <c r="H66" s="36" t="n">
        <v>2523.52279197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500</v>
      </c>
      <c r="C67" s="32" t="n">
        <v>2988.686677</v>
      </c>
      <c r="D67" s="32" t="n">
        <v>1793.2120062</v>
      </c>
      <c r="E67" s="32" t="n">
        <v>0</v>
      </c>
      <c r="F67" s="32" t="n">
        <v>2062.19380713</v>
      </c>
      <c r="G67" s="32" t="n">
        <v>2062.19380713</v>
      </c>
      <c r="H67" s="32" t="n">
        <v>926.49286987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501</v>
      </c>
      <c r="C68" s="36" t="n">
        <v>74977.052723</v>
      </c>
      <c r="D68" s="36" t="n">
        <v>0</v>
      </c>
      <c r="E68" s="36" t="n">
        <v>0</v>
      </c>
      <c r="F68" s="36" t="n">
        <v>1252.1167804741</v>
      </c>
      <c r="G68" s="36" t="n">
        <v>1252.1167804741</v>
      </c>
      <c r="H68" s="36" t="n">
        <v>73702.442826709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502</v>
      </c>
      <c r="C69" s="32" t="n">
        <v>389.828697</v>
      </c>
      <c r="D69" s="32" t="n">
        <v>233.8972182</v>
      </c>
      <c r="E69" s="32" t="n">
        <v>0</v>
      </c>
      <c r="F69" s="32" t="n">
        <v>268.98180093</v>
      </c>
      <c r="G69" s="32" t="n">
        <v>268.98180093</v>
      </c>
      <c r="H69" s="32" t="n">
        <v>120.84689607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503</v>
      </c>
      <c r="C70" s="36" t="n">
        <v>9615.774526</v>
      </c>
      <c r="D70" s="36" t="n">
        <v>0</v>
      </c>
      <c r="E70" s="36" t="n">
        <v>0</v>
      </c>
      <c r="F70" s="36" t="n">
        <v>160.5834345842</v>
      </c>
      <c r="G70" s="36" t="n">
        <v>160.5834345842</v>
      </c>
      <c r="H70" s="36" t="n">
        <v>9452.306359058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504</v>
      </c>
      <c r="C71" s="32" t="n">
        <v>7146.859445</v>
      </c>
      <c r="D71" s="32" t="n">
        <v>4288.115667</v>
      </c>
      <c r="E71" s="32" t="n">
        <v>0</v>
      </c>
      <c r="F71" s="32" t="n">
        <v>4931.33301705</v>
      </c>
      <c r="G71" s="32" t="n">
        <v>4931.33301705</v>
      </c>
      <c r="H71" s="32" t="n">
        <v>2215.52642795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505</v>
      </c>
      <c r="C72" s="36" t="n">
        <v>11694.86091</v>
      </c>
      <c r="D72" s="36" t="n">
        <v>0</v>
      </c>
      <c r="E72" s="36" t="n">
        <v>0</v>
      </c>
      <c r="F72" s="36" t="n">
        <v>195.304177197</v>
      </c>
      <c r="G72" s="36" t="n">
        <v>195.304177197</v>
      </c>
      <c r="H72" s="36" t="n">
        <v>11496.04827453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130259.8329</v>
      </c>
      <c r="D73" s="39" t="n">
        <f aca="false">SUM(D61:D72)</f>
        <v>7701.49377</v>
      </c>
      <c r="E73" s="39" t="n">
        <f aca="false">SUM(E61:E72)</f>
        <v>0</v>
      </c>
      <c r="F73" s="39" t="n">
        <f aca="false">SUM(F61:F72)</f>
        <v>10817.698801665</v>
      </c>
      <c r="G73" s="39" t="n">
        <f aca="false">SUM(G61:G72)</f>
        <v>10817.698801665</v>
      </c>
      <c r="H73" s="39" t="n">
        <f aca="false">SUM(H61:H72)</f>
        <v>119406.90689535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24716.88252625</v>
      </c>
    </row>
    <row r="77" customFormat="false" ht="15" hidden="false" customHeight="false" outlineLevel="0" collapsed="false">
      <c r="B77" s="8" t="s">
        <v>138</v>
      </c>
      <c r="C77" s="41" t="n">
        <f aca="false">G73</f>
        <v>10817.698801665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-13899.183724585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506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507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5629.38</v>
      </c>
      <c r="D11" s="16" t="n">
        <v>5629.38</v>
      </c>
    </row>
    <row r="12" customFormat="false" ht="15" hidden="false" customHeight="false" outlineLevel="0" collapsed="false">
      <c r="B12" s="8" t="s">
        <v>142</v>
      </c>
      <c r="C12" s="16" t="n">
        <v>2344.15</v>
      </c>
      <c r="D12" s="16" t="n">
        <v>2344.15</v>
      </c>
    </row>
    <row r="13" customFormat="false" ht="15" hidden="false" customHeight="false" outlineLevel="0" collapsed="false">
      <c r="B13" s="8" t="s">
        <v>143</v>
      </c>
      <c r="C13" s="16" t="n">
        <v>7129.28</v>
      </c>
      <c r="D13" s="16" t="n">
        <v>7129.28</v>
      </c>
    </row>
    <row r="14" customFormat="false" ht="15" hidden="false" customHeight="false" outlineLevel="0" collapsed="false">
      <c r="B14" s="8" t="s">
        <v>144</v>
      </c>
      <c r="C14" s="16" t="n">
        <v>2013.21</v>
      </c>
      <c r="D14" s="16" t="n">
        <v>2013.21</v>
      </c>
    </row>
    <row r="15" customFormat="false" ht="15" hidden="false" customHeight="false" outlineLevel="0" collapsed="false">
      <c r="B15" s="8" t="s">
        <v>145</v>
      </c>
      <c r="C15" s="16" t="n">
        <v>77.92</v>
      </c>
      <c r="D15" s="16" t="n">
        <v>77.92</v>
      </c>
    </row>
    <row r="16" customFormat="false" ht="15" hidden="false" customHeight="false" outlineLevel="0" collapsed="false">
      <c r="B16" s="8" t="s">
        <v>146</v>
      </c>
      <c r="C16" s="16" t="n">
        <v>1225.78</v>
      </c>
      <c r="D16" s="16" t="n">
        <v>1225.78</v>
      </c>
    </row>
    <row r="17" customFormat="false" ht="15" hidden="false" customHeight="false" outlineLevel="0" collapsed="false">
      <c r="B17" s="8" t="s">
        <v>147</v>
      </c>
      <c r="C17" s="16" t="n">
        <v>2177.96</v>
      </c>
      <c r="D17" s="16" t="n">
        <v>2177.96</v>
      </c>
    </row>
    <row r="18" customFormat="false" ht="15" hidden="false" customHeight="false" outlineLevel="0" collapsed="false">
      <c r="B18" s="8" t="s">
        <v>148</v>
      </c>
      <c r="C18" s="16" t="n">
        <v>2242.15</v>
      </c>
      <c r="D18" s="16" t="n">
        <v>2242.15</v>
      </c>
    </row>
    <row r="19" customFormat="false" ht="15" hidden="false" customHeight="false" outlineLevel="0" collapsed="false">
      <c r="B19" s="8" t="s">
        <v>149</v>
      </c>
      <c r="C19" s="16" t="n">
        <v>795.64</v>
      </c>
      <c r="D19" s="16" t="n">
        <v>795.64</v>
      </c>
    </row>
    <row r="20" customFormat="false" ht="15" hidden="false" customHeight="false" outlineLevel="0" collapsed="false">
      <c r="B20" s="8" t="s">
        <v>77</v>
      </c>
      <c r="C20" s="16" t="n">
        <v>30.27</v>
      </c>
      <c r="D20" s="16" t="n">
        <v>30.27</v>
      </c>
    </row>
    <row r="21" customFormat="false" ht="15" hidden="false" customHeight="false" outlineLevel="0" collapsed="false">
      <c r="B21" s="8" t="s">
        <v>150</v>
      </c>
      <c r="C21" s="16" t="n">
        <v>730.77</v>
      </c>
      <c r="D21" s="16" t="n">
        <v>730.77</v>
      </c>
    </row>
    <row r="22" customFormat="false" ht="15" hidden="false" customHeight="false" outlineLevel="0" collapsed="false">
      <c r="B22" s="8" t="s">
        <v>151</v>
      </c>
      <c r="C22" s="16" t="n">
        <v>1489.68</v>
      </c>
      <c r="D22" s="16" t="n">
        <v>1489.68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9178.48</v>
      </c>
      <c r="G24" s="16" t="n">
        <v>9178.48</v>
      </c>
    </row>
    <row r="25" customFormat="false" ht="15" hidden="false" customHeight="false" outlineLevel="0" collapsed="false">
      <c r="B25" s="8" t="s">
        <v>154</v>
      </c>
      <c r="C25" s="16" t="n">
        <v>7867.27</v>
      </c>
      <c r="G25" s="16" t="n">
        <v>7867.27</v>
      </c>
    </row>
    <row r="26" customFormat="false" ht="15" hidden="false" customHeight="false" outlineLevel="0" collapsed="false">
      <c r="B26" s="8" t="s">
        <v>155</v>
      </c>
      <c r="C26" s="16" t="n">
        <v>9178.48</v>
      </c>
      <c r="G26" s="16" t="n">
        <v>9178.48</v>
      </c>
    </row>
    <row r="27" customFormat="false" ht="15" hidden="false" customHeight="false" outlineLevel="0" collapsed="false">
      <c r="B27" s="8" t="s">
        <v>156</v>
      </c>
      <c r="C27" s="16" t="n">
        <v>7211.66</v>
      </c>
      <c r="G27" s="16" t="n">
        <v>7211.66</v>
      </c>
    </row>
    <row r="28" customFormat="false" ht="15" hidden="false" customHeight="false" outlineLevel="0" collapsed="false">
      <c r="B28" s="8" t="s">
        <v>157</v>
      </c>
      <c r="C28" s="16" t="n">
        <v>1048.97</v>
      </c>
      <c r="G28" s="16" t="n">
        <v>1048.97</v>
      </c>
    </row>
    <row r="29" customFormat="false" ht="15" hidden="false" customHeight="false" outlineLevel="0" collapsed="false">
      <c r="B29" s="8" t="s">
        <v>158</v>
      </c>
      <c r="C29" s="16" t="n">
        <v>7867.27</v>
      </c>
      <c r="G29" s="16" t="n">
        <v>7867.27</v>
      </c>
    </row>
    <row r="30" customFormat="false" ht="15" hidden="false" customHeight="false" outlineLevel="0" collapsed="false">
      <c r="B30" s="8" t="s">
        <v>159</v>
      </c>
      <c r="C30" s="16" t="n">
        <v>6556.06</v>
      </c>
      <c r="G30" s="16" t="n">
        <v>6556.06</v>
      </c>
    </row>
    <row r="31" customFormat="false" ht="15" hidden="false" customHeight="false" outlineLevel="0" collapsed="false">
      <c r="B31" s="8" t="s">
        <v>160</v>
      </c>
      <c r="C31" s="16" t="n">
        <v>5900.45</v>
      </c>
      <c r="G31" s="16" t="n">
        <v>5900.45</v>
      </c>
    </row>
    <row r="32" customFormat="false" ht="15" hidden="false" customHeight="false" outlineLevel="0" collapsed="false">
      <c r="B32" s="8" t="s">
        <v>161</v>
      </c>
      <c r="C32" s="16" t="n">
        <v>5244.85</v>
      </c>
      <c r="G32" s="16" t="n">
        <v>5244.85</v>
      </c>
    </row>
    <row r="33" customFormat="false" ht="15" hidden="false" customHeight="false" outlineLevel="0" collapsed="false">
      <c r="B33" s="8" t="s">
        <v>162</v>
      </c>
      <c r="C33" s="16" t="n">
        <v>14423.33</v>
      </c>
      <c r="G33" s="16" t="n">
        <v>14423.33</v>
      </c>
    </row>
    <row r="34" customFormat="false" ht="15" hidden="false" customHeight="false" outlineLevel="0" collapsed="false">
      <c r="B34" s="8" t="s">
        <v>163</v>
      </c>
      <c r="C34" s="16" t="n">
        <v>5900.45</v>
      </c>
      <c r="G34" s="16" t="n">
        <v>5900.45</v>
      </c>
    </row>
    <row r="35" customFormat="false" ht="15" hidden="false" customHeight="false" outlineLevel="0" collapsed="false">
      <c r="B35" s="8" t="s">
        <v>164</v>
      </c>
      <c r="C35" s="16" t="n">
        <v>1048.97</v>
      </c>
      <c r="G35" s="16" t="n">
        <v>1048.97</v>
      </c>
    </row>
    <row r="36" customFormat="false" ht="15" hidden="false" customHeight="false" outlineLevel="0" collapsed="false">
      <c r="B36" s="8" t="s">
        <v>165</v>
      </c>
      <c r="C36" s="16" t="n">
        <v>35402.72</v>
      </c>
      <c r="G36" s="16" t="n">
        <v>35402.72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142715.15</v>
      </c>
      <c r="D37" s="26" t="n">
        <f aca="false">SUM(D10:D36)</f>
        <v>25886.19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116828.96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17114.43</v>
      </c>
      <c r="D40" s="16" t="n">
        <v>639.89</v>
      </c>
      <c r="G40" s="16" t="n">
        <v>14161.09</v>
      </c>
    </row>
    <row r="41" customFormat="false" ht="15" hidden="false" customHeight="false" outlineLevel="0" collapsed="false">
      <c r="B41" s="8" t="s">
        <v>166</v>
      </c>
      <c r="C41" s="16" t="n">
        <v>2196.35</v>
      </c>
      <c r="D41" s="16" t="n">
        <v>83.68</v>
      </c>
      <c r="G41" s="16" t="n">
        <v>1817.34</v>
      </c>
    </row>
    <row r="42" customFormat="false" ht="15" hidden="false" customHeight="false" outlineLevel="0" collapsed="false">
      <c r="B42" s="8" t="s">
        <v>94</v>
      </c>
      <c r="C42" s="16" t="n">
        <v>4135.99</v>
      </c>
      <c r="D42" s="16" t="n">
        <v>162.43</v>
      </c>
      <c r="G42" s="16" t="n">
        <v>3422.26</v>
      </c>
    </row>
    <row r="43" customFormat="false" ht="15" hidden="false" customHeight="false" outlineLevel="0" collapsed="false">
      <c r="B43" s="8" t="s">
        <v>95</v>
      </c>
      <c r="C43" s="16" t="n">
        <v>77965.74</v>
      </c>
      <c r="D43" s="16" t="n">
        <v>2915.06</v>
      </c>
      <c r="G43" s="16" t="n">
        <v>64511.62</v>
      </c>
    </row>
    <row r="44" customFormat="false" ht="15" hidden="false" customHeight="false" outlineLevel="0" collapsed="false">
      <c r="B44" s="8" t="s">
        <v>167</v>
      </c>
      <c r="C44" s="16" t="n">
        <v>10005.6</v>
      </c>
      <c r="D44" s="16" t="n">
        <v>381.2</v>
      </c>
      <c r="G44" s="16" t="n">
        <v>8278.99</v>
      </c>
    </row>
    <row r="45" customFormat="false" ht="15" hidden="false" customHeight="false" outlineLevel="0" collapsed="false">
      <c r="B45" s="8" t="s">
        <v>97</v>
      </c>
      <c r="C45" s="16" t="n">
        <v>18841.72</v>
      </c>
      <c r="D45" s="16" t="n">
        <v>739.98</v>
      </c>
      <c r="G45" s="16" t="n">
        <v>15590.31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130259.83</v>
      </c>
      <c r="D46" s="26" t="n">
        <f aca="false">SUM(D40:D45)</f>
        <v>4922.24</v>
      </c>
      <c r="E46" s="24"/>
      <c r="F46" s="26" t="n">
        <f aca="false">SUM(F40:F45)</f>
        <v>0</v>
      </c>
      <c r="G46" s="26" t="n">
        <f aca="false">SUM(G40:G45)</f>
        <v>107781.61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508</v>
      </c>
      <c r="C51" s="32" t="n">
        <v>17114.4306</v>
      </c>
      <c r="D51" s="32" t="n">
        <v>0</v>
      </c>
      <c r="E51" s="32" t="n">
        <v>0</v>
      </c>
      <c r="F51" s="32" t="n">
        <v>285.81099102</v>
      </c>
      <c r="G51" s="32" t="n">
        <v>285.81099102</v>
      </c>
      <c r="H51" s="32" t="n">
        <v>16823.4852798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509</v>
      </c>
      <c r="C52" s="36" t="n">
        <v>2196.351927</v>
      </c>
      <c r="D52" s="36" t="n">
        <v>1317.8111562</v>
      </c>
      <c r="E52" s="36" t="n">
        <v>0</v>
      </c>
      <c r="F52" s="36" t="n">
        <v>1350.756435105</v>
      </c>
      <c r="G52" s="36" t="n">
        <v>1350.756435105</v>
      </c>
      <c r="H52" s="36" t="n">
        <v>845.595491895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510</v>
      </c>
      <c r="C53" s="32" t="n">
        <v>4135.987395</v>
      </c>
      <c r="D53" s="32" t="n">
        <v>2481.592437</v>
      </c>
      <c r="E53" s="32" t="n">
        <v>0</v>
      </c>
      <c r="F53" s="32" t="n">
        <v>2812.4714286</v>
      </c>
      <c r="G53" s="32" t="n">
        <v>2812.4714286</v>
      </c>
      <c r="H53" s="32" t="n">
        <v>1323.5159664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511</v>
      </c>
      <c r="C54" s="36" t="n">
        <v>77965.7394</v>
      </c>
      <c r="D54" s="36" t="n">
        <v>0</v>
      </c>
      <c r="E54" s="36" t="n">
        <v>0</v>
      </c>
      <c r="F54" s="36" t="n">
        <v>1302.02784798</v>
      </c>
      <c r="G54" s="36" t="n">
        <v>1302.02784798</v>
      </c>
      <c r="H54" s="36" t="n">
        <v>76640.3218302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512</v>
      </c>
      <c r="C55" s="32" t="n">
        <v>10005.603223</v>
      </c>
      <c r="D55" s="32" t="n">
        <v>6003.3619338</v>
      </c>
      <c r="E55" s="32" t="n">
        <v>0</v>
      </c>
      <c r="F55" s="32" t="n">
        <v>6153.445982145</v>
      </c>
      <c r="G55" s="32" t="n">
        <v>6153.445982145</v>
      </c>
      <c r="H55" s="32" t="n">
        <v>3852.157240855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513</v>
      </c>
      <c r="C56" s="36" t="n">
        <v>18841.720355</v>
      </c>
      <c r="D56" s="36" t="n">
        <v>11305.032213</v>
      </c>
      <c r="E56" s="36" t="n">
        <v>0</v>
      </c>
      <c r="F56" s="36" t="n">
        <v>12812.3698414</v>
      </c>
      <c r="G56" s="36" t="n">
        <v>12812.3698414</v>
      </c>
      <c r="H56" s="36" t="n">
        <v>6029.3505136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130259.8329</v>
      </c>
      <c r="D57" s="39" t="n">
        <f aca="false">SUM(D51:D56)</f>
        <v>21107.79774</v>
      </c>
      <c r="E57" s="39" t="n">
        <f aca="false">SUM(E51:E56)</f>
        <v>0</v>
      </c>
      <c r="F57" s="39" t="n">
        <f aca="false">SUM(F51:F56)</f>
        <v>24716.88252625</v>
      </c>
      <c r="G57" s="39" t="n">
        <f aca="false">SUM(G51:G56)</f>
        <v>24716.88252625</v>
      </c>
      <c r="H57" s="39" t="n">
        <f aca="false">SUM(H51:H56)</f>
        <v>105514.42632275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514</v>
      </c>
      <c r="C61" s="32" t="n">
        <v>656.053173</v>
      </c>
      <c r="D61" s="32" t="n">
        <v>393.6319038</v>
      </c>
      <c r="E61" s="32" t="n">
        <v>0</v>
      </c>
      <c r="F61" s="32" t="n">
        <v>452.67668937</v>
      </c>
      <c r="G61" s="32" t="n">
        <v>452.67668937</v>
      </c>
      <c r="H61" s="32" t="n">
        <v>203.37648363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515</v>
      </c>
      <c r="C62" s="36" t="n">
        <v>16458.377427</v>
      </c>
      <c r="D62" s="36" t="n">
        <v>0</v>
      </c>
      <c r="E62" s="36" t="n">
        <v>0</v>
      </c>
      <c r="F62" s="36" t="n">
        <v>274.8549030309</v>
      </c>
      <c r="G62" s="36" t="n">
        <v>274.8549030309</v>
      </c>
      <c r="H62" s="36" t="n">
        <v>16178.585010741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516</v>
      </c>
      <c r="C63" s="32" t="n">
        <v>85.572153</v>
      </c>
      <c r="D63" s="32" t="n">
        <v>51.3432918</v>
      </c>
      <c r="E63" s="32" t="n">
        <v>0</v>
      </c>
      <c r="F63" s="32" t="n">
        <v>59.04478557</v>
      </c>
      <c r="G63" s="32" t="n">
        <v>59.04478557</v>
      </c>
      <c r="H63" s="32" t="n">
        <v>26.52736743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517</v>
      </c>
      <c r="C64" s="36" t="n">
        <v>2110.779774</v>
      </c>
      <c r="D64" s="36" t="n">
        <v>0</v>
      </c>
      <c r="E64" s="36" t="n">
        <v>0</v>
      </c>
      <c r="F64" s="36" t="n">
        <v>35.2500222258</v>
      </c>
      <c r="G64" s="36" t="n">
        <v>35.2500222258</v>
      </c>
      <c r="H64" s="36" t="n">
        <v>2074.896517842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518</v>
      </c>
      <c r="C65" s="32" t="n">
        <v>1568.822805</v>
      </c>
      <c r="D65" s="32" t="n">
        <v>941.293683</v>
      </c>
      <c r="E65" s="32" t="n">
        <v>0</v>
      </c>
      <c r="F65" s="32" t="n">
        <v>1082.48773545</v>
      </c>
      <c r="G65" s="32" t="n">
        <v>1082.48773545</v>
      </c>
      <c r="H65" s="32" t="n">
        <v>486.33506955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519</v>
      </c>
      <c r="C66" s="36" t="n">
        <v>2567.16459</v>
      </c>
      <c r="D66" s="36" t="n">
        <v>0</v>
      </c>
      <c r="E66" s="36" t="n">
        <v>0</v>
      </c>
      <c r="F66" s="36" t="n">
        <v>42.871648653</v>
      </c>
      <c r="G66" s="36" t="n">
        <v>42.871648653</v>
      </c>
      <c r="H66" s="36" t="n">
        <v>2523.52279197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520</v>
      </c>
      <c r="C67" s="32" t="n">
        <v>2988.686677</v>
      </c>
      <c r="D67" s="32" t="n">
        <v>1793.2120062</v>
      </c>
      <c r="E67" s="32" t="n">
        <v>0</v>
      </c>
      <c r="F67" s="32" t="n">
        <v>2062.19380713</v>
      </c>
      <c r="G67" s="32" t="n">
        <v>2062.19380713</v>
      </c>
      <c r="H67" s="32" t="n">
        <v>926.49286987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521</v>
      </c>
      <c r="C68" s="36" t="n">
        <v>74977.052723</v>
      </c>
      <c r="D68" s="36" t="n">
        <v>0</v>
      </c>
      <c r="E68" s="36" t="n">
        <v>0</v>
      </c>
      <c r="F68" s="36" t="n">
        <v>1252.1167804741</v>
      </c>
      <c r="G68" s="36" t="n">
        <v>1252.1167804741</v>
      </c>
      <c r="H68" s="36" t="n">
        <v>73702.442826709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522</v>
      </c>
      <c r="C69" s="32" t="n">
        <v>389.828697</v>
      </c>
      <c r="D69" s="32" t="n">
        <v>233.8972182</v>
      </c>
      <c r="E69" s="32" t="n">
        <v>0</v>
      </c>
      <c r="F69" s="32" t="n">
        <v>268.98180093</v>
      </c>
      <c r="G69" s="32" t="n">
        <v>268.98180093</v>
      </c>
      <c r="H69" s="32" t="n">
        <v>120.84689607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523</v>
      </c>
      <c r="C70" s="36" t="n">
        <v>9615.774526</v>
      </c>
      <c r="D70" s="36" t="n">
        <v>0</v>
      </c>
      <c r="E70" s="36" t="n">
        <v>0</v>
      </c>
      <c r="F70" s="36" t="n">
        <v>160.5834345842</v>
      </c>
      <c r="G70" s="36" t="n">
        <v>160.5834345842</v>
      </c>
      <c r="H70" s="36" t="n">
        <v>9452.306359058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524</v>
      </c>
      <c r="C71" s="32" t="n">
        <v>7146.859445</v>
      </c>
      <c r="D71" s="32" t="n">
        <v>4288.115667</v>
      </c>
      <c r="E71" s="32" t="n">
        <v>0</v>
      </c>
      <c r="F71" s="32" t="n">
        <v>4931.33301705</v>
      </c>
      <c r="G71" s="32" t="n">
        <v>4931.33301705</v>
      </c>
      <c r="H71" s="32" t="n">
        <v>2215.52642795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525</v>
      </c>
      <c r="C72" s="36" t="n">
        <v>11694.86091</v>
      </c>
      <c r="D72" s="36" t="n">
        <v>0</v>
      </c>
      <c r="E72" s="36" t="n">
        <v>0</v>
      </c>
      <c r="F72" s="36" t="n">
        <v>195.304177197</v>
      </c>
      <c r="G72" s="36" t="n">
        <v>195.304177197</v>
      </c>
      <c r="H72" s="36" t="n">
        <v>11496.04827453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130259.8329</v>
      </c>
      <c r="D73" s="39" t="n">
        <f aca="false">SUM(D61:D72)</f>
        <v>7701.49377</v>
      </c>
      <c r="E73" s="39" t="n">
        <f aca="false">SUM(E61:E72)</f>
        <v>0</v>
      </c>
      <c r="F73" s="39" t="n">
        <f aca="false">SUM(F61:F72)</f>
        <v>10817.698801665</v>
      </c>
      <c r="G73" s="39" t="n">
        <f aca="false">SUM(G61:G72)</f>
        <v>10817.698801665</v>
      </c>
      <c r="H73" s="39" t="n">
        <f aca="false">SUM(H61:H72)</f>
        <v>119406.90689535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24716.88252625</v>
      </c>
    </row>
    <row r="77" customFormat="false" ht="15" hidden="false" customHeight="false" outlineLevel="0" collapsed="false">
      <c r="B77" s="8" t="s">
        <v>138</v>
      </c>
      <c r="C77" s="41" t="n">
        <f aca="false">G73</f>
        <v>10817.698801665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-13899.183724585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526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527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9339.54</v>
      </c>
      <c r="D11" s="16" t="n">
        <v>9339.54</v>
      </c>
    </row>
    <row r="12" customFormat="false" ht="15" hidden="false" customHeight="false" outlineLevel="0" collapsed="false">
      <c r="B12" s="8" t="s">
        <v>142</v>
      </c>
      <c r="C12" s="16" t="n">
        <v>3889.1</v>
      </c>
      <c r="D12" s="16" t="n">
        <v>3889.1</v>
      </c>
    </row>
    <row r="13" customFormat="false" ht="15" hidden="false" customHeight="false" outlineLevel="0" collapsed="false">
      <c r="B13" s="8" t="s">
        <v>143</v>
      </c>
      <c r="C13" s="16" t="n">
        <v>11827.98</v>
      </c>
      <c r="D13" s="16" t="n">
        <v>11827.98</v>
      </c>
    </row>
    <row r="14" customFormat="false" ht="15" hidden="false" customHeight="false" outlineLevel="0" collapsed="false">
      <c r="B14" s="8" t="s">
        <v>144</v>
      </c>
      <c r="C14" s="16" t="n">
        <v>3340.06</v>
      </c>
      <c r="D14" s="16" t="n">
        <v>3340.06</v>
      </c>
    </row>
    <row r="15" customFormat="false" ht="15" hidden="false" customHeight="false" outlineLevel="0" collapsed="false">
      <c r="B15" s="8" t="s">
        <v>145</v>
      </c>
      <c r="C15" s="16" t="n">
        <v>129.28</v>
      </c>
      <c r="D15" s="16" t="n">
        <v>129.28</v>
      </c>
    </row>
    <row r="16" customFormat="false" ht="15" hidden="false" customHeight="false" outlineLevel="0" collapsed="false">
      <c r="B16" s="8" t="s">
        <v>146</v>
      </c>
      <c r="C16" s="16" t="n">
        <v>2033.65</v>
      </c>
      <c r="D16" s="16" t="n">
        <v>2033.65</v>
      </c>
    </row>
    <row r="17" customFormat="false" ht="15" hidden="false" customHeight="false" outlineLevel="0" collapsed="false">
      <c r="B17" s="8" t="s">
        <v>147</v>
      </c>
      <c r="C17" s="16" t="n">
        <v>3613.39</v>
      </c>
      <c r="D17" s="16" t="n">
        <v>3613.39</v>
      </c>
    </row>
    <row r="18" customFormat="false" ht="15" hidden="false" customHeight="false" outlineLevel="0" collapsed="false">
      <c r="B18" s="8" t="s">
        <v>148</v>
      </c>
      <c r="C18" s="16" t="n">
        <v>3719.88</v>
      </c>
      <c r="D18" s="16" t="n">
        <v>3719.88</v>
      </c>
    </row>
    <row r="19" customFormat="false" ht="15" hidden="false" customHeight="false" outlineLevel="0" collapsed="false">
      <c r="B19" s="8" t="s">
        <v>149</v>
      </c>
      <c r="C19" s="16" t="n">
        <v>1320.02</v>
      </c>
      <c r="D19" s="16" t="n">
        <v>1320.02</v>
      </c>
    </row>
    <row r="20" customFormat="false" ht="15" hidden="false" customHeight="false" outlineLevel="0" collapsed="false">
      <c r="B20" s="8" t="s">
        <v>77</v>
      </c>
      <c r="C20" s="16" t="n">
        <v>50.22</v>
      </c>
      <c r="D20" s="16" t="n">
        <v>50.22</v>
      </c>
    </row>
    <row r="21" customFormat="false" ht="15" hidden="false" customHeight="false" outlineLevel="0" collapsed="false">
      <c r="B21" s="8" t="s">
        <v>150</v>
      </c>
      <c r="C21" s="16" t="n">
        <v>1212.39</v>
      </c>
      <c r="D21" s="16" t="n">
        <v>1212.39</v>
      </c>
    </row>
    <row r="22" customFormat="false" ht="15" hidden="false" customHeight="false" outlineLevel="0" collapsed="false">
      <c r="B22" s="8" t="s">
        <v>151</v>
      </c>
      <c r="C22" s="16" t="n">
        <v>2471.48</v>
      </c>
      <c r="D22" s="16" t="n">
        <v>2471.48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15139.58</v>
      </c>
      <c r="G24" s="16" t="n">
        <v>15139.58</v>
      </c>
    </row>
    <row r="25" customFormat="false" ht="15" hidden="false" customHeight="false" outlineLevel="0" collapsed="false">
      <c r="B25" s="8" t="s">
        <v>154</v>
      </c>
      <c r="C25" s="16" t="n">
        <v>12976.78</v>
      </c>
      <c r="G25" s="16" t="n">
        <v>12976.78</v>
      </c>
    </row>
    <row r="26" customFormat="false" ht="15" hidden="false" customHeight="false" outlineLevel="0" collapsed="false">
      <c r="B26" s="8" t="s">
        <v>155</v>
      </c>
      <c r="C26" s="16" t="n">
        <v>15139.58</v>
      </c>
      <c r="G26" s="16" t="n">
        <v>15139.58</v>
      </c>
    </row>
    <row r="27" customFormat="false" ht="15" hidden="false" customHeight="false" outlineLevel="0" collapsed="false">
      <c r="B27" s="8" t="s">
        <v>156</v>
      </c>
      <c r="C27" s="16" t="n">
        <v>11895.38</v>
      </c>
      <c r="G27" s="16" t="n">
        <v>11895.38</v>
      </c>
    </row>
    <row r="28" customFormat="false" ht="15" hidden="false" customHeight="false" outlineLevel="0" collapsed="false">
      <c r="B28" s="8" t="s">
        <v>157</v>
      </c>
      <c r="C28" s="16" t="n">
        <v>1730.24</v>
      </c>
      <c r="G28" s="16" t="n">
        <v>1730.24</v>
      </c>
    </row>
    <row r="29" customFormat="false" ht="15" hidden="false" customHeight="false" outlineLevel="0" collapsed="false">
      <c r="B29" s="8" t="s">
        <v>158</v>
      </c>
      <c r="C29" s="16" t="n">
        <v>12976.78</v>
      </c>
      <c r="G29" s="16" t="n">
        <v>12976.78</v>
      </c>
    </row>
    <row r="30" customFormat="false" ht="15" hidden="false" customHeight="false" outlineLevel="0" collapsed="false">
      <c r="B30" s="8" t="s">
        <v>159</v>
      </c>
      <c r="C30" s="16" t="n">
        <v>10813.99</v>
      </c>
      <c r="G30" s="16" t="n">
        <v>10813.99</v>
      </c>
    </row>
    <row r="31" customFormat="false" ht="15" hidden="false" customHeight="false" outlineLevel="0" collapsed="false">
      <c r="B31" s="8" t="s">
        <v>160</v>
      </c>
      <c r="C31" s="16" t="n">
        <v>9732.59</v>
      </c>
      <c r="G31" s="16" t="n">
        <v>9732.59</v>
      </c>
    </row>
    <row r="32" customFormat="false" ht="15" hidden="false" customHeight="false" outlineLevel="0" collapsed="false">
      <c r="B32" s="8" t="s">
        <v>161</v>
      </c>
      <c r="C32" s="16" t="n">
        <v>8651.19</v>
      </c>
      <c r="G32" s="16" t="n">
        <v>8651.19</v>
      </c>
    </row>
    <row r="33" customFormat="false" ht="15" hidden="false" customHeight="false" outlineLevel="0" collapsed="false">
      <c r="B33" s="8" t="s">
        <v>162</v>
      </c>
      <c r="C33" s="16" t="n">
        <v>23790.77</v>
      </c>
      <c r="G33" s="16" t="n">
        <v>23790.77</v>
      </c>
    </row>
    <row r="34" customFormat="false" ht="15" hidden="false" customHeight="false" outlineLevel="0" collapsed="false">
      <c r="B34" s="8" t="s">
        <v>163</v>
      </c>
      <c r="C34" s="16" t="n">
        <v>9732.59</v>
      </c>
      <c r="G34" s="16" t="n">
        <v>9732.59</v>
      </c>
    </row>
    <row r="35" customFormat="false" ht="15" hidden="false" customHeight="false" outlineLevel="0" collapsed="false">
      <c r="B35" s="8" t="s">
        <v>164</v>
      </c>
      <c r="C35" s="16" t="n">
        <v>1730.24</v>
      </c>
      <c r="G35" s="16" t="n">
        <v>1730.24</v>
      </c>
    </row>
    <row r="36" customFormat="false" ht="15" hidden="false" customHeight="false" outlineLevel="0" collapsed="false">
      <c r="B36" s="8" t="s">
        <v>165</v>
      </c>
      <c r="C36" s="16" t="n">
        <v>58395.52</v>
      </c>
      <c r="G36" s="16" t="n">
        <v>58395.52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235652.22</v>
      </c>
      <c r="D37" s="26" t="n">
        <f aca="false">SUM(D10:D36)</f>
        <v>42946.99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192705.23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28394.05</v>
      </c>
      <c r="D40" s="16" t="n">
        <v>1091.1</v>
      </c>
      <c r="G40" s="16" t="n">
        <v>23358.21</v>
      </c>
    </row>
    <row r="41" customFormat="false" ht="15" hidden="false" customHeight="false" outlineLevel="0" collapsed="false">
      <c r="B41" s="8" t="s">
        <v>166</v>
      </c>
      <c r="C41" s="16" t="n">
        <v>3643.9</v>
      </c>
      <c r="D41" s="16" t="n">
        <v>142.68</v>
      </c>
      <c r="G41" s="16" t="n">
        <v>2997.64</v>
      </c>
    </row>
    <row r="42" customFormat="false" ht="15" hidden="false" customHeight="false" outlineLevel="0" collapsed="false">
      <c r="B42" s="8" t="s">
        <v>94</v>
      </c>
      <c r="C42" s="16" t="n">
        <v>6861.89</v>
      </c>
      <c r="D42" s="16" t="n">
        <v>276.97</v>
      </c>
      <c r="G42" s="16" t="n">
        <v>5644.9</v>
      </c>
    </row>
    <row r="43" customFormat="false" ht="15" hidden="false" customHeight="false" outlineLevel="0" collapsed="false">
      <c r="B43" s="8" t="s">
        <v>95</v>
      </c>
      <c r="C43" s="16" t="n">
        <v>129350.65</v>
      </c>
      <c r="D43" s="16" t="n">
        <v>4970.56</v>
      </c>
      <c r="G43" s="16" t="n">
        <v>106409.61</v>
      </c>
    </row>
    <row r="44" customFormat="false" ht="15" hidden="false" customHeight="false" outlineLevel="0" collapsed="false">
      <c r="B44" s="8" t="s">
        <v>167</v>
      </c>
      <c r="C44" s="16" t="n">
        <v>16600</v>
      </c>
      <c r="D44" s="16" t="n">
        <v>650</v>
      </c>
      <c r="G44" s="16" t="n">
        <v>13655.9</v>
      </c>
    </row>
    <row r="45" customFormat="false" ht="15" hidden="false" customHeight="false" outlineLevel="0" collapsed="false">
      <c r="B45" s="8" t="s">
        <v>97</v>
      </c>
      <c r="C45" s="16" t="n">
        <v>31259.74</v>
      </c>
      <c r="D45" s="16" t="n">
        <v>1261.76</v>
      </c>
      <c r="G45" s="16" t="n">
        <v>25715.66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216110.23</v>
      </c>
      <c r="D46" s="26" t="n">
        <f aca="false">SUM(D40:D45)</f>
        <v>8393.07</v>
      </c>
      <c r="E46" s="24"/>
      <c r="F46" s="26" t="n">
        <f aca="false">SUM(F40:F45)</f>
        <v>0</v>
      </c>
      <c r="G46" s="26" t="n">
        <f aca="false">SUM(G40:G45)</f>
        <v>177781.92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528</v>
      </c>
      <c r="C51" s="32" t="n">
        <v>28394.04564</v>
      </c>
      <c r="D51" s="32" t="n">
        <v>0</v>
      </c>
      <c r="E51" s="32" t="n">
        <v>0</v>
      </c>
      <c r="F51" s="32" t="n">
        <v>474.180562188</v>
      </c>
      <c r="G51" s="32" t="n">
        <v>474.180562188</v>
      </c>
      <c r="H51" s="32" t="n">
        <v>27911.34686412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529</v>
      </c>
      <c r="C52" s="36" t="n">
        <v>3643.9025238</v>
      </c>
      <c r="D52" s="36" t="n">
        <v>2186.34151428</v>
      </c>
      <c r="E52" s="36" t="n">
        <v>0</v>
      </c>
      <c r="F52" s="36" t="n">
        <v>2241.000052137</v>
      </c>
      <c r="G52" s="36" t="n">
        <v>2241.000052137</v>
      </c>
      <c r="H52" s="36" t="n">
        <v>1402.902471663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530</v>
      </c>
      <c r="C53" s="32" t="n">
        <v>6861.894363</v>
      </c>
      <c r="D53" s="32" t="n">
        <v>4117.1366178</v>
      </c>
      <c r="E53" s="32" t="n">
        <v>0</v>
      </c>
      <c r="F53" s="32" t="n">
        <v>4666.08816684</v>
      </c>
      <c r="G53" s="32" t="n">
        <v>4666.08816684</v>
      </c>
      <c r="H53" s="32" t="n">
        <v>2195.80619616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531</v>
      </c>
      <c r="C54" s="36" t="n">
        <v>129350.65236</v>
      </c>
      <c r="D54" s="36" t="n">
        <v>0</v>
      </c>
      <c r="E54" s="36" t="n">
        <v>0</v>
      </c>
      <c r="F54" s="36" t="n">
        <v>2160.155894412</v>
      </c>
      <c r="G54" s="36" t="n">
        <v>2160.155894412</v>
      </c>
      <c r="H54" s="36" t="n">
        <v>127151.69126988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532</v>
      </c>
      <c r="C55" s="32" t="n">
        <v>16600.0003862</v>
      </c>
      <c r="D55" s="32" t="n">
        <v>9960.00023172</v>
      </c>
      <c r="E55" s="32" t="n">
        <v>0</v>
      </c>
      <c r="F55" s="32" t="n">
        <v>10209.000237513</v>
      </c>
      <c r="G55" s="32" t="n">
        <v>10209.000237513</v>
      </c>
      <c r="H55" s="32" t="n">
        <v>6391.000148687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533</v>
      </c>
      <c r="C56" s="36" t="n">
        <v>31259.740987</v>
      </c>
      <c r="D56" s="36" t="n">
        <v>18755.8445922</v>
      </c>
      <c r="E56" s="36" t="n">
        <v>0</v>
      </c>
      <c r="F56" s="36" t="n">
        <v>21256.62387116</v>
      </c>
      <c r="G56" s="36" t="n">
        <v>21256.62387116</v>
      </c>
      <c r="H56" s="36" t="n">
        <v>10003.11711584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216110.23626</v>
      </c>
      <c r="D57" s="39" t="n">
        <f aca="false">SUM(D51:D56)</f>
        <v>35019.322956</v>
      </c>
      <c r="E57" s="39" t="n">
        <f aca="false">SUM(E51:E56)</f>
        <v>0</v>
      </c>
      <c r="F57" s="39" t="n">
        <f aca="false">SUM(F51:F56)</f>
        <v>41007.04878425</v>
      </c>
      <c r="G57" s="39" t="n">
        <f aca="false">SUM(G51:G56)</f>
        <v>41007.04878425</v>
      </c>
      <c r="H57" s="39" t="n">
        <f aca="false">SUM(H51:H56)</f>
        <v>175055.86406635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534</v>
      </c>
      <c r="C61" s="32" t="n">
        <v>1088.4384162</v>
      </c>
      <c r="D61" s="32" t="n">
        <v>653.06304972</v>
      </c>
      <c r="E61" s="32" t="n">
        <v>0</v>
      </c>
      <c r="F61" s="32" t="n">
        <v>751.022507178</v>
      </c>
      <c r="G61" s="32" t="n">
        <v>751.022507178</v>
      </c>
      <c r="H61" s="32" t="n">
        <v>337.415909022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535</v>
      </c>
      <c r="C62" s="36" t="n">
        <v>27305.6072238</v>
      </c>
      <c r="D62" s="36" t="n">
        <v>0</v>
      </c>
      <c r="E62" s="36" t="n">
        <v>0</v>
      </c>
      <c r="F62" s="36" t="n">
        <v>456.00364063746</v>
      </c>
      <c r="G62" s="36" t="n">
        <v>456.00364063746</v>
      </c>
      <c r="H62" s="36" t="n">
        <v>26841.4119009954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536</v>
      </c>
      <c r="C63" s="32" t="n">
        <v>141.9702282</v>
      </c>
      <c r="D63" s="32" t="n">
        <v>85.18213692</v>
      </c>
      <c r="E63" s="32" t="n">
        <v>0</v>
      </c>
      <c r="F63" s="32" t="n">
        <v>97.959457458</v>
      </c>
      <c r="G63" s="32" t="n">
        <v>97.959457458</v>
      </c>
      <c r="H63" s="32" t="n">
        <v>44.010770742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537</v>
      </c>
      <c r="C64" s="36" t="n">
        <v>3501.9322956</v>
      </c>
      <c r="D64" s="36" t="n">
        <v>0</v>
      </c>
      <c r="E64" s="36" t="n">
        <v>0</v>
      </c>
      <c r="F64" s="36" t="n">
        <v>58.48226933652</v>
      </c>
      <c r="G64" s="36" t="n">
        <v>58.48226933652</v>
      </c>
      <c r="H64" s="36" t="n">
        <v>3442.3994465748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538</v>
      </c>
      <c r="C65" s="32" t="n">
        <v>2602.787517</v>
      </c>
      <c r="D65" s="32" t="n">
        <v>1561.6725102</v>
      </c>
      <c r="E65" s="32" t="n">
        <v>0</v>
      </c>
      <c r="F65" s="32" t="n">
        <v>1795.92338673</v>
      </c>
      <c r="G65" s="32" t="n">
        <v>1795.92338673</v>
      </c>
      <c r="H65" s="32" t="n">
        <v>806.86413027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539</v>
      </c>
      <c r="C66" s="36" t="n">
        <v>4259.106846</v>
      </c>
      <c r="D66" s="36" t="n">
        <v>0</v>
      </c>
      <c r="E66" s="36" t="n">
        <v>0</v>
      </c>
      <c r="F66" s="36" t="n">
        <v>71.1270843282</v>
      </c>
      <c r="G66" s="36" t="n">
        <v>71.1270843282</v>
      </c>
      <c r="H66" s="36" t="n">
        <v>4186.702029618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540</v>
      </c>
      <c r="C67" s="32" t="n">
        <v>4958.4416738</v>
      </c>
      <c r="D67" s="32" t="n">
        <v>2975.06500428</v>
      </c>
      <c r="E67" s="32" t="n">
        <v>0</v>
      </c>
      <c r="F67" s="32" t="n">
        <v>3421.324754922</v>
      </c>
      <c r="G67" s="32" t="n">
        <v>3421.324754922</v>
      </c>
      <c r="H67" s="32" t="n">
        <v>1537.116918878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541</v>
      </c>
      <c r="C68" s="36" t="n">
        <v>124392.2106862</v>
      </c>
      <c r="D68" s="36" t="n">
        <v>0</v>
      </c>
      <c r="E68" s="36" t="n">
        <v>0</v>
      </c>
      <c r="F68" s="36" t="n">
        <v>2077.34991845954</v>
      </c>
      <c r="G68" s="36" t="n">
        <v>2077.34991845954</v>
      </c>
      <c r="H68" s="36" t="n">
        <v>122277.543104535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542</v>
      </c>
      <c r="C69" s="32" t="n">
        <v>646.7532618</v>
      </c>
      <c r="D69" s="32" t="n">
        <v>388.05195708</v>
      </c>
      <c r="E69" s="32" t="n">
        <v>0</v>
      </c>
      <c r="F69" s="32" t="n">
        <v>446.259750642</v>
      </c>
      <c r="G69" s="32" t="n">
        <v>446.259750642</v>
      </c>
      <c r="H69" s="32" t="n">
        <v>200.493511158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543</v>
      </c>
      <c r="C70" s="36" t="n">
        <v>15953.2471244</v>
      </c>
      <c r="D70" s="36" t="n">
        <v>0</v>
      </c>
      <c r="E70" s="36" t="n">
        <v>0</v>
      </c>
      <c r="F70" s="36" t="n">
        <v>266.41922697748</v>
      </c>
      <c r="G70" s="36" t="n">
        <v>266.41922697748</v>
      </c>
      <c r="H70" s="36" t="n">
        <v>15682.0419232852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544</v>
      </c>
      <c r="C71" s="32" t="n">
        <v>11857.143133</v>
      </c>
      <c r="D71" s="32" t="n">
        <v>7114.2858798</v>
      </c>
      <c r="E71" s="32" t="n">
        <v>0</v>
      </c>
      <c r="F71" s="32" t="n">
        <v>8181.42876177</v>
      </c>
      <c r="G71" s="32" t="n">
        <v>8181.42876177</v>
      </c>
      <c r="H71" s="32" t="n">
        <v>3675.71437123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545</v>
      </c>
      <c r="C72" s="36" t="n">
        <v>19402.597854</v>
      </c>
      <c r="D72" s="36" t="n">
        <v>0</v>
      </c>
      <c r="E72" s="36" t="n">
        <v>0</v>
      </c>
      <c r="F72" s="36" t="n">
        <v>324.0233841618</v>
      </c>
      <c r="G72" s="36" t="n">
        <v>324.0233841618</v>
      </c>
      <c r="H72" s="36" t="n">
        <v>19072.753690482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216110.23626</v>
      </c>
      <c r="D73" s="39" t="n">
        <f aca="false">SUM(D61:D72)</f>
        <v>12777.320538</v>
      </c>
      <c r="E73" s="39" t="n">
        <f aca="false">SUM(E61:E72)</f>
        <v>0</v>
      </c>
      <c r="F73" s="39" t="n">
        <f aca="false">SUM(F61:F72)</f>
        <v>17947.324142601</v>
      </c>
      <c r="G73" s="39" t="n">
        <f aca="false">SUM(G61:G72)</f>
        <v>17947.324142601</v>
      </c>
      <c r="H73" s="39" t="n">
        <f aca="false">SUM(H61:H72)</f>
        <v>198104.46770679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41007.04878425</v>
      </c>
    </row>
    <row r="77" customFormat="false" ht="15" hidden="false" customHeight="false" outlineLevel="0" collapsed="false">
      <c r="B77" s="8" t="s">
        <v>138</v>
      </c>
      <c r="C77" s="41" t="n">
        <f aca="false">G73</f>
        <v>17947.324142601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-23059.724641649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546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547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12501.88</v>
      </c>
      <c r="D11" s="16" t="n">
        <v>12501.88</v>
      </c>
    </row>
    <row r="12" customFormat="false" ht="15" hidden="false" customHeight="false" outlineLevel="0" collapsed="false">
      <c r="B12" s="8" t="s">
        <v>142</v>
      </c>
      <c r="C12" s="16" t="n">
        <v>5205.94</v>
      </c>
      <c r="D12" s="16" t="n">
        <v>5205.94</v>
      </c>
    </row>
    <row r="13" customFormat="false" ht="15" hidden="false" customHeight="false" outlineLevel="0" collapsed="false">
      <c r="B13" s="8" t="s">
        <v>143</v>
      </c>
      <c r="C13" s="16" t="n">
        <v>15832.89</v>
      </c>
      <c r="D13" s="16" t="n">
        <v>15832.89</v>
      </c>
    </row>
    <row r="14" customFormat="false" ht="15" hidden="false" customHeight="false" outlineLevel="0" collapsed="false">
      <c r="B14" s="8" t="s">
        <v>144</v>
      </c>
      <c r="C14" s="16" t="n">
        <v>4471</v>
      </c>
      <c r="D14" s="16" t="n">
        <v>4471</v>
      </c>
    </row>
    <row r="15" customFormat="false" ht="15" hidden="false" customHeight="false" outlineLevel="0" collapsed="false">
      <c r="B15" s="8" t="s">
        <v>145</v>
      </c>
      <c r="C15" s="16" t="n">
        <v>173.05</v>
      </c>
      <c r="D15" s="16" t="n">
        <v>173.05</v>
      </c>
    </row>
    <row r="16" customFormat="false" ht="15" hidden="false" customHeight="false" outlineLevel="0" collapsed="false">
      <c r="B16" s="8" t="s">
        <v>146</v>
      </c>
      <c r="C16" s="16" t="n">
        <v>2722.24</v>
      </c>
      <c r="D16" s="16" t="n">
        <v>2722.24</v>
      </c>
    </row>
    <row r="17" customFormat="false" ht="15" hidden="false" customHeight="false" outlineLevel="0" collapsed="false">
      <c r="B17" s="8" t="s">
        <v>147</v>
      </c>
      <c r="C17" s="16" t="n">
        <v>4836.87</v>
      </c>
      <c r="D17" s="16" t="n">
        <v>4836.87</v>
      </c>
    </row>
    <row r="18" customFormat="false" ht="15" hidden="false" customHeight="false" outlineLevel="0" collapsed="false">
      <c r="B18" s="8" t="s">
        <v>148</v>
      </c>
      <c r="C18" s="16" t="n">
        <v>4979.42</v>
      </c>
      <c r="D18" s="16" t="n">
        <v>4979.42</v>
      </c>
    </row>
    <row r="19" customFormat="false" ht="15" hidden="false" customHeight="false" outlineLevel="0" collapsed="false">
      <c r="B19" s="8" t="s">
        <v>149</v>
      </c>
      <c r="C19" s="16" t="n">
        <v>1766.97</v>
      </c>
      <c r="D19" s="16" t="n">
        <v>1766.97</v>
      </c>
    </row>
    <row r="20" customFormat="false" ht="15" hidden="false" customHeight="false" outlineLevel="0" collapsed="false">
      <c r="B20" s="8" t="s">
        <v>77</v>
      </c>
      <c r="C20" s="16" t="n">
        <v>67.22</v>
      </c>
      <c r="D20" s="16" t="n">
        <v>67.22</v>
      </c>
    </row>
    <row r="21" customFormat="false" ht="15" hidden="false" customHeight="false" outlineLevel="0" collapsed="false">
      <c r="B21" s="8" t="s">
        <v>150</v>
      </c>
      <c r="C21" s="16" t="n">
        <v>1622.9</v>
      </c>
      <c r="D21" s="16" t="n">
        <v>1622.9</v>
      </c>
    </row>
    <row r="22" customFormat="false" ht="15" hidden="false" customHeight="false" outlineLevel="0" collapsed="false">
      <c r="B22" s="8" t="s">
        <v>151</v>
      </c>
      <c r="C22" s="16" t="n">
        <v>3308.32</v>
      </c>
      <c r="D22" s="16" t="n">
        <v>3308.32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20286.24</v>
      </c>
      <c r="G24" s="16" t="n">
        <v>20286.24</v>
      </c>
    </row>
    <row r="25" customFormat="false" ht="15" hidden="false" customHeight="false" outlineLevel="0" collapsed="false">
      <c r="B25" s="8" t="s">
        <v>154</v>
      </c>
      <c r="C25" s="16" t="n">
        <v>17388.2</v>
      </c>
      <c r="G25" s="16" t="n">
        <v>17388.2</v>
      </c>
    </row>
    <row r="26" customFormat="false" ht="15" hidden="false" customHeight="false" outlineLevel="0" collapsed="false">
      <c r="B26" s="8" t="s">
        <v>155</v>
      </c>
      <c r="C26" s="16" t="n">
        <v>20286.24</v>
      </c>
      <c r="G26" s="16" t="n">
        <v>20286.24</v>
      </c>
    </row>
    <row r="27" customFormat="false" ht="15" hidden="false" customHeight="false" outlineLevel="0" collapsed="false">
      <c r="B27" s="8" t="s">
        <v>156</v>
      </c>
      <c r="C27" s="16" t="n">
        <v>15939.19</v>
      </c>
      <c r="G27" s="16" t="n">
        <v>15939.19</v>
      </c>
    </row>
    <row r="28" customFormat="false" ht="15" hidden="false" customHeight="false" outlineLevel="0" collapsed="false">
      <c r="B28" s="8" t="s">
        <v>157</v>
      </c>
      <c r="C28" s="16" t="n">
        <v>2318.43</v>
      </c>
      <c r="G28" s="16" t="n">
        <v>2318.43</v>
      </c>
    </row>
    <row r="29" customFormat="false" ht="15" hidden="false" customHeight="false" outlineLevel="0" collapsed="false">
      <c r="B29" s="8" t="s">
        <v>158</v>
      </c>
      <c r="C29" s="16" t="n">
        <v>17388.2</v>
      </c>
      <c r="G29" s="16" t="n">
        <v>17388.2</v>
      </c>
    </row>
    <row r="30" customFormat="false" ht="15" hidden="false" customHeight="false" outlineLevel="0" collapsed="false">
      <c r="B30" s="8" t="s">
        <v>159</v>
      </c>
      <c r="C30" s="16" t="n">
        <v>14490.17</v>
      </c>
      <c r="G30" s="16" t="n">
        <v>14490.17</v>
      </c>
    </row>
    <row r="31" customFormat="false" ht="15" hidden="false" customHeight="false" outlineLevel="0" collapsed="false">
      <c r="B31" s="8" t="s">
        <v>160</v>
      </c>
      <c r="C31" s="16" t="n">
        <v>13041.15</v>
      </c>
      <c r="G31" s="16" t="n">
        <v>13041.15</v>
      </c>
    </row>
    <row r="32" customFormat="false" ht="15" hidden="false" customHeight="false" outlineLevel="0" collapsed="false">
      <c r="B32" s="8" t="s">
        <v>161</v>
      </c>
      <c r="C32" s="16" t="n">
        <v>11592.14</v>
      </c>
      <c r="G32" s="16" t="n">
        <v>11592.14</v>
      </c>
    </row>
    <row r="33" customFormat="false" ht="15" hidden="false" customHeight="false" outlineLevel="0" collapsed="false">
      <c r="B33" s="8" t="s">
        <v>162</v>
      </c>
      <c r="C33" s="16" t="n">
        <v>31878.37</v>
      </c>
      <c r="G33" s="16" t="n">
        <v>31878.37</v>
      </c>
    </row>
    <row r="34" customFormat="false" ht="15" hidden="false" customHeight="false" outlineLevel="0" collapsed="false">
      <c r="B34" s="8" t="s">
        <v>163</v>
      </c>
      <c r="C34" s="16" t="n">
        <v>13041.15</v>
      </c>
      <c r="G34" s="16" t="n">
        <v>13041.15</v>
      </c>
    </row>
    <row r="35" customFormat="false" ht="15" hidden="false" customHeight="false" outlineLevel="0" collapsed="false">
      <c r="B35" s="8" t="s">
        <v>164</v>
      </c>
      <c r="C35" s="16" t="n">
        <v>2318.43</v>
      </c>
      <c r="G35" s="16" t="n">
        <v>2318.43</v>
      </c>
    </row>
    <row r="36" customFormat="false" ht="15" hidden="false" customHeight="false" outlineLevel="0" collapsed="false">
      <c r="B36" s="8" t="s">
        <v>165</v>
      </c>
      <c r="C36" s="16" t="n">
        <v>78246.92</v>
      </c>
      <c r="G36" s="16" t="n">
        <v>78246.92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315703.53</v>
      </c>
      <c r="D37" s="26" t="n">
        <f aca="false">SUM(D10:D36)</f>
        <v>57488.7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258214.83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38008.19</v>
      </c>
      <c r="D40" s="16" t="n">
        <v>1453.71</v>
      </c>
      <c r="G40" s="16" t="n">
        <v>31298.77</v>
      </c>
    </row>
    <row r="41" customFormat="false" ht="15" hidden="false" customHeight="false" outlineLevel="0" collapsed="false">
      <c r="B41" s="8" t="s">
        <v>166</v>
      </c>
      <c r="C41" s="16" t="n">
        <v>4877.72</v>
      </c>
      <c r="D41" s="16" t="n">
        <v>190.1</v>
      </c>
      <c r="G41" s="16" t="n">
        <v>4016.68</v>
      </c>
    </row>
    <row r="42" customFormat="false" ht="15" hidden="false" customHeight="false" outlineLevel="0" collapsed="false">
      <c r="B42" s="8" t="s">
        <v>94</v>
      </c>
      <c r="C42" s="16" t="n">
        <v>9185.31</v>
      </c>
      <c r="D42" s="16" t="n">
        <v>369.02</v>
      </c>
      <c r="G42" s="16" t="n">
        <v>7563.87</v>
      </c>
    </row>
    <row r="43" customFormat="false" ht="15" hidden="false" customHeight="false" outlineLevel="0" collapsed="false">
      <c r="B43" s="8" t="s">
        <v>95</v>
      </c>
      <c r="C43" s="16" t="n">
        <v>173148.41</v>
      </c>
      <c r="D43" s="16" t="n">
        <v>6622.45</v>
      </c>
      <c r="G43" s="16" t="n">
        <v>142583.27</v>
      </c>
    </row>
    <row r="44" customFormat="false" ht="15" hidden="false" customHeight="false" outlineLevel="0" collapsed="false">
      <c r="B44" s="8" t="s">
        <v>167</v>
      </c>
      <c r="C44" s="16" t="n">
        <v>22220.71</v>
      </c>
      <c r="D44" s="16" t="n">
        <v>866.01</v>
      </c>
      <c r="G44" s="16" t="n">
        <v>18298.19</v>
      </c>
    </row>
    <row r="45" customFormat="false" ht="15" hidden="false" customHeight="false" outlineLevel="0" collapsed="false">
      <c r="B45" s="8" t="s">
        <v>97</v>
      </c>
      <c r="C45" s="16" t="n">
        <v>41844.2</v>
      </c>
      <c r="D45" s="16" t="n">
        <v>1681.08</v>
      </c>
      <c r="G45" s="16" t="n">
        <v>34457.62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289284.54</v>
      </c>
      <c r="D46" s="26" t="n">
        <f aca="false">SUM(D40:D45)</f>
        <v>11182.37</v>
      </c>
      <c r="E46" s="24"/>
      <c r="F46" s="26" t="n">
        <f aca="false">SUM(F40:F45)</f>
        <v>0</v>
      </c>
      <c r="G46" s="26" t="n">
        <f aca="false">SUM(G40:G45)</f>
        <v>238218.4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548</v>
      </c>
      <c r="C51" s="32" t="n">
        <v>38008.18836</v>
      </c>
      <c r="D51" s="32" t="n">
        <v>0</v>
      </c>
      <c r="E51" s="32" t="n">
        <v>0</v>
      </c>
      <c r="F51" s="32" t="n">
        <v>634.736745612</v>
      </c>
      <c r="G51" s="32" t="n">
        <v>634.736745612</v>
      </c>
      <c r="H51" s="32" t="n">
        <v>37362.04915788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549</v>
      </c>
      <c r="C52" s="36" t="n">
        <v>4877.7175062</v>
      </c>
      <c r="D52" s="36" t="n">
        <v>2926.63050372</v>
      </c>
      <c r="E52" s="36" t="n">
        <v>0</v>
      </c>
      <c r="F52" s="36" t="n">
        <v>2999.796266313</v>
      </c>
      <c r="G52" s="36" t="n">
        <v>2999.796266313</v>
      </c>
      <c r="H52" s="36" t="n">
        <v>1877.921239887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550</v>
      </c>
      <c r="C53" s="32" t="n">
        <v>9185.312187</v>
      </c>
      <c r="D53" s="32" t="n">
        <v>5511.1873122</v>
      </c>
      <c r="E53" s="32" t="n">
        <v>0</v>
      </c>
      <c r="F53" s="32" t="n">
        <v>6246.01228716</v>
      </c>
      <c r="G53" s="32" t="n">
        <v>6246.01228716</v>
      </c>
      <c r="H53" s="32" t="n">
        <v>2939.29989984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551</v>
      </c>
      <c r="C54" s="36" t="n">
        <v>173148.41364</v>
      </c>
      <c r="D54" s="36" t="n">
        <v>0</v>
      </c>
      <c r="E54" s="36" t="n">
        <v>0</v>
      </c>
      <c r="F54" s="36" t="n">
        <v>2891.578507788</v>
      </c>
      <c r="G54" s="36" t="n">
        <v>2891.578507788</v>
      </c>
      <c r="H54" s="36" t="n">
        <v>170204.89060812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552</v>
      </c>
      <c r="C55" s="32" t="n">
        <v>22220.7130838</v>
      </c>
      <c r="D55" s="32" t="n">
        <v>13332.42785028</v>
      </c>
      <c r="E55" s="32" t="n">
        <v>0</v>
      </c>
      <c r="F55" s="32" t="n">
        <v>13665.738546537</v>
      </c>
      <c r="G55" s="32" t="n">
        <v>13665.738546537</v>
      </c>
      <c r="H55" s="32" t="n">
        <v>8554.974537263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553</v>
      </c>
      <c r="C56" s="36" t="n">
        <v>41844.199963</v>
      </c>
      <c r="D56" s="36" t="n">
        <v>25106.5199778</v>
      </c>
      <c r="E56" s="36" t="n">
        <v>0</v>
      </c>
      <c r="F56" s="36" t="n">
        <v>28454.05597484</v>
      </c>
      <c r="G56" s="36" t="n">
        <v>28454.05597484</v>
      </c>
      <c r="H56" s="36" t="n">
        <v>13390.14398816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289284.54474</v>
      </c>
      <c r="D57" s="39" t="n">
        <f aca="false">SUM(D51:D56)</f>
        <v>46876.765644</v>
      </c>
      <c r="E57" s="39" t="n">
        <f aca="false">SUM(E51:E56)</f>
        <v>0</v>
      </c>
      <c r="F57" s="39" t="n">
        <f aca="false">SUM(F51:F56)</f>
        <v>54891.91832825</v>
      </c>
      <c r="G57" s="39" t="n">
        <f aca="false">SUM(G51:G56)</f>
        <v>54891.91832825</v>
      </c>
      <c r="H57" s="39" t="n">
        <f aca="false">SUM(H51:H56)</f>
        <v>234329.27943115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554</v>
      </c>
      <c r="C61" s="32" t="n">
        <v>1456.9805538</v>
      </c>
      <c r="D61" s="32" t="n">
        <v>874.18833228</v>
      </c>
      <c r="E61" s="32" t="n">
        <v>0</v>
      </c>
      <c r="F61" s="32" t="n">
        <v>1005.316582122</v>
      </c>
      <c r="G61" s="32" t="n">
        <v>1005.316582122</v>
      </c>
      <c r="H61" s="32" t="n">
        <v>451.663971678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555</v>
      </c>
      <c r="C62" s="36" t="n">
        <v>36551.2078062</v>
      </c>
      <c r="D62" s="36" t="n">
        <v>0</v>
      </c>
      <c r="E62" s="36" t="n">
        <v>0</v>
      </c>
      <c r="F62" s="36" t="n">
        <v>610.40517036354</v>
      </c>
      <c r="G62" s="36" t="n">
        <v>610.40517036354</v>
      </c>
      <c r="H62" s="36" t="n">
        <v>35929.8372734946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556</v>
      </c>
      <c r="C63" s="32" t="n">
        <v>190.0409418</v>
      </c>
      <c r="D63" s="32" t="n">
        <v>114.02456508</v>
      </c>
      <c r="E63" s="32" t="n">
        <v>0</v>
      </c>
      <c r="F63" s="32" t="n">
        <v>131.128249842</v>
      </c>
      <c r="G63" s="32" t="n">
        <v>131.128249842</v>
      </c>
      <c r="H63" s="32" t="n">
        <v>58.912691958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557</v>
      </c>
      <c r="C64" s="36" t="n">
        <v>4687.6765644</v>
      </c>
      <c r="D64" s="36" t="n">
        <v>0</v>
      </c>
      <c r="E64" s="36" t="n">
        <v>0</v>
      </c>
      <c r="F64" s="36" t="n">
        <v>78.28419862548</v>
      </c>
      <c r="G64" s="36" t="n">
        <v>78.28419862548</v>
      </c>
      <c r="H64" s="36" t="n">
        <v>4607.9860628052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558</v>
      </c>
      <c r="C65" s="32" t="n">
        <v>3484.083933</v>
      </c>
      <c r="D65" s="32" t="n">
        <v>2090.4503598</v>
      </c>
      <c r="E65" s="32" t="n">
        <v>0</v>
      </c>
      <c r="F65" s="32" t="n">
        <v>2404.01791377</v>
      </c>
      <c r="G65" s="32" t="n">
        <v>2404.01791377</v>
      </c>
      <c r="H65" s="32" t="n">
        <v>1080.06601923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559</v>
      </c>
      <c r="C66" s="36" t="n">
        <v>5701.228254</v>
      </c>
      <c r="D66" s="36" t="n">
        <v>0</v>
      </c>
      <c r="E66" s="36" t="n">
        <v>0</v>
      </c>
      <c r="F66" s="36" t="n">
        <v>95.2105118418</v>
      </c>
      <c r="G66" s="36" t="n">
        <v>95.2105118418</v>
      </c>
      <c r="H66" s="36" t="n">
        <v>5604.307373682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560</v>
      </c>
      <c r="C67" s="32" t="n">
        <v>6637.3558562</v>
      </c>
      <c r="D67" s="32" t="n">
        <v>3982.41351372</v>
      </c>
      <c r="E67" s="32" t="n">
        <v>0</v>
      </c>
      <c r="F67" s="32" t="n">
        <v>4579.775540778</v>
      </c>
      <c r="G67" s="32" t="n">
        <v>4579.775540778</v>
      </c>
      <c r="H67" s="32" t="n">
        <v>2057.580315422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561</v>
      </c>
      <c r="C68" s="36" t="n">
        <v>166511.0577838</v>
      </c>
      <c r="D68" s="36" t="n">
        <v>0</v>
      </c>
      <c r="E68" s="36" t="n">
        <v>0</v>
      </c>
      <c r="F68" s="36" t="n">
        <v>2780.73466498946</v>
      </c>
      <c r="G68" s="36" t="n">
        <v>2780.73466498946</v>
      </c>
      <c r="H68" s="36" t="n">
        <v>163680.369801475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562</v>
      </c>
      <c r="C69" s="32" t="n">
        <v>865.7420682</v>
      </c>
      <c r="D69" s="32" t="n">
        <v>519.44524092</v>
      </c>
      <c r="E69" s="32" t="n">
        <v>0</v>
      </c>
      <c r="F69" s="32" t="n">
        <v>597.362027058</v>
      </c>
      <c r="G69" s="32" t="n">
        <v>597.362027058</v>
      </c>
      <c r="H69" s="32" t="n">
        <v>268.380041142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563</v>
      </c>
      <c r="C70" s="36" t="n">
        <v>21354.9710156</v>
      </c>
      <c r="D70" s="36" t="n">
        <v>0</v>
      </c>
      <c r="E70" s="36" t="n">
        <v>0</v>
      </c>
      <c r="F70" s="36" t="n">
        <v>356.62801596052</v>
      </c>
      <c r="G70" s="36" t="n">
        <v>356.62801596052</v>
      </c>
      <c r="H70" s="36" t="n">
        <v>20991.9365083348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564</v>
      </c>
      <c r="C71" s="32" t="n">
        <v>15871.937917</v>
      </c>
      <c r="D71" s="32" t="n">
        <v>9523.1627502</v>
      </c>
      <c r="E71" s="32" t="n">
        <v>0</v>
      </c>
      <c r="F71" s="32" t="n">
        <v>10951.63716273</v>
      </c>
      <c r="G71" s="32" t="n">
        <v>10951.63716273</v>
      </c>
      <c r="H71" s="32" t="n">
        <v>4920.30075427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565</v>
      </c>
      <c r="C72" s="36" t="n">
        <v>25972.262046</v>
      </c>
      <c r="D72" s="36" t="n">
        <v>0</v>
      </c>
      <c r="E72" s="36" t="n">
        <v>0</v>
      </c>
      <c r="F72" s="36" t="n">
        <v>433.7367761682</v>
      </c>
      <c r="G72" s="36" t="n">
        <v>433.7367761682</v>
      </c>
      <c r="H72" s="36" t="n">
        <v>25530.733591218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289284.54474</v>
      </c>
      <c r="D73" s="39" t="n">
        <f aca="false">SUM(D61:D72)</f>
        <v>17103.684762</v>
      </c>
      <c r="E73" s="39" t="n">
        <f aca="false">SUM(E61:E72)</f>
        <v>0</v>
      </c>
      <c r="F73" s="39" t="n">
        <f aca="false">SUM(F61:F72)</f>
        <v>24024.236814249</v>
      </c>
      <c r="G73" s="39" t="n">
        <f aca="false">SUM(G61:G72)</f>
        <v>24024.236814249</v>
      </c>
      <c r="H73" s="39" t="n">
        <f aca="false">SUM(H61:H72)</f>
        <v>265182.07440471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54891.91832825</v>
      </c>
    </row>
    <row r="77" customFormat="false" ht="15" hidden="false" customHeight="false" outlineLevel="0" collapsed="false">
      <c r="B77" s="8" t="s">
        <v>138</v>
      </c>
      <c r="C77" s="41" t="n">
        <f aca="false">G73</f>
        <v>24024.236814249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-30867.681514001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566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567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7450.23</v>
      </c>
      <c r="D11" s="16" t="n">
        <v>7450.23</v>
      </c>
    </row>
    <row r="12" customFormat="false" ht="15" hidden="false" customHeight="false" outlineLevel="0" collapsed="false">
      <c r="B12" s="8" t="s">
        <v>142</v>
      </c>
      <c r="C12" s="16" t="n">
        <v>3102.37</v>
      </c>
      <c r="D12" s="16" t="n">
        <v>3102.37</v>
      </c>
    </row>
    <row r="13" customFormat="false" ht="15" hidden="false" customHeight="false" outlineLevel="0" collapsed="false">
      <c r="B13" s="8" t="s">
        <v>143</v>
      </c>
      <c r="C13" s="16" t="n">
        <v>9435.28</v>
      </c>
      <c r="D13" s="16" t="n">
        <v>9435.28</v>
      </c>
    </row>
    <row r="14" customFormat="false" ht="15" hidden="false" customHeight="false" outlineLevel="0" collapsed="false">
      <c r="B14" s="8" t="s">
        <v>144</v>
      </c>
      <c r="C14" s="16" t="n">
        <v>2664.39</v>
      </c>
      <c r="D14" s="16" t="n">
        <v>2664.39</v>
      </c>
    </row>
    <row r="15" customFormat="false" ht="15" hidden="false" customHeight="false" outlineLevel="0" collapsed="false">
      <c r="B15" s="8" t="s">
        <v>145</v>
      </c>
      <c r="C15" s="16" t="n">
        <v>103.13</v>
      </c>
      <c r="D15" s="16" t="n">
        <v>103.13</v>
      </c>
    </row>
    <row r="16" customFormat="false" ht="15" hidden="false" customHeight="false" outlineLevel="0" collapsed="false">
      <c r="B16" s="8" t="s">
        <v>146</v>
      </c>
      <c r="C16" s="16" t="n">
        <v>1622.26</v>
      </c>
      <c r="D16" s="16" t="n">
        <v>1622.26</v>
      </c>
    </row>
    <row r="17" customFormat="false" ht="15" hidden="false" customHeight="false" outlineLevel="0" collapsed="false">
      <c r="B17" s="8" t="s">
        <v>147</v>
      </c>
      <c r="C17" s="16" t="n">
        <v>2882.43</v>
      </c>
      <c r="D17" s="16" t="n">
        <v>2882.43</v>
      </c>
    </row>
    <row r="18" customFormat="false" ht="15" hidden="false" customHeight="false" outlineLevel="0" collapsed="false">
      <c r="B18" s="8" t="s">
        <v>148</v>
      </c>
      <c r="C18" s="16" t="n">
        <v>2967.38</v>
      </c>
      <c r="D18" s="16" t="n">
        <v>2967.38</v>
      </c>
    </row>
    <row r="19" customFormat="false" ht="15" hidden="false" customHeight="false" outlineLevel="0" collapsed="false">
      <c r="B19" s="8" t="s">
        <v>149</v>
      </c>
      <c r="C19" s="16" t="n">
        <v>1052.99</v>
      </c>
      <c r="D19" s="16" t="n">
        <v>1052.99</v>
      </c>
    </row>
    <row r="20" customFormat="false" ht="15" hidden="false" customHeight="false" outlineLevel="0" collapsed="false">
      <c r="B20" s="8" t="s">
        <v>77</v>
      </c>
      <c r="C20" s="16" t="n">
        <v>40.06</v>
      </c>
      <c r="D20" s="16" t="n">
        <v>40.06</v>
      </c>
    </row>
    <row r="21" customFormat="false" ht="15" hidden="false" customHeight="false" outlineLevel="0" collapsed="false">
      <c r="B21" s="8" t="s">
        <v>150</v>
      </c>
      <c r="C21" s="16" t="n">
        <v>967.13</v>
      </c>
      <c r="D21" s="16" t="n">
        <v>967.13</v>
      </c>
    </row>
    <row r="22" customFormat="false" ht="15" hidden="false" customHeight="false" outlineLevel="0" collapsed="false">
      <c r="B22" s="8" t="s">
        <v>151</v>
      </c>
      <c r="C22" s="16" t="n">
        <v>1971.52</v>
      </c>
      <c r="D22" s="16" t="n">
        <v>1971.52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11990.11</v>
      </c>
      <c r="G24" s="16" t="n">
        <v>11990.11</v>
      </c>
    </row>
    <row r="25" customFormat="false" ht="15" hidden="false" customHeight="false" outlineLevel="0" collapsed="false">
      <c r="B25" s="8" t="s">
        <v>154</v>
      </c>
      <c r="C25" s="16" t="n">
        <v>10277.23</v>
      </c>
      <c r="G25" s="16" t="n">
        <v>10277.23</v>
      </c>
    </row>
    <row r="26" customFormat="false" ht="15" hidden="false" customHeight="false" outlineLevel="0" collapsed="false">
      <c r="B26" s="8" t="s">
        <v>155</v>
      </c>
      <c r="C26" s="16" t="n">
        <v>11990.11</v>
      </c>
      <c r="G26" s="16" t="n">
        <v>11990.11</v>
      </c>
    </row>
    <row r="27" customFormat="false" ht="15" hidden="false" customHeight="false" outlineLevel="0" collapsed="false">
      <c r="B27" s="8" t="s">
        <v>156</v>
      </c>
      <c r="C27" s="16" t="n">
        <v>9420.8</v>
      </c>
      <c r="G27" s="16" t="n">
        <v>9420.8</v>
      </c>
    </row>
    <row r="28" customFormat="false" ht="15" hidden="false" customHeight="false" outlineLevel="0" collapsed="false">
      <c r="B28" s="8" t="s">
        <v>157</v>
      </c>
      <c r="C28" s="16" t="n">
        <v>1370.3</v>
      </c>
      <c r="G28" s="16" t="n">
        <v>1370.3</v>
      </c>
    </row>
    <row r="29" customFormat="false" ht="15" hidden="false" customHeight="false" outlineLevel="0" collapsed="false">
      <c r="B29" s="8" t="s">
        <v>158</v>
      </c>
      <c r="C29" s="16" t="n">
        <v>10277.23</v>
      </c>
      <c r="G29" s="16" t="n">
        <v>10277.23</v>
      </c>
    </row>
    <row r="30" customFormat="false" ht="15" hidden="false" customHeight="false" outlineLevel="0" collapsed="false">
      <c r="B30" s="8" t="s">
        <v>159</v>
      </c>
      <c r="C30" s="16" t="n">
        <v>8564.36</v>
      </c>
      <c r="G30" s="16" t="n">
        <v>8564.36</v>
      </c>
    </row>
    <row r="31" customFormat="false" ht="15" hidden="false" customHeight="false" outlineLevel="0" collapsed="false">
      <c r="B31" s="8" t="s">
        <v>160</v>
      </c>
      <c r="C31" s="16" t="n">
        <v>7707.93</v>
      </c>
      <c r="G31" s="16" t="n">
        <v>7707.93</v>
      </c>
    </row>
    <row r="32" customFormat="false" ht="15" hidden="false" customHeight="false" outlineLevel="0" collapsed="false">
      <c r="B32" s="8" t="s">
        <v>161</v>
      </c>
      <c r="C32" s="16" t="n">
        <v>6851.49</v>
      </c>
      <c r="G32" s="16" t="n">
        <v>6851.49</v>
      </c>
    </row>
    <row r="33" customFormat="false" ht="15" hidden="false" customHeight="false" outlineLevel="0" collapsed="false">
      <c r="B33" s="8" t="s">
        <v>162</v>
      </c>
      <c r="C33" s="16" t="n">
        <v>18841.6</v>
      </c>
      <c r="G33" s="16" t="n">
        <v>18841.6</v>
      </c>
    </row>
    <row r="34" customFormat="false" ht="15" hidden="false" customHeight="false" outlineLevel="0" collapsed="false">
      <c r="B34" s="8" t="s">
        <v>163</v>
      </c>
      <c r="C34" s="16" t="n">
        <v>7707.93</v>
      </c>
      <c r="G34" s="16" t="n">
        <v>7707.93</v>
      </c>
    </row>
    <row r="35" customFormat="false" ht="15" hidden="false" customHeight="false" outlineLevel="0" collapsed="false">
      <c r="B35" s="8" t="s">
        <v>164</v>
      </c>
      <c r="C35" s="16" t="n">
        <v>1370.3</v>
      </c>
      <c r="G35" s="16" t="n">
        <v>1370.3</v>
      </c>
    </row>
    <row r="36" customFormat="false" ht="15" hidden="false" customHeight="false" outlineLevel="0" collapsed="false">
      <c r="B36" s="8" t="s">
        <v>165</v>
      </c>
      <c r="C36" s="16" t="n">
        <v>46247.55</v>
      </c>
      <c r="G36" s="16" t="n">
        <v>46247.55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186876.11</v>
      </c>
      <c r="D37" s="26" t="n">
        <f aca="false">SUM(D10:D36)</f>
        <v>34259.17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152616.94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22650.17</v>
      </c>
      <c r="D40" s="16" t="n">
        <v>899.42</v>
      </c>
      <c r="G40" s="16" t="n">
        <v>18499.02</v>
      </c>
    </row>
    <row r="41" customFormat="false" ht="15" hidden="false" customHeight="false" outlineLevel="0" collapsed="false">
      <c r="B41" s="8" t="s">
        <v>166</v>
      </c>
      <c r="C41" s="16" t="n">
        <v>2906.77</v>
      </c>
      <c r="D41" s="16" t="n">
        <v>117.62</v>
      </c>
      <c r="G41" s="16" t="n">
        <v>2374.04</v>
      </c>
    </row>
    <row r="42" customFormat="false" ht="15" hidden="false" customHeight="false" outlineLevel="0" collapsed="false">
      <c r="B42" s="8" t="s">
        <v>94</v>
      </c>
      <c r="C42" s="16" t="n">
        <v>5473.79</v>
      </c>
      <c r="D42" s="16" t="n">
        <v>228.31</v>
      </c>
      <c r="G42" s="16" t="n">
        <v>4470.6</v>
      </c>
    </row>
    <row r="43" customFormat="false" ht="15" hidden="false" customHeight="false" outlineLevel="0" collapsed="false">
      <c r="B43" s="8" t="s">
        <v>95</v>
      </c>
      <c r="C43" s="16" t="n">
        <v>103184.1</v>
      </c>
      <c r="D43" s="16" t="n">
        <v>4097.34</v>
      </c>
      <c r="G43" s="16" t="n">
        <v>84273.32</v>
      </c>
    </row>
    <row r="44" customFormat="false" ht="15" hidden="false" customHeight="false" outlineLevel="0" collapsed="false">
      <c r="B44" s="8" t="s">
        <v>167</v>
      </c>
      <c r="C44" s="16" t="n">
        <v>13241.96</v>
      </c>
      <c r="D44" s="16" t="n">
        <v>535.81</v>
      </c>
      <c r="G44" s="16" t="n">
        <v>10815.08</v>
      </c>
    </row>
    <row r="45" customFormat="false" ht="15" hidden="false" customHeight="false" outlineLevel="0" collapsed="false">
      <c r="B45" s="8" t="s">
        <v>97</v>
      </c>
      <c r="C45" s="16" t="n">
        <v>24936.16</v>
      </c>
      <c r="D45" s="16" t="n">
        <v>1040.09</v>
      </c>
      <c r="G45" s="16" t="n">
        <v>20366.05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172392.95</v>
      </c>
      <c r="D46" s="26" t="n">
        <f aca="false">SUM(D40:D45)</f>
        <v>6918.59</v>
      </c>
      <c r="E46" s="24"/>
      <c r="F46" s="26" t="n">
        <f aca="false">SUM(F40:F45)</f>
        <v>0</v>
      </c>
      <c r="G46" s="26" t="n">
        <f aca="false">SUM(G40:G45)</f>
        <v>140798.11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568</v>
      </c>
      <c r="C51" s="32" t="n">
        <v>22650.16824</v>
      </c>
      <c r="D51" s="32" t="n">
        <v>0</v>
      </c>
      <c r="E51" s="32" t="n">
        <v>0</v>
      </c>
      <c r="F51" s="32" t="n">
        <v>378.257809608</v>
      </c>
      <c r="G51" s="32" t="n">
        <v>378.257809608</v>
      </c>
      <c r="H51" s="32" t="n">
        <v>22265.11537992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569</v>
      </c>
      <c r="C52" s="36" t="n">
        <v>2906.7715908</v>
      </c>
      <c r="D52" s="36" t="n">
        <v>1744.06295448</v>
      </c>
      <c r="E52" s="36" t="n">
        <v>0</v>
      </c>
      <c r="F52" s="36" t="n">
        <v>1787.664528342</v>
      </c>
      <c r="G52" s="36" t="n">
        <v>1787.664528342</v>
      </c>
      <c r="H52" s="36" t="n">
        <v>1119.107062458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570</v>
      </c>
      <c r="C53" s="32" t="n">
        <v>5473.790658</v>
      </c>
      <c r="D53" s="32" t="n">
        <v>3284.2743948</v>
      </c>
      <c r="E53" s="32" t="n">
        <v>0</v>
      </c>
      <c r="F53" s="32" t="n">
        <v>3722.17764744</v>
      </c>
      <c r="G53" s="32" t="n">
        <v>3722.17764744</v>
      </c>
      <c r="H53" s="32" t="n">
        <v>1751.61301056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571</v>
      </c>
      <c r="C54" s="36" t="n">
        <v>103184.09976</v>
      </c>
      <c r="D54" s="36" t="n">
        <v>0</v>
      </c>
      <c r="E54" s="36" t="n">
        <v>0</v>
      </c>
      <c r="F54" s="36" t="n">
        <v>1723.174465992</v>
      </c>
      <c r="G54" s="36" t="n">
        <v>1723.174465992</v>
      </c>
      <c r="H54" s="36" t="n">
        <v>101429.97006408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572</v>
      </c>
      <c r="C55" s="32" t="n">
        <v>13241.9594692</v>
      </c>
      <c r="D55" s="32" t="n">
        <v>7945.17568152</v>
      </c>
      <c r="E55" s="32" t="n">
        <v>0</v>
      </c>
      <c r="F55" s="32" t="n">
        <v>8143.805073558</v>
      </c>
      <c r="G55" s="32" t="n">
        <v>8143.805073558</v>
      </c>
      <c r="H55" s="32" t="n">
        <v>5098.154395642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573</v>
      </c>
      <c r="C56" s="36" t="n">
        <v>24936.157442</v>
      </c>
      <c r="D56" s="36" t="n">
        <v>14961.6944652</v>
      </c>
      <c r="E56" s="36" t="n">
        <v>0</v>
      </c>
      <c r="F56" s="36" t="n">
        <v>16956.58706056</v>
      </c>
      <c r="G56" s="36" t="n">
        <v>16956.58706056</v>
      </c>
      <c r="H56" s="36" t="n">
        <v>7979.57038144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172392.94716</v>
      </c>
      <c r="D57" s="39" t="n">
        <f aca="false">SUM(D51:D56)</f>
        <v>27935.207496</v>
      </c>
      <c r="E57" s="39" t="n">
        <f aca="false">SUM(E51:E56)</f>
        <v>0</v>
      </c>
      <c r="F57" s="39" t="n">
        <f aca="false">SUM(F51:F56)</f>
        <v>32711.6665855</v>
      </c>
      <c r="G57" s="39" t="n">
        <f aca="false">SUM(G51:G56)</f>
        <v>32711.6665855</v>
      </c>
      <c r="H57" s="39" t="n">
        <f aca="false">SUM(H51:H56)</f>
        <v>139643.5302941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574</v>
      </c>
      <c r="C61" s="32" t="n">
        <v>868.2564492</v>
      </c>
      <c r="D61" s="32" t="n">
        <v>520.95386952</v>
      </c>
      <c r="E61" s="32" t="n">
        <v>0</v>
      </c>
      <c r="F61" s="32" t="n">
        <v>599.096949948</v>
      </c>
      <c r="G61" s="32" t="n">
        <v>599.096949948</v>
      </c>
      <c r="H61" s="32" t="n">
        <v>269.159499252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575</v>
      </c>
      <c r="C62" s="36" t="n">
        <v>21781.9117908</v>
      </c>
      <c r="D62" s="36" t="n">
        <v>0</v>
      </c>
      <c r="E62" s="36" t="n">
        <v>0</v>
      </c>
      <c r="F62" s="36" t="n">
        <v>363.75792690636</v>
      </c>
      <c r="G62" s="36" t="n">
        <v>363.75792690636</v>
      </c>
      <c r="H62" s="36" t="n">
        <v>21411.6192903564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576</v>
      </c>
      <c r="C63" s="32" t="n">
        <v>113.2508412</v>
      </c>
      <c r="D63" s="32" t="n">
        <v>67.95050472</v>
      </c>
      <c r="E63" s="32" t="n">
        <v>0</v>
      </c>
      <c r="F63" s="32" t="n">
        <v>78.143080428</v>
      </c>
      <c r="G63" s="32" t="n">
        <v>78.143080428</v>
      </c>
      <c r="H63" s="32" t="n">
        <v>35.107760772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577</v>
      </c>
      <c r="C64" s="36" t="n">
        <v>2793.5207496</v>
      </c>
      <c r="D64" s="36" t="n">
        <v>0</v>
      </c>
      <c r="E64" s="36" t="n">
        <v>0</v>
      </c>
      <c r="F64" s="36" t="n">
        <v>46.65179651832</v>
      </c>
      <c r="G64" s="36" t="n">
        <v>46.65179651832</v>
      </c>
      <c r="H64" s="36" t="n">
        <v>2746.0308968568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578</v>
      </c>
      <c r="C65" s="32" t="n">
        <v>2076.265422</v>
      </c>
      <c r="D65" s="32" t="n">
        <v>1245.7592532</v>
      </c>
      <c r="E65" s="32" t="n">
        <v>0</v>
      </c>
      <c r="F65" s="32" t="n">
        <v>1432.62314118</v>
      </c>
      <c r="G65" s="32" t="n">
        <v>1432.62314118</v>
      </c>
      <c r="H65" s="32" t="n">
        <v>643.64228082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579</v>
      </c>
      <c r="C66" s="36" t="n">
        <v>3397.525236</v>
      </c>
      <c r="D66" s="36" t="n">
        <v>0</v>
      </c>
      <c r="E66" s="36" t="n">
        <v>0</v>
      </c>
      <c r="F66" s="36" t="n">
        <v>56.7386714412</v>
      </c>
      <c r="G66" s="36" t="n">
        <v>56.7386714412</v>
      </c>
      <c r="H66" s="36" t="n">
        <v>3339.767306988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580</v>
      </c>
      <c r="C67" s="32" t="n">
        <v>3955.3904908</v>
      </c>
      <c r="D67" s="32" t="n">
        <v>2373.23429448</v>
      </c>
      <c r="E67" s="32" t="n">
        <v>0</v>
      </c>
      <c r="F67" s="32" t="n">
        <v>2729.219438652</v>
      </c>
      <c r="G67" s="32" t="n">
        <v>2729.219438652</v>
      </c>
      <c r="H67" s="32" t="n">
        <v>1226.171052148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581</v>
      </c>
      <c r="C68" s="36" t="n">
        <v>99228.7092692</v>
      </c>
      <c r="D68" s="36" t="n">
        <v>0</v>
      </c>
      <c r="E68" s="36" t="n">
        <v>0</v>
      </c>
      <c r="F68" s="36" t="n">
        <v>1657.11944479564</v>
      </c>
      <c r="G68" s="36" t="n">
        <v>1657.11944479564</v>
      </c>
      <c r="H68" s="36" t="n">
        <v>97541.8212116236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582</v>
      </c>
      <c r="C69" s="32" t="n">
        <v>515.9204988</v>
      </c>
      <c r="D69" s="32" t="n">
        <v>309.55229928</v>
      </c>
      <c r="E69" s="32" t="n">
        <v>0</v>
      </c>
      <c r="F69" s="32" t="n">
        <v>355.985144172</v>
      </c>
      <c r="G69" s="32" t="n">
        <v>355.985144172</v>
      </c>
      <c r="H69" s="32" t="n">
        <v>159.935354628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583</v>
      </c>
      <c r="C70" s="36" t="n">
        <v>12726.0389704</v>
      </c>
      <c r="D70" s="36" t="n">
        <v>0</v>
      </c>
      <c r="E70" s="36" t="n">
        <v>0</v>
      </c>
      <c r="F70" s="36" t="n">
        <v>212.52485080568</v>
      </c>
      <c r="G70" s="36" t="n">
        <v>212.52485080568</v>
      </c>
      <c r="H70" s="36" t="n">
        <v>12509.6963079032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584</v>
      </c>
      <c r="C71" s="32" t="n">
        <v>9458.542478</v>
      </c>
      <c r="D71" s="32" t="n">
        <v>5675.1254868</v>
      </c>
      <c r="E71" s="32" t="n">
        <v>0</v>
      </c>
      <c r="F71" s="32" t="n">
        <v>6526.39430982</v>
      </c>
      <c r="G71" s="32" t="n">
        <v>6526.39430982</v>
      </c>
      <c r="H71" s="32" t="n">
        <v>2932.14816818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585</v>
      </c>
      <c r="C72" s="36" t="n">
        <v>15477.614964</v>
      </c>
      <c r="D72" s="36" t="n">
        <v>0</v>
      </c>
      <c r="E72" s="36" t="n">
        <v>0</v>
      </c>
      <c r="F72" s="36" t="n">
        <v>258.4761698988</v>
      </c>
      <c r="G72" s="36" t="n">
        <v>258.4761698988</v>
      </c>
      <c r="H72" s="36" t="n">
        <v>15214.495509612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172392.94716</v>
      </c>
      <c r="D73" s="39" t="n">
        <f aca="false">SUM(D61:D72)</f>
        <v>10192.575708</v>
      </c>
      <c r="E73" s="39" t="n">
        <f aca="false">SUM(E61:E72)</f>
        <v>0</v>
      </c>
      <c r="F73" s="39" t="n">
        <f aca="false">SUM(F61:F72)</f>
        <v>14316.730924566</v>
      </c>
      <c r="G73" s="39" t="n">
        <f aca="false">SUM(G61:G72)</f>
        <v>14316.730924566</v>
      </c>
      <c r="H73" s="39" t="n">
        <f aca="false">SUM(H61:H72)</f>
        <v>158029.59463914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32711.6665855</v>
      </c>
    </row>
    <row r="77" customFormat="false" ht="15" hidden="false" customHeight="false" outlineLevel="0" collapsed="false">
      <c r="B77" s="8" t="s">
        <v>138</v>
      </c>
      <c r="C77" s="41" t="n">
        <f aca="false">G73</f>
        <v>14316.730924566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-18394.935660934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586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587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9339.54</v>
      </c>
      <c r="D11" s="16" t="n">
        <v>9339.54</v>
      </c>
    </row>
    <row r="12" customFormat="false" ht="15" hidden="false" customHeight="false" outlineLevel="0" collapsed="false">
      <c r="B12" s="8" t="s">
        <v>142</v>
      </c>
      <c r="C12" s="16" t="n">
        <v>3889.1</v>
      </c>
      <c r="D12" s="16" t="n">
        <v>3889.1</v>
      </c>
    </row>
    <row r="13" customFormat="false" ht="15" hidden="false" customHeight="false" outlineLevel="0" collapsed="false">
      <c r="B13" s="8" t="s">
        <v>143</v>
      </c>
      <c r="C13" s="16" t="n">
        <v>11827.98</v>
      </c>
      <c r="D13" s="16" t="n">
        <v>11827.98</v>
      </c>
    </row>
    <row r="14" customFormat="false" ht="15" hidden="false" customHeight="false" outlineLevel="0" collapsed="false">
      <c r="B14" s="8" t="s">
        <v>144</v>
      </c>
      <c r="C14" s="16" t="n">
        <v>3340.06</v>
      </c>
      <c r="D14" s="16" t="n">
        <v>3340.06</v>
      </c>
    </row>
    <row r="15" customFormat="false" ht="15" hidden="false" customHeight="false" outlineLevel="0" collapsed="false">
      <c r="B15" s="8" t="s">
        <v>145</v>
      </c>
      <c r="C15" s="16" t="n">
        <v>129.28</v>
      </c>
      <c r="D15" s="16" t="n">
        <v>129.28</v>
      </c>
    </row>
    <row r="16" customFormat="false" ht="15" hidden="false" customHeight="false" outlineLevel="0" collapsed="false">
      <c r="B16" s="8" t="s">
        <v>146</v>
      </c>
      <c r="C16" s="16" t="n">
        <v>2033.65</v>
      </c>
      <c r="D16" s="16" t="n">
        <v>2033.65</v>
      </c>
    </row>
    <row r="17" customFormat="false" ht="15" hidden="false" customHeight="false" outlineLevel="0" collapsed="false">
      <c r="B17" s="8" t="s">
        <v>147</v>
      </c>
      <c r="C17" s="16" t="n">
        <v>3613.39</v>
      </c>
      <c r="D17" s="16" t="n">
        <v>3613.39</v>
      </c>
    </row>
    <row r="18" customFormat="false" ht="15" hidden="false" customHeight="false" outlineLevel="0" collapsed="false">
      <c r="B18" s="8" t="s">
        <v>148</v>
      </c>
      <c r="C18" s="16" t="n">
        <v>3719.88</v>
      </c>
      <c r="D18" s="16" t="n">
        <v>3719.88</v>
      </c>
    </row>
    <row r="19" customFormat="false" ht="15" hidden="false" customHeight="false" outlineLevel="0" collapsed="false">
      <c r="B19" s="8" t="s">
        <v>149</v>
      </c>
      <c r="C19" s="16" t="n">
        <v>1320.02</v>
      </c>
      <c r="D19" s="16" t="n">
        <v>1320.02</v>
      </c>
    </row>
    <row r="20" customFormat="false" ht="15" hidden="false" customHeight="false" outlineLevel="0" collapsed="false">
      <c r="B20" s="8" t="s">
        <v>77</v>
      </c>
      <c r="C20" s="16" t="n">
        <v>50.22</v>
      </c>
      <c r="D20" s="16" t="n">
        <v>50.22</v>
      </c>
    </row>
    <row r="21" customFormat="false" ht="15" hidden="false" customHeight="false" outlineLevel="0" collapsed="false">
      <c r="B21" s="8" t="s">
        <v>150</v>
      </c>
      <c r="C21" s="16" t="n">
        <v>1212.39</v>
      </c>
      <c r="D21" s="16" t="n">
        <v>1212.39</v>
      </c>
    </row>
    <row r="22" customFormat="false" ht="15" hidden="false" customHeight="false" outlineLevel="0" collapsed="false">
      <c r="B22" s="8" t="s">
        <v>151</v>
      </c>
      <c r="C22" s="16" t="n">
        <v>2471.48</v>
      </c>
      <c r="D22" s="16" t="n">
        <v>2471.48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15139.58</v>
      </c>
      <c r="G24" s="16" t="n">
        <v>15139.58</v>
      </c>
    </row>
    <row r="25" customFormat="false" ht="15" hidden="false" customHeight="false" outlineLevel="0" collapsed="false">
      <c r="B25" s="8" t="s">
        <v>154</v>
      </c>
      <c r="C25" s="16" t="n">
        <v>12976.78</v>
      </c>
      <c r="G25" s="16" t="n">
        <v>12976.78</v>
      </c>
    </row>
    <row r="26" customFormat="false" ht="15" hidden="false" customHeight="false" outlineLevel="0" collapsed="false">
      <c r="B26" s="8" t="s">
        <v>155</v>
      </c>
      <c r="C26" s="16" t="n">
        <v>15139.58</v>
      </c>
      <c r="G26" s="16" t="n">
        <v>15139.58</v>
      </c>
    </row>
    <row r="27" customFormat="false" ht="15" hidden="false" customHeight="false" outlineLevel="0" collapsed="false">
      <c r="B27" s="8" t="s">
        <v>156</v>
      </c>
      <c r="C27" s="16" t="n">
        <v>11895.38</v>
      </c>
      <c r="G27" s="16" t="n">
        <v>11895.38</v>
      </c>
    </row>
    <row r="28" customFormat="false" ht="15" hidden="false" customHeight="false" outlineLevel="0" collapsed="false">
      <c r="B28" s="8" t="s">
        <v>157</v>
      </c>
      <c r="C28" s="16" t="n">
        <v>1730.24</v>
      </c>
      <c r="G28" s="16" t="n">
        <v>1730.24</v>
      </c>
    </row>
    <row r="29" customFormat="false" ht="15" hidden="false" customHeight="false" outlineLevel="0" collapsed="false">
      <c r="B29" s="8" t="s">
        <v>158</v>
      </c>
      <c r="C29" s="16" t="n">
        <v>12976.78</v>
      </c>
      <c r="G29" s="16" t="n">
        <v>12976.78</v>
      </c>
    </row>
    <row r="30" customFormat="false" ht="15" hidden="false" customHeight="false" outlineLevel="0" collapsed="false">
      <c r="B30" s="8" t="s">
        <v>159</v>
      </c>
      <c r="C30" s="16" t="n">
        <v>10813.99</v>
      </c>
      <c r="G30" s="16" t="n">
        <v>10813.99</v>
      </c>
    </row>
    <row r="31" customFormat="false" ht="15" hidden="false" customHeight="false" outlineLevel="0" collapsed="false">
      <c r="B31" s="8" t="s">
        <v>160</v>
      </c>
      <c r="C31" s="16" t="n">
        <v>9732.59</v>
      </c>
      <c r="G31" s="16" t="n">
        <v>9732.59</v>
      </c>
    </row>
    <row r="32" customFormat="false" ht="15" hidden="false" customHeight="false" outlineLevel="0" collapsed="false">
      <c r="B32" s="8" t="s">
        <v>161</v>
      </c>
      <c r="C32" s="16" t="n">
        <v>8651.19</v>
      </c>
      <c r="G32" s="16" t="n">
        <v>8651.19</v>
      </c>
    </row>
    <row r="33" customFormat="false" ht="15" hidden="false" customHeight="false" outlineLevel="0" collapsed="false">
      <c r="B33" s="8" t="s">
        <v>162</v>
      </c>
      <c r="C33" s="16" t="n">
        <v>23790.77</v>
      </c>
      <c r="G33" s="16" t="n">
        <v>23790.77</v>
      </c>
    </row>
    <row r="34" customFormat="false" ht="15" hidden="false" customHeight="false" outlineLevel="0" collapsed="false">
      <c r="B34" s="8" t="s">
        <v>163</v>
      </c>
      <c r="C34" s="16" t="n">
        <v>9732.59</v>
      </c>
      <c r="G34" s="16" t="n">
        <v>9732.59</v>
      </c>
    </row>
    <row r="35" customFormat="false" ht="15" hidden="false" customHeight="false" outlineLevel="0" collapsed="false">
      <c r="B35" s="8" t="s">
        <v>164</v>
      </c>
      <c r="C35" s="16" t="n">
        <v>1730.24</v>
      </c>
      <c r="G35" s="16" t="n">
        <v>1730.24</v>
      </c>
    </row>
    <row r="36" customFormat="false" ht="15" hidden="false" customHeight="false" outlineLevel="0" collapsed="false">
      <c r="B36" s="8" t="s">
        <v>165</v>
      </c>
      <c r="C36" s="16" t="n">
        <v>58395.52</v>
      </c>
      <c r="G36" s="16" t="n">
        <v>58395.52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235652.22</v>
      </c>
      <c r="D37" s="26" t="n">
        <f aca="false">SUM(D10:D36)</f>
        <v>42946.99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192705.23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28394.05</v>
      </c>
      <c r="D40" s="16" t="n">
        <v>1091.1</v>
      </c>
      <c r="G40" s="16" t="n">
        <v>23358.21</v>
      </c>
    </row>
    <row r="41" customFormat="false" ht="15" hidden="false" customHeight="false" outlineLevel="0" collapsed="false">
      <c r="B41" s="8" t="s">
        <v>166</v>
      </c>
      <c r="C41" s="16" t="n">
        <v>3643.9</v>
      </c>
      <c r="D41" s="16" t="n">
        <v>142.68</v>
      </c>
      <c r="G41" s="16" t="n">
        <v>2997.64</v>
      </c>
    </row>
    <row r="42" customFormat="false" ht="15" hidden="false" customHeight="false" outlineLevel="0" collapsed="false">
      <c r="B42" s="8" t="s">
        <v>94</v>
      </c>
      <c r="C42" s="16" t="n">
        <v>6861.89</v>
      </c>
      <c r="D42" s="16" t="n">
        <v>276.97</v>
      </c>
      <c r="G42" s="16" t="n">
        <v>5644.9</v>
      </c>
    </row>
    <row r="43" customFormat="false" ht="15" hidden="false" customHeight="false" outlineLevel="0" collapsed="false">
      <c r="B43" s="8" t="s">
        <v>95</v>
      </c>
      <c r="C43" s="16" t="n">
        <v>129350.65</v>
      </c>
      <c r="D43" s="16" t="n">
        <v>4970.56</v>
      </c>
      <c r="G43" s="16" t="n">
        <v>106409.61</v>
      </c>
    </row>
    <row r="44" customFormat="false" ht="15" hidden="false" customHeight="false" outlineLevel="0" collapsed="false">
      <c r="B44" s="8" t="s">
        <v>167</v>
      </c>
      <c r="C44" s="16" t="n">
        <v>16600</v>
      </c>
      <c r="D44" s="16" t="n">
        <v>650</v>
      </c>
      <c r="G44" s="16" t="n">
        <v>13655.9</v>
      </c>
    </row>
    <row r="45" customFormat="false" ht="15" hidden="false" customHeight="false" outlineLevel="0" collapsed="false">
      <c r="B45" s="8" t="s">
        <v>97</v>
      </c>
      <c r="C45" s="16" t="n">
        <v>31259.74</v>
      </c>
      <c r="D45" s="16" t="n">
        <v>1261.76</v>
      </c>
      <c r="G45" s="16" t="n">
        <v>25715.66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216110.23</v>
      </c>
      <c r="D46" s="26" t="n">
        <f aca="false">SUM(D40:D45)</f>
        <v>8393.07</v>
      </c>
      <c r="E46" s="24"/>
      <c r="F46" s="26" t="n">
        <f aca="false">SUM(F40:F45)</f>
        <v>0</v>
      </c>
      <c r="G46" s="26" t="n">
        <f aca="false">SUM(G40:G45)</f>
        <v>177781.92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588</v>
      </c>
      <c r="C51" s="32" t="n">
        <v>28394.04564</v>
      </c>
      <c r="D51" s="32" t="n">
        <v>0</v>
      </c>
      <c r="E51" s="32" t="n">
        <v>0</v>
      </c>
      <c r="F51" s="32" t="n">
        <v>474.180562188</v>
      </c>
      <c r="G51" s="32" t="n">
        <v>474.180562188</v>
      </c>
      <c r="H51" s="32" t="n">
        <v>27911.34686412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589</v>
      </c>
      <c r="C52" s="36" t="n">
        <v>3643.9025238</v>
      </c>
      <c r="D52" s="36" t="n">
        <v>2186.34151428</v>
      </c>
      <c r="E52" s="36" t="n">
        <v>0</v>
      </c>
      <c r="F52" s="36" t="n">
        <v>2241.000052137</v>
      </c>
      <c r="G52" s="36" t="n">
        <v>2241.000052137</v>
      </c>
      <c r="H52" s="36" t="n">
        <v>1402.902471663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590</v>
      </c>
      <c r="C53" s="32" t="n">
        <v>6861.894363</v>
      </c>
      <c r="D53" s="32" t="n">
        <v>4117.1366178</v>
      </c>
      <c r="E53" s="32" t="n">
        <v>0</v>
      </c>
      <c r="F53" s="32" t="n">
        <v>4666.08816684</v>
      </c>
      <c r="G53" s="32" t="n">
        <v>4666.08816684</v>
      </c>
      <c r="H53" s="32" t="n">
        <v>2195.80619616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591</v>
      </c>
      <c r="C54" s="36" t="n">
        <v>129350.65236</v>
      </c>
      <c r="D54" s="36" t="n">
        <v>0</v>
      </c>
      <c r="E54" s="36" t="n">
        <v>0</v>
      </c>
      <c r="F54" s="36" t="n">
        <v>2160.155894412</v>
      </c>
      <c r="G54" s="36" t="n">
        <v>2160.155894412</v>
      </c>
      <c r="H54" s="36" t="n">
        <v>127151.69126988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592</v>
      </c>
      <c r="C55" s="32" t="n">
        <v>16600.0003862</v>
      </c>
      <c r="D55" s="32" t="n">
        <v>9960.00023172</v>
      </c>
      <c r="E55" s="32" t="n">
        <v>0</v>
      </c>
      <c r="F55" s="32" t="n">
        <v>10209.000237513</v>
      </c>
      <c r="G55" s="32" t="n">
        <v>10209.000237513</v>
      </c>
      <c r="H55" s="32" t="n">
        <v>6391.000148687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593</v>
      </c>
      <c r="C56" s="36" t="n">
        <v>31259.740987</v>
      </c>
      <c r="D56" s="36" t="n">
        <v>18755.8445922</v>
      </c>
      <c r="E56" s="36" t="n">
        <v>0</v>
      </c>
      <c r="F56" s="36" t="n">
        <v>21256.62387116</v>
      </c>
      <c r="G56" s="36" t="n">
        <v>21256.62387116</v>
      </c>
      <c r="H56" s="36" t="n">
        <v>10003.11711584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216110.23626</v>
      </c>
      <c r="D57" s="39" t="n">
        <f aca="false">SUM(D51:D56)</f>
        <v>35019.322956</v>
      </c>
      <c r="E57" s="39" t="n">
        <f aca="false">SUM(E51:E56)</f>
        <v>0</v>
      </c>
      <c r="F57" s="39" t="n">
        <f aca="false">SUM(F51:F56)</f>
        <v>41007.04878425</v>
      </c>
      <c r="G57" s="39" t="n">
        <f aca="false">SUM(G51:G56)</f>
        <v>41007.04878425</v>
      </c>
      <c r="H57" s="39" t="n">
        <f aca="false">SUM(H51:H56)</f>
        <v>175055.86406635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594</v>
      </c>
      <c r="C61" s="32" t="n">
        <v>1088.4384162</v>
      </c>
      <c r="D61" s="32" t="n">
        <v>653.06304972</v>
      </c>
      <c r="E61" s="32" t="n">
        <v>0</v>
      </c>
      <c r="F61" s="32" t="n">
        <v>751.022507178</v>
      </c>
      <c r="G61" s="32" t="n">
        <v>751.022507178</v>
      </c>
      <c r="H61" s="32" t="n">
        <v>337.415909022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595</v>
      </c>
      <c r="C62" s="36" t="n">
        <v>27305.6072238</v>
      </c>
      <c r="D62" s="36" t="n">
        <v>0</v>
      </c>
      <c r="E62" s="36" t="n">
        <v>0</v>
      </c>
      <c r="F62" s="36" t="n">
        <v>456.00364063746</v>
      </c>
      <c r="G62" s="36" t="n">
        <v>456.00364063746</v>
      </c>
      <c r="H62" s="36" t="n">
        <v>26841.4119009954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596</v>
      </c>
      <c r="C63" s="32" t="n">
        <v>141.9702282</v>
      </c>
      <c r="D63" s="32" t="n">
        <v>85.18213692</v>
      </c>
      <c r="E63" s="32" t="n">
        <v>0</v>
      </c>
      <c r="F63" s="32" t="n">
        <v>97.959457458</v>
      </c>
      <c r="G63" s="32" t="n">
        <v>97.959457458</v>
      </c>
      <c r="H63" s="32" t="n">
        <v>44.010770742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597</v>
      </c>
      <c r="C64" s="36" t="n">
        <v>3501.9322956</v>
      </c>
      <c r="D64" s="36" t="n">
        <v>0</v>
      </c>
      <c r="E64" s="36" t="n">
        <v>0</v>
      </c>
      <c r="F64" s="36" t="n">
        <v>58.48226933652</v>
      </c>
      <c r="G64" s="36" t="n">
        <v>58.48226933652</v>
      </c>
      <c r="H64" s="36" t="n">
        <v>3442.3994465748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598</v>
      </c>
      <c r="C65" s="32" t="n">
        <v>2602.787517</v>
      </c>
      <c r="D65" s="32" t="n">
        <v>1561.6725102</v>
      </c>
      <c r="E65" s="32" t="n">
        <v>0</v>
      </c>
      <c r="F65" s="32" t="n">
        <v>1795.92338673</v>
      </c>
      <c r="G65" s="32" t="n">
        <v>1795.92338673</v>
      </c>
      <c r="H65" s="32" t="n">
        <v>806.86413027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599</v>
      </c>
      <c r="C66" s="36" t="n">
        <v>4259.106846</v>
      </c>
      <c r="D66" s="36" t="n">
        <v>0</v>
      </c>
      <c r="E66" s="36" t="n">
        <v>0</v>
      </c>
      <c r="F66" s="36" t="n">
        <v>71.1270843282</v>
      </c>
      <c r="G66" s="36" t="n">
        <v>71.1270843282</v>
      </c>
      <c r="H66" s="36" t="n">
        <v>4186.702029618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600</v>
      </c>
      <c r="C67" s="32" t="n">
        <v>4958.4416738</v>
      </c>
      <c r="D67" s="32" t="n">
        <v>2975.06500428</v>
      </c>
      <c r="E67" s="32" t="n">
        <v>0</v>
      </c>
      <c r="F67" s="32" t="n">
        <v>3421.324754922</v>
      </c>
      <c r="G67" s="32" t="n">
        <v>3421.324754922</v>
      </c>
      <c r="H67" s="32" t="n">
        <v>1537.116918878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601</v>
      </c>
      <c r="C68" s="36" t="n">
        <v>124392.2106862</v>
      </c>
      <c r="D68" s="36" t="n">
        <v>0</v>
      </c>
      <c r="E68" s="36" t="n">
        <v>0</v>
      </c>
      <c r="F68" s="36" t="n">
        <v>2077.34991845954</v>
      </c>
      <c r="G68" s="36" t="n">
        <v>2077.34991845954</v>
      </c>
      <c r="H68" s="36" t="n">
        <v>122277.543104535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602</v>
      </c>
      <c r="C69" s="32" t="n">
        <v>646.7532618</v>
      </c>
      <c r="D69" s="32" t="n">
        <v>388.05195708</v>
      </c>
      <c r="E69" s="32" t="n">
        <v>0</v>
      </c>
      <c r="F69" s="32" t="n">
        <v>446.259750642</v>
      </c>
      <c r="G69" s="32" t="n">
        <v>446.259750642</v>
      </c>
      <c r="H69" s="32" t="n">
        <v>200.493511158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603</v>
      </c>
      <c r="C70" s="36" t="n">
        <v>15953.2471244</v>
      </c>
      <c r="D70" s="36" t="n">
        <v>0</v>
      </c>
      <c r="E70" s="36" t="n">
        <v>0</v>
      </c>
      <c r="F70" s="36" t="n">
        <v>266.41922697748</v>
      </c>
      <c r="G70" s="36" t="n">
        <v>266.41922697748</v>
      </c>
      <c r="H70" s="36" t="n">
        <v>15682.0419232852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604</v>
      </c>
      <c r="C71" s="32" t="n">
        <v>11857.143133</v>
      </c>
      <c r="D71" s="32" t="n">
        <v>7114.2858798</v>
      </c>
      <c r="E71" s="32" t="n">
        <v>0</v>
      </c>
      <c r="F71" s="32" t="n">
        <v>8181.42876177</v>
      </c>
      <c r="G71" s="32" t="n">
        <v>8181.42876177</v>
      </c>
      <c r="H71" s="32" t="n">
        <v>3675.71437123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605</v>
      </c>
      <c r="C72" s="36" t="n">
        <v>19402.597854</v>
      </c>
      <c r="D72" s="36" t="n">
        <v>0</v>
      </c>
      <c r="E72" s="36" t="n">
        <v>0</v>
      </c>
      <c r="F72" s="36" t="n">
        <v>324.0233841618</v>
      </c>
      <c r="G72" s="36" t="n">
        <v>324.0233841618</v>
      </c>
      <c r="H72" s="36" t="n">
        <v>19072.753690482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216110.23626</v>
      </c>
      <c r="D73" s="39" t="n">
        <f aca="false">SUM(D61:D72)</f>
        <v>12777.320538</v>
      </c>
      <c r="E73" s="39" t="n">
        <f aca="false">SUM(E61:E72)</f>
        <v>0</v>
      </c>
      <c r="F73" s="39" t="n">
        <f aca="false">SUM(F61:F72)</f>
        <v>17947.324142601</v>
      </c>
      <c r="G73" s="39" t="n">
        <f aca="false">SUM(G61:G72)</f>
        <v>17947.324142601</v>
      </c>
      <c r="H73" s="39" t="n">
        <f aca="false">SUM(H61:H72)</f>
        <v>198104.46770679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41007.04878425</v>
      </c>
    </row>
    <row r="77" customFormat="false" ht="15" hidden="false" customHeight="false" outlineLevel="0" collapsed="false">
      <c r="B77" s="8" t="s">
        <v>138</v>
      </c>
      <c r="C77" s="41" t="n">
        <f aca="false">G73</f>
        <v>17947.324142601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-23059.724641649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606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607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295.58</v>
      </c>
      <c r="D11" s="16" t="n">
        <v>295.58</v>
      </c>
    </row>
    <row r="12" customFormat="false" ht="15" hidden="false" customHeight="false" outlineLevel="0" collapsed="false">
      <c r="B12" s="8" t="s">
        <v>142</v>
      </c>
      <c r="C12" s="16" t="n">
        <v>123.08</v>
      </c>
      <c r="D12" s="16" t="n">
        <v>123.08</v>
      </c>
    </row>
    <row r="13" customFormat="false" ht="15" hidden="false" customHeight="false" outlineLevel="0" collapsed="false">
      <c r="B13" s="8" t="s">
        <v>143</v>
      </c>
      <c r="C13" s="16" t="n">
        <v>374.33</v>
      </c>
      <c r="D13" s="16" t="n">
        <v>374.33</v>
      </c>
    </row>
    <row r="14" customFormat="false" ht="15" hidden="false" customHeight="false" outlineLevel="0" collapsed="false">
      <c r="B14" s="8" t="s">
        <v>144</v>
      </c>
      <c r="C14" s="16" t="n">
        <v>105.71</v>
      </c>
      <c r="D14" s="16" t="n">
        <v>105.71</v>
      </c>
    </row>
    <row r="15" customFormat="false" ht="15" hidden="false" customHeight="false" outlineLevel="0" collapsed="false">
      <c r="B15" s="8" t="s">
        <v>145</v>
      </c>
      <c r="C15" s="16" t="n">
        <v>4.09</v>
      </c>
      <c r="D15" s="16" t="n">
        <v>4.09</v>
      </c>
    </row>
    <row r="16" customFormat="false" ht="15" hidden="false" customHeight="false" outlineLevel="0" collapsed="false">
      <c r="B16" s="8" t="s">
        <v>146</v>
      </c>
      <c r="C16" s="16" t="n">
        <v>64.36</v>
      </c>
      <c r="D16" s="16" t="n">
        <v>64.36</v>
      </c>
    </row>
    <row r="17" customFormat="false" ht="15" hidden="false" customHeight="false" outlineLevel="0" collapsed="false">
      <c r="B17" s="8" t="s">
        <v>147</v>
      </c>
      <c r="C17" s="16" t="n">
        <v>114.36</v>
      </c>
      <c r="D17" s="16" t="n">
        <v>114.36</v>
      </c>
    </row>
    <row r="18" customFormat="false" ht="15" hidden="false" customHeight="false" outlineLevel="0" collapsed="false">
      <c r="B18" s="8" t="s">
        <v>148</v>
      </c>
      <c r="C18" s="16" t="n">
        <v>117.73</v>
      </c>
      <c r="D18" s="16" t="n">
        <v>117.73</v>
      </c>
    </row>
    <row r="19" customFormat="false" ht="15" hidden="false" customHeight="false" outlineLevel="0" collapsed="false">
      <c r="B19" s="8" t="s">
        <v>149</v>
      </c>
      <c r="C19" s="16" t="n">
        <v>41.78</v>
      </c>
      <c r="D19" s="16" t="n">
        <v>41.78</v>
      </c>
    </row>
    <row r="20" customFormat="false" ht="15" hidden="false" customHeight="false" outlineLevel="0" collapsed="false">
      <c r="B20" s="8" t="s">
        <v>77</v>
      </c>
      <c r="C20" s="16" t="n">
        <v>1.59</v>
      </c>
      <c r="D20" s="16" t="n">
        <v>1.59</v>
      </c>
    </row>
    <row r="21" customFormat="false" ht="15" hidden="false" customHeight="false" outlineLevel="0" collapsed="false">
      <c r="B21" s="8" t="s">
        <v>150</v>
      </c>
      <c r="C21" s="16" t="n">
        <v>38.37</v>
      </c>
      <c r="D21" s="16" t="n">
        <v>38.37</v>
      </c>
    </row>
    <row r="22" customFormat="false" ht="15" hidden="false" customHeight="false" outlineLevel="0" collapsed="false">
      <c r="B22" s="8" t="s">
        <v>151</v>
      </c>
      <c r="C22" s="16" t="n">
        <v>78.22</v>
      </c>
      <c r="D22" s="16" t="n">
        <v>78.22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480.61</v>
      </c>
      <c r="G24" s="16" t="n">
        <v>480.61</v>
      </c>
    </row>
    <row r="25" customFormat="false" ht="15" hidden="false" customHeight="false" outlineLevel="0" collapsed="false">
      <c r="B25" s="8" t="s">
        <v>154</v>
      </c>
      <c r="C25" s="16" t="n">
        <v>411.95</v>
      </c>
      <c r="G25" s="16" t="n">
        <v>411.95</v>
      </c>
    </row>
    <row r="26" customFormat="false" ht="15" hidden="false" customHeight="false" outlineLevel="0" collapsed="false">
      <c r="B26" s="8" t="s">
        <v>155</v>
      </c>
      <c r="C26" s="16" t="n">
        <v>480.61</v>
      </c>
      <c r="G26" s="16" t="n">
        <v>480.61</v>
      </c>
    </row>
    <row r="27" customFormat="false" ht="15" hidden="false" customHeight="false" outlineLevel="0" collapsed="false">
      <c r="B27" s="8" t="s">
        <v>156</v>
      </c>
      <c r="C27" s="16" t="n">
        <v>377.62</v>
      </c>
      <c r="G27" s="16" t="n">
        <v>377.62</v>
      </c>
    </row>
    <row r="28" customFormat="false" ht="15" hidden="false" customHeight="false" outlineLevel="0" collapsed="false">
      <c r="B28" s="8" t="s">
        <v>157</v>
      </c>
      <c r="C28" s="16" t="n">
        <v>54.93</v>
      </c>
      <c r="G28" s="16" t="n">
        <v>54.93</v>
      </c>
    </row>
    <row r="29" customFormat="false" ht="15" hidden="false" customHeight="false" outlineLevel="0" collapsed="false">
      <c r="B29" s="8" t="s">
        <v>158</v>
      </c>
      <c r="C29" s="16" t="n">
        <v>411.95</v>
      </c>
      <c r="G29" s="16" t="n">
        <v>411.95</v>
      </c>
    </row>
    <row r="30" customFormat="false" ht="15" hidden="false" customHeight="false" outlineLevel="0" collapsed="false">
      <c r="B30" s="8" t="s">
        <v>159</v>
      </c>
      <c r="C30" s="16" t="n">
        <v>343.29</v>
      </c>
      <c r="G30" s="16" t="n">
        <v>343.29</v>
      </c>
    </row>
    <row r="31" customFormat="false" ht="15" hidden="false" customHeight="false" outlineLevel="0" collapsed="false">
      <c r="B31" s="8" t="s">
        <v>160</v>
      </c>
      <c r="C31" s="16" t="n">
        <v>308.96</v>
      </c>
      <c r="G31" s="16" t="n">
        <v>308.96</v>
      </c>
    </row>
    <row r="32" customFormat="false" ht="15" hidden="false" customHeight="false" outlineLevel="0" collapsed="false">
      <c r="B32" s="8" t="s">
        <v>161</v>
      </c>
      <c r="C32" s="16" t="n">
        <v>274.63</v>
      </c>
      <c r="G32" s="16" t="n">
        <v>274.63</v>
      </c>
    </row>
    <row r="33" customFormat="false" ht="15" hidden="false" customHeight="false" outlineLevel="0" collapsed="false">
      <c r="B33" s="8" t="s">
        <v>162</v>
      </c>
      <c r="C33" s="16" t="n">
        <v>755.24</v>
      </c>
      <c r="G33" s="16" t="n">
        <v>755.24</v>
      </c>
    </row>
    <row r="34" customFormat="false" ht="15" hidden="false" customHeight="false" outlineLevel="0" collapsed="false">
      <c r="B34" s="8" t="s">
        <v>163</v>
      </c>
      <c r="C34" s="16" t="n">
        <v>308.96</v>
      </c>
      <c r="G34" s="16" t="n">
        <v>308.96</v>
      </c>
    </row>
    <row r="35" customFormat="false" ht="15" hidden="false" customHeight="false" outlineLevel="0" collapsed="false">
      <c r="B35" s="8" t="s">
        <v>164</v>
      </c>
      <c r="C35" s="16" t="n">
        <v>54.93</v>
      </c>
      <c r="G35" s="16" t="n">
        <v>54.93</v>
      </c>
    </row>
    <row r="36" customFormat="false" ht="15" hidden="false" customHeight="false" outlineLevel="0" collapsed="false">
      <c r="B36" s="8" t="s">
        <v>165</v>
      </c>
      <c r="C36" s="16" t="n">
        <v>1853.77</v>
      </c>
      <c r="G36" s="16" t="n">
        <v>1853.77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7476.65</v>
      </c>
      <c r="D37" s="26" t="n">
        <f aca="false">SUM(D10:D36)</f>
        <v>1359.2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6117.45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898.61</v>
      </c>
      <c r="D40" s="16" t="n">
        <v>34.04</v>
      </c>
      <c r="G40" s="16" t="n">
        <v>741.51</v>
      </c>
    </row>
    <row r="41" customFormat="false" ht="15" hidden="false" customHeight="false" outlineLevel="0" collapsed="false">
      <c r="B41" s="8" t="s">
        <v>166</v>
      </c>
      <c r="C41" s="16" t="n">
        <v>115.32</v>
      </c>
      <c r="D41" s="16" t="n">
        <v>4.45</v>
      </c>
      <c r="G41" s="16" t="n">
        <v>95.16</v>
      </c>
    </row>
    <row r="42" customFormat="false" ht="15" hidden="false" customHeight="false" outlineLevel="0" collapsed="false">
      <c r="B42" s="8" t="s">
        <v>94</v>
      </c>
      <c r="C42" s="16" t="n">
        <v>217.16</v>
      </c>
      <c r="D42" s="16" t="n">
        <v>8.64</v>
      </c>
      <c r="G42" s="16" t="n">
        <v>179.2</v>
      </c>
    </row>
    <row r="43" customFormat="false" ht="15" hidden="false" customHeight="false" outlineLevel="0" collapsed="false">
      <c r="B43" s="8" t="s">
        <v>95</v>
      </c>
      <c r="C43" s="16" t="n">
        <v>4093.67</v>
      </c>
      <c r="D43" s="16" t="n">
        <v>155.07</v>
      </c>
      <c r="G43" s="16" t="n">
        <v>3377.98</v>
      </c>
    </row>
    <row r="44" customFormat="false" ht="15" hidden="false" customHeight="false" outlineLevel="0" collapsed="false">
      <c r="B44" s="8" t="s">
        <v>167</v>
      </c>
      <c r="C44" s="16" t="n">
        <v>525.35</v>
      </c>
      <c r="D44" s="16" t="n">
        <v>20.28</v>
      </c>
      <c r="G44" s="16" t="n">
        <v>433.51</v>
      </c>
    </row>
    <row r="45" customFormat="false" ht="15" hidden="false" customHeight="false" outlineLevel="0" collapsed="false">
      <c r="B45" s="8" t="s">
        <v>97</v>
      </c>
      <c r="C45" s="16" t="n">
        <v>989.3</v>
      </c>
      <c r="D45" s="16" t="n">
        <v>39.36</v>
      </c>
      <c r="G45" s="16" t="n">
        <v>816.34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6839.41</v>
      </c>
      <c r="D46" s="26" t="n">
        <f aca="false">SUM(D40:D45)</f>
        <v>261.84</v>
      </c>
      <c r="E46" s="24"/>
      <c r="F46" s="26" t="n">
        <f aca="false">SUM(F40:F45)</f>
        <v>0</v>
      </c>
      <c r="G46" s="26" t="n">
        <f aca="false">SUM(G40:G45)</f>
        <v>5643.7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608</v>
      </c>
      <c r="C51" s="32" t="n">
        <v>898.60968</v>
      </c>
      <c r="D51" s="32" t="n">
        <v>0</v>
      </c>
      <c r="E51" s="32" t="n">
        <v>0</v>
      </c>
      <c r="F51" s="32" t="n">
        <v>15.006781656</v>
      </c>
      <c r="G51" s="32" t="n">
        <v>15.006781656</v>
      </c>
      <c r="H51" s="32" t="n">
        <v>883.33331544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609</v>
      </c>
      <c r="C52" s="36" t="n">
        <v>115.3215756</v>
      </c>
      <c r="D52" s="36" t="n">
        <v>69.19294536</v>
      </c>
      <c r="E52" s="36" t="n">
        <v>0</v>
      </c>
      <c r="F52" s="36" t="n">
        <v>70.922768994</v>
      </c>
      <c r="G52" s="36" t="n">
        <v>70.922768994</v>
      </c>
      <c r="H52" s="36" t="n">
        <v>44.398806606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610</v>
      </c>
      <c r="C53" s="32" t="n">
        <v>217.164006</v>
      </c>
      <c r="D53" s="32" t="n">
        <v>130.2984036</v>
      </c>
      <c r="E53" s="32" t="n">
        <v>0</v>
      </c>
      <c r="F53" s="32" t="n">
        <v>147.67152408</v>
      </c>
      <c r="G53" s="32" t="n">
        <v>147.67152408</v>
      </c>
      <c r="H53" s="32" t="n">
        <v>69.49248192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611</v>
      </c>
      <c r="C54" s="36" t="n">
        <v>4093.66632</v>
      </c>
      <c r="D54" s="36" t="n">
        <v>0</v>
      </c>
      <c r="E54" s="36" t="n">
        <v>0</v>
      </c>
      <c r="F54" s="36" t="n">
        <v>68.364227544</v>
      </c>
      <c r="G54" s="36" t="n">
        <v>68.364227544</v>
      </c>
      <c r="H54" s="36" t="n">
        <v>4024.07399256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612</v>
      </c>
      <c r="C55" s="32" t="n">
        <v>525.3538444</v>
      </c>
      <c r="D55" s="32" t="n">
        <v>315.21230664</v>
      </c>
      <c r="E55" s="32" t="n">
        <v>0</v>
      </c>
      <c r="F55" s="32" t="n">
        <v>323.092614306</v>
      </c>
      <c r="G55" s="32" t="n">
        <v>323.092614306</v>
      </c>
      <c r="H55" s="32" t="n">
        <v>202.261230094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613</v>
      </c>
      <c r="C56" s="36" t="n">
        <v>989.302694</v>
      </c>
      <c r="D56" s="36" t="n">
        <v>593.5816164</v>
      </c>
      <c r="E56" s="36" t="n">
        <v>0</v>
      </c>
      <c r="F56" s="36" t="n">
        <v>672.72583192</v>
      </c>
      <c r="G56" s="36" t="n">
        <v>672.72583192</v>
      </c>
      <c r="H56" s="36" t="n">
        <v>316.57686208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6839.41812</v>
      </c>
      <c r="D57" s="39" t="n">
        <f aca="false">SUM(D51:D56)</f>
        <v>1108.285272</v>
      </c>
      <c r="E57" s="39" t="n">
        <f aca="false">SUM(E51:E56)</f>
        <v>0</v>
      </c>
      <c r="F57" s="39" t="n">
        <f aca="false">SUM(F51:F56)</f>
        <v>1297.7837485</v>
      </c>
      <c r="G57" s="39" t="n">
        <f aca="false">SUM(G51:G56)</f>
        <v>1297.7837485</v>
      </c>
      <c r="H57" s="39" t="n">
        <f aca="false">SUM(H51:H56)</f>
        <v>5540.1366887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614</v>
      </c>
      <c r="C61" s="32" t="n">
        <v>34.4467044</v>
      </c>
      <c r="D61" s="32" t="n">
        <v>20.66802264</v>
      </c>
      <c r="E61" s="32" t="n">
        <v>0</v>
      </c>
      <c r="F61" s="32" t="n">
        <v>23.768226036</v>
      </c>
      <c r="G61" s="32" t="n">
        <v>23.768226036</v>
      </c>
      <c r="H61" s="32" t="n">
        <v>10.678478364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615</v>
      </c>
      <c r="C62" s="36" t="n">
        <v>864.1629756</v>
      </c>
      <c r="D62" s="36" t="n">
        <v>0</v>
      </c>
      <c r="E62" s="36" t="n">
        <v>0</v>
      </c>
      <c r="F62" s="36" t="n">
        <v>14.43152169252</v>
      </c>
      <c r="G62" s="36" t="n">
        <v>14.43152169252</v>
      </c>
      <c r="H62" s="36" t="n">
        <v>849.4722050148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616</v>
      </c>
      <c r="C63" s="32" t="n">
        <v>4.4930484</v>
      </c>
      <c r="D63" s="32" t="n">
        <v>2.69582904</v>
      </c>
      <c r="E63" s="32" t="n">
        <v>0</v>
      </c>
      <c r="F63" s="32" t="n">
        <v>3.100203396</v>
      </c>
      <c r="G63" s="32" t="n">
        <v>3.100203396</v>
      </c>
      <c r="H63" s="32" t="n">
        <v>1.392845004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617</v>
      </c>
      <c r="C64" s="36" t="n">
        <v>110.8285272</v>
      </c>
      <c r="D64" s="36" t="n">
        <v>0</v>
      </c>
      <c r="E64" s="36" t="n">
        <v>0</v>
      </c>
      <c r="F64" s="36" t="n">
        <v>1.85083640424</v>
      </c>
      <c r="G64" s="36" t="n">
        <v>1.85083640424</v>
      </c>
      <c r="H64" s="36" t="n">
        <v>108.9444422376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618</v>
      </c>
      <c r="C65" s="32" t="n">
        <v>82.372554</v>
      </c>
      <c r="D65" s="32" t="n">
        <v>49.4235324</v>
      </c>
      <c r="E65" s="32" t="n">
        <v>0</v>
      </c>
      <c r="F65" s="32" t="n">
        <v>56.83706226</v>
      </c>
      <c r="G65" s="32" t="n">
        <v>56.83706226</v>
      </c>
      <c r="H65" s="32" t="n">
        <v>25.53549174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619</v>
      </c>
      <c r="C66" s="36" t="n">
        <v>134.791452</v>
      </c>
      <c r="D66" s="36" t="n">
        <v>0</v>
      </c>
      <c r="E66" s="36" t="n">
        <v>0</v>
      </c>
      <c r="F66" s="36" t="n">
        <v>2.2510172484</v>
      </c>
      <c r="G66" s="36" t="n">
        <v>2.2510172484</v>
      </c>
      <c r="H66" s="36" t="n">
        <v>132.499997316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620</v>
      </c>
      <c r="C67" s="32" t="n">
        <v>156.9238756</v>
      </c>
      <c r="D67" s="32" t="n">
        <v>94.15432536</v>
      </c>
      <c r="E67" s="32" t="n">
        <v>0</v>
      </c>
      <c r="F67" s="32" t="n">
        <v>108.277474164</v>
      </c>
      <c r="G67" s="32" t="n">
        <v>108.277474164</v>
      </c>
      <c r="H67" s="32" t="n">
        <v>48.646401436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621</v>
      </c>
      <c r="C68" s="36" t="n">
        <v>3936.7424444</v>
      </c>
      <c r="D68" s="36" t="n">
        <v>0</v>
      </c>
      <c r="E68" s="36" t="n">
        <v>0</v>
      </c>
      <c r="F68" s="36" t="n">
        <v>65.74359882148</v>
      </c>
      <c r="G68" s="36" t="n">
        <v>65.74359882148</v>
      </c>
      <c r="H68" s="36" t="n">
        <v>3869.8178228452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622</v>
      </c>
      <c r="C69" s="32" t="n">
        <v>20.4683316</v>
      </c>
      <c r="D69" s="32" t="n">
        <v>12.28099896</v>
      </c>
      <c r="E69" s="32" t="n">
        <v>0</v>
      </c>
      <c r="F69" s="32" t="n">
        <v>14.123148804</v>
      </c>
      <c r="G69" s="32" t="n">
        <v>14.123148804</v>
      </c>
      <c r="H69" s="32" t="n">
        <v>6.345182796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623</v>
      </c>
      <c r="C70" s="36" t="n">
        <v>504.8855128</v>
      </c>
      <c r="D70" s="36" t="n">
        <v>0</v>
      </c>
      <c r="E70" s="36" t="n">
        <v>0</v>
      </c>
      <c r="F70" s="36" t="n">
        <v>8.43158806376</v>
      </c>
      <c r="G70" s="36" t="n">
        <v>8.43158806376</v>
      </c>
      <c r="H70" s="36" t="n">
        <v>496.3024590824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624</v>
      </c>
      <c r="C71" s="32" t="n">
        <v>375.252746</v>
      </c>
      <c r="D71" s="32" t="n">
        <v>225.1516476</v>
      </c>
      <c r="E71" s="32" t="n">
        <v>0</v>
      </c>
      <c r="F71" s="32" t="n">
        <v>258.92439474</v>
      </c>
      <c r="G71" s="32" t="n">
        <v>258.92439474</v>
      </c>
      <c r="H71" s="32" t="n">
        <v>116.32835126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625</v>
      </c>
      <c r="C72" s="36" t="n">
        <v>614.049948</v>
      </c>
      <c r="D72" s="36" t="n">
        <v>0</v>
      </c>
      <c r="E72" s="36" t="n">
        <v>0</v>
      </c>
      <c r="F72" s="36" t="n">
        <v>10.2546341316</v>
      </c>
      <c r="G72" s="36" t="n">
        <v>10.2546341316</v>
      </c>
      <c r="H72" s="36" t="n">
        <v>603.611098884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6839.41812</v>
      </c>
      <c r="D73" s="39" t="n">
        <f aca="false">SUM(D61:D72)</f>
        <v>404.374356</v>
      </c>
      <c r="E73" s="39" t="n">
        <f aca="false">SUM(E61:E72)</f>
        <v>0</v>
      </c>
      <c r="F73" s="39" t="n">
        <f aca="false">SUM(F61:F72)</f>
        <v>567.993705762</v>
      </c>
      <c r="G73" s="39" t="n">
        <f aca="false">SUM(G61:G72)</f>
        <v>567.993705762</v>
      </c>
      <c r="H73" s="39" t="n">
        <f aca="false">SUM(H61:H72)</f>
        <v>6269.57477598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1297.7837485</v>
      </c>
    </row>
    <row r="77" customFormat="false" ht="15" hidden="false" customHeight="false" outlineLevel="0" collapsed="false">
      <c r="B77" s="8" t="s">
        <v>138</v>
      </c>
      <c r="C77" s="41" t="n">
        <f aca="false">G73</f>
        <v>567.993705762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-729.790042738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626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627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295.44</v>
      </c>
      <c r="D11" s="16" t="n">
        <v>295.44</v>
      </c>
    </row>
    <row r="12" customFormat="false" ht="15" hidden="false" customHeight="false" outlineLevel="0" collapsed="false">
      <c r="B12" s="8" t="s">
        <v>142</v>
      </c>
      <c r="C12" s="16" t="n">
        <v>123.03</v>
      </c>
      <c r="D12" s="16" t="n">
        <v>123.03</v>
      </c>
    </row>
    <row r="13" customFormat="false" ht="15" hidden="false" customHeight="false" outlineLevel="0" collapsed="false">
      <c r="B13" s="8" t="s">
        <v>143</v>
      </c>
      <c r="C13" s="16" t="n">
        <v>374.16</v>
      </c>
      <c r="D13" s="16" t="n">
        <v>374.16</v>
      </c>
    </row>
    <row r="14" customFormat="false" ht="15" hidden="false" customHeight="false" outlineLevel="0" collapsed="false">
      <c r="B14" s="8" t="s">
        <v>144</v>
      </c>
      <c r="C14" s="16" t="n">
        <v>105.66</v>
      </c>
      <c r="D14" s="16" t="n">
        <v>105.66</v>
      </c>
    </row>
    <row r="15" customFormat="false" ht="15" hidden="false" customHeight="false" outlineLevel="0" collapsed="false">
      <c r="B15" s="8" t="s">
        <v>145</v>
      </c>
      <c r="C15" s="16" t="n">
        <v>4.09</v>
      </c>
      <c r="D15" s="16" t="n">
        <v>4.09</v>
      </c>
    </row>
    <row r="16" customFormat="false" ht="15" hidden="false" customHeight="false" outlineLevel="0" collapsed="false">
      <c r="B16" s="8" t="s">
        <v>146</v>
      </c>
      <c r="C16" s="16" t="n">
        <v>64.33</v>
      </c>
      <c r="D16" s="16" t="n">
        <v>64.33</v>
      </c>
    </row>
    <row r="17" customFormat="false" ht="15" hidden="false" customHeight="false" outlineLevel="0" collapsed="false">
      <c r="B17" s="8" t="s">
        <v>147</v>
      </c>
      <c r="C17" s="16" t="n">
        <v>114.3</v>
      </c>
      <c r="D17" s="16" t="n">
        <v>114.3</v>
      </c>
    </row>
    <row r="18" customFormat="false" ht="15" hidden="false" customHeight="false" outlineLevel="0" collapsed="false">
      <c r="B18" s="8" t="s">
        <v>148</v>
      </c>
      <c r="C18" s="16" t="n">
        <v>117.67</v>
      </c>
      <c r="D18" s="16" t="n">
        <v>117.67</v>
      </c>
    </row>
    <row r="19" customFormat="false" ht="15" hidden="false" customHeight="false" outlineLevel="0" collapsed="false">
      <c r="B19" s="8" t="s">
        <v>149</v>
      </c>
      <c r="C19" s="16" t="n">
        <v>41.76</v>
      </c>
      <c r="D19" s="16" t="n">
        <v>41.76</v>
      </c>
    </row>
    <row r="20" customFormat="false" ht="15" hidden="false" customHeight="false" outlineLevel="0" collapsed="false">
      <c r="B20" s="8" t="s">
        <v>77</v>
      </c>
      <c r="C20" s="16" t="n">
        <v>1.59</v>
      </c>
      <c r="D20" s="16" t="n">
        <v>1.59</v>
      </c>
    </row>
    <row r="21" customFormat="false" ht="15" hidden="false" customHeight="false" outlineLevel="0" collapsed="false">
      <c r="B21" s="8" t="s">
        <v>150</v>
      </c>
      <c r="C21" s="16" t="n">
        <v>38.35</v>
      </c>
      <c r="D21" s="16" t="n">
        <v>38.35</v>
      </c>
    </row>
    <row r="22" customFormat="false" ht="15" hidden="false" customHeight="false" outlineLevel="0" collapsed="false">
      <c r="B22" s="8" t="s">
        <v>151</v>
      </c>
      <c r="C22" s="16" t="n">
        <v>78.18</v>
      </c>
      <c r="D22" s="16" t="n">
        <v>78.18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480.39</v>
      </c>
      <c r="G24" s="16" t="n">
        <v>480.39</v>
      </c>
    </row>
    <row r="25" customFormat="false" ht="15" hidden="false" customHeight="false" outlineLevel="0" collapsed="false">
      <c r="B25" s="8" t="s">
        <v>154</v>
      </c>
      <c r="C25" s="16" t="n">
        <v>411.76</v>
      </c>
      <c r="G25" s="16" t="n">
        <v>411.76</v>
      </c>
    </row>
    <row r="26" customFormat="false" ht="15" hidden="false" customHeight="false" outlineLevel="0" collapsed="false">
      <c r="B26" s="8" t="s">
        <v>155</v>
      </c>
      <c r="C26" s="16" t="n">
        <v>480.39</v>
      </c>
      <c r="G26" s="16" t="n">
        <v>480.39</v>
      </c>
    </row>
    <row r="27" customFormat="false" ht="15" hidden="false" customHeight="false" outlineLevel="0" collapsed="false">
      <c r="B27" s="8" t="s">
        <v>156</v>
      </c>
      <c r="C27" s="16" t="n">
        <v>377.45</v>
      </c>
      <c r="G27" s="16" t="n">
        <v>377.45</v>
      </c>
    </row>
    <row r="28" customFormat="false" ht="15" hidden="false" customHeight="false" outlineLevel="0" collapsed="false">
      <c r="B28" s="8" t="s">
        <v>157</v>
      </c>
      <c r="C28" s="16" t="n">
        <v>54.9</v>
      </c>
      <c r="G28" s="16" t="n">
        <v>54.9</v>
      </c>
    </row>
    <row r="29" customFormat="false" ht="15" hidden="false" customHeight="false" outlineLevel="0" collapsed="false">
      <c r="B29" s="8" t="s">
        <v>158</v>
      </c>
      <c r="C29" s="16" t="n">
        <v>411.76</v>
      </c>
      <c r="G29" s="16" t="n">
        <v>411.76</v>
      </c>
    </row>
    <row r="30" customFormat="false" ht="15" hidden="false" customHeight="false" outlineLevel="0" collapsed="false">
      <c r="B30" s="8" t="s">
        <v>159</v>
      </c>
      <c r="C30" s="16" t="n">
        <v>343.14</v>
      </c>
      <c r="G30" s="16" t="n">
        <v>343.14</v>
      </c>
    </row>
    <row r="31" customFormat="false" ht="15" hidden="false" customHeight="false" outlineLevel="0" collapsed="false">
      <c r="B31" s="8" t="s">
        <v>160</v>
      </c>
      <c r="C31" s="16" t="n">
        <v>308.82</v>
      </c>
      <c r="G31" s="16" t="n">
        <v>308.82</v>
      </c>
    </row>
    <row r="32" customFormat="false" ht="15" hidden="false" customHeight="false" outlineLevel="0" collapsed="false">
      <c r="B32" s="8" t="s">
        <v>161</v>
      </c>
      <c r="C32" s="16" t="n">
        <v>274.51</v>
      </c>
      <c r="G32" s="16" t="n">
        <v>274.51</v>
      </c>
    </row>
    <row r="33" customFormat="false" ht="15" hidden="false" customHeight="false" outlineLevel="0" collapsed="false">
      <c r="B33" s="8" t="s">
        <v>162</v>
      </c>
      <c r="C33" s="16" t="n">
        <v>754.9</v>
      </c>
      <c r="G33" s="16" t="n">
        <v>754.9</v>
      </c>
    </row>
    <row r="34" customFormat="false" ht="15" hidden="false" customHeight="false" outlineLevel="0" collapsed="false">
      <c r="B34" s="8" t="s">
        <v>163</v>
      </c>
      <c r="C34" s="16" t="n">
        <v>308.82</v>
      </c>
      <c r="G34" s="16" t="n">
        <v>308.82</v>
      </c>
    </row>
    <row r="35" customFormat="false" ht="15" hidden="false" customHeight="false" outlineLevel="0" collapsed="false">
      <c r="B35" s="8" t="s">
        <v>164</v>
      </c>
      <c r="C35" s="16" t="n">
        <v>54.9</v>
      </c>
      <c r="G35" s="16" t="n">
        <v>54.9</v>
      </c>
    </row>
    <row r="36" customFormat="false" ht="15" hidden="false" customHeight="false" outlineLevel="0" collapsed="false">
      <c r="B36" s="8" t="s">
        <v>165</v>
      </c>
      <c r="C36" s="16" t="n">
        <v>1852.94</v>
      </c>
      <c r="G36" s="16" t="n">
        <v>1852.94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7473.24</v>
      </c>
      <c r="D37" s="26" t="n">
        <f aca="false">SUM(D10:D36)</f>
        <v>1358.56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6114.68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898.21</v>
      </c>
      <c r="D40" s="16" t="n">
        <v>34.02</v>
      </c>
      <c r="G40" s="16" t="n">
        <v>741.18</v>
      </c>
    </row>
    <row r="41" customFormat="false" ht="15" hidden="false" customHeight="false" outlineLevel="0" collapsed="false">
      <c r="B41" s="8" t="s">
        <v>166</v>
      </c>
      <c r="C41" s="16" t="n">
        <v>115.27</v>
      </c>
      <c r="D41" s="16" t="n">
        <v>4.45</v>
      </c>
      <c r="G41" s="16" t="n">
        <v>95.12</v>
      </c>
    </row>
    <row r="42" customFormat="false" ht="15" hidden="false" customHeight="false" outlineLevel="0" collapsed="false">
      <c r="B42" s="8" t="s">
        <v>94</v>
      </c>
      <c r="C42" s="16" t="n">
        <v>217.07</v>
      </c>
      <c r="D42" s="16" t="n">
        <v>8.64</v>
      </c>
      <c r="G42" s="16" t="n">
        <v>179.12</v>
      </c>
    </row>
    <row r="43" customFormat="false" ht="15" hidden="false" customHeight="false" outlineLevel="0" collapsed="false">
      <c r="B43" s="8" t="s">
        <v>95</v>
      </c>
      <c r="C43" s="16" t="n">
        <v>4091.83</v>
      </c>
      <c r="D43" s="16" t="n">
        <v>155</v>
      </c>
      <c r="G43" s="16" t="n">
        <v>3376.47</v>
      </c>
    </row>
    <row r="44" customFormat="false" ht="15" hidden="false" customHeight="false" outlineLevel="0" collapsed="false">
      <c r="B44" s="8" t="s">
        <v>167</v>
      </c>
      <c r="C44" s="16" t="n">
        <v>525.12</v>
      </c>
      <c r="D44" s="16" t="n">
        <v>20.27</v>
      </c>
      <c r="G44" s="16" t="n">
        <v>433.31</v>
      </c>
    </row>
    <row r="45" customFormat="false" ht="15" hidden="false" customHeight="false" outlineLevel="0" collapsed="false">
      <c r="B45" s="8" t="s">
        <v>97</v>
      </c>
      <c r="C45" s="16" t="n">
        <v>988.86</v>
      </c>
      <c r="D45" s="16" t="n">
        <v>39.34</v>
      </c>
      <c r="G45" s="16" t="n">
        <v>815.98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6836.36</v>
      </c>
      <c r="D46" s="26" t="n">
        <f aca="false">SUM(D40:D45)</f>
        <v>261.72</v>
      </c>
      <c r="E46" s="24"/>
      <c r="F46" s="26" t="n">
        <f aca="false">SUM(F40:F45)</f>
        <v>0</v>
      </c>
      <c r="G46" s="26" t="n">
        <f aca="false">SUM(G40:G45)</f>
        <v>5641.18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628</v>
      </c>
      <c r="C51" s="32" t="n">
        <v>898.20684</v>
      </c>
      <c r="D51" s="32" t="n">
        <v>0</v>
      </c>
      <c r="E51" s="32" t="n">
        <v>0</v>
      </c>
      <c r="F51" s="32" t="n">
        <v>15.000054228</v>
      </c>
      <c r="G51" s="32" t="n">
        <v>15.000054228</v>
      </c>
      <c r="H51" s="32" t="n">
        <v>882.93732372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629</v>
      </c>
      <c r="C52" s="36" t="n">
        <v>115.2698778</v>
      </c>
      <c r="D52" s="36" t="n">
        <v>69.16192668</v>
      </c>
      <c r="E52" s="36" t="n">
        <v>0</v>
      </c>
      <c r="F52" s="36" t="n">
        <v>70.890974847</v>
      </c>
      <c r="G52" s="36" t="n">
        <v>70.890974847</v>
      </c>
      <c r="H52" s="36" t="n">
        <v>44.378902953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630</v>
      </c>
      <c r="C53" s="32" t="n">
        <v>217.066653</v>
      </c>
      <c r="D53" s="32" t="n">
        <v>130.2399918</v>
      </c>
      <c r="E53" s="32" t="n">
        <v>0</v>
      </c>
      <c r="F53" s="32" t="n">
        <v>147.60532404</v>
      </c>
      <c r="G53" s="32" t="n">
        <v>147.60532404</v>
      </c>
      <c r="H53" s="32" t="n">
        <v>69.46132896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631</v>
      </c>
      <c r="C54" s="36" t="n">
        <v>4091.83116</v>
      </c>
      <c r="D54" s="36" t="n">
        <v>0</v>
      </c>
      <c r="E54" s="36" t="n">
        <v>0</v>
      </c>
      <c r="F54" s="36" t="n">
        <v>68.333580372</v>
      </c>
      <c r="G54" s="36" t="n">
        <v>68.333580372</v>
      </c>
      <c r="H54" s="36" t="n">
        <v>4022.27003028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632</v>
      </c>
      <c r="C55" s="32" t="n">
        <v>525.1183322</v>
      </c>
      <c r="D55" s="32" t="n">
        <v>315.07099932</v>
      </c>
      <c r="E55" s="32" t="n">
        <v>0</v>
      </c>
      <c r="F55" s="32" t="n">
        <v>322.947774303</v>
      </c>
      <c r="G55" s="32" t="n">
        <v>322.947774303</v>
      </c>
      <c r="H55" s="32" t="n">
        <v>202.170557897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633</v>
      </c>
      <c r="C56" s="36" t="n">
        <v>988.859197</v>
      </c>
      <c r="D56" s="36" t="n">
        <v>593.3155182</v>
      </c>
      <c r="E56" s="36" t="n">
        <v>0</v>
      </c>
      <c r="F56" s="36" t="n">
        <v>672.42425396</v>
      </c>
      <c r="G56" s="36" t="n">
        <v>672.42425396</v>
      </c>
      <c r="H56" s="36" t="n">
        <v>316.43494304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6836.35206</v>
      </c>
      <c r="D57" s="39" t="n">
        <f aca="false">SUM(D51:D56)</f>
        <v>1107.788436</v>
      </c>
      <c r="E57" s="39" t="n">
        <f aca="false">SUM(E51:E56)</f>
        <v>0</v>
      </c>
      <c r="F57" s="39" t="n">
        <f aca="false">SUM(F51:F56)</f>
        <v>1297.20196175</v>
      </c>
      <c r="G57" s="39" t="n">
        <f aca="false">SUM(G51:G56)</f>
        <v>1297.20196175</v>
      </c>
      <c r="H57" s="39" t="n">
        <f aca="false">SUM(H51:H56)</f>
        <v>5537.65308685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634</v>
      </c>
      <c r="C61" s="32" t="n">
        <v>34.4312622</v>
      </c>
      <c r="D61" s="32" t="n">
        <v>20.65875732</v>
      </c>
      <c r="E61" s="32" t="n">
        <v>0</v>
      </c>
      <c r="F61" s="32" t="n">
        <v>23.757570918</v>
      </c>
      <c r="G61" s="32" t="n">
        <v>23.757570918</v>
      </c>
      <c r="H61" s="32" t="n">
        <v>10.673691282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635</v>
      </c>
      <c r="C62" s="36" t="n">
        <v>863.7755778</v>
      </c>
      <c r="D62" s="36" t="n">
        <v>0</v>
      </c>
      <c r="E62" s="36" t="n">
        <v>0</v>
      </c>
      <c r="F62" s="36" t="n">
        <v>14.42505214926</v>
      </c>
      <c r="G62" s="36" t="n">
        <v>14.42505214926</v>
      </c>
      <c r="H62" s="36" t="n">
        <v>849.0913929774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636</v>
      </c>
      <c r="C63" s="32" t="n">
        <v>4.4910342</v>
      </c>
      <c r="D63" s="32" t="n">
        <v>2.69462052</v>
      </c>
      <c r="E63" s="32" t="n">
        <v>0</v>
      </c>
      <c r="F63" s="32" t="n">
        <v>3.098813598</v>
      </c>
      <c r="G63" s="32" t="n">
        <v>3.098813598</v>
      </c>
      <c r="H63" s="32" t="n">
        <v>1.392220602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637</v>
      </c>
      <c r="C64" s="36" t="n">
        <v>110.7788436</v>
      </c>
      <c r="D64" s="36" t="n">
        <v>0</v>
      </c>
      <c r="E64" s="36" t="n">
        <v>0</v>
      </c>
      <c r="F64" s="36" t="n">
        <v>1.85000668812</v>
      </c>
      <c r="G64" s="36" t="n">
        <v>1.85000668812</v>
      </c>
      <c r="H64" s="36" t="n">
        <v>108.8956032588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638</v>
      </c>
      <c r="C65" s="32" t="n">
        <v>82.335627</v>
      </c>
      <c r="D65" s="32" t="n">
        <v>49.4013762</v>
      </c>
      <c r="E65" s="32" t="n">
        <v>0</v>
      </c>
      <c r="F65" s="32" t="n">
        <v>56.81158263</v>
      </c>
      <c r="G65" s="32" t="n">
        <v>56.81158263</v>
      </c>
      <c r="H65" s="32" t="n">
        <v>25.52404437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639</v>
      </c>
      <c r="C66" s="36" t="n">
        <v>134.731026</v>
      </c>
      <c r="D66" s="36" t="n">
        <v>0</v>
      </c>
      <c r="E66" s="36" t="n">
        <v>0</v>
      </c>
      <c r="F66" s="36" t="n">
        <v>2.2500081342</v>
      </c>
      <c r="G66" s="36" t="n">
        <v>2.2500081342</v>
      </c>
      <c r="H66" s="36" t="n">
        <v>132.440598558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640</v>
      </c>
      <c r="C67" s="32" t="n">
        <v>156.8535278</v>
      </c>
      <c r="D67" s="32" t="n">
        <v>94.11211668</v>
      </c>
      <c r="E67" s="32" t="n">
        <v>0</v>
      </c>
      <c r="F67" s="32" t="n">
        <v>108.228934182</v>
      </c>
      <c r="G67" s="32" t="n">
        <v>108.228934182</v>
      </c>
      <c r="H67" s="32" t="n">
        <v>48.624593618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641</v>
      </c>
      <c r="C68" s="36" t="n">
        <v>3934.9776322</v>
      </c>
      <c r="D68" s="36" t="n">
        <v>0</v>
      </c>
      <c r="E68" s="36" t="n">
        <v>0</v>
      </c>
      <c r="F68" s="36" t="n">
        <v>65.71412645774</v>
      </c>
      <c r="G68" s="36" t="n">
        <v>65.71412645774</v>
      </c>
      <c r="H68" s="36" t="n">
        <v>3868.0830124526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642</v>
      </c>
      <c r="C69" s="32" t="n">
        <v>20.4591558</v>
      </c>
      <c r="D69" s="32" t="n">
        <v>12.27549348</v>
      </c>
      <c r="E69" s="32" t="n">
        <v>0</v>
      </c>
      <c r="F69" s="32" t="n">
        <v>14.116817502</v>
      </c>
      <c r="G69" s="32" t="n">
        <v>14.116817502</v>
      </c>
      <c r="H69" s="32" t="n">
        <v>6.342338298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643</v>
      </c>
      <c r="C70" s="36" t="n">
        <v>504.6591764</v>
      </c>
      <c r="D70" s="36" t="n">
        <v>0</v>
      </c>
      <c r="E70" s="36" t="n">
        <v>0</v>
      </c>
      <c r="F70" s="36" t="n">
        <v>8.42780824588</v>
      </c>
      <c r="G70" s="36" t="n">
        <v>8.42780824588</v>
      </c>
      <c r="H70" s="36" t="n">
        <v>496.0799704012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644</v>
      </c>
      <c r="C71" s="32" t="n">
        <v>375.084523</v>
      </c>
      <c r="D71" s="32" t="n">
        <v>225.0507138</v>
      </c>
      <c r="E71" s="32" t="n">
        <v>0</v>
      </c>
      <c r="F71" s="32" t="n">
        <v>258.80832087</v>
      </c>
      <c r="G71" s="32" t="n">
        <v>258.80832087</v>
      </c>
      <c r="H71" s="32" t="n">
        <v>116.27620213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645</v>
      </c>
      <c r="C72" s="36" t="n">
        <v>613.774674</v>
      </c>
      <c r="D72" s="36" t="n">
        <v>0</v>
      </c>
      <c r="E72" s="36" t="n">
        <v>0</v>
      </c>
      <c r="F72" s="36" t="n">
        <v>10.2500370558</v>
      </c>
      <c r="G72" s="36" t="n">
        <v>10.2500370558</v>
      </c>
      <c r="H72" s="36" t="n">
        <v>603.340504542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6836.35206</v>
      </c>
      <c r="D73" s="39" t="n">
        <f aca="false">SUM(D61:D72)</f>
        <v>404.193078</v>
      </c>
      <c r="E73" s="39" t="n">
        <f aca="false">SUM(E61:E72)</f>
        <v>0</v>
      </c>
      <c r="F73" s="39" t="n">
        <f aca="false">SUM(F61:F72)</f>
        <v>567.739078431</v>
      </c>
      <c r="G73" s="39" t="n">
        <f aca="false">SUM(G61:G72)</f>
        <v>567.739078431</v>
      </c>
      <c r="H73" s="39" t="n">
        <f aca="false">SUM(H61:H72)</f>
        <v>6266.76417249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1297.20196175</v>
      </c>
    </row>
    <row r="77" customFormat="false" ht="15" hidden="false" customHeight="false" outlineLevel="0" collapsed="false">
      <c r="B77" s="8" t="s">
        <v>138</v>
      </c>
      <c r="C77" s="41" t="n">
        <f aca="false">G73</f>
        <v>567.739078431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-729.462883319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</row>
    <row r="3" customFormat="false" ht="15" hidden="false" customHeight="false" outlineLevel="0" collapsed="false">
      <c r="A3" s="2" t="s">
        <v>646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20" t="s">
        <v>67</v>
      </c>
      <c r="C6" s="8" t="s">
        <v>34</v>
      </c>
    </row>
    <row r="8" customFormat="false" ht="15" hidden="false" customHeight="false" outlineLevel="0" collapsed="false">
      <c r="A8" s="21" t="s">
        <v>647</v>
      </c>
      <c r="B8" s="21"/>
      <c r="C8" s="21"/>
      <c r="D8" s="21"/>
      <c r="E8" s="21"/>
      <c r="F8" s="21"/>
      <c r="G8" s="21"/>
      <c r="H8" s="21"/>
      <c r="I8" s="21"/>
      <c r="J8" s="21"/>
    </row>
    <row r="9" customFormat="false" ht="15" hidden="false" customHeight="false" outlineLevel="0" collapsed="false">
      <c r="A9" s="22"/>
      <c r="B9" s="22" t="s">
        <v>69</v>
      </c>
      <c r="C9" s="23" t="s">
        <v>70</v>
      </c>
      <c r="D9" s="23" t="s">
        <v>71</v>
      </c>
      <c r="E9" s="23" t="s">
        <v>72</v>
      </c>
      <c r="F9" s="23" t="s">
        <v>73</v>
      </c>
      <c r="G9" s="23" t="s">
        <v>74</v>
      </c>
      <c r="H9" s="23" t="s">
        <v>75</v>
      </c>
    </row>
    <row r="10" customFormat="false" ht="15" hidden="false" customHeight="false" outlineLevel="0" collapsed="false">
      <c r="A10" s="5"/>
      <c r="B10" s="6" t="s">
        <v>76</v>
      </c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B11" s="8" t="s">
        <v>141</v>
      </c>
      <c r="C11" s="16" t="n">
        <v>977.59</v>
      </c>
      <c r="D11" s="16" t="n">
        <v>977.59</v>
      </c>
    </row>
    <row r="12" customFormat="false" ht="15" hidden="false" customHeight="false" outlineLevel="0" collapsed="false">
      <c r="B12" s="8" t="s">
        <v>142</v>
      </c>
      <c r="C12" s="16" t="n">
        <v>407.08</v>
      </c>
      <c r="D12" s="16" t="n">
        <v>407.08</v>
      </c>
    </row>
    <row r="13" customFormat="false" ht="15" hidden="false" customHeight="false" outlineLevel="0" collapsed="false">
      <c r="B13" s="8" t="s">
        <v>143</v>
      </c>
      <c r="C13" s="16" t="n">
        <v>1238.06</v>
      </c>
      <c r="D13" s="16" t="n">
        <v>1238.06</v>
      </c>
    </row>
    <row r="14" customFormat="false" ht="15" hidden="false" customHeight="false" outlineLevel="0" collapsed="false">
      <c r="B14" s="8" t="s">
        <v>144</v>
      </c>
      <c r="C14" s="16" t="n">
        <v>349.61</v>
      </c>
      <c r="D14" s="16" t="n">
        <v>349.61</v>
      </c>
    </row>
    <row r="15" customFormat="false" ht="15" hidden="false" customHeight="false" outlineLevel="0" collapsed="false">
      <c r="B15" s="8" t="s">
        <v>145</v>
      </c>
      <c r="C15" s="16" t="n">
        <v>13.53</v>
      </c>
      <c r="D15" s="16" t="n">
        <v>13.53</v>
      </c>
    </row>
    <row r="16" customFormat="false" ht="15" hidden="false" customHeight="false" outlineLevel="0" collapsed="false">
      <c r="B16" s="8" t="s">
        <v>146</v>
      </c>
      <c r="C16" s="16" t="n">
        <v>212.87</v>
      </c>
      <c r="D16" s="16" t="n">
        <v>212.87</v>
      </c>
    </row>
    <row r="17" customFormat="false" ht="15" hidden="false" customHeight="false" outlineLevel="0" collapsed="false">
      <c r="B17" s="8" t="s">
        <v>147</v>
      </c>
      <c r="C17" s="16" t="n">
        <v>378.22</v>
      </c>
      <c r="D17" s="16" t="n">
        <v>378.22</v>
      </c>
    </row>
    <row r="18" customFormat="false" ht="15" hidden="false" customHeight="false" outlineLevel="0" collapsed="false">
      <c r="B18" s="8" t="s">
        <v>148</v>
      </c>
      <c r="C18" s="16" t="n">
        <v>389.37</v>
      </c>
      <c r="D18" s="16" t="n">
        <v>389.37</v>
      </c>
    </row>
    <row r="19" customFormat="false" ht="15" hidden="false" customHeight="false" outlineLevel="0" collapsed="false">
      <c r="B19" s="8" t="s">
        <v>149</v>
      </c>
      <c r="C19" s="16" t="n">
        <v>138.17</v>
      </c>
      <c r="D19" s="16" t="n">
        <v>138.17</v>
      </c>
    </row>
    <row r="20" customFormat="false" ht="15" hidden="false" customHeight="false" outlineLevel="0" collapsed="false">
      <c r="B20" s="8" t="s">
        <v>77</v>
      </c>
      <c r="C20" s="16" t="n">
        <v>5.26</v>
      </c>
      <c r="D20" s="16" t="n">
        <v>5.26</v>
      </c>
    </row>
    <row r="21" customFormat="false" ht="15" hidden="false" customHeight="false" outlineLevel="0" collapsed="false">
      <c r="B21" s="8" t="s">
        <v>150</v>
      </c>
      <c r="C21" s="16" t="n">
        <v>126.9</v>
      </c>
      <c r="D21" s="16" t="n">
        <v>126.9</v>
      </c>
    </row>
    <row r="22" customFormat="false" ht="15" hidden="false" customHeight="false" outlineLevel="0" collapsed="false">
      <c r="B22" s="8" t="s">
        <v>151</v>
      </c>
      <c r="C22" s="16" t="n">
        <v>258.7</v>
      </c>
      <c r="D22" s="16" t="n">
        <v>258.7</v>
      </c>
    </row>
    <row r="23" customFormat="false" ht="15" hidden="false" customHeight="false" outlineLevel="0" collapsed="false">
      <c r="A23" s="5"/>
      <c r="B23" s="6" t="s">
        <v>152</v>
      </c>
      <c r="C23" s="6"/>
      <c r="D23" s="6"/>
      <c r="E23" s="6"/>
      <c r="F23" s="6"/>
      <c r="G23" s="6"/>
      <c r="H23" s="6"/>
      <c r="I23" s="6"/>
      <c r="J23" s="6"/>
    </row>
    <row r="24" customFormat="false" ht="15" hidden="false" customHeight="false" outlineLevel="0" collapsed="false">
      <c r="B24" s="8" t="s">
        <v>153</v>
      </c>
      <c r="C24" s="16" t="n">
        <v>1576.76</v>
      </c>
      <c r="G24" s="16" t="n">
        <v>1576.76</v>
      </c>
    </row>
    <row r="25" customFormat="false" ht="15" hidden="false" customHeight="false" outlineLevel="0" collapsed="false">
      <c r="B25" s="8" t="s">
        <v>154</v>
      </c>
      <c r="C25" s="16" t="n">
        <v>1351.51</v>
      </c>
      <c r="G25" s="16" t="n">
        <v>1351.51</v>
      </c>
    </row>
    <row r="26" customFormat="false" ht="15" hidden="false" customHeight="false" outlineLevel="0" collapsed="false">
      <c r="B26" s="8" t="s">
        <v>155</v>
      </c>
      <c r="C26" s="16" t="n">
        <v>1576.76</v>
      </c>
      <c r="G26" s="16" t="n">
        <v>1576.76</v>
      </c>
    </row>
    <row r="27" customFormat="false" ht="15" hidden="false" customHeight="false" outlineLevel="0" collapsed="false">
      <c r="B27" s="8" t="s">
        <v>156</v>
      </c>
      <c r="C27" s="16" t="n">
        <v>1238.88</v>
      </c>
      <c r="G27" s="16" t="n">
        <v>1238.88</v>
      </c>
    </row>
    <row r="28" customFormat="false" ht="15" hidden="false" customHeight="false" outlineLevel="0" collapsed="false">
      <c r="B28" s="8" t="s">
        <v>157</v>
      </c>
      <c r="C28" s="16" t="n">
        <v>180.2</v>
      </c>
      <c r="G28" s="16" t="n">
        <v>180.2</v>
      </c>
    </row>
    <row r="29" customFormat="false" ht="15" hidden="false" customHeight="false" outlineLevel="0" collapsed="false">
      <c r="B29" s="8" t="s">
        <v>158</v>
      </c>
      <c r="C29" s="16" t="n">
        <v>1351.51</v>
      </c>
      <c r="G29" s="16" t="n">
        <v>1351.51</v>
      </c>
    </row>
    <row r="30" customFormat="false" ht="15" hidden="false" customHeight="false" outlineLevel="0" collapsed="false">
      <c r="B30" s="8" t="s">
        <v>159</v>
      </c>
      <c r="C30" s="16" t="n">
        <v>1126.25</v>
      </c>
      <c r="G30" s="16" t="n">
        <v>1126.25</v>
      </c>
    </row>
    <row r="31" customFormat="false" ht="15" hidden="false" customHeight="false" outlineLevel="0" collapsed="false">
      <c r="B31" s="8" t="s">
        <v>160</v>
      </c>
      <c r="C31" s="16" t="n">
        <v>1013.63</v>
      </c>
      <c r="G31" s="16" t="n">
        <v>1013.63</v>
      </c>
    </row>
    <row r="32" customFormat="false" ht="15" hidden="false" customHeight="false" outlineLevel="0" collapsed="false">
      <c r="B32" s="8" t="s">
        <v>161</v>
      </c>
      <c r="C32" s="16" t="n">
        <v>901</v>
      </c>
      <c r="G32" s="16" t="n">
        <v>901</v>
      </c>
    </row>
    <row r="33" customFormat="false" ht="15" hidden="false" customHeight="false" outlineLevel="0" collapsed="false">
      <c r="B33" s="8" t="s">
        <v>162</v>
      </c>
      <c r="C33" s="16" t="n">
        <v>2477.76</v>
      </c>
      <c r="G33" s="16" t="n">
        <v>2477.76</v>
      </c>
    </row>
    <row r="34" customFormat="false" ht="15" hidden="false" customHeight="false" outlineLevel="0" collapsed="false">
      <c r="B34" s="8" t="s">
        <v>163</v>
      </c>
      <c r="C34" s="16" t="n">
        <v>1013.63</v>
      </c>
      <c r="G34" s="16" t="n">
        <v>1013.63</v>
      </c>
    </row>
    <row r="35" customFormat="false" ht="15" hidden="false" customHeight="false" outlineLevel="0" collapsed="false">
      <c r="B35" s="8" t="s">
        <v>164</v>
      </c>
      <c r="C35" s="16" t="n">
        <v>180.2</v>
      </c>
      <c r="G35" s="16" t="n">
        <v>180.2</v>
      </c>
    </row>
    <row r="36" customFormat="false" ht="15" hidden="false" customHeight="false" outlineLevel="0" collapsed="false">
      <c r="B36" s="8" t="s">
        <v>165</v>
      </c>
      <c r="C36" s="16" t="n">
        <v>6081.77</v>
      </c>
      <c r="G36" s="16" t="n">
        <v>6081.77</v>
      </c>
    </row>
    <row r="37" customFormat="false" ht="15" hidden="false" customHeight="false" outlineLevel="0" collapsed="false">
      <c r="A37" s="24"/>
      <c r="B37" s="25" t="s">
        <v>90</v>
      </c>
      <c r="C37" s="26" t="n">
        <f aca="false">SUM(C10:C36)</f>
        <v>24565.22</v>
      </c>
      <c r="D37" s="26" t="n">
        <f aca="false">SUM(D10:D36)</f>
        <v>4495.36</v>
      </c>
      <c r="E37" s="26" t="n">
        <f aca="false">SUM(E10:E36)</f>
        <v>0</v>
      </c>
      <c r="F37" s="26" t="n">
        <f aca="false">SUM(F10:F36)</f>
        <v>0</v>
      </c>
      <c r="G37" s="26" t="n">
        <f aca="false">SUM(G10:G36)</f>
        <v>20069.86</v>
      </c>
      <c r="H37" s="24"/>
    </row>
    <row r="39" customFormat="false" ht="15" hidden="false" customHeight="false" outlineLevel="0" collapsed="false">
      <c r="A39" s="5"/>
      <c r="B39" s="6" t="s">
        <v>91</v>
      </c>
      <c r="C39" s="6"/>
      <c r="D39" s="6"/>
      <c r="E39" s="6"/>
      <c r="F39" s="6"/>
      <c r="G39" s="6"/>
      <c r="H39" s="6"/>
      <c r="I39" s="6"/>
      <c r="J39" s="6"/>
    </row>
    <row r="40" customFormat="false" ht="15" hidden="false" customHeight="false" outlineLevel="0" collapsed="false">
      <c r="B40" s="8" t="s">
        <v>92</v>
      </c>
      <c r="C40" s="16" t="n">
        <v>2972.08</v>
      </c>
      <c r="D40" s="16" t="n">
        <v>116.86</v>
      </c>
      <c r="G40" s="16" t="n">
        <v>2432.71</v>
      </c>
    </row>
    <row r="41" customFormat="false" ht="15" hidden="false" customHeight="false" outlineLevel="0" collapsed="false">
      <c r="B41" s="8" t="s">
        <v>166</v>
      </c>
      <c r="C41" s="16" t="n">
        <v>381.42</v>
      </c>
      <c r="D41" s="16" t="n">
        <v>15.28</v>
      </c>
      <c r="G41" s="16" t="n">
        <v>312.2</v>
      </c>
    </row>
    <row r="42" customFormat="false" ht="15" hidden="false" customHeight="false" outlineLevel="0" collapsed="false">
      <c r="B42" s="8" t="s">
        <v>94</v>
      </c>
      <c r="C42" s="16" t="n">
        <v>718.25</v>
      </c>
      <c r="D42" s="16" t="n">
        <v>29.67</v>
      </c>
      <c r="G42" s="16" t="n">
        <v>587.9</v>
      </c>
    </row>
    <row r="43" customFormat="false" ht="15" hidden="false" customHeight="false" outlineLevel="0" collapsed="false">
      <c r="B43" s="8" t="s">
        <v>95</v>
      </c>
      <c r="C43" s="16" t="n">
        <v>13539.46</v>
      </c>
      <c r="D43" s="16" t="n">
        <v>532.38</v>
      </c>
      <c r="G43" s="16" t="n">
        <v>11082.34</v>
      </c>
    </row>
    <row r="44" customFormat="false" ht="15" hidden="false" customHeight="false" outlineLevel="0" collapsed="false">
      <c r="B44" s="8" t="s">
        <v>167</v>
      </c>
      <c r="C44" s="16" t="n">
        <v>1737.56</v>
      </c>
      <c r="D44" s="16" t="n">
        <v>69.62</v>
      </c>
      <c r="G44" s="16" t="n">
        <v>1422.23</v>
      </c>
    </row>
    <row r="45" customFormat="false" ht="15" hidden="false" customHeight="false" outlineLevel="0" collapsed="false">
      <c r="B45" s="8" t="s">
        <v>97</v>
      </c>
      <c r="C45" s="16" t="n">
        <v>3272.04</v>
      </c>
      <c r="D45" s="16" t="n">
        <v>135.14</v>
      </c>
      <c r="G45" s="16" t="n">
        <v>2678.23</v>
      </c>
    </row>
    <row r="46" customFormat="false" ht="15" hidden="false" customHeight="false" outlineLevel="0" collapsed="false">
      <c r="A46" s="24"/>
      <c r="B46" s="25" t="s">
        <v>98</v>
      </c>
      <c r="C46" s="26" t="n">
        <f aca="false">SUM(C40:C45)</f>
        <v>22620.81</v>
      </c>
      <c r="D46" s="26" t="n">
        <f aca="false">SUM(D40:D45)</f>
        <v>898.95</v>
      </c>
      <c r="E46" s="24"/>
      <c r="F46" s="26" t="n">
        <f aca="false">SUM(F40:F45)</f>
        <v>0</v>
      </c>
      <c r="G46" s="26" t="n">
        <f aca="false">SUM(G40:G45)</f>
        <v>18515.61</v>
      </c>
      <c r="H46" s="24"/>
    </row>
    <row r="48" customFormat="false" ht="15" hidden="false" customHeight="false" outlineLevel="0" collapsed="false">
      <c r="A48" s="27" t="s">
        <v>99</v>
      </c>
      <c r="B48" s="27"/>
      <c r="C48" s="27"/>
      <c r="D48" s="27"/>
      <c r="E48" s="27"/>
      <c r="F48" s="27"/>
      <c r="G48" s="27"/>
      <c r="H48" s="27"/>
      <c r="I48" s="27"/>
      <c r="J48" s="27"/>
    </row>
    <row r="49" customFormat="false" ht="15" hidden="false" customHeight="false" outlineLevel="0" collapsed="false">
      <c r="A49" s="28" t="s">
        <v>62</v>
      </c>
      <c r="B49" s="28"/>
      <c r="C49" s="28"/>
      <c r="D49" s="28"/>
      <c r="E49" s="28"/>
      <c r="F49" s="28"/>
      <c r="G49" s="28"/>
      <c r="H49" s="28"/>
      <c r="I49" s="28"/>
      <c r="J49" s="28"/>
    </row>
    <row r="50" customFormat="false" ht="15" hidden="false" customHeight="false" outlineLevel="0" collapsed="false">
      <c r="A50" s="29"/>
      <c r="B50" s="29" t="s">
        <v>100</v>
      </c>
      <c r="C50" s="30" t="s">
        <v>101</v>
      </c>
      <c r="D50" s="30" t="s">
        <v>102</v>
      </c>
      <c r="E50" s="30" t="s">
        <v>103</v>
      </c>
      <c r="F50" s="30" t="s">
        <v>104</v>
      </c>
      <c r="G50" s="30" t="s">
        <v>105</v>
      </c>
      <c r="H50" s="30" t="s">
        <v>106</v>
      </c>
      <c r="I50" s="30" t="s">
        <v>107</v>
      </c>
      <c r="J50" s="30" t="s">
        <v>108</v>
      </c>
    </row>
    <row r="51" customFormat="false" ht="15" hidden="false" customHeight="false" outlineLevel="0" collapsed="false">
      <c r="B51" s="31" t="s">
        <v>648</v>
      </c>
      <c r="C51" s="32" t="n">
        <v>2972.07684</v>
      </c>
      <c r="D51" s="32" t="n">
        <v>0</v>
      </c>
      <c r="E51" s="32" t="n">
        <v>0</v>
      </c>
      <c r="F51" s="32" t="n">
        <v>49.633683228</v>
      </c>
      <c r="G51" s="32" t="n">
        <v>49.633683228</v>
      </c>
      <c r="H51" s="32" t="n">
        <v>2921.55153372</v>
      </c>
      <c r="I51" s="33" t="s">
        <v>110</v>
      </c>
      <c r="J51" s="34" t="n">
        <v>27.5</v>
      </c>
    </row>
    <row r="52" customFormat="false" ht="15" hidden="false" customHeight="false" outlineLevel="0" collapsed="false">
      <c r="B52" s="35" t="s">
        <v>649</v>
      </c>
      <c r="C52" s="36" t="n">
        <v>381.4165278</v>
      </c>
      <c r="D52" s="36" t="n">
        <v>228.84991668</v>
      </c>
      <c r="E52" s="36" t="n">
        <v>0</v>
      </c>
      <c r="F52" s="36" t="n">
        <v>234.571164597</v>
      </c>
      <c r="G52" s="36" t="n">
        <v>234.571164597</v>
      </c>
      <c r="H52" s="36" t="n">
        <v>146.845363203</v>
      </c>
      <c r="I52" s="37" t="s">
        <v>112</v>
      </c>
      <c r="J52" s="38" t="n">
        <v>15</v>
      </c>
    </row>
    <row r="53" customFormat="false" ht="15" hidden="false" customHeight="false" outlineLevel="0" collapsed="false">
      <c r="B53" s="31" t="s">
        <v>650</v>
      </c>
      <c r="C53" s="32" t="n">
        <v>718.251903</v>
      </c>
      <c r="D53" s="32" t="n">
        <v>430.9511418</v>
      </c>
      <c r="E53" s="32" t="n">
        <v>0</v>
      </c>
      <c r="F53" s="32" t="n">
        <v>488.41129404</v>
      </c>
      <c r="G53" s="32" t="n">
        <v>488.41129404</v>
      </c>
      <c r="H53" s="32" t="n">
        <v>229.84060896</v>
      </c>
      <c r="I53" s="33" t="s">
        <v>114</v>
      </c>
      <c r="J53" s="34" t="n">
        <v>5</v>
      </c>
    </row>
    <row r="54" customFormat="false" ht="15" hidden="false" customHeight="false" outlineLevel="0" collapsed="false">
      <c r="B54" s="35" t="s">
        <v>651</v>
      </c>
      <c r="C54" s="36" t="n">
        <v>13539.46116</v>
      </c>
      <c r="D54" s="36" t="n">
        <v>0</v>
      </c>
      <c r="E54" s="36" t="n">
        <v>0</v>
      </c>
      <c r="F54" s="36" t="n">
        <v>226.109001372</v>
      </c>
      <c r="G54" s="36" t="n">
        <v>226.109001372</v>
      </c>
      <c r="H54" s="36" t="n">
        <v>13309.29032028</v>
      </c>
      <c r="I54" s="37" t="s">
        <v>110</v>
      </c>
      <c r="J54" s="38" t="n">
        <v>27.5</v>
      </c>
    </row>
    <row r="55" customFormat="false" ht="15" hidden="false" customHeight="false" outlineLevel="0" collapsed="false">
      <c r="B55" s="31" t="s">
        <v>652</v>
      </c>
      <c r="C55" s="32" t="n">
        <v>1737.5641822</v>
      </c>
      <c r="D55" s="32" t="n">
        <v>1042.53850932</v>
      </c>
      <c r="E55" s="32" t="n">
        <v>0</v>
      </c>
      <c r="F55" s="32" t="n">
        <v>1068.601972053</v>
      </c>
      <c r="G55" s="32" t="n">
        <v>1068.601972053</v>
      </c>
      <c r="H55" s="32" t="n">
        <v>668.962210147</v>
      </c>
      <c r="I55" s="33" t="s">
        <v>112</v>
      </c>
      <c r="J55" s="34" t="n">
        <v>15</v>
      </c>
    </row>
    <row r="56" customFormat="false" ht="15" hidden="false" customHeight="false" outlineLevel="0" collapsed="false">
      <c r="B56" s="35" t="s">
        <v>653</v>
      </c>
      <c r="C56" s="36" t="n">
        <v>3272.036447</v>
      </c>
      <c r="D56" s="36" t="n">
        <v>1963.2218682</v>
      </c>
      <c r="E56" s="36" t="n">
        <v>0</v>
      </c>
      <c r="F56" s="36" t="n">
        <v>2224.98478396</v>
      </c>
      <c r="G56" s="36" t="n">
        <v>2224.98478396</v>
      </c>
      <c r="H56" s="36" t="n">
        <v>1047.05166304</v>
      </c>
      <c r="I56" s="37" t="s">
        <v>114</v>
      </c>
      <c r="J56" s="38" t="n">
        <v>5</v>
      </c>
    </row>
    <row r="57" customFormat="false" ht="15" hidden="false" customHeight="false" outlineLevel="0" collapsed="false">
      <c r="A57" s="10"/>
      <c r="B57" s="11" t="s">
        <v>32</v>
      </c>
      <c r="C57" s="39" t="n">
        <f aca="false">SUM(C51:C56)</f>
        <v>22620.80706</v>
      </c>
      <c r="D57" s="39" t="n">
        <f aca="false">SUM(D51:D56)</f>
        <v>3665.561436</v>
      </c>
      <c r="E57" s="39" t="n">
        <f aca="false">SUM(E51:E56)</f>
        <v>0</v>
      </c>
      <c r="F57" s="39" t="n">
        <f aca="false">SUM(F51:F56)</f>
        <v>4292.31189925</v>
      </c>
      <c r="G57" s="39" t="n">
        <f aca="false">SUM(G51:G56)</f>
        <v>4292.31189925</v>
      </c>
      <c r="H57" s="39" t="n">
        <f aca="false">SUM(H51:H56)</f>
        <v>18323.54169935</v>
      </c>
      <c r="I57" s="10"/>
      <c r="J57" s="10"/>
    </row>
    <row r="59" customFormat="false" ht="15" hidden="false" customHeight="false" outlineLevel="0" collapsed="false">
      <c r="A59" s="40" t="s">
        <v>118</v>
      </c>
      <c r="B59" s="40"/>
      <c r="C59" s="40"/>
      <c r="D59" s="40"/>
      <c r="E59" s="40"/>
      <c r="F59" s="40"/>
      <c r="G59" s="40"/>
      <c r="H59" s="40"/>
      <c r="I59" s="40"/>
      <c r="J59" s="40"/>
    </row>
    <row r="60" customFormat="false" ht="15" hidden="false" customHeight="false" outlineLevel="0" collapsed="false">
      <c r="A60" s="29"/>
      <c r="B60" s="29" t="s">
        <v>100</v>
      </c>
      <c r="C60" s="30" t="s">
        <v>101</v>
      </c>
      <c r="D60" s="30" t="s">
        <v>102</v>
      </c>
      <c r="E60" s="30" t="s">
        <v>103</v>
      </c>
      <c r="F60" s="30" t="s">
        <v>104</v>
      </c>
      <c r="G60" s="30" t="s">
        <v>105</v>
      </c>
      <c r="H60" s="30" t="s">
        <v>106</v>
      </c>
      <c r="I60" s="30" t="s">
        <v>107</v>
      </c>
      <c r="J60" s="30" t="s">
        <v>108</v>
      </c>
    </row>
    <row r="61" customFormat="false" ht="15" hidden="false" customHeight="false" outlineLevel="0" collapsed="false">
      <c r="B61" s="31" t="s">
        <v>654</v>
      </c>
      <c r="C61" s="32" t="n">
        <v>113.9296122</v>
      </c>
      <c r="D61" s="32" t="n">
        <v>68.35776732</v>
      </c>
      <c r="E61" s="32" t="n">
        <v>0</v>
      </c>
      <c r="F61" s="32" t="n">
        <v>78.611432418</v>
      </c>
      <c r="G61" s="32" t="n">
        <v>78.611432418</v>
      </c>
      <c r="H61" s="32" t="n">
        <v>35.318179782</v>
      </c>
      <c r="I61" s="33" t="s">
        <v>114</v>
      </c>
      <c r="J61" s="34" t="n">
        <v>5</v>
      </c>
    </row>
    <row r="62" customFormat="false" ht="15" hidden="false" customHeight="false" outlineLevel="0" collapsed="false">
      <c r="B62" s="35" t="s">
        <v>655</v>
      </c>
      <c r="C62" s="36" t="n">
        <v>2858.1472278</v>
      </c>
      <c r="D62" s="36" t="n">
        <v>0</v>
      </c>
      <c r="E62" s="36" t="n">
        <v>0</v>
      </c>
      <c r="F62" s="36" t="n">
        <v>47.73105870426</v>
      </c>
      <c r="G62" s="36" t="n">
        <v>47.73105870426</v>
      </c>
      <c r="H62" s="36" t="n">
        <v>2809.5587249274</v>
      </c>
      <c r="I62" s="37" t="s">
        <v>110</v>
      </c>
      <c r="J62" s="38" t="n">
        <v>27.5</v>
      </c>
    </row>
    <row r="63" customFormat="false" ht="15" hidden="false" customHeight="false" outlineLevel="0" collapsed="false">
      <c r="B63" s="31" t="s">
        <v>656</v>
      </c>
      <c r="C63" s="32" t="n">
        <v>14.8603842</v>
      </c>
      <c r="D63" s="32" t="n">
        <v>8.91623052</v>
      </c>
      <c r="E63" s="32" t="n">
        <v>0</v>
      </c>
      <c r="F63" s="32" t="n">
        <v>10.253665098</v>
      </c>
      <c r="G63" s="32" t="n">
        <v>10.253665098</v>
      </c>
      <c r="H63" s="32" t="n">
        <v>4.606719102</v>
      </c>
      <c r="I63" s="33" t="s">
        <v>114</v>
      </c>
      <c r="J63" s="34" t="n">
        <v>5</v>
      </c>
    </row>
    <row r="64" customFormat="false" ht="15" hidden="false" customHeight="false" outlineLevel="0" collapsed="false">
      <c r="B64" s="35" t="s">
        <v>657</v>
      </c>
      <c r="C64" s="36" t="n">
        <v>366.5561436</v>
      </c>
      <c r="D64" s="36" t="n">
        <v>0</v>
      </c>
      <c r="E64" s="36" t="n">
        <v>0</v>
      </c>
      <c r="F64" s="36" t="n">
        <v>6.12148759812</v>
      </c>
      <c r="G64" s="36" t="n">
        <v>6.12148759812</v>
      </c>
      <c r="H64" s="36" t="n">
        <v>360.3246891588</v>
      </c>
      <c r="I64" s="37" t="s">
        <v>110</v>
      </c>
      <c r="J64" s="38" t="n">
        <v>27.5</v>
      </c>
    </row>
    <row r="65" customFormat="false" ht="15" hidden="false" customHeight="false" outlineLevel="0" collapsed="false">
      <c r="B65" s="31" t="s">
        <v>658</v>
      </c>
      <c r="C65" s="32" t="n">
        <v>272.440377</v>
      </c>
      <c r="D65" s="32" t="n">
        <v>163.4642262</v>
      </c>
      <c r="E65" s="32" t="n">
        <v>0</v>
      </c>
      <c r="F65" s="32" t="n">
        <v>187.98386013</v>
      </c>
      <c r="G65" s="32" t="n">
        <v>187.98386013</v>
      </c>
      <c r="H65" s="32" t="n">
        <v>84.45651687</v>
      </c>
      <c r="I65" s="33" t="s">
        <v>114</v>
      </c>
      <c r="J65" s="34" t="n">
        <v>5</v>
      </c>
    </row>
    <row r="66" customFormat="false" ht="15" hidden="false" customHeight="false" outlineLevel="0" collapsed="false">
      <c r="B66" s="35" t="s">
        <v>659</v>
      </c>
      <c r="C66" s="36" t="n">
        <v>445.811526</v>
      </c>
      <c r="D66" s="36" t="n">
        <v>0</v>
      </c>
      <c r="E66" s="36" t="n">
        <v>0</v>
      </c>
      <c r="F66" s="36" t="n">
        <v>7.4450524842</v>
      </c>
      <c r="G66" s="36" t="n">
        <v>7.4450524842</v>
      </c>
      <c r="H66" s="36" t="n">
        <v>438.232730058</v>
      </c>
      <c r="I66" s="37" t="s">
        <v>110</v>
      </c>
      <c r="J66" s="38" t="n">
        <v>27.5</v>
      </c>
    </row>
    <row r="67" customFormat="false" ht="15" hidden="false" customHeight="false" outlineLevel="0" collapsed="false">
      <c r="B67" s="31" t="s">
        <v>660</v>
      </c>
      <c r="C67" s="32" t="n">
        <v>519.0126778</v>
      </c>
      <c r="D67" s="32" t="n">
        <v>311.40760668</v>
      </c>
      <c r="E67" s="32" t="n">
        <v>0</v>
      </c>
      <c r="F67" s="32" t="n">
        <v>358.118747682</v>
      </c>
      <c r="G67" s="32" t="n">
        <v>358.118747682</v>
      </c>
      <c r="H67" s="32" t="n">
        <v>160.893930118</v>
      </c>
      <c r="I67" s="33" t="s">
        <v>114</v>
      </c>
      <c r="J67" s="34" t="n">
        <v>5</v>
      </c>
    </row>
    <row r="68" customFormat="false" ht="15" hidden="false" customHeight="false" outlineLevel="0" collapsed="false">
      <c r="B68" s="35" t="s">
        <v>661</v>
      </c>
      <c r="C68" s="36" t="n">
        <v>13020.4484822</v>
      </c>
      <c r="D68" s="36" t="n">
        <v>0</v>
      </c>
      <c r="E68" s="36" t="n">
        <v>0</v>
      </c>
      <c r="F68" s="36" t="n">
        <v>217.44148965274</v>
      </c>
      <c r="G68" s="36" t="n">
        <v>217.44148965274</v>
      </c>
      <c r="H68" s="36" t="n">
        <v>12799.1008580026</v>
      </c>
      <c r="I68" s="37" t="s">
        <v>110</v>
      </c>
      <c r="J68" s="38" t="n">
        <v>27.5</v>
      </c>
    </row>
    <row r="69" customFormat="false" ht="15" hidden="false" customHeight="false" outlineLevel="0" collapsed="false">
      <c r="B69" s="31" t="s">
        <v>662</v>
      </c>
      <c r="C69" s="32" t="n">
        <v>67.6973058</v>
      </c>
      <c r="D69" s="32" t="n">
        <v>40.61838348</v>
      </c>
      <c r="E69" s="32" t="n">
        <v>0</v>
      </c>
      <c r="F69" s="32" t="n">
        <v>46.711141002</v>
      </c>
      <c r="G69" s="32" t="n">
        <v>46.711141002</v>
      </c>
      <c r="H69" s="32" t="n">
        <v>20.986164798</v>
      </c>
      <c r="I69" s="33" t="s">
        <v>114</v>
      </c>
      <c r="J69" s="34" t="n">
        <v>5</v>
      </c>
    </row>
    <row r="70" customFormat="false" ht="15" hidden="false" customHeight="false" outlineLevel="0" collapsed="false">
      <c r="B70" s="35" t="s">
        <v>663</v>
      </c>
      <c r="C70" s="36" t="n">
        <v>1669.8668764</v>
      </c>
      <c r="D70" s="36" t="n">
        <v>0</v>
      </c>
      <c r="E70" s="36" t="n">
        <v>0</v>
      </c>
      <c r="F70" s="36" t="n">
        <v>27.88677683588</v>
      </c>
      <c r="G70" s="36" t="n">
        <v>27.88677683588</v>
      </c>
      <c r="H70" s="36" t="n">
        <v>1641.4791395012</v>
      </c>
      <c r="I70" s="37" t="s">
        <v>110</v>
      </c>
      <c r="J70" s="38" t="n">
        <v>27.5</v>
      </c>
    </row>
    <row r="71" customFormat="false" ht="15" hidden="false" customHeight="false" outlineLevel="0" collapsed="false">
      <c r="B71" s="31" t="s">
        <v>664</v>
      </c>
      <c r="C71" s="32" t="n">
        <v>1241.117273</v>
      </c>
      <c r="D71" s="32" t="n">
        <v>744.6703638</v>
      </c>
      <c r="E71" s="32" t="n">
        <v>0</v>
      </c>
      <c r="F71" s="32" t="n">
        <v>856.37091837</v>
      </c>
      <c r="G71" s="32" t="n">
        <v>856.37091837</v>
      </c>
      <c r="H71" s="32" t="n">
        <v>384.74635463</v>
      </c>
      <c r="I71" s="33" t="s">
        <v>114</v>
      </c>
      <c r="J71" s="34" t="n">
        <v>5</v>
      </c>
    </row>
    <row r="72" customFormat="false" ht="15" hidden="false" customHeight="false" outlineLevel="0" collapsed="false">
      <c r="B72" s="35" t="s">
        <v>665</v>
      </c>
      <c r="C72" s="36" t="n">
        <v>2030.919174</v>
      </c>
      <c r="D72" s="36" t="n">
        <v>0</v>
      </c>
      <c r="E72" s="36" t="n">
        <v>0</v>
      </c>
      <c r="F72" s="36" t="n">
        <v>33.9163502058</v>
      </c>
      <c r="G72" s="36" t="n">
        <v>33.9163502058</v>
      </c>
      <c r="H72" s="36" t="n">
        <v>1996.393548042</v>
      </c>
      <c r="I72" s="37" t="s">
        <v>110</v>
      </c>
      <c r="J72" s="38" t="n">
        <v>27.5</v>
      </c>
    </row>
    <row r="73" customFormat="false" ht="15" hidden="false" customHeight="false" outlineLevel="0" collapsed="false">
      <c r="A73" s="10"/>
      <c r="B73" s="11" t="s">
        <v>32</v>
      </c>
      <c r="C73" s="39" t="n">
        <f aca="false">SUM(C61:C72)</f>
        <v>22620.80706</v>
      </c>
      <c r="D73" s="39" t="n">
        <f aca="false">SUM(D61:D72)</f>
        <v>1337.434578</v>
      </c>
      <c r="E73" s="39" t="n">
        <f aca="false">SUM(E61:E72)</f>
        <v>0</v>
      </c>
      <c r="F73" s="39" t="n">
        <f aca="false">SUM(F61:F72)</f>
        <v>1878.591980181</v>
      </c>
      <c r="G73" s="39" t="n">
        <f aca="false">SUM(G61:G72)</f>
        <v>1878.591980181</v>
      </c>
      <c r="H73" s="39" t="n">
        <f aca="false">SUM(H61:H72)</f>
        <v>20736.09755499</v>
      </c>
      <c r="I73" s="10"/>
      <c r="J73" s="10"/>
    </row>
    <row r="75" customFormat="false" ht="15" hidden="false" customHeight="false" outlineLevel="0" collapsed="false">
      <c r="A75" s="27" t="s">
        <v>64</v>
      </c>
      <c r="B75" s="27"/>
      <c r="C75" s="27"/>
      <c r="D75" s="27"/>
      <c r="E75" s="27"/>
    </row>
    <row r="76" customFormat="false" ht="15" hidden="false" customHeight="false" outlineLevel="0" collapsed="false">
      <c r="B76" s="8" t="s">
        <v>137</v>
      </c>
      <c r="C76" s="41" t="n">
        <f aca="false">G57</f>
        <v>4292.31189925</v>
      </c>
    </row>
    <row r="77" customFormat="false" ht="15" hidden="false" customHeight="false" outlineLevel="0" collapsed="false">
      <c r="B77" s="8" t="s">
        <v>138</v>
      </c>
      <c r="C77" s="41" t="n">
        <f aca="false">G73</f>
        <v>1878.591980181</v>
      </c>
    </row>
    <row r="78" customFormat="false" ht="15" hidden="false" customHeight="false" outlineLevel="0" collapsed="false">
      <c r="B78" s="17" t="s">
        <v>64</v>
      </c>
      <c r="C78" s="42" t="n">
        <f aca="false">C77-C76</f>
        <v>-2413.719919069</v>
      </c>
    </row>
  </sheetData>
  <mergeCells count="11">
    <mergeCell ref="A2:J2"/>
    <mergeCell ref="A3:J3"/>
    <mergeCell ref="A4:J4"/>
    <mergeCell ref="A8:J8"/>
    <mergeCell ref="B10:J10"/>
    <mergeCell ref="B23:J23"/>
    <mergeCell ref="B39:J39"/>
    <mergeCell ref="A48:J48"/>
    <mergeCell ref="A49:J49"/>
    <mergeCell ref="A59:J59"/>
    <mergeCell ref="A75:E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2026-07-08T23:03:34Z</dcterms:created>
  <dc:creator>openpyxl</dc:creator>
  <dc:description/>
  <dc:language>en-US</dc:language>
  <cp:lastModifiedBy/>
  <dcterms:modified xsi:type="dcterms:W3CDTF">2026-07-08T23:03:35Z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