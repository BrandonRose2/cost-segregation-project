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uilding A" sheetId="3" state="visible" r:id="rId5"/>
    <sheet name="Building B" sheetId="4" state="visible" r:id="rId6"/>
    <sheet name="Building C" sheetId="5" state="visible" r:id="rId7"/>
    <sheet name="Building D" sheetId="6" state="visible" r:id="rId8"/>
    <sheet name="Building E" sheetId="7" state="visible" r:id="rId9"/>
    <sheet name="Building F" sheetId="8" state="visible" r:id="rId10"/>
    <sheet name="Building G" sheetId="9" state="visible" r:id="rId11"/>
    <sheet name="Building H" sheetId="10" state="visible" r:id="rId12"/>
    <sheet name="Building I" sheetId="11" state="visible" r:id="rId13"/>
    <sheet name="Building J" sheetId="12" state="visible" r:id="rId14"/>
    <sheet name="Building K" sheetId="13" state="visible" r:id="rId15"/>
    <sheet name="Building L" sheetId="14" state="visible" r:id="rId16"/>
    <sheet name="Building M" sheetId="15" state="visible" r:id="rId17"/>
    <sheet name="Office" sheetId="16" state="visible" r:id="rId18"/>
    <sheet name="Improvement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<sst xmlns="http://schemas.openxmlformats.org/spreadsheetml/2006/main" count="1730" uniqueCount="197">
  <si>
    <t xml:space="preserve">Macedonia Apartments LLC</t>
  </si>
  <si>
    <t xml:space="preserve">Summary of Cost Seg Adjustments</t>
  </si>
  <si>
    <t xml:space="preserve">As of December 31, 2024  |  EIN: 27-3618924  |  Report #107752-05</t>
  </si>
  <si>
    <t xml:space="preserve">Acq Date</t>
  </si>
  <si>
    <t xml:space="preserve">Asset Description</t>
  </si>
  <si>
    <t xml:space="preserve">Total</t>
  </si>
  <si>
    <t xml:space="preserve">Site</t>
  </si>
  <si>
    <t xml:space="preserve">Building A</t>
  </si>
  <si>
    <t xml:space="preserve">Building B</t>
  </si>
  <si>
    <t xml:space="preserve">Building C</t>
  </si>
  <si>
    <t xml:space="preserve">Building D</t>
  </si>
  <si>
    <t xml:space="preserve">Building E</t>
  </si>
  <si>
    <t xml:space="preserve">Building F</t>
  </si>
  <si>
    <t xml:space="preserve">Building G</t>
  </si>
  <si>
    <t xml:space="preserve">Building H</t>
  </si>
  <si>
    <t xml:space="preserve">Building I</t>
  </si>
  <si>
    <t xml:space="preserve">Building J</t>
  </si>
  <si>
    <t xml:space="preserve">Building K</t>
  </si>
  <si>
    <t xml:space="preserve">Building L</t>
  </si>
  <si>
    <t xml:space="preserve">Building M</t>
  </si>
  <si>
    <t xml:space="preserve">Office</t>
  </si>
  <si>
    <t xml:space="preserve">Improvements</t>
  </si>
  <si>
    <t xml:space="preserve">Grand Total</t>
  </si>
  <si>
    <t xml:space="preserve">Property Cost Summary</t>
  </si>
  <si>
    <t xml:space="preserve">5/12/11</t>
  </si>
  <si>
    <t xml:space="preserve">Property - Site</t>
  </si>
  <si>
    <t xml:space="preserve">Property - Building A</t>
  </si>
  <si>
    <t xml:space="preserve">Property - Building B</t>
  </si>
  <si>
    <t xml:space="preserve">Property - Building C</t>
  </si>
  <si>
    <t xml:space="preserve">Property - Building D</t>
  </si>
  <si>
    <t xml:space="preserve">Property - Building E</t>
  </si>
  <si>
    <t xml:space="preserve">Property - Building F</t>
  </si>
  <si>
    <t xml:space="preserve">Property - Building G</t>
  </si>
  <si>
    <t xml:space="preserve">Property - Building H</t>
  </si>
  <si>
    <t xml:space="preserve">Property - Building I</t>
  </si>
  <si>
    <t xml:space="preserve">Property - Building J</t>
  </si>
  <si>
    <t xml:space="preserve">Property - Building K</t>
  </si>
  <si>
    <t xml:space="preserve">Property - Building L</t>
  </si>
  <si>
    <t xml:space="preserve">Property - Building M</t>
  </si>
  <si>
    <t xml:space="preserve">Property - Office</t>
  </si>
  <si>
    <t xml:space="preserve">Property - Improvements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</si>
  <si>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</si>
  <si>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</si>
  <si>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</si>
  <si>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</si>
  <si>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Cost Segregation Study - Site</t>
  </si>
  <si>
    <t xml:space="preserve">Report #107752-05</t>
  </si>
  <si>
    <t xml:space="preserve">Acquisition Date:</t>
  </si>
  <si>
    <t xml:space="preserve">Macedonia Apartments LLC - Site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</si>
  <si>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</si>
  <si>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</si>
  <si>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</si>
  <si>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</si>
  <si>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</si>
  <si>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</si>
  <si>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</si>
  <si>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Site Work / Improvements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</si>
  <si>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</si>
  <si>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</si>
  <si>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</si>
  <si>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</si>
  <si>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 &amp; Flagpole</t>
  </si>
  <si>
    <t xml:space="preserve">Security Lighting Poles</t>
  </si>
  <si>
    <t xml:space="preserve">Exterior Fencing</t>
  </si>
  <si>
    <t xml:space="preserve">Dumpster Pads</t>
  </si>
  <si>
    <t xml:space="preserve">Retaining Walls</t>
  </si>
  <si>
    <t xml:space="preserve">Exterior Equipment Concrete Pads</t>
  </si>
  <si>
    <t xml:space="preserve">Mailboxes</t>
  </si>
  <si>
    <t xml:space="preserve">Site Utilities</t>
  </si>
  <si>
    <t xml:space="preserve">Total Cost</t>
  </si>
  <si>
    <t xml:space="preserve">Asset Allocation:</t>
  </si>
  <si>
    <t xml:space="preserve">Asset-Building</t>
  </si>
  <si>
    <t xml:space="preserve">Asset-Building Improvement</t>
  </si>
  <si>
    <t xml:space="preserve">Asset-Land Improvements</t>
  </si>
  <si>
    <t xml:space="preserve">Asset-Equipment</t>
  </si>
  <si>
    <t xml:space="preserve">Total Allocation:</t>
  </si>
  <si>
    <t xml:space="preserve">End Depreciation Reconciliation</t>
  </si>
  <si>
    <t xml:space="preserve">Property Description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</si>
  <si>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</si>
  <si>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</si>
  <si>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</si>
  <si>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</si>
  <si>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</si>
  <si>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</si>
  <si>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</si>
  <si>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</si>
  <si>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Bldg-Site</t>
  </si>
  <si>
    <t xml:space="preserve">S/L</t>
  </si>
  <si>
    <t xml:space="preserve">Bldg Imp-Site</t>
  </si>
  <si>
    <t xml:space="preserve">LI-Site</t>
  </si>
  <si>
    <t xml:space="preserve">150DB</t>
  </si>
  <si>
    <t xml:space="preserve">Equip-Site</t>
  </si>
  <si>
    <t xml:space="preserve">200DB</t>
  </si>
  <si>
    <t xml:space="preserve">After Cost Segregation Correction</t>
  </si>
  <si>
    <t xml:space="preserve">Bldg-Site-15yr</t>
  </si>
  <si>
    <t xml:space="preserve">Bldg-Site-27.5yr</t>
  </si>
  <si>
    <t xml:space="preserve">Bldg Imp-Site-15yr</t>
  </si>
  <si>
    <t xml:space="preserve">Bldg Imp-Site-27.5yr</t>
  </si>
  <si>
    <t xml:space="preserve">LI-Site-15yr</t>
  </si>
  <si>
    <t xml:space="preserve">LI-Site-27.5yr</t>
  </si>
  <si>
    <t xml:space="preserve">Equip-Site-15yr</t>
  </si>
  <si>
    <t xml:space="preserve">Equip-Site-27.5yr</t>
  </si>
  <si>
    <t xml:space="preserve">Depreciation Reported Previously</t>
  </si>
  <si>
    <t xml:space="preserve">Cost Segregation Corrected Depreciation</t>
  </si>
  <si>
    <t xml:space="preserve">Cost Segregation Study - Building A</t>
  </si>
  <si>
    <t xml:space="preserve">Macedonia Apartments LLC - Building A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</si>
  <si>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</si>
  <si>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</si>
  <si>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</si>
  <si>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</si>
  <si>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</si>
  <si>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</si>
  <si>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</si>
  <si>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</si>
  <si>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</si>
  <si>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</si>
  <si>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</si>
  <si>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</si>
  <si>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</si>
  <si>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</si>
  <si>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</si>
  <si>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</si>
  <si>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</si>
  <si>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</si>
  <si>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</si>
  <si>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</si>
  <si>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</si>
  <si>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</si>
  <si>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</si>
  <si>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</si>
  <si>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</si>
  <si>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</si>
  <si>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Stairs / Balconies</t>
  </si>
  <si>
    <t xml:space="preserve">Bathroom Accessories</t>
  </si>
  <si>
    <t xml:space="preserve">Asset-Bldg Imp</t>
  </si>
  <si>
    <t xml:space="preserve">Asset-LI</t>
  </si>
  <si>
    <t xml:space="preserve">Bldg-Apt</t>
  </si>
  <si>
    <t xml:space="preserve">Bldg Imp-Apt</t>
  </si>
  <si>
    <t xml:space="preserve">LI-Apt</t>
  </si>
  <si>
    <t xml:space="preserve">Bldg-Apt-5yr</t>
  </si>
  <si>
    <t xml:space="preserve">Bldg-Apt-27.5yr</t>
  </si>
  <si>
    <t xml:space="preserve">Bldg Imp-Apt-5yr</t>
  </si>
  <si>
    <t xml:space="preserve">Bldg Imp-Apt-27.5yr</t>
  </si>
  <si>
    <t xml:space="preserve">LI-Apt-5yr</t>
  </si>
  <si>
    <t xml:space="preserve">LI-Apt-27.5yr</t>
  </si>
  <si>
    <t xml:space="preserve">Cost Segregation Study - Building B</t>
  </si>
  <si>
    <t xml:space="preserve">Macedonia Apartments LLC - Building B</t>
  </si>
  <si>
    <t xml:space="preserve">Cost Segregation Study - Building C</t>
  </si>
  <si>
    <t xml:space="preserve">Macedonia Apartments LLC - Building C</t>
  </si>
  <si>
    <t xml:space="preserve">Cost Segregation Study - Building D</t>
  </si>
  <si>
    <t xml:space="preserve">Macedonia Apartments LLC - Building D</t>
  </si>
  <si>
    <t xml:space="preserve">Cost Segregation Study - Building E</t>
  </si>
  <si>
    <t xml:space="preserve">Macedonia Apartments LLC - Building E</t>
  </si>
  <si>
    <t xml:space="preserve">Cost Segregation Study - Building F</t>
  </si>
  <si>
    <t xml:space="preserve">Macedonia Apartments LLC - Building F</t>
  </si>
  <si>
    <t xml:space="preserve">Cost Segregation Study - Building G</t>
  </si>
  <si>
    <t xml:space="preserve">Macedonia Apartments LLC - Building G</t>
  </si>
  <si>
    <t xml:space="preserve">Cost Segregation Study - Building H</t>
  </si>
  <si>
    <t xml:space="preserve">Macedonia Apartments LLC - Building H</t>
  </si>
  <si>
    <t xml:space="preserve">Cost Segregation Study - Building I</t>
  </si>
  <si>
    <t xml:space="preserve">Macedonia Apartments LLC - Building I</t>
  </si>
  <si>
    <t xml:space="preserve">Cost Segregation Study - Building J</t>
  </si>
  <si>
    <t xml:space="preserve">Macedonia Apartments LLC - Building J</t>
  </si>
  <si>
    <t xml:space="preserve">Cost Segregation Study - Building K</t>
  </si>
  <si>
    <t xml:space="preserve">Macedonia Apartments LLC - Building K</t>
  </si>
  <si>
    <t xml:space="preserve">Cost Segregation Study - Building L</t>
  </si>
  <si>
    <t xml:space="preserve">Macedonia Apartments LLC - Building L</t>
  </si>
  <si>
    <t xml:space="preserve">Cost Segregation Study - Building M</t>
  </si>
  <si>
    <t xml:space="preserve">Macedonia Apartments LLC - Building M</t>
  </si>
  <si>
    <t xml:space="preserve">Cost Segregation Study - Office</t>
  </si>
  <si>
    <t xml:space="preserve">Macedonia Apartments LLC - Office</t>
  </si>
  <si>
    <t xml:space="preserve">Specialty HVAC - Dryer Vents</t>
  </si>
  <si>
    <t xml:space="preserve">Specialty Plumbing - Laundry</t>
  </si>
  <si>
    <t xml:space="preserve">Canopies</t>
  </si>
  <si>
    <t xml:space="preserve">Ceramic Tile Flooring</t>
  </si>
  <si>
    <t xml:space="preserve">Bldg-Office</t>
  </si>
  <si>
    <t xml:space="preserve">Bldg Imp-Office</t>
  </si>
  <si>
    <t xml:space="preserve">LI-Office</t>
  </si>
  <si>
    <t xml:space="preserve">Equip-Office</t>
  </si>
  <si>
    <t xml:space="preserve">Bldg-Off-5yr</t>
  </si>
  <si>
    <t xml:space="preserve">Bldg-Off-27.5yr</t>
  </si>
  <si>
    <t xml:space="preserve">Bldg Imp-Off-5yr</t>
  </si>
  <si>
    <t xml:space="preserve">Bldg Imp-Off-27.5yr</t>
  </si>
  <si>
    <t xml:space="preserve">LI-Off-5yr</t>
  </si>
  <si>
    <t xml:space="preserve">LI-Off-27.5yr</t>
  </si>
  <si>
    <t xml:space="preserve">Equip-Off-5yr</t>
  </si>
  <si>
    <t xml:space="preserve">Equip-Off-27.5yr</t>
  </si>
  <si>
    <t xml:space="preserve">Cost Segregation Study - Improvements</t>
  </si>
  <si>
    <t xml:space="preserve">Macedonia Apartments LLC - Improvements</t>
  </si>
  <si>
    <t xml:space="preserve">Security System</t>
  </si>
  <si>
    <t xml:space="preserve">Asset-Bldg Imp 5yr</t>
  </si>
  <si>
    <t xml:space="preserve">8-Bldg Imp</t>
  </si>
  <si>
    <t xml:space="preserve">Site Utilities portion</t>
  </si>
  <si>
    <t xml:space="preserve">Remaining</t>
  </si>
  <si>
    <t xml:space="preserve">8-Bldg Imp-5yr</t>
  </si>
  <si>
    <t xml:space="preserve">8-Bldg Imp-15yr</t>
  </si>
  <si>
    <t xml:space="preserve">Bldg Structure-27.5yr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</si>
</sst>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22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</row>
    <row r="7" customFormat="false" ht="15" hidden="false" customHeight="false" outlineLevel="0" collapsed="false">
      <c r="A7" s="5"/>
      <c r="B7" s="6" t="s">
        <v>23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customFormat="false" ht="15" hidden="false" customHeight="false" outlineLevel="0" collapsed="false">
      <c r="B8" s="7" t="s">
        <v>24</v>
      </c>
      <c r="C8" s="8" t="s">
        <v>25</v>
      </c>
      <c r="D8" s="9" t="n">
        <v>799032.97</v>
      </c>
      <c r="E8" s="9" t="n">
        <v>514446.59</v>
      </c>
      <c r="G8" s="9" t="n">
        <v>284586.38</v>
      </c>
    </row>
    <row r="9" customFormat="false" ht="15" hidden="false" customHeight="false" outlineLevel="0" collapsed="false">
      <c r="B9" s="7" t="s">
        <v>24</v>
      </c>
      <c r="C9" s="8" t="s">
        <v>26</v>
      </c>
      <c r="D9" s="9" t="n">
        <v>515841.05</v>
      </c>
      <c r="E9" s="9" t="n">
        <v>104747.69</v>
      </c>
      <c r="G9" s="9" t="n">
        <v>411093.36</v>
      </c>
    </row>
    <row r="10" customFormat="false" ht="15" hidden="false" customHeight="false" outlineLevel="0" collapsed="false">
      <c r="B10" s="7" t="s">
        <v>24</v>
      </c>
      <c r="C10" s="8" t="s">
        <v>27</v>
      </c>
      <c r="D10" s="9" t="n">
        <v>515841.05</v>
      </c>
      <c r="E10" s="9" t="n">
        <v>104747.69</v>
      </c>
      <c r="G10" s="9" t="n">
        <v>411093.36</v>
      </c>
    </row>
    <row r="11" customFormat="false" ht="15" hidden="false" customHeight="false" outlineLevel="0" collapsed="false">
      <c r="B11" s="7" t="s">
        <v>24</v>
      </c>
      <c r="C11" s="8" t="s">
        <v>28</v>
      </c>
      <c r="D11" s="9" t="n">
        <v>515841.05</v>
      </c>
      <c r="E11" s="9" t="n">
        <v>104747.69</v>
      </c>
      <c r="G11" s="9" t="n">
        <v>411093.36</v>
      </c>
    </row>
    <row r="12" customFormat="false" ht="15" hidden="false" customHeight="false" outlineLevel="0" collapsed="false">
      <c r="B12" s="7" t="s">
        <v>24</v>
      </c>
      <c r="C12" s="8" t="s">
        <v>29</v>
      </c>
      <c r="D12" s="9" t="n">
        <v>515841.05</v>
      </c>
      <c r="E12" s="9" t="n">
        <v>104747.69</v>
      </c>
      <c r="G12" s="9" t="n">
        <v>411093.36</v>
      </c>
    </row>
    <row r="13" customFormat="false" ht="15" hidden="false" customHeight="false" outlineLevel="0" collapsed="false">
      <c r="B13" s="7" t="s">
        <v>24</v>
      </c>
      <c r="C13" s="8" t="s">
        <v>30</v>
      </c>
      <c r="D13" s="9" t="n">
        <v>515841.05</v>
      </c>
      <c r="E13" s="9" t="n">
        <v>104747.69</v>
      </c>
      <c r="G13" s="9" t="n">
        <v>411093.36</v>
      </c>
    </row>
    <row r="14" customFormat="false" ht="15" hidden="false" customHeight="false" outlineLevel="0" collapsed="false">
      <c r="B14" s="7" t="s">
        <v>24</v>
      </c>
      <c r="C14" s="8" t="s">
        <v>31</v>
      </c>
      <c r="D14" s="9" t="n">
        <v>515841.05</v>
      </c>
      <c r="E14" s="9" t="n">
        <v>104747.69</v>
      </c>
      <c r="G14" s="9" t="n">
        <v>411093.36</v>
      </c>
    </row>
    <row r="15" customFormat="false" ht="15" hidden="false" customHeight="false" outlineLevel="0" collapsed="false">
      <c r="B15" s="7" t="s">
        <v>24</v>
      </c>
      <c r="C15" s="8" t="s">
        <v>32</v>
      </c>
      <c r="D15" s="9" t="n">
        <v>515841.05</v>
      </c>
      <c r="E15" s="9" t="n">
        <v>104747.69</v>
      </c>
      <c r="G15" s="9" t="n">
        <v>411093.36</v>
      </c>
    </row>
    <row r="16" customFormat="false" ht="15" hidden="false" customHeight="false" outlineLevel="0" collapsed="false">
      <c r="B16" s="7" t="s">
        <v>24</v>
      </c>
      <c r="C16" s="8" t="s">
        <v>33</v>
      </c>
      <c r="D16" s="9" t="n">
        <v>515841.05</v>
      </c>
      <c r="E16" s="9" t="n">
        <v>104747.69</v>
      </c>
      <c r="G16" s="9" t="n">
        <v>411093.36</v>
      </c>
    </row>
    <row r="17" customFormat="false" ht="15" hidden="false" customHeight="false" outlineLevel="0" collapsed="false">
      <c r="B17" s="7" t="s">
        <v>24</v>
      </c>
      <c r="C17" s="8" t="s">
        <v>34</v>
      </c>
      <c r="D17" s="9" t="n">
        <v>515841.05</v>
      </c>
      <c r="E17" s="9" t="n">
        <v>104747.69</v>
      </c>
      <c r="G17" s="9" t="n">
        <v>411093.36</v>
      </c>
    </row>
    <row r="18" customFormat="false" ht="15" hidden="false" customHeight="false" outlineLevel="0" collapsed="false">
      <c r="B18" s="7" t="s">
        <v>24</v>
      </c>
      <c r="C18" s="8" t="s">
        <v>35</v>
      </c>
      <c r="D18" s="9" t="n">
        <v>440367.63</v>
      </c>
      <c r="E18" s="9" t="n">
        <v>91523.65</v>
      </c>
      <c r="G18" s="9" t="n">
        <v>348843.98</v>
      </c>
    </row>
    <row r="19" customFormat="false" ht="15" hidden="false" customHeight="false" outlineLevel="0" collapsed="false">
      <c r="B19" s="7" t="s">
        <v>24</v>
      </c>
      <c r="C19" s="8" t="s">
        <v>36</v>
      </c>
      <c r="D19" s="9" t="n">
        <v>440367.63</v>
      </c>
      <c r="E19" s="9" t="n">
        <v>91523.65</v>
      </c>
      <c r="G19" s="9" t="n">
        <v>348843.98</v>
      </c>
    </row>
    <row r="20" customFormat="false" ht="15" hidden="false" customHeight="false" outlineLevel="0" collapsed="false">
      <c r="B20" s="7" t="s">
        <v>24</v>
      </c>
      <c r="C20" s="8" t="s">
        <v>37</v>
      </c>
      <c r="D20" s="9" t="n">
        <v>440367.63</v>
      </c>
      <c r="E20" s="9" t="n">
        <v>91523.65</v>
      </c>
      <c r="G20" s="9" t="n">
        <v>348843.98</v>
      </c>
    </row>
    <row r="21" customFormat="false" ht="15" hidden="false" customHeight="false" outlineLevel="0" collapsed="false">
      <c r="B21" s="7" t="s">
        <v>24</v>
      </c>
      <c r="C21" s="8" t="s">
        <v>38</v>
      </c>
      <c r="D21" s="9" t="n">
        <v>440367.63</v>
      </c>
      <c r="E21" s="9" t="n">
        <v>91523.65</v>
      </c>
      <c r="G21" s="9" t="n">
        <v>348843.98</v>
      </c>
    </row>
    <row r="22" customFormat="false" ht="15" hidden="false" customHeight="false" outlineLevel="0" collapsed="false">
      <c r="B22" s="7" t="s">
        <v>24</v>
      </c>
      <c r="C22" s="8" t="s">
        <v>39</v>
      </c>
      <c r="D22" s="9" t="n">
        <v>164863.06</v>
      </c>
      <c r="E22" s="9" t="n">
        <v>24083.25</v>
      </c>
      <c r="G22" s="9" t="n">
        <v>140779.81</v>
      </c>
    </row>
    <row r="23" customFormat="false" ht="15" hidden="false" customHeight="false" outlineLevel="0" collapsed="false">
      <c r="B23" s="7" t="s">
        <v>24</v>
      </c>
      <c r="C23" s="8" t="s">
        <v>40</v>
      </c>
      <c r="D23" s="9" t="n">
        <v>192737</v>
      </c>
      <c r="E23" s="9" t="n">
        <v>74564</v>
      </c>
      <c r="F23" s="9" t="n">
        <v>77000</v>
      </c>
      <c r="G23" s="9" t="n">
        <v>41173</v>
      </c>
    </row>
    <row r="24" customFormat="false" ht="15" hidden="false" customHeight="false" outlineLevel="0" collapsed="false">
      <c r="A24" s="10"/>
      <c r="B24" s="11" t="s">
        <v>22</v>
      </c>
      <c r="C24" s="10"/>
      <c r="D24" s="12" t="n">
        <f aca="false">SUM(D8:D23)</f>
        <v>7560673</v>
      </c>
      <c r="E24" s="12" t="n">
        <f aca="false">SUM(E8:E23)</f>
        <v>1921917.65</v>
      </c>
      <c r="F24" s="12" t="n">
        <f aca="false">SUM(F8:F23)</f>
        <v>77000</v>
      </c>
      <c r="G24" s="12" t="n">
        <f aca="false">SUM(G8:G23)</f>
        <v>5561755.35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6" customFormat="false" ht="15" hidden="false" customHeight="false" outlineLevel="0" collapsed="false">
      <c r="A26" s="13"/>
      <c r="B26" s="14" t="s">
        <v>41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customFormat="false" ht="15" hidden="false" customHeight="false" outlineLevel="0" collapsed="false">
      <c r="C27" s="8" t="s">
        <v>42</v>
      </c>
      <c r="D27" s="15" t="n">
        <f aca="false">SUM(E27:T27)</f>
        <v>2803837.87</v>
      </c>
      <c r="E27" s="16" t="n">
        <v>299829.27</v>
      </c>
      <c r="F27" s="16" t="n">
        <v>193535.18</v>
      </c>
      <c r="G27" s="16" t="n">
        <v>193535.18</v>
      </c>
      <c r="H27" s="16" t="n">
        <v>193535.18</v>
      </c>
      <c r="I27" s="16" t="n">
        <v>193535.18</v>
      </c>
      <c r="J27" s="16" t="n">
        <v>193535.18</v>
      </c>
      <c r="K27" s="16" t="n">
        <v>193535.18</v>
      </c>
      <c r="L27" s="16" t="n">
        <v>193535.18</v>
      </c>
      <c r="M27" s="16" t="n">
        <v>193535.18</v>
      </c>
      <c r="N27" s="16" t="n">
        <v>193535.18</v>
      </c>
      <c r="O27" s="16" t="n">
        <v>165218.76</v>
      </c>
      <c r="P27" s="16" t="n">
        <v>165218.76</v>
      </c>
      <c r="Q27" s="16" t="n">
        <v>165218.76</v>
      </c>
      <c r="R27" s="16" t="n">
        <v>165218.76</v>
      </c>
      <c r="S27" s="16" t="n">
        <v>61853.94</v>
      </c>
      <c r="T27" s="16" t="n">
        <v>39463</v>
      </c>
    </row>
    <row r="28" customFormat="false" ht="15" hidden="false" customHeight="false" outlineLevel="0" collapsed="false">
      <c r="C28" s="8" t="s">
        <v>43</v>
      </c>
      <c r="D28" s="15" t="n">
        <f aca="false">SUM(E28:T28)</f>
        <v>3024281.74</v>
      </c>
      <c r="E28" s="16" t="n">
        <v>564280.57</v>
      </c>
      <c r="F28" s="16" t="n">
        <v>180492.06</v>
      </c>
      <c r="G28" s="16" t="n">
        <v>180492.06</v>
      </c>
      <c r="H28" s="16" t="n">
        <v>180492.06</v>
      </c>
      <c r="I28" s="16" t="n">
        <v>180492.06</v>
      </c>
      <c r="J28" s="16" t="n">
        <v>180492.06</v>
      </c>
      <c r="K28" s="16" t="n">
        <v>180492.06</v>
      </c>
      <c r="L28" s="16" t="n">
        <v>180492.06</v>
      </c>
      <c r="M28" s="16" t="n">
        <v>180492.06</v>
      </c>
      <c r="N28" s="16" t="n">
        <v>180492.06</v>
      </c>
      <c r="O28" s="16" t="n">
        <v>155797.71</v>
      </c>
      <c r="P28" s="16" t="n">
        <v>155797.71</v>
      </c>
      <c r="Q28" s="16" t="n">
        <v>155797.71</v>
      </c>
      <c r="R28" s="16" t="n">
        <v>155797.71</v>
      </c>
      <c r="S28" s="16" t="n">
        <v>50025.47</v>
      </c>
      <c r="T28" s="16" t="n">
        <v>162356.32</v>
      </c>
    </row>
    <row r="29" customFormat="false" ht="15" hidden="false" customHeight="false" outlineLevel="0" collapsed="false">
      <c r="C29" s="17" t="s">
        <v>44</v>
      </c>
      <c r="D29" s="18" t="n">
        <f aca="false">SUM(E29:T29)</f>
        <v>220443.87</v>
      </c>
      <c r="E29" s="18" t="n">
        <f aca="false">E28-E27</f>
        <v>264451.3</v>
      </c>
      <c r="F29" s="18" t="n">
        <f aca="false">F28-F27</f>
        <v>-13043.12</v>
      </c>
      <c r="G29" s="18" t="n">
        <f aca="false">G28-G27</f>
        <v>-13043.12</v>
      </c>
      <c r="H29" s="18" t="n">
        <f aca="false">H28-H27</f>
        <v>-13043.12</v>
      </c>
      <c r="I29" s="18" t="n">
        <f aca="false">I28-I27</f>
        <v>-13043.12</v>
      </c>
      <c r="J29" s="18" t="n">
        <f aca="false">J28-J27</f>
        <v>-13043.12</v>
      </c>
      <c r="K29" s="18" t="n">
        <f aca="false">K28-K27</f>
        <v>-13043.12</v>
      </c>
      <c r="L29" s="18" t="n">
        <f aca="false">L28-L27</f>
        <v>-13043.12</v>
      </c>
      <c r="M29" s="18" t="n">
        <f aca="false">M28-M27</f>
        <v>-13043.12</v>
      </c>
      <c r="N29" s="18" t="n">
        <f aca="false">N28-N27</f>
        <v>-13043.12</v>
      </c>
      <c r="O29" s="18" t="n">
        <f aca="false">O28-O27</f>
        <v>-9421.05000000002</v>
      </c>
      <c r="P29" s="18" t="n">
        <f aca="false">P28-P27</f>
        <v>-9421.05000000002</v>
      </c>
      <c r="Q29" s="18" t="n">
        <f aca="false">Q28-Q27</f>
        <v>-9421.05000000002</v>
      </c>
      <c r="R29" s="18" t="n">
        <f aca="false">R28-R27</f>
        <v>-9421.05000000002</v>
      </c>
      <c r="S29" s="18" t="n">
        <f aca="false">S28-S27</f>
        <v>-11828.47</v>
      </c>
      <c r="T29" s="18" t="n">
        <f aca="false">T28-T27</f>
        <v>122893.32</v>
      </c>
    </row>
  </sheetData>
  <mergeCells count="5">
    <mergeCell ref="A2:U2"/>
    <mergeCell ref="A3:U3"/>
    <mergeCell ref="A4:U4"/>
    <mergeCell ref="B7:U7"/>
    <mergeCell ref="B26:U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48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56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57</v>
      </c>
      <c r="C11" s="16" t="n">
        <v>164940.99</v>
      </c>
      <c r="F11" s="16" t="n">
        <v>164940.99</v>
      </c>
    </row>
    <row r="12" customFormat="false" ht="15" hidden="false" customHeight="false" outlineLevel="0" collapsed="false">
      <c r="B12" s="8" t="s">
        <v>58</v>
      </c>
      <c r="C12" s="16" t="n">
        <v>4143.78</v>
      </c>
      <c r="F12" s="16" t="n">
        <v>4143.78</v>
      </c>
    </row>
    <row r="13" customFormat="false" ht="15" hidden="false" customHeight="false" outlineLevel="0" collapsed="false">
      <c r="B13" s="8" t="s">
        <v>59</v>
      </c>
      <c r="C13" s="16" t="n">
        <v>5521.24</v>
      </c>
      <c r="F13" s="16" t="n">
        <v>5521.24</v>
      </c>
    </row>
    <row r="14" customFormat="false" ht="15" hidden="false" customHeight="false" outlineLevel="0" collapsed="false">
      <c r="B14" s="8" t="s">
        <v>60</v>
      </c>
      <c r="C14" s="16" t="n">
        <v>186309.99</v>
      </c>
      <c r="F14" s="16" t="n">
        <v>186309.99</v>
      </c>
    </row>
    <row r="15" customFormat="false" ht="15" hidden="false" customHeight="false" outlineLevel="0" collapsed="false">
      <c r="B15" s="8" t="s">
        <v>61</v>
      </c>
      <c r="C15" s="16" t="n">
        <v>1745.22</v>
      </c>
      <c r="F15" s="16" t="n">
        <v>1745.22</v>
      </c>
    </row>
    <row r="16" customFormat="false" ht="15" hidden="false" customHeight="false" outlineLevel="0" collapsed="false">
      <c r="B16" s="8" t="s">
        <v>62</v>
      </c>
      <c r="C16" s="16" t="n">
        <v>4914.87</v>
      </c>
      <c r="F16" s="16" t="n">
        <v>4914.87</v>
      </c>
    </row>
    <row r="17" customFormat="false" ht="15" hidden="false" customHeight="false" outlineLevel="0" collapsed="false">
      <c r="B17" s="8" t="s">
        <v>63</v>
      </c>
      <c r="C17" s="16" t="n">
        <v>103840.57</v>
      </c>
      <c r="F17" s="16" t="n">
        <v>103840.57</v>
      </c>
    </row>
    <row r="18" customFormat="false" ht="15" hidden="false" customHeight="false" outlineLevel="0" collapsed="false">
      <c r="B18" s="8" t="s">
        <v>64</v>
      </c>
      <c r="C18" s="16" t="n">
        <v>2527.13</v>
      </c>
      <c r="F18" s="16" t="n">
        <v>2527.13</v>
      </c>
    </row>
    <row r="19" customFormat="false" ht="15" hidden="false" customHeight="false" outlineLevel="0" collapsed="false">
      <c r="B19" s="8" t="s">
        <v>65</v>
      </c>
      <c r="C19" s="16" t="n">
        <v>16871.66</v>
      </c>
      <c r="F19" s="16" t="n">
        <v>16871.66</v>
      </c>
    </row>
    <row r="20" customFormat="false" ht="15" hidden="false" customHeight="false" outlineLevel="0" collapsed="false">
      <c r="B20" s="8" t="s">
        <v>66</v>
      </c>
      <c r="C20" s="16" t="n">
        <v>11284.92</v>
      </c>
      <c r="F20" s="16" t="n">
        <v>11284.92</v>
      </c>
    </row>
    <row r="21" customFormat="false" ht="15" hidden="false" customHeight="false" outlineLevel="0" collapsed="false">
      <c r="B21" s="8" t="s">
        <v>67</v>
      </c>
      <c r="C21" s="16" t="n">
        <v>12346.22</v>
      </c>
      <c r="F21" s="16" t="n">
        <v>12346.22</v>
      </c>
    </row>
    <row r="22" customFormat="false" ht="15" hidden="false" customHeight="false" outlineLevel="0" collapsed="false">
      <c r="A22" s="5"/>
      <c r="B22" s="6" t="s">
        <v>68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68</v>
      </c>
      <c r="C23" s="16" t="n">
        <v>284586.38</v>
      </c>
      <c r="G23" s="16" t="n">
        <v>284586.38</v>
      </c>
    </row>
    <row r="24" customFormat="false" ht="15" hidden="false" customHeight="false" outlineLevel="0" collapsed="false">
      <c r="A24" s="24"/>
      <c r="B24" s="25" t="s">
        <v>69</v>
      </c>
      <c r="C24" s="26" t="n">
        <f aca="false">SUM(C10:C23)</f>
        <v>799032.97</v>
      </c>
      <c r="D24" s="26" t="n">
        <f aca="false">SUM(D10:D23)</f>
        <v>0</v>
      </c>
      <c r="E24" s="26" t="n">
        <f aca="false">SUM(E10:E23)</f>
        <v>0</v>
      </c>
      <c r="F24" s="26" t="n">
        <f aca="false">SUM(F10:F23)</f>
        <v>514446.59</v>
      </c>
      <c r="G24" s="26" t="n">
        <f aca="false">SUM(G10:G23)</f>
        <v>284586.38</v>
      </c>
      <c r="H24" s="24"/>
    </row>
    <row r="26" customFormat="false" ht="15" hidden="false" customHeight="false" outlineLevel="0" collapsed="false">
      <c r="A26" s="5"/>
      <c r="B26" s="6" t="s">
        <v>70</v>
      </c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B27" s="8" t="s">
        <v>71</v>
      </c>
      <c r="C27" s="16" t="n">
        <v>142802.44</v>
      </c>
      <c r="F27" s="16" t="n">
        <v>91941.42</v>
      </c>
      <c r="G27" s="16" t="n">
        <v>50861.02</v>
      </c>
    </row>
    <row r="28" customFormat="false" ht="15" hidden="false" customHeight="false" outlineLevel="0" collapsed="false">
      <c r="B28" s="8" t="s">
        <v>72</v>
      </c>
      <c r="C28" s="16" t="n">
        <v>440052.61</v>
      </c>
      <c r="F28" s="16" t="n">
        <v>283321.93</v>
      </c>
      <c r="G28" s="16" t="n">
        <v>156730.68</v>
      </c>
    </row>
    <row r="29" customFormat="false" ht="15" hidden="false" customHeight="false" outlineLevel="0" collapsed="false">
      <c r="B29" s="8" t="s">
        <v>72</v>
      </c>
      <c r="C29" s="16" t="n">
        <v>2396.64</v>
      </c>
      <c r="F29" s="16" t="n">
        <v>1543.04</v>
      </c>
      <c r="G29" s="16" t="n">
        <v>853.6</v>
      </c>
    </row>
    <row r="30" customFormat="false" ht="15" hidden="false" customHeight="false" outlineLevel="0" collapsed="false">
      <c r="B30" s="8" t="s">
        <v>73</v>
      </c>
      <c r="C30" s="16" t="n">
        <v>34976.58</v>
      </c>
      <c r="F30" s="16" t="n">
        <v>22519.2</v>
      </c>
      <c r="G30" s="16" t="n">
        <v>12457.38</v>
      </c>
    </row>
    <row r="31" customFormat="false" ht="15" hidden="false" customHeight="false" outlineLevel="0" collapsed="false">
      <c r="B31" s="8" t="s">
        <v>73</v>
      </c>
      <c r="C31" s="16" t="n">
        <v>70357.38</v>
      </c>
      <c r="F31" s="16" t="n">
        <v>45298.65</v>
      </c>
      <c r="G31" s="16" t="n">
        <v>25058.73</v>
      </c>
    </row>
    <row r="32" customFormat="false" ht="15" hidden="false" customHeight="false" outlineLevel="0" collapsed="false">
      <c r="B32" s="8" t="s">
        <v>74</v>
      </c>
      <c r="C32" s="16" t="n">
        <v>108447.32</v>
      </c>
      <c r="F32" s="16" t="n">
        <v>69822.35</v>
      </c>
      <c r="G32" s="16" t="n">
        <v>38624.97</v>
      </c>
    </row>
    <row r="33" customFormat="false" ht="15" hidden="false" customHeight="false" outlineLevel="0" collapsed="false">
      <c r="A33" s="24"/>
      <c r="B33" s="25" t="s">
        <v>75</v>
      </c>
      <c r="C33" s="26" t="n">
        <f aca="false">SUM(C27:C32)</f>
        <v>799032.97</v>
      </c>
      <c r="D33" s="26" t="n">
        <f aca="false">SUM(D27:D32)</f>
        <v>0</v>
      </c>
      <c r="E33" s="24"/>
      <c r="F33" s="26" t="n">
        <f aca="false">SUM(F27:F32)</f>
        <v>514446.59</v>
      </c>
      <c r="G33" s="26" t="n">
        <f aca="false">SUM(G27:G32)</f>
        <v>284586.38</v>
      </c>
      <c r="H33" s="24"/>
    </row>
    <row r="35" customFormat="false" ht="15" hidden="false" customHeight="false" outlineLevel="0" collapsed="false">
      <c r="A35" s="27" t="s">
        <v>76</v>
      </c>
      <c r="B35" s="27"/>
      <c r="C35" s="27"/>
      <c r="D35" s="27"/>
      <c r="E35" s="27"/>
      <c r="F35" s="27"/>
      <c r="G35" s="27"/>
      <c r="H35" s="27"/>
      <c r="I35" s="27"/>
      <c r="J35" s="27"/>
    </row>
    <row r="36" customFormat="false" ht="15" hidden="false" customHeight="false" outlineLevel="0" collapsed="false">
      <c r="A36" s="28" t="s">
        <v>42</v>
      </c>
      <c r="B36" s="28"/>
      <c r="C36" s="28"/>
      <c r="D36" s="28"/>
      <c r="E36" s="28"/>
      <c r="F36" s="28"/>
      <c r="G36" s="28"/>
      <c r="H36" s="28"/>
      <c r="I36" s="28"/>
      <c r="J36" s="28"/>
    </row>
    <row r="37" customFormat="false" ht="15" hidden="false" customHeight="false" outlineLevel="0" collapsed="false">
      <c r="A37" s="29"/>
      <c r="B37" s="29" t="s">
        <v>77</v>
      </c>
      <c r="C37" s="30" t="s">
        <v>78</v>
      </c>
      <c r="D37" s="30" t="s">
        <v>79</v>
      </c>
      <c r="E37" s="30" t="s">
        <v>80</v>
      </c>
      <c r="F37" s="30" t="s">
        <v>81</v>
      </c>
      <c r="G37" s="30" t="s">
        <v>82</v>
      </c>
      <c r="H37" s="30" t="s">
        <v>83</v>
      </c>
      <c r="I37" s="30" t="s">
        <v>84</v>
      </c>
      <c r="J37" s="30" t="s">
        <v>85</v>
      </c>
    </row>
    <row r="38" customFormat="false" ht="15" hidden="false" customHeight="false" outlineLevel="0" collapsed="false">
      <c r="B38" s="31" t="s">
        <v>86</v>
      </c>
      <c r="C38" s="32" t="n">
        <v>142802.44</v>
      </c>
      <c r="D38" s="32" t="n">
        <v>0</v>
      </c>
      <c r="E38" s="32" t="n">
        <v>48820.24</v>
      </c>
      <c r="F38" s="32" t="n">
        <v>5205.3</v>
      </c>
      <c r="G38" s="32" t="n">
        <v>54025.54</v>
      </c>
      <c r="H38" s="32" t="n">
        <v>88776.9</v>
      </c>
      <c r="I38" s="33" t="s">
        <v>87</v>
      </c>
      <c r="J38" s="34" t="n">
        <v>27.5</v>
      </c>
    </row>
    <row r="39" customFormat="false" ht="15" hidden="false" customHeight="false" outlineLevel="0" collapsed="false">
      <c r="B39" s="35" t="s">
        <v>88</v>
      </c>
      <c r="C39" s="36" t="n">
        <v>440052.61</v>
      </c>
      <c r="D39" s="36" t="n">
        <v>0</v>
      </c>
      <c r="E39" s="36" t="n">
        <v>26002.77</v>
      </c>
      <c r="F39" s="36" t="n">
        <v>16000.33</v>
      </c>
      <c r="G39" s="36" t="n">
        <v>42003.1</v>
      </c>
      <c r="H39" s="36" t="n">
        <v>398049.51</v>
      </c>
      <c r="I39" s="37" t="s">
        <v>87</v>
      </c>
      <c r="J39" s="38" t="n">
        <v>27.5</v>
      </c>
    </row>
    <row r="40" customFormat="false" ht="15" hidden="false" customHeight="false" outlineLevel="0" collapsed="false">
      <c r="B40" s="31" t="s">
        <v>88</v>
      </c>
      <c r="C40" s="32" t="n">
        <v>2396.64</v>
      </c>
      <c r="D40" s="32" t="n">
        <v>0</v>
      </c>
      <c r="E40" s="32" t="n">
        <v>39.97</v>
      </c>
      <c r="F40" s="32" t="n">
        <v>87.2</v>
      </c>
      <c r="G40" s="32" t="n">
        <v>127.12</v>
      </c>
      <c r="H40" s="32" t="n">
        <v>2269.52</v>
      </c>
      <c r="I40" s="33" t="s">
        <v>87</v>
      </c>
      <c r="J40" s="34" t="n">
        <v>27.5</v>
      </c>
    </row>
    <row r="41" customFormat="false" ht="15" hidden="false" customHeight="false" outlineLevel="0" collapsed="false">
      <c r="B41" s="35" t="s">
        <v>89</v>
      </c>
      <c r="C41" s="36" t="n">
        <v>34976.58</v>
      </c>
      <c r="D41" s="36" t="n">
        <v>22769.68</v>
      </c>
      <c r="E41" s="36" t="n">
        <v>22769.68</v>
      </c>
      <c r="F41" s="36" t="n">
        <v>2099.13</v>
      </c>
      <c r="G41" s="36" t="n">
        <v>24868.81</v>
      </c>
      <c r="H41" s="36" t="n">
        <v>10107.77</v>
      </c>
      <c r="I41" s="37" t="s">
        <v>90</v>
      </c>
      <c r="J41" s="38" t="n">
        <v>15</v>
      </c>
    </row>
    <row r="42" customFormat="false" ht="15" hidden="false" customHeight="false" outlineLevel="0" collapsed="false">
      <c r="B42" s="31" t="s">
        <v>89</v>
      </c>
      <c r="C42" s="32" t="n">
        <v>70357.38</v>
      </c>
      <c r="D42" s="32" t="n">
        <v>70357.38</v>
      </c>
      <c r="E42" s="32" t="n">
        <v>70357.38</v>
      </c>
      <c r="F42" s="32" t="n">
        <v>0</v>
      </c>
      <c r="G42" s="32" t="n">
        <v>70357.38</v>
      </c>
      <c r="H42" s="32" t="n">
        <v>0</v>
      </c>
      <c r="I42" s="33" t="s">
        <v>90</v>
      </c>
      <c r="J42" s="34" t="n">
        <v>15</v>
      </c>
    </row>
    <row r="43" customFormat="false" ht="15" hidden="false" customHeight="false" outlineLevel="0" collapsed="false">
      <c r="B43" s="35" t="s">
        <v>91</v>
      </c>
      <c r="C43" s="36" t="n">
        <v>108447.32</v>
      </c>
      <c r="D43" s="36" t="n">
        <v>108447.32</v>
      </c>
      <c r="E43" s="36" t="n">
        <v>108447.32</v>
      </c>
      <c r="F43" s="36" t="n">
        <v>0</v>
      </c>
      <c r="G43" s="36" t="n">
        <v>108447.32</v>
      </c>
      <c r="H43" s="36" t="n">
        <v>0</v>
      </c>
      <c r="I43" s="37" t="s">
        <v>92</v>
      </c>
      <c r="J43" s="38" t="n">
        <v>5</v>
      </c>
    </row>
    <row r="44" customFormat="false" ht="15" hidden="false" customHeight="false" outlineLevel="0" collapsed="false">
      <c r="A44" s="10"/>
      <c r="B44" s="11" t="s">
        <v>22</v>
      </c>
      <c r="C44" s="39" t="n">
        <f aca="false">SUM(C38:C43)</f>
        <v>799032.97</v>
      </c>
      <c r="D44" s="39" t="n">
        <f aca="false">SUM(D38:D43)</f>
        <v>201574.38</v>
      </c>
      <c r="E44" s="39" t="n">
        <f aca="false">SUM(E38:E43)</f>
        <v>276437.36</v>
      </c>
      <c r="F44" s="39" t="n">
        <f aca="false">SUM(F38:F43)</f>
        <v>23391.96</v>
      </c>
      <c r="G44" s="39" t="n">
        <f aca="false">SUM(G38:G43)</f>
        <v>299829.27</v>
      </c>
      <c r="H44" s="39" t="n">
        <f aca="false">SUM(H38:H43)</f>
        <v>499203.7</v>
      </c>
      <c r="I44" s="10"/>
      <c r="J44" s="10"/>
    </row>
    <row r="46" customFormat="false" ht="15" hidden="false" customHeight="false" outlineLevel="0" collapsed="false">
      <c r="A46" s="40" t="s">
        <v>93</v>
      </c>
      <c r="B46" s="40"/>
      <c r="C46" s="40"/>
      <c r="D46" s="40"/>
      <c r="E46" s="40"/>
      <c r="F46" s="40"/>
      <c r="G46" s="40"/>
      <c r="H46" s="40"/>
      <c r="I46" s="40"/>
      <c r="J46" s="40"/>
    </row>
    <row r="47" customFormat="false" ht="15" hidden="false" customHeight="false" outlineLevel="0" collapsed="false">
      <c r="A47" s="29"/>
      <c r="B47" s="29" t="s">
        <v>77</v>
      </c>
      <c r="C47" s="30" t="s">
        <v>78</v>
      </c>
      <c r="D47" s="30" t="s">
        <v>79</v>
      </c>
      <c r="E47" s="30" t="s">
        <v>80</v>
      </c>
      <c r="F47" s="30" t="s">
        <v>81</v>
      </c>
      <c r="G47" s="30" t="s">
        <v>82</v>
      </c>
      <c r="H47" s="30" t="s">
        <v>83</v>
      </c>
      <c r="I47" s="30" t="s">
        <v>84</v>
      </c>
      <c r="J47" s="30" t="s">
        <v>85</v>
      </c>
    </row>
    <row r="48" customFormat="false" ht="15" hidden="false" customHeight="false" outlineLevel="0" collapsed="false">
      <c r="B48" s="31" t="s">
        <v>94</v>
      </c>
      <c r="C48" s="32" t="n">
        <v>91941.42</v>
      </c>
      <c r="D48" s="32" t="n">
        <v>0</v>
      </c>
      <c r="E48" s="32" t="n">
        <v>78368.8</v>
      </c>
      <c r="F48" s="32" t="n">
        <v>5429.05</v>
      </c>
      <c r="G48" s="32" t="n">
        <v>83797.85</v>
      </c>
      <c r="H48" s="32" t="n">
        <v>8143.57</v>
      </c>
      <c r="I48" s="33" t="s">
        <v>90</v>
      </c>
      <c r="J48" s="34" t="n">
        <v>15</v>
      </c>
    </row>
    <row r="49" customFormat="false" ht="15" hidden="false" customHeight="false" outlineLevel="0" collapsed="false">
      <c r="B49" s="35" t="s">
        <v>95</v>
      </c>
      <c r="C49" s="36" t="n">
        <v>50861.02</v>
      </c>
      <c r="D49" s="36" t="n">
        <v>0</v>
      </c>
      <c r="E49" s="36" t="n">
        <v>23349.81</v>
      </c>
      <c r="F49" s="36" t="n">
        <v>1849.49</v>
      </c>
      <c r="G49" s="36" t="n">
        <v>25199.3</v>
      </c>
      <c r="H49" s="36" t="n">
        <v>25661.72</v>
      </c>
      <c r="I49" s="37" t="s">
        <v>87</v>
      </c>
      <c r="J49" s="38" t="n">
        <v>27.5</v>
      </c>
    </row>
    <row r="50" customFormat="false" ht="15" hidden="false" customHeight="false" outlineLevel="0" collapsed="false">
      <c r="B50" s="31" t="s">
        <v>96</v>
      </c>
      <c r="C50" s="32" t="n">
        <v>283321.93</v>
      </c>
      <c r="D50" s="32" t="n">
        <v>283321.93</v>
      </c>
      <c r="E50" s="32" t="n">
        <v>283321.93</v>
      </c>
      <c r="F50" s="32" t="n">
        <v>0</v>
      </c>
      <c r="G50" s="32" t="n">
        <v>283321.93</v>
      </c>
      <c r="H50" s="32" t="n">
        <v>0</v>
      </c>
      <c r="I50" s="33" t="s">
        <v>90</v>
      </c>
      <c r="J50" s="34" t="n">
        <v>15</v>
      </c>
    </row>
    <row r="51" customFormat="false" ht="15" hidden="false" customHeight="false" outlineLevel="0" collapsed="false">
      <c r="B51" s="35" t="s">
        <v>97</v>
      </c>
      <c r="C51" s="36" t="n">
        <v>156730.68</v>
      </c>
      <c r="D51" s="36" t="n">
        <v>0</v>
      </c>
      <c r="E51" s="36" t="n">
        <v>9261.36</v>
      </c>
      <c r="F51" s="36" t="n">
        <v>5699.3</v>
      </c>
      <c r="G51" s="36" t="n">
        <v>14960.66</v>
      </c>
      <c r="H51" s="36" t="n">
        <v>141770.02</v>
      </c>
      <c r="I51" s="37" t="s">
        <v>87</v>
      </c>
      <c r="J51" s="38" t="n">
        <v>27.5</v>
      </c>
    </row>
    <row r="52" customFormat="false" ht="15" hidden="false" customHeight="false" outlineLevel="0" collapsed="false">
      <c r="B52" s="31" t="s">
        <v>96</v>
      </c>
      <c r="C52" s="32" t="n">
        <v>1543.04</v>
      </c>
      <c r="D52" s="32" t="n">
        <v>1234.43</v>
      </c>
      <c r="E52" s="32" t="n">
        <v>1249.86</v>
      </c>
      <c r="F52" s="32" t="n">
        <v>29.32</v>
      </c>
      <c r="G52" s="32" t="n">
        <v>1279.18</v>
      </c>
      <c r="H52" s="32" t="n">
        <v>263.86</v>
      </c>
      <c r="I52" s="33" t="s">
        <v>90</v>
      </c>
      <c r="J52" s="34" t="n">
        <v>15</v>
      </c>
    </row>
    <row r="53" customFormat="false" ht="15" hidden="false" customHeight="false" outlineLevel="0" collapsed="false">
      <c r="B53" s="35" t="s">
        <v>97</v>
      </c>
      <c r="C53" s="36" t="n">
        <v>853.6</v>
      </c>
      <c r="D53" s="36" t="n">
        <v>0</v>
      </c>
      <c r="E53" s="36" t="n">
        <v>14.23</v>
      </c>
      <c r="F53" s="36" t="n">
        <v>31.04</v>
      </c>
      <c r="G53" s="36" t="n">
        <v>45.27</v>
      </c>
      <c r="H53" s="36" t="n">
        <v>808.33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98</v>
      </c>
      <c r="C54" s="32" t="n">
        <v>22519.2</v>
      </c>
      <c r="D54" s="32" t="n">
        <v>22519.2</v>
      </c>
      <c r="E54" s="32" t="n">
        <v>22519.2</v>
      </c>
      <c r="F54" s="32" t="n">
        <v>0</v>
      </c>
      <c r="G54" s="32" t="n">
        <v>22519.2</v>
      </c>
      <c r="H54" s="32" t="n">
        <v>0</v>
      </c>
      <c r="I54" s="33" t="s">
        <v>90</v>
      </c>
      <c r="J54" s="34" t="n">
        <v>15</v>
      </c>
    </row>
    <row r="55" customFormat="false" ht="15" hidden="false" customHeight="false" outlineLevel="0" collapsed="false">
      <c r="B55" s="35" t="s">
        <v>99</v>
      </c>
      <c r="C55" s="36" t="n">
        <v>12457.38</v>
      </c>
      <c r="D55" s="36" t="n">
        <v>0</v>
      </c>
      <c r="E55" s="36" t="n">
        <v>11504.28</v>
      </c>
      <c r="F55" s="36" t="n">
        <v>453</v>
      </c>
      <c r="G55" s="36" t="n">
        <v>11957.28</v>
      </c>
      <c r="H55" s="36" t="n">
        <v>500.1</v>
      </c>
      <c r="I55" s="37" t="s">
        <v>87</v>
      </c>
      <c r="J55" s="38" t="n">
        <v>27.5</v>
      </c>
    </row>
    <row r="56" customFormat="false" ht="15" hidden="false" customHeight="false" outlineLevel="0" collapsed="false">
      <c r="B56" s="31" t="s">
        <v>98</v>
      </c>
      <c r="C56" s="32" t="n">
        <v>45298.65</v>
      </c>
      <c r="D56" s="32" t="n">
        <v>45298.65</v>
      </c>
      <c r="E56" s="32" t="n">
        <v>45298.65</v>
      </c>
      <c r="F56" s="32" t="n">
        <v>0</v>
      </c>
      <c r="G56" s="32" t="n">
        <v>45298.65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B57" s="35" t="s">
        <v>99</v>
      </c>
      <c r="C57" s="36" t="n">
        <v>25058.73</v>
      </c>
      <c r="D57" s="36" t="n">
        <v>0</v>
      </c>
      <c r="E57" s="36" t="n">
        <v>1480.75</v>
      </c>
      <c r="F57" s="36" t="n">
        <v>911.23</v>
      </c>
      <c r="G57" s="36" t="n">
        <v>2391.98</v>
      </c>
      <c r="H57" s="36" t="n">
        <v>22666.75</v>
      </c>
      <c r="I57" s="37" t="s">
        <v>87</v>
      </c>
      <c r="J57" s="38" t="n">
        <v>27.5</v>
      </c>
    </row>
    <row r="58" customFormat="false" ht="15" hidden="false" customHeight="false" outlineLevel="0" collapsed="false">
      <c r="B58" s="31" t="s">
        <v>100</v>
      </c>
      <c r="C58" s="32" t="n">
        <v>69822.35</v>
      </c>
      <c r="D58" s="32" t="n">
        <v>69822.35</v>
      </c>
      <c r="E58" s="32" t="n">
        <v>69822.35</v>
      </c>
      <c r="F58" s="32" t="n">
        <v>0</v>
      </c>
      <c r="G58" s="32" t="n">
        <v>69822.35</v>
      </c>
      <c r="H58" s="32" t="n">
        <v>0</v>
      </c>
      <c r="I58" s="33" t="s">
        <v>90</v>
      </c>
      <c r="J58" s="34" t="n">
        <v>15</v>
      </c>
    </row>
    <row r="59" customFormat="false" ht="15" hidden="false" customHeight="false" outlineLevel="0" collapsed="false">
      <c r="B59" s="35" t="s">
        <v>101</v>
      </c>
      <c r="C59" s="36" t="n">
        <v>38624.97</v>
      </c>
      <c r="D59" s="36" t="n">
        <v>0</v>
      </c>
      <c r="E59" s="36" t="n">
        <v>2282.38</v>
      </c>
      <c r="F59" s="36" t="n">
        <v>1404.54</v>
      </c>
      <c r="G59" s="36" t="n">
        <v>3686.92</v>
      </c>
      <c r="H59" s="36" t="n">
        <v>34938.05</v>
      </c>
      <c r="I59" s="37" t="s">
        <v>87</v>
      </c>
      <c r="J59" s="38" t="n">
        <v>27.5</v>
      </c>
    </row>
    <row r="60" customFormat="false" ht="15" hidden="false" customHeight="false" outlineLevel="0" collapsed="false">
      <c r="A60" s="10"/>
      <c r="B60" s="11" t="s">
        <v>22</v>
      </c>
      <c r="C60" s="39" t="n">
        <f aca="false">SUM(C48:C59)</f>
        <v>799032.97</v>
      </c>
      <c r="D60" s="39" t="n">
        <f aca="false">SUM(D48:D59)</f>
        <v>422196.56</v>
      </c>
      <c r="E60" s="39" t="n">
        <f aca="false">SUM(E48:E59)</f>
        <v>548473.6</v>
      </c>
      <c r="F60" s="39" t="n">
        <f aca="false">SUM(F48:F59)</f>
        <v>15806.97</v>
      </c>
      <c r="G60" s="39" t="n">
        <f aca="false">SUM(G48:G59)</f>
        <v>564280.57</v>
      </c>
      <c r="H60" s="39" t="n">
        <f aca="false">SUM(H48:H59)</f>
        <v>234752.4</v>
      </c>
      <c r="I60" s="10"/>
      <c r="J60" s="10"/>
    </row>
    <row r="62" customFormat="false" ht="15" hidden="false" customHeight="false" outlineLevel="0" collapsed="false">
      <c r="A62" s="27" t="s">
        <v>44</v>
      </c>
      <c r="B62" s="27"/>
      <c r="C62" s="27"/>
      <c r="D62" s="27"/>
      <c r="E62" s="27"/>
    </row>
    <row r="63" customFormat="false" ht="15" hidden="false" customHeight="false" outlineLevel="0" collapsed="false">
      <c r="B63" s="8" t="s">
        <v>102</v>
      </c>
      <c r="C63" s="41" t="n">
        <f aca="false">G44</f>
        <v>299829.27</v>
      </c>
    </row>
    <row r="64" customFormat="false" ht="15" hidden="false" customHeight="false" outlineLevel="0" collapsed="false">
      <c r="B64" s="8" t="s">
        <v>103</v>
      </c>
      <c r="C64" s="41" t="n">
        <f aca="false">G60</f>
        <v>564280.57</v>
      </c>
    </row>
    <row r="65" customFormat="false" ht="15" hidden="false" customHeight="false" outlineLevel="0" collapsed="false">
      <c r="B65" s="17" t="s">
        <v>44</v>
      </c>
      <c r="C65" s="42" t="n">
        <f aca="false">C64-C63</f>
        <v>264451.3</v>
      </c>
    </row>
  </sheetData>
  <mergeCells count="11">
    <mergeCell ref="A2:J2"/>
    <mergeCell ref="A3:J3"/>
    <mergeCell ref="A4:J4"/>
    <mergeCell ref="A8:J8"/>
    <mergeCell ref="B10:J10"/>
    <mergeCell ref="B22:J22"/>
    <mergeCell ref="B26:J26"/>
    <mergeCell ref="A35:J35"/>
    <mergeCell ref="A36:J36"/>
    <mergeCell ref="A46:J46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104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105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14924.28</v>
      </c>
      <c r="D11" s="16" t="n">
        <v>14924.28</v>
      </c>
    </row>
    <row r="12" customFormat="false" ht="15" hidden="false" customHeight="false" outlineLevel="0" collapsed="false">
      <c r="B12" s="8" t="s">
        <v>108</v>
      </c>
      <c r="C12" s="16" t="n">
        <v>10497.34</v>
      </c>
      <c r="D12" s="16" t="n">
        <v>10497.34</v>
      </c>
    </row>
    <row r="13" customFormat="false" ht="15" hidden="false" customHeight="false" outlineLevel="0" collapsed="false">
      <c r="B13" s="8" t="s">
        <v>109</v>
      </c>
      <c r="C13" s="16" t="n">
        <v>42163.82</v>
      </c>
      <c r="D13" s="16" t="n">
        <v>42163.82</v>
      </c>
    </row>
    <row r="14" customFormat="false" ht="15" hidden="false" customHeight="false" outlineLevel="0" collapsed="false">
      <c r="B14" s="8" t="s">
        <v>110</v>
      </c>
      <c r="C14" s="16" t="n">
        <v>5291.37</v>
      </c>
      <c r="D14" s="16" t="n">
        <v>5291.37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3335.96</v>
      </c>
      <c r="D17" s="16" t="n">
        <v>3335.96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1722.5</v>
      </c>
      <c r="D19" s="16" t="n">
        <v>1722.5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23533.09</v>
      </c>
      <c r="G22" s="16" t="n">
        <v>23533.09</v>
      </c>
    </row>
    <row r="23" customFormat="false" ht="15" hidden="false" customHeight="false" outlineLevel="0" collapsed="false">
      <c r="B23" s="8" t="s">
        <v>119</v>
      </c>
      <c r="C23" s="16" t="n">
        <v>28643.92</v>
      </c>
      <c r="G23" s="16" t="n">
        <v>28643.92</v>
      </c>
    </row>
    <row r="24" customFormat="false" ht="15" hidden="false" customHeight="false" outlineLevel="0" collapsed="false">
      <c r="B24" s="8" t="s">
        <v>120</v>
      </c>
      <c r="C24" s="16" t="n">
        <v>42496.69</v>
      </c>
      <c r="G24" s="16" t="n">
        <v>42496.69</v>
      </c>
    </row>
    <row r="25" customFormat="false" ht="15" hidden="false" customHeight="false" outlineLevel="0" collapsed="false">
      <c r="B25" s="8" t="s">
        <v>121</v>
      </c>
      <c r="C25" s="16" t="n">
        <v>35043.34</v>
      </c>
      <c r="G25" s="16" t="n">
        <v>35043.34</v>
      </c>
    </row>
    <row r="26" customFormat="false" ht="15" hidden="false" customHeight="false" outlineLevel="0" collapsed="false">
      <c r="B26" s="8" t="s">
        <v>122</v>
      </c>
      <c r="C26" s="16" t="n">
        <v>36942.14</v>
      </c>
      <c r="G26" s="16" t="n">
        <v>36942.14</v>
      </c>
    </row>
    <row r="27" customFormat="false" ht="15" hidden="false" customHeight="false" outlineLevel="0" collapsed="false">
      <c r="B27" s="8" t="s">
        <v>123</v>
      </c>
      <c r="C27" s="16" t="n">
        <v>1288.46</v>
      </c>
      <c r="G27" s="16" t="n">
        <v>1288.46</v>
      </c>
    </row>
    <row r="28" customFormat="false" ht="15" hidden="false" customHeight="false" outlineLevel="0" collapsed="false">
      <c r="B28" s="8" t="s">
        <v>124</v>
      </c>
      <c r="C28" s="16" t="n">
        <v>22726.22</v>
      </c>
      <c r="G28" s="16" t="n">
        <v>22726.22</v>
      </c>
    </row>
    <row r="29" customFormat="false" ht="15" hidden="false" customHeight="false" outlineLevel="0" collapsed="false">
      <c r="B29" s="8" t="s">
        <v>125</v>
      </c>
      <c r="C29" s="16" t="n">
        <v>21445.66</v>
      </c>
      <c r="G29" s="16" t="n">
        <v>21445.66</v>
      </c>
    </row>
    <row r="30" customFormat="false" ht="15" hidden="false" customHeight="false" outlineLevel="0" collapsed="false">
      <c r="B30" s="8" t="s">
        <v>126</v>
      </c>
      <c r="C30" s="16" t="n">
        <v>23322.18</v>
      </c>
      <c r="G30" s="16" t="n">
        <v>23322.18</v>
      </c>
    </row>
    <row r="31" customFormat="false" ht="15" hidden="false" customHeight="false" outlineLevel="0" collapsed="false">
      <c r="B31" s="8" t="s">
        <v>127</v>
      </c>
      <c r="C31" s="16" t="n">
        <v>18778.11</v>
      </c>
      <c r="G31" s="16" t="n">
        <v>18778.11</v>
      </c>
    </row>
    <row r="32" customFormat="false" ht="15" hidden="false" customHeight="false" outlineLevel="0" collapsed="false">
      <c r="B32" s="8" t="s">
        <v>128</v>
      </c>
      <c r="C32" s="16" t="n">
        <v>45770.64</v>
      </c>
      <c r="G32" s="16" t="n">
        <v>45770.64</v>
      </c>
    </row>
    <row r="33" customFormat="false" ht="15" hidden="false" customHeight="false" outlineLevel="0" collapsed="false">
      <c r="B33" s="8" t="s">
        <v>129</v>
      </c>
      <c r="C33" s="16" t="n">
        <v>19814.11</v>
      </c>
      <c r="G33" s="16" t="n">
        <v>19814.11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66220.75</v>
      </c>
      <c r="G35" s="16" t="n">
        <v>66220.75</v>
      </c>
    </row>
    <row r="36" customFormat="false" ht="15" hidden="false" customHeight="false" outlineLevel="0" collapsed="false">
      <c r="B36" s="8" t="s">
        <v>132</v>
      </c>
      <c r="C36" s="16" t="n">
        <v>14527.19</v>
      </c>
      <c r="G36" s="16" t="n">
        <v>14527.19</v>
      </c>
    </row>
    <row r="37" customFormat="false" ht="15" hidden="false" customHeight="false" outlineLevel="0" collapsed="false">
      <c r="B37" s="8" t="s">
        <v>133</v>
      </c>
      <c r="C37" s="16" t="n">
        <v>5049.22</v>
      </c>
      <c r="G37" s="16" t="n">
        <v>5049.22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511413.41</v>
      </c>
      <c r="D38" s="26" t="n">
        <f aca="false">SUM(D10:D37)</f>
        <v>104747.69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406665.72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92190.66</v>
      </c>
      <c r="D41" s="16" t="n">
        <v>18720.42</v>
      </c>
      <c r="G41" s="16" t="n">
        <v>73470.24</v>
      </c>
    </row>
    <row r="42" customFormat="false" ht="15" hidden="false" customHeight="false" outlineLevel="0" collapsed="false">
      <c r="B42" s="8" t="s">
        <v>134</v>
      </c>
      <c r="C42" s="16" t="n">
        <v>284089.88</v>
      </c>
      <c r="D42" s="16" t="n">
        <v>57687.85</v>
      </c>
      <c r="G42" s="16" t="n">
        <v>226402.03</v>
      </c>
    </row>
    <row r="43" customFormat="false" ht="15" hidden="false" customHeight="false" outlineLevel="0" collapsed="false">
      <c r="B43" s="8" t="s">
        <v>134</v>
      </c>
      <c r="C43" s="16" t="n">
        <v>1547.26</v>
      </c>
      <c r="D43" s="16" t="n">
        <v>314.19</v>
      </c>
      <c r="G43" s="16" t="n">
        <v>1233.07</v>
      </c>
    </row>
    <row r="44" customFormat="false" ht="15" hidden="false" customHeight="false" outlineLevel="0" collapsed="false">
      <c r="B44" s="8" t="s">
        <v>135</v>
      </c>
      <c r="C44" s="16" t="n">
        <v>22580.21</v>
      </c>
      <c r="D44" s="16" t="n">
        <v>4585.18</v>
      </c>
      <c r="G44" s="16" t="n">
        <v>17995.03</v>
      </c>
    </row>
    <row r="45" customFormat="false" ht="15" hidden="false" customHeight="false" outlineLevel="0" collapsed="false">
      <c r="B45" s="8" t="s">
        <v>135</v>
      </c>
      <c r="C45" s="16" t="n">
        <v>45421.43</v>
      </c>
      <c r="D45" s="16" t="n">
        <v>9223.36</v>
      </c>
      <c r="G45" s="16" t="n">
        <v>36198.07</v>
      </c>
    </row>
    <row r="46" customFormat="false" ht="15" hidden="false" customHeight="false" outlineLevel="0" collapsed="false">
      <c r="B46" s="8" t="s">
        <v>74</v>
      </c>
      <c r="C46" s="16" t="n">
        <v>70011.61</v>
      </c>
      <c r="D46" s="16" t="n">
        <v>14216.69</v>
      </c>
      <c r="G46" s="16" t="n">
        <v>55794.92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515841.05</v>
      </c>
      <c r="D47" s="26" t="n">
        <f aca="false">SUM(D41:D46)</f>
        <v>104747.69</v>
      </c>
      <c r="E47" s="24"/>
      <c r="F47" s="26" t="n">
        <f aca="false">SUM(F41:F46)</f>
        <v>0</v>
      </c>
      <c r="G47" s="26" t="n">
        <f aca="false">SUM(G41:G46)</f>
        <v>411093.36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145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146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14924.28</v>
      </c>
      <c r="D11" s="16" t="n">
        <v>14924.28</v>
      </c>
    </row>
    <row r="12" customFormat="false" ht="15" hidden="false" customHeight="false" outlineLevel="0" collapsed="false">
      <c r="B12" s="8" t="s">
        <v>108</v>
      </c>
      <c r="C12" s="16" t="n">
        <v>10497.34</v>
      </c>
      <c r="D12" s="16" t="n">
        <v>10497.34</v>
      </c>
    </row>
    <row r="13" customFormat="false" ht="15" hidden="false" customHeight="false" outlineLevel="0" collapsed="false">
      <c r="B13" s="8" t="s">
        <v>109</v>
      </c>
      <c r="C13" s="16" t="n">
        <v>42163.82</v>
      </c>
      <c r="D13" s="16" t="n">
        <v>42163.82</v>
      </c>
    </row>
    <row r="14" customFormat="false" ht="15" hidden="false" customHeight="false" outlineLevel="0" collapsed="false">
      <c r="B14" s="8" t="s">
        <v>110</v>
      </c>
      <c r="C14" s="16" t="n">
        <v>5291.37</v>
      </c>
      <c r="D14" s="16" t="n">
        <v>5291.37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3335.96</v>
      </c>
      <c r="D17" s="16" t="n">
        <v>3335.96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1722.5</v>
      </c>
      <c r="D19" s="16" t="n">
        <v>1722.5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23533.09</v>
      </c>
      <c r="G22" s="16" t="n">
        <v>23533.09</v>
      </c>
    </row>
    <row r="23" customFormat="false" ht="15" hidden="false" customHeight="false" outlineLevel="0" collapsed="false">
      <c r="B23" s="8" t="s">
        <v>119</v>
      </c>
      <c r="C23" s="16" t="n">
        <v>28643.92</v>
      </c>
      <c r="G23" s="16" t="n">
        <v>28643.92</v>
      </c>
    </row>
    <row r="24" customFormat="false" ht="15" hidden="false" customHeight="false" outlineLevel="0" collapsed="false">
      <c r="B24" s="8" t="s">
        <v>120</v>
      </c>
      <c r="C24" s="16" t="n">
        <v>42496.69</v>
      </c>
      <c r="G24" s="16" t="n">
        <v>42496.69</v>
      </c>
    </row>
    <row r="25" customFormat="false" ht="15" hidden="false" customHeight="false" outlineLevel="0" collapsed="false">
      <c r="B25" s="8" t="s">
        <v>121</v>
      </c>
      <c r="C25" s="16" t="n">
        <v>35043.34</v>
      </c>
      <c r="G25" s="16" t="n">
        <v>35043.34</v>
      </c>
    </row>
    <row r="26" customFormat="false" ht="15" hidden="false" customHeight="false" outlineLevel="0" collapsed="false">
      <c r="B26" s="8" t="s">
        <v>122</v>
      </c>
      <c r="C26" s="16" t="n">
        <v>36942.14</v>
      </c>
      <c r="G26" s="16" t="n">
        <v>36942.14</v>
      </c>
    </row>
    <row r="27" customFormat="false" ht="15" hidden="false" customHeight="false" outlineLevel="0" collapsed="false">
      <c r="B27" s="8" t="s">
        <v>123</v>
      </c>
      <c r="C27" s="16" t="n">
        <v>1288.46</v>
      </c>
      <c r="G27" s="16" t="n">
        <v>1288.46</v>
      </c>
    </row>
    <row r="28" customFormat="false" ht="15" hidden="false" customHeight="false" outlineLevel="0" collapsed="false">
      <c r="B28" s="8" t="s">
        <v>124</v>
      </c>
      <c r="C28" s="16" t="n">
        <v>22726.22</v>
      </c>
      <c r="G28" s="16" t="n">
        <v>22726.22</v>
      </c>
    </row>
    <row r="29" customFormat="false" ht="15" hidden="false" customHeight="false" outlineLevel="0" collapsed="false">
      <c r="B29" s="8" t="s">
        <v>125</v>
      </c>
      <c r="C29" s="16" t="n">
        <v>21445.66</v>
      </c>
      <c r="G29" s="16" t="n">
        <v>21445.66</v>
      </c>
    </row>
    <row r="30" customFormat="false" ht="15" hidden="false" customHeight="false" outlineLevel="0" collapsed="false">
      <c r="B30" s="8" t="s">
        <v>126</v>
      </c>
      <c r="C30" s="16" t="n">
        <v>23322.18</v>
      </c>
      <c r="G30" s="16" t="n">
        <v>23322.18</v>
      </c>
    </row>
    <row r="31" customFormat="false" ht="15" hidden="false" customHeight="false" outlineLevel="0" collapsed="false">
      <c r="B31" s="8" t="s">
        <v>127</v>
      </c>
      <c r="C31" s="16" t="n">
        <v>18778.11</v>
      </c>
      <c r="G31" s="16" t="n">
        <v>18778.11</v>
      </c>
    </row>
    <row r="32" customFormat="false" ht="15" hidden="false" customHeight="false" outlineLevel="0" collapsed="false">
      <c r="B32" s="8" t="s">
        <v>128</v>
      </c>
      <c r="C32" s="16" t="n">
        <v>45770.64</v>
      </c>
      <c r="G32" s="16" t="n">
        <v>45770.64</v>
      </c>
    </row>
    <row r="33" customFormat="false" ht="15" hidden="false" customHeight="false" outlineLevel="0" collapsed="false">
      <c r="B33" s="8" t="s">
        <v>129</v>
      </c>
      <c r="C33" s="16" t="n">
        <v>19814.11</v>
      </c>
      <c r="G33" s="16" t="n">
        <v>19814.11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66220.75</v>
      </c>
      <c r="G35" s="16" t="n">
        <v>66220.75</v>
      </c>
    </row>
    <row r="36" customFormat="false" ht="15" hidden="false" customHeight="false" outlineLevel="0" collapsed="false">
      <c r="B36" s="8" t="s">
        <v>132</v>
      </c>
      <c r="C36" s="16" t="n">
        <v>14527.19</v>
      </c>
      <c r="G36" s="16" t="n">
        <v>14527.19</v>
      </c>
    </row>
    <row r="37" customFormat="false" ht="15" hidden="false" customHeight="false" outlineLevel="0" collapsed="false">
      <c r="B37" s="8" t="s">
        <v>133</v>
      </c>
      <c r="C37" s="16" t="n">
        <v>5049.22</v>
      </c>
      <c r="G37" s="16" t="n">
        <v>5049.22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511413.41</v>
      </c>
      <c r="D38" s="26" t="n">
        <f aca="false">SUM(D10:D37)</f>
        <v>104747.69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406665.72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92190.66</v>
      </c>
      <c r="D41" s="16" t="n">
        <v>18720.42</v>
      </c>
      <c r="G41" s="16" t="n">
        <v>73470.24</v>
      </c>
    </row>
    <row r="42" customFormat="false" ht="15" hidden="false" customHeight="false" outlineLevel="0" collapsed="false">
      <c r="B42" s="8" t="s">
        <v>134</v>
      </c>
      <c r="C42" s="16" t="n">
        <v>284089.88</v>
      </c>
      <c r="D42" s="16" t="n">
        <v>57687.85</v>
      </c>
      <c r="G42" s="16" t="n">
        <v>226402.03</v>
      </c>
    </row>
    <row r="43" customFormat="false" ht="15" hidden="false" customHeight="false" outlineLevel="0" collapsed="false">
      <c r="B43" s="8" t="s">
        <v>134</v>
      </c>
      <c r="C43" s="16" t="n">
        <v>1547.26</v>
      </c>
      <c r="D43" s="16" t="n">
        <v>314.19</v>
      </c>
      <c r="G43" s="16" t="n">
        <v>1233.07</v>
      </c>
    </row>
    <row r="44" customFormat="false" ht="15" hidden="false" customHeight="false" outlineLevel="0" collapsed="false">
      <c r="B44" s="8" t="s">
        <v>135</v>
      </c>
      <c r="C44" s="16" t="n">
        <v>22580.21</v>
      </c>
      <c r="D44" s="16" t="n">
        <v>4585.18</v>
      </c>
      <c r="G44" s="16" t="n">
        <v>17995.03</v>
      </c>
    </row>
    <row r="45" customFormat="false" ht="15" hidden="false" customHeight="false" outlineLevel="0" collapsed="false">
      <c r="B45" s="8" t="s">
        <v>135</v>
      </c>
      <c r="C45" s="16" t="n">
        <v>45421.43</v>
      </c>
      <c r="D45" s="16" t="n">
        <v>9223.36</v>
      </c>
      <c r="G45" s="16" t="n">
        <v>36198.07</v>
      </c>
    </row>
    <row r="46" customFormat="false" ht="15" hidden="false" customHeight="false" outlineLevel="0" collapsed="false">
      <c r="B46" s="8" t="s">
        <v>74</v>
      </c>
      <c r="C46" s="16" t="n">
        <v>70011.61</v>
      </c>
      <c r="D46" s="16" t="n">
        <v>14216.69</v>
      </c>
      <c r="G46" s="16" t="n">
        <v>55794.92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515841.05</v>
      </c>
      <c r="D47" s="26" t="n">
        <f aca="false">SUM(D41:D46)</f>
        <v>104747.69</v>
      </c>
      <c r="E47" s="24"/>
      <c r="F47" s="26" t="n">
        <f aca="false">SUM(F41:F46)</f>
        <v>0</v>
      </c>
      <c r="G47" s="26" t="n">
        <f aca="false">SUM(G41:G46)</f>
        <v>411093.36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147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148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14924.28</v>
      </c>
      <c r="D11" s="16" t="n">
        <v>14924.28</v>
      </c>
    </row>
    <row r="12" customFormat="false" ht="15" hidden="false" customHeight="false" outlineLevel="0" collapsed="false">
      <c r="B12" s="8" t="s">
        <v>108</v>
      </c>
      <c r="C12" s="16" t="n">
        <v>10497.34</v>
      </c>
      <c r="D12" s="16" t="n">
        <v>10497.34</v>
      </c>
    </row>
    <row r="13" customFormat="false" ht="15" hidden="false" customHeight="false" outlineLevel="0" collapsed="false">
      <c r="B13" s="8" t="s">
        <v>109</v>
      </c>
      <c r="C13" s="16" t="n">
        <v>42163.82</v>
      </c>
      <c r="D13" s="16" t="n">
        <v>42163.82</v>
      </c>
    </row>
    <row r="14" customFormat="false" ht="15" hidden="false" customHeight="false" outlineLevel="0" collapsed="false">
      <c r="B14" s="8" t="s">
        <v>110</v>
      </c>
      <c r="C14" s="16" t="n">
        <v>5291.37</v>
      </c>
      <c r="D14" s="16" t="n">
        <v>5291.37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3335.96</v>
      </c>
      <c r="D17" s="16" t="n">
        <v>3335.96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1722.5</v>
      </c>
      <c r="D19" s="16" t="n">
        <v>1722.5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23533.09</v>
      </c>
      <c r="G22" s="16" t="n">
        <v>23533.09</v>
      </c>
    </row>
    <row r="23" customFormat="false" ht="15" hidden="false" customHeight="false" outlineLevel="0" collapsed="false">
      <c r="B23" s="8" t="s">
        <v>119</v>
      </c>
      <c r="C23" s="16" t="n">
        <v>28643.92</v>
      </c>
      <c r="G23" s="16" t="n">
        <v>28643.92</v>
      </c>
    </row>
    <row r="24" customFormat="false" ht="15" hidden="false" customHeight="false" outlineLevel="0" collapsed="false">
      <c r="B24" s="8" t="s">
        <v>120</v>
      </c>
      <c r="C24" s="16" t="n">
        <v>42496.69</v>
      </c>
      <c r="G24" s="16" t="n">
        <v>42496.69</v>
      </c>
    </row>
    <row r="25" customFormat="false" ht="15" hidden="false" customHeight="false" outlineLevel="0" collapsed="false">
      <c r="B25" s="8" t="s">
        <v>121</v>
      </c>
      <c r="C25" s="16" t="n">
        <v>35043.34</v>
      </c>
      <c r="G25" s="16" t="n">
        <v>35043.34</v>
      </c>
    </row>
    <row r="26" customFormat="false" ht="15" hidden="false" customHeight="false" outlineLevel="0" collapsed="false">
      <c r="B26" s="8" t="s">
        <v>122</v>
      </c>
      <c r="C26" s="16" t="n">
        <v>36942.14</v>
      </c>
      <c r="G26" s="16" t="n">
        <v>36942.14</v>
      </c>
    </row>
    <row r="27" customFormat="false" ht="15" hidden="false" customHeight="false" outlineLevel="0" collapsed="false">
      <c r="B27" s="8" t="s">
        <v>123</v>
      </c>
      <c r="C27" s="16" t="n">
        <v>1288.46</v>
      </c>
      <c r="G27" s="16" t="n">
        <v>1288.46</v>
      </c>
    </row>
    <row r="28" customFormat="false" ht="15" hidden="false" customHeight="false" outlineLevel="0" collapsed="false">
      <c r="B28" s="8" t="s">
        <v>124</v>
      </c>
      <c r="C28" s="16" t="n">
        <v>22726.22</v>
      </c>
      <c r="G28" s="16" t="n">
        <v>22726.22</v>
      </c>
    </row>
    <row r="29" customFormat="false" ht="15" hidden="false" customHeight="false" outlineLevel="0" collapsed="false">
      <c r="B29" s="8" t="s">
        <v>125</v>
      </c>
      <c r="C29" s="16" t="n">
        <v>21445.66</v>
      </c>
      <c r="G29" s="16" t="n">
        <v>21445.66</v>
      </c>
    </row>
    <row r="30" customFormat="false" ht="15" hidden="false" customHeight="false" outlineLevel="0" collapsed="false">
      <c r="B30" s="8" t="s">
        <v>126</v>
      </c>
      <c r="C30" s="16" t="n">
        <v>23322.18</v>
      </c>
      <c r="G30" s="16" t="n">
        <v>23322.18</v>
      </c>
    </row>
    <row r="31" customFormat="false" ht="15" hidden="false" customHeight="false" outlineLevel="0" collapsed="false">
      <c r="B31" s="8" t="s">
        <v>127</v>
      </c>
      <c r="C31" s="16" t="n">
        <v>18778.11</v>
      </c>
      <c r="G31" s="16" t="n">
        <v>18778.11</v>
      </c>
    </row>
    <row r="32" customFormat="false" ht="15" hidden="false" customHeight="false" outlineLevel="0" collapsed="false">
      <c r="B32" s="8" t="s">
        <v>128</v>
      </c>
      <c r="C32" s="16" t="n">
        <v>45770.64</v>
      </c>
      <c r="G32" s="16" t="n">
        <v>45770.64</v>
      </c>
    </row>
    <row r="33" customFormat="false" ht="15" hidden="false" customHeight="false" outlineLevel="0" collapsed="false">
      <c r="B33" s="8" t="s">
        <v>129</v>
      </c>
      <c r="C33" s="16" t="n">
        <v>19814.11</v>
      </c>
      <c r="G33" s="16" t="n">
        <v>19814.11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66220.75</v>
      </c>
      <c r="G35" s="16" t="n">
        <v>66220.75</v>
      </c>
    </row>
    <row r="36" customFormat="false" ht="15" hidden="false" customHeight="false" outlineLevel="0" collapsed="false">
      <c r="B36" s="8" t="s">
        <v>132</v>
      </c>
      <c r="C36" s="16" t="n">
        <v>14527.19</v>
      </c>
      <c r="G36" s="16" t="n">
        <v>14527.19</v>
      </c>
    </row>
    <row r="37" customFormat="false" ht="15" hidden="false" customHeight="false" outlineLevel="0" collapsed="false">
      <c r="B37" s="8" t="s">
        <v>133</v>
      </c>
      <c r="C37" s="16" t="n">
        <v>5049.22</v>
      </c>
      <c r="G37" s="16" t="n">
        <v>5049.22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511413.41</v>
      </c>
      <c r="D38" s="26" t="n">
        <f aca="false">SUM(D10:D37)</f>
        <v>104747.69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406665.72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92190.66</v>
      </c>
      <c r="D41" s="16" t="n">
        <v>18720.42</v>
      </c>
      <c r="G41" s="16" t="n">
        <v>73470.24</v>
      </c>
    </row>
    <row r="42" customFormat="false" ht="15" hidden="false" customHeight="false" outlineLevel="0" collapsed="false">
      <c r="B42" s="8" t="s">
        <v>134</v>
      </c>
      <c r="C42" s="16" t="n">
        <v>284089.88</v>
      </c>
      <c r="D42" s="16" t="n">
        <v>57687.85</v>
      </c>
      <c r="G42" s="16" t="n">
        <v>226402.03</v>
      </c>
    </row>
    <row r="43" customFormat="false" ht="15" hidden="false" customHeight="false" outlineLevel="0" collapsed="false">
      <c r="B43" s="8" t="s">
        <v>134</v>
      </c>
      <c r="C43" s="16" t="n">
        <v>1547.26</v>
      </c>
      <c r="D43" s="16" t="n">
        <v>314.19</v>
      </c>
      <c r="G43" s="16" t="n">
        <v>1233.07</v>
      </c>
    </row>
    <row r="44" customFormat="false" ht="15" hidden="false" customHeight="false" outlineLevel="0" collapsed="false">
      <c r="B44" s="8" t="s">
        <v>135</v>
      </c>
      <c r="C44" s="16" t="n">
        <v>22580.21</v>
      </c>
      <c r="D44" s="16" t="n">
        <v>4585.18</v>
      </c>
      <c r="G44" s="16" t="n">
        <v>17995.03</v>
      </c>
    </row>
    <row r="45" customFormat="false" ht="15" hidden="false" customHeight="false" outlineLevel="0" collapsed="false">
      <c r="B45" s="8" t="s">
        <v>135</v>
      </c>
      <c r="C45" s="16" t="n">
        <v>45421.43</v>
      </c>
      <c r="D45" s="16" t="n">
        <v>9223.36</v>
      </c>
      <c r="G45" s="16" t="n">
        <v>36198.07</v>
      </c>
    </row>
    <row r="46" customFormat="false" ht="15" hidden="false" customHeight="false" outlineLevel="0" collapsed="false">
      <c r="B46" s="8" t="s">
        <v>74</v>
      </c>
      <c r="C46" s="16" t="n">
        <v>70011.61</v>
      </c>
      <c r="D46" s="16" t="n">
        <v>14216.69</v>
      </c>
      <c r="G46" s="16" t="n">
        <v>55794.92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515841.05</v>
      </c>
      <c r="D47" s="26" t="n">
        <f aca="false">SUM(D41:D46)</f>
        <v>104747.69</v>
      </c>
      <c r="E47" s="24"/>
      <c r="F47" s="26" t="n">
        <f aca="false">SUM(F41:F46)</f>
        <v>0</v>
      </c>
      <c r="G47" s="26" t="n">
        <f aca="false">SUM(G41:G46)</f>
        <v>411093.36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149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150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14924.28</v>
      </c>
      <c r="D11" s="16" t="n">
        <v>14924.28</v>
      </c>
    </row>
    <row r="12" customFormat="false" ht="15" hidden="false" customHeight="false" outlineLevel="0" collapsed="false">
      <c r="B12" s="8" t="s">
        <v>108</v>
      </c>
      <c r="C12" s="16" t="n">
        <v>10497.34</v>
      </c>
      <c r="D12" s="16" t="n">
        <v>10497.34</v>
      </c>
    </row>
    <row r="13" customFormat="false" ht="15" hidden="false" customHeight="false" outlineLevel="0" collapsed="false">
      <c r="B13" s="8" t="s">
        <v>109</v>
      </c>
      <c r="C13" s="16" t="n">
        <v>42163.82</v>
      </c>
      <c r="D13" s="16" t="n">
        <v>42163.82</v>
      </c>
    </row>
    <row r="14" customFormat="false" ht="15" hidden="false" customHeight="false" outlineLevel="0" collapsed="false">
      <c r="B14" s="8" t="s">
        <v>110</v>
      </c>
      <c r="C14" s="16" t="n">
        <v>5291.37</v>
      </c>
      <c r="D14" s="16" t="n">
        <v>5291.37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3335.96</v>
      </c>
      <c r="D17" s="16" t="n">
        <v>3335.96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1722.5</v>
      </c>
      <c r="D19" s="16" t="n">
        <v>1722.5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23533.09</v>
      </c>
      <c r="G22" s="16" t="n">
        <v>23533.09</v>
      </c>
    </row>
    <row r="23" customFormat="false" ht="15" hidden="false" customHeight="false" outlineLevel="0" collapsed="false">
      <c r="B23" s="8" t="s">
        <v>119</v>
      </c>
      <c r="C23" s="16" t="n">
        <v>28643.92</v>
      </c>
      <c r="G23" s="16" t="n">
        <v>28643.92</v>
      </c>
    </row>
    <row r="24" customFormat="false" ht="15" hidden="false" customHeight="false" outlineLevel="0" collapsed="false">
      <c r="B24" s="8" t="s">
        <v>120</v>
      </c>
      <c r="C24" s="16" t="n">
        <v>42496.69</v>
      </c>
      <c r="G24" s="16" t="n">
        <v>42496.69</v>
      </c>
    </row>
    <row r="25" customFormat="false" ht="15" hidden="false" customHeight="false" outlineLevel="0" collapsed="false">
      <c r="B25" s="8" t="s">
        <v>121</v>
      </c>
      <c r="C25" s="16" t="n">
        <v>35043.34</v>
      </c>
      <c r="G25" s="16" t="n">
        <v>35043.34</v>
      </c>
    </row>
    <row r="26" customFormat="false" ht="15" hidden="false" customHeight="false" outlineLevel="0" collapsed="false">
      <c r="B26" s="8" t="s">
        <v>122</v>
      </c>
      <c r="C26" s="16" t="n">
        <v>36942.14</v>
      </c>
      <c r="G26" s="16" t="n">
        <v>36942.14</v>
      </c>
    </row>
    <row r="27" customFormat="false" ht="15" hidden="false" customHeight="false" outlineLevel="0" collapsed="false">
      <c r="B27" s="8" t="s">
        <v>123</v>
      </c>
      <c r="C27" s="16" t="n">
        <v>1288.46</v>
      </c>
      <c r="G27" s="16" t="n">
        <v>1288.46</v>
      </c>
    </row>
    <row r="28" customFormat="false" ht="15" hidden="false" customHeight="false" outlineLevel="0" collapsed="false">
      <c r="B28" s="8" t="s">
        <v>124</v>
      </c>
      <c r="C28" s="16" t="n">
        <v>22726.22</v>
      </c>
      <c r="G28" s="16" t="n">
        <v>22726.22</v>
      </c>
    </row>
    <row r="29" customFormat="false" ht="15" hidden="false" customHeight="false" outlineLevel="0" collapsed="false">
      <c r="B29" s="8" t="s">
        <v>125</v>
      </c>
      <c r="C29" s="16" t="n">
        <v>21445.66</v>
      </c>
      <c r="G29" s="16" t="n">
        <v>21445.66</v>
      </c>
    </row>
    <row r="30" customFormat="false" ht="15" hidden="false" customHeight="false" outlineLevel="0" collapsed="false">
      <c r="B30" s="8" t="s">
        <v>126</v>
      </c>
      <c r="C30" s="16" t="n">
        <v>23322.18</v>
      </c>
      <c r="G30" s="16" t="n">
        <v>23322.18</v>
      </c>
    </row>
    <row r="31" customFormat="false" ht="15" hidden="false" customHeight="false" outlineLevel="0" collapsed="false">
      <c r="B31" s="8" t="s">
        <v>127</v>
      </c>
      <c r="C31" s="16" t="n">
        <v>18778.11</v>
      </c>
      <c r="G31" s="16" t="n">
        <v>18778.11</v>
      </c>
    </row>
    <row r="32" customFormat="false" ht="15" hidden="false" customHeight="false" outlineLevel="0" collapsed="false">
      <c r="B32" s="8" t="s">
        <v>128</v>
      </c>
      <c r="C32" s="16" t="n">
        <v>45770.64</v>
      </c>
      <c r="G32" s="16" t="n">
        <v>45770.64</v>
      </c>
    </row>
    <row r="33" customFormat="false" ht="15" hidden="false" customHeight="false" outlineLevel="0" collapsed="false">
      <c r="B33" s="8" t="s">
        <v>129</v>
      </c>
      <c r="C33" s="16" t="n">
        <v>19814.11</v>
      </c>
      <c r="G33" s="16" t="n">
        <v>19814.11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66220.75</v>
      </c>
      <c r="G35" s="16" t="n">
        <v>66220.75</v>
      </c>
    </row>
    <row r="36" customFormat="false" ht="15" hidden="false" customHeight="false" outlineLevel="0" collapsed="false">
      <c r="B36" s="8" t="s">
        <v>132</v>
      </c>
      <c r="C36" s="16" t="n">
        <v>14527.19</v>
      </c>
      <c r="G36" s="16" t="n">
        <v>14527.19</v>
      </c>
    </row>
    <row r="37" customFormat="false" ht="15" hidden="false" customHeight="false" outlineLevel="0" collapsed="false">
      <c r="B37" s="8" t="s">
        <v>133</v>
      </c>
      <c r="C37" s="16" t="n">
        <v>5049.22</v>
      </c>
      <c r="G37" s="16" t="n">
        <v>5049.22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511413.41</v>
      </c>
      <c r="D38" s="26" t="n">
        <f aca="false">SUM(D10:D37)</f>
        <v>104747.69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406665.72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92190.66</v>
      </c>
      <c r="D41" s="16" t="n">
        <v>18720.42</v>
      </c>
      <c r="G41" s="16" t="n">
        <v>73470.24</v>
      </c>
    </row>
    <row r="42" customFormat="false" ht="15" hidden="false" customHeight="false" outlineLevel="0" collapsed="false">
      <c r="B42" s="8" t="s">
        <v>134</v>
      </c>
      <c r="C42" s="16" t="n">
        <v>284089.88</v>
      </c>
      <c r="D42" s="16" t="n">
        <v>57687.85</v>
      </c>
      <c r="G42" s="16" t="n">
        <v>226402.03</v>
      </c>
    </row>
    <row r="43" customFormat="false" ht="15" hidden="false" customHeight="false" outlineLevel="0" collapsed="false">
      <c r="B43" s="8" t="s">
        <v>134</v>
      </c>
      <c r="C43" s="16" t="n">
        <v>1547.26</v>
      </c>
      <c r="D43" s="16" t="n">
        <v>314.19</v>
      </c>
      <c r="G43" s="16" t="n">
        <v>1233.07</v>
      </c>
    </row>
    <row r="44" customFormat="false" ht="15" hidden="false" customHeight="false" outlineLevel="0" collapsed="false">
      <c r="B44" s="8" t="s">
        <v>135</v>
      </c>
      <c r="C44" s="16" t="n">
        <v>22580.21</v>
      </c>
      <c r="D44" s="16" t="n">
        <v>4585.18</v>
      </c>
      <c r="G44" s="16" t="n">
        <v>17995.03</v>
      </c>
    </row>
    <row r="45" customFormat="false" ht="15" hidden="false" customHeight="false" outlineLevel="0" collapsed="false">
      <c r="B45" s="8" t="s">
        <v>135</v>
      </c>
      <c r="C45" s="16" t="n">
        <v>45421.43</v>
      </c>
      <c r="D45" s="16" t="n">
        <v>9223.36</v>
      </c>
      <c r="G45" s="16" t="n">
        <v>36198.07</v>
      </c>
    </row>
    <row r="46" customFormat="false" ht="15" hidden="false" customHeight="false" outlineLevel="0" collapsed="false">
      <c r="B46" s="8" t="s">
        <v>74</v>
      </c>
      <c r="C46" s="16" t="n">
        <v>70011.61</v>
      </c>
      <c r="D46" s="16" t="n">
        <v>14216.69</v>
      </c>
      <c r="G46" s="16" t="n">
        <v>55794.92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515841.05</v>
      </c>
      <c r="D47" s="26" t="n">
        <f aca="false">SUM(D41:D46)</f>
        <v>104747.69</v>
      </c>
      <c r="E47" s="24"/>
      <c r="F47" s="26" t="n">
        <f aca="false">SUM(F41:F46)</f>
        <v>0</v>
      </c>
      <c r="G47" s="26" t="n">
        <f aca="false">SUM(G41:G46)</f>
        <v>411093.36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151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152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14924.28</v>
      </c>
      <c r="D11" s="16" t="n">
        <v>14924.28</v>
      </c>
    </row>
    <row r="12" customFormat="false" ht="15" hidden="false" customHeight="false" outlineLevel="0" collapsed="false">
      <c r="B12" s="8" t="s">
        <v>108</v>
      </c>
      <c r="C12" s="16" t="n">
        <v>10497.34</v>
      </c>
      <c r="D12" s="16" t="n">
        <v>10497.34</v>
      </c>
    </row>
    <row r="13" customFormat="false" ht="15" hidden="false" customHeight="false" outlineLevel="0" collapsed="false">
      <c r="B13" s="8" t="s">
        <v>109</v>
      </c>
      <c r="C13" s="16" t="n">
        <v>42163.82</v>
      </c>
      <c r="D13" s="16" t="n">
        <v>42163.82</v>
      </c>
    </row>
    <row r="14" customFormat="false" ht="15" hidden="false" customHeight="false" outlineLevel="0" collapsed="false">
      <c r="B14" s="8" t="s">
        <v>110</v>
      </c>
      <c r="C14" s="16" t="n">
        <v>5291.37</v>
      </c>
      <c r="D14" s="16" t="n">
        <v>5291.37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3335.96</v>
      </c>
      <c r="D17" s="16" t="n">
        <v>3335.96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1722.5</v>
      </c>
      <c r="D19" s="16" t="n">
        <v>1722.5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23533.09</v>
      </c>
      <c r="G22" s="16" t="n">
        <v>23533.09</v>
      </c>
    </row>
    <row r="23" customFormat="false" ht="15" hidden="false" customHeight="false" outlineLevel="0" collapsed="false">
      <c r="B23" s="8" t="s">
        <v>119</v>
      </c>
      <c r="C23" s="16" t="n">
        <v>28643.92</v>
      </c>
      <c r="G23" s="16" t="n">
        <v>28643.92</v>
      </c>
    </row>
    <row r="24" customFormat="false" ht="15" hidden="false" customHeight="false" outlineLevel="0" collapsed="false">
      <c r="B24" s="8" t="s">
        <v>120</v>
      </c>
      <c r="C24" s="16" t="n">
        <v>42496.69</v>
      </c>
      <c r="G24" s="16" t="n">
        <v>42496.69</v>
      </c>
    </row>
    <row r="25" customFormat="false" ht="15" hidden="false" customHeight="false" outlineLevel="0" collapsed="false">
      <c r="B25" s="8" t="s">
        <v>121</v>
      </c>
      <c r="C25" s="16" t="n">
        <v>35043.34</v>
      </c>
      <c r="G25" s="16" t="n">
        <v>35043.34</v>
      </c>
    </row>
    <row r="26" customFormat="false" ht="15" hidden="false" customHeight="false" outlineLevel="0" collapsed="false">
      <c r="B26" s="8" t="s">
        <v>122</v>
      </c>
      <c r="C26" s="16" t="n">
        <v>36942.14</v>
      </c>
      <c r="G26" s="16" t="n">
        <v>36942.14</v>
      </c>
    </row>
    <row r="27" customFormat="false" ht="15" hidden="false" customHeight="false" outlineLevel="0" collapsed="false">
      <c r="B27" s="8" t="s">
        <v>123</v>
      </c>
      <c r="C27" s="16" t="n">
        <v>1288.46</v>
      </c>
      <c r="G27" s="16" t="n">
        <v>1288.46</v>
      </c>
    </row>
    <row r="28" customFormat="false" ht="15" hidden="false" customHeight="false" outlineLevel="0" collapsed="false">
      <c r="B28" s="8" t="s">
        <v>124</v>
      </c>
      <c r="C28" s="16" t="n">
        <v>22726.22</v>
      </c>
      <c r="G28" s="16" t="n">
        <v>22726.22</v>
      </c>
    </row>
    <row r="29" customFormat="false" ht="15" hidden="false" customHeight="false" outlineLevel="0" collapsed="false">
      <c r="B29" s="8" t="s">
        <v>125</v>
      </c>
      <c r="C29" s="16" t="n">
        <v>21445.66</v>
      </c>
      <c r="G29" s="16" t="n">
        <v>21445.66</v>
      </c>
    </row>
    <row r="30" customFormat="false" ht="15" hidden="false" customHeight="false" outlineLevel="0" collapsed="false">
      <c r="B30" s="8" t="s">
        <v>126</v>
      </c>
      <c r="C30" s="16" t="n">
        <v>23322.18</v>
      </c>
      <c r="G30" s="16" t="n">
        <v>23322.18</v>
      </c>
    </row>
    <row r="31" customFormat="false" ht="15" hidden="false" customHeight="false" outlineLevel="0" collapsed="false">
      <c r="B31" s="8" t="s">
        <v>127</v>
      </c>
      <c r="C31" s="16" t="n">
        <v>18778.11</v>
      </c>
      <c r="G31" s="16" t="n">
        <v>18778.11</v>
      </c>
    </row>
    <row r="32" customFormat="false" ht="15" hidden="false" customHeight="false" outlineLevel="0" collapsed="false">
      <c r="B32" s="8" t="s">
        <v>128</v>
      </c>
      <c r="C32" s="16" t="n">
        <v>45770.64</v>
      </c>
      <c r="G32" s="16" t="n">
        <v>45770.64</v>
      </c>
    </row>
    <row r="33" customFormat="false" ht="15" hidden="false" customHeight="false" outlineLevel="0" collapsed="false">
      <c r="B33" s="8" t="s">
        <v>129</v>
      </c>
      <c r="C33" s="16" t="n">
        <v>19814.11</v>
      </c>
      <c r="G33" s="16" t="n">
        <v>19814.11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66220.75</v>
      </c>
      <c r="G35" s="16" t="n">
        <v>66220.75</v>
      </c>
    </row>
    <row r="36" customFormat="false" ht="15" hidden="false" customHeight="false" outlineLevel="0" collapsed="false">
      <c r="B36" s="8" t="s">
        <v>132</v>
      </c>
      <c r="C36" s="16" t="n">
        <v>14527.19</v>
      </c>
      <c r="G36" s="16" t="n">
        <v>14527.19</v>
      </c>
    </row>
    <row r="37" customFormat="false" ht="15" hidden="false" customHeight="false" outlineLevel="0" collapsed="false">
      <c r="B37" s="8" t="s">
        <v>133</v>
      </c>
      <c r="C37" s="16" t="n">
        <v>5049.22</v>
      </c>
      <c r="G37" s="16" t="n">
        <v>5049.22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511413.41</v>
      </c>
      <c r="D38" s="26" t="n">
        <f aca="false">SUM(D10:D37)</f>
        <v>104747.69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406665.72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92190.66</v>
      </c>
      <c r="D41" s="16" t="n">
        <v>18720.42</v>
      </c>
      <c r="G41" s="16" t="n">
        <v>73470.24</v>
      </c>
    </row>
    <row r="42" customFormat="false" ht="15" hidden="false" customHeight="false" outlineLevel="0" collapsed="false">
      <c r="B42" s="8" t="s">
        <v>134</v>
      </c>
      <c r="C42" s="16" t="n">
        <v>284089.88</v>
      </c>
      <c r="D42" s="16" t="n">
        <v>57687.85</v>
      </c>
      <c r="G42" s="16" t="n">
        <v>226402.03</v>
      </c>
    </row>
    <row r="43" customFormat="false" ht="15" hidden="false" customHeight="false" outlineLevel="0" collapsed="false">
      <c r="B43" s="8" t="s">
        <v>134</v>
      </c>
      <c r="C43" s="16" t="n">
        <v>1547.26</v>
      </c>
      <c r="D43" s="16" t="n">
        <v>314.19</v>
      </c>
      <c r="G43" s="16" t="n">
        <v>1233.07</v>
      </c>
    </row>
    <row r="44" customFormat="false" ht="15" hidden="false" customHeight="false" outlineLevel="0" collapsed="false">
      <c r="B44" s="8" t="s">
        <v>135</v>
      </c>
      <c r="C44" s="16" t="n">
        <v>22580.21</v>
      </c>
      <c r="D44" s="16" t="n">
        <v>4585.18</v>
      </c>
      <c r="G44" s="16" t="n">
        <v>17995.03</v>
      </c>
    </row>
    <row r="45" customFormat="false" ht="15" hidden="false" customHeight="false" outlineLevel="0" collapsed="false">
      <c r="B45" s="8" t="s">
        <v>135</v>
      </c>
      <c r="C45" s="16" t="n">
        <v>45421.43</v>
      </c>
      <c r="D45" s="16" t="n">
        <v>9223.36</v>
      </c>
      <c r="G45" s="16" t="n">
        <v>36198.07</v>
      </c>
    </row>
    <row r="46" customFormat="false" ht="15" hidden="false" customHeight="false" outlineLevel="0" collapsed="false">
      <c r="B46" s="8" t="s">
        <v>74</v>
      </c>
      <c r="C46" s="16" t="n">
        <v>70011.61</v>
      </c>
      <c r="D46" s="16" t="n">
        <v>14216.69</v>
      </c>
      <c r="G46" s="16" t="n">
        <v>55794.92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515841.05</v>
      </c>
      <c r="D47" s="26" t="n">
        <f aca="false">SUM(D41:D46)</f>
        <v>104747.69</v>
      </c>
      <c r="E47" s="24"/>
      <c r="F47" s="26" t="n">
        <f aca="false">SUM(F41:F46)</f>
        <v>0</v>
      </c>
      <c r="G47" s="26" t="n">
        <f aca="false">SUM(G41:G46)</f>
        <v>411093.36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153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154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14924.28</v>
      </c>
      <c r="D11" s="16" t="n">
        <v>14924.28</v>
      </c>
    </row>
    <row r="12" customFormat="false" ht="15" hidden="false" customHeight="false" outlineLevel="0" collapsed="false">
      <c r="B12" s="8" t="s">
        <v>108</v>
      </c>
      <c r="C12" s="16" t="n">
        <v>10497.34</v>
      </c>
      <c r="D12" s="16" t="n">
        <v>10497.34</v>
      </c>
    </row>
    <row r="13" customFormat="false" ht="15" hidden="false" customHeight="false" outlineLevel="0" collapsed="false">
      <c r="B13" s="8" t="s">
        <v>109</v>
      </c>
      <c r="C13" s="16" t="n">
        <v>42163.82</v>
      </c>
      <c r="D13" s="16" t="n">
        <v>42163.82</v>
      </c>
    </row>
    <row r="14" customFormat="false" ht="15" hidden="false" customHeight="false" outlineLevel="0" collapsed="false">
      <c r="B14" s="8" t="s">
        <v>110</v>
      </c>
      <c r="C14" s="16" t="n">
        <v>5291.37</v>
      </c>
      <c r="D14" s="16" t="n">
        <v>5291.37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3335.96</v>
      </c>
      <c r="D17" s="16" t="n">
        <v>3335.96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1722.5</v>
      </c>
      <c r="D19" s="16" t="n">
        <v>1722.5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23533.09</v>
      </c>
      <c r="G22" s="16" t="n">
        <v>23533.09</v>
      </c>
    </row>
    <row r="23" customFormat="false" ht="15" hidden="false" customHeight="false" outlineLevel="0" collapsed="false">
      <c r="B23" s="8" t="s">
        <v>119</v>
      </c>
      <c r="C23" s="16" t="n">
        <v>28643.92</v>
      </c>
      <c r="G23" s="16" t="n">
        <v>28643.92</v>
      </c>
    </row>
    <row r="24" customFormat="false" ht="15" hidden="false" customHeight="false" outlineLevel="0" collapsed="false">
      <c r="B24" s="8" t="s">
        <v>120</v>
      </c>
      <c r="C24" s="16" t="n">
        <v>42496.69</v>
      </c>
      <c r="G24" s="16" t="n">
        <v>42496.69</v>
      </c>
    </row>
    <row r="25" customFormat="false" ht="15" hidden="false" customHeight="false" outlineLevel="0" collapsed="false">
      <c r="B25" s="8" t="s">
        <v>121</v>
      </c>
      <c r="C25" s="16" t="n">
        <v>35043.34</v>
      </c>
      <c r="G25" s="16" t="n">
        <v>35043.34</v>
      </c>
    </row>
    <row r="26" customFormat="false" ht="15" hidden="false" customHeight="false" outlineLevel="0" collapsed="false">
      <c r="B26" s="8" t="s">
        <v>122</v>
      </c>
      <c r="C26" s="16" t="n">
        <v>36942.14</v>
      </c>
      <c r="G26" s="16" t="n">
        <v>36942.14</v>
      </c>
    </row>
    <row r="27" customFormat="false" ht="15" hidden="false" customHeight="false" outlineLevel="0" collapsed="false">
      <c r="B27" s="8" t="s">
        <v>123</v>
      </c>
      <c r="C27" s="16" t="n">
        <v>1288.46</v>
      </c>
      <c r="G27" s="16" t="n">
        <v>1288.46</v>
      </c>
    </row>
    <row r="28" customFormat="false" ht="15" hidden="false" customHeight="false" outlineLevel="0" collapsed="false">
      <c r="B28" s="8" t="s">
        <v>124</v>
      </c>
      <c r="C28" s="16" t="n">
        <v>22726.22</v>
      </c>
      <c r="G28" s="16" t="n">
        <v>22726.22</v>
      </c>
    </row>
    <row r="29" customFormat="false" ht="15" hidden="false" customHeight="false" outlineLevel="0" collapsed="false">
      <c r="B29" s="8" t="s">
        <v>125</v>
      </c>
      <c r="C29" s="16" t="n">
        <v>21445.66</v>
      </c>
      <c r="G29" s="16" t="n">
        <v>21445.66</v>
      </c>
    </row>
    <row r="30" customFormat="false" ht="15" hidden="false" customHeight="false" outlineLevel="0" collapsed="false">
      <c r="B30" s="8" t="s">
        <v>126</v>
      </c>
      <c r="C30" s="16" t="n">
        <v>23322.18</v>
      </c>
      <c r="G30" s="16" t="n">
        <v>23322.18</v>
      </c>
    </row>
    <row r="31" customFormat="false" ht="15" hidden="false" customHeight="false" outlineLevel="0" collapsed="false">
      <c r="B31" s="8" t="s">
        <v>127</v>
      </c>
      <c r="C31" s="16" t="n">
        <v>18778.11</v>
      </c>
      <c r="G31" s="16" t="n">
        <v>18778.11</v>
      </c>
    </row>
    <row r="32" customFormat="false" ht="15" hidden="false" customHeight="false" outlineLevel="0" collapsed="false">
      <c r="B32" s="8" t="s">
        <v>128</v>
      </c>
      <c r="C32" s="16" t="n">
        <v>45770.64</v>
      </c>
      <c r="G32" s="16" t="n">
        <v>45770.64</v>
      </c>
    </row>
    <row r="33" customFormat="false" ht="15" hidden="false" customHeight="false" outlineLevel="0" collapsed="false">
      <c r="B33" s="8" t="s">
        <v>129</v>
      </c>
      <c r="C33" s="16" t="n">
        <v>19814.11</v>
      </c>
      <c r="G33" s="16" t="n">
        <v>19814.11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66220.75</v>
      </c>
      <c r="G35" s="16" t="n">
        <v>66220.75</v>
      </c>
    </row>
    <row r="36" customFormat="false" ht="15" hidden="false" customHeight="false" outlineLevel="0" collapsed="false">
      <c r="B36" s="8" t="s">
        <v>132</v>
      </c>
      <c r="C36" s="16" t="n">
        <v>14527.19</v>
      </c>
      <c r="G36" s="16" t="n">
        <v>14527.19</v>
      </c>
    </row>
    <row r="37" customFormat="false" ht="15" hidden="false" customHeight="false" outlineLevel="0" collapsed="false">
      <c r="B37" s="8" t="s">
        <v>133</v>
      </c>
      <c r="C37" s="16" t="n">
        <v>5049.22</v>
      </c>
      <c r="G37" s="16" t="n">
        <v>5049.22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511413.41</v>
      </c>
      <c r="D38" s="26" t="n">
        <f aca="false">SUM(D10:D37)</f>
        <v>104747.69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406665.72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92190.66</v>
      </c>
      <c r="D41" s="16" t="n">
        <v>18720.42</v>
      </c>
      <c r="G41" s="16" t="n">
        <v>73470.24</v>
      </c>
    </row>
    <row r="42" customFormat="false" ht="15" hidden="false" customHeight="false" outlineLevel="0" collapsed="false">
      <c r="B42" s="8" t="s">
        <v>134</v>
      </c>
      <c r="C42" s="16" t="n">
        <v>284089.88</v>
      </c>
      <c r="D42" s="16" t="n">
        <v>57687.85</v>
      </c>
      <c r="G42" s="16" t="n">
        <v>226402.03</v>
      </c>
    </row>
    <row r="43" customFormat="false" ht="15" hidden="false" customHeight="false" outlineLevel="0" collapsed="false">
      <c r="B43" s="8" t="s">
        <v>134</v>
      </c>
      <c r="C43" s="16" t="n">
        <v>1547.26</v>
      </c>
      <c r="D43" s="16" t="n">
        <v>314.19</v>
      </c>
      <c r="G43" s="16" t="n">
        <v>1233.07</v>
      </c>
    </row>
    <row r="44" customFormat="false" ht="15" hidden="false" customHeight="false" outlineLevel="0" collapsed="false">
      <c r="B44" s="8" t="s">
        <v>135</v>
      </c>
      <c r="C44" s="16" t="n">
        <v>22580.21</v>
      </c>
      <c r="D44" s="16" t="n">
        <v>4585.18</v>
      </c>
      <c r="G44" s="16" t="n">
        <v>17995.03</v>
      </c>
    </row>
    <row r="45" customFormat="false" ht="15" hidden="false" customHeight="false" outlineLevel="0" collapsed="false">
      <c r="B45" s="8" t="s">
        <v>135</v>
      </c>
      <c r="C45" s="16" t="n">
        <v>45421.43</v>
      </c>
      <c r="D45" s="16" t="n">
        <v>9223.36</v>
      </c>
      <c r="G45" s="16" t="n">
        <v>36198.07</v>
      </c>
    </row>
    <row r="46" customFormat="false" ht="15" hidden="false" customHeight="false" outlineLevel="0" collapsed="false">
      <c r="B46" s="8" t="s">
        <v>74</v>
      </c>
      <c r="C46" s="16" t="n">
        <v>70011.61</v>
      </c>
      <c r="D46" s="16" t="n">
        <v>14216.69</v>
      </c>
      <c r="G46" s="16" t="n">
        <v>55794.92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515841.05</v>
      </c>
      <c r="D47" s="26" t="n">
        <f aca="false">SUM(D41:D46)</f>
        <v>104747.69</v>
      </c>
      <c r="E47" s="24"/>
      <c r="F47" s="26" t="n">
        <f aca="false">SUM(F41:F46)</f>
        <v>0</v>
      </c>
      <c r="G47" s="26" t="n">
        <f aca="false">SUM(G41:G46)</f>
        <v>411093.36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155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156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14924.28</v>
      </c>
      <c r="D11" s="16" t="n">
        <v>14924.28</v>
      </c>
    </row>
    <row r="12" customFormat="false" ht="15" hidden="false" customHeight="false" outlineLevel="0" collapsed="false">
      <c r="B12" s="8" t="s">
        <v>108</v>
      </c>
      <c r="C12" s="16" t="n">
        <v>10497.34</v>
      </c>
      <c r="D12" s="16" t="n">
        <v>10497.34</v>
      </c>
    </row>
    <row r="13" customFormat="false" ht="15" hidden="false" customHeight="false" outlineLevel="0" collapsed="false">
      <c r="B13" s="8" t="s">
        <v>109</v>
      </c>
      <c r="C13" s="16" t="n">
        <v>42163.82</v>
      </c>
      <c r="D13" s="16" t="n">
        <v>42163.82</v>
      </c>
    </row>
    <row r="14" customFormat="false" ht="15" hidden="false" customHeight="false" outlineLevel="0" collapsed="false">
      <c r="B14" s="8" t="s">
        <v>110</v>
      </c>
      <c r="C14" s="16" t="n">
        <v>5291.37</v>
      </c>
      <c r="D14" s="16" t="n">
        <v>5291.37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3335.96</v>
      </c>
      <c r="D17" s="16" t="n">
        <v>3335.96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1722.5</v>
      </c>
      <c r="D19" s="16" t="n">
        <v>1722.5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23533.09</v>
      </c>
      <c r="G22" s="16" t="n">
        <v>23533.09</v>
      </c>
    </row>
    <row r="23" customFormat="false" ht="15" hidden="false" customHeight="false" outlineLevel="0" collapsed="false">
      <c r="B23" s="8" t="s">
        <v>119</v>
      </c>
      <c r="C23" s="16" t="n">
        <v>28643.92</v>
      </c>
      <c r="G23" s="16" t="n">
        <v>28643.92</v>
      </c>
    </row>
    <row r="24" customFormat="false" ht="15" hidden="false" customHeight="false" outlineLevel="0" collapsed="false">
      <c r="B24" s="8" t="s">
        <v>120</v>
      </c>
      <c r="C24" s="16" t="n">
        <v>42496.69</v>
      </c>
      <c r="G24" s="16" t="n">
        <v>42496.69</v>
      </c>
    </row>
    <row r="25" customFormat="false" ht="15" hidden="false" customHeight="false" outlineLevel="0" collapsed="false">
      <c r="B25" s="8" t="s">
        <v>121</v>
      </c>
      <c r="C25" s="16" t="n">
        <v>35043.34</v>
      </c>
      <c r="G25" s="16" t="n">
        <v>35043.34</v>
      </c>
    </row>
    <row r="26" customFormat="false" ht="15" hidden="false" customHeight="false" outlineLevel="0" collapsed="false">
      <c r="B26" s="8" t="s">
        <v>122</v>
      </c>
      <c r="C26" s="16" t="n">
        <v>36942.14</v>
      </c>
      <c r="G26" s="16" t="n">
        <v>36942.14</v>
      </c>
    </row>
    <row r="27" customFormat="false" ht="15" hidden="false" customHeight="false" outlineLevel="0" collapsed="false">
      <c r="B27" s="8" t="s">
        <v>123</v>
      </c>
      <c r="C27" s="16" t="n">
        <v>1288.46</v>
      </c>
      <c r="G27" s="16" t="n">
        <v>1288.46</v>
      </c>
    </row>
    <row r="28" customFormat="false" ht="15" hidden="false" customHeight="false" outlineLevel="0" collapsed="false">
      <c r="B28" s="8" t="s">
        <v>124</v>
      </c>
      <c r="C28" s="16" t="n">
        <v>22726.22</v>
      </c>
      <c r="G28" s="16" t="n">
        <v>22726.22</v>
      </c>
    </row>
    <row r="29" customFormat="false" ht="15" hidden="false" customHeight="false" outlineLevel="0" collapsed="false">
      <c r="B29" s="8" t="s">
        <v>125</v>
      </c>
      <c r="C29" s="16" t="n">
        <v>21445.66</v>
      </c>
      <c r="G29" s="16" t="n">
        <v>21445.66</v>
      </c>
    </row>
    <row r="30" customFormat="false" ht="15" hidden="false" customHeight="false" outlineLevel="0" collapsed="false">
      <c r="B30" s="8" t="s">
        <v>126</v>
      </c>
      <c r="C30" s="16" t="n">
        <v>23322.18</v>
      </c>
      <c r="G30" s="16" t="n">
        <v>23322.18</v>
      </c>
    </row>
    <row r="31" customFormat="false" ht="15" hidden="false" customHeight="false" outlineLevel="0" collapsed="false">
      <c r="B31" s="8" t="s">
        <v>127</v>
      </c>
      <c r="C31" s="16" t="n">
        <v>18778.11</v>
      </c>
      <c r="G31" s="16" t="n">
        <v>18778.11</v>
      </c>
    </row>
    <row r="32" customFormat="false" ht="15" hidden="false" customHeight="false" outlineLevel="0" collapsed="false">
      <c r="B32" s="8" t="s">
        <v>128</v>
      </c>
      <c r="C32" s="16" t="n">
        <v>45770.64</v>
      </c>
      <c r="G32" s="16" t="n">
        <v>45770.64</v>
      </c>
    </row>
    <row r="33" customFormat="false" ht="15" hidden="false" customHeight="false" outlineLevel="0" collapsed="false">
      <c r="B33" s="8" t="s">
        <v>129</v>
      </c>
      <c r="C33" s="16" t="n">
        <v>19814.11</v>
      </c>
      <c r="G33" s="16" t="n">
        <v>19814.11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66220.75</v>
      </c>
      <c r="G35" s="16" t="n">
        <v>66220.75</v>
      </c>
    </row>
    <row r="36" customFormat="false" ht="15" hidden="false" customHeight="false" outlineLevel="0" collapsed="false">
      <c r="B36" s="8" t="s">
        <v>132</v>
      </c>
      <c r="C36" s="16" t="n">
        <v>14527.19</v>
      </c>
      <c r="G36" s="16" t="n">
        <v>14527.19</v>
      </c>
    </row>
    <row r="37" customFormat="false" ht="15" hidden="false" customHeight="false" outlineLevel="0" collapsed="false">
      <c r="B37" s="8" t="s">
        <v>133</v>
      </c>
      <c r="C37" s="16" t="n">
        <v>5049.22</v>
      </c>
      <c r="G37" s="16" t="n">
        <v>5049.22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511413.41</v>
      </c>
      <c r="D38" s="26" t="n">
        <f aca="false">SUM(D10:D37)</f>
        <v>104747.69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406665.72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92190.66</v>
      </c>
      <c r="D41" s="16" t="n">
        <v>18720.42</v>
      </c>
      <c r="G41" s="16" t="n">
        <v>73470.24</v>
      </c>
    </row>
    <row r="42" customFormat="false" ht="15" hidden="false" customHeight="false" outlineLevel="0" collapsed="false">
      <c r="B42" s="8" t="s">
        <v>134</v>
      </c>
      <c r="C42" s="16" t="n">
        <v>284089.88</v>
      </c>
      <c r="D42" s="16" t="n">
        <v>57687.85</v>
      </c>
      <c r="G42" s="16" t="n">
        <v>226402.03</v>
      </c>
    </row>
    <row r="43" customFormat="false" ht="15" hidden="false" customHeight="false" outlineLevel="0" collapsed="false">
      <c r="B43" s="8" t="s">
        <v>134</v>
      </c>
      <c r="C43" s="16" t="n">
        <v>1547.26</v>
      </c>
      <c r="D43" s="16" t="n">
        <v>314.19</v>
      </c>
      <c r="G43" s="16" t="n">
        <v>1233.07</v>
      </c>
    </row>
    <row r="44" customFormat="false" ht="15" hidden="false" customHeight="false" outlineLevel="0" collapsed="false">
      <c r="B44" s="8" t="s">
        <v>135</v>
      </c>
      <c r="C44" s="16" t="n">
        <v>22580.21</v>
      </c>
      <c r="D44" s="16" t="n">
        <v>4585.18</v>
      </c>
      <c r="G44" s="16" t="n">
        <v>17995.03</v>
      </c>
    </row>
    <row r="45" customFormat="false" ht="15" hidden="false" customHeight="false" outlineLevel="0" collapsed="false">
      <c r="B45" s="8" t="s">
        <v>135</v>
      </c>
      <c r="C45" s="16" t="n">
        <v>45421.43</v>
      </c>
      <c r="D45" s="16" t="n">
        <v>9223.36</v>
      </c>
      <c r="G45" s="16" t="n">
        <v>36198.07</v>
      </c>
    </row>
    <row r="46" customFormat="false" ht="15" hidden="false" customHeight="false" outlineLevel="0" collapsed="false">
      <c r="B46" s="8" t="s">
        <v>74</v>
      </c>
      <c r="C46" s="16" t="n">
        <v>70011.61</v>
      </c>
      <c r="D46" s="16" t="n">
        <v>14216.69</v>
      </c>
      <c r="G46" s="16" t="n">
        <v>55794.92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515841.05</v>
      </c>
      <c r="D47" s="26" t="n">
        <f aca="false">SUM(D41:D46)</f>
        <v>104747.69</v>
      </c>
      <c r="E47" s="24"/>
      <c r="F47" s="26" t="n">
        <f aca="false">SUM(F41:F46)</f>
        <v>0</v>
      </c>
      <c r="G47" s="26" t="n">
        <f aca="false">SUM(G41:G46)</f>
        <v>411093.36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157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158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14924.28</v>
      </c>
      <c r="D11" s="16" t="n">
        <v>14924.28</v>
      </c>
    </row>
    <row r="12" customFormat="false" ht="15" hidden="false" customHeight="false" outlineLevel="0" collapsed="false">
      <c r="B12" s="8" t="s">
        <v>108</v>
      </c>
      <c r="C12" s="16" t="n">
        <v>10497.34</v>
      </c>
      <c r="D12" s="16" t="n">
        <v>10497.34</v>
      </c>
    </row>
    <row r="13" customFormat="false" ht="15" hidden="false" customHeight="false" outlineLevel="0" collapsed="false">
      <c r="B13" s="8" t="s">
        <v>109</v>
      </c>
      <c r="C13" s="16" t="n">
        <v>42163.82</v>
      </c>
      <c r="D13" s="16" t="n">
        <v>42163.82</v>
      </c>
    </row>
    <row r="14" customFormat="false" ht="15" hidden="false" customHeight="false" outlineLevel="0" collapsed="false">
      <c r="B14" s="8" t="s">
        <v>110</v>
      </c>
      <c r="C14" s="16" t="n">
        <v>5291.37</v>
      </c>
      <c r="D14" s="16" t="n">
        <v>5291.37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3335.96</v>
      </c>
      <c r="D17" s="16" t="n">
        <v>3335.96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1722.5</v>
      </c>
      <c r="D19" s="16" t="n">
        <v>1722.5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23533.09</v>
      </c>
      <c r="G22" s="16" t="n">
        <v>23533.09</v>
      </c>
    </row>
    <row r="23" customFormat="false" ht="15" hidden="false" customHeight="false" outlineLevel="0" collapsed="false">
      <c r="B23" s="8" t="s">
        <v>119</v>
      </c>
      <c r="C23" s="16" t="n">
        <v>28643.92</v>
      </c>
      <c r="G23" s="16" t="n">
        <v>28643.92</v>
      </c>
    </row>
    <row r="24" customFormat="false" ht="15" hidden="false" customHeight="false" outlineLevel="0" collapsed="false">
      <c r="B24" s="8" t="s">
        <v>120</v>
      </c>
      <c r="C24" s="16" t="n">
        <v>42496.69</v>
      </c>
      <c r="G24" s="16" t="n">
        <v>42496.69</v>
      </c>
    </row>
    <row r="25" customFormat="false" ht="15" hidden="false" customHeight="false" outlineLevel="0" collapsed="false">
      <c r="B25" s="8" t="s">
        <v>121</v>
      </c>
      <c r="C25" s="16" t="n">
        <v>35043.34</v>
      </c>
      <c r="G25" s="16" t="n">
        <v>35043.34</v>
      </c>
    </row>
    <row r="26" customFormat="false" ht="15" hidden="false" customHeight="false" outlineLevel="0" collapsed="false">
      <c r="B26" s="8" t="s">
        <v>122</v>
      </c>
      <c r="C26" s="16" t="n">
        <v>36942.14</v>
      </c>
      <c r="G26" s="16" t="n">
        <v>36942.14</v>
      </c>
    </row>
    <row r="27" customFormat="false" ht="15" hidden="false" customHeight="false" outlineLevel="0" collapsed="false">
      <c r="B27" s="8" t="s">
        <v>123</v>
      </c>
      <c r="C27" s="16" t="n">
        <v>1288.46</v>
      </c>
      <c r="G27" s="16" t="n">
        <v>1288.46</v>
      </c>
    </row>
    <row r="28" customFormat="false" ht="15" hidden="false" customHeight="false" outlineLevel="0" collapsed="false">
      <c r="B28" s="8" t="s">
        <v>124</v>
      </c>
      <c r="C28" s="16" t="n">
        <v>22726.22</v>
      </c>
      <c r="G28" s="16" t="n">
        <v>22726.22</v>
      </c>
    </row>
    <row r="29" customFormat="false" ht="15" hidden="false" customHeight="false" outlineLevel="0" collapsed="false">
      <c r="B29" s="8" t="s">
        <v>125</v>
      </c>
      <c r="C29" s="16" t="n">
        <v>21445.66</v>
      </c>
      <c r="G29" s="16" t="n">
        <v>21445.66</v>
      </c>
    </row>
    <row r="30" customFormat="false" ht="15" hidden="false" customHeight="false" outlineLevel="0" collapsed="false">
      <c r="B30" s="8" t="s">
        <v>126</v>
      </c>
      <c r="C30" s="16" t="n">
        <v>23322.18</v>
      </c>
      <c r="G30" s="16" t="n">
        <v>23322.18</v>
      </c>
    </row>
    <row r="31" customFormat="false" ht="15" hidden="false" customHeight="false" outlineLevel="0" collapsed="false">
      <c r="B31" s="8" t="s">
        <v>127</v>
      </c>
      <c r="C31" s="16" t="n">
        <v>18778.11</v>
      </c>
      <c r="G31" s="16" t="n">
        <v>18778.11</v>
      </c>
    </row>
    <row r="32" customFormat="false" ht="15" hidden="false" customHeight="false" outlineLevel="0" collapsed="false">
      <c r="B32" s="8" t="s">
        <v>128</v>
      </c>
      <c r="C32" s="16" t="n">
        <v>45770.64</v>
      </c>
      <c r="G32" s="16" t="n">
        <v>45770.64</v>
      </c>
    </row>
    <row r="33" customFormat="false" ht="15" hidden="false" customHeight="false" outlineLevel="0" collapsed="false">
      <c r="B33" s="8" t="s">
        <v>129</v>
      </c>
      <c r="C33" s="16" t="n">
        <v>19814.11</v>
      </c>
      <c r="G33" s="16" t="n">
        <v>19814.11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66220.75</v>
      </c>
      <c r="G35" s="16" t="n">
        <v>66220.75</v>
      </c>
    </row>
    <row r="36" customFormat="false" ht="15" hidden="false" customHeight="false" outlineLevel="0" collapsed="false">
      <c r="B36" s="8" t="s">
        <v>132</v>
      </c>
      <c r="C36" s="16" t="n">
        <v>14527.19</v>
      </c>
      <c r="G36" s="16" t="n">
        <v>14527.19</v>
      </c>
    </row>
    <row r="37" customFormat="false" ht="15" hidden="false" customHeight="false" outlineLevel="0" collapsed="false">
      <c r="B37" s="8" t="s">
        <v>133</v>
      </c>
      <c r="C37" s="16" t="n">
        <v>5049.22</v>
      </c>
      <c r="G37" s="16" t="n">
        <v>5049.22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511413.41</v>
      </c>
      <c r="D38" s="26" t="n">
        <f aca="false">SUM(D10:D37)</f>
        <v>104747.69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406665.72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92190.66</v>
      </c>
      <c r="D41" s="16" t="n">
        <v>18720.42</v>
      </c>
      <c r="G41" s="16" t="n">
        <v>73470.24</v>
      </c>
    </row>
    <row r="42" customFormat="false" ht="15" hidden="false" customHeight="false" outlineLevel="0" collapsed="false">
      <c r="B42" s="8" t="s">
        <v>134</v>
      </c>
      <c r="C42" s="16" t="n">
        <v>284089.88</v>
      </c>
      <c r="D42" s="16" t="n">
        <v>57687.85</v>
      </c>
      <c r="G42" s="16" t="n">
        <v>226402.03</v>
      </c>
    </row>
    <row r="43" customFormat="false" ht="15" hidden="false" customHeight="false" outlineLevel="0" collapsed="false">
      <c r="B43" s="8" t="s">
        <v>134</v>
      </c>
      <c r="C43" s="16" t="n">
        <v>1547.26</v>
      </c>
      <c r="D43" s="16" t="n">
        <v>314.19</v>
      </c>
      <c r="G43" s="16" t="n">
        <v>1233.07</v>
      </c>
    </row>
    <row r="44" customFormat="false" ht="15" hidden="false" customHeight="false" outlineLevel="0" collapsed="false">
      <c r="B44" s="8" t="s">
        <v>135</v>
      </c>
      <c r="C44" s="16" t="n">
        <v>22580.21</v>
      </c>
      <c r="D44" s="16" t="n">
        <v>4585.18</v>
      </c>
      <c r="G44" s="16" t="n">
        <v>17995.03</v>
      </c>
    </row>
    <row r="45" customFormat="false" ht="15" hidden="false" customHeight="false" outlineLevel="0" collapsed="false">
      <c r="B45" s="8" t="s">
        <v>135</v>
      </c>
      <c r="C45" s="16" t="n">
        <v>45421.43</v>
      </c>
      <c r="D45" s="16" t="n">
        <v>9223.36</v>
      </c>
      <c r="G45" s="16" t="n">
        <v>36198.07</v>
      </c>
    </row>
    <row r="46" customFormat="false" ht="15" hidden="false" customHeight="false" outlineLevel="0" collapsed="false">
      <c r="B46" s="8" t="s">
        <v>74</v>
      </c>
      <c r="C46" s="16" t="n">
        <v>70011.61</v>
      </c>
      <c r="D46" s="16" t="n">
        <v>14216.69</v>
      </c>
      <c r="G46" s="16" t="n">
        <v>55794.92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515841.05</v>
      </c>
      <c r="D47" s="26" t="n">
        <f aca="false">SUM(D41:D46)</f>
        <v>104747.69</v>
      </c>
      <c r="E47" s="24"/>
      <c r="F47" s="26" t="n">
        <f aca="false">SUM(F41:F46)</f>
        <v>0</v>
      </c>
      <c r="G47" s="26" t="n">
        <f aca="false">SUM(G41:G46)</f>
        <v>411093.36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159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160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14924.28</v>
      </c>
      <c r="D11" s="16" t="n">
        <v>14924.28</v>
      </c>
    </row>
    <row r="12" customFormat="false" ht="15" hidden="false" customHeight="false" outlineLevel="0" collapsed="false">
      <c r="B12" s="8" t="s">
        <v>108</v>
      </c>
      <c r="C12" s="16" t="n">
        <v>10497.34</v>
      </c>
      <c r="D12" s="16" t="n">
        <v>10497.34</v>
      </c>
    </row>
    <row r="13" customFormat="false" ht="15" hidden="false" customHeight="false" outlineLevel="0" collapsed="false">
      <c r="B13" s="8" t="s">
        <v>109</v>
      </c>
      <c r="C13" s="16" t="n">
        <v>42163.82</v>
      </c>
      <c r="D13" s="16" t="n">
        <v>42163.82</v>
      </c>
    </row>
    <row r="14" customFormat="false" ht="15" hidden="false" customHeight="false" outlineLevel="0" collapsed="false">
      <c r="B14" s="8" t="s">
        <v>110</v>
      </c>
      <c r="C14" s="16" t="n">
        <v>5291.37</v>
      </c>
      <c r="D14" s="16" t="n">
        <v>5291.37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3335.96</v>
      </c>
      <c r="D17" s="16" t="n">
        <v>3335.96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1722.5</v>
      </c>
      <c r="D19" s="16" t="n">
        <v>1722.5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23533.09</v>
      </c>
      <c r="G22" s="16" t="n">
        <v>23533.09</v>
      </c>
    </row>
    <row r="23" customFormat="false" ht="15" hidden="false" customHeight="false" outlineLevel="0" collapsed="false">
      <c r="B23" s="8" t="s">
        <v>119</v>
      </c>
      <c r="C23" s="16" t="n">
        <v>28643.92</v>
      </c>
      <c r="G23" s="16" t="n">
        <v>28643.92</v>
      </c>
    </row>
    <row r="24" customFormat="false" ht="15" hidden="false" customHeight="false" outlineLevel="0" collapsed="false">
      <c r="B24" s="8" t="s">
        <v>120</v>
      </c>
      <c r="C24" s="16" t="n">
        <v>42496.69</v>
      </c>
      <c r="G24" s="16" t="n">
        <v>42496.69</v>
      </c>
    </row>
    <row r="25" customFormat="false" ht="15" hidden="false" customHeight="false" outlineLevel="0" collapsed="false">
      <c r="B25" s="8" t="s">
        <v>121</v>
      </c>
      <c r="C25" s="16" t="n">
        <v>35043.34</v>
      </c>
      <c r="G25" s="16" t="n">
        <v>35043.34</v>
      </c>
    </row>
    <row r="26" customFormat="false" ht="15" hidden="false" customHeight="false" outlineLevel="0" collapsed="false">
      <c r="B26" s="8" t="s">
        <v>122</v>
      </c>
      <c r="C26" s="16" t="n">
        <v>36942.14</v>
      </c>
      <c r="G26" s="16" t="n">
        <v>36942.14</v>
      </c>
    </row>
    <row r="27" customFormat="false" ht="15" hidden="false" customHeight="false" outlineLevel="0" collapsed="false">
      <c r="B27" s="8" t="s">
        <v>123</v>
      </c>
      <c r="C27" s="16" t="n">
        <v>1288.46</v>
      </c>
      <c r="G27" s="16" t="n">
        <v>1288.46</v>
      </c>
    </row>
    <row r="28" customFormat="false" ht="15" hidden="false" customHeight="false" outlineLevel="0" collapsed="false">
      <c r="B28" s="8" t="s">
        <v>124</v>
      </c>
      <c r="C28" s="16" t="n">
        <v>22726.22</v>
      </c>
      <c r="G28" s="16" t="n">
        <v>22726.22</v>
      </c>
    </row>
    <row r="29" customFormat="false" ht="15" hidden="false" customHeight="false" outlineLevel="0" collapsed="false">
      <c r="B29" s="8" t="s">
        <v>125</v>
      </c>
      <c r="C29" s="16" t="n">
        <v>21445.66</v>
      </c>
      <c r="G29" s="16" t="n">
        <v>21445.66</v>
      </c>
    </row>
    <row r="30" customFormat="false" ht="15" hidden="false" customHeight="false" outlineLevel="0" collapsed="false">
      <c r="B30" s="8" t="s">
        <v>126</v>
      </c>
      <c r="C30" s="16" t="n">
        <v>23322.18</v>
      </c>
      <c r="G30" s="16" t="n">
        <v>23322.18</v>
      </c>
    </row>
    <row r="31" customFormat="false" ht="15" hidden="false" customHeight="false" outlineLevel="0" collapsed="false">
      <c r="B31" s="8" t="s">
        <v>127</v>
      </c>
      <c r="C31" s="16" t="n">
        <v>18778.11</v>
      </c>
      <c r="G31" s="16" t="n">
        <v>18778.11</v>
      </c>
    </row>
    <row r="32" customFormat="false" ht="15" hidden="false" customHeight="false" outlineLevel="0" collapsed="false">
      <c r="B32" s="8" t="s">
        <v>128</v>
      </c>
      <c r="C32" s="16" t="n">
        <v>45770.64</v>
      </c>
      <c r="G32" s="16" t="n">
        <v>45770.64</v>
      </c>
    </row>
    <row r="33" customFormat="false" ht="15" hidden="false" customHeight="false" outlineLevel="0" collapsed="false">
      <c r="B33" s="8" t="s">
        <v>129</v>
      </c>
      <c r="C33" s="16" t="n">
        <v>19814.11</v>
      </c>
      <c r="G33" s="16" t="n">
        <v>19814.11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66220.75</v>
      </c>
      <c r="G35" s="16" t="n">
        <v>66220.75</v>
      </c>
    </row>
    <row r="36" customFormat="false" ht="15" hidden="false" customHeight="false" outlineLevel="0" collapsed="false">
      <c r="B36" s="8" t="s">
        <v>132</v>
      </c>
      <c r="C36" s="16" t="n">
        <v>14527.19</v>
      </c>
      <c r="G36" s="16" t="n">
        <v>14527.19</v>
      </c>
    </row>
    <row r="37" customFormat="false" ht="15" hidden="false" customHeight="false" outlineLevel="0" collapsed="false">
      <c r="B37" s="8" t="s">
        <v>133</v>
      </c>
      <c r="C37" s="16" t="n">
        <v>5049.22</v>
      </c>
      <c r="G37" s="16" t="n">
        <v>5049.22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511413.41</v>
      </c>
      <c r="D38" s="26" t="n">
        <f aca="false">SUM(D10:D37)</f>
        <v>104747.69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406665.72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92190.66</v>
      </c>
      <c r="D41" s="16" t="n">
        <v>18720.42</v>
      </c>
      <c r="G41" s="16" t="n">
        <v>73470.24</v>
      </c>
    </row>
    <row r="42" customFormat="false" ht="15" hidden="false" customHeight="false" outlineLevel="0" collapsed="false">
      <c r="B42" s="8" t="s">
        <v>134</v>
      </c>
      <c r="C42" s="16" t="n">
        <v>284089.88</v>
      </c>
      <c r="D42" s="16" t="n">
        <v>57687.85</v>
      </c>
      <c r="G42" s="16" t="n">
        <v>226402.03</v>
      </c>
    </row>
    <row r="43" customFormat="false" ht="15" hidden="false" customHeight="false" outlineLevel="0" collapsed="false">
      <c r="B43" s="8" t="s">
        <v>134</v>
      </c>
      <c r="C43" s="16" t="n">
        <v>1547.26</v>
      </c>
      <c r="D43" s="16" t="n">
        <v>314.19</v>
      </c>
      <c r="G43" s="16" t="n">
        <v>1233.07</v>
      </c>
    </row>
    <row r="44" customFormat="false" ht="15" hidden="false" customHeight="false" outlineLevel="0" collapsed="false">
      <c r="B44" s="8" t="s">
        <v>135</v>
      </c>
      <c r="C44" s="16" t="n">
        <v>22580.21</v>
      </c>
      <c r="D44" s="16" t="n">
        <v>4585.18</v>
      </c>
      <c r="G44" s="16" t="n">
        <v>17995.03</v>
      </c>
    </row>
    <row r="45" customFormat="false" ht="15" hidden="false" customHeight="false" outlineLevel="0" collapsed="false">
      <c r="B45" s="8" t="s">
        <v>135</v>
      </c>
      <c r="C45" s="16" t="n">
        <v>45421.43</v>
      </c>
      <c r="D45" s="16" t="n">
        <v>9223.36</v>
      </c>
      <c r="G45" s="16" t="n">
        <v>36198.07</v>
      </c>
    </row>
    <row r="46" customFormat="false" ht="15" hidden="false" customHeight="false" outlineLevel="0" collapsed="false">
      <c r="B46" s="8" t="s">
        <v>74</v>
      </c>
      <c r="C46" s="16" t="n">
        <v>70011.61</v>
      </c>
      <c r="D46" s="16" t="n">
        <v>14216.69</v>
      </c>
      <c r="G46" s="16" t="n">
        <v>55794.92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515841.05</v>
      </c>
      <c r="D47" s="26" t="n">
        <f aca="false">SUM(D41:D46)</f>
        <v>104747.69</v>
      </c>
      <c r="E47" s="24"/>
      <c r="F47" s="26" t="n">
        <f aca="false">SUM(F41:F46)</f>
        <v>0</v>
      </c>
      <c r="G47" s="26" t="n">
        <f aca="false">SUM(G41:G46)</f>
        <v>411093.36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161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162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14219.24</v>
      </c>
      <c r="D11" s="16" t="n">
        <v>14219.24</v>
      </c>
    </row>
    <row r="12" customFormat="false" ht="15" hidden="false" customHeight="false" outlineLevel="0" collapsed="false">
      <c r="B12" s="8" t="s">
        <v>108</v>
      </c>
      <c r="C12" s="16" t="n">
        <v>9652.73</v>
      </c>
      <c r="D12" s="16" t="n">
        <v>9652.73</v>
      </c>
    </row>
    <row r="13" customFormat="false" ht="15" hidden="false" customHeight="false" outlineLevel="0" collapsed="false">
      <c r="B13" s="8" t="s">
        <v>109</v>
      </c>
      <c r="C13" s="16" t="n">
        <v>33731.06</v>
      </c>
      <c r="D13" s="16" t="n">
        <v>33731.06</v>
      </c>
    </row>
    <row r="14" customFormat="false" ht="15" hidden="false" customHeight="false" outlineLevel="0" collapsed="false">
      <c r="B14" s="8" t="s">
        <v>110</v>
      </c>
      <c r="C14" s="16" t="n">
        <v>3552.78</v>
      </c>
      <c r="D14" s="16" t="n">
        <v>3552.78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2668.77</v>
      </c>
      <c r="D17" s="16" t="n">
        <v>2668.77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886.65</v>
      </c>
      <c r="D19" s="16" t="n">
        <v>886.65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19629.66</v>
      </c>
      <c r="G22" s="16" t="n">
        <v>19629.66</v>
      </c>
    </row>
    <row r="23" customFormat="false" ht="15" hidden="false" customHeight="false" outlineLevel="0" collapsed="false">
      <c r="B23" s="8" t="s">
        <v>119</v>
      </c>
      <c r="C23" s="16" t="n">
        <v>23418.11</v>
      </c>
      <c r="G23" s="16" t="n">
        <v>23418.11</v>
      </c>
    </row>
    <row r="24" customFormat="false" ht="15" hidden="false" customHeight="false" outlineLevel="0" collapsed="false">
      <c r="B24" s="8" t="s">
        <v>120</v>
      </c>
      <c r="C24" s="16" t="n">
        <v>33997.34</v>
      </c>
      <c r="G24" s="16" t="n">
        <v>33997.34</v>
      </c>
    </row>
    <row r="25" customFormat="false" ht="15" hidden="false" customHeight="false" outlineLevel="0" collapsed="false">
      <c r="B25" s="8" t="s">
        <v>121</v>
      </c>
      <c r="C25" s="16" t="n">
        <v>26926.59</v>
      </c>
      <c r="G25" s="16" t="n">
        <v>26926.59</v>
      </c>
    </row>
    <row r="26" customFormat="false" ht="15" hidden="false" customHeight="false" outlineLevel="0" collapsed="false">
      <c r="B26" s="8" t="s">
        <v>122</v>
      </c>
      <c r="C26" s="16" t="n">
        <v>29553.7</v>
      </c>
      <c r="G26" s="16" t="n">
        <v>29553.7</v>
      </c>
    </row>
    <row r="27" customFormat="false" ht="15" hidden="false" customHeight="false" outlineLevel="0" collapsed="false">
      <c r="B27" s="8" t="s">
        <v>123</v>
      </c>
      <c r="C27" s="16" t="n">
        <v>1932.7</v>
      </c>
      <c r="G27" s="16" t="n">
        <v>1932.7</v>
      </c>
    </row>
    <row r="28" customFormat="false" ht="15" hidden="false" customHeight="false" outlineLevel="0" collapsed="false">
      <c r="B28" s="8" t="s">
        <v>124</v>
      </c>
      <c r="C28" s="16" t="n">
        <v>21649.45</v>
      </c>
      <c r="G28" s="16" t="n">
        <v>21649.45</v>
      </c>
    </row>
    <row r="29" customFormat="false" ht="15" hidden="false" customHeight="false" outlineLevel="0" collapsed="false">
      <c r="B29" s="8" t="s">
        <v>125</v>
      </c>
      <c r="C29" s="16" t="n">
        <v>18392.87</v>
      </c>
      <c r="G29" s="16" t="n">
        <v>18392.87</v>
      </c>
    </row>
    <row r="30" customFormat="false" ht="15" hidden="false" customHeight="false" outlineLevel="0" collapsed="false">
      <c r="B30" s="8" t="s">
        <v>126</v>
      </c>
      <c r="C30" s="16" t="n">
        <v>15659.18</v>
      </c>
      <c r="G30" s="16" t="n">
        <v>15659.18</v>
      </c>
    </row>
    <row r="31" customFormat="false" ht="15" hidden="false" customHeight="false" outlineLevel="0" collapsed="false">
      <c r="B31" s="8" t="s">
        <v>127</v>
      </c>
      <c r="C31" s="16" t="n">
        <v>15022.49</v>
      </c>
      <c r="G31" s="16" t="n">
        <v>15022.49</v>
      </c>
    </row>
    <row r="32" customFormat="false" ht="15" hidden="false" customHeight="false" outlineLevel="0" collapsed="false">
      <c r="B32" s="8" t="s">
        <v>128</v>
      </c>
      <c r="C32" s="16" t="n">
        <v>42580.32</v>
      </c>
      <c r="G32" s="16" t="n">
        <v>42580.32</v>
      </c>
    </row>
    <row r="33" customFormat="false" ht="15" hidden="false" customHeight="false" outlineLevel="0" collapsed="false">
      <c r="B33" s="8" t="s">
        <v>129</v>
      </c>
      <c r="C33" s="16" t="n">
        <v>17847.95</v>
      </c>
      <c r="G33" s="16" t="n">
        <v>17847.95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56386.47</v>
      </c>
      <c r="G35" s="16" t="n">
        <v>56386.47</v>
      </c>
    </row>
    <row r="36" customFormat="false" ht="15" hidden="false" customHeight="false" outlineLevel="0" collapsed="false">
      <c r="B36" s="8" t="s">
        <v>132</v>
      </c>
      <c r="C36" s="16" t="n">
        <v>12218.89</v>
      </c>
      <c r="G36" s="16" t="n">
        <v>12218.89</v>
      </c>
    </row>
    <row r="37" customFormat="false" ht="15" hidden="false" customHeight="false" outlineLevel="0" collapsed="false">
      <c r="B37" s="8" t="s">
        <v>133</v>
      </c>
      <c r="C37" s="16" t="n">
        <v>4195.26</v>
      </c>
      <c r="G37" s="16" t="n">
        <v>4195.26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431998.63</v>
      </c>
      <c r="D38" s="26" t="n">
        <f aca="false">SUM(D10:D37)</f>
        <v>91523.65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340474.98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78702.11</v>
      </c>
      <c r="D41" s="16" t="n">
        <v>16357.03</v>
      </c>
      <c r="G41" s="16" t="n">
        <v>62345.08</v>
      </c>
    </row>
    <row r="42" customFormat="false" ht="15" hidden="false" customHeight="false" outlineLevel="0" collapsed="false">
      <c r="B42" s="8" t="s">
        <v>134</v>
      </c>
      <c r="C42" s="16" t="n">
        <v>242524.3</v>
      </c>
      <c r="D42" s="16" t="n">
        <v>50404.95</v>
      </c>
      <c r="G42" s="16" t="n">
        <v>192119.35</v>
      </c>
    </row>
    <row r="43" customFormat="false" ht="15" hidden="false" customHeight="false" outlineLevel="0" collapsed="false">
      <c r="B43" s="8" t="s">
        <v>134</v>
      </c>
      <c r="C43" s="16" t="n">
        <v>1320.88</v>
      </c>
      <c r="D43" s="16" t="n">
        <v>274.52</v>
      </c>
      <c r="G43" s="16" t="n">
        <v>1046.36</v>
      </c>
    </row>
    <row r="44" customFormat="false" ht="15" hidden="false" customHeight="false" outlineLevel="0" collapsed="false">
      <c r="B44" s="8" t="s">
        <v>135</v>
      </c>
      <c r="C44" s="16" t="n">
        <v>19276.47</v>
      </c>
      <c r="D44" s="16" t="n">
        <v>4006.32</v>
      </c>
      <c r="G44" s="16" t="n">
        <v>15270.15</v>
      </c>
    </row>
    <row r="45" customFormat="false" ht="15" hidden="false" customHeight="false" outlineLevel="0" collapsed="false">
      <c r="B45" s="8" t="s">
        <v>135</v>
      </c>
      <c r="C45" s="16" t="n">
        <v>38775.76</v>
      </c>
      <c r="D45" s="16" t="n">
        <v>8058.95</v>
      </c>
      <c r="G45" s="16" t="n">
        <v>30716.81</v>
      </c>
    </row>
    <row r="46" customFormat="false" ht="15" hidden="false" customHeight="false" outlineLevel="0" collapsed="false">
      <c r="B46" s="8" t="s">
        <v>74</v>
      </c>
      <c r="C46" s="16" t="n">
        <v>59768.11</v>
      </c>
      <c r="D46" s="16" t="n">
        <v>12421.88</v>
      </c>
      <c r="G46" s="16" t="n">
        <v>47346.23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440367.63</v>
      </c>
      <c r="D47" s="26" t="n">
        <f aca="false">SUM(D41:D46)</f>
        <v>91523.65</v>
      </c>
      <c r="E47" s="24"/>
      <c r="F47" s="26" t="n">
        <f aca="false">SUM(F41:F46)</f>
        <v>0</v>
      </c>
      <c r="G47" s="26" t="n">
        <f aca="false">SUM(G41:G46)</f>
        <v>348843.98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163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164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14219.24</v>
      </c>
      <c r="D11" s="16" t="n">
        <v>14219.24</v>
      </c>
    </row>
    <row r="12" customFormat="false" ht="15" hidden="false" customHeight="false" outlineLevel="0" collapsed="false">
      <c r="B12" s="8" t="s">
        <v>108</v>
      </c>
      <c r="C12" s="16" t="n">
        <v>9652.73</v>
      </c>
      <c r="D12" s="16" t="n">
        <v>9652.73</v>
      </c>
    </row>
    <row r="13" customFormat="false" ht="15" hidden="false" customHeight="false" outlineLevel="0" collapsed="false">
      <c r="B13" s="8" t="s">
        <v>109</v>
      </c>
      <c r="C13" s="16" t="n">
        <v>33731.06</v>
      </c>
      <c r="D13" s="16" t="n">
        <v>33731.06</v>
      </c>
    </row>
    <row r="14" customFormat="false" ht="15" hidden="false" customHeight="false" outlineLevel="0" collapsed="false">
      <c r="B14" s="8" t="s">
        <v>110</v>
      </c>
      <c r="C14" s="16" t="n">
        <v>3552.78</v>
      </c>
      <c r="D14" s="16" t="n">
        <v>3552.78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2668.77</v>
      </c>
      <c r="D17" s="16" t="n">
        <v>2668.77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886.65</v>
      </c>
      <c r="D19" s="16" t="n">
        <v>886.65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19629.66</v>
      </c>
      <c r="G22" s="16" t="n">
        <v>19629.66</v>
      </c>
    </row>
    <row r="23" customFormat="false" ht="15" hidden="false" customHeight="false" outlineLevel="0" collapsed="false">
      <c r="B23" s="8" t="s">
        <v>119</v>
      </c>
      <c r="C23" s="16" t="n">
        <v>23418.11</v>
      </c>
      <c r="G23" s="16" t="n">
        <v>23418.11</v>
      </c>
    </row>
    <row r="24" customFormat="false" ht="15" hidden="false" customHeight="false" outlineLevel="0" collapsed="false">
      <c r="B24" s="8" t="s">
        <v>120</v>
      </c>
      <c r="C24" s="16" t="n">
        <v>33997.34</v>
      </c>
      <c r="G24" s="16" t="n">
        <v>33997.34</v>
      </c>
    </row>
    <row r="25" customFormat="false" ht="15" hidden="false" customHeight="false" outlineLevel="0" collapsed="false">
      <c r="B25" s="8" t="s">
        <v>121</v>
      </c>
      <c r="C25" s="16" t="n">
        <v>26926.59</v>
      </c>
      <c r="G25" s="16" t="n">
        <v>26926.59</v>
      </c>
    </row>
    <row r="26" customFormat="false" ht="15" hidden="false" customHeight="false" outlineLevel="0" collapsed="false">
      <c r="B26" s="8" t="s">
        <v>122</v>
      </c>
      <c r="C26" s="16" t="n">
        <v>29553.7</v>
      </c>
      <c r="G26" s="16" t="n">
        <v>29553.7</v>
      </c>
    </row>
    <row r="27" customFormat="false" ht="15" hidden="false" customHeight="false" outlineLevel="0" collapsed="false">
      <c r="B27" s="8" t="s">
        <v>123</v>
      </c>
      <c r="C27" s="16" t="n">
        <v>1932.7</v>
      </c>
      <c r="G27" s="16" t="n">
        <v>1932.7</v>
      </c>
    </row>
    <row r="28" customFormat="false" ht="15" hidden="false" customHeight="false" outlineLevel="0" collapsed="false">
      <c r="B28" s="8" t="s">
        <v>124</v>
      </c>
      <c r="C28" s="16" t="n">
        <v>21649.45</v>
      </c>
      <c r="G28" s="16" t="n">
        <v>21649.45</v>
      </c>
    </row>
    <row r="29" customFormat="false" ht="15" hidden="false" customHeight="false" outlineLevel="0" collapsed="false">
      <c r="B29" s="8" t="s">
        <v>125</v>
      </c>
      <c r="C29" s="16" t="n">
        <v>18392.87</v>
      </c>
      <c r="G29" s="16" t="n">
        <v>18392.87</v>
      </c>
    </row>
    <row r="30" customFormat="false" ht="15" hidden="false" customHeight="false" outlineLevel="0" collapsed="false">
      <c r="B30" s="8" t="s">
        <v>126</v>
      </c>
      <c r="C30" s="16" t="n">
        <v>15659.18</v>
      </c>
      <c r="G30" s="16" t="n">
        <v>15659.18</v>
      </c>
    </row>
    <row r="31" customFormat="false" ht="15" hidden="false" customHeight="false" outlineLevel="0" collapsed="false">
      <c r="B31" s="8" t="s">
        <v>127</v>
      </c>
      <c r="C31" s="16" t="n">
        <v>15022.49</v>
      </c>
      <c r="G31" s="16" t="n">
        <v>15022.49</v>
      </c>
    </row>
    <row r="32" customFormat="false" ht="15" hidden="false" customHeight="false" outlineLevel="0" collapsed="false">
      <c r="B32" s="8" t="s">
        <v>128</v>
      </c>
      <c r="C32" s="16" t="n">
        <v>42580.32</v>
      </c>
      <c r="G32" s="16" t="n">
        <v>42580.32</v>
      </c>
    </row>
    <row r="33" customFormat="false" ht="15" hidden="false" customHeight="false" outlineLevel="0" collapsed="false">
      <c r="B33" s="8" t="s">
        <v>129</v>
      </c>
      <c r="C33" s="16" t="n">
        <v>17847.95</v>
      </c>
      <c r="G33" s="16" t="n">
        <v>17847.95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56386.47</v>
      </c>
      <c r="G35" s="16" t="n">
        <v>56386.47</v>
      </c>
    </row>
    <row r="36" customFormat="false" ht="15" hidden="false" customHeight="false" outlineLevel="0" collapsed="false">
      <c r="B36" s="8" t="s">
        <v>132</v>
      </c>
      <c r="C36" s="16" t="n">
        <v>12218.89</v>
      </c>
      <c r="G36" s="16" t="n">
        <v>12218.89</v>
      </c>
    </row>
    <row r="37" customFormat="false" ht="15" hidden="false" customHeight="false" outlineLevel="0" collapsed="false">
      <c r="B37" s="8" t="s">
        <v>133</v>
      </c>
      <c r="C37" s="16" t="n">
        <v>4195.26</v>
      </c>
      <c r="G37" s="16" t="n">
        <v>4195.26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431998.63</v>
      </c>
      <c r="D38" s="26" t="n">
        <f aca="false">SUM(D10:D37)</f>
        <v>91523.65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340474.98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78702.11</v>
      </c>
      <c r="D41" s="16" t="n">
        <v>16357.03</v>
      </c>
      <c r="G41" s="16" t="n">
        <v>62345.08</v>
      </c>
    </row>
    <row r="42" customFormat="false" ht="15" hidden="false" customHeight="false" outlineLevel="0" collapsed="false">
      <c r="B42" s="8" t="s">
        <v>134</v>
      </c>
      <c r="C42" s="16" t="n">
        <v>242524.3</v>
      </c>
      <c r="D42" s="16" t="n">
        <v>50404.95</v>
      </c>
      <c r="G42" s="16" t="n">
        <v>192119.35</v>
      </c>
    </row>
    <row r="43" customFormat="false" ht="15" hidden="false" customHeight="false" outlineLevel="0" collapsed="false">
      <c r="B43" s="8" t="s">
        <v>134</v>
      </c>
      <c r="C43" s="16" t="n">
        <v>1320.88</v>
      </c>
      <c r="D43" s="16" t="n">
        <v>274.52</v>
      </c>
      <c r="G43" s="16" t="n">
        <v>1046.36</v>
      </c>
    </row>
    <row r="44" customFormat="false" ht="15" hidden="false" customHeight="false" outlineLevel="0" collapsed="false">
      <c r="B44" s="8" t="s">
        <v>135</v>
      </c>
      <c r="C44" s="16" t="n">
        <v>19276.47</v>
      </c>
      <c r="D44" s="16" t="n">
        <v>4006.32</v>
      </c>
      <c r="G44" s="16" t="n">
        <v>15270.15</v>
      </c>
    </row>
    <row r="45" customFormat="false" ht="15" hidden="false" customHeight="false" outlineLevel="0" collapsed="false">
      <c r="B45" s="8" t="s">
        <v>135</v>
      </c>
      <c r="C45" s="16" t="n">
        <v>38775.76</v>
      </c>
      <c r="D45" s="16" t="n">
        <v>8058.95</v>
      </c>
      <c r="G45" s="16" t="n">
        <v>30716.81</v>
      </c>
    </row>
    <row r="46" customFormat="false" ht="15" hidden="false" customHeight="false" outlineLevel="0" collapsed="false">
      <c r="B46" s="8" t="s">
        <v>74</v>
      </c>
      <c r="C46" s="16" t="n">
        <v>59768.11</v>
      </c>
      <c r="D46" s="16" t="n">
        <v>12421.88</v>
      </c>
      <c r="G46" s="16" t="n">
        <v>47346.23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440367.63</v>
      </c>
      <c r="D47" s="26" t="n">
        <f aca="false">SUM(D41:D46)</f>
        <v>91523.65</v>
      </c>
      <c r="E47" s="24"/>
      <c r="F47" s="26" t="n">
        <f aca="false">SUM(F41:F46)</f>
        <v>0</v>
      </c>
      <c r="G47" s="26" t="n">
        <f aca="false">SUM(G41:G46)</f>
        <v>348843.98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165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166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14219.24</v>
      </c>
      <c r="D11" s="16" t="n">
        <v>14219.24</v>
      </c>
    </row>
    <row r="12" customFormat="false" ht="15" hidden="false" customHeight="false" outlineLevel="0" collapsed="false">
      <c r="B12" s="8" t="s">
        <v>108</v>
      </c>
      <c r="C12" s="16" t="n">
        <v>9652.73</v>
      </c>
      <c r="D12" s="16" t="n">
        <v>9652.73</v>
      </c>
    </row>
    <row r="13" customFormat="false" ht="15" hidden="false" customHeight="false" outlineLevel="0" collapsed="false">
      <c r="B13" s="8" t="s">
        <v>109</v>
      </c>
      <c r="C13" s="16" t="n">
        <v>33731.06</v>
      </c>
      <c r="D13" s="16" t="n">
        <v>33731.06</v>
      </c>
    </row>
    <row r="14" customFormat="false" ht="15" hidden="false" customHeight="false" outlineLevel="0" collapsed="false">
      <c r="B14" s="8" t="s">
        <v>110</v>
      </c>
      <c r="C14" s="16" t="n">
        <v>3552.78</v>
      </c>
      <c r="D14" s="16" t="n">
        <v>3552.78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2668.77</v>
      </c>
      <c r="D17" s="16" t="n">
        <v>2668.77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886.65</v>
      </c>
      <c r="D19" s="16" t="n">
        <v>886.65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19629.66</v>
      </c>
      <c r="G22" s="16" t="n">
        <v>19629.66</v>
      </c>
    </row>
    <row r="23" customFormat="false" ht="15" hidden="false" customHeight="false" outlineLevel="0" collapsed="false">
      <c r="B23" s="8" t="s">
        <v>119</v>
      </c>
      <c r="C23" s="16" t="n">
        <v>23418.11</v>
      </c>
      <c r="G23" s="16" t="n">
        <v>23418.11</v>
      </c>
    </row>
    <row r="24" customFormat="false" ht="15" hidden="false" customHeight="false" outlineLevel="0" collapsed="false">
      <c r="B24" s="8" t="s">
        <v>120</v>
      </c>
      <c r="C24" s="16" t="n">
        <v>33997.34</v>
      </c>
      <c r="G24" s="16" t="n">
        <v>33997.34</v>
      </c>
    </row>
    <row r="25" customFormat="false" ht="15" hidden="false" customHeight="false" outlineLevel="0" collapsed="false">
      <c r="B25" s="8" t="s">
        <v>121</v>
      </c>
      <c r="C25" s="16" t="n">
        <v>26926.59</v>
      </c>
      <c r="G25" s="16" t="n">
        <v>26926.59</v>
      </c>
    </row>
    <row r="26" customFormat="false" ht="15" hidden="false" customHeight="false" outlineLevel="0" collapsed="false">
      <c r="B26" s="8" t="s">
        <v>122</v>
      </c>
      <c r="C26" s="16" t="n">
        <v>29553.7</v>
      </c>
      <c r="G26" s="16" t="n">
        <v>29553.7</v>
      </c>
    </row>
    <row r="27" customFormat="false" ht="15" hidden="false" customHeight="false" outlineLevel="0" collapsed="false">
      <c r="B27" s="8" t="s">
        <v>123</v>
      </c>
      <c r="C27" s="16" t="n">
        <v>1932.7</v>
      </c>
      <c r="G27" s="16" t="n">
        <v>1932.7</v>
      </c>
    </row>
    <row r="28" customFormat="false" ht="15" hidden="false" customHeight="false" outlineLevel="0" collapsed="false">
      <c r="B28" s="8" t="s">
        <v>124</v>
      </c>
      <c r="C28" s="16" t="n">
        <v>21649.45</v>
      </c>
      <c r="G28" s="16" t="n">
        <v>21649.45</v>
      </c>
    </row>
    <row r="29" customFormat="false" ht="15" hidden="false" customHeight="false" outlineLevel="0" collapsed="false">
      <c r="B29" s="8" t="s">
        <v>125</v>
      </c>
      <c r="C29" s="16" t="n">
        <v>18392.87</v>
      </c>
      <c r="G29" s="16" t="n">
        <v>18392.87</v>
      </c>
    </row>
    <row r="30" customFormat="false" ht="15" hidden="false" customHeight="false" outlineLevel="0" collapsed="false">
      <c r="B30" s="8" t="s">
        <v>126</v>
      </c>
      <c r="C30" s="16" t="n">
        <v>15659.18</v>
      </c>
      <c r="G30" s="16" t="n">
        <v>15659.18</v>
      </c>
    </row>
    <row r="31" customFormat="false" ht="15" hidden="false" customHeight="false" outlineLevel="0" collapsed="false">
      <c r="B31" s="8" t="s">
        <v>127</v>
      </c>
      <c r="C31" s="16" t="n">
        <v>15022.49</v>
      </c>
      <c r="G31" s="16" t="n">
        <v>15022.49</v>
      </c>
    </row>
    <row r="32" customFormat="false" ht="15" hidden="false" customHeight="false" outlineLevel="0" collapsed="false">
      <c r="B32" s="8" t="s">
        <v>128</v>
      </c>
      <c r="C32" s="16" t="n">
        <v>42580.32</v>
      </c>
      <c r="G32" s="16" t="n">
        <v>42580.32</v>
      </c>
    </row>
    <row r="33" customFormat="false" ht="15" hidden="false" customHeight="false" outlineLevel="0" collapsed="false">
      <c r="B33" s="8" t="s">
        <v>129</v>
      </c>
      <c r="C33" s="16" t="n">
        <v>17847.95</v>
      </c>
      <c r="G33" s="16" t="n">
        <v>17847.95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56386.47</v>
      </c>
      <c r="G35" s="16" t="n">
        <v>56386.47</v>
      </c>
    </row>
    <row r="36" customFormat="false" ht="15" hidden="false" customHeight="false" outlineLevel="0" collapsed="false">
      <c r="B36" s="8" t="s">
        <v>132</v>
      </c>
      <c r="C36" s="16" t="n">
        <v>12218.89</v>
      </c>
      <c r="G36" s="16" t="n">
        <v>12218.89</v>
      </c>
    </row>
    <row r="37" customFormat="false" ht="15" hidden="false" customHeight="false" outlineLevel="0" collapsed="false">
      <c r="B37" s="8" t="s">
        <v>133</v>
      </c>
      <c r="C37" s="16" t="n">
        <v>4195.26</v>
      </c>
      <c r="G37" s="16" t="n">
        <v>4195.26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431998.63</v>
      </c>
      <c r="D38" s="26" t="n">
        <f aca="false">SUM(D10:D37)</f>
        <v>91523.65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340474.98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78702.11</v>
      </c>
      <c r="D41" s="16" t="n">
        <v>16357.03</v>
      </c>
      <c r="G41" s="16" t="n">
        <v>62345.08</v>
      </c>
    </row>
    <row r="42" customFormat="false" ht="15" hidden="false" customHeight="false" outlineLevel="0" collapsed="false">
      <c r="B42" s="8" t="s">
        <v>134</v>
      </c>
      <c r="C42" s="16" t="n">
        <v>242524.3</v>
      </c>
      <c r="D42" s="16" t="n">
        <v>50404.95</v>
      </c>
      <c r="G42" s="16" t="n">
        <v>192119.35</v>
      </c>
    </row>
    <row r="43" customFormat="false" ht="15" hidden="false" customHeight="false" outlineLevel="0" collapsed="false">
      <c r="B43" s="8" t="s">
        <v>134</v>
      </c>
      <c r="C43" s="16" t="n">
        <v>1320.88</v>
      </c>
      <c r="D43" s="16" t="n">
        <v>274.52</v>
      </c>
      <c r="G43" s="16" t="n">
        <v>1046.36</v>
      </c>
    </row>
    <row r="44" customFormat="false" ht="15" hidden="false" customHeight="false" outlineLevel="0" collapsed="false">
      <c r="B44" s="8" t="s">
        <v>135</v>
      </c>
      <c r="C44" s="16" t="n">
        <v>19276.47</v>
      </c>
      <c r="D44" s="16" t="n">
        <v>4006.32</v>
      </c>
      <c r="G44" s="16" t="n">
        <v>15270.15</v>
      </c>
    </row>
    <row r="45" customFormat="false" ht="15" hidden="false" customHeight="false" outlineLevel="0" collapsed="false">
      <c r="B45" s="8" t="s">
        <v>135</v>
      </c>
      <c r="C45" s="16" t="n">
        <v>38775.76</v>
      </c>
      <c r="D45" s="16" t="n">
        <v>8058.95</v>
      </c>
      <c r="G45" s="16" t="n">
        <v>30716.81</v>
      </c>
    </row>
    <row r="46" customFormat="false" ht="15" hidden="false" customHeight="false" outlineLevel="0" collapsed="false">
      <c r="B46" s="8" t="s">
        <v>74</v>
      </c>
      <c r="C46" s="16" t="n">
        <v>59768.11</v>
      </c>
      <c r="D46" s="16" t="n">
        <v>12421.88</v>
      </c>
      <c r="G46" s="16" t="n">
        <v>47346.23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440367.63</v>
      </c>
      <c r="D47" s="26" t="n">
        <f aca="false">SUM(D41:D46)</f>
        <v>91523.65</v>
      </c>
      <c r="E47" s="24"/>
      <c r="F47" s="26" t="n">
        <f aca="false">SUM(F41:F46)</f>
        <v>0</v>
      </c>
      <c r="G47" s="26" t="n">
        <f aca="false">SUM(G41:G46)</f>
        <v>348843.98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167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168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107</v>
      </c>
      <c r="C11" s="16" t="n">
        <v>14219.24</v>
      </c>
      <c r="D11" s="16" t="n">
        <v>14219.24</v>
      </c>
    </row>
    <row r="12" customFormat="false" ht="15" hidden="false" customHeight="false" outlineLevel="0" collapsed="false">
      <c r="B12" s="8" t="s">
        <v>108</v>
      </c>
      <c r="C12" s="16" t="n">
        <v>9652.73</v>
      </c>
      <c r="D12" s="16" t="n">
        <v>9652.73</v>
      </c>
    </row>
    <row r="13" customFormat="false" ht="15" hidden="false" customHeight="false" outlineLevel="0" collapsed="false">
      <c r="B13" s="8" t="s">
        <v>109</v>
      </c>
      <c r="C13" s="16" t="n">
        <v>33731.06</v>
      </c>
      <c r="D13" s="16" t="n">
        <v>33731.06</v>
      </c>
    </row>
    <row r="14" customFormat="false" ht="15" hidden="false" customHeight="false" outlineLevel="0" collapsed="false">
      <c r="B14" s="8" t="s">
        <v>110</v>
      </c>
      <c r="C14" s="16" t="n">
        <v>3552.78</v>
      </c>
      <c r="D14" s="16" t="n">
        <v>3552.78</v>
      </c>
    </row>
    <row r="15" customFormat="false" ht="15" hidden="false" customHeight="false" outlineLevel="0" collapsed="false">
      <c r="B15" s="8" t="s">
        <v>111</v>
      </c>
      <c r="C15" s="16" t="n">
        <v>297.35</v>
      </c>
      <c r="D15" s="16" t="n">
        <v>297.35</v>
      </c>
    </row>
    <row r="16" customFormat="false" ht="15" hidden="false" customHeight="false" outlineLevel="0" collapsed="false">
      <c r="B16" s="8" t="s">
        <v>112</v>
      </c>
      <c r="C16" s="16" t="n">
        <v>5540.41</v>
      </c>
      <c r="D16" s="16" t="n">
        <v>5540.41</v>
      </c>
    </row>
    <row r="17" customFormat="false" ht="15" hidden="false" customHeight="false" outlineLevel="0" collapsed="false">
      <c r="B17" s="8" t="s">
        <v>113</v>
      </c>
      <c r="C17" s="16" t="n">
        <v>2668.77</v>
      </c>
      <c r="D17" s="16" t="n">
        <v>2668.77</v>
      </c>
    </row>
    <row r="18" customFormat="false" ht="15" hidden="false" customHeight="false" outlineLevel="0" collapsed="false">
      <c r="B18" s="8" t="s">
        <v>114</v>
      </c>
      <c r="C18" s="16" t="n">
        <v>11469.05</v>
      </c>
      <c r="D18" s="16" t="n">
        <v>11469.05</v>
      </c>
    </row>
    <row r="19" customFormat="false" ht="15" hidden="false" customHeight="false" outlineLevel="0" collapsed="false">
      <c r="B19" s="8" t="s">
        <v>115</v>
      </c>
      <c r="C19" s="16" t="n">
        <v>886.65</v>
      </c>
      <c r="D19" s="16" t="n">
        <v>886.65</v>
      </c>
    </row>
    <row r="20" customFormat="false" ht="15" hidden="false" customHeight="false" outlineLevel="0" collapsed="false">
      <c r="B20" s="8" t="s">
        <v>116</v>
      </c>
      <c r="C20" s="16" t="n">
        <v>9505.61</v>
      </c>
      <c r="D20" s="16" t="n">
        <v>9505.61</v>
      </c>
    </row>
    <row r="21" customFormat="false" ht="15" hidden="false" customHeight="false" outlineLevel="0" collapsed="false">
      <c r="A21" s="5"/>
      <c r="B21" s="6" t="s">
        <v>117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118</v>
      </c>
      <c r="C22" s="16" t="n">
        <v>19629.66</v>
      </c>
      <c r="G22" s="16" t="n">
        <v>19629.66</v>
      </c>
    </row>
    <row r="23" customFormat="false" ht="15" hidden="false" customHeight="false" outlineLevel="0" collapsed="false">
      <c r="B23" s="8" t="s">
        <v>119</v>
      </c>
      <c r="C23" s="16" t="n">
        <v>23418.11</v>
      </c>
      <c r="G23" s="16" t="n">
        <v>23418.11</v>
      </c>
    </row>
    <row r="24" customFormat="false" ht="15" hidden="false" customHeight="false" outlineLevel="0" collapsed="false">
      <c r="B24" s="8" t="s">
        <v>120</v>
      </c>
      <c r="C24" s="16" t="n">
        <v>33997.34</v>
      </c>
      <c r="G24" s="16" t="n">
        <v>33997.34</v>
      </c>
    </row>
    <row r="25" customFormat="false" ht="15" hidden="false" customHeight="false" outlineLevel="0" collapsed="false">
      <c r="B25" s="8" t="s">
        <v>121</v>
      </c>
      <c r="C25" s="16" t="n">
        <v>26926.59</v>
      </c>
      <c r="G25" s="16" t="n">
        <v>26926.59</v>
      </c>
    </row>
    <row r="26" customFormat="false" ht="15" hidden="false" customHeight="false" outlineLevel="0" collapsed="false">
      <c r="B26" s="8" t="s">
        <v>122</v>
      </c>
      <c r="C26" s="16" t="n">
        <v>29553.7</v>
      </c>
      <c r="G26" s="16" t="n">
        <v>29553.7</v>
      </c>
    </row>
    <row r="27" customFormat="false" ht="15" hidden="false" customHeight="false" outlineLevel="0" collapsed="false">
      <c r="B27" s="8" t="s">
        <v>123</v>
      </c>
      <c r="C27" s="16" t="n">
        <v>1932.7</v>
      </c>
      <c r="G27" s="16" t="n">
        <v>1932.7</v>
      </c>
    </row>
    <row r="28" customFormat="false" ht="15" hidden="false" customHeight="false" outlineLevel="0" collapsed="false">
      <c r="B28" s="8" t="s">
        <v>124</v>
      </c>
      <c r="C28" s="16" t="n">
        <v>21649.45</v>
      </c>
      <c r="G28" s="16" t="n">
        <v>21649.45</v>
      </c>
    </row>
    <row r="29" customFormat="false" ht="15" hidden="false" customHeight="false" outlineLevel="0" collapsed="false">
      <c r="B29" s="8" t="s">
        <v>125</v>
      </c>
      <c r="C29" s="16" t="n">
        <v>18392.87</v>
      </c>
      <c r="G29" s="16" t="n">
        <v>18392.87</v>
      </c>
    </row>
    <row r="30" customFormat="false" ht="15" hidden="false" customHeight="false" outlineLevel="0" collapsed="false">
      <c r="B30" s="8" t="s">
        <v>126</v>
      </c>
      <c r="C30" s="16" t="n">
        <v>15659.18</v>
      </c>
      <c r="G30" s="16" t="n">
        <v>15659.18</v>
      </c>
    </row>
    <row r="31" customFormat="false" ht="15" hidden="false" customHeight="false" outlineLevel="0" collapsed="false">
      <c r="B31" s="8" t="s">
        <v>127</v>
      </c>
      <c r="C31" s="16" t="n">
        <v>15022.49</v>
      </c>
      <c r="G31" s="16" t="n">
        <v>15022.49</v>
      </c>
    </row>
    <row r="32" customFormat="false" ht="15" hidden="false" customHeight="false" outlineLevel="0" collapsed="false">
      <c r="B32" s="8" t="s">
        <v>128</v>
      </c>
      <c r="C32" s="16" t="n">
        <v>42580.32</v>
      </c>
      <c r="G32" s="16" t="n">
        <v>42580.32</v>
      </c>
    </row>
    <row r="33" customFormat="false" ht="15" hidden="false" customHeight="false" outlineLevel="0" collapsed="false">
      <c r="B33" s="8" t="s">
        <v>129</v>
      </c>
      <c r="C33" s="16" t="n">
        <v>17847.95</v>
      </c>
      <c r="G33" s="16" t="n">
        <v>17847.95</v>
      </c>
    </row>
    <row r="34" customFormat="false" ht="15" hidden="false" customHeight="false" outlineLevel="0" collapsed="false">
      <c r="B34" s="8" t="s">
        <v>130</v>
      </c>
      <c r="C34" s="16" t="n">
        <v>1064</v>
      </c>
      <c r="G34" s="16" t="n">
        <v>1064</v>
      </c>
    </row>
    <row r="35" customFormat="false" ht="15" hidden="false" customHeight="false" outlineLevel="0" collapsed="false">
      <c r="B35" s="8" t="s">
        <v>131</v>
      </c>
      <c r="C35" s="16" t="n">
        <v>56386.47</v>
      </c>
      <c r="G35" s="16" t="n">
        <v>56386.47</v>
      </c>
    </row>
    <row r="36" customFormat="false" ht="15" hidden="false" customHeight="false" outlineLevel="0" collapsed="false">
      <c r="B36" s="8" t="s">
        <v>132</v>
      </c>
      <c r="C36" s="16" t="n">
        <v>12218.89</v>
      </c>
      <c r="G36" s="16" t="n">
        <v>12218.89</v>
      </c>
    </row>
    <row r="37" customFormat="false" ht="15" hidden="false" customHeight="false" outlineLevel="0" collapsed="false">
      <c r="B37" s="8" t="s">
        <v>133</v>
      </c>
      <c r="C37" s="16" t="n">
        <v>4195.26</v>
      </c>
      <c r="G37" s="16" t="n">
        <v>4195.26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431998.63</v>
      </c>
      <c r="D38" s="26" t="n">
        <f aca="false">SUM(D10:D37)</f>
        <v>91523.65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340474.98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78702.11</v>
      </c>
      <c r="D41" s="16" t="n">
        <v>16357.03</v>
      </c>
      <c r="G41" s="16" t="n">
        <v>62345.08</v>
      </c>
    </row>
    <row r="42" customFormat="false" ht="15" hidden="false" customHeight="false" outlineLevel="0" collapsed="false">
      <c r="B42" s="8" t="s">
        <v>134</v>
      </c>
      <c r="C42" s="16" t="n">
        <v>242524.3</v>
      </c>
      <c r="D42" s="16" t="n">
        <v>50404.95</v>
      </c>
      <c r="G42" s="16" t="n">
        <v>192119.35</v>
      </c>
    </row>
    <row r="43" customFormat="false" ht="15" hidden="false" customHeight="false" outlineLevel="0" collapsed="false">
      <c r="B43" s="8" t="s">
        <v>134</v>
      </c>
      <c r="C43" s="16" t="n">
        <v>1320.88</v>
      </c>
      <c r="D43" s="16" t="n">
        <v>274.52</v>
      </c>
      <c r="G43" s="16" t="n">
        <v>1046.36</v>
      </c>
    </row>
    <row r="44" customFormat="false" ht="15" hidden="false" customHeight="false" outlineLevel="0" collapsed="false">
      <c r="B44" s="8" t="s">
        <v>135</v>
      </c>
      <c r="C44" s="16" t="n">
        <v>19276.47</v>
      </c>
      <c r="D44" s="16" t="n">
        <v>4006.32</v>
      </c>
      <c r="G44" s="16" t="n">
        <v>15270.15</v>
      </c>
    </row>
    <row r="45" customFormat="false" ht="15" hidden="false" customHeight="false" outlineLevel="0" collapsed="false">
      <c r="B45" s="8" t="s">
        <v>135</v>
      </c>
      <c r="C45" s="16" t="n">
        <v>38775.76</v>
      </c>
      <c r="D45" s="16" t="n">
        <v>8058.95</v>
      </c>
      <c r="G45" s="16" t="n">
        <v>30716.81</v>
      </c>
    </row>
    <row r="46" customFormat="false" ht="15" hidden="false" customHeight="false" outlineLevel="0" collapsed="false">
      <c r="B46" s="8" t="s">
        <v>74</v>
      </c>
      <c r="C46" s="16" t="n">
        <v>59768.11</v>
      </c>
      <c r="D46" s="16" t="n">
        <v>12421.88</v>
      </c>
      <c r="G46" s="16" t="n">
        <v>47346.23</v>
      </c>
    </row>
    <row r="47" customFormat="false" ht="15" hidden="false" customHeight="false" outlineLevel="0" collapsed="false">
      <c r="A47" s="24"/>
      <c r="B47" s="25" t="s">
        <v>75</v>
      </c>
      <c r="C47" s="26" t="n">
        <f aca="false">SUM(C41:C46)</f>
        <v>440367.63</v>
      </c>
      <c r="D47" s="26" t="n">
        <f aca="false">SUM(D41:D46)</f>
        <v>91523.65</v>
      </c>
      <c r="E47" s="24"/>
      <c r="F47" s="26" t="n">
        <f aca="false">SUM(F41:F46)</f>
        <v>0</v>
      </c>
      <c r="G47" s="26" t="n">
        <f aca="false">SUM(G41:G46)</f>
        <v>348843.98</v>
      </c>
      <c r="H47" s="24"/>
    </row>
    <row r="49" customFormat="false" ht="15" hidden="false" customHeight="false" outlineLevel="0" collapsed="false">
      <c r="A49" s="27" t="s">
        <v>76</v>
      </c>
      <c r="B49" s="27"/>
      <c r="C49" s="27"/>
      <c r="D49" s="27"/>
      <c r="E49" s="27"/>
      <c r="F49" s="27"/>
      <c r="G49" s="27"/>
      <c r="H49" s="27"/>
      <c r="I49" s="27"/>
      <c r="J49" s="27"/>
    </row>
    <row r="50" customFormat="false" ht="15" hidden="false" customHeight="false" outlineLevel="0" collapsed="false">
      <c r="A50" s="28" t="s">
        <v>42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false" outlineLevel="0" collapsed="false">
      <c r="A51" s="29"/>
      <c r="B51" s="29" t="s">
        <v>77</v>
      </c>
      <c r="C51" s="30" t="s">
        <v>78</v>
      </c>
      <c r="D51" s="30" t="s">
        <v>79</v>
      </c>
      <c r="E51" s="30" t="s">
        <v>80</v>
      </c>
      <c r="F51" s="30" t="s">
        <v>81</v>
      </c>
      <c r="G51" s="30" t="s">
        <v>82</v>
      </c>
      <c r="H51" s="30" t="s">
        <v>83</v>
      </c>
      <c r="I51" s="30" t="s">
        <v>84</v>
      </c>
      <c r="J51" s="30" t="s">
        <v>85</v>
      </c>
    </row>
    <row r="52" customFormat="false" ht="15" hidden="false" customHeight="false" outlineLevel="0" collapsed="false">
      <c r="B52" s="31" t="s">
        <v>136</v>
      </c>
      <c r="C52" s="32" t="n">
        <v>92190.66</v>
      </c>
      <c r="D52" s="32" t="n">
        <v>0</v>
      </c>
      <c r="E52" s="32" t="n">
        <v>31517.48</v>
      </c>
      <c r="F52" s="32" t="n">
        <v>3352.09</v>
      </c>
      <c r="G52" s="32" t="n">
        <v>34869.57</v>
      </c>
      <c r="H52" s="32" t="n">
        <v>57321.09</v>
      </c>
      <c r="I52" s="33" t="s">
        <v>87</v>
      </c>
      <c r="J52" s="34" t="n">
        <v>27.5</v>
      </c>
    </row>
    <row r="53" customFormat="false" ht="15" hidden="false" customHeight="false" outlineLevel="0" collapsed="false">
      <c r="B53" s="35" t="s">
        <v>137</v>
      </c>
      <c r="C53" s="36" t="n">
        <v>284089.88</v>
      </c>
      <c r="D53" s="36" t="n">
        <v>0</v>
      </c>
      <c r="E53" s="36" t="n">
        <v>16786.89</v>
      </c>
      <c r="F53" s="36" t="n">
        <v>10329.51</v>
      </c>
      <c r="G53" s="36" t="n">
        <v>27116.4</v>
      </c>
      <c r="H53" s="36" t="n">
        <v>256973.48</v>
      </c>
      <c r="I53" s="37" t="s">
        <v>87</v>
      </c>
      <c r="J53" s="38" t="n">
        <v>27.5</v>
      </c>
    </row>
    <row r="54" customFormat="false" ht="15" hidden="false" customHeight="false" outlineLevel="0" collapsed="false">
      <c r="B54" s="31" t="s">
        <v>137</v>
      </c>
      <c r="C54" s="32" t="n">
        <v>1547.26</v>
      </c>
      <c r="D54" s="32" t="n">
        <v>0</v>
      </c>
      <c r="E54" s="32" t="n">
        <v>25.76</v>
      </c>
      <c r="F54" s="32" t="n">
        <v>56.29</v>
      </c>
      <c r="G54" s="32" t="n">
        <v>82.05</v>
      </c>
      <c r="H54" s="32" t="n">
        <v>1465.21</v>
      </c>
      <c r="I54" s="33" t="s">
        <v>87</v>
      </c>
      <c r="J54" s="34" t="n">
        <v>27.5</v>
      </c>
    </row>
    <row r="55" customFormat="false" ht="15" hidden="false" customHeight="false" outlineLevel="0" collapsed="false">
      <c r="B55" s="35" t="s">
        <v>138</v>
      </c>
      <c r="C55" s="36" t="n">
        <v>22580.21</v>
      </c>
      <c r="D55" s="36" t="n">
        <v>14699.63</v>
      </c>
      <c r="E55" s="36" t="n">
        <v>14699.63</v>
      </c>
      <c r="F55" s="36" t="n">
        <v>1334.49</v>
      </c>
      <c r="G55" s="36" t="n">
        <v>16034.12</v>
      </c>
      <c r="H55" s="36" t="n">
        <v>6546.09</v>
      </c>
      <c r="I55" s="37" t="s">
        <v>90</v>
      </c>
      <c r="J55" s="38" t="n">
        <v>15</v>
      </c>
    </row>
    <row r="56" customFormat="false" ht="15" hidden="false" customHeight="false" outlineLevel="0" collapsed="false">
      <c r="B56" s="31" t="s">
        <v>138</v>
      </c>
      <c r="C56" s="32" t="n">
        <v>45421.43</v>
      </c>
      <c r="D56" s="32" t="n">
        <v>45421.43</v>
      </c>
      <c r="E56" s="32" t="n">
        <v>45421.43</v>
      </c>
      <c r="F56" s="32" t="n">
        <v>0</v>
      </c>
      <c r="G56" s="32" t="n">
        <v>45421.43</v>
      </c>
      <c r="H56" s="32" t="n">
        <v>0</v>
      </c>
      <c r="I56" s="33" t="s">
        <v>90</v>
      </c>
      <c r="J56" s="34" t="n">
        <v>15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SUM(C52:C56)</f>
        <v>445829.44</v>
      </c>
      <c r="D57" s="39" t="n">
        <f aca="false">SUM(D52:D56)</f>
        <v>60121.06</v>
      </c>
      <c r="E57" s="39" t="n">
        <f aca="false">SUM(E52:E56)</f>
        <v>108451.19</v>
      </c>
      <c r="F57" s="39" t="n">
        <f aca="false">SUM(F52:F56)</f>
        <v>15072.38</v>
      </c>
      <c r="G57" s="39" t="n">
        <f aca="false">SUM(G52:G56)</f>
        <v>123523.57</v>
      </c>
      <c r="H57" s="39" t="n">
        <f aca="false">SUM(H52:H56)</f>
        <v>322305.87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139</v>
      </c>
      <c r="C61" s="32" t="n">
        <v>18720.42</v>
      </c>
      <c r="D61" s="32" t="n">
        <v>0</v>
      </c>
      <c r="E61" s="32" t="n">
        <v>18720.42</v>
      </c>
      <c r="F61" s="32" t="n">
        <v>0</v>
      </c>
      <c r="G61" s="32" t="n">
        <v>18720.42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140</v>
      </c>
      <c r="C62" s="36" t="n">
        <v>73470.24</v>
      </c>
      <c r="D62" s="36" t="n">
        <v>0</v>
      </c>
      <c r="E62" s="36" t="n">
        <v>33729.58</v>
      </c>
      <c r="F62" s="36" t="n">
        <v>2671.65</v>
      </c>
      <c r="G62" s="36" t="n">
        <v>36401.23</v>
      </c>
      <c r="H62" s="36" t="n">
        <v>37069.01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141</v>
      </c>
      <c r="C63" s="32" t="n">
        <v>57687.85</v>
      </c>
      <c r="D63" s="32" t="n">
        <v>57687.85</v>
      </c>
      <c r="E63" s="32" t="n">
        <v>57687.85</v>
      </c>
      <c r="F63" s="32" t="n">
        <v>0</v>
      </c>
      <c r="G63" s="32" t="n">
        <v>57687.85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142</v>
      </c>
      <c r="C64" s="36" t="n">
        <v>226402.03</v>
      </c>
      <c r="D64" s="36" t="n">
        <v>0</v>
      </c>
      <c r="E64" s="36" t="n">
        <v>13378.3</v>
      </c>
      <c r="F64" s="36" t="n">
        <v>8232.8</v>
      </c>
      <c r="G64" s="36" t="n">
        <v>21611.1</v>
      </c>
      <c r="H64" s="36" t="n">
        <v>204790.93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141</v>
      </c>
      <c r="C65" s="32" t="n">
        <v>314.19</v>
      </c>
      <c r="D65" s="32" t="n">
        <v>251.35</v>
      </c>
      <c r="E65" s="32" t="n">
        <v>263.92</v>
      </c>
      <c r="F65" s="32" t="n">
        <v>20.11</v>
      </c>
      <c r="G65" s="32" t="n">
        <v>284.03</v>
      </c>
      <c r="H65" s="32" t="n">
        <v>30.16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142</v>
      </c>
      <c r="C66" s="36" t="n">
        <v>1233.07</v>
      </c>
      <c r="D66" s="36" t="n">
        <v>0</v>
      </c>
      <c r="E66" s="36" t="n">
        <v>20.55</v>
      </c>
      <c r="F66" s="36" t="n">
        <v>44.84</v>
      </c>
      <c r="G66" s="36" t="n">
        <v>65.39</v>
      </c>
      <c r="H66" s="36" t="n">
        <v>1167.68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143</v>
      </c>
      <c r="C67" s="32" t="n">
        <v>4585.18</v>
      </c>
      <c r="D67" s="32" t="n">
        <v>4585.18</v>
      </c>
      <c r="E67" s="32" t="n">
        <v>4585.18</v>
      </c>
      <c r="F67" s="32" t="n">
        <v>0</v>
      </c>
      <c r="G67" s="32" t="n">
        <v>4585.18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144</v>
      </c>
      <c r="C68" s="36" t="n">
        <v>17995.03</v>
      </c>
      <c r="D68" s="36" t="n">
        <v>0</v>
      </c>
      <c r="E68" s="36" t="n">
        <v>8261.3</v>
      </c>
      <c r="F68" s="36" t="n">
        <v>654.36</v>
      </c>
      <c r="G68" s="36" t="n">
        <v>8915.66</v>
      </c>
      <c r="H68" s="36" t="n">
        <v>9079.37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143</v>
      </c>
      <c r="C69" s="32" t="n">
        <v>9223.36</v>
      </c>
      <c r="D69" s="32" t="n">
        <v>9223.36</v>
      </c>
      <c r="E69" s="32" t="n">
        <v>9223.36</v>
      </c>
      <c r="F69" s="32" t="n">
        <v>0</v>
      </c>
      <c r="G69" s="32" t="n">
        <v>9223.36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144</v>
      </c>
      <c r="C70" s="36" t="n">
        <v>36198.07</v>
      </c>
      <c r="D70" s="36" t="n">
        <v>0</v>
      </c>
      <c r="E70" s="36" t="n">
        <v>2138.97</v>
      </c>
      <c r="F70" s="36" t="n">
        <v>1316.29</v>
      </c>
      <c r="G70" s="36" t="n">
        <v>3455.26</v>
      </c>
      <c r="H70" s="36" t="n">
        <v>32742.81</v>
      </c>
      <c r="I70" s="37" t="s">
        <v>87</v>
      </c>
      <c r="J70" s="38" t="n">
        <v>27.5</v>
      </c>
    </row>
    <row r="71" customFormat="false" ht="15" hidden="false" customHeight="false" outlineLevel="0" collapsed="false">
      <c r="A71" s="10"/>
      <c r="B71" s="11" t="s">
        <v>22</v>
      </c>
      <c r="C71" s="39" t="n">
        <f aca="false">SUM(C61:C70)</f>
        <v>445829.44</v>
      </c>
      <c r="D71" s="39" t="n">
        <f aca="false">SUM(D61:D70)</f>
        <v>71747.74</v>
      </c>
      <c r="E71" s="39" t="n">
        <f aca="false">SUM(E61:E70)</f>
        <v>148009.43</v>
      </c>
      <c r="F71" s="39" t="n">
        <f aca="false">SUM(F61:F70)</f>
        <v>12940.05</v>
      </c>
      <c r="G71" s="39" t="n">
        <f aca="false">SUM(G61:G70)</f>
        <v>160949.48</v>
      </c>
      <c r="H71" s="39" t="n">
        <f aca="false">SUM(H61:H70)</f>
        <v>284879.96</v>
      </c>
      <c r="I71" s="10"/>
      <c r="J71" s="10"/>
    </row>
    <row r="73" customFormat="false" ht="15" hidden="false" customHeight="false" outlineLevel="0" collapsed="false">
      <c r="A73" s="27" t="s">
        <v>44</v>
      </c>
      <c r="B73" s="27"/>
      <c r="C73" s="27"/>
      <c r="D73" s="27"/>
      <c r="E73" s="27"/>
    </row>
    <row r="74" customFormat="false" ht="15" hidden="false" customHeight="false" outlineLevel="0" collapsed="false">
      <c r="B74" s="8" t="s">
        <v>102</v>
      </c>
      <c r="C74" s="41" t="n">
        <f aca="false">G57</f>
        <v>123523.57</v>
      </c>
    </row>
    <row r="75" customFormat="false" ht="15" hidden="false" customHeight="false" outlineLevel="0" collapsed="false">
      <c r="B75" s="8" t="s">
        <v>103</v>
      </c>
      <c r="C75" s="41" t="n">
        <f aca="false">G71</f>
        <v>160949.48</v>
      </c>
    </row>
    <row r="76" customFormat="false" ht="15" hidden="false" customHeight="false" outlineLevel="0" collapsed="false">
      <c r="B76" s="17" t="s">
        <v>44</v>
      </c>
      <c r="C76" s="42" t="n">
        <f aca="false">C75-C74</f>
        <v>37425.91</v>
      </c>
    </row>
  </sheetData>
  <mergeCells count="11">
    <mergeCell ref="A2:J2"/>
    <mergeCell ref="A3:J3"/>
    <mergeCell ref="A4:J4"/>
    <mergeCell ref="A8:J8"/>
    <mergeCell ref="B10:J10"/>
    <mergeCell ref="B21:J21"/>
    <mergeCell ref="B40:J40"/>
    <mergeCell ref="A49:J49"/>
    <mergeCell ref="A50:J50"/>
    <mergeCell ref="A59:J59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169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170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108</v>
      </c>
      <c r="C11" s="16" t="n">
        <v>2971.24</v>
      </c>
      <c r="D11" s="16" t="n">
        <v>2971.24</v>
      </c>
    </row>
    <row r="12" customFormat="false" ht="15" hidden="false" customHeight="false" outlineLevel="0" collapsed="false">
      <c r="B12" s="8" t="s">
        <v>109</v>
      </c>
      <c r="C12" s="16" t="n">
        <v>11681.93</v>
      </c>
      <c r="D12" s="16" t="n">
        <v>11681.93</v>
      </c>
    </row>
    <row r="13" customFormat="false" ht="15" hidden="false" customHeight="false" outlineLevel="0" collapsed="false">
      <c r="B13" s="8" t="s">
        <v>171</v>
      </c>
      <c r="C13" s="16" t="n">
        <v>197.41</v>
      </c>
      <c r="D13" s="16" t="n">
        <v>197.41</v>
      </c>
    </row>
    <row r="14" customFormat="false" ht="15" hidden="false" customHeight="false" outlineLevel="0" collapsed="false">
      <c r="B14" s="8" t="s">
        <v>112</v>
      </c>
      <c r="C14" s="16" t="n">
        <v>944.53</v>
      </c>
      <c r="D14" s="16" t="n">
        <v>944.53</v>
      </c>
    </row>
    <row r="15" customFormat="false" ht="15" hidden="false" customHeight="false" outlineLevel="0" collapsed="false">
      <c r="B15" s="8" t="s">
        <v>113</v>
      </c>
      <c r="C15" s="16" t="n">
        <v>3452.88</v>
      </c>
      <c r="D15" s="16" t="n">
        <v>3452.88</v>
      </c>
    </row>
    <row r="16" customFormat="false" ht="15" hidden="false" customHeight="false" outlineLevel="0" collapsed="false">
      <c r="B16" s="8" t="s">
        <v>172</v>
      </c>
      <c r="C16" s="16" t="n">
        <v>824.22</v>
      </c>
      <c r="D16" s="16" t="n">
        <v>824.22</v>
      </c>
    </row>
    <row r="17" customFormat="false" ht="15" hidden="false" customHeight="false" outlineLevel="0" collapsed="false">
      <c r="B17" s="8" t="s">
        <v>115</v>
      </c>
      <c r="C17" s="16" t="n">
        <v>796.45</v>
      </c>
      <c r="D17" s="16" t="n">
        <v>796.45</v>
      </c>
    </row>
    <row r="18" customFormat="false" ht="15" hidden="false" customHeight="false" outlineLevel="0" collapsed="false">
      <c r="B18" s="8" t="s">
        <v>173</v>
      </c>
      <c r="C18" s="16" t="n">
        <v>456.05</v>
      </c>
      <c r="D18" s="16" t="n">
        <v>456.05</v>
      </c>
    </row>
    <row r="19" customFormat="false" ht="15" hidden="false" customHeight="false" outlineLevel="0" collapsed="false">
      <c r="B19" s="8" t="s">
        <v>116</v>
      </c>
      <c r="C19" s="16" t="n">
        <v>2758.54</v>
      </c>
      <c r="D19" s="16" t="n">
        <v>2758.54</v>
      </c>
    </row>
    <row r="20" customFormat="false" ht="15" hidden="false" customHeight="false" outlineLevel="0" collapsed="false">
      <c r="A20" s="5"/>
      <c r="B20" s="6" t="s">
        <v>117</v>
      </c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B21" s="8" t="s">
        <v>118</v>
      </c>
      <c r="C21" s="16" t="n">
        <v>16214.15</v>
      </c>
      <c r="G21" s="16" t="n">
        <v>16214.15</v>
      </c>
    </row>
    <row r="22" customFormat="false" ht="15" hidden="false" customHeight="false" outlineLevel="0" collapsed="false">
      <c r="B22" s="8" t="s">
        <v>119</v>
      </c>
      <c r="C22" s="16" t="n">
        <v>22421.29</v>
      </c>
      <c r="G22" s="16" t="n">
        <v>22421.29</v>
      </c>
    </row>
    <row r="23" customFormat="false" ht="15" hidden="false" customHeight="false" outlineLevel="0" collapsed="false">
      <c r="B23" s="8" t="s">
        <v>120</v>
      </c>
      <c r="C23" s="16" t="n">
        <v>11576.74</v>
      </c>
      <c r="G23" s="16" t="n">
        <v>11576.74</v>
      </c>
    </row>
    <row r="24" customFormat="false" ht="15" hidden="false" customHeight="false" outlineLevel="0" collapsed="false">
      <c r="B24" s="8" t="s">
        <v>121</v>
      </c>
      <c r="C24" s="16" t="n">
        <v>12631.83</v>
      </c>
      <c r="G24" s="16" t="n">
        <v>12631.83</v>
      </c>
    </row>
    <row r="25" customFormat="false" ht="15" hidden="false" customHeight="false" outlineLevel="0" collapsed="false">
      <c r="B25" s="8" t="s">
        <v>122</v>
      </c>
      <c r="C25" s="16" t="n">
        <v>9410.98</v>
      </c>
      <c r="G25" s="16" t="n">
        <v>9410.98</v>
      </c>
    </row>
    <row r="26" customFormat="false" ht="15" hidden="false" customHeight="false" outlineLevel="0" collapsed="false">
      <c r="B26" s="8" t="s">
        <v>123</v>
      </c>
      <c r="C26" s="16" t="n">
        <v>74.04</v>
      </c>
      <c r="G26" s="16" t="n">
        <v>74.04</v>
      </c>
    </row>
    <row r="27" customFormat="false" ht="15" hidden="false" customHeight="false" outlineLevel="0" collapsed="false">
      <c r="B27" s="8" t="s">
        <v>124</v>
      </c>
      <c r="C27" s="16" t="n">
        <v>10563.11</v>
      </c>
      <c r="G27" s="16" t="n">
        <v>10563.11</v>
      </c>
    </row>
    <row r="28" customFormat="false" ht="15" hidden="false" customHeight="false" outlineLevel="0" collapsed="false">
      <c r="B28" s="8" t="s">
        <v>125</v>
      </c>
      <c r="C28" s="16" t="n">
        <v>4305.7</v>
      </c>
      <c r="G28" s="16" t="n">
        <v>4305.7</v>
      </c>
    </row>
    <row r="29" customFormat="false" ht="15" hidden="false" customHeight="false" outlineLevel="0" collapsed="false">
      <c r="B29" s="8" t="s">
        <v>126</v>
      </c>
      <c r="C29" s="16" t="n">
        <v>3720.44</v>
      </c>
      <c r="G29" s="16" t="n">
        <v>3720.44</v>
      </c>
    </row>
    <row r="30" customFormat="false" ht="15" hidden="false" customHeight="false" outlineLevel="0" collapsed="false">
      <c r="B30" s="8" t="s">
        <v>127</v>
      </c>
      <c r="C30" s="16" t="n">
        <v>5202.67</v>
      </c>
      <c r="G30" s="16" t="n">
        <v>5202.67</v>
      </c>
    </row>
    <row r="31" customFormat="false" ht="15" hidden="false" customHeight="false" outlineLevel="0" collapsed="false">
      <c r="B31" s="8" t="s">
        <v>128</v>
      </c>
      <c r="C31" s="16" t="n">
        <v>18937.43</v>
      </c>
      <c r="G31" s="16" t="n">
        <v>18937.43</v>
      </c>
    </row>
    <row r="32" customFormat="false" ht="15" hidden="false" customHeight="false" outlineLevel="0" collapsed="false">
      <c r="B32" s="8" t="s">
        <v>129</v>
      </c>
      <c r="C32" s="16" t="n">
        <v>6328.16</v>
      </c>
      <c r="G32" s="16" t="n">
        <v>6328.16</v>
      </c>
    </row>
    <row r="33" customFormat="false" ht="15" hidden="false" customHeight="false" outlineLevel="0" collapsed="false">
      <c r="B33" s="8" t="s">
        <v>130</v>
      </c>
      <c r="C33" s="16" t="n">
        <v>834.12</v>
      </c>
      <c r="G33" s="16" t="n">
        <v>834.12</v>
      </c>
    </row>
    <row r="34" customFormat="false" ht="15" hidden="false" customHeight="false" outlineLevel="0" collapsed="false">
      <c r="B34" s="8" t="s">
        <v>131</v>
      </c>
      <c r="C34" s="16" t="n">
        <v>25095.81</v>
      </c>
      <c r="G34" s="16" t="n">
        <v>25095.81</v>
      </c>
    </row>
    <row r="35" customFormat="false" ht="15" hidden="false" customHeight="false" outlineLevel="0" collapsed="false">
      <c r="B35" s="8" t="s">
        <v>133</v>
      </c>
      <c r="C35" s="16" t="n">
        <v>2279.14</v>
      </c>
      <c r="G35" s="16" t="n">
        <v>2279.14</v>
      </c>
    </row>
    <row r="36" customFormat="false" ht="15" hidden="false" customHeight="false" outlineLevel="0" collapsed="false">
      <c r="B36" s="8" t="s">
        <v>174</v>
      </c>
      <c r="C36" s="16" t="n">
        <v>975.99</v>
      </c>
      <c r="G36" s="16" t="n">
        <v>975.99</v>
      </c>
    </row>
    <row r="37" customFormat="false" ht="15" hidden="false" customHeight="false" outlineLevel="0" collapsed="false">
      <c r="A37" s="24"/>
      <c r="B37" s="25" t="s">
        <v>69</v>
      </c>
      <c r="C37" s="26" t="n">
        <f aca="false">SUM(C10:C36)</f>
        <v>174654.85</v>
      </c>
      <c r="D37" s="26" t="n">
        <f aca="false">SUM(D10:D36)</f>
        <v>24083.25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150571.6</v>
      </c>
      <c r="H37" s="24"/>
    </row>
    <row r="39" customFormat="false" ht="15" hidden="false" customHeight="false" outlineLevel="0" collapsed="false">
      <c r="A39" s="5"/>
      <c r="B39" s="6" t="s">
        <v>70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71</v>
      </c>
      <c r="C40" s="16" t="n">
        <v>29464.18</v>
      </c>
      <c r="D40" s="16" t="n">
        <v>4304.14</v>
      </c>
      <c r="G40" s="16" t="n">
        <v>25160.04</v>
      </c>
    </row>
    <row r="41" customFormat="false" ht="15" hidden="false" customHeight="false" outlineLevel="0" collapsed="false">
      <c r="B41" s="8" t="s">
        <v>134</v>
      </c>
      <c r="C41" s="16" t="n">
        <v>90795.27</v>
      </c>
      <c r="D41" s="16" t="n">
        <v>13263.4</v>
      </c>
      <c r="G41" s="16" t="n">
        <v>77531.87</v>
      </c>
    </row>
    <row r="42" customFormat="false" ht="15" hidden="false" customHeight="false" outlineLevel="0" collapsed="false">
      <c r="B42" s="8" t="s">
        <v>134</v>
      </c>
      <c r="C42" s="16" t="n">
        <v>494.5</v>
      </c>
      <c r="D42" s="16" t="n">
        <v>72.24</v>
      </c>
      <c r="G42" s="16" t="n">
        <v>422.26</v>
      </c>
    </row>
    <row r="43" customFormat="false" ht="15" hidden="false" customHeight="false" outlineLevel="0" collapsed="false">
      <c r="B43" s="8" t="s">
        <v>135</v>
      </c>
      <c r="C43" s="16" t="n">
        <v>7216.65</v>
      </c>
      <c r="D43" s="16" t="n">
        <v>1054.21</v>
      </c>
      <c r="G43" s="16" t="n">
        <v>6162.44</v>
      </c>
    </row>
    <row r="44" customFormat="false" ht="15" hidden="false" customHeight="false" outlineLevel="0" collapsed="false">
      <c r="B44" s="8" t="s">
        <v>135</v>
      </c>
      <c r="C44" s="16" t="n">
        <v>14516.71</v>
      </c>
      <c r="D44" s="16" t="n">
        <v>2120.61</v>
      </c>
      <c r="G44" s="16" t="n">
        <v>12396.1</v>
      </c>
    </row>
    <row r="45" customFormat="false" ht="15" hidden="false" customHeight="false" outlineLevel="0" collapsed="false">
      <c r="B45" s="8" t="s">
        <v>74</v>
      </c>
      <c r="C45" s="16" t="n">
        <v>22375.75</v>
      </c>
      <c r="D45" s="16" t="n">
        <v>3268.65</v>
      </c>
      <c r="G45" s="16" t="n">
        <v>19107.1</v>
      </c>
    </row>
    <row r="46" customFormat="false" ht="15" hidden="false" customHeight="false" outlineLevel="0" collapsed="false">
      <c r="A46" s="24"/>
      <c r="B46" s="25" t="s">
        <v>75</v>
      </c>
      <c r="C46" s="26" t="n">
        <f aca="false">SUM(C40:C45)</f>
        <v>164863.06</v>
      </c>
      <c r="D46" s="26" t="n">
        <f aca="false">SUM(D40:D45)</f>
        <v>24083.25</v>
      </c>
      <c r="E46" s="24"/>
      <c r="F46" s="26" t="n">
        <f aca="false">SUM(F40:F45)</f>
        <v>0</v>
      </c>
      <c r="G46" s="26" t="n">
        <f aca="false">SUM(G40:G45)</f>
        <v>140779.81</v>
      </c>
      <c r="H46" s="24"/>
    </row>
    <row r="48" customFormat="false" ht="15" hidden="false" customHeight="false" outlineLevel="0" collapsed="false">
      <c r="A48" s="27" t="s">
        <v>76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42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77</v>
      </c>
      <c r="C50" s="30" t="s">
        <v>78</v>
      </c>
      <c r="D50" s="30" t="s">
        <v>79</v>
      </c>
      <c r="E50" s="30" t="s">
        <v>80</v>
      </c>
      <c r="F50" s="30" t="s">
        <v>81</v>
      </c>
      <c r="G50" s="30" t="s">
        <v>82</v>
      </c>
      <c r="H50" s="30" t="s">
        <v>83</v>
      </c>
      <c r="I50" s="30" t="s">
        <v>84</v>
      </c>
      <c r="J50" s="30" t="s">
        <v>85</v>
      </c>
    </row>
    <row r="51" customFormat="false" ht="15" hidden="false" customHeight="false" outlineLevel="0" collapsed="false">
      <c r="B51" s="31" t="s">
        <v>175</v>
      </c>
      <c r="C51" s="32" t="n">
        <v>29464.18</v>
      </c>
      <c r="D51" s="32" t="n">
        <v>0</v>
      </c>
      <c r="E51" s="32" t="n">
        <v>10073</v>
      </c>
      <c r="F51" s="32" t="n">
        <v>1071.33</v>
      </c>
      <c r="G51" s="32" t="n">
        <v>11144.33</v>
      </c>
      <c r="H51" s="32" t="n">
        <v>18319.85</v>
      </c>
      <c r="I51" s="33" t="s">
        <v>87</v>
      </c>
      <c r="J51" s="34" t="n">
        <v>27.5</v>
      </c>
    </row>
    <row r="52" customFormat="false" ht="15" hidden="false" customHeight="false" outlineLevel="0" collapsed="false">
      <c r="B52" s="35" t="s">
        <v>176</v>
      </c>
      <c r="C52" s="36" t="n">
        <v>90795.27</v>
      </c>
      <c r="D52" s="36" t="n">
        <v>0</v>
      </c>
      <c r="E52" s="36" t="n">
        <v>5365.1</v>
      </c>
      <c r="F52" s="36" t="n">
        <v>3301.32</v>
      </c>
      <c r="G52" s="36" t="n">
        <v>8666.42</v>
      </c>
      <c r="H52" s="36" t="n">
        <v>82128.85</v>
      </c>
      <c r="I52" s="37" t="s">
        <v>87</v>
      </c>
      <c r="J52" s="38" t="n">
        <v>27.5</v>
      </c>
    </row>
    <row r="53" customFormat="false" ht="15" hidden="false" customHeight="false" outlineLevel="0" collapsed="false">
      <c r="B53" s="31" t="s">
        <v>176</v>
      </c>
      <c r="C53" s="32" t="n">
        <v>494.5</v>
      </c>
      <c r="D53" s="32" t="n">
        <v>0</v>
      </c>
      <c r="E53" s="32" t="n">
        <v>8.23</v>
      </c>
      <c r="F53" s="32" t="n">
        <v>17.99</v>
      </c>
      <c r="G53" s="32" t="n">
        <v>26.22</v>
      </c>
      <c r="H53" s="32" t="n">
        <v>468.28</v>
      </c>
      <c r="I53" s="33" t="s">
        <v>87</v>
      </c>
      <c r="J53" s="34" t="n">
        <v>27.5</v>
      </c>
    </row>
    <row r="54" customFormat="false" ht="15" hidden="false" customHeight="false" outlineLevel="0" collapsed="false">
      <c r="B54" s="35" t="s">
        <v>177</v>
      </c>
      <c r="C54" s="36" t="n">
        <v>7216.65</v>
      </c>
      <c r="D54" s="36" t="n">
        <v>4698.01</v>
      </c>
      <c r="E54" s="36" t="n">
        <v>4698.01</v>
      </c>
      <c r="F54" s="36" t="n">
        <v>426.5</v>
      </c>
      <c r="G54" s="36" t="n">
        <v>5124.51</v>
      </c>
      <c r="H54" s="36" t="n">
        <v>2092.14</v>
      </c>
      <c r="I54" s="37" t="s">
        <v>90</v>
      </c>
      <c r="J54" s="38" t="n">
        <v>15</v>
      </c>
    </row>
    <row r="55" customFormat="false" ht="15" hidden="false" customHeight="false" outlineLevel="0" collapsed="false">
      <c r="B55" s="31" t="s">
        <v>177</v>
      </c>
      <c r="C55" s="32" t="n">
        <v>14516.71</v>
      </c>
      <c r="D55" s="32" t="n">
        <v>14516.71</v>
      </c>
      <c r="E55" s="32" t="n">
        <v>14516.71</v>
      </c>
      <c r="F55" s="32" t="n">
        <v>0</v>
      </c>
      <c r="G55" s="32" t="n">
        <v>14516.71</v>
      </c>
      <c r="H55" s="32" t="n">
        <v>0</v>
      </c>
      <c r="I55" s="33" t="s">
        <v>90</v>
      </c>
      <c r="J55" s="34" t="n">
        <v>15</v>
      </c>
    </row>
    <row r="56" customFormat="false" ht="15" hidden="false" customHeight="false" outlineLevel="0" collapsed="false">
      <c r="B56" s="35" t="s">
        <v>178</v>
      </c>
      <c r="C56" s="36" t="n">
        <v>22375.75</v>
      </c>
      <c r="D56" s="36" t="n">
        <v>22375.75</v>
      </c>
      <c r="E56" s="36" t="n">
        <v>22375.75</v>
      </c>
      <c r="F56" s="36" t="n">
        <v>0</v>
      </c>
      <c r="G56" s="36" t="n">
        <v>22375.75</v>
      </c>
      <c r="H56" s="36" t="n">
        <v>0</v>
      </c>
      <c r="I56" s="37" t="s">
        <v>92</v>
      </c>
      <c r="J56" s="38" t="n">
        <v>5</v>
      </c>
    </row>
    <row r="57" customFormat="false" ht="15" hidden="false" customHeight="false" outlineLevel="0" collapsed="false">
      <c r="A57" s="10"/>
      <c r="B57" s="11" t="s">
        <v>22</v>
      </c>
      <c r="C57" s="39" t="n">
        <f aca="false">SUM(C51:C56)</f>
        <v>164863.06</v>
      </c>
      <c r="D57" s="39" t="n">
        <f aca="false">SUM(D51:D56)</f>
        <v>41590.47</v>
      </c>
      <c r="E57" s="39" t="n">
        <f aca="false">SUM(E51:E56)</f>
        <v>57036.8</v>
      </c>
      <c r="F57" s="39" t="n">
        <f aca="false">SUM(F51:F56)</f>
        <v>4817.14</v>
      </c>
      <c r="G57" s="39" t="n">
        <f aca="false">SUM(G51:G56)</f>
        <v>61853.94</v>
      </c>
      <c r="H57" s="39" t="n">
        <f aca="false">SUM(H51:H56)</f>
        <v>103009.12</v>
      </c>
      <c r="I57" s="10"/>
      <c r="J57" s="10"/>
    </row>
    <row r="59" customFormat="false" ht="15" hidden="false" customHeight="false" outlineLevel="0" collapsed="false">
      <c r="A59" s="40" t="s">
        <v>93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77</v>
      </c>
      <c r="C60" s="30" t="s">
        <v>78</v>
      </c>
      <c r="D60" s="30" t="s">
        <v>79</v>
      </c>
      <c r="E60" s="30" t="s">
        <v>80</v>
      </c>
      <c r="F60" s="30" t="s">
        <v>81</v>
      </c>
      <c r="G60" s="30" t="s">
        <v>82</v>
      </c>
      <c r="H60" s="30" t="s">
        <v>83</v>
      </c>
      <c r="I60" s="30" t="s">
        <v>84</v>
      </c>
      <c r="J60" s="30" t="s">
        <v>85</v>
      </c>
    </row>
    <row r="61" customFormat="false" ht="15" hidden="false" customHeight="false" outlineLevel="0" collapsed="false">
      <c r="B61" s="31" t="s">
        <v>179</v>
      </c>
      <c r="C61" s="32" t="n">
        <v>4304.14</v>
      </c>
      <c r="D61" s="32" t="n">
        <v>0</v>
      </c>
      <c r="E61" s="32" t="n">
        <v>4304.14</v>
      </c>
      <c r="F61" s="32" t="n">
        <v>0</v>
      </c>
      <c r="G61" s="32" t="n">
        <v>4304.14</v>
      </c>
      <c r="H61" s="32" t="n">
        <v>0</v>
      </c>
      <c r="I61" s="33" t="s">
        <v>92</v>
      </c>
      <c r="J61" s="34" t="n">
        <v>5</v>
      </c>
    </row>
    <row r="62" customFormat="false" ht="15" hidden="false" customHeight="false" outlineLevel="0" collapsed="false">
      <c r="B62" s="35" t="s">
        <v>180</v>
      </c>
      <c r="C62" s="36" t="n">
        <v>25160.04</v>
      </c>
      <c r="D62" s="36" t="n">
        <v>0</v>
      </c>
      <c r="E62" s="36" t="n">
        <v>11550.74</v>
      </c>
      <c r="F62" s="36" t="n">
        <v>914.91</v>
      </c>
      <c r="G62" s="36" t="n">
        <v>12465.65</v>
      </c>
      <c r="H62" s="36" t="n">
        <v>12694.39</v>
      </c>
      <c r="I62" s="37" t="s">
        <v>87</v>
      </c>
      <c r="J62" s="38" t="n">
        <v>27.5</v>
      </c>
    </row>
    <row r="63" customFormat="false" ht="15" hidden="false" customHeight="false" outlineLevel="0" collapsed="false">
      <c r="B63" s="31" t="s">
        <v>181</v>
      </c>
      <c r="C63" s="32" t="n">
        <v>13263.4</v>
      </c>
      <c r="D63" s="32" t="n">
        <v>13263.4</v>
      </c>
      <c r="E63" s="32" t="n">
        <v>13263.4</v>
      </c>
      <c r="F63" s="32" t="n">
        <v>0</v>
      </c>
      <c r="G63" s="32" t="n">
        <v>13263.4</v>
      </c>
      <c r="H63" s="32" t="n">
        <v>0</v>
      </c>
      <c r="I63" s="33" t="s">
        <v>92</v>
      </c>
      <c r="J63" s="34" t="n">
        <v>5</v>
      </c>
    </row>
    <row r="64" customFormat="false" ht="15" hidden="false" customHeight="false" outlineLevel="0" collapsed="false">
      <c r="B64" s="35" t="s">
        <v>182</v>
      </c>
      <c r="C64" s="36" t="n">
        <v>77531.87</v>
      </c>
      <c r="D64" s="36" t="n">
        <v>0</v>
      </c>
      <c r="E64" s="36" t="n">
        <v>4581.43</v>
      </c>
      <c r="F64" s="36" t="n">
        <v>2819.34</v>
      </c>
      <c r="G64" s="36" t="n">
        <v>7400.77</v>
      </c>
      <c r="H64" s="36" t="n">
        <v>70131.1</v>
      </c>
      <c r="I64" s="37" t="s">
        <v>87</v>
      </c>
      <c r="J64" s="38" t="n">
        <v>27.5</v>
      </c>
    </row>
    <row r="65" customFormat="false" ht="15" hidden="false" customHeight="false" outlineLevel="0" collapsed="false">
      <c r="B65" s="31" t="s">
        <v>181</v>
      </c>
      <c r="C65" s="32" t="n">
        <v>72.24</v>
      </c>
      <c r="D65" s="32" t="n">
        <v>57.79</v>
      </c>
      <c r="E65" s="32" t="n">
        <v>60.68</v>
      </c>
      <c r="F65" s="32" t="n">
        <v>4.62</v>
      </c>
      <c r="G65" s="32" t="n">
        <v>65.3</v>
      </c>
      <c r="H65" s="32" t="n">
        <v>6.94</v>
      </c>
      <c r="I65" s="33" t="s">
        <v>92</v>
      </c>
      <c r="J65" s="34" t="n">
        <v>5</v>
      </c>
    </row>
    <row r="66" customFormat="false" ht="15" hidden="false" customHeight="false" outlineLevel="0" collapsed="false">
      <c r="B66" s="35" t="s">
        <v>182</v>
      </c>
      <c r="C66" s="36" t="n">
        <v>422.26</v>
      </c>
      <c r="D66" s="36" t="n">
        <v>0</v>
      </c>
      <c r="E66" s="36" t="n">
        <v>7.04</v>
      </c>
      <c r="F66" s="36" t="n">
        <v>15.35</v>
      </c>
      <c r="G66" s="36" t="n">
        <v>22.39</v>
      </c>
      <c r="H66" s="36" t="n">
        <v>399.87</v>
      </c>
      <c r="I66" s="37" t="s">
        <v>87</v>
      </c>
      <c r="J66" s="38" t="n">
        <v>27.5</v>
      </c>
    </row>
    <row r="67" customFormat="false" ht="15" hidden="false" customHeight="false" outlineLevel="0" collapsed="false">
      <c r="B67" s="31" t="s">
        <v>183</v>
      </c>
      <c r="C67" s="32" t="n">
        <v>1054.21</v>
      </c>
      <c r="D67" s="32" t="n">
        <v>1054.21</v>
      </c>
      <c r="E67" s="32" t="n">
        <v>1054.21</v>
      </c>
      <c r="F67" s="32" t="n">
        <v>0</v>
      </c>
      <c r="G67" s="32" t="n">
        <v>1054.21</v>
      </c>
      <c r="H67" s="32" t="n">
        <v>0</v>
      </c>
      <c r="I67" s="33" t="s">
        <v>92</v>
      </c>
      <c r="J67" s="34" t="n">
        <v>5</v>
      </c>
    </row>
    <row r="68" customFormat="false" ht="15" hidden="false" customHeight="false" outlineLevel="0" collapsed="false">
      <c r="B68" s="35" t="s">
        <v>184</v>
      </c>
      <c r="C68" s="36" t="n">
        <v>6162.44</v>
      </c>
      <c r="D68" s="36" t="n">
        <v>0</v>
      </c>
      <c r="E68" s="36" t="n">
        <v>2829.14</v>
      </c>
      <c r="F68" s="36" t="n">
        <v>224.09</v>
      </c>
      <c r="G68" s="36" t="n">
        <v>3053.23</v>
      </c>
      <c r="H68" s="36" t="n">
        <v>3109.21</v>
      </c>
      <c r="I68" s="37" t="s">
        <v>87</v>
      </c>
      <c r="J68" s="38" t="n">
        <v>27.5</v>
      </c>
    </row>
    <row r="69" customFormat="false" ht="15" hidden="false" customHeight="false" outlineLevel="0" collapsed="false">
      <c r="B69" s="31" t="s">
        <v>183</v>
      </c>
      <c r="C69" s="32" t="n">
        <v>2120.61</v>
      </c>
      <c r="D69" s="32" t="n">
        <v>2120.61</v>
      </c>
      <c r="E69" s="32" t="n">
        <v>2120.61</v>
      </c>
      <c r="F69" s="32" t="n">
        <v>0</v>
      </c>
      <c r="G69" s="32" t="n">
        <v>2120.61</v>
      </c>
      <c r="H69" s="32" t="n">
        <v>0</v>
      </c>
      <c r="I69" s="33" t="s">
        <v>92</v>
      </c>
      <c r="J69" s="34" t="n">
        <v>5</v>
      </c>
    </row>
    <row r="70" customFormat="false" ht="15" hidden="false" customHeight="false" outlineLevel="0" collapsed="false">
      <c r="B70" s="35" t="s">
        <v>184</v>
      </c>
      <c r="C70" s="36" t="n">
        <v>12396.1</v>
      </c>
      <c r="D70" s="36" t="n">
        <v>0</v>
      </c>
      <c r="E70" s="36" t="n">
        <v>732.5</v>
      </c>
      <c r="F70" s="36" t="n">
        <v>450.77</v>
      </c>
      <c r="G70" s="36" t="n">
        <v>1183.27</v>
      </c>
      <c r="H70" s="36" t="n">
        <v>11212.83</v>
      </c>
      <c r="I70" s="37" t="s">
        <v>87</v>
      </c>
      <c r="J70" s="38" t="n">
        <v>27.5</v>
      </c>
    </row>
    <row r="71" customFormat="false" ht="15" hidden="false" customHeight="false" outlineLevel="0" collapsed="false">
      <c r="B71" s="31" t="s">
        <v>185</v>
      </c>
      <c r="C71" s="32" t="n">
        <v>3268.65</v>
      </c>
      <c r="D71" s="32" t="n">
        <v>3268.65</v>
      </c>
      <c r="E71" s="32" t="n">
        <v>3268.65</v>
      </c>
      <c r="F71" s="32" t="n">
        <v>0</v>
      </c>
      <c r="G71" s="32" t="n">
        <v>3268.65</v>
      </c>
      <c r="H71" s="32" t="n">
        <v>0</v>
      </c>
      <c r="I71" s="33" t="s">
        <v>92</v>
      </c>
      <c r="J71" s="34" t="n">
        <v>5</v>
      </c>
    </row>
    <row r="72" customFormat="false" ht="15" hidden="false" customHeight="false" outlineLevel="0" collapsed="false">
      <c r="B72" s="35" t="s">
        <v>186</v>
      </c>
      <c r="C72" s="36" t="n">
        <v>19107.1</v>
      </c>
      <c r="D72" s="36" t="n">
        <v>0</v>
      </c>
      <c r="E72" s="36" t="n">
        <v>1129.05</v>
      </c>
      <c r="F72" s="36" t="n">
        <v>694.8</v>
      </c>
      <c r="G72" s="36" t="n">
        <v>1823.85</v>
      </c>
      <c r="H72" s="36" t="n">
        <v>17283.25</v>
      </c>
      <c r="I72" s="37" t="s">
        <v>87</v>
      </c>
      <c r="J72" s="38" t="n">
        <v>27.5</v>
      </c>
    </row>
    <row r="73" customFormat="false" ht="15" hidden="false" customHeight="false" outlineLevel="0" collapsed="false">
      <c r="A73" s="10"/>
      <c r="B73" s="11" t="s">
        <v>22</v>
      </c>
      <c r="C73" s="39" t="n">
        <f aca="false">SUM(C61:C72)</f>
        <v>164863.06</v>
      </c>
      <c r="D73" s="39" t="n">
        <f aca="false">SUM(D61:D72)</f>
        <v>19764.66</v>
      </c>
      <c r="E73" s="39" t="n">
        <f aca="false">SUM(E61:E72)</f>
        <v>44901.59</v>
      </c>
      <c r="F73" s="39" t="n">
        <f aca="false">SUM(F61:F72)</f>
        <v>5123.88</v>
      </c>
      <c r="G73" s="39" t="n">
        <f aca="false">SUM(G61:G72)</f>
        <v>50025.47</v>
      </c>
      <c r="H73" s="39" t="n">
        <f aca="false">SUM(H61:H72)</f>
        <v>114837.59</v>
      </c>
      <c r="I73" s="10"/>
      <c r="J73" s="10"/>
    </row>
    <row r="75" customFormat="false" ht="15" hidden="false" customHeight="false" outlineLevel="0" collapsed="false">
      <c r="A75" s="27" t="s">
        <v>44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102</v>
      </c>
      <c r="C76" s="41" t="n">
        <f aca="false">G57</f>
        <v>61853.94</v>
      </c>
    </row>
    <row r="77" customFormat="false" ht="15" hidden="false" customHeight="false" outlineLevel="0" collapsed="false">
      <c r="B77" s="8" t="s">
        <v>103</v>
      </c>
      <c r="C77" s="41" t="n">
        <f aca="false">G73</f>
        <v>50025.47</v>
      </c>
    </row>
    <row r="78" customFormat="false" ht="15" hidden="false" customHeight="false" outlineLevel="0" collapsed="false">
      <c r="B78" s="17" t="s">
        <v>44</v>
      </c>
      <c r="C78" s="42" t="n">
        <f aca="false">C77-C76</f>
        <v>-11828.47</v>
      </c>
    </row>
  </sheetData>
  <mergeCells count="11">
    <mergeCell ref="A2:J2"/>
    <mergeCell ref="A3:J3"/>
    <mergeCell ref="A4:J4"/>
    <mergeCell ref="A8:J8"/>
    <mergeCell ref="B10:J10"/>
    <mergeCell ref="B20:J20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187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47</v>
      </c>
      <c r="C6" s="8" t="s">
        <v>24</v>
      </c>
    </row>
    <row r="8" customFormat="false" ht="15" hidden="false" customHeight="false" outlineLevel="0" collapsed="false">
      <c r="A8" s="21" t="s">
        <v>188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49</v>
      </c>
      <c r="C9" s="23" t="s">
        <v>50</v>
      </c>
      <c r="D9" s="23" t="s">
        <v>51</v>
      </c>
      <c r="E9" s="23" t="s">
        <v>52</v>
      </c>
      <c r="F9" s="23" t="s">
        <v>53</v>
      </c>
      <c r="G9" s="23" t="s">
        <v>54</v>
      </c>
      <c r="H9" s="23" t="s">
        <v>55</v>
      </c>
    </row>
    <row r="10" customFormat="false" ht="15" hidden="false" customHeight="false" outlineLevel="0" collapsed="false">
      <c r="A10" s="5"/>
      <c r="B10" s="6" t="s">
        <v>106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189</v>
      </c>
      <c r="C11" s="16" t="n">
        <v>74564</v>
      </c>
      <c r="D11" s="16" t="n">
        <v>74564</v>
      </c>
    </row>
    <row r="12" customFormat="false" ht="15" hidden="false" customHeight="false" outlineLevel="0" collapsed="false">
      <c r="A12" s="5"/>
      <c r="B12" s="6" t="s">
        <v>56</v>
      </c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B13" s="8" t="s">
        <v>57</v>
      </c>
      <c r="C13" s="16" t="n">
        <v>77000</v>
      </c>
      <c r="F13" s="16" t="n">
        <v>77000</v>
      </c>
    </row>
    <row r="14" customFormat="false" ht="15" hidden="false" customHeight="false" outlineLevel="0" collapsed="false">
      <c r="A14" s="5"/>
      <c r="B14" s="6" t="s">
        <v>117</v>
      </c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B15" s="8" t="s">
        <v>123</v>
      </c>
      <c r="C15" s="16" t="n">
        <v>8471</v>
      </c>
      <c r="G15" s="16" t="n">
        <v>8471</v>
      </c>
    </row>
    <row r="16" customFormat="false" ht="15" hidden="false" customHeight="false" outlineLevel="0" collapsed="false">
      <c r="B16" s="8" t="s">
        <v>68</v>
      </c>
      <c r="C16" s="16" t="n">
        <v>32702</v>
      </c>
      <c r="G16" s="16" t="n">
        <v>32702</v>
      </c>
    </row>
    <row r="17" customFormat="false" ht="15" hidden="false" customHeight="false" outlineLevel="0" collapsed="false">
      <c r="A17" s="24"/>
      <c r="B17" s="25" t="s">
        <v>69</v>
      </c>
      <c r="C17" s="26" t="n">
        <f aca="false">SUM(C10:C16)</f>
        <v>192737</v>
      </c>
      <c r="D17" s="26" t="n">
        <f aca="false">SUM(D10:D16)</f>
        <v>74564</v>
      </c>
      <c r="E17" s="26" t="n">
        <f aca="false">SUM(E10:E16)</f>
        <v>0</v>
      </c>
      <c r="F17" s="26" t="n">
        <f aca="false">SUM(F10:F16)</f>
        <v>77000</v>
      </c>
      <c r="G17" s="26" t="n">
        <f aca="false">SUM(G10:G16)</f>
        <v>41173</v>
      </c>
      <c r="H17" s="24"/>
    </row>
    <row r="19" customFormat="false" ht="15" hidden="false" customHeight="false" outlineLevel="0" collapsed="false">
      <c r="A19" s="5"/>
      <c r="B19" s="6" t="s">
        <v>70</v>
      </c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B20" s="8" t="s">
        <v>190</v>
      </c>
      <c r="C20" s="16" t="n">
        <v>68710</v>
      </c>
      <c r="D20" s="16" t="n">
        <v>68710</v>
      </c>
    </row>
    <row r="21" customFormat="false" ht="15" hidden="false" customHeight="false" outlineLevel="0" collapsed="false">
      <c r="B21" s="8" t="s">
        <v>190</v>
      </c>
      <c r="C21" s="16" t="n">
        <v>5854</v>
      </c>
      <c r="D21" s="16" t="n">
        <v>5854</v>
      </c>
    </row>
    <row r="22" customFormat="false" ht="15" hidden="false" customHeight="false" outlineLevel="0" collapsed="false">
      <c r="B22" s="8" t="s">
        <v>134</v>
      </c>
      <c r="C22" s="16" t="n">
        <v>118173</v>
      </c>
      <c r="F22" s="16" t="n">
        <v>77000</v>
      </c>
      <c r="G22" s="16" t="n">
        <v>41173</v>
      </c>
    </row>
    <row r="23" customFormat="false" ht="15" hidden="false" customHeight="false" outlineLevel="0" collapsed="false">
      <c r="A23" s="24"/>
      <c r="B23" s="25" t="s">
        <v>75</v>
      </c>
      <c r="C23" s="26" t="n">
        <f aca="false">SUM(C20:C22)</f>
        <v>192737</v>
      </c>
      <c r="D23" s="26" t="n">
        <f aca="false">SUM(D20:D22)</f>
        <v>74564</v>
      </c>
      <c r="E23" s="24"/>
      <c r="F23" s="26" t="n">
        <f aca="false">SUM(F20:F22)</f>
        <v>77000</v>
      </c>
      <c r="G23" s="26" t="n">
        <f aca="false">SUM(G20:G22)</f>
        <v>41173</v>
      </c>
      <c r="H23" s="24"/>
    </row>
    <row r="25" customFormat="false" ht="15" hidden="false" customHeight="false" outlineLevel="0" collapsed="false">
      <c r="A25" s="27" t="s">
        <v>76</v>
      </c>
      <c r="B25" s="27"/>
      <c r="C25" s="27"/>
      <c r="D25" s="27"/>
      <c r="E25" s="27"/>
      <c r="F25" s="27"/>
      <c r="G25" s="27"/>
      <c r="H25" s="27"/>
      <c r="I25" s="27"/>
      <c r="J25" s="27"/>
    </row>
    <row r="26" customFormat="false" ht="15" hidden="false" customHeight="false" outlineLevel="0" collapsed="false">
      <c r="A26" s="28" t="s">
        <v>42</v>
      </c>
      <c r="B26" s="28"/>
      <c r="C26" s="28"/>
      <c r="D26" s="28"/>
      <c r="E26" s="28"/>
      <c r="F26" s="28"/>
      <c r="G26" s="28"/>
      <c r="H26" s="28"/>
      <c r="I26" s="28"/>
      <c r="J26" s="28"/>
    </row>
    <row r="27" customFormat="false" ht="15" hidden="false" customHeight="false" outlineLevel="0" collapsed="false">
      <c r="A27" s="29"/>
      <c r="B27" s="29" t="s">
        <v>77</v>
      </c>
      <c r="C27" s="30" t="s">
        <v>78</v>
      </c>
      <c r="D27" s="30" t="s">
        <v>79</v>
      </c>
      <c r="E27" s="30" t="s">
        <v>80</v>
      </c>
      <c r="F27" s="30" t="s">
        <v>81</v>
      </c>
      <c r="G27" s="30" t="s">
        <v>82</v>
      </c>
      <c r="H27" s="30" t="s">
        <v>83</v>
      </c>
      <c r="I27" s="30" t="s">
        <v>84</v>
      </c>
      <c r="J27" s="30" t="s">
        <v>85</v>
      </c>
    </row>
    <row r="28" customFormat="false" ht="15" hidden="false" customHeight="false" outlineLevel="0" collapsed="false">
      <c r="B28" s="31" t="s">
        <v>191</v>
      </c>
      <c r="C28" s="32" t="n">
        <v>86347</v>
      </c>
      <c r="D28" s="32" t="n">
        <v>19904</v>
      </c>
      <c r="E28" s="32" t="n">
        <v>19904</v>
      </c>
      <c r="F28" s="32" t="n">
        <v>6644</v>
      </c>
      <c r="G28" s="32" t="n">
        <v>26548</v>
      </c>
      <c r="H28" s="32" t="n">
        <v>33192</v>
      </c>
      <c r="I28" s="33" t="s">
        <v>90</v>
      </c>
      <c r="J28" s="34" t="n">
        <v>15</v>
      </c>
    </row>
    <row r="29" customFormat="false" ht="15" hidden="false" customHeight="false" outlineLevel="0" collapsed="false">
      <c r="B29" s="35" t="s">
        <v>192</v>
      </c>
      <c r="C29" s="36" t="n">
        <v>32702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32702</v>
      </c>
      <c r="I29" s="37" t="s">
        <v>87</v>
      </c>
      <c r="J29" s="38" t="n">
        <v>27.5</v>
      </c>
    </row>
    <row r="30" customFormat="false" ht="15" hidden="false" customHeight="false" outlineLevel="0" collapsed="false">
      <c r="B30" s="31" t="s">
        <v>193</v>
      </c>
      <c r="C30" s="32" t="n">
        <v>73688</v>
      </c>
      <c r="D30" s="32" t="n">
        <v>0</v>
      </c>
      <c r="E30" s="32" t="n">
        <v>19559</v>
      </c>
      <c r="F30" s="32" t="n">
        <v>0</v>
      </c>
      <c r="G30" s="32" t="n">
        <v>19559</v>
      </c>
      <c r="H30" s="32" t="n">
        <v>54129</v>
      </c>
      <c r="I30" s="33" t="s">
        <v>87</v>
      </c>
      <c r="J30" s="34" t="n">
        <v>27.5</v>
      </c>
    </row>
    <row r="31" customFormat="false" ht="15" hidden="false" customHeight="false" outlineLevel="0" collapsed="false">
      <c r="A31" s="10"/>
      <c r="B31" s="11" t="s">
        <v>22</v>
      </c>
      <c r="C31" s="39" t="n">
        <f aca="false">SUM(C28:C30)</f>
        <v>192737</v>
      </c>
      <c r="D31" s="39" t="n">
        <f aca="false">SUM(D28:D30)</f>
        <v>19904</v>
      </c>
      <c r="E31" s="39" t="n">
        <f aca="false">SUM(E28:E30)</f>
        <v>39463</v>
      </c>
      <c r="F31" s="39" t="n">
        <f aca="false">SUM(F28:F30)</f>
        <v>6644</v>
      </c>
      <c r="G31" s="39" t="n">
        <f aca="false">SUM(G28:G30)</f>
        <v>46107</v>
      </c>
      <c r="H31" s="39" t="n">
        <f aca="false">SUM(H28:H30)</f>
        <v>120023</v>
      </c>
      <c r="I31" s="10"/>
      <c r="J31" s="10"/>
    </row>
    <row r="33" customFormat="false" ht="15" hidden="false" customHeight="false" outlineLevel="0" collapsed="false">
      <c r="A33" s="40" t="s">
        <v>93</v>
      </c>
      <c r="B33" s="40"/>
      <c r="C33" s="40"/>
      <c r="D33" s="40"/>
      <c r="E33" s="40"/>
      <c r="F33" s="40"/>
      <c r="G33" s="40"/>
      <c r="H33" s="40"/>
      <c r="I33" s="40"/>
      <c r="J33" s="40"/>
    </row>
    <row r="34" customFormat="false" ht="15" hidden="false" customHeight="false" outlineLevel="0" collapsed="false">
      <c r="A34" s="29"/>
      <c r="B34" s="29" t="s">
        <v>77</v>
      </c>
      <c r="C34" s="30" t="s">
        <v>78</v>
      </c>
      <c r="D34" s="30" t="s">
        <v>79</v>
      </c>
      <c r="E34" s="30" t="s">
        <v>80</v>
      </c>
      <c r="F34" s="30" t="s">
        <v>81</v>
      </c>
      <c r="G34" s="30" t="s">
        <v>82</v>
      </c>
      <c r="H34" s="30" t="s">
        <v>83</v>
      </c>
      <c r="I34" s="30" t="s">
        <v>84</v>
      </c>
      <c r="J34" s="30" t="s">
        <v>85</v>
      </c>
    </row>
    <row r="35" customFormat="false" ht="15" hidden="false" customHeight="false" outlineLevel="0" collapsed="false">
      <c r="B35" s="31" t="s">
        <v>194</v>
      </c>
      <c r="C35" s="32" t="n">
        <v>68710</v>
      </c>
      <c r="D35" s="32" t="n">
        <v>68710</v>
      </c>
      <c r="E35" s="32" t="n">
        <v>68710</v>
      </c>
      <c r="F35" s="32" t="n">
        <v>0</v>
      </c>
      <c r="G35" s="32" t="n">
        <v>68710</v>
      </c>
      <c r="H35" s="32" t="n">
        <v>0</v>
      </c>
      <c r="I35" s="33" t="s">
        <v>92</v>
      </c>
      <c r="J35" s="34" t="n">
        <v>5</v>
      </c>
    </row>
    <row r="36" customFormat="false" ht="15" hidden="false" customHeight="false" outlineLevel="0" collapsed="false">
      <c r="B36" s="35" t="s">
        <v>194</v>
      </c>
      <c r="C36" s="36" t="n">
        <v>5854</v>
      </c>
      <c r="D36" s="36" t="n">
        <v>5854</v>
      </c>
      <c r="E36" s="36" t="n">
        <v>5854</v>
      </c>
      <c r="F36" s="36" t="n">
        <v>0</v>
      </c>
      <c r="G36" s="36" t="n">
        <v>5854</v>
      </c>
      <c r="H36" s="36" t="n">
        <v>0</v>
      </c>
      <c r="I36" s="37" t="s">
        <v>92</v>
      </c>
      <c r="J36" s="38" t="n">
        <v>5</v>
      </c>
    </row>
    <row r="37" customFormat="false" ht="15" hidden="false" customHeight="false" outlineLevel="0" collapsed="false">
      <c r="B37" s="31" t="s">
        <v>195</v>
      </c>
      <c r="C37" s="32" t="n">
        <v>77000</v>
      </c>
      <c r="D37" s="32" t="n">
        <v>0</v>
      </c>
      <c r="E37" s="32" t="n">
        <v>77000</v>
      </c>
      <c r="F37" s="32" t="n">
        <v>8620</v>
      </c>
      <c r="G37" s="32" t="n">
        <v>85620</v>
      </c>
      <c r="H37" s="32" t="n">
        <v>0</v>
      </c>
      <c r="I37" s="33" t="s">
        <v>90</v>
      </c>
      <c r="J37" s="34" t="n">
        <v>15</v>
      </c>
    </row>
    <row r="38" customFormat="false" ht="15" hidden="false" customHeight="false" outlineLevel="0" collapsed="false">
      <c r="B38" s="35" t="s">
        <v>196</v>
      </c>
      <c r="C38" s="36" t="n">
        <v>41173</v>
      </c>
      <c r="D38" s="36" t="n">
        <v>0</v>
      </c>
      <c r="E38" s="36" t="n">
        <v>4772.32</v>
      </c>
      <c r="F38" s="36" t="n">
        <v>1496.47</v>
      </c>
      <c r="G38" s="36" t="n">
        <v>6268.79</v>
      </c>
      <c r="H38" s="36" t="n">
        <v>34904.21</v>
      </c>
      <c r="I38" s="37" t="s">
        <v>87</v>
      </c>
      <c r="J38" s="38" t="n">
        <v>27.5</v>
      </c>
    </row>
    <row r="39" customFormat="false" ht="15" hidden="false" customHeight="false" outlineLevel="0" collapsed="false">
      <c r="A39" s="10"/>
      <c r="B39" s="11" t="s">
        <v>22</v>
      </c>
      <c r="C39" s="39" t="n">
        <f aca="false">SUM(C35:C38)</f>
        <v>192737</v>
      </c>
      <c r="D39" s="39" t="n">
        <f aca="false">SUM(D35:D38)</f>
        <v>74564</v>
      </c>
      <c r="E39" s="39" t="n">
        <f aca="false">SUM(E35:E38)</f>
        <v>156336.32</v>
      </c>
      <c r="F39" s="39" t="n">
        <f aca="false">SUM(F35:F38)</f>
        <v>10116.47</v>
      </c>
      <c r="G39" s="39" t="n">
        <f aca="false">SUM(G35:G38)</f>
        <v>166452.79</v>
      </c>
      <c r="H39" s="39" t="n">
        <f aca="false">SUM(H35:H38)</f>
        <v>34904.21</v>
      </c>
      <c r="I39" s="10"/>
      <c r="J39" s="10"/>
    </row>
    <row r="41" customFormat="false" ht="15" hidden="false" customHeight="false" outlineLevel="0" collapsed="false">
      <c r="A41" s="27" t="s">
        <v>44</v>
      </c>
      <c r="B41" s="27"/>
      <c r="C41" s="27"/>
      <c r="D41" s="27"/>
      <c r="E41" s="27"/>
    </row>
    <row r="42" customFormat="false" ht="15" hidden="false" customHeight="false" outlineLevel="0" collapsed="false">
      <c r="B42" s="8" t="s">
        <v>102</v>
      </c>
      <c r="C42" s="41" t="n">
        <f aca="false">G31</f>
        <v>46107</v>
      </c>
    </row>
    <row r="43" customFormat="false" ht="15" hidden="false" customHeight="false" outlineLevel="0" collapsed="false">
      <c r="B43" s="8" t="s">
        <v>103</v>
      </c>
      <c r="C43" s="41" t="n">
        <f aca="false">G39</f>
        <v>166452.79</v>
      </c>
    </row>
    <row r="44" customFormat="false" ht="15" hidden="false" customHeight="false" outlineLevel="0" collapsed="false">
      <c r="B44" s="17" t="s">
        <v>44</v>
      </c>
      <c r="C44" s="42" t="n">
        <f aca="false">C43-C42</f>
        <v>120345.79</v>
      </c>
    </row>
  </sheetData>
  <mergeCells count="12">
    <mergeCell ref="A2:J2"/>
    <mergeCell ref="A3:J3"/>
    <mergeCell ref="A4:J4"/>
    <mergeCell ref="A8:J8"/>
    <mergeCell ref="B10:J10"/>
    <mergeCell ref="B12:J12"/>
    <mergeCell ref="B14:J14"/>
    <mergeCell ref="B19:J19"/>
    <mergeCell ref="A25:J25"/>
    <mergeCell ref="A26:J26"/>
    <mergeCell ref="A33:J33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2026-07-08T23:03:35Z</dcterms:created>
  <dc:creator>openpyxl</dc:creator>
  <dc:description/>
  <dc:language>en-US</dc:language>
  <cp:lastModifiedBy/>
  <dcterms:modified xsi:type="dcterms:W3CDTF">2026-07-08T23:03:36Z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