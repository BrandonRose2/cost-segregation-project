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9.xml" ContentType="application/vnd.openxmlformats-officedocument.spreadsheetml.worksheet+xml"/>
  <Override PartName="/xl/worksheets/sheet1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" sheetId="2" state="visible" r:id="rId4"/>
    <sheet name="Clubhouse" sheetId="3" state="visible" r:id="rId5"/>
    <sheet name="Bldg 1" sheetId="4" state="visible" r:id="rId6"/>
    <sheet name="Bldg 2" sheetId="5" state="visible" r:id="rId7"/>
    <sheet name="Bldg 3" sheetId="6" state="visible" r:id="rId8"/>
    <sheet name="Bldg 4" sheetId="7" state="visible" r:id="rId9"/>
    <sheet name="Bldg 5" sheetId="8" state="visible" r:id="rId10"/>
    <sheet name="Bldg 6" sheetId="9" state="visible" r:id="rId11"/>
    <sheet name="Bldg 7" sheetId="10" state="visible" r:id="rId12"/>
    <sheet name="Bldg 8" sheetId="11" state="visible" r:id="rId13"/>
    <sheet name="Bldg 9" sheetId="12" state="visible" r:id="rId14"/>
    <sheet name="Bldg 10" sheetId="13" state="visible" r:id="rId15"/>
    <sheet name="Bldg 11" sheetId="14" state="visible" r:id="rId16"/>
    <sheet name="Bldg 12" sheetId="15" state="visible" r:id="rId17"/>
    <sheet name="Bldg 13" sheetId="16" state="visible" r:id="rId18"/>
    <sheet name="Bldg 14" sheetId="17" state="visible" r:id="rId19"/>
    <sheet name="Bldg 15" sheetId="18" state="visible" r:id="rId20"/>
    <sheet name="Bldg 16" sheetId="19" state="visible" r:id="rId21"/>
    <sheet name="Bldg 17" sheetId="20" state="visible" r:id="rId22"/>
    <sheet name="Bldg 18" sheetId="21" state="visible" r:id="rId23"/>
    <sheet name="Bldg 19" sheetId="22" state="visible" r:id="rId24"/>
    <sheet name="Bldg 20" sheetId="23" state="visible" r:id="rId25"/>
    <sheet name="Bldg 21" sheetId="24" state="visible" r:id="rId26"/>
    <sheet name="Bldg 22" sheetId="25" state="visible" r:id="rId27"/>
    <sheet name="Bldg 23" sheetId="26" state="visible" r:id="rId28"/>
    <sheet name="Bldg 24" sheetId="27" state="visible" r:id="rId29"/>
    <sheet name="Bldg 25" sheetId="28" state="visible" r:id="rId30"/>
    <sheet name="Storage" sheetId="29" state="visible" r:id="rId3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<sst xmlns="http://schemas.openxmlformats.org/spreadsheetml/2006/main" count="2850" uniqueCount="228">
  <si>
    <t xml:space="preserve">Grace Townhomes Housing, LLC</t>
  </si>
  <si>
    <t xml:space="preserve">Summary of Cost Seg Adjustments</t>
  </si>
  <si>
    <t xml:space="preserve">As of December 31, 2024</t>
  </si>
  <si>
    <t xml:space="preserve">Acq Date</t>
  </si>
  <si>
    <t xml:space="preserve">Asset Description</t>
  </si>
  <si>
    <t xml:space="preserve">Total</t>
  </si>
  <si>
    <t xml:space="preserve">Site</t>
  </si>
  <si>
    <t xml:space="preserve">Clubhouse</t>
  </si>
  <si>
    <t xml:space="preserve">Bldg 1</t>
  </si>
  <si>
    <t xml:space="preserve">Bldg 2</t>
  </si>
  <si>
    <t xml:space="preserve">Bldg 3</t>
  </si>
  <si>
    <t xml:space="preserve">Bldg 4</t>
  </si>
  <si>
    <t xml:space="preserve">Bldg 5</t>
  </si>
  <si>
    <t xml:space="preserve">Bldg 6</t>
  </si>
  <si>
    <t xml:space="preserve">Bldg 7</t>
  </si>
  <si>
    <t xml:space="preserve">Bldg 8</t>
  </si>
  <si>
    <t xml:space="preserve">Bldg 9</t>
  </si>
  <si>
    <t xml:space="preserve">Bldg 10</t>
  </si>
  <si>
    <t xml:space="preserve">Bldg 11</t>
  </si>
  <si>
    <t xml:space="preserve">Bldg 12</t>
  </si>
  <si>
    <t xml:space="preserve">Bldg 13</t>
  </si>
  <si>
    <t xml:space="preserve">Bldg 14</t>
  </si>
  <si>
    <t xml:space="preserve">Bldg 15</t>
  </si>
  <si>
    <t xml:space="preserve">Bldg 16</t>
  </si>
  <si>
    <t xml:space="preserve">Bldg 17</t>
  </si>
  <si>
    <t xml:space="preserve">Bldg 18</t>
  </si>
  <si>
    <t xml:space="preserve">Bldg 19</t>
  </si>
  <si>
    <t xml:space="preserve">Bldg 20</t>
  </si>
  <si>
    <t xml:space="preserve">Bldg 21</t>
  </si>
  <si>
    <t xml:space="preserve">Bldg 22</t>
  </si>
  <si>
    <t xml:space="preserve">Bldg 23</t>
  </si>
  <si>
    <t xml:space="preserve">Bldg 24</t>
  </si>
  <si>
    <t xml:space="preserve">Bldg 25</t>
  </si>
  <si>
    <t xml:space="preserve">Storage</t>
  </si>
  <si>
    <t xml:space="preserve">Grand Total</t>
  </si>
  <si>
    <t xml:space="preserve">Section 481(a) Adjustment Summary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</si>
  <si>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</si>
  <si>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</si>
  <si>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</si>
  <si>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Cost Segregation Study - Site</t>
  </si>
  <si>
    <t xml:space="preserve">Report #107752-11</t>
  </si>
  <si>
    <t xml:space="preserve">Acquisition Date:</t>
  </si>
  <si>
    <t xml:space="preserve">12/17/15</t>
  </si>
  <si>
    <t xml:space="preserve">Grace Townhomes Housing, LLC - Site</t>
  </si>
  <si>
    <t xml:space="preserve">Property Category</t>
  </si>
  <si>
    <t xml:space="preserve">Cost</t>
  </si>
  <si>
    <t xml:space="preserve">5 Year</t>
  </si>
  <si>
    <t xml:space="preserve">7 Year</t>
  </si>
  <si>
    <t xml:space="preserve">15 Year</t>
  </si>
  <si>
    <t xml:space="preserve">27.5 Year</t>
  </si>
  <si>
    <t xml:space="preserve">15 yr QIP</t>
  </si>
  <si>
    <t xml:space="preserve">Site Work / Improvements</t>
  </si>
  <si>
    <t xml:space="preserve">Site Drainage</t>
  </si>
  <si>
    <t xml:space="preserve">Parking Lot</t>
  </si>
  <si>
    <t xml:space="preserve">Exterior Signage</t>
  </si>
  <si>
    <t xml:space="preserve">Parking Lot Striping / Barriers</t>
  </si>
  <si>
    <t xml:space="preserve">Sidewalks / Curbs</t>
  </si>
  <si>
    <t xml:space="preserve">Landscaping</t>
  </si>
  <si>
    <t xml:space="preserve">Security Lighting Poles</t>
  </si>
  <si>
    <t xml:space="preserve">Exterior Fencing</t>
  </si>
  <si>
    <t xml:space="preserve">Dumpster Enclosures</t>
  </si>
  <si>
    <t xml:space="preserve">Swimming Pool &amp; Spa</t>
  </si>
  <si>
    <t xml:space="preserve">Fire Hydrants</t>
  </si>
  <si>
    <t xml:space="preserve">Exterior Equipment Concrete Pads</t>
  </si>
  <si>
    <t xml:space="preserve">Playgrounds</t>
  </si>
  <si>
    <t xml:space="preserve">Site Utilities</t>
  </si>
  <si>
    <t xml:space="preserve">Total Cost</t>
  </si>
  <si>
    <t xml:space="preserve">Asset Allocation:</t>
  </si>
  <si>
    <t xml:space="preserve">Asset #1 - Building</t>
  </si>
  <si>
    <t xml:space="preserve">Asset #5 - Building</t>
  </si>
  <si>
    <t xml:space="preserve">Asset #3 - Land Improvements</t>
  </si>
  <si>
    <t xml:space="preserve">Asset #4 - Equipment</t>
  </si>
  <si>
    <t xml:space="preserve">Total Allocation:</t>
  </si>
  <si>
    <t xml:space="preserve">End Depreciation Reconciliation</t>
  </si>
  <si>
    <t xml:space="preserve">Property Description</t>
  </si>
  <si>
    <t xml:space="preserve">Tax Cost</t>
  </si>
  <si>
    <t xml:space="preserve">Tax Bonus Amt</t>
  </si>
  <si>
    <t xml:space="preserve">Tax Prior Depr</t>
  </si>
  <si>
    <t xml:space="preserve">Tax Current Depr</t>
  </si>
  <si>
    <t xml:space="preserve">Tax End Depr</t>
  </si>
  <si>
    <t xml:space="preserve">Tax Net Book Value</t>
  </si>
  <si>
    <t xml:space="preserve">Tax Method</t>
  </si>
  <si>
    <t xml:space="preserve">Tax Period</t>
  </si>
  <si>
    <t xml:space="preserve">1 - Building - Site</t>
  </si>
  <si>
    <t xml:space="preserve">S/L</t>
  </si>
  <si>
    <t xml:space="preserve">5 - Building - Site</t>
  </si>
  <si>
    <t xml:space="preserve">3 - Land Improvements - Site</t>
  </si>
  <si>
    <t xml:space="preserve">150DB</t>
  </si>
  <si>
    <t xml:space="preserve">4 - Equipment - Site</t>
  </si>
  <si>
    <t xml:space="preserve">200DB</t>
  </si>
  <si>
    <t xml:space="preserve">After Cost Segregation Correction</t>
  </si>
  <si>
    <t xml:space="preserve">1 - Building - Site - 15yr</t>
  </si>
  <si>
    <t xml:space="preserve">1 - Building - Site - 27.5yr</t>
  </si>
  <si>
    <t xml:space="preserve">5 - Building - Site - 15yr</t>
  </si>
  <si>
    <t xml:space="preserve">5 - Building - Site - 27.5yr</t>
  </si>
  <si>
    <t xml:space="preserve">3 - Land Improvements - Site - 15yr</t>
  </si>
  <si>
    <t xml:space="preserve">3 - Land Improvements - Site - 27.5yr</t>
  </si>
  <si>
    <t xml:space="preserve">4 - Equipment - Site - 15yr</t>
  </si>
  <si>
    <t xml:space="preserve">4 - Equipment - Site - 27.5yr</t>
  </si>
  <si>
    <t xml:space="preserve">Depreciation Reported Previously</t>
  </si>
  <si>
    <t xml:space="preserve">Cost Segregation Corrected Depreciation</t>
  </si>
  <si>
    <t xml:space="preserve">Cost Segregation Study - Clubhouse</t>
  </si>
  <si>
    <t xml:space="preserve">Grace Townhomes Housing, LLC - Clubhouse</t>
  </si>
  <si>
    <t xml:space="preserve">Building Components</t>
  </si>
  <si>
    <t xml:space="preserve">Cabinets / Millwork</t>
  </si>
  <si>
    <t xml:space="preserve">Moldings</t>
  </si>
  <si>
    <t xml:space="preserve">Flooring - Vinyl Plank</t>
  </si>
  <si>
    <t xml:space="preserve">Security System</t>
  </si>
  <si>
    <t xml:space="preserve">Window Treatments</t>
  </si>
  <si>
    <t xml:space="preserve">Specialty Electrical - Appliances</t>
  </si>
  <si>
    <t xml:space="preserve">Communication / Data</t>
  </si>
  <si>
    <t xml:space="preserve">Specialty Plumbing - Kitchen Sink</t>
  </si>
  <si>
    <t xml:space="preserve">Security / Exterior Lighting</t>
  </si>
  <si>
    <t xml:space="preserve">Mailboxes</t>
  </si>
  <si>
    <t xml:space="preserve">Building Structure</t>
  </si>
  <si>
    <t xml:space="preserve">Roofing Systems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</si>
  <si>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</si>
  <si>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</si>
  <si>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</si>
  <si>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</si>
  <si>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</si>
  <si>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</si>
  <si>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</si>
  <si>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</si>
  <si>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</si>
  <si>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</si>
  <si>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</si>
  <si>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Gutter Systems</t>
  </si>
  <si>
    <t xml:space="preserve">Emergency Lighting</t>
  </si>
  <si>
    <t xml:space="preserve">Structural Framing</t>
  </si>
  <si>
    <t xml:space="preserve">Bathroom Accessories</t>
  </si>
  <si>
    <t xml:space="preserve">Ceramic Tile Flooring</t>
  </si>
  <si>
    <t xml:space="preserve">1 - Building - Clubhouse</t>
  </si>
  <si>
    <t xml:space="preserve">5 - Building - Clubhouse</t>
  </si>
  <si>
    <t xml:space="preserve">3 - Land Improvements - Clubhouse</t>
  </si>
  <si>
    <t xml:space="preserve">4 - Equipment - Clubhouse</t>
  </si>
  <si>
    <t xml:space="preserve">1 - Building - Clubhouse - 5yr</t>
  </si>
  <si>
    <t xml:space="preserve">1 - Building - Clubhouse - 27.5yr</t>
  </si>
  <si>
    <t xml:space="preserve">5 - Building - Clubhouse - 5yr</t>
  </si>
  <si>
    <t xml:space="preserve">5 - Building - Clubhouse - 27.5yr</t>
  </si>
  <si>
    <t xml:space="preserve">3 - Land Improvements - Clubhouse - 5yr</t>
  </si>
  <si>
    <t xml:space="preserve">3 - Land Improvements - Clubhouse - 27.5yr</t>
  </si>
  <si>
    <t xml:space="preserve">4 - Equipment - Clubhouse - 5yr</t>
  </si>
  <si>
    <t xml:space="preserve">4 - Equipment - Clubhouse - 27.5yr</t>
  </si>
  <si>
    <t xml:space="preserve">Cost Segregation Study - Building 1</t>
  </si>
  <si>
    <t xml:space="preserve">Grace Townhomes Housing, LLC - Building 1</t>
  </si>
  <si>
    <t xml:space="preserve">Specialty HVAC - Dryer Vents</t>
  </si>
  <si>
    <t xml:space="preserve">Building Signage</t>
  </si>
  <si>
    <t xml:space="preserve">Specialty Plumbing - Kitchen Sinks / Laundry</t>
  </si>
  <si>
    <t xml:space="preserve">Access Control</t>
  </si>
  <si>
    <t xml:space="preserve">Appliances</t>
  </si>
  <si>
    <t xml:space="preserve">Stairs / Balconies</t>
  </si>
  <si>
    <t xml:space="preserve">Cabinets / Millwork - Restrooms</t>
  </si>
  <si>
    <t xml:space="preserve">1 - Building - Apt</t>
  </si>
  <si>
    <t xml:space="preserve">5 - Building - Apt</t>
  </si>
  <si>
    <t xml:space="preserve">3 - Land Improvements - Apt</t>
  </si>
  <si>
    <t xml:space="preserve">4 - Equipment - Apt</t>
  </si>
  <si>
    <t xml:space="preserve">1 - Building - Apt - 5yr</t>
  </si>
  <si>
    <t xml:space="preserve">1 - Building - Apt - 27.5yr</t>
  </si>
  <si>
    <t xml:space="preserve">5 - Building - Apt - 5yr</t>
  </si>
  <si>
    <t xml:space="preserve">5 - Building - Apt - 27.5yr</t>
  </si>
  <si>
    <t xml:space="preserve">3 - Land Improvements - Apt - 5yr</t>
  </si>
  <si>
    <t xml:space="preserve">3 - Land Improvements - Apt - 27.5yr</t>
  </si>
  <si>
    <t xml:space="preserve">4 - Equipment - Apt - 5yr</t>
  </si>
  <si>
    <t xml:space="preserve">4 - Equipment - Apt - 27.5yr</t>
  </si>
  <si>
    <t xml:space="preserve">Cost Segregation Study - Building 2</t>
  </si>
  <si>
    <t xml:space="preserve">Grace Townhomes Housing, LLC - Building 2</t>
  </si>
  <si>
    <t xml:space="preserve">Cost Segregation Study - Building 3</t>
  </si>
  <si>
    <t xml:space="preserve">Grace Townhomes Housing, LLC - Building 3</t>
  </si>
  <si>
    <t xml:space="preserve">Cost Segregation Study - Building 4</t>
  </si>
  <si>
    <t xml:space="preserve">Grace Townhomes Housing, LLC - Building 4</t>
  </si>
  <si>
    <t xml:space="preserve">Cost Segregation Study - Building 5</t>
  </si>
  <si>
    <t xml:space="preserve">Grace Townhomes Housing, LLC - Building 5</t>
  </si>
  <si>
    <t xml:space="preserve">Cost Segregation Study - Building 6</t>
  </si>
  <si>
    <t xml:space="preserve">Grace Townhomes Housing, LLC - Building 6</t>
  </si>
  <si>
    <t xml:space="preserve">Cost Segregation Study - Building 7</t>
  </si>
  <si>
    <t xml:space="preserve">Grace Townhomes Housing, LLC - Building 7</t>
  </si>
  <si>
    <t xml:space="preserve">Cost Segregation Study - Building 8</t>
  </si>
  <si>
    <t xml:space="preserve">Grace Townhomes Housing, LLC - Building 8</t>
  </si>
  <si>
    <t xml:space="preserve">Cost Segregation Study - Building 9</t>
  </si>
  <si>
    <t xml:space="preserve">Grace Townhomes Housing, LLC - Building 9</t>
  </si>
  <si>
    <t xml:space="preserve">Cost Segregation Study - Building 10</t>
  </si>
  <si>
    <t xml:space="preserve">Grace Townhomes Housing, LLC - Building 10</t>
  </si>
  <si>
    <t xml:space="preserve">Cost Segregation Study - Building 11</t>
  </si>
  <si>
    <t xml:space="preserve">Grace Townhomes Housing, LLC - Building 11</t>
  </si>
  <si>
    <t xml:space="preserve">Cost Segregation Study - Building 12</t>
  </si>
  <si>
    <t xml:space="preserve">Grace Townhomes Housing, LLC - Building 12</t>
  </si>
  <si>
    <t xml:space="preserve">Cost Segregation Study - Building 13</t>
  </si>
  <si>
    <t xml:space="preserve">Grace Townhomes Housing, LLC - Building 13</t>
  </si>
  <si>
    <t xml:space="preserve">Cost Segregation Study - Building 14</t>
  </si>
  <si>
    <t xml:space="preserve">Grace Townhomes Housing, LLC - Building 14</t>
  </si>
  <si>
    <t xml:space="preserve">Cost Segregation Study - Building 15</t>
  </si>
  <si>
    <t xml:space="preserve">Grace Townhomes Housing, LLC - Building 15</t>
  </si>
  <si>
    <t xml:space="preserve">Cost Segregation Study - Building 16</t>
  </si>
  <si>
    <t xml:space="preserve">Grace Townhomes Housing, LLC - Building 16</t>
  </si>
  <si>
    <t xml:space="preserve">Cost Segregation Study - Building 17</t>
  </si>
  <si>
    <t xml:space="preserve">Grace Townhomes Housing, LLC - Building 17</t>
  </si>
  <si>
    <t xml:space="preserve">Cost Segregation Study - Building 18</t>
  </si>
  <si>
    <t xml:space="preserve">Grace Townhomes Housing, LLC - Building 18</t>
  </si>
  <si>
    <t xml:space="preserve">Cost Segregation Study - Building 19</t>
  </si>
  <si>
    <t xml:space="preserve">Grace Townhomes Housing, LLC - Building 19</t>
  </si>
  <si>
    <t xml:space="preserve">Cost Segregation Study - Building 20</t>
  </si>
  <si>
    <t xml:space="preserve">Grace Townhomes Housing, LLC - Building 20</t>
  </si>
  <si>
    <t xml:space="preserve">Cost Segregation Study - Building 21</t>
  </si>
  <si>
    <t xml:space="preserve">Grace Townhomes Housing, LLC - Building 21</t>
  </si>
  <si>
    <t xml:space="preserve">Cost Segregation Study - Building 22</t>
  </si>
  <si>
    <t xml:space="preserve">Grace Townhomes Housing, LLC - Building 22</t>
  </si>
  <si>
    <t xml:space="preserve">Cost Segregation Study - Building 23</t>
  </si>
  <si>
    <t xml:space="preserve">Grace Townhomes Housing, LLC - Building 23</t>
  </si>
  <si>
    <t xml:space="preserve">Cost Segregation Study - Building 24</t>
  </si>
  <si>
    <t xml:space="preserve">Grace Townhomes Housing, LLC - Building 24</t>
  </si>
  <si>
    <t xml:space="preserve">Cost Segregation Study - Building 25</t>
  </si>
  <si>
    <t xml:space="preserve">Grace Townhomes Housing, LLC - Building 25</t>
  </si>
  <si>
    <t xml:space="preserve">Cost Segregation Study - Storage</t>
  </si>
  <si>
    <t xml:space="preserve">Grace Townhomes Housing, LLC - Storage</t>
  </si>
  <si>
    <t xml:space="preserve">Flooring - Sealed Concrete</t>
  </si>
  <si>
    <t xml:space="preserve">1 - Building - Storage</t>
  </si>
  <si>
    <t xml:space="preserve">5 - Building - Storage</t>
  </si>
  <si>
    <t xml:space="preserve">3 - Land Improvements - Storage</t>
  </si>
  <si>
    <t xml:space="preserve">4 - Equipment - Storage</t>
  </si>
  <si>
    <t xml:space="preserve">1 - Building - Storage - 5yr</t>
  </si>
  <si>
    <t xml:space="preserve">1 - Building - Storage - 27.5yr</t>
  </si>
  <si>
    <t xml:space="preserve">5 - Building - Storage - 5yr</t>
  </si>
  <si>
    <t xml:space="preserve">5 - Building - Storage - 27.5yr</t>
  </si>
  <si>
    <t xml:space="preserve">3 - Land Improvements - Storage - 5yr</t>
  </si>
  <si>
    <t xml:space="preserve">3 - Land Improvements - Storage - 27.5yr</t>
  </si>
  <si>
    <t xml:space="preserve">4 - Equipment - Storage - 5yr</t>
  </si>
  <si>
    <t xml:space="preserve">4 - Equipment - Storage - 27.5yr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</si>
</sst>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"/>
    <numFmt numFmtId="167" formatCode="\$#,##0.00;&quot;($&quot;#,##0.00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34" min="5" style="0" width="14"/>
  </cols>
  <sheetData>
    <row r="2" customFormat="false" ht="17.35" hidden="false" customHeight="fals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  <c r="T6" s="4" t="s">
        <v>21</v>
      </c>
      <c r="U6" s="4" t="s">
        <v>22</v>
      </c>
      <c r="V6" s="4" t="s">
        <v>23</v>
      </c>
      <c r="W6" s="4" t="s">
        <v>24</v>
      </c>
      <c r="X6" s="4" t="s">
        <v>25</v>
      </c>
      <c r="Y6" s="4" t="s">
        <v>26</v>
      </c>
      <c r="Z6" s="4" t="s">
        <v>27</v>
      </c>
      <c r="AA6" s="4" t="s">
        <v>28</v>
      </c>
      <c r="AB6" s="4" t="s">
        <v>29</v>
      </c>
      <c r="AC6" s="4" t="s">
        <v>30</v>
      </c>
      <c r="AD6" s="4" t="s">
        <v>31</v>
      </c>
      <c r="AE6" s="4" t="s">
        <v>32</v>
      </c>
      <c r="AF6" s="4" t="s">
        <v>33</v>
      </c>
      <c r="AG6" s="4" t="s">
        <v>34</v>
      </c>
    </row>
    <row r="7" customFormat="false" ht="15" hidden="false" customHeight="false" outlineLevel="0" collapsed="false">
      <c r="A7" s="5"/>
      <c r="B7" s="6" t="s">
        <v>35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customFormat="false" ht="15" hidden="false" customHeight="false" outlineLevel="0" collapsed="false">
      <c r="C8" s="7" t="s">
        <v>36</v>
      </c>
      <c r="D8" s="8" t="n">
        <f aca="false">SUM(E8:AF8)</f>
        <v>2263046.91</v>
      </c>
      <c r="E8" s="9" t="n">
        <v>353546.9</v>
      </c>
      <c r="F8" s="9" t="n">
        <v>48793.35</v>
      </c>
      <c r="G8" s="9" t="n">
        <v>117847.47</v>
      </c>
      <c r="H8" s="9" t="n">
        <v>117847.47</v>
      </c>
      <c r="I8" s="9" t="n">
        <v>64826.13</v>
      </c>
      <c r="J8" s="9" t="n">
        <v>50617.97</v>
      </c>
      <c r="K8" s="9" t="n">
        <v>64826.13</v>
      </c>
      <c r="L8" s="9" t="n">
        <v>64826.13</v>
      </c>
      <c r="M8" s="9" t="n">
        <v>64826.13</v>
      </c>
      <c r="N8" s="9" t="n">
        <v>64826.13</v>
      </c>
      <c r="O8" s="9" t="n">
        <v>64826.13</v>
      </c>
      <c r="P8" s="9" t="n">
        <v>64826.13</v>
      </c>
      <c r="Q8" s="9" t="n">
        <v>50617.97</v>
      </c>
      <c r="R8" s="9" t="n">
        <v>117847.47</v>
      </c>
      <c r="S8" s="9" t="n">
        <v>156654.5</v>
      </c>
      <c r="T8" s="9" t="n">
        <v>117847.47</v>
      </c>
      <c r="U8" s="9" t="n">
        <v>50617.97</v>
      </c>
      <c r="V8" s="9" t="n">
        <v>64826.13</v>
      </c>
      <c r="W8" s="9" t="n">
        <v>64826.13</v>
      </c>
      <c r="X8" s="9" t="n">
        <v>50617.97</v>
      </c>
      <c r="Y8" s="9" t="n">
        <v>64826.13</v>
      </c>
      <c r="Z8" s="9" t="n">
        <v>50617.97</v>
      </c>
      <c r="AA8" s="9" t="n">
        <v>64826.13</v>
      </c>
      <c r="AB8" s="9" t="n">
        <v>64826.13</v>
      </c>
      <c r="AC8" s="9" t="n">
        <v>64826.13</v>
      </c>
      <c r="AD8" s="9" t="n">
        <v>64826.13</v>
      </c>
      <c r="AE8" s="9" t="n">
        <v>64826.13</v>
      </c>
      <c r="AF8" s="9" t="n">
        <v>7180.48</v>
      </c>
      <c r="AG8" s="8" t="n">
        <f aca="false">SUM(E8:AF8)</f>
        <v>2263046.91</v>
      </c>
    </row>
    <row r="9" customFormat="false" ht="15" hidden="false" customHeight="false" outlineLevel="0" collapsed="false">
      <c r="C9" s="7" t="s">
        <v>37</v>
      </c>
      <c r="D9" s="8" t="n">
        <f aca="false">SUM(E9:AF9)</f>
        <v>2468629.75</v>
      </c>
      <c r="E9" s="9" t="n">
        <v>433789.43</v>
      </c>
      <c r="F9" s="9" t="n">
        <v>49993.81</v>
      </c>
      <c r="G9" s="9" t="n">
        <v>123336.9</v>
      </c>
      <c r="H9" s="9" t="n">
        <v>123336.9</v>
      </c>
      <c r="I9" s="9" t="n">
        <v>69365.5</v>
      </c>
      <c r="J9" s="9" t="n">
        <v>56065.03</v>
      </c>
      <c r="K9" s="9" t="n">
        <v>69365.5</v>
      </c>
      <c r="L9" s="9" t="n">
        <v>69365.5</v>
      </c>
      <c r="M9" s="9" t="n">
        <v>69365.5</v>
      </c>
      <c r="N9" s="9" t="n">
        <v>69365.5</v>
      </c>
      <c r="O9" s="9" t="n">
        <v>69365.5</v>
      </c>
      <c r="P9" s="9" t="n">
        <v>69365.5</v>
      </c>
      <c r="Q9" s="9" t="n">
        <v>56065.03</v>
      </c>
      <c r="R9" s="9" t="n">
        <v>123336.9</v>
      </c>
      <c r="S9" s="9" t="n">
        <v>164992.09</v>
      </c>
      <c r="T9" s="9" t="n">
        <v>123336.9</v>
      </c>
      <c r="U9" s="9" t="n">
        <v>56065.03</v>
      </c>
      <c r="V9" s="9" t="n">
        <v>69365.5</v>
      </c>
      <c r="W9" s="9" t="n">
        <v>69365.5</v>
      </c>
      <c r="X9" s="9" t="n">
        <v>56065.03</v>
      </c>
      <c r="Y9" s="9" t="n">
        <v>69365.5</v>
      </c>
      <c r="Z9" s="9" t="n">
        <v>56065.03</v>
      </c>
      <c r="AA9" s="9" t="n">
        <v>69365.5</v>
      </c>
      <c r="AB9" s="9" t="n">
        <v>69365.5</v>
      </c>
      <c r="AC9" s="9" t="n">
        <v>69365.5</v>
      </c>
      <c r="AD9" s="9" t="n">
        <v>69365.5</v>
      </c>
      <c r="AE9" s="9" t="n">
        <v>69365.5</v>
      </c>
      <c r="AF9" s="9" t="n">
        <v>5699.17</v>
      </c>
      <c r="AG9" s="8" t="n">
        <f aca="false">SUM(E9:AF9)</f>
        <v>2468629.75</v>
      </c>
    </row>
    <row r="10" customFormat="false" ht="15" hidden="false" customHeight="false" outlineLevel="0" collapsed="false">
      <c r="C10" s="10" t="s">
        <v>38</v>
      </c>
      <c r="D10" s="11" t="n">
        <f aca="false">SUM(E10:AF10)</f>
        <v>-205582.84</v>
      </c>
      <c r="E10" s="12" t="n">
        <v>-80242.53</v>
      </c>
      <c r="F10" s="12" t="n">
        <v>-1200.46</v>
      </c>
      <c r="G10" s="12" t="n">
        <v>-5489.43</v>
      </c>
      <c r="H10" s="12" t="n">
        <v>-5489.43</v>
      </c>
      <c r="I10" s="12" t="n">
        <v>-4539.37</v>
      </c>
      <c r="J10" s="12" t="n">
        <v>-5447.06</v>
      </c>
      <c r="K10" s="12" t="n">
        <v>-4539.37</v>
      </c>
      <c r="L10" s="12" t="n">
        <v>-4539.37</v>
      </c>
      <c r="M10" s="12" t="n">
        <v>-4539.37</v>
      </c>
      <c r="N10" s="12" t="n">
        <v>-4539.37</v>
      </c>
      <c r="O10" s="12" t="n">
        <v>-4539.37</v>
      </c>
      <c r="P10" s="12" t="n">
        <v>-4539.37</v>
      </c>
      <c r="Q10" s="12" t="n">
        <v>-5447.06</v>
      </c>
      <c r="R10" s="12" t="n">
        <v>-5489.43</v>
      </c>
      <c r="S10" s="12" t="n">
        <v>-8337.59</v>
      </c>
      <c r="T10" s="12" t="n">
        <v>-5489.43</v>
      </c>
      <c r="U10" s="12" t="n">
        <v>-5447.06</v>
      </c>
      <c r="V10" s="12" t="n">
        <v>-4539.37</v>
      </c>
      <c r="W10" s="12" t="n">
        <v>-4539.37</v>
      </c>
      <c r="X10" s="12" t="n">
        <v>-5447.06</v>
      </c>
      <c r="Y10" s="12" t="n">
        <v>-4539.37</v>
      </c>
      <c r="Z10" s="12" t="n">
        <v>-5447.06</v>
      </c>
      <c r="AA10" s="12" t="n">
        <v>-4539.37</v>
      </c>
      <c r="AB10" s="12" t="n">
        <v>-4539.37</v>
      </c>
      <c r="AC10" s="12" t="n">
        <v>-4539.37</v>
      </c>
      <c r="AD10" s="12" t="n">
        <v>-4539.37</v>
      </c>
      <c r="AE10" s="12" t="n">
        <v>-4539.37</v>
      </c>
      <c r="AF10" s="12" t="n">
        <v>1481.31</v>
      </c>
      <c r="AG10" s="11" t="n">
        <f aca="false">SUM(E10:AF10)</f>
        <v>-205582.84</v>
      </c>
    </row>
  </sheetData>
  <mergeCells count="4">
    <mergeCell ref="A2:AG2"/>
    <mergeCell ref="A3:AG3"/>
    <mergeCell ref="A4:AG4"/>
    <mergeCell ref="B7:AG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39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43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51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52</v>
      </c>
      <c r="C11" s="21" t="n">
        <v>6585</v>
      </c>
      <c r="F11" s="21" t="n">
        <v>6585</v>
      </c>
    </row>
    <row r="12" customFormat="false" ht="15" hidden="false" customHeight="false" outlineLevel="0" collapsed="false">
      <c r="B12" s="15" t="s">
        <v>53</v>
      </c>
      <c r="C12" s="21" t="n">
        <v>197049.29</v>
      </c>
      <c r="F12" s="21" t="n">
        <v>197049.29</v>
      </c>
    </row>
    <row r="13" customFormat="false" ht="15" hidden="false" customHeight="false" outlineLevel="0" collapsed="false">
      <c r="B13" s="15" t="s">
        <v>54</v>
      </c>
      <c r="C13" s="21" t="n">
        <v>1558.83</v>
      </c>
      <c r="F13" s="21" t="n">
        <v>1558.83</v>
      </c>
    </row>
    <row r="14" customFormat="false" ht="15" hidden="false" customHeight="false" outlineLevel="0" collapsed="false">
      <c r="B14" s="15" t="s">
        <v>55</v>
      </c>
      <c r="C14" s="21" t="n">
        <v>3348.88</v>
      </c>
      <c r="F14" s="21" t="n">
        <v>3348.88</v>
      </c>
    </row>
    <row r="15" customFormat="false" ht="15" hidden="false" customHeight="false" outlineLevel="0" collapsed="false">
      <c r="B15" s="15" t="s">
        <v>56</v>
      </c>
      <c r="C15" s="21" t="n">
        <v>171862.61</v>
      </c>
      <c r="F15" s="21" t="n">
        <v>171862.61</v>
      </c>
    </row>
    <row r="16" customFormat="false" ht="15" hidden="false" customHeight="false" outlineLevel="0" collapsed="false">
      <c r="B16" s="15" t="s">
        <v>57</v>
      </c>
      <c r="C16" s="21" t="n">
        <v>3748.12</v>
      </c>
      <c r="F16" s="21" t="n">
        <v>3748.12</v>
      </c>
    </row>
    <row r="17" customFormat="false" ht="15" hidden="false" customHeight="false" outlineLevel="0" collapsed="false">
      <c r="B17" s="15" t="s">
        <v>58</v>
      </c>
      <c r="C17" s="21" t="n">
        <v>5352.49</v>
      </c>
      <c r="F17" s="21" t="n">
        <v>5352.49</v>
      </c>
    </row>
    <row r="18" customFormat="false" ht="15" hidden="false" customHeight="false" outlineLevel="0" collapsed="false">
      <c r="B18" s="15" t="s">
        <v>59</v>
      </c>
      <c r="C18" s="21" t="n">
        <v>43171.77</v>
      </c>
      <c r="F18" s="21" t="n">
        <v>43171.77</v>
      </c>
    </row>
    <row r="19" customFormat="false" ht="15" hidden="false" customHeight="false" outlineLevel="0" collapsed="false">
      <c r="B19" s="15" t="s">
        <v>60</v>
      </c>
      <c r="C19" s="21" t="n">
        <v>3820.42</v>
      </c>
      <c r="F19" s="21" t="n">
        <v>3820.42</v>
      </c>
    </row>
    <row r="20" customFormat="false" ht="15" hidden="false" customHeight="false" outlineLevel="0" collapsed="false">
      <c r="B20" s="15" t="s">
        <v>61</v>
      </c>
      <c r="C20" s="21" t="n">
        <v>29214.83</v>
      </c>
      <c r="F20" s="21" t="n">
        <v>29214.83</v>
      </c>
    </row>
    <row r="21" customFormat="false" ht="15" hidden="false" customHeight="false" outlineLevel="0" collapsed="false">
      <c r="B21" s="15" t="s">
        <v>62</v>
      </c>
      <c r="C21" s="21" t="n">
        <v>5694.27</v>
      </c>
      <c r="F21" s="21" t="n">
        <v>5694.27</v>
      </c>
    </row>
    <row r="22" customFormat="false" ht="15" hidden="false" customHeight="false" outlineLevel="0" collapsed="false">
      <c r="B22" s="15" t="s">
        <v>63</v>
      </c>
      <c r="C22" s="21" t="n">
        <v>6803.37</v>
      </c>
      <c r="F22" s="21" t="n">
        <v>6803.37</v>
      </c>
    </row>
    <row r="23" customFormat="false" ht="15" hidden="false" customHeight="false" outlineLevel="0" collapsed="false">
      <c r="B23" s="15" t="s">
        <v>64</v>
      </c>
      <c r="C23" s="21" t="n">
        <v>10151.48</v>
      </c>
      <c r="F23" s="21" t="n">
        <v>10151.48</v>
      </c>
    </row>
    <row r="24" customFormat="false" ht="15" hidden="false" customHeight="false" outlineLevel="0" collapsed="false">
      <c r="A24" s="19"/>
      <c r="B24" s="20" t="s">
        <v>65</v>
      </c>
      <c r="C24" s="20"/>
      <c r="D24" s="20"/>
      <c r="E24" s="20"/>
      <c r="F24" s="20"/>
      <c r="G24" s="20"/>
      <c r="H24" s="20"/>
      <c r="I24" s="20"/>
      <c r="J24" s="20"/>
    </row>
    <row r="25" customFormat="false" ht="15" hidden="false" customHeight="false" outlineLevel="0" collapsed="false">
      <c r="B25" s="15" t="s">
        <v>65</v>
      </c>
      <c r="C25" s="21" t="n">
        <v>318129.54</v>
      </c>
      <c r="G25" s="21" t="n">
        <v>318129.54</v>
      </c>
    </row>
    <row r="26" customFormat="false" ht="15" hidden="false" customHeight="false" outlineLevel="0" collapsed="false">
      <c r="A26" s="22"/>
      <c r="B26" s="23" t="s">
        <v>66</v>
      </c>
      <c r="C26" s="24" t="n">
        <f aca="false">SUM(C10:C25)</f>
        <v>806490.9</v>
      </c>
      <c r="D26" s="24" t="n">
        <f aca="false">SUM(D10:D25)</f>
        <v>0</v>
      </c>
      <c r="E26" s="24" t="n">
        <f aca="false">SUM(E10:E25)</f>
        <v>0</v>
      </c>
      <c r="F26" s="24" t="n">
        <f aca="false">SUM(F10:F25)</f>
        <v>488361.36</v>
      </c>
      <c r="G26" s="24" t="n">
        <f aca="false">SUM(G10:G25)</f>
        <v>318129.54</v>
      </c>
      <c r="H26" s="22"/>
    </row>
    <row r="28" customFormat="false" ht="15" hidden="false" customHeight="false" outlineLevel="0" collapsed="false">
      <c r="A28" s="19"/>
      <c r="B28" s="20" t="s">
        <v>67</v>
      </c>
      <c r="C28" s="20"/>
      <c r="D28" s="20"/>
      <c r="E28" s="20"/>
      <c r="F28" s="20"/>
      <c r="G28" s="20"/>
      <c r="H28" s="20"/>
      <c r="I28" s="20"/>
      <c r="J28" s="20"/>
    </row>
    <row r="29" customFormat="false" ht="15" hidden="false" customHeight="false" outlineLevel="0" collapsed="false">
      <c r="B29" s="15" t="s">
        <v>68</v>
      </c>
      <c r="C29" s="21" t="n">
        <v>636512.99</v>
      </c>
      <c r="F29" s="21" t="n">
        <v>385433.18</v>
      </c>
      <c r="G29" s="21" t="n">
        <v>251079.81</v>
      </c>
    </row>
    <row r="30" customFormat="false" ht="15" hidden="false" customHeight="false" outlineLevel="0" collapsed="false">
      <c r="B30" s="15" t="s">
        <v>69</v>
      </c>
      <c r="C30" s="21" t="n">
        <v>1159.28</v>
      </c>
      <c r="F30" s="21" t="n">
        <v>701.99</v>
      </c>
      <c r="G30" s="21" t="n">
        <v>457.29</v>
      </c>
    </row>
    <row r="31" customFormat="false" ht="15" hidden="false" customHeight="false" outlineLevel="0" collapsed="false">
      <c r="B31" s="15" t="s">
        <v>70</v>
      </c>
      <c r="C31" s="21" t="n">
        <v>60048.41</v>
      </c>
      <c r="F31" s="21" t="n">
        <v>36361.63</v>
      </c>
      <c r="G31" s="21" t="n">
        <v>23686.78</v>
      </c>
    </row>
    <row r="32" customFormat="false" ht="15" hidden="false" customHeight="false" outlineLevel="0" collapsed="false">
      <c r="B32" s="15" t="s">
        <v>71</v>
      </c>
      <c r="C32" s="21" t="n">
        <v>108770.22</v>
      </c>
      <c r="F32" s="21" t="n">
        <v>65864.56</v>
      </c>
      <c r="G32" s="21" t="n">
        <v>42905.66</v>
      </c>
    </row>
    <row r="33" customFormat="false" ht="15" hidden="false" customHeight="false" outlineLevel="0" collapsed="false">
      <c r="A33" s="22"/>
      <c r="B33" s="23" t="s">
        <v>72</v>
      </c>
      <c r="C33" s="24" t="n">
        <f aca="false">SUM(C29:C32)</f>
        <v>806490.9</v>
      </c>
      <c r="D33" s="24" t="n">
        <f aca="false">SUM(D29:D32)</f>
        <v>0</v>
      </c>
      <c r="E33" s="22"/>
      <c r="F33" s="24" t="n">
        <f aca="false">SUM(F29:F32)</f>
        <v>488361.36</v>
      </c>
      <c r="G33" s="24" t="n">
        <f aca="false">SUM(G29:G32)</f>
        <v>318129.54</v>
      </c>
      <c r="H33" s="22"/>
    </row>
    <row r="35" customFormat="false" ht="15" hidden="false" customHeight="false" outlineLevel="0" collapsed="false">
      <c r="A35" s="25" t="s">
        <v>73</v>
      </c>
      <c r="B35" s="25"/>
      <c r="C35" s="25"/>
      <c r="D35" s="25"/>
      <c r="E35" s="25"/>
      <c r="F35" s="25"/>
      <c r="G35" s="25"/>
      <c r="H35" s="25"/>
      <c r="I35" s="25"/>
      <c r="J35" s="25"/>
    </row>
    <row r="36" customFormat="false" ht="15" hidden="false" customHeight="false" outlineLevel="0" collapsed="false">
      <c r="A36" s="26" t="s">
        <v>36</v>
      </c>
      <c r="B36" s="26"/>
      <c r="C36" s="26"/>
      <c r="D36" s="26"/>
      <c r="E36" s="26"/>
      <c r="F36" s="26"/>
      <c r="G36" s="26"/>
      <c r="H36" s="26"/>
      <c r="I36" s="26"/>
      <c r="J36" s="26"/>
    </row>
    <row r="37" customFormat="false" ht="15" hidden="false" customHeight="false" outlineLevel="0" collapsed="false">
      <c r="A37" s="27"/>
      <c r="B37" s="27" t="s">
        <v>74</v>
      </c>
      <c r="C37" s="28" t="s">
        <v>75</v>
      </c>
      <c r="D37" s="28" t="s">
        <v>76</v>
      </c>
      <c r="E37" s="28" t="s">
        <v>77</v>
      </c>
      <c r="F37" s="28" t="s">
        <v>78</v>
      </c>
      <c r="G37" s="28" t="s">
        <v>79</v>
      </c>
      <c r="H37" s="28" t="s">
        <v>80</v>
      </c>
      <c r="I37" s="28" t="s">
        <v>81</v>
      </c>
      <c r="J37" s="28" t="s">
        <v>82</v>
      </c>
    </row>
    <row r="38" customFormat="false" ht="15" hidden="false" customHeight="false" outlineLevel="0" collapsed="false">
      <c r="B38" s="29" t="s">
        <v>83</v>
      </c>
      <c r="C38" s="30" t="n">
        <v>636512.99</v>
      </c>
      <c r="D38" s="30" t="n">
        <v>0</v>
      </c>
      <c r="E38" s="30" t="n">
        <v>186129.48</v>
      </c>
      <c r="F38" s="30" t="n">
        <v>23145.82</v>
      </c>
      <c r="G38" s="30" t="n">
        <v>209275.3</v>
      </c>
      <c r="H38" s="30" t="n">
        <v>427237.69</v>
      </c>
      <c r="I38" s="31" t="s">
        <v>84</v>
      </c>
      <c r="J38" s="32" t="n">
        <v>27.5</v>
      </c>
    </row>
    <row r="39" customFormat="false" ht="15" hidden="false" customHeight="false" outlineLevel="0" collapsed="false">
      <c r="B39" s="7" t="s">
        <v>85</v>
      </c>
      <c r="C39" s="9" t="n">
        <v>1159.28</v>
      </c>
      <c r="D39" s="9" t="n">
        <v>0</v>
      </c>
      <c r="E39" s="9" t="n">
        <v>335.69</v>
      </c>
      <c r="F39" s="9" t="n">
        <v>42.24</v>
      </c>
      <c r="G39" s="9" t="n">
        <v>377.93</v>
      </c>
      <c r="H39" s="9" t="n">
        <v>781.35</v>
      </c>
      <c r="I39" s="33" t="s">
        <v>84</v>
      </c>
      <c r="J39" s="34" t="n">
        <v>27.5</v>
      </c>
    </row>
    <row r="40" customFormat="false" ht="15" hidden="false" customHeight="false" outlineLevel="0" collapsed="false">
      <c r="B40" s="29" t="s">
        <v>86</v>
      </c>
      <c r="C40" s="30" t="n">
        <v>60048.41</v>
      </c>
      <c r="D40" s="30" t="n">
        <v>0</v>
      </c>
      <c r="E40" s="30" t="n">
        <v>35168.3</v>
      </c>
      <c r="F40" s="30" t="n">
        <v>3580.9</v>
      </c>
      <c r="G40" s="30" t="n">
        <v>38749.2</v>
      </c>
      <c r="H40" s="30" t="n">
        <v>21299.21</v>
      </c>
      <c r="I40" s="31" t="s">
        <v>87</v>
      </c>
      <c r="J40" s="32" t="n">
        <v>15</v>
      </c>
    </row>
    <row r="41" customFormat="false" ht="15" hidden="false" customHeight="false" outlineLevel="0" collapsed="false">
      <c r="B41" s="7" t="s">
        <v>88</v>
      </c>
      <c r="C41" s="9" t="n">
        <v>108770.22</v>
      </c>
      <c r="D41" s="9" t="n">
        <v>0</v>
      </c>
      <c r="E41" s="9" t="n">
        <v>105144.47</v>
      </c>
      <c r="F41" s="9" t="n">
        <v>0</v>
      </c>
      <c r="G41" s="9" t="n">
        <v>105144.47</v>
      </c>
      <c r="H41" s="9" t="n">
        <v>3625.75</v>
      </c>
      <c r="I41" s="33" t="s">
        <v>89</v>
      </c>
      <c r="J41" s="34" t="n">
        <v>5</v>
      </c>
    </row>
    <row r="42" customFormat="false" ht="15" hidden="false" customHeight="false" outlineLevel="0" collapsed="false">
      <c r="A42" s="35"/>
      <c r="B42" s="36" t="s">
        <v>34</v>
      </c>
      <c r="C42" s="37" t="n">
        <f aca="false">SUM(C38:C41)</f>
        <v>806490.9</v>
      </c>
      <c r="D42" s="37" t="n">
        <f aca="false">SUM(D38:D41)</f>
        <v>0</v>
      </c>
      <c r="E42" s="37" t="n">
        <f aca="false">SUM(E38:E41)</f>
        <v>326777.94</v>
      </c>
      <c r="F42" s="37" t="n">
        <f aca="false">SUM(F38:F41)</f>
        <v>26768.96</v>
      </c>
      <c r="G42" s="37" t="n">
        <f aca="false">SUM(G38:G41)</f>
        <v>353546.9</v>
      </c>
      <c r="H42" s="37" t="n">
        <f aca="false">SUM(H38:H41)</f>
        <v>452944</v>
      </c>
      <c r="I42" s="35"/>
      <c r="J42" s="35"/>
    </row>
    <row r="44" customFormat="false" ht="15" hidden="false" customHeight="false" outlineLevel="0" collapsed="false">
      <c r="A44" s="38" t="s">
        <v>90</v>
      </c>
      <c r="B44" s="38"/>
      <c r="C44" s="38"/>
      <c r="D44" s="38"/>
      <c r="E44" s="38"/>
      <c r="F44" s="38"/>
      <c r="G44" s="38"/>
      <c r="H44" s="38"/>
      <c r="I44" s="38"/>
      <c r="J44" s="38"/>
    </row>
    <row r="45" customFormat="false" ht="15" hidden="false" customHeight="false" outlineLevel="0" collapsed="false">
      <c r="A45" s="27"/>
      <c r="B45" s="27" t="s">
        <v>74</v>
      </c>
      <c r="C45" s="28" t="s">
        <v>75</v>
      </c>
      <c r="D45" s="28" t="s">
        <v>76</v>
      </c>
      <c r="E45" s="28" t="s">
        <v>77</v>
      </c>
      <c r="F45" s="28" t="s">
        <v>78</v>
      </c>
      <c r="G45" s="28" t="s">
        <v>79</v>
      </c>
      <c r="H45" s="28" t="s">
        <v>80</v>
      </c>
      <c r="I45" s="28" t="s">
        <v>81</v>
      </c>
      <c r="J45" s="28" t="s">
        <v>82</v>
      </c>
    </row>
    <row r="46" customFormat="false" ht="15" hidden="false" customHeight="false" outlineLevel="0" collapsed="false">
      <c r="B46" s="29" t="s">
        <v>91</v>
      </c>
      <c r="C46" s="30" t="n">
        <v>385433.18</v>
      </c>
      <c r="D46" s="30" t="n">
        <v>0</v>
      </c>
      <c r="E46" s="30" t="n">
        <v>237496.79</v>
      </c>
      <c r="F46" s="30" t="n">
        <v>22759.44</v>
      </c>
      <c r="G46" s="30" t="n">
        <v>260256.23</v>
      </c>
      <c r="H46" s="30" t="n">
        <v>125176.95</v>
      </c>
      <c r="I46" s="31" t="s">
        <v>87</v>
      </c>
      <c r="J46" s="32" t="n">
        <v>15</v>
      </c>
    </row>
    <row r="47" customFormat="false" ht="15" hidden="false" customHeight="false" outlineLevel="0" collapsed="false">
      <c r="B47" s="7" t="s">
        <v>92</v>
      </c>
      <c r="C47" s="9" t="n">
        <v>251079.81</v>
      </c>
      <c r="D47" s="9" t="n">
        <v>0</v>
      </c>
      <c r="E47" s="9" t="n">
        <v>73421.78</v>
      </c>
      <c r="F47" s="9" t="n">
        <v>9130.17</v>
      </c>
      <c r="G47" s="9" t="n">
        <v>82551.95</v>
      </c>
      <c r="H47" s="9" t="n">
        <v>168527.86</v>
      </c>
      <c r="I47" s="33" t="s">
        <v>84</v>
      </c>
      <c r="J47" s="34" t="n">
        <v>27.5</v>
      </c>
    </row>
    <row r="48" customFormat="false" ht="15" hidden="false" customHeight="false" outlineLevel="0" collapsed="false">
      <c r="B48" s="29" t="s">
        <v>93</v>
      </c>
      <c r="C48" s="30" t="n">
        <v>701.99</v>
      </c>
      <c r="D48" s="30" t="n">
        <v>0</v>
      </c>
      <c r="E48" s="30" t="n">
        <v>391.1</v>
      </c>
      <c r="F48" s="30" t="n">
        <v>41.45</v>
      </c>
      <c r="G48" s="30" t="n">
        <v>432.55</v>
      </c>
      <c r="H48" s="30" t="n">
        <v>269.44</v>
      </c>
      <c r="I48" s="31" t="s">
        <v>87</v>
      </c>
      <c r="J48" s="32" t="n">
        <v>15</v>
      </c>
    </row>
    <row r="49" customFormat="false" ht="15" hidden="false" customHeight="false" outlineLevel="0" collapsed="false">
      <c r="B49" s="7" t="s">
        <v>94</v>
      </c>
      <c r="C49" s="9" t="n">
        <v>457.29</v>
      </c>
      <c r="D49" s="9" t="n">
        <v>0</v>
      </c>
      <c r="E49" s="9" t="n">
        <v>132.35</v>
      </c>
      <c r="F49" s="9" t="n">
        <v>16.63</v>
      </c>
      <c r="G49" s="9" t="n">
        <v>148.98</v>
      </c>
      <c r="H49" s="9" t="n">
        <v>308.31</v>
      </c>
      <c r="I49" s="33" t="s">
        <v>84</v>
      </c>
      <c r="J49" s="34" t="n">
        <v>27.5</v>
      </c>
    </row>
    <row r="50" customFormat="false" ht="15" hidden="false" customHeight="false" outlineLevel="0" collapsed="false">
      <c r="B50" s="29" t="s">
        <v>95</v>
      </c>
      <c r="C50" s="30" t="n">
        <v>36361.63</v>
      </c>
      <c r="D50" s="30" t="n">
        <v>0</v>
      </c>
      <c r="E50" s="30" t="n">
        <v>21789.19</v>
      </c>
      <c r="F50" s="30" t="n">
        <v>2241.91</v>
      </c>
      <c r="G50" s="30" t="n">
        <v>24031.1</v>
      </c>
      <c r="H50" s="30" t="n">
        <v>12330.53</v>
      </c>
      <c r="I50" s="31" t="s">
        <v>87</v>
      </c>
      <c r="J50" s="32" t="n">
        <v>15</v>
      </c>
    </row>
    <row r="51" customFormat="false" ht="15" hidden="false" customHeight="false" outlineLevel="0" collapsed="false">
      <c r="B51" s="7" t="s">
        <v>96</v>
      </c>
      <c r="C51" s="9" t="n">
        <v>23686.78</v>
      </c>
      <c r="D51" s="9" t="n">
        <v>0</v>
      </c>
      <c r="E51" s="9" t="n">
        <v>6926.61</v>
      </c>
      <c r="F51" s="9" t="n">
        <v>861.34</v>
      </c>
      <c r="G51" s="9" t="n">
        <v>7787.95</v>
      </c>
      <c r="H51" s="9" t="n">
        <v>15898.83</v>
      </c>
      <c r="I51" s="33" t="s">
        <v>84</v>
      </c>
      <c r="J51" s="34" t="n">
        <v>27.5</v>
      </c>
    </row>
    <row r="52" customFormat="false" ht="15" hidden="false" customHeight="false" outlineLevel="0" collapsed="false">
      <c r="B52" s="29" t="s">
        <v>97</v>
      </c>
      <c r="C52" s="30" t="n">
        <v>65864.56</v>
      </c>
      <c r="D52" s="30" t="n">
        <v>0</v>
      </c>
      <c r="E52" s="30" t="n">
        <v>40584.53</v>
      </c>
      <c r="F52" s="30" t="n">
        <v>3889.24</v>
      </c>
      <c r="G52" s="30" t="n">
        <v>44473.77</v>
      </c>
      <c r="H52" s="30" t="n">
        <v>21390.79</v>
      </c>
      <c r="I52" s="31" t="s">
        <v>87</v>
      </c>
      <c r="J52" s="32" t="n">
        <v>15</v>
      </c>
    </row>
    <row r="53" customFormat="false" ht="15" hidden="false" customHeight="false" outlineLevel="0" collapsed="false">
      <c r="B53" s="7" t="s">
        <v>98</v>
      </c>
      <c r="C53" s="9" t="n">
        <v>42905.66</v>
      </c>
      <c r="D53" s="9" t="n">
        <v>0</v>
      </c>
      <c r="E53" s="9" t="n">
        <v>12546.69</v>
      </c>
      <c r="F53" s="9" t="n">
        <v>1560.21</v>
      </c>
      <c r="G53" s="9" t="n">
        <v>14106.9</v>
      </c>
      <c r="H53" s="9" t="n">
        <v>28798.76</v>
      </c>
      <c r="I53" s="33" t="s">
        <v>84</v>
      </c>
      <c r="J53" s="34" t="n">
        <v>27.5</v>
      </c>
    </row>
    <row r="54" customFormat="false" ht="15" hidden="false" customHeight="false" outlineLevel="0" collapsed="false">
      <c r="A54" s="35"/>
      <c r="B54" s="36" t="s">
        <v>34</v>
      </c>
      <c r="C54" s="37" t="n">
        <f aca="false">SUM(C46:C53)</f>
        <v>806490.9</v>
      </c>
      <c r="D54" s="37" t="n">
        <f aca="false">SUM(D46:D53)</f>
        <v>0</v>
      </c>
      <c r="E54" s="37" t="n">
        <f aca="false">SUM(E46:E53)</f>
        <v>393289.04</v>
      </c>
      <c r="F54" s="37" t="n">
        <f aca="false">SUM(F46:F53)</f>
        <v>40500.39</v>
      </c>
      <c r="G54" s="37" t="n">
        <f aca="false">SUM(G46:G53)</f>
        <v>433789.43</v>
      </c>
      <c r="H54" s="37" t="n">
        <f aca="false">SUM(H46:H53)</f>
        <v>372701.47</v>
      </c>
      <c r="I54" s="35"/>
      <c r="J54" s="35"/>
    </row>
    <row r="56" customFormat="false" ht="15" hidden="false" customHeight="false" outlineLevel="0" collapsed="false">
      <c r="A56" s="25" t="s">
        <v>38</v>
      </c>
      <c r="B56" s="25"/>
      <c r="C56" s="25"/>
      <c r="D56" s="25"/>
      <c r="E56" s="25"/>
    </row>
    <row r="57" customFormat="false" ht="15" hidden="false" customHeight="false" outlineLevel="0" collapsed="false">
      <c r="B57" s="7" t="s">
        <v>99</v>
      </c>
      <c r="C57" s="39" t="n">
        <f aca="false">G42</f>
        <v>353546.9</v>
      </c>
    </row>
    <row r="58" customFormat="false" ht="15" hidden="false" customHeight="false" outlineLevel="0" collapsed="false">
      <c r="B58" s="7" t="s">
        <v>100</v>
      </c>
      <c r="C58" s="39" t="n">
        <f aca="false">G54</f>
        <v>433789.43</v>
      </c>
    </row>
    <row r="59" customFormat="false" ht="15" hidden="false" customHeight="false" outlineLevel="0" collapsed="false">
      <c r="B59" s="10" t="s">
        <v>38</v>
      </c>
      <c r="C59" s="40" t="n">
        <f aca="false">C58-C57</f>
        <v>80242.53</v>
      </c>
    </row>
  </sheetData>
  <mergeCells count="11">
    <mergeCell ref="A2:J2"/>
    <mergeCell ref="A3:J3"/>
    <mergeCell ref="A4:J4"/>
    <mergeCell ref="A8:J8"/>
    <mergeCell ref="B10:J10"/>
    <mergeCell ref="B24:J24"/>
    <mergeCell ref="B28:J28"/>
    <mergeCell ref="A35:J35"/>
    <mergeCell ref="A36:J36"/>
    <mergeCell ref="A44:J44"/>
    <mergeCell ref="A56:E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101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102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1211.6</v>
      </c>
      <c r="D11" s="21" t="n">
        <v>1211.6</v>
      </c>
    </row>
    <row r="12" customFormat="false" ht="15" hidden="false" customHeight="false" outlineLevel="0" collapsed="false">
      <c r="B12" s="15" t="s">
        <v>105</v>
      </c>
      <c r="C12" s="21" t="n">
        <v>2930.23</v>
      </c>
      <c r="D12" s="21" t="n">
        <v>2930.23</v>
      </c>
    </row>
    <row r="13" customFormat="false" ht="15" hidden="false" customHeight="false" outlineLevel="0" collapsed="false">
      <c r="B13" s="15" t="s">
        <v>106</v>
      </c>
      <c r="C13" s="21" t="n">
        <v>7111.65</v>
      </c>
      <c r="D13" s="21" t="n">
        <v>7111.65</v>
      </c>
    </row>
    <row r="14" customFormat="false" ht="15" hidden="false" customHeight="false" outlineLevel="0" collapsed="false">
      <c r="B14" s="15" t="s">
        <v>107</v>
      </c>
      <c r="C14" s="21" t="n">
        <v>782.67</v>
      </c>
      <c r="D14" s="21" t="n">
        <v>782.67</v>
      </c>
    </row>
    <row r="15" customFormat="false" ht="15" hidden="false" customHeight="false" outlineLevel="0" collapsed="false">
      <c r="B15" s="15" t="s">
        <v>108</v>
      </c>
      <c r="C15" s="21" t="n">
        <v>369.85</v>
      </c>
      <c r="D15" s="21" t="n">
        <v>369.85</v>
      </c>
    </row>
    <row r="16" customFormat="false" ht="15" hidden="false" customHeight="false" outlineLevel="0" collapsed="false">
      <c r="B16" s="15" t="s">
        <v>109</v>
      </c>
      <c r="C16" s="21" t="n">
        <v>364.47</v>
      </c>
      <c r="D16" s="21" t="n">
        <v>364.47</v>
      </c>
    </row>
    <row r="17" customFormat="false" ht="15" hidden="false" customHeight="false" outlineLevel="0" collapsed="false">
      <c r="B17" s="15" t="s">
        <v>110</v>
      </c>
      <c r="C17" s="21" t="n">
        <v>2369.45</v>
      </c>
      <c r="D17" s="21" t="n">
        <v>2369.45</v>
      </c>
    </row>
    <row r="18" customFormat="false" ht="15" hidden="false" customHeight="false" outlineLevel="0" collapsed="false">
      <c r="B18" s="15" t="s">
        <v>111</v>
      </c>
      <c r="C18" s="21" t="n">
        <v>665.54</v>
      </c>
      <c r="D18" s="21" t="n">
        <v>665.54</v>
      </c>
    </row>
    <row r="19" customFormat="false" ht="15" hidden="false" customHeight="false" outlineLevel="0" collapsed="false">
      <c r="B19" s="15" t="s">
        <v>112</v>
      </c>
      <c r="C19" s="21" t="n">
        <v>318.98</v>
      </c>
      <c r="D19" s="21" t="n">
        <v>318.98</v>
      </c>
    </row>
    <row r="20" customFormat="false" ht="15" hidden="false" customHeight="false" outlineLevel="0" collapsed="false">
      <c r="B20" s="15" t="s">
        <v>113</v>
      </c>
      <c r="C20" s="21" t="n">
        <v>3831.45</v>
      </c>
      <c r="D20" s="21" t="n">
        <v>3831.45</v>
      </c>
    </row>
    <row r="21" customFormat="false" ht="15" hidden="false" customHeight="false" outlineLevel="0" collapsed="false">
      <c r="A21" s="19"/>
      <c r="B21" s="20" t="s">
        <v>114</v>
      </c>
      <c r="C21" s="20"/>
      <c r="D21" s="20"/>
      <c r="E21" s="20"/>
      <c r="F21" s="20"/>
      <c r="G21" s="20"/>
      <c r="H21" s="20"/>
      <c r="I21" s="20"/>
      <c r="J21" s="20"/>
    </row>
    <row r="22" customFormat="false" ht="15" hidden="false" customHeight="false" outlineLevel="0" collapsed="false">
      <c r="B22" s="15" t="s">
        <v>115</v>
      </c>
      <c r="C22" s="21" t="n">
        <v>7015.23</v>
      </c>
      <c r="G22" s="21" t="n">
        <v>7015.23</v>
      </c>
    </row>
    <row r="23" customFormat="false" ht="15" hidden="false" customHeight="false" outlineLevel="0" collapsed="false">
      <c r="B23" s="15" t="s">
        <v>116</v>
      </c>
      <c r="C23" s="21" t="n">
        <v>9776.15</v>
      </c>
      <c r="G23" s="21" t="n">
        <v>9776.15</v>
      </c>
    </row>
    <row r="24" customFormat="false" ht="15" hidden="false" customHeight="false" outlineLevel="0" collapsed="false">
      <c r="B24" s="15" t="s">
        <v>117</v>
      </c>
      <c r="C24" s="21" t="n">
        <v>7127.17</v>
      </c>
      <c r="G24" s="21" t="n">
        <v>7127.17</v>
      </c>
    </row>
    <row r="25" customFormat="false" ht="15" hidden="false" customHeight="false" outlineLevel="0" collapsed="false">
      <c r="B25" s="15" t="s">
        <v>118</v>
      </c>
      <c r="C25" s="21" t="n">
        <v>7351.5</v>
      </c>
      <c r="G25" s="21" t="n">
        <v>7351.5</v>
      </c>
    </row>
    <row r="26" customFormat="false" ht="15" hidden="false" customHeight="false" outlineLevel="0" collapsed="false">
      <c r="B26" s="15" t="s">
        <v>119</v>
      </c>
      <c r="C26" s="21" t="n">
        <v>6195.62</v>
      </c>
      <c r="G26" s="21" t="n">
        <v>6195.62</v>
      </c>
    </row>
    <row r="27" customFormat="false" ht="15" hidden="false" customHeight="false" outlineLevel="0" collapsed="false">
      <c r="B27" s="15" t="s">
        <v>120</v>
      </c>
      <c r="C27" s="21" t="n">
        <v>247.19</v>
      </c>
      <c r="G27" s="21" t="n">
        <v>247.19</v>
      </c>
    </row>
    <row r="28" customFormat="false" ht="15" hidden="false" customHeight="false" outlineLevel="0" collapsed="false">
      <c r="B28" s="15" t="s">
        <v>121</v>
      </c>
      <c r="C28" s="21" t="n">
        <v>4165.79</v>
      </c>
      <c r="G28" s="21" t="n">
        <v>4165.79</v>
      </c>
    </row>
    <row r="29" customFormat="false" ht="15" hidden="false" customHeight="false" outlineLevel="0" collapsed="false">
      <c r="B29" s="15" t="s">
        <v>122</v>
      </c>
      <c r="C29" s="21" t="n">
        <v>2464.17</v>
      </c>
      <c r="G29" s="21" t="n">
        <v>2464.17</v>
      </c>
    </row>
    <row r="30" customFormat="false" ht="15" hidden="false" customHeight="false" outlineLevel="0" collapsed="false">
      <c r="B30" s="15" t="s">
        <v>123</v>
      </c>
      <c r="C30" s="21" t="n">
        <v>1928.81</v>
      </c>
      <c r="G30" s="21" t="n">
        <v>1928.81</v>
      </c>
    </row>
    <row r="31" customFormat="false" ht="15" hidden="false" customHeight="false" outlineLevel="0" collapsed="false">
      <c r="B31" s="15" t="s">
        <v>124</v>
      </c>
      <c r="C31" s="21" t="n">
        <v>3233.65</v>
      </c>
      <c r="G31" s="21" t="n">
        <v>3233.65</v>
      </c>
    </row>
    <row r="32" customFormat="false" ht="15" hidden="false" customHeight="false" outlineLevel="0" collapsed="false">
      <c r="B32" s="15" t="s">
        <v>125</v>
      </c>
      <c r="C32" s="21" t="n">
        <v>18160.96</v>
      </c>
      <c r="G32" s="21" t="n">
        <v>18160.96</v>
      </c>
    </row>
    <row r="33" customFormat="false" ht="15" hidden="false" customHeight="false" outlineLevel="0" collapsed="false">
      <c r="B33" s="15" t="s">
        <v>126</v>
      </c>
      <c r="C33" s="21" t="n">
        <v>6068.28</v>
      </c>
      <c r="G33" s="21" t="n">
        <v>6068.28</v>
      </c>
    </row>
    <row r="34" customFormat="false" ht="15" hidden="false" customHeight="false" outlineLevel="0" collapsed="false">
      <c r="B34" s="15" t="s">
        <v>127</v>
      </c>
      <c r="C34" s="21" t="n">
        <v>1028.86</v>
      </c>
      <c r="G34" s="21" t="n">
        <v>1028.86</v>
      </c>
    </row>
    <row r="35" customFormat="false" ht="15" hidden="false" customHeight="false" outlineLevel="0" collapsed="false">
      <c r="B35" s="15" t="s">
        <v>128</v>
      </c>
      <c r="C35" s="21" t="n">
        <v>356.81</v>
      </c>
      <c r="G35" s="21" t="n">
        <v>356.81</v>
      </c>
    </row>
    <row r="36" customFormat="false" ht="15" hidden="false" customHeight="false" outlineLevel="0" collapsed="false">
      <c r="B36" s="15" t="s">
        <v>129</v>
      </c>
      <c r="C36" s="21" t="n">
        <v>15695.01</v>
      </c>
      <c r="G36" s="21" t="n">
        <v>15695.01</v>
      </c>
    </row>
    <row r="37" customFormat="false" ht="15" hidden="false" customHeight="false" outlineLevel="0" collapsed="false">
      <c r="B37" s="15" t="s">
        <v>130</v>
      </c>
      <c r="C37" s="21" t="n">
        <v>399.61</v>
      </c>
      <c r="G37" s="21" t="n">
        <v>399.61</v>
      </c>
    </row>
    <row r="38" customFormat="false" ht="15" hidden="false" customHeight="false" outlineLevel="0" collapsed="false">
      <c r="B38" s="15" t="s">
        <v>131</v>
      </c>
      <c r="C38" s="21" t="n">
        <v>146.01</v>
      </c>
      <c r="G38" s="21" t="n">
        <v>146.01</v>
      </c>
    </row>
    <row r="39" customFormat="false" ht="15" hidden="false" customHeight="false" outlineLevel="0" collapsed="false">
      <c r="A39" s="22"/>
      <c r="B39" s="23" t="s">
        <v>66</v>
      </c>
      <c r="C39" s="24" t="n">
        <f aca="false">SUM(C10:C38)</f>
        <v>111316.71</v>
      </c>
      <c r="D39" s="24" t="n">
        <f aca="false">SUM(D10:D38)</f>
        <v>19955.89</v>
      </c>
      <c r="E39" s="24" t="n">
        <f aca="false">SUM(E10:E38)</f>
        <v>0</v>
      </c>
      <c r="F39" s="24" t="n">
        <f aca="false">SUM(F10:F38)</f>
        <v>0</v>
      </c>
      <c r="G39" s="24" t="n">
        <f aca="false">SUM(G10:G38)</f>
        <v>91360.82</v>
      </c>
      <c r="H39" s="22"/>
    </row>
    <row r="41" customFormat="false" ht="15" hidden="false" customHeight="false" outlineLevel="0" collapsed="false">
      <c r="A41" s="19"/>
      <c r="B41" s="20" t="s">
        <v>67</v>
      </c>
      <c r="C41" s="20"/>
      <c r="D41" s="20"/>
      <c r="E41" s="20"/>
      <c r="F41" s="20"/>
      <c r="G41" s="20"/>
      <c r="H41" s="20"/>
      <c r="I41" s="20"/>
      <c r="J41" s="20"/>
    </row>
    <row r="42" customFormat="false" ht="15" hidden="false" customHeight="false" outlineLevel="0" collapsed="false">
      <c r="B42" s="15" t="s">
        <v>68</v>
      </c>
      <c r="C42" s="21" t="n">
        <v>87855.35</v>
      </c>
      <c r="D42" s="21" t="n">
        <v>15749.94</v>
      </c>
      <c r="G42" s="21" t="n">
        <v>72105.41</v>
      </c>
    </row>
    <row r="43" customFormat="false" ht="15" hidden="false" customHeight="false" outlineLevel="0" collapsed="false">
      <c r="B43" s="15" t="s">
        <v>69</v>
      </c>
      <c r="C43" s="21" t="n">
        <v>160.01</v>
      </c>
      <c r="D43" s="21" t="n">
        <v>28.69</v>
      </c>
      <c r="G43" s="21" t="n">
        <v>131.32</v>
      </c>
    </row>
    <row r="44" customFormat="false" ht="15" hidden="false" customHeight="false" outlineLevel="0" collapsed="false">
      <c r="B44" s="15" t="s">
        <v>70</v>
      </c>
      <c r="C44" s="21" t="n">
        <v>8288.23</v>
      </c>
      <c r="D44" s="21" t="n">
        <v>1485.84</v>
      </c>
      <c r="G44" s="21" t="n">
        <v>6802.39</v>
      </c>
    </row>
    <row r="45" customFormat="false" ht="15" hidden="false" customHeight="false" outlineLevel="0" collapsed="false">
      <c r="B45" s="15" t="s">
        <v>71</v>
      </c>
      <c r="C45" s="21" t="n">
        <v>15013.12</v>
      </c>
      <c r="D45" s="21" t="n">
        <v>2691.42</v>
      </c>
      <c r="G45" s="21" t="n">
        <v>12321.7</v>
      </c>
    </row>
    <row r="46" customFormat="false" ht="15" hidden="false" customHeight="false" outlineLevel="0" collapsed="false">
      <c r="A46" s="22"/>
      <c r="B46" s="23" t="s">
        <v>72</v>
      </c>
      <c r="C46" s="24" t="n">
        <f aca="false">SUM(C42:C45)</f>
        <v>111316.71</v>
      </c>
      <c r="D46" s="24" t="n">
        <f aca="false">SUM(D42:D45)</f>
        <v>19955.89</v>
      </c>
      <c r="E46" s="22"/>
      <c r="F46" s="24" t="n">
        <f aca="false">SUM(F42:F45)</f>
        <v>0</v>
      </c>
      <c r="G46" s="24" t="n">
        <f aca="false">SUM(G42:G45)</f>
        <v>91360.82</v>
      </c>
      <c r="H46" s="22"/>
    </row>
    <row r="48" customFormat="false" ht="15" hidden="false" customHeight="false" outlineLevel="0" collapsed="false">
      <c r="A48" s="25" t="s">
        <v>73</v>
      </c>
      <c r="B48" s="25"/>
      <c r="C48" s="25"/>
      <c r="D48" s="25"/>
      <c r="E48" s="25"/>
      <c r="F48" s="25"/>
      <c r="G48" s="25"/>
      <c r="H48" s="25"/>
      <c r="I48" s="25"/>
      <c r="J48" s="25"/>
    </row>
    <row r="49" customFormat="false" ht="15" hidden="false" customHeight="false" outlineLevel="0" collapsed="false">
      <c r="A49" s="26" t="s">
        <v>36</v>
      </c>
      <c r="B49" s="26"/>
      <c r="C49" s="26"/>
      <c r="D49" s="26"/>
      <c r="E49" s="26"/>
      <c r="F49" s="26"/>
      <c r="G49" s="26"/>
      <c r="H49" s="26"/>
      <c r="I49" s="26"/>
      <c r="J49" s="26"/>
    </row>
    <row r="50" customFormat="false" ht="15" hidden="false" customHeight="false" outlineLevel="0" collapsed="false">
      <c r="A50" s="27"/>
      <c r="B50" s="27" t="s">
        <v>74</v>
      </c>
      <c r="C50" s="28" t="s">
        <v>75</v>
      </c>
      <c r="D50" s="28" t="s">
        <v>76</v>
      </c>
      <c r="E50" s="28" t="s">
        <v>77</v>
      </c>
      <c r="F50" s="28" t="s">
        <v>78</v>
      </c>
      <c r="G50" s="28" t="s">
        <v>79</v>
      </c>
      <c r="H50" s="28" t="s">
        <v>80</v>
      </c>
      <c r="I50" s="28" t="s">
        <v>81</v>
      </c>
      <c r="J50" s="28" t="s">
        <v>82</v>
      </c>
    </row>
    <row r="51" customFormat="false" ht="15" hidden="false" customHeight="false" outlineLevel="0" collapsed="false">
      <c r="B51" s="29" t="s">
        <v>132</v>
      </c>
      <c r="C51" s="30" t="n">
        <v>87855.35</v>
      </c>
      <c r="D51" s="30" t="n">
        <v>0</v>
      </c>
      <c r="E51" s="30" t="n">
        <v>25690.6</v>
      </c>
      <c r="F51" s="30" t="n">
        <v>3194.76</v>
      </c>
      <c r="G51" s="30" t="n">
        <v>28885.36</v>
      </c>
      <c r="H51" s="30" t="n">
        <v>58969.99</v>
      </c>
      <c r="I51" s="31" t="s">
        <v>84</v>
      </c>
      <c r="J51" s="32" t="n">
        <v>27.5</v>
      </c>
    </row>
    <row r="52" customFormat="false" ht="15" hidden="false" customHeight="false" outlineLevel="0" collapsed="false">
      <c r="B52" s="7" t="s">
        <v>133</v>
      </c>
      <c r="C52" s="9" t="n">
        <v>160.01</v>
      </c>
      <c r="D52" s="9" t="n">
        <v>0</v>
      </c>
      <c r="E52" s="9" t="n">
        <v>46.34</v>
      </c>
      <c r="F52" s="9" t="n">
        <v>5.82</v>
      </c>
      <c r="G52" s="9" t="n">
        <v>52.16</v>
      </c>
      <c r="H52" s="9" t="n">
        <v>107.85</v>
      </c>
      <c r="I52" s="33" t="s">
        <v>84</v>
      </c>
      <c r="J52" s="34" t="n">
        <v>27.5</v>
      </c>
    </row>
    <row r="53" customFormat="false" ht="15" hidden="false" customHeight="false" outlineLevel="0" collapsed="false">
      <c r="B53" s="29" t="s">
        <v>134</v>
      </c>
      <c r="C53" s="30" t="n">
        <v>8288.23</v>
      </c>
      <c r="D53" s="30" t="n">
        <v>0</v>
      </c>
      <c r="E53" s="30" t="n">
        <v>4854.14</v>
      </c>
      <c r="F53" s="30" t="n">
        <v>489.01</v>
      </c>
      <c r="G53" s="30" t="n">
        <v>5343.15</v>
      </c>
      <c r="H53" s="30" t="n">
        <v>2945.08</v>
      </c>
      <c r="I53" s="31" t="s">
        <v>87</v>
      </c>
      <c r="J53" s="32" t="n">
        <v>15</v>
      </c>
    </row>
    <row r="54" customFormat="false" ht="15" hidden="false" customHeight="false" outlineLevel="0" collapsed="false">
      <c r="B54" s="7" t="s">
        <v>135</v>
      </c>
      <c r="C54" s="9" t="n">
        <v>15013.12</v>
      </c>
      <c r="D54" s="9" t="n">
        <v>0</v>
      </c>
      <c r="E54" s="9" t="n">
        <v>14512.68</v>
      </c>
      <c r="F54" s="9" t="n">
        <v>0</v>
      </c>
      <c r="G54" s="9" t="n">
        <v>14512.68</v>
      </c>
      <c r="H54" s="9" t="n">
        <v>500.44</v>
      </c>
      <c r="I54" s="33" t="s">
        <v>89</v>
      </c>
      <c r="J54" s="34" t="n">
        <v>5</v>
      </c>
    </row>
    <row r="55" customFormat="false" ht="15" hidden="false" customHeight="false" outlineLevel="0" collapsed="false">
      <c r="A55" s="35"/>
      <c r="B55" s="36" t="s">
        <v>34</v>
      </c>
      <c r="C55" s="37" t="n">
        <f aca="false">SUM(C51:C54)</f>
        <v>111316.71</v>
      </c>
      <c r="D55" s="37" t="n">
        <f aca="false">SUM(D51:D54)</f>
        <v>0</v>
      </c>
      <c r="E55" s="37" t="n">
        <f aca="false">SUM(E51:E54)</f>
        <v>45103.76</v>
      </c>
      <c r="F55" s="37" t="n">
        <f aca="false">SUM(F51:F54)</f>
        <v>3689.59</v>
      </c>
      <c r="G55" s="37" t="n">
        <f aca="false">SUM(G51:G54)</f>
        <v>48793.35</v>
      </c>
      <c r="H55" s="37" t="n">
        <f aca="false">SUM(H51:H54)</f>
        <v>62523.36</v>
      </c>
      <c r="I55" s="35"/>
      <c r="J55" s="35"/>
    </row>
    <row r="57" customFormat="false" ht="15" hidden="false" customHeight="false" outlineLevel="0" collapsed="false">
      <c r="A57" s="38" t="s">
        <v>90</v>
      </c>
      <c r="B57" s="38"/>
      <c r="C57" s="38"/>
      <c r="D57" s="38"/>
      <c r="E57" s="38"/>
      <c r="F57" s="38"/>
      <c r="G57" s="38"/>
      <c r="H57" s="38"/>
      <c r="I57" s="38"/>
      <c r="J57" s="38"/>
    </row>
    <row r="58" customFormat="false" ht="15" hidden="false" customHeight="false" outlineLevel="0" collapsed="false">
      <c r="A58" s="27"/>
      <c r="B58" s="27" t="s">
        <v>74</v>
      </c>
      <c r="C58" s="28" t="s">
        <v>75</v>
      </c>
      <c r="D58" s="28" t="s">
        <v>76</v>
      </c>
      <c r="E58" s="28" t="s">
        <v>77</v>
      </c>
      <c r="F58" s="28" t="s">
        <v>78</v>
      </c>
      <c r="G58" s="28" t="s">
        <v>79</v>
      </c>
      <c r="H58" s="28" t="s">
        <v>80</v>
      </c>
      <c r="I58" s="28" t="s">
        <v>81</v>
      </c>
      <c r="J58" s="28" t="s">
        <v>82</v>
      </c>
    </row>
    <row r="59" customFormat="false" ht="15" hidden="false" customHeight="false" outlineLevel="0" collapsed="false">
      <c r="B59" s="29" t="s">
        <v>136</v>
      </c>
      <c r="C59" s="30" t="n">
        <v>15749.94</v>
      </c>
      <c r="D59" s="30" t="n">
        <v>0</v>
      </c>
      <c r="E59" s="30" t="n">
        <v>15749.94</v>
      </c>
      <c r="F59" s="30" t="n">
        <v>0</v>
      </c>
      <c r="G59" s="30" t="n">
        <v>15749.94</v>
      </c>
      <c r="H59" s="30" t="n">
        <v>0</v>
      </c>
      <c r="I59" s="31" t="s">
        <v>89</v>
      </c>
      <c r="J59" s="32" t="n">
        <v>5</v>
      </c>
    </row>
    <row r="60" customFormat="false" ht="15" hidden="false" customHeight="false" outlineLevel="0" collapsed="false">
      <c r="B60" s="7" t="s">
        <v>137</v>
      </c>
      <c r="C60" s="9" t="n">
        <v>72105.41</v>
      </c>
      <c r="D60" s="9" t="n">
        <v>0</v>
      </c>
      <c r="E60" s="9" t="n">
        <v>21085.33</v>
      </c>
      <c r="F60" s="9" t="n">
        <v>2622.01</v>
      </c>
      <c r="G60" s="9" t="n">
        <v>23707.34</v>
      </c>
      <c r="H60" s="9" t="n">
        <v>48398.07</v>
      </c>
      <c r="I60" s="33" t="s">
        <v>84</v>
      </c>
      <c r="J60" s="34" t="n">
        <v>27.5</v>
      </c>
    </row>
    <row r="61" customFormat="false" ht="15" hidden="false" customHeight="false" outlineLevel="0" collapsed="false">
      <c r="B61" s="29" t="s">
        <v>138</v>
      </c>
      <c r="C61" s="30" t="n">
        <v>28.69</v>
      </c>
      <c r="D61" s="30" t="n">
        <v>0</v>
      </c>
      <c r="E61" s="30" t="n">
        <v>28.69</v>
      </c>
      <c r="F61" s="30" t="n">
        <v>0</v>
      </c>
      <c r="G61" s="30" t="n">
        <v>28.69</v>
      </c>
      <c r="H61" s="30" t="n">
        <v>0</v>
      </c>
      <c r="I61" s="31" t="s">
        <v>89</v>
      </c>
      <c r="J61" s="32" t="n">
        <v>5</v>
      </c>
    </row>
    <row r="62" customFormat="false" ht="15" hidden="false" customHeight="false" outlineLevel="0" collapsed="false">
      <c r="B62" s="7" t="s">
        <v>139</v>
      </c>
      <c r="C62" s="9" t="n">
        <v>131.32</v>
      </c>
      <c r="D62" s="9" t="n">
        <v>0</v>
      </c>
      <c r="E62" s="9" t="n">
        <v>38.04</v>
      </c>
      <c r="F62" s="9" t="n">
        <v>4.78</v>
      </c>
      <c r="G62" s="9" t="n">
        <v>42.82</v>
      </c>
      <c r="H62" s="9" t="n">
        <v>88.5</v>
      </c>
      <c r="I62" s="33" t="s">
        <v>84</v>
      </c>
      <c r="J62" s="34" t="n">
        <v>27.5</v>
      </c>
    </row>
    <row r="63" customFormat="false" ht="15" hidden="false" customHeight="false" outlineLevel="0" collapsed="false">
      <c r="B63" s="29" t="s">
        <v>140</v>
      </c>
      <c r="C63" s="30" t="n">
        <v>1485.84</v>
      </c>
      <c r="D63" s="30" t="n">
        <v>0</v>
      </c>
      <c r="E63" s="30" t="n">
        <v>1485.84</v>
      </c>
      <c r="F63" s="30" t="n">
        <v>0</v>
      </c>
      <c r="G63" s="30" t="n">
        <v>1485.84</v>
      </c>
      <c r="H63" s="30" t="n">
        <v>0</v>
      </c>
      <c r="I63" s="31" t="s">
        <v>89</v>
      </c>
      <c r="J63" s="32" t="n">
        <v>5</v>
      </c>
    </row>
    <row r="64" customFormat="false" ht="15" hidden="false" customHeight="false" outlineLevel="0" collapsed="false">
      <c r="B64" s="7" t="s">
        <v>141</v>
      </c>
      <c r="C64" s="9" t="n">
        <v>6802.39</v>
      </c>
      <c r="D64" s="9" t="n">
        <v>0</v>
      </c>
      <c r="E64" s="9" t="n">
        <v>1989.19</v>
      </c>
      <c r="F64" s="9" t="n">
        <v>247.36</v>
      </c>
      <c r="G64" s="9" t="n">
        <v>2236.55</v>
      </c>
      <c r="H64" s="9" t="n">
        <v>4565.84</v>
      </c>
      <c r="I64" s="33" t="s">
        <v>84</v>
      </c>
      <c r="J64" s="34" t="n">
        <v>27.5</v>
      </c>
    </row>
    <row r="65" customFormat="false" ht="15" hidden="false" customHeight="false" outlineLevel="0" collapsed="false">
      <c r="B65" s="29" t="s">
        <v>142</v>
      </c>
      <c r="C65" s="30" t="n">
        <v>2691.42</v>
      </c>
      <c r="D65" s="30" t="n">
        <v>0</v>
      </c>
      <c r="E65" s="30" t="n">
        <v>2691.42</v>
      </c>
      <c r="F65" s="30" t="n">
        <v>0</v>
      </c>
      <c r="G65" s="30" t="n">
        <v>2691.42</v>
      </c>
      <c r="H65" s="30" t="n">
        <v>0</v>
      </c>
      <c r="I65" s="31" t="s">
        <v>89</v>
      </c>
      <c r="J65" s="32" t="n">
        <v>5</v>
      </c>
    </row>
    <row r="66" customFormat="false" ht="15" hidden="false" customHeight="false" outlineLevel="0" collapsed="false">
      <c r="B66" s="7" t="s">
        <v>143</v>
      </c>
      <c r="C66" s="9" t="n">
        <v>12321.7</v>
      </c>
      <c r="D66" s="9" t="n">
        <v>0</v>
      </c>
      <c r="E66" s="9" t="n">
        <v>3603.15</v>
      </c>
      <c r="F66" s="9" t="n">
        <v>448.06</v>
      </c>
      <c r="G66" s="9" t="n">
        <v>4051.21</v>
      </c>
      <c r="H66" s="9" t="n">
        <v>8270.49</v>
      </c>
      <c r="I66" s="33" t="s">
        <v>84</v>
      </c>
      <c r="J66" s="34" t="n">
        <v>27.5</v>
      </c>
    </row>
    <row r="67" customFormat="false" ht="15" hidden="false" customHeight="false" outlineLevel="0" collapsed="false">
      <c r="A67" s="35"/>
      <c r="B67" s="36" t="s">
        <v>34</v>
      </c>
      <c r="C67" s="37" t="n">
        <f aca="false">SUM(C59:C66)</f>
        <v>111316.71</v>
      </c>
      <c r="D67" s="37" t="n">
        <f aca="false">SUM(D59:D66)</f>
        <v>0</v>
      </c>
      <c r="E67" s="37" t="n">
        <f aca="false">SUM(E59:E66)</f>
        <v>46671.6</v>
      </c>
      <c r="F67" s="37" t="n">
        <f aca="false">SUM(F59:F66)</f>
        <v>3322.21</v>
      </c>
      <c r="G67" s="37" t="n">
        <f aca="false">SUM(G59:G66)</f>
        <v>49993.81</v>
      </c>
      <c r="H67" s="37" t="n">
        <f aca="false">SUM(H59:H66)</f>
        <v>61322.9</v>
      </c>
      <c r="I67" s="35"/>
      <c r="J67" s="35"/>
    </row>
    <row r="69" customFormat="false" ht="15" hidden="false" customHeight="false" outlineLevel="0" collapsed="false">
      <c r="A69" s="25" t="s">
        <v>38</v>
      </c>
      <c r="B69" s="25"/>
      <c r="C69" s="25"/>
      <c r="D69" s="25"/>
      <c r="E69" s="25"/>
    </row>
    <row r="70" customFormat="false" ht="15" hidden="false" customHeight="false" outlineLevel="0" collapsed="false">
      <c r="B70" s="7" t="s">
        <v>99</v>
      </c>
      <c r="C70" s="39" t="n">
        <f aca="false">G55</f>
        <v>48793.35</v>
      </c>
    </row>
    <row r="71" customFormat="false" ht="15" hidden="false" customHeight="false" outlineLevel="0" collapsed="false">
      <c r="B71" s="7" t="s">
        <v>100</v>
      </c>
      <c r="C71" s="39" t="n">
        <f aca="false">G67</f>
        <v>49993.81</v>
      </c>
    </row>
    <row r="72" customFormat="false" ht="15" hidden="false" customHeight="false" outlineLevel="0" collapsed="false">
      <c r="B72" s="10" t="s">
        <v>38</v>
      </c>
      <c r="C72" s="40" t="n">
        <f aca="false">C71-C70</f>
        <v>1200.46</v>
      </c>
    </row>
  </sheetData>
  <mergeCells count="11">
    <mergeCell ref="A2:J2"/>
    <mergeCell ref="A3:J3"/>
    <mergeCell ref="A4:J4"/>
    <mergeCell ref="A8:J8"/>
    <mergeCell ref="B10:J10"/>
    <mergeCell ref="B21:J21"/>
    <mergeCell ref="B41:J41"/>
    <mergeCell ref="A48:J48"/>
    <mergeCell ref="A49:J49"/>
    <mergeCell ref="A57:J57"/>
    <mergeCell ref="A69:E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144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145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7759.94</v>
      </c>
      <c r="D11" s="21" t="n">
        <v>7759.94</v>
      </c>
    </row>
    <row r="12" customFormat="false" ht="15" hidden="false" customHeight="false" outlineLevel="0" collapsed="false">
      <c r="B12" s="15" t="s">
        <v>105</v>
      </c>
      <c r="C12" s="21" t="n">
        <v>4601.14</v>
      </c>
      <c r="D12" s="21" t="n">
        <v>4601.14</v>
      </c>
    </row>
    <row r="13" customFormat="false" ht="15" hidden="false" customHeight="false" outlineLevel="0" collapsed="false">
      <c r="B13" s="15" t="s">
        <v>106</v>
      </c>
      <c r="C13" s="21" t="n">
        <v>18695.69</v>
      </c>
      <c r="D13" s="21" t="n">
        <v>18695.69</v>
      </c>
    </row>
    <row r="14" customFormat="false" ht="15" hidden="false" customHeight="false" outlineLevel="0" collapsed="false">
      <c r="B14" s="15" t="s">
        <v>108</v>
      </c>
      <c r="C14" s="21" t="n">
        <v>2235.2</v>
      </c>
      <c r="D14" s="21" t="n">
        <v>2235.2</v>
      </c>
    </row>
    <row r="15" customFormat="false" ht="15" hidden="false" customHeight="false" outlineLevel="0" collapsed="false">
      <c r="B15" s="15" t="s">
        <v>146</v>
      </c>
      <c r="C15" s="21" t="n">
        <v>274.94</v>
      </c>
      <c r="D15" s="21" t="n">
        <v>274.94</v>
      </c>
    </row>
    <row r="16" customFormat="false" ht="15" hidden="false" customHeight="false" outlineLevel="0" collapsed="false">
      <c r="B16" s="15" t="s">
        <v>147</v>
      </c>
      <c r="C16" s="21" t="n">
        <v>120.68</v>
      </c>
      <c r="D16" s="21" t="n">
        <v>120.68</v>
      </c>
    </row>
    <row r="17" customFormat="false" ht="15" hidden="false" customHeight="false" outlineLevel="0" collapsed="false">
      <c r="B17" s="15" t="s">
        <v>109</v>
      </c>
      <c r="C17" s="21" t="n">
        <v>4471.44</v>
      </c>
      <c r="D17" s="21" t="n">
        <v>4471.44</v>
      </c>
    </row>
    <row r="18" customFormat="false" ht="15" hidden="false" customHeight="false" outlineLevel="0" collapsed="false">
      <c r="B18" s="15" t="s">
        <v>110</v>
      </c>
      <c r="C18" s="21" t="n">
        <v>1633.14</v>
      </c>
      <c r="D18" s="21" t="n">
        <v>1633.14</v>
      </c>
    </row>
    <row r="19" customFormat="false" ht="15" hidden="false" customHeight="false" outlineLevel="0" collapsed="false">
      <c r="B19" s="15" t="s">
        <v>148</v>
      </c>
      <c r="C19" s="21" t="n">
        <v>5141.11</v>
      </c>
      <c r="D19" s="21" t="n">
        <v>5141.11</v>
      </c>
    </row>
    <row r="20" customFormat="false" ht="15" hidden="false" customHeight="false" outlineLevel="0" collapsed="false">
      <c r="B20" s="15" t="s">
        <v>112</v>
      </c>
      <c r="C20" s="21" t="n">
        <v>1534.74</v>
      </c>
      <c r="D20" s="21" t="n">
        <v>1534.74</v>
      </c>
    </row>
    <row r="21" customFormat="false" ht="15" hidden="false" customHeight="false" outlineLevel="0" collapsed="false">
      <c r="B21" s="15" t="s">
        <v>149</v>
      </c>
      <c r="C21" s="21" t="n">
        <v>64.8</v>
      </c>
      <c r="D21" s="21" t="n">
        <v>64.8</v>
      </c>
    </row>
    <row r="22" customFormat="false" ht="15" hidden="false" customHeight="false" outlineLevel="0" collapsed="false">
      <c r="B22" s="15" t="s">
        <v>150</v>
      </c>
      <c r="C22" s="21" t="n">
        <v>5524.32</v>
      </c>
      <c r="D22" s="21" t="n">
        <v>5524.32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10400.92</v>
      </c>
      <c r="G24" s="21" t="n">
        <v>10400.92</v>
      </c>
    </row>
    <row r="25" customFormat="false" ht="15" hidden="false" customHeight="false" outlineLevel="0" collapsed="false">
      <c r="B25" s="15" t="s">
        <v>116</v>
      </c>
      <c r="C25" s="21" t="n">
        <v>19732.45</v>
      </c>
      <c r="G25" s="21" t="n">
        <v>19732.45</v>
      </c>
    </row>
    <row r="26" customFormat="false" ht="15" hidden="false" customHeight="false" outlineLevel="0" collapsed="false">
      <c r="B26" s="15" t="s">
        <v>117</v>
      </c>
      <c r="C26" s="21" t="n">
        <v>18076.85</v>
      </c>
      <c r="G26" s="21" t="n">
        <v>18076.85</v>
      </c>
    </row>
    <row r="27" customFormat="false" ht="15" hidden="false" customHeight="false" outlineLevel="0" collapsed="false">
      <c r="B27" s="15" t="s">
        <v>118</v>
      </c>
      <c r="C27" s="21" t="n">
        <v>19867.9</v>
      </c>
      <c r="G27" s="21" t="n">
        <v>19867.9</v>
      </c>
    </row>
    <row r="28" customFormat="false" ht="15" hidden="false" customHeight="false" outlineLevel="0" collapsed="false">
      <c r="B28" s="15" t="s">
        <v>119</v>
      </c>
      <c r="C28" s="21" t="n">
        <v>15953.11</v>
      </c>
      <c r="G28" s="21" t="n">
        <v>15953.11</v>
      </c>
    </row>
    <row r="29" customFormat="false" ht="15" hidden="false" customHeight="false" outlineLevel="0" collapsed="false">
      <c r="B29" s="15" t="s">
        <v>120</v>
      </c>
      <c r="C29" s="21" t="n">
        <v>1077</v>
      </c>
      <c r="G29" s="21" t="n">
        <v>1077</v>
      </c>
    </row>
    <row r="30" customFormat="false" ht="15" hidden="false" customHeight="false" outlineLevel="0" collapsed="false">
      <c r="B30" s="15" t="s">
        <v>121</v>
      </c>
      <c r="C30" s="21" t="n">
        <v>24515.03</v>
      </c>
      <c r="G30" s="21" t="n">
        <v>24515.03</v>
      </c>
    </row>
    <row r="31" customFormat="false" ht="15" hidden="false" customHeight="false" outlineLevel="0" collapsed="false">
      <c r="B31" s="15" t="s">
        <v>122</v>
      </c>
      <c r="C31" s="21" t="n">
        <v>18444.72</v>
      </c>
      <c r="G31" s="21" t="n">
        <v>18444.72</v>
      </c>
    </row>
    <row r="32" customFormat="false" ht="15" hidden="false" customHeight="false" outlineLevel="0" collapsed="false">
      <c r="B32" s="15" t="s">
        <v>123</v>
      </c>
      <c r="C32" s="21" t="n">
        <v>11037.53</v>
      </c>
      <c r="G32" s="21" t="n">
        <v>11037.53</v>
      </c>
    </row>
    <row r="33" customFormat="false" ht="15" hidden="false" customHeight="false" outlineLevel="0" collapsed="false">
      <c r="B33" s="15" t="s">
        <v>124</v>
      </c>
      <c r="C33" s="21" t="n">
        <v>8326.32</v>
      </c>
      <c r="G33" s="21" t="n">
        <v>8326.32</v>
      </c>
    </row>
    <row r="34" customFormat="false" ht="15" hidden="false" customHeight="false" outlineLevel="0" collapsed="false">
      <c r="B34" s="15" t="s">
        <v>125</v>
      </c>
      <c r="C34" s="21" t="n">
        <v>20278.2</v>
      </c>
      <c r="G34" s="21" t="n">
        <v>20278.2</v>
      </c>
    </row>
    <row r="35" customFormat="false" ht="15" hidden="false" customHeight="false" outlineLevel="0" collapsed="false">
      <c r="B35" s="15" t="s">
        <v>126</v>
      </c>
      <c r="C35" s="21" t="n">
        <v>8613.97</v>
      </c>
      <c r="G35" s="21" t="n">
        <v>8613.97</v>
      </c>
    </row>
    <row r="36" customFormat="false" ht="15" hidden="false" customHeight="false" outlineLevel="0" collapsed="false">
      <c r="B36" s="15" t="s">
        <v>127</v>
      </c>
      <c r="C36" s="21" t="n">
        <v>1343.51</v>
      </c>
      <c r="G36" s="21" t="n">
        <v>1343.51</v>
      </c>
    </row>
    <row r="37" customFormat="false" ht="15" hidden="false" customHeight="false" outlineLevel="0" collapsed="false">
      <c r="B37" s="15" t="s">
        <v>129</v>
      </c>
      <c r="C37" s="21" t="n">
        <v>27755.5</v>
      </c>
      <c r="G37" s="21" t="n">
        <v>27755.5</v>
      </c>
    </row>
    <row r="38" customFormat="false" ht="15" hidden="false" customHeight="false" outlineLevel="0" collapsed="false">
      <c r="B38" s="15" t="s">
        <v>151</v>
      </c>
      <c r="C38" s="21" t="n">
        <v>6811.28</v>
      </c>
      <c r="G38" s="21" t="n">
        <v>6811.28</v>
      </c>
    </row>
    <row r="39" customFormat="false" ht="15" hidden="false" customHeight="false" outlineLevel="0" collapsed="false">
      <c r="B39" s="15" t="s">
        <v>130</v>
      </c>
      <c r="C39" s="21" t="n">
        <v>1999.53</v>
      </c>
      <c r="G39" s="21" t="n">
        <v>1999.53</v>
      </c>
    </row>
    <row r="40" customFormat="false" ht="15" hidden="false" customHeight="false" outlineLevel="0" collapsed="false">
      <c r="B40" s="15" t="s">
        <v>152</v>
      </c>
      <c r="C40" s="21" t="n">
        <v>2564.71</v>
      </c>
      <c r="G40" s="21" t="n">
        <v>2564.71</v>
      </c>
    </row>
    <row r="41" customFormat="false" ht="15" hidden="false" customHeight="false" outlineLevel="0" collapsed="false">
      <c r="A41" s="22"/>
      <c r="B41" s="23" t="s">
        <v>66</v>
      </c>
      <c r="C41" s="24" t="n">
        <f aca="false">SUM(C10:C40)</f>
        <v>268855.67</v>
      </c>
      <c r="D41" s="24" t="n">
        <f aca="false">SUM(D10:D40)</f>
        <v>52057.14</v>
      </c>
      <c r="E41" s="24" t="n">
        <f aca="false">SUM(E10:E40)</f>
        <v>0</v>
      </c>
      <c r="F41" s="24" t="n">
        <f aca="false">SUM(F10:F40)</f>
        <v>0</v>
      </c>
      <c r="G41" s="24" t="n">
        <f aca="false">SUM(G10:G40)</f>
        <v>216798.53</v>
      </c>
      <c r="H41" s="22"/>
    </row>
    <row r="43" customFormat="false" ht="15" hidden="false" customHeight="false" outlineLevel="0" collapsed="false">
      <c r="A43" s="19"/>
      <c r="B43" s="20" t="s">
        <v>67</v>
      </c>
      <c r="C43" s="20"/>
      <c r="D43" s="20"/>
      <c r="E43" s="20"/>
      <c r="F43" s="20"/>
      <c r="G43" s="20"/>
      <c r="H43" s="20"/>
      <c r="I43" s="20"/>
      <c r="J43" s="20"/>
    </row>
    <row r="44" customFormat="false" ht="15" hidden="false" customHeight="false" outlineLevel="0" collapsed="false">
      <c r="B44" s="15" t="s">
        <v>68</v>
      </c>
      <c r="C44" s="21" t="n">
        <v>212191.05</v>
      </c>
      <c r="D44" s="21" t="n">
        <v>41085.46</v>
      </c>
      <c r="G44" s="21" t="n">
        <v>171105.59</v>
      </c>
    </row>
    <row r="45" customFormat="false" ht="15" hidden="false" customHeight="false" outlineLevel="0" collapsed="false">
      <c r="B45" s="15" t="s">
        <v>69</v>
      </c>
      <c r="C45" s="21" t="n">
        <v>386.45</v>
      </c>
      <c r="D45" s="21" t="n">
        <v>74.83</v>
      </c>
      <c r="G45" s="21" t="n">
        <v>311.62</v>
      </c>
    </row>
    <row r="46" customFormat="false" ht="15" hidden="false" customHeight="false" outlineLevel="0" collapsed="false">
      <c r="B46" s="15" t="s">
        <v>70</v>
      </c>
      <c r="C46" s="21" t="n">
        <v>20018</v>
      </c>
      <c r="D46" s="21" t="n">
        <v>3875.98</v>
      </c>
      <c r="G46" s="21" t="n">
        <v>16142.02</v>
      </c>
    </row>
    <row r="47" customFormat="false" ht="15" hidden="false" customHeight="false" outlineLevel="0" collapsed="false">
      <c r="B47" s="15" t="s">
        <v>71</v>
      </c>
      <c r="C47" s="21" t="n">
        <v>36260.17</v>
      </c>
      <c r="D47" s="21" t="n">
        <v>7020.87</v>
      </c>
      <c r="G47" s="21" t="n">
        <v>29239.3</v>
      </c>
    </row>
    <row r="48" customFormat="false" ht="15" hidden="false" customHeight="false" outlineLevel="0" collapsed="false">
      <c r="A48" s="22"/>
      <c r="B48" s="23" t="s">
        <v>72</v>
      </c>
      <c r="C48" s="24" t="n">
        <f aca="false">SUM(C44:C47)</f>
        <v>268855.67</v>
      </c>
      <c r="D48" s="24" t="n">
        <f aca="false">SUM(D44:D47)</f>
        <v>52057.14</v>
      </c>
      <c r="E48" s="22"/>
      <c r="F48" s="24" t="n">
        <f aca="false">SUM(F44:F47)</f>
        <v>0</v>
      </c>
      <c r="G48" s="24" t="n">
        <f aca="false">SUM(G44:G47)</f>
        <v>216798.53</v>
      </c>
      <c r="H48" s="22"/>
    </row>
    <row r="50" customFormat="false" ht="15" hidden="false" customHeight="false" outlineLevel="0" collapsed="false">
      <c r="A50" s="25" t="s">
        <v>73</v>
      </c>
      <c r="B50" s="25"/>
      <c r="C50" s="25"/>
      <c r="D50" s="25"/>
      <c r="E50" s="25"/>
      <c r="F50" s="25"/>
      <c r="G50" s="25"/>
      <c r="H50" s="25"/>
      <c r="I50" s="25"/>
      <c r="J50" s="25"/>
    </row>
    <row r="51" customFormat="false" ht="15" hidden="false" customHeight="false" outlineLevel="0" collapsed="false">
      <c r="A51" s="26" t="s">
        <v>36</v>
      </c>
      <c r="B51" s="26"/>
      <c r="C51" s="26"/>
      <c r="D51" s="26"/>
      <c r="E51" s="26"/>
      <c r="F51" s="26"/>
      <c r="G51" s="26"/>
      <c r="H51" s="26"/>
      <c r="I51" s="26"/>
      <c r="J51" s="26"/>
    </row>
    <row r="52" customFormat="false" ht="15" hidden="false" customHeight="false" outlineLevel="0" collapsed="false">
      <c r="A52" s="27"/>
      <c r="B52" s="27" t="s">
        <v>74</v>
      </c>
      <c r="C52" s="28" t="s">
        <v>75</v>
      </c>
      <c r="D52" s="28" t="s">
        <v>76</v>
      </c>
      <c r="E52" s="28" t="s">
        <v>77</v>
      </c>
      <c r="F52" s="28" t="s">
        <v>78</v>
      </c>
      <c r="G52" s="28" t="s">
        <v>79</v>
      </c>
      <c r="H52" s="28" t="s">
        <v>80</v>
      </c>
      <c r="I52" s="28" t="s">
        <v>81</v>
      </c>
      <c r="J52" s="28" t="s">
        <v>82</v>
      </c>
    </row>
    <row r="53" customFormat="false" ht="15" hidden="false" customHeight="false" outlineLevel="0" collapsed="false">
      <c r="B53" s="29" t="s">
        <v>153</v>
      </c>
      <c r="C53" s="30" t="n">
        <v>212191.05</v>
      </c>
      <c r="D53" s="30" t="n">
        <v>0</v>
      </c>
      <c r="E53" s="30" t="n">
        <v>62049.02</v>
      </c>
      <c r="F53" s="30" t="n">
        <v>7716.04</v>
      </c>
      <c r="G53" s="30" t="n">
        <v>69765.06</v>
      </c>
      <c r="H53" s="30" t="n">
        <v>142425.99</v>
      </c>
      <c r="I53" s="31" t="s">
        <v>84</v>
      </c>
      <c r="J53" s="32" t="n">
        <v>27.5</v>
      </c>
    </row>
    <row r="54" customFormat="false" ht="15" hidden="false" customHeight="false" outlineLevel="0" collapsed="false">
      <c r="B54" s="7" t="s">
        <v>154</v>
      </c>
      <c r="C54" s="9" t="n">
        <v>386.45</v>
      </c>
      <c r="D54" s="9" t="n">
        <v>0</v>
      </c>
      <c r="E54" s="9" t="n">
        <v>111.91</v>
      </c>
      <c r="F54" s="9" t="n">
        <v>14.06</v>
      </c>
      <c r="G54" s="9" t="n">
        <v>125.97</v>
      </c>
      <c r="H54" s="9" t="n">
        <v>260.48</v>
      </c>
      <c r="I54" s="33" t="s">
        <v>84</v>
      </c>
      <c r="J54" s="34" t="n">
        <v>27.5</v>
      </c>
    </row>
    <row r="55" customFormat="false" ht="15" hidden="false" customHeight="false" outlineLevel="0" collapsed="false">
      <c r="B55" s="29" t="s">
        <v>155</v>
      </c>
      <c r="C55" s="30" t="n">
        <v>20018</v>
      </c>
      <c r="D55" s="30" t="n">
        <v>0</v>
      </c>
      <c r="E55" s="30" t="n">
        <v>11723.87</v>
      </c>
      <c r="F55" s="30" t="n">
        <v>1181.07</v>
      </c>
      <c r="G55" s="30" t="n">
        <v>12904.94</v>
      </c>
      <c r="H55" s="30" t="n">
        <v>7113.06</v>
      </c>
      <c r="I55" s="31" t="s">
        <v>87</v>
      </c>
      <c r="J55" s="32" t="n">
        <v>15</v>
      </c>
    </row>
    <row r="56" customFormat="false" ht="15" hidden="false" customHeight="false" outlineLevel="0" collapsed="false">
      <c r="B56" s="7" t="s">
        <v>156</v>
      </c>
      <c r="C56" s="9" t="n">
        <v>36260.17</v>
      </c>
      <c r="D56" s="9" t="n">
        <v>0</v>
      </c>
      <c r="E56" s="9" t="n">
        <v>35051.5</v>
      </c>
      <c r="F56" s="9" t="n">
        <v>0</v>
      </c>
      <c r="G56" s="9" t="n">
        <v>35051.5</v>
      </c>
      <c r="H56" s="9" t="n">
        <v>1208.67</v>
      </c>
      <c r="I56" s="33" t="s">
        <v>89</v>
      </c>
      <c r="J56" s="34" t="n">
        <v>5</v>
      </c>
    </row>
    <row r="57" customFormat="false" ht="15" hidden="false" customHeight="false" outlineLevel="0" collapsed="false">
      <c r="A57" s="35"/>
      <c r="B57" s="36" t="s">
        <v>34</v>
      </c>
      <c r="C57" s="37" t="n">
        <f aca="false">SUM(C53:C56)</f>
        <v>268855.67</v>
      </c>
      <c r="D57" s="37" t="n">
        <f aca="false">SUM(D53:D56)</f>
        <v>0</v>
      </c>
      <c r="E57" s="37" t="n">
        <f aca="false">SUM(E53:E56)</f>
        <v>108936.3</v>
      </c>
      <c r="F57" s="37" t="n">
        <f aca="false">SUM(F53:F56)</f>
        <v>8911.17</v>
      </c>
      <c r="G57" s="37" t="n">
        <f aca="false">SUM(G53:G56)</f>
        <v>117847.47</v>
      </c>
      <c r="H57" s="37" t="n">
        <f aca="false">SUM(H53:H56)</f>
        <v>151008.2</v>
      </c>
      <c r="I57" s="35"/>
      <c r="J57" s="35"/>
    </row>
    <row r="59" customFormat="false" ht="15" hidden="false" customHeight="false" outlineLevel="0" collapsed="false">
      <c r="A59" s="38" t="s">
        <v>90</v>
      </c>
      <c r="B59" s="38"/>
      <c r="C59" s="38"/>
      <c r="D59" s="38"/>
      <c r="E59" s="38"/>
      <c r="F59" s="38"/>
      <c r="G59" s="38"/>
      <c r="H59" s="38"/>
      <c r="I59" s="38"/>
      <c r="J59" s="38"/>
    </row>
    <row r="60" customFormat="false" ht="15" hidden="false" customHeight="false" outlineLevel="0" collapsed="false">
      <c r="A60" s="27"/>
      <c r="B60" s="27" t="s">
        <v>74</v>
      </c>
      <c r="C60" s="28" t="s">
        <v>75</v>
      </c>
      <c r="D60" s="28" t="s">
        <v>76</v>
      </c>
      <c r="E60" s="28" t="s">
        <v>77</v>
      </c>
      <c r="F60" s="28" t="s">
        <v>78</v>
      </c>
      <c r="G60" s="28" t="s">
        <v>79</v>
      </c>
      <c r="H60" s="28" t="s">
        <v>80</v>
      </c>
      <c r="I60" s="28" t="s">
        <v>81</v>
      </c>
      <c r="J60" s="28" t="s">
        <v>82</v>
      </c>
    </row>
    <row r="61" customFormat="false" ht="15" hidden="false" customHeight="false" outlineLevel="0" collapsed="false">
      <c r="B61" s="29" t="s">
        <v>157</v>
      </c>
      <c r="C61" s="30" t="n">
        <v>41085.46</v>
      </c>
      <c r="D61" s="30" t="n">
        <v>0</v>
      </c>
      <c r="E61" s="30" t="n">
        <v>41085.46</v>
      </c>
      <c r="F61" s="30" t="n">
        <v>0</v>
      </c>
      <c r="G61" s="30" t="n">
        <v>41085.46</v>
      </c>
      <c r="H61" s="30" t="n">
        <v>0</v>
      </c>
      <c r="I61" s="31" t="s">
        <v>89</v>
      </c>
      <c r="J61" s="32" t="n">
        <v>5</v>
      </c>
    </row>
    <row r="62" customFormat="false" ht="15" hidden="false" customHeight="false" outlineLevel="0" collapsed="false">
      <c r="B62" s="7" t="s">
        <v>158</v>
      </c>
      <c r="C62" s="9" t="n">
        <v>171105.59</v>
      </c>
      <c r="D62" s="9" t="n">
        <v>0</v>
      </c>
      <c r="E62" s="9" t="n">
        <v>50035.41</v>
      </c>
      <c r="F62" s="9" t="n">
        <v>6222.02</v>
      </c>
      <c r="G62" s="9" t="n">
        <v>56257.43</v>
      </c>
      <c r="H62" s="9" t="n">
        <v>114848.16</v>
      </c>
      <c r="I62" s="33" t="s">
        <v>84</v>
      </c>
      <c r="J62" s="34" t="n">
        <v>27.5</v>
      </c>
    </row>
    <row r="63" customFormat="false" ht="15" hidden="false" customHeight="false" outlineLevel="0" collapsed="false">
      <c r="B63" s="29" t="s">
        <v>159</v>
      </c>
      <c r="C63" s="30" t="n">
        <v>74.83</v>
      </c>
      <c r="D63" s="30" t="n">
        <v>0</v>
      </c>
      <c r="E63" s="30" t="n">
        <v>74.83</v>
      </c>
      <c r="F63" s="30" t="n">
        <v>0</v>
      </c>
      <c r="G63" s="30" t="n">
        <v>74.83</v>
      </c>
      <c r="H63" s="30" t="n">
        <v>0</v>
      </c>
      <c r="I63" s="31" t="s">
        <v>89</v>
      </c>
      <c r="J63" s="32" t="n">
        <v>5</v>
      </c>
    </row>
    <row r="64" customFormat="false" ht="15" hidden="false" customHeight="false" outlineLevel="0" collapsed="false">
      <c r="B64" s="7" t="s">
        <v>160</v>
      </c>
      <c r="C64" s="9" t="n">
        <v>311.62</v>
      </c>
      <c r="D64" s="9" t="n">
        <v>0</v>
      </c>
      <c r="E64" s="9" t="n">
        <v>90.17</v>
      </c>
      <c r="F64" s="9" t="n">
        <v>11.33</v>
      </c>
      <c r="G64" s="9" t="n">
        <v>101.5</v>
      </c>
      <c r="H64" s="9" t="n">
        <v>210.12</v>
      </c>
      <c r="I64" s="33" t="s">
        <v>84</v>
      </c>
      <c r="J64" s="34" t="n">
        <v>27.5</v>
      </c>
    </row>
    <row r="65" customFormat="false" ht="15" hidden="false" customHeight="false" outlineLevel="0" collapsed="false">
      <c r="B65" s="29" t="s">
        <v>161</v>
      </c>
      <c r="C65" s="30" t="n">
        <v>3875.98</v>
      </c>
      <c r="D65" s="30" t="n">
        <v>0</v>
      </c>
      <c r="E65" s="30" t="n">
        <v>3875.98</v>
      </c>
      <c r="F65" s="30" t="n">
        <v>0</v>
      </c>
      <c r="G65" s="30" t="n">
        <v>3875.98</v>
      </c>
      <c r="H65" s="30" t="n">
        <v>0</v>
      </c>
      <c r="I65" s="31" t="s">
        <v>89</v>
      </c>
      <c r="J65" s="32" t="n">
        <v>5</v>
      </c>
    </row>
    <row r="66" customFormat="false" ht="15" hidden="false" customHeight="false" outlineLevel="0" collapsed="false">
      <c r="B66" s="7" t="s">
        <v>162</v>
      </c>
      <c r="C66" s="9" t="n">
        <v>16142.02</v>
      </c>
      <c r="D66" s="9" t="n">
        <v>0</v>
      </c>
      <c r="E66" s="9" t="n">
        <v>4720.3</v>
      </c>
      <c r="F66" s="9" t="n">
        <v>586.98</v>
      </c>
      <c r="G66" s="9" t="n">
        <v>5307.28</v>
      </c>
      <c r="H66" s="9" t="n">
        <v>10834.74</v>
      </c>
      <c r="I66" s="33" t="s">
        <v>84</v>
      </c>
      <c r="J66" s="34" t="n">
        <v>27.5</v>
      </c>
    </row>
    <row r="67" customFormat="false" ht="15" hidden="false" customHeight="false" outlineLevel="0" collapsed="false">
      <c r="B67" s="29" t="s">
        <v>163</v>
      </c>
      <c r="C67" s="30" t="n">
        <v>7020.87</v>
      </c>
      <c r="D67" s="30" t="n">
        <v>0</v>
      </c>
      <c r="E67" s="30" t="n">
        <v>7020.87</v>
      </c>
      <c r="F67" s="30" t="n">
        <v>0</v>
      </c>
      <c r="G67" s="30" t="n">
        <v>7020.87</v>
      </c>
      <c r="H67" s="30" t="n">
        <v>0</v>
      </c>
      <c r="I67" s="31" t="s">
        <v>89</v>
      </c>
      <c r="J67" s="32" t="n">
        <v>5</v>
      </c>
    </row>
    <row r="68" customFormat="false" ht="15" hidden="false" customHeight="false" outlineLevel="0" collapsed="false">
      <c r="B68" s="7" t="s">
        <v>164</v>
      </c>
      <c r="C68" s="9" t="n">
        <v>29239.3</v>
      </c>
      <c r="D68" s="9" t="n">
        <v>0</v>
      </c>
      <c r="E68" s="9" t="n">
        <v>8550.3</v>
      </c>
      <c r="F68" s="9" t="n">
        <v>1063.25</v>
      </c>
      <c r="G68" s="9" t="n">
        <v>9613.55</v>
      </c>
      <c r="H68" s="9" t="n">
        <v>19625.75</v>
      </c>
      <c r="I68" s="33" t="s">
        <v>84</v>
      </c>
      <c r="J68" s="34" t="n">
        <v>27.5</v>
      </c>
    </row>
    <row r="69" customFormat="false" ht="15" hidden="false" customHeight="false" outlineLevel="0" collapsed="false">
      <c r="A69" s="35"/>
      <c r="B69" s="36" t="s">
        <v>34</v>
      </c>
      <c r="C69" s="37" t="n">
        <f aca="false">SUM(C61:C68)</f>
        <v>268855.67</v>
      </c>
      <c r="D69" s="37" t="n">
        <f aca="false">SUM(D61:D68)</f>
        <v>0</v>
      </c>
      <c r="E69" s="37" t="n">
        <f aca="false">SUM(E61:E68)</f>
        <v>115453.32</v>
      </c>
      <c r="F69" s="37" t="n">
        <f aca="false">SUM(F61:F68)</f>
        <v>7883.58</v>
      </c>
      <c r="G69" s="37" t="n">
        <f aca="false">SUM(G61:G68)</f>
        <v>123336.9</v>
      </c>
      <c r="H69" s="37" t="n">
        <f aca="false">SUM(H61:H68)</f>
        <v>145518.77</v>
      </c>
      <c r="I69" s="35"/>
      <c r="J69" s="35"/>
    </row>
    <row r="71" customFormat="false" ht="15" hidden="false" customHeight="false" outlineLevel="0" collapsed="false">
      <c r="A71" s="25" t="s">
        <v>38</v>
      </c>
      <c r="B71" s="25"/>
      <c r="C71" s="25"/>
      <c r="D71" s="25"/>
      <c r="E71" s="25"/>
    </row>
    <row r="72" customFormat="false" ht="15" hidden="false" customHeight="false" outlineLevel="0" collapsed="false">
      <c r="B72" s="7" t="s">
        <v>99</v>
      </c>
      <c r="C72" s="39" t="n">
        <f aca="false">G57</f>
        <v>117847.47</v>
      </c>
    </row>
    <row r="73" customFormat="false" ht="15" hidden="false" customHeight="false" outlineLevel="0" collapsed="false">
      <c r="B73" s="7" t="s">
        <v>100</v>
      </c>
      <c r="C73" s="39" t="n">
        <f aca="false">G69</f>
        <v>123336.9</v>
      </c>
    </row>
    <row r="74" customFormat="false" ht="15" hidden="false" customHeight="false" outlineLevel="0" collapsed="false">
      <c r="B74" s="10" t="s">
        <v>38</v>
      </c>
      <c r="C74" s="40" t="n">
        <f aca="false">C73-C72</f>
        <v>5489.42999999999</v>
      </c>
    </row>
  </sheetData>
  <mergeCells count="11">
    <mergeCell ref="A2:J2"/>
    <mergeCell ref="A3:J3"/>
    <mergeCell ref="A4:J4"/>
    <mergeCell ref="A8:J8"/>
    <mergeCell ref="B10:J10"/>
    <mergeCell ref="B23:J23"/>
    <mergeCell ref="B43:J43"/>
    <mergeCell ref="A50:J50"/>
    <mergeCell ref="A51:J51"/>
    <mergeCell ref="A59:J59"/>
    <mergeCell ref="A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165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166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7759.94</v>
      </c>
      <c r="D11" s="21" t="n">
        <v>7759.94</v>
      </c>
    </row>
    <row r="12" customFormat="false" ht="15" hidden="false" customHeight="false" outlineLevel="0" collapsed="false">
      <c r="B12" s="15" t="s">
        <v>105</v>
      </c>
      <c r="C12" s="21" t="n">
        <v>4601.14</v>
      </c>
      <c r="D12" s="21" t="n">
        <v>4601.14</v>
      </c>
    </row>
    <row r="13" customFormat="false" ht="15" hidden="false" customHeight="false" outlineLevel="0" collapsed="false">
      <c r="B13" s="15" t="s">
        <v>106</v>
      </c>
      <c r="C13" s="21" t="n">
        <v>18695.69</v>
      </c>
      <c r="D13" s="21" t="n">
        <v>18695.69</v>
      </c>
    </row>
    <row r="14" customFormat="false" ht="15" hidden="false" customHeight="false" outlineLevel="0" collapsed="false">
      <c r="B14" s="15" t="s">
        <v>108</v>
      </c>
      <c r="C14" s="21" t="n">
        <v>2235.2</v>
      </c>
      <c r="D14" s="21" t="n">
        <v>2235.2</v>
      </c>
    </row>
    <row r="15" customFormat="false" ht="15" hidden="false" customHeight="false" outlineLevel="0" collapsed="false">
      <c r="B15" s="15" t="s">
        <v>146</v>
      </c>
      <c r="C15" s="21" t="n">
        <v>274.94</v>
      </c>
      <c r="D15" s="21" t="n">
        <v>274.94</v>
      </c>
    </row>
    <row r="16" customFormat="false" ht="15" hidden="false" customHeight="false" outlineLevel="0" collapsed="false">
      <c r="B16" s="15" t="s">
        <v>147</v>
      </c>
      <c r="C16" s="21" t="n">
        <v>120.68</v>
      </c>
      <c r="D16" s="21" t="n">
        <v>120.68</v>
      </c>
    </row>
    <row r="17" customFormat="false" ht="15" hidden="false" customHeight="false" outlineLevel="0" collapsed="false">
      <c r="B17" s="15" t="s">
        <v>109</v>
      </c>
      <c r="C17" s="21" t="n">
        <v>4471.44</v>
      </c>
      <c r="D17" s="21" t="n">
        <v>4471.44</v>
      </c>
    </row>
    <row r="18" customFormat="false" ht="15" hidden="false" customHeight="false" outlineLevel="0" collapsed="false">
      <c r="B18" s="15" t="s">
        <v>110</v>
      </c>
      <c r="C18" s="21" t="n">
        <v>1633.14</v>
      </c>
      <c r="D18" s="21" t="n">
        <v>1633.14</v>
      </c>
    </row>
    <row r="19" customFormat="false" ht="15" hidden="false" customHeight="false" outlineLevel="0" collapsed="false">
      <c r="B19" s="15" t="s">
        <v>148</v>
      </c>
      <c r="C19" s="21" t="n">
        <v>5141.11</v>
      </c>
      <c r="D19" s="21" t="n">
        <v>5141.11</v>
      </c>
    </row>
    <row r="20" customFormat="false" ht="15" hidden="false" customHeight="false" outlineLevel="0" collapsed="false">
      <c r="B20" s="15" t="s">
        <v>112</v>
      </c>
      <c r="C20" s="21" t="n">
        <v>1534.74</v>
      </c>
      <c r="D20" s="21" t="n">
        <v>1534.74</v>
      </c>
    </row>
    <row r="21" customFormat="false" ht="15" hidden="false" customHeight="false" outlineLevel="0" collapsed="false">
      <c r="B21" s="15" t="s">
        <v>149</v>
      </c>
      <c r="C21" s="21" t="n">
        <v>64.8</v>
      </c>
      <c r="D21" s="21" t="n">
        <v>64.8</v>
      </c>
    </row>
    <row r="22" customFormat="false" ht="15" hidden="false" customHeight="false" outlineLevel="0" collapsed="false">
      <c r="B22" s="15" t="s">
        <v>150</v>
      </c>
      <c r="C22" s="21" t="n">
        <v>5524.32</v>
      </c>
      <c r="D22" s="21" t="n">
        <v>5524.32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10400.92</v>
      </c>
      <c r="G24" s="21" t="n">
        <v>10400.92</v>
      </c>
    </row>
    <row r="25" customFormat="false" ht="15" hidden="false" customHeight="false" outlineLevel="0" collapsed="false">
      <c r="B25" s="15" t="s">
        <v>116</v>
      </c>
      <c r="C25" s="21" t="n">
        <v>19732.45</v>
      </c>
      <c r="G25" s="21" t="n">
        <v>19732.45</v>
      </c>
    </row>
    <row r="26" customFormat="false" ht="15" hidden="false" customHeight="false" outlineLevel="0" collapsed="false">
      <c r="B26" s="15" t="s">
        <v>117</v>
      </c>
      <c r="C26" s="21" t="n">
        <v>18076.85</v>
      </c>
      <c r="G26" s="21" t="n">
        <v>18076.85</v>
      </c>
    </row>
    <row r="27" customFormat="false" ht="15" hidden="false" customHeight="false" outlineLevel="0" collapsed="false">
      <c r="B27" s="15" t="s">
        <v>118</v>
      </c>
      <c r="C27" s="21" t="n">
        <v>19867.9</v>
      </c>
      <c r="G27" s="21" t="n">
        <v>19867.9</v>
      </c>
    </row>
    <row r="28" customFormat="false" ht="15" hidden="false" customHeight="false" outlineLevel="0" collapsed="false">
      <c r="B28" s="15" t="s">
        <v>119</v>
      </c>
      <c r="C28" s="21" t="n">
        <v>15953.11</v>
      </c>
      <c r="G28" s="21" t="n">
        <v>15953.11</v>
      </c>
    </row>
    <row r="29" customFormat="false" ht="15" hidden="false" customHeight="false" outlineLevel="0" collapsed="false">
      <c r="B29" s="15" t="s">
        <v>120</v>
      </c>
      <c r="C29" s="21" t="n">
        <v>1077</v>
      </c>
      <c r="G29" s="21" t="n">
        <v>1077</v>
      </c>
    </row>
    <row r="30" customFormat="false" ht="15" hidden="false" customHeight="false" outlineLevel="0" collapsed="false">
      <c r="B30" s="15" t="s">
        <v>121</v>
      </c>
      <c r="C30" s="21" t="n">
        <v>24515.03</v>
      </c>
      <c r="G30" s="21" t="n">
        <v>24515.03</v>
      </c>
    </row>
    <row r="31" customFormat="false" ht="15" hidden="false" customHeight="false" outlineLevel="0" collapsed="false">
      <c r="B31" s="15" t="s">
        <v>122</v>
      </c>
      <c r="C31" s="21" t="n">
        <v>18444.72</v>
      </c>
      <c r="G31" s="21" t="n">
        <v>18444.72</v>
      </c>
    </row>
    <row r="32" customFormat="false" ht="15" hidden="false" customHeight="false" outlineLevel="0" collapsed="false">
      <c r="B32" s="15" t="s">
        <v>123</v>
      </c>
      <c r="C32" s="21" t="n">
        <v>11037.53</v>
      </c>
      <c r="G32" s="21" t="n">
        <v>11037.53</v>
      </c>
    </row>
    <row r="33" customFormat="false" ht="15" hidden="false" customHeight="false" outlineLevel="0" collapsed="false">
      <c r="B33" s="15" t="s">
        <v>124</v>
      </c>
      <c r="C33" s="21" t="n">
        <v>8326.32</v>
      </c>
      <c r="G33" s="21" t="n">
        <v>8326.32</v>
      </c>
    </row>
    <row r="34" customFormat="false" ht="15" hidden="false" customHeight="false" outlineLevel="0" collapsed="false">
      <c r="B34" s="15" t="s">
        <v>125</v>
      </c>
      <c r="C34" s="21" t="n">
        <v>20278.2</v>
      </c>
      <c r="G34" s="21" t="n">
        <v>20278.2</v>
      </c>
    </row>
    <row r="35" customFormat="false" ht="15" hidden="false" customHeight="false" outlineLevel="0" collapsed="false">
      <c r="B35" s="15" t="s">
        <v>126</v>
      </c>
      <c r="C35" s="21" t="n">
        <v>8613.97</v>
      </c>
      <c r="G35" s="21" t="n">
        <v>8613.97</v>
      </c>
    </row>
    <row r="36" customFormat="false" ht="15" hidden="false" customHeight="false" outlineLevel="0" collapsed="false">
      <c r="B36" s="15" t="s">
        <v>127</v>
      </c>
      <c r="C36" s="21" t="n">
        <v>1343.51</v>
      </c>
      <c r="G36" s="21" t="n">
        <v>1343.51</v>
      </c>
    </row>
    <row r="37" customFormat="false" ht="15" hidden="false" customHeight="false" outlineLevel="0" collapsed="false">
      <c r="B37" s="15" t="s">
        <v>129</v>
      </c>
      <c r="C37" s="21" t="n">
        <v>27755.5</v>
      </c>
      <c r="G37" s="21" t="n">
        <v>27755.5</v>
      </c>
    </row>
    <row r="38" customFormat="false" ht="15" hidden="false" customHeight="false" outlineLevel="0" collapsed="false">
      <c r="B38" s="15" t="s">
        <v>151</v>
      </c>
      <c r="C38" s="21" t="n">
        <v>6811.28</v>
      </c>
      <c r="G38" s="21" t="n">
        <v>6811.28</v>
      </c>
    </row>
    <row r="39" customFormat="false" ht="15" hidden="false" customHeight="false" outlineLevel="0" collapsed="false">
      <c r="B39" s="15" t="s">
        <v>130</v>
      </c>
      <c r="C39" s="21" t="n">
        <v>1999.53</v>
      </c>
      <c r="G39" s="21" t="n">
        <v>1999.53</v>
      </c>
    </row>
    <row r="40" customFormat="false" ht="15" hidden="false" customHeight="false" outlineLevel="0" collapsed="false">
      <c r="B40" s="15" t="s">
        <v>152</v>
      </c>
      <c r="C40" s="21" t="n">
        <v>2564.71</v>
      </c>
      <c r="G40" s="21" t="n">
        <v>2564.71</v>
      </c>
    </row>
    <row r="41" customFormat="false" ht="15" hidden="false" customHeight="false" outlineLevel="0" collapsed="false">
      <c r="A41" s="22"/>
      <c r="B41" s="23" t="s">
        <v>66</v>
      </c>
      <c r="C41" s="24" t="n">
        <f aca="false">SUM(C10:C40)</f>
        <v>268855.67</v>
      </c>
      <c r="D41" s="24" t="n">
        <f aca="false">SUM(D10:D40)</f>
        <v>52057.14</v>
      </c>
      <c r="E41" s="24" t="n">
        <f aca="false">SUM(E10:E40)</f>
        <v>0</v>
      </c>
      <c r="F41" s="24" t="n">
        <f aca="false">SUM(F10:F40)</f>
        <v>0</v>
      </c>
      <c r="G41" s="24" t="n">
        <f aca="false">SUM(G10:G40)</f>
        <v>216798.53</v>
      </c>
      <c r="H41" s="22"/>
    </row>
    <row r="43" customFormat="false" ht="15" hidden="false" customHeight="false" outlineLevel="0" collapsed="false">
      <c r="A43" s="19"/>
      <c r="B43" s="20" t="s">
        <v>67</v>
      </c>
      <c r="C43" s="20"/>
      <c r="D43" s="20"/>
      <c r="E43" s="20"/>
      <c r="F43" s="20"/>
      <c r="G43" s="20"/>
      <c r="H43" s="20"/>
      <c r="I43" s="20"/>
      <c r="J43" s="20"/>
    </row>
    <row r="44" customFormat="false" ht="15" hidden="false" customHeight="false" outlineLevel="0" collapsed="false">
      <c r="B44" s="15" t="s">
        <v>68</v>
      </c>
      <c r="C44" s="21" t="n">
        <v>212191.05</v>
      </c>
      <c r="D44" s="21" t="n">
        <v>41085.46</v>
      </c>
      <c r="G44" s="21" t="n">
        <v>171105.59</v>
      </c>
    </row>
    <row r="45" customFormat="false" ht="15" hidden="false" customHeight="false" outlineLevel="0" collapsed="false">
      <c r="B45" s="15" t="s">
        <v>69</v>
      </c>
      <c r="C45" s="21" t="n">
        <v>386.45</v>
      </c>
      <c r="D45" s="21" t="n">
        <v>74.83</v>
      </c>
      <c r="G45" s="21" t="n">
        <v>311.62</v>
      </c>
    </row>
    <row r="46" customFormat="false" ht="15" hidden="false" customHeight="false" outlineLevel="0" collapsed="false">
      <c r="B46" s="15" t="s">
        <v>70</v>
      </c>
      <c r="C46" s="21" t="n">
        <v>20018</v>
      </c>
      <c r="D46" s="21" t="n">
        <v>3875.98</v>
      </c>
      <c r="G46" s="21" t="n">
        <v>16142.02</v>
      </c>
    </row>
    <row r="47" customFormat="false" ht="15" hidden="false" customHeight="false" outlineLevel="0" collapsed="false">
      <c r="B47" s="15" t="s">
        <v>71</v>
      </c>
      <c r="C47" s="21" t="n">
        <v>36260.17</v>
      </c>
      <c r="D47" s="21" t="n">
        <v>7020.87</v>
      </c>
      <c r="G47" s="21" t="n">
        <v>29239.3</v>
      </c>
    </row>
    <row r="48" customFormat="false" ht="15" hidden="false" customHeight="false" outlineLevel="0" collapsed="false">
      <c r="A48" s="22"/>
      <c r="B48" s="23" t="s">
        <v>72</v>
      </c>
      <c r="C48" s="24" t="n">
        <f aca="false">SUM(C44:C47)</f>
        <v>268855.67</v>
      </c>
      <c r="D48" s="24" t="n">
        <f aca="false">SUM(D44:D47)</f>
        <v>52057.14</v>
      </c>
      <c r="E48" s="22"/>
      <c r="F48" s="24" t="n">
        <f aca="false">SUM(F44:F47)</f>
        <v>0</v>
      </c>
      <c r="G48" s="24" t="n">
        <f aca="false">SUM(G44:G47)</f>
        <v>216798.53</v>
      </c>
      <c r="H48" s="22"/>
    </row>
    <row r="50" customFormat="false" ht="15" hidden="false" customHeight="false" outlineLevel="0" collapsed="false">
      <c r="A50" s="25" t="s">
        <v>73</v>
      </c>
      <c r="B50" s="25"/>
      <c r="C50" s="25"/>
      <c r="D50" s="25"/>
      <c r="E50" s="25"/>
      <c r="F50" s="25"/>
      <c r="G50" s="25"/>
      <c r="H50" s="25"/>
      <c r="I50" s="25"/>
      <c r="J50" s="25"/>
    </row>
    <row r="51" customFormat="false" ht="15" hidden="false" customHeight="false" outlineLevel="0" collapsed="false">
      <c r="A51" s="26" t="s">
        <v>36</v>
      </c>
      <c r="B51" s="26"/>
      <c r="C51" s="26"/>
      <c r="D51" s="26"/>
      <c r="E51" s="26"/>
      <c r="F51" s="26"/>
      <c r="G51" s="26"/>
      <c r="H51" s="26"/>
      <c r="I51" s="26"/>
      <c r="J51" s="26"/>
    </row>
    <row r="52" customFormat="false" ht="15" hidden="false" customHeight="false" outlineLevel="0" collapsed="false">
      <c r="A52" s="27"/>
      <c r="B52" s="27" t="s">
        <v>74</v>
      </c>
      <c r="C52" s="28" t="s">
        <v>75</v>
      </c>
      <c r="D52" s="28" t="s">
        <v>76</v>
      </c>
      <c r="E52" s="28" t="s">
        <v>77</v>
      </c>
      <c r="F52" s="28" t="s">
        <v>78</v>
      </c>
      <c r="G52" s="28" t="s">
        <v>79</v>
      </c>
      <c r="H52" s="28" t="s">
        <v>80</v>
      </c>
      <c r="I52" s="28" t="s">
        <v>81</v>
      </c>
      <c r="J52" s="28" t="s">
        <v>82</v>
      </c>
    </row>
    <row r="53" customFormat="false" ht="15" hidden="false" customHeight="false" outlineLevel="0" collapsed="false">
      <c r="B53" s="29" t="s">
        <v>153</v>
      </c>
      <c r="C53" s="30" t="n">
        <v>212191.05</v>
      </c>
      <c r="D53" s="30" t="n">
        <v>0</v>
      </c>
      <c r="E53" s="30" t="n">
        <v>62049.02</v>
      </c>
      <c r="F53" s="30" t="n">
        <v>7716.04</v>
      </c>
      <c r="G53" s="30" t="n">
        <v>69765.06</v>
      </c>
      <c r="H53" s="30" t="n">
        <v>142425.99</v>
      </c>
      <c r="I53" s="31" t="s">
        <v>84</v>
      </c>
      <c r="J53" s="32" t="n">
        <v>27.5</v>
      </c>
    </row>
    <row r="54" customFormat="false" ht="15" hidden="false" customHeight="false" outlineLevel="0" collapsed="false">
      <c r="B54" s="7" t="s">
        <v>154</v>
      </c>
      <c r="C54" s="9" t="n">
        <v>386.45</v>
      </c>
      <c r="D54" s="9" t="n">
        <v>0</v>
      </c>
      <c r="E54" s="9" t="n">
        <v>111.91</v>
      </c>
      <c r="F54" s="9" t="n">
        <v>14.06</v>
      </c>
      <c r="G54" s="9" t="n">
        <v>125.97</v>
      </c>
      <c r="H54" s="9" t="n">
        <v>260.48</v>
      </c>
      <c r="I54" s="33" t="s">
        <v>84</v>
      </c>
      <c r="J54" s="34" t="n">
        <v>27.5</v>
      </c>
    </row>
    <row r="55" customFormat="false" ht="15" hidden="false" customHeight="false" outlineLevel="0" collapsed="false">
      <c r="B55" s="29" t="s">
        <v>155</v>
      </c>
      <c r="C55" s="30" t="n">
        <v>20018</v>
      </c>
      <c r="D55" s="30" t="n">
        <v>0</v>
      </c>
      <c r="E55" s="30" t="n">
        <v>11723.87</v>
      </c>
      <c r="F55" s="30" t="n">
        <v>1181.07</v>
      </c>
      <c r="G55" s="30" t="n">
        <v>12904.94</v>
      </c>
      <c r="H55" s="30" t="n">
        <v>7113.06</v>
      </c>
      <c r="I55" s="31" t="s">
        <v>87</v>
      </c>
      <c r="J55" s="32" t="n">
        <v>15</v>
      </c>
    </row>
    <row r="56" customFormat="false" ht="15" hidden="false" customHeight="false" outlineLevel="0" collapsed="false">
      <c r="B56" s="7" t="s">
        <v>156</v>
      </c>
      <c r="C56" s="9" t="n">
        <v>36260.17</v>
      </c>
      <c r="D56" s="9" t="n">
        <v>0</v>
      </c>
      <c r="E56" s="9" t="n">
        <v>35051.5</v>
      </c>
      <c r="F56" s="9" t="n">
        <v>0</v>
      </c>
      <c r="G56" s="9" t="n">
        <v>35051.5</v>
      </c>
      <c r="H56" s="9" t="n">
        <v>1208.67</v>
      </c>
      <c r="I56" s="33" t="s">
        <v>89</v>
      </c>
      <c r="J56" s="34" t="n">
        <v>5</v>
      </c>
    </row>
    <row r="57" customFormat="false" ht="15" hidden="false" customHeight="false" outlineLevel="0" collapsed="false">
      <c r="A57" s="35"/>
      <c r="B57" s="36" t="s">
        <v>34</v>
      </c>
      <c r="C57" s="37" t="n">
        <f aca="false">SUM(C53:C56)</f>
        <v>268855.67</v>
      </c>
      <c r="D57" s="37" t="n">
        <f aca="false">SUM(D53:D56)</f>
        <v>0</v>
      </c>
      <c r="E57" s="37" t="n">
        <f aca="false">SUM(E53:E56)</f>
        <v>108936.3</v>
      </c>
      <c r="F57" s="37" t="n">
        <f aca="false">SUM(F53:F56)</f>
        <v>8911.17</v>
      </c>
      <c r="G57" s="37" t="n">
        <f aca="false">SUM(G53:G56)</f>
        <v>117847.47</v>
      </c>
      <c r="H57" s="37" t="n">
        <f aca="false">SUM(H53:H56)</f>
        <v>151008.2</v>
      </c>
      <c r="I57" s="35"/>
      <c r="J57" s="35"/>
    </row>
    <row r="59" customFormat="false" ht="15" hidden="false" customHeight="false" outlineLevel="0" collapsed="false">
      <c r="A59" s="38" t="s">
        <v>90</v>
      </c>
      <c r="B59" s="38"/>
      <c r="C59" s="38"/>
      <c r="D59" s="38"/>
      <c r="E59" s="38"/>
      <c r="F59" s="38"/>
      <c r="G59" s="38"/>
      <c r="H59" s="38"/>
      <c r="I59" s="38"/>
      <c r="J59" s="38"/>
    </row>
    <row r="60" customFormat="false" ht="15" hidden="false" customHeight="false" outlineLevel="0" collapsed="false">
      <c r="A60" s="27"/>
      <c r="B60" s="27" t="s">
        <v>74</v>
      </c>
      <c r="C60" s="28" t="s">
        <v>75</v>
      </c>
      <c r="D60" s="28" t="s">
        <v>76</v>
      </c>
      <c r="E60" s="28" t="s">
        <v>77</v>
      </c>
      <c r="F60" s="28" t="s">
        <v>78</v>
      </c>
      <c r="G60" s="28" t="s">
        <v>79</v>
      </c>
      <c r="H60" s="28" t="s">
        <v>80</v>
      </c>
      <c r="I60" s="28" t="s">
        <v>81</v>
      </c>
      <c r="J60" s="28" t="s">
        <v>82</v>
      </c>
    </row>
    <row r="61" customFormat="false" ht="15" hidden="false" customHeight="false" outlineLevel="0" collapsed="false">
      <c r="B61" s="29" t="s">
        <v>157</v>
      </c>
      <c r="C61" s="30" t="n">
        <v>41085.46</v>
      </c>
      <c r="D61" s="30" t="n">
        <v>0</v>
      </c>
      <c r="E61" s="30" t="n">
        <v>41085.46</v>
      </c>
      <c r="F61" s="30" t="n">
        <v>0</v>
      </c>
      <c r="G61" s="30" t="n">
        <v>41085.46</v>
      </c>
      <c r="H61" s="30" t="n">
        <v>0</v>
      </c>
      <c r="I61" s="31" t="s">
        <v>89</v>
      </c>
      <c r="J61" s="32" t="n">
        <v>5</v>
      </c>
    </row>
    <row r="62" customFormat="false" ht="15" hidden="false" customHeight="false" outlineLevel="0" collapsed="false">
      <c r="B62" s="7" t="s">
        <v>158</v>
      </c>
      <c r="C62" s="9" t="n">
        <v>171105.59</v>
      </c>
      <c r="D62" s="9" t="n">
        <v>0</v>
      </c>
      <c r="E62" s="9" t="n">
        <v>50035.41</v>
      </c>
      <c r="F62" s="9" t="n">
        <v>6222.02</v>
      </c>
      <c r="G62" s="9" t="n">
        <v>56257.43</v>
      </c>
      <c r="H62" s="9" t="n">
        <v>114848.16</v>
      </c>
      <c r="I62" s="33" t="s">
        <v>84</v>
      </c>
      <c r="J62" s="34" t="n">
        <v>27.5</v>
      </c>
    </row>
    <row r="63" customFormat="false" ht="15" hidden="false" customHeight="false" outlineLevel="0" collapsed="false">
      <c r="B63" s="29" t="s">
        <v>159</v>
      </c>
      <c r="C63" s="30" t="n">
        <v>74.83</v>
      </c>
      <c r="D63" s="30" t="n">
        <v>0</v>
      </c>
      <c r="E63" s="30" t="n">
        <v>74.83</v>
      </c>
      <c r="F63" s="30" t="n">
        <v>0</v>
      </c>
      <c r="G63" s="30" t="n">
        <v>74.83</v>
      </c>
      <c r="H63" s="30" t="n">
        <v>0</v>
      </c>
      <c r="I63" s="31" t="s">
        <v>89</v>
      </c>
      <c r="J63" s="32" t="n">
        <v>5</v>
      </c>
    </row>
    <row r="64" customFormat="false" ht="15" hidden="false" customHeight="false" outlineLevel="0" collapsed="false">
      <c r="B64" s="7" t="s">
        <v>160</v>
      </c>
      <c r="C64" s="9" t="n">
        <v>311.62</v>
      </c>
      <c r="D64" s="9" t="n">
        <v>0</v>
      </c>
      <c r="E64" s="9" t="n">
        <v>90.17</v>
      </c>
      <c r="F64" s="9" t="n">
        <v>11.33</v>
      </c>
      <c r="G64" s="9" t="n">
        <v>101.5</v>
      </c>
      <c r="H64" s="9" t="n">
        <v>210.12</v>
      </c>
      <c r="I64" s="33" t="s">
        <v>84</v>
      </c>
      <c r="J64" s="34" t="n">
        <v>27.5</v>
      </c>
    </row>
    <row r="65" customFormat="false" ht="15" hidden="false" customHeight="false" outlineLevel="0" collapsed="false">
      <c r="B65" s="29" t="s">
        <v>161</v>
      </c>
      <c r="C65" s="30" t="n">
        <v>3875.98</v>
      </c>
      <c r="D65" s="30" t="n">
        <v>0</v>
      </c>
      <c r="E65" s="30" t="n">
        <v>3875.98</v>
      </c>
      <c r="F65" s="30" t="n">
        <v>0</v>
      </c>
      <c r="G65" s="30" t="n">
        <v>3875.98</v>
      </c>
      <c r="H65" s="30" t="n">
        <v>0</v>
      </c>
      <c r="I65" s="31" t="s">
        <v>89</v>
      </c>
      <c r="J65" s="32" t="n">
        <v>5</v>
      </c>
    </row>
    <row r="66" customFormat="false" ht="15" hidden="false" customHeight="false" outlineLevel="0" collapsed="false">
      <c r="B66" s="7" t="s">
        <v>162</v>
      </c>
      <c r="C66" s="9" t="n">
        <v>16142.02</v>
      </c>
      <c r="D66" s="9" t="n">
        <v>0</v>
      </c>
      <c r="E66" s="9" t="n">
        <v>4720.3</v>
      </c>
      <c r="F66" s="9" t="n">
        <v>586.98</v>
      </c>
      <c r="G66" s="9" t="n">
        <v>5307.28</v>
      </c>
      <c r="H66" s="9" t="n">
        <v>10834.74</v>
      </c>
      <c r="I66" s="33" t="s">
        <v>84</v>
      </c>
      <c r="J66" s="34" t="n">
        <v>27.5</v>
      </c>
    </row>
    <row r="67" customFormat="false" ht="15" hidden="false" customHeight="false" outlineLevel="0" collapsed="false">
      <c r="B67" s="29" t="s">
        <v>163</v>
      </c>
      <c r="C67" s="30" t="n">
        <v>7020.87</v>
      </c>
      <c r="D67" s="30" t="n">
        <v>0</v>
      </c>
      <c r="E67" s="30" t="n">
        <v>7020.87</v>
      </c>
      <c r="F67" s="30" t="n">
        <v>0</v>
      </c>
      <c r="G67" s="30" t="n">
        <v>7020.87</v>
      </c>
      <c r="H67" s="30" t="n">
        <v>0</v>
      </c>
      <c r="I67" s="31" t="s">
        <v>89</v>
      </c>
      <c r="J67" s="32" t="n">
        <v>5</v>
      </c>
    </row>
    <row r="68" customFormat="false" ht="15" hidden="false" customHeight="false" outlineLevel="0" collapsed="false">
      <c r="B68" s="7" t="s">
        <v>164</v>
      </c>
      <c r="C68" s="9" t="n">
        <v>29239.3</v>
      </c>
      <c r="D68" s="9" t="n">
        <v>0</v>
      </c>
      <c r="E68" s="9" t="n">
        <v>8550.3</v>
      </c>
      <c r="F68" s="9" t="n">
        <v>1063.25</v>
      </c>
      <c r="G68" s="9" t="n">
        <v>9613.55</v>
      </c>
      <c r="H68" s="9" t="n">
        <v>19625.75</v>
      </c>
      <c r="I68" s="33" t="s">
        <v>84</v>
      </c>
      <c r="J68" s="34" t="n">
        <v>27.5</v>
      </c>
    </row>
    <row r="69" customFormat="false" ht="15" hidden="false" customHeight="false" outlineLevel="0" collapsed="false">
      <c r="A69" s="35"/>
      <c r="B69" s="36" t="s">
        <v>34</v>
      </c>
      <c r="C69" s="37" t="n">
        <f aca="false">SUM(C61:C68)</f>
        <v>268855.67</v>
      </c>
      <c r="D69" s="37" t="n">
        <f aca="false">SUM(D61:D68)</f>
        <v>0</v>
      </c>
      <c r="E69" s="37" t="n">
        <f aca="false">SUM(E61:E68)</f>
        <v>115453.32</v>
      </c>
      <c r="F69" s="37" t="n">
        <f aca="false">SUM(F61:F68)</f>
        <v>7883.58</v>
      </c>
      <c r="G69" s="37" t="n">
        <f aca="false">SUM(G61:G68)</f>
        <v>123336.9</v>
      </c>
      <c r="H69" s="37" t="n">
        <f aca="false">SUM(H61:H68)</f>
        <v>145518.77</v>
      </c>
      <c r="I69" s="35"/>
      <c r="J69" s="35"/>
    </row>
    <row r="71" customFormat="false" ht="15" hidden="false" customHeight="false" outlineLevel="0" collapsed="false">
      <c r="A71" s="25" t="s">
        <v>38</v>
      </c>
      <c r="B71" s="25"/>
      <c r="C71" s="25"/>
      <c r="D71" s="25"/>
      <c r="E71" s="25"/>
    </row>
    <row r="72" customFormat="false" ht="15" hidden="false" customHeight="false" outlineLevel="0" collapsed="false">
      <c r="B72" s="7" t="s">
        <v>99</v>
      </c>
      <c r="C72" s="39" t="n">
        <f aca="false">G57</f>
        <v>117847.47</v>
      </c>
    </row>
    <row r="73" customFormat="false" ht="15" hidden="false" customHeight="false" outlineLevel="0" collapsed="false">
      <c r="B73" s="7" t="s">
        <v>100</v>
      </c>
      <c r="C73" s="39" t="n">
        <f aca="false">G69</f>
        <v>123336.9</v>
      </c>
    </row>
    <row r="74" customFormat="false" ht="15" hidden="false" customHeight="false" outlineLevel="0" collapsed="false">
      <c r="B74" s="10" t="s">
        <v>38</v>
      </c>
      <c r="C74" s="40" t="n">
        <f aca="false">C73-C72</f>
        <v>5489.42999999999</v>
      </c>
    </row>
  </sheetData>
  <mergeCells count="11">
    <mergeCell ref="A2:J2"/>
    <mergeCell ref="A3:J3"/>
    <mergeCell ref="A4:J4"/>
    <mergeCell ref="A8:J8"/>
    <mergeCell ref="B10:J10"/>
    <mergeCell ref="B23:J23"/>
    <mergeCell ref="B43:J43"/>
    <mergeCell ref="A50:J50"/>
    <mergeCell ref="A51:J51"/>
    <mergeCell ref="A59:J59"/>
    <mergeCell ref="A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167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168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4901.61</v>
      </c>
      <c r="D11" s="21" t="n">
        <v>4901.61</v>
      </c>
    </row>
    <row r="12" customFormat="false" ht="15" hidden="false" customHeight="false" outlineLevel="0" collapsed="false">
      <c r="B12" s="15" t="s">
        <v>105</v>
      </c>
      <c r="C12" s="21" t="n">
        <v>2185.54</v>
      </c>
      <c r="D12" s="21" t="n">
        <v>2185.54</v>
      </c>
    </row>
    <row r="13" customFormat="false" ht="15" hidden="false" customHeight="false" outlineLevel="0" collapsed="false">
      <c r="B13" s="15" t="s">
        <v>106</v>
      </c>
      <c r="C13" s="21" t="n">
        <v>11385.26</v>
      </c>
      <c r="D13" s="21" t="n">
        <v>11385.26</v>
      </c>
    </row>
    <row r="14" customFormat="false" ht="15" hidden="false" customHeight="false" outlineLevel="0" collapsed="false">
      <c r="B14" s="15" t="s">
        <v>108</v>
      </c>
      <c r="C14" s="21" t="n">
        <v>589.62</v>
      </c>
      <c r="D14" s="21" t="n">
        <v>589.62</v>
      </c>
    </row>
    <row r="15" customFormat="false" ht="15" hidden="false" customHeight="false" outlineLevel="0" collapsed="false">
      <c r="B15" s="15" t="s">
        <v>146</v>
      </c>
      <c r="C15" s="21" t="n">
        <v>183.29</v>
      </c>
      <c r="D15" s="21" t="n">
        <v>183.29</v>
      </c>
    </row>
    <row r="16" customFormat="false" ht="15" hidden="false" customHeight="false" outlineLevel="0" collapsed="false">
      <c r="B16" s="15" t="s">
        <v>147</v>
      </c>
      <c r="C16" s="21" t="n">
        <v>96.76</v>
      </c>
      <c r="D16" s="21" t="n">
        <v>96.76</v>
      </c>
    </row>
    <row r="17" customFormat="false" ht="15" hidden="false" customHeight="false" outlineLevel="0" collapsed="false">
      <c r="B17" s="15" t="s">
        <v>109</v>
      </c>
      <c r="C17" s="21" t="n">
        <v>2980.97</v>
      </c>
      <c r="D17" s="21" t="n">
        <v>2980.97</v>
      </c>
    </row>
    <row r="18" customFormat="false" ht="15" hidden="false" customHeight="false" outlineLevel="0" collapsed="false">
      <c r="B18" s="15" t="s">
        <v>110</v>
      </c>
      <c r="C18" s="21" t="n">
        <v>994.55</v>
      </c>
      <c r="D18" s="21" t="n">
        <v>994.55</v>
      </c>
    </row>
    <row r="19" customFormat="false" ht="15" hidden="false" customHeight="false" outlineLevel="0" collapsed="false">
      <c r="B19" s="15" t="s">
        <v>148</v>
      </c>
      <c r="C19" s="21" t="n">
        <v>3427.41</v>
      </c>
      <c r="D19" s="21" t="n">
        <v>3427.41</v>
      </c>
    </row>
    <row r="20" customFormat="false" ht="15" hidden="false" customHeight="false" outlineLevel="0" collapsed="false">
      <c r="B20" s="15" t="s">
        <v>112</v>
      </c>
      <c r="C20" s="21" t="n">
        <v>428.96</v>
      </c>
      <c r="D20" s="21" t="n">
        <v>428.96</v>
      </c>
    </row>
    <row r="21" customFormat="false" ht="15" hidden="false" customHeight="false" outlineLevel="0" collapsed="false">
      <c r="B21" s="15" t="s">
        <v>149</v>
      </c>
      <c r="C21" s="21" t="n">
        <v>43.2</v>
      </c>
      <c r="D21" s="21" t="n">
        <v>43.2</v>
      </c>
    </row>
    <row r="22" customFormat="false" ht="15" hidden="false" customHeight="false" outlineLevel="0" collapsed="false">
      <c r="B22" s="15" t="s">
        <v>150</v>
      </c>
      <c r="C22" s="21" t="n">
        <v>3682.87</v>
      </c>
      <c r="D22" s="21" t="n">
        <v>3682.87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8561.68</v>
      </c>
      <c r="G24" s="21" t="n">
        <v>8561.68</v>
      </c>
    </row>
    <row r="25" customFormat="false" ht="15" hidden="false" customHeight="false" outlineLevel="0" collapsed="false">
      <c r="B25" s="15" t="s">
        <v>116</v>
      </c>
      <c r="C25" s="21" t="n">
        <v>16225.62</v>
      </c>
      <c r="G25" s="21" t="n">
        <v>16225.62</v>
      </c>
    </row>
    <row r="26" customFormat="false" ht="15" hidden="false" customHeight="false" outlineLevel="0" collapsed="false">
      <c r="B26" s="15" t="s">
        <v>117</v>
      </c>
      <c r="C26" s="21" t="n">
        <v>10992.55</v>
      </c>
      <c r="G26" s="21" t="n">
        <v>10992.55</v>
      </c>
    </row>
    <row r="27" customFormat="false" ht="15" hidden="false" customHeight="false" outlineLevel="0" collapsed="false">
      <c r="B27" s="15" t="s">
        <v>118</v>
      </c>
      <c r="C27" s="21" t="n">
        <v>12099.12</v>
      </c>
      <c r="G27" s="21" t="n">
        <v>12099.12</v>
      </c>
    </row>
    <row r="28" customFormat="false" ht="15" hidden="false" customHeight="false" outlineLevel="0" collapsed="false">
      <c r="B28" s="15" t="s">
        <v>119</v>
      </c>
      <c r="C28" s="21" t="n">
        <v>9715.1</v>
      </c>
      <c r="G28" s="21" t="n">
        <v>9715.1</v>
      </c>
    </row>
    <row r="29" customFormat="false" ht="15" hidden="false" customHeight="false" outlineLevel="0" collapsed="false">
      <c r="B29" s="15" t="s">
        <v>120</v>
      </c>
      <c r="C29" s="21" t="n">
        <v>548.48</v>
      </c>
      <c r="G29" s="21" t="n">
        <v>548.48</v>
      </c>
    </row>
    <row r="30" customFormat="false" ht="15" hidden="false" customHeight="false" outlineLevel="0" collapsed="false">
      <c r="B30" s="15" t="s">
        <v>121</v>
      </c>
      <c r="C30" s="21" t="n">
        <v>12559.71</v>
      </c>
      <c r="G30" s="21" t="n">
        <v>12559.71</v>
      </c>
    </row>
    <row r="31" customFormat="false" ht="15" hidden="false" customHeight="false" outlineLevel="0" collapsed="false">
      <c r="B31" s="15" t="s">
        <v>122</v>
      </c>
      <c r="C31" s="21" t="n">
        <v>5680.09</v>
      </c>
      <c r="G31" s="21" t="n">
        <v>5680.09</v>
      </c>
    </row>
    <row r="32" customFormat="false" ht="15" hidden="false" customHeight="false" outlineLevel="0" collapsed="false">
      <c r="B32" s="15" t="s">
        <v>123</v>
      </c>
      <c r="C32" s="21" t="n">
        <v>2911.57</v>
      </c>
      <c r="G32" s="21" t="n">
        <v>2911.57</v>
      </c>
    </row>
    <row r="33" customFormat="false" ht="15" hidden="false" customHeight="false" outlineLevel="0" collapsed="false">
      <c r="B33" s="15" t="s">
        <v>124</v>
      </c>
      <c r="C33" s="21" t="n">
        <v>5070.55</v>
      </c>
      <c r="G33" s="21" t="n">
        <v>5070.55</v>
      </c>
    </row>
    <row r="34" customFormat="false" ht="15" hidden="false" customHeight="false" outlineLevel="0" collapsed="false">
      <c r="B34" s="15" t="s">
        <v>125</v>
      </c>
      <c r="C34" s="21" t="n">
        <v>9837.36</v>
      </c>
      <c r="G34" s="21" t="n">
        <v>9837.36</v>
      </c>
    </row>
    <row r="35" customFormat="false" ht="15" hidden="false" customHeight="false" outlineLevel="0" collapsed="false">
      <c r="B35" s="15" t="s">
        <v>126</v>
      </c>
      <c r="C35" s="21" t="n">
        <v>4408.6</v>
      </c>
      <c r="G35" s="21" t="n">
        <v>4408.6</v>
      </c>
    </row>
    <row r="36" customFormat="false" ht="15" hidden="false" customHeight="false" outlineLevel="0" collapsed="false">
      <c r="B36" s="15" t="s">
        <v>127</v>
      </c>
      <c r="C36" s="21" t="n">
        <v>1012.22</v>
      </c>
      <c r="G36" s="21" t="n">
        <v>1012.22</v>
      </c>
    </row>
    <row r="37" customFormat="false" ht="15" hidden="false" customHeight="false" outlineLevel="0" collapsed="false">
      <c r="B37" s="15" t="s">
        <v>129</v>
      </c>
      <c r="C37" s="21" t="n">
        <v>14327.98</v>
      </c>
      <c r="G37" s="21" t="n">
        <v>14327.98</v>
      </c>
    </row>
    <row r="38" customFormat="false" ht="15" hidden="false" customHeight="false" outlineLevel="0" collapsed="false">
      <c r="B38" s="15" t="s">
        <v>130</v>
      </c>
      <c r="C38" s="21" t="n">
        <v>1332.99</v>
      </c>
      <c r="G38" s="21" t="n">
        <v>1332.99</v>
      </c>
    </row>
    <row r="39" customFormat="false" ht="15" hidden="false" customHeight="false" outlineLevel="0" collapsed="false">
      <c r="B39" s="15" t="s">
        <v>152</v>
      </c>
      <c r="C39" s="21" t="n">
        <v>1709.81</v>
      </c>
      <c r="G39" s="21" t="n">
        <v>1709.81</v>
      </c>
    </row>
    <row r="40" customFormat="false" ht="15" hidden="false" customHeight="false" outlineLevel="0" collapsed="false">
      <c r="A40" s="22"/>
      <c r="B40" s="23" t="s">
        <v>66</v>
      </c>
      <c r="C40" s="24" t="n">
        <f aca="false">SUM(C10:C39)</f>
        <v>147893.47</v>
      </c>
      <c r="D40" s="24" t="n">
        <f aca="false">SUM(D10:D39)</f>
        <v>30900.04</v>
      </c>
      <c r="E40" s="24" t="n">
        <f aca="false">SUM(E10:E39)</f>
        <v>0</v>
      </c>
      <c r="F40" s="24" t="n">
        <f aca="false">SUM(F10:F39)</f>
        <v>0</v>
      </c>
      <c r="G40" s="24" t="n">
        <f aca="false">SUM(G10:G39)</f>
        <v>116993.43</v>
      </c>
      <c r="H40" s="22"/>
    </row>
    <row r="42" customFormat="false" ht="15" hidden="false" customHeight="false" outlineLevel="0" collapsed="false">
      <c r="A42" s="19"/>
      <c r="B42" s="20" t="s">
        <v>67</v>
      </c>
      <c r="C42" s="20"/>
      <c r="D42" s="20"/>
      <c r="E42" s="20"/>
      <c r="F42" s="20"/>
      <c r="G42" s="20"/>
      <c r="H42" s="20"/>
      <c r="I42" s="20"/>
      <c r="J42" s="20"/>
    </row>
    <row r="43" customFormat="false" ht="15" hidden="false" customHeight="false" outlineLevel="0" collapsed="false">
      <c r="B43" s="15" t="s">
        <v>68</v>
      </c>
      <c r="C43" s="21" t="n">
        <v>116723.12</v>
      </c>
      <c r="D43" s="21" t="n">
        <v>24387.48</v>
      </c>
      <c r="G43" s="21" t="n">
        <v>92335.64</v>
      </c>
    </row>
    <row r="44" customFormat="false" ht="15" hidden="false" customHeight="false" outlineLevel="0" collapsed="false">
      <c r="B44" s="15" t="s">
        <v>69</v>
      </c>
      <c r="C44" s="21" t="n">
        <v>212.58</v>
      </c>
      <c r="D44" s="21" t="n">
        <v>44.42</v>
      </c>
      <c r="G44" s="21" t="n">
        <v>168.16</v>
      </c>
    </row>
    <row r="45" customFormat="false" ht="15" hidden="false" customHeight="false" outlineLevel="0" collapsed="false">
      <c r="B45" s="15" t="s">
        <v>70</v>
      </c>
      <c r="C45" s="21" t="n">
        <v>11011.6</v>
      </c>
      <c r="D45" s="21" t="n">
        <v>2300.7</v>
      </c>
      <c r="G45" s="21" t="n">
        <v>8710.9</v>
      </c>
    </row>
    <row r="46" customFormat="false" ht="15" hidden="false" customHeight="false" outlineLevel="0" collapsed="false">
      <c r="B46" s="15" t="s">
        <v>71</v>
      </c>
      <c r="C46" s="21" t="n">
        <v>19946.17</v>
      </c>
      <c r="D46" s="21" t="n">
        <v>4167.44</v>
      </c>
      <c r="G46" s="21" t="n">
        <v>15778.73</v>
      </c>
    </row>
    <row r="47" customFormat="false" ht="15" hidden="false" customHeight="false" outlineLevel="0" collapsed="false">
      <c r="A47" s="22"/>
      <c r="B47" s="23" t="s">
        <v>72</v>
      </c>
      <c r="C47" s="24" t="n">
        <f aca="false">SUM(C43:C46)</f>
        <v>147893.47</v>
      </c>
      <c r="D47" s="24" t="n">
        <f aca="false">SUM(D43:D46)</f>
        <v>30900.04</v>
      </c>
      <c r="E47" s="22"/>
      <c r="F47" s="24" t="n">
        <f aca="false">SUM(F43:F46)</f>
        <v>0</v>
      </c>
      <c r="G47" s="24" t="n">
        <f aca="false">SUM(G43:G46)</f>
        <v>116993.43</v>
      </c>
      <c r="H47" s="22"/>
    </row>
    <row r="49" customFormat="false" ht="15" hidden="false" customHeight="false" outlineLevel="0" collapsed="false">
      <c r="A49" s="25" t="s">
        <v>73</v>
      </c>
      <c r="B49" s="25"/>
      <c r="C49" s="25"/>
      <c r="D49" s="25"/>
      <c r="E49" s="25"/>
      <c r="F49" s="25"/>
      <c r="G49" s="25"/>
      <c r="H49" s="25"/>
      <c r="I49" s="25"/>
      <c r="J49" s="25"/>
    </row>
    <row r="50" customFormat="false" ht="15" hidden="false" customHeight="false" outlineLevel="0" collapsed="false">
      <c r="A50" s="26" t="s">
        <v>36</v>
      </c>
      <c r="B50" s="26"/>
      <c r="C50" s="26"/>
      <c r="D50" s="26"/>
      <c r="E50" s="26"/>
      <c r="F50" s="26"/>
      <c r="G50" s="26"/>
      <c r="H50" s="26"/>
      <c r="I50" s="26"/>
      <c r="J50" s="26"/>
    </row>
    <row r="51" customFormat="false" ht="15" hidden="false" customHeight="false" outlineLevel="0" collapsed="false">
      <c r="A51" s="27"/>
      <c r="B51" s="27" t="s">
        <v>74</v>
      </c>
      <c r="C51" s="28" t="s">
        <v>75</v>
      </c>
      <c r="D51" s="28" t="s">
        <v>76</v>
      </c>
      <c r="E51" s="28" t="s">
        <v>77</v>
      </c>
      <c r="F51" s="28" t="s">
        <v>78</v>
      </c>
      <c r="G51" s="28" t="s">
        <v>79</v>
      </c>
      <c r="H51" s="28" t="s">
        <v>80</v>
      </c>
      <c r="I51" s="28" t="s">
        <v>81</v>
      </c>
      <c r="J51" s="28" t="s">
        <v>82</v>
      </c>
    </row>
    <row r="52" customFormat="false" ht="15" hidden="false" customHeight="false" outlineLevel="0" collapsed="false">
      <c r="B52" s="29" t="s">
        <v>153</v>
      </c>
      <c r="C52" s="30" t="n">
        <v>116723.12</v>
      </c>
      <c r="D52" s="30" t="n">
        <v>0</v>
      </c>
      <c r="E52" s="30" t="n">
        <v>34132.24</v>
      </c>
      <c r="F52" s="30" t="n">
        <v>4244.48</v>
      </c>
      <c r="G52" s="30" t="n">
        <v>38376.72</v>
      </c>
      <c r="H52" s="30" t="n">
        <v>78346.4</v>
      </c>
      <c r="I52" s="31" t="s">
        <v>84</v>
      </c>
      <c r="J52" s="32" t="n">
        <v>27.5</v>
      </c>
    </row>
    <row r="53" customFormat="false" ht="15" hidden="false" customHeight="false" outlineLevel="0" collapsed="false">
      <c r="B53" s="7" t="s">
        <v>154</v>
      </c>
      <c r="C53" s="9" t="n">
        <v>212.58</v>
      </c>
      <c r="D53" s="9" t="n">
        <v>0</v>
      </c>
      <c r="E53" s="9" t="n">
        <v>61.56</v>
      </c>
      <c r="F53" s="9" t="n">
        <v>7.73</v>
      </c>
      <c r="G53" s="9" t="n">
        <v>69.29</v>
      </c>
      <c r="H53" s="9" t="n">
        <v>143.29</v>
      </c>
      <c r="I53" s="33" t="s">
        <v>84</v>
      </c>
      <c r="J53" s="34" t="n">
        <v>27.5</v>
      </c>
    </row>
    <row r="54" customFormat="false" ht="15" hidden="false" customHeight="false" outlineLevel="0" collapsed="false">
      <c r="B54" s="29" t="s">
        <v>155</v>
      </c>
      <c r="C54" s="30" t="n">
        <v>11011.6</v>
      </c>
      <c r="D54" s="30" t="n">
        <v>0</v>
      </c>
      <c r="E54" s="30" t="n">
        <v>6449.13</v>
      </c>
      <c r="F54" s="30" t="n">
        <v>649.69</v>
      </c>
      <c r="G54" s="30" t="n">
        <v>7098.82</v>
      </c>
      <c r="H54" s="30" t="n">
        <v>3912.78</v>
      </c>
      <c r="I54" s="31" t="s">
        <v>87</v>
      </c>
      <c r="J54" s="32" t="n">
        <v>15</v>
      </c>
    </row>
    <row r="55" customFormat="false" ht="15" hidden="false" customHeight="false" outlineLevel="0" collapsed="false">
      <c r="B55" s="7" t="s">
        <v>156</v>
      </c>
      <c r="C55" s="9" t="n">
        <v>19946.17</v>
      </c>
      <c r="D55" s="9" t="n">
        <v>0</v>
      </c>
      <c r="E55" s="9" t="n">
        <v>19281.3</v>
      </c>
      <c r="F55" s="9" t="n">
        <v>0</v>
      </c>
      <c r="G55" s="9" t="n">
        <v>19281.3</v>
      </c>
      <c r="H55" s="9" t="n">
        <v>664.87</v>
      </c>
      <c r="I55" s="33" t="s">
        <v>89</v>
      </c>
      <c r="J55" s="34" t="n">
        <v>5</v>
      </c>
    </row>
    <row r="56" customFormat="false" ht="15" hidden="false" customHeight="false" outlineLevel="0" collapsed="false">
      <c r="A56" s="35"/>
      <c r="B56" s="36" t="s">
        <v>34</v>
      </c>
      <c r="C56" s="37" t="n">
        <f aca="false">SUM(C52:C55)</f>
        <v>147893.47</v>
      </c>
      <c r="D56" s="37" t="n">
        <f aca="false">SUM(D52:D55)</f>
        <v>0</v>
      </c>
      <c r="E56" s="37" t="n">
        <f aca="false">SUM(E52:E55)</f>
        <v>59924.23</v>
      </c>
      <c r="F56" s="37" t="n">
        <f aca="false">SUM(F52:F55)</f>
        <v>4901.9</v>
      </c>
      <c r="G56" s="37" t="n">
        <f aca="false">SUM(G52:G55)</f>
        <v>64826.13</v>
      </c>
      <c r="H56" s="37" t="n">
        <f aca="false">SUM(H52:H55)</f>
        <v>83067.34</v>
      </c>
      <c r="I56" s="35"/>
      <c r="J56" s="35"/>
    </row>
    <row r="58" customFormat="false" ht="15" hidden="false" customHeight="false" outlineLevel="0" collapsed="false">
      <c r="A58" s="38" t="s">
        <v>90</v>
      </c>
      <c r="B58" s="38"/>
      <c r="C58" s="38"/>
      <c r="D58" s="38"/>
      <c r="E58" s="38"/>
      <c r="F58" s="38"/>
      <c r="G58" s="38"/>
      <c r="H58" s="38"/>
      <c r="I58" s="38"/>
      <c r="J58" s="38"/>
    </row>
    <row r="59" customFormat="false" ht="15" hidden="false" customHeight="false" outlineLevel="0" collapsed="false">
      <c r="A59" s="27"/>
      <c r="B59" s="27" t="s">
        <v>74</v>
      </c>
      <c r="C59" s="28" t="s">
        <v>75</v>
      </c>
      <c r="D59" s="28" t="s">
        <v>76</v>
      </c>
      <c r="E59" s="28" t="s">
        <v>77</v>
      </c>
      <c r="F59" s="28" t="s">
        <v>78</v>
      </c>
      <c r="G59" s="28" t="s">
        <v>79</v>
      </c>
      <c r="H59" s="28" t="s">
        <v>80</v>
      </c>
      <c r="I59" s="28" t="s">
        <v>81</v>
      </c>
      <c r="J59" s="28" t="s">
        <v>82</v>
      </c>
    </row>
    <row r="60" customFormat="false" ht="15" hidden="false" customHeight="false" outlineLevel="0" collapsed="false">
      <c r="B60" s="29" t="s">
        <v>157</v>
      </c>
      <c r="C60" s="30" t="n">
        <v>24387.48</v>
      </c>
      <c r="D60" s="30" t="n">
        <v>0</v>
      </c>
      <c r="E60" s="30" t="n">
        <v>24387.48</v>
      </c>
      <c r="F60" s="30" t="n">
        <v>0</v>
      </c>
      <c r="G60" s="30" t="n">
        <v>24387.48</v>
      </c>
      <c r="H60" s="30" t="n">
        <v>0</v>
      </c>
      <c r="I60" s="31" t="s">
        <v>89</v>
      </c>
      <c r="J60" s="32" t="n">
        <v>5</v>
      </c>
    </row>
    <row r="61" customFormat="false" ht="15" hidden="false" customHeight="false" outlineLevel="0" collapsed="false">
      <c r="B61" s="7" t="s">
        <v>158</v>
      </c>
      <c r="C61" s="9" t="n">
        <v>92335.64</v>
      </c>
      <c r="D61" s="9" t="n">
        <v>0</v>
      </c>
      <c r="E61" s="9" t="n">
        <v>27001.18</v>
      </c>
      <c r="F61" s="9" t="n">
        <v>3357.66</v>
      </c>
      <c r="G61" s="9" t="n">
        <v>30358.84</v>
      </c>
      <c r="H61" s="9" t="n">
        <v>61976.8</v>
      </c>
      <c r="I61" s="33" t="s">
        <v>84</v>
      </c>
      <c r="J61" s="34" t="n">
        <v>27.5</v>
      </c>
    </row>
    <row r="62" customFormat="false" ht="15" hidden="false" customHeight="false" outlineLevel="0" collapsed="false">
      <c r="B62" s="29" t="s">
        <v>159</v>
      </c>
      <c r="C62" s="30" t="n">
        <v>44.42</v>
      </c>
      <c r="D62" s="30" t="n">
        <v>0</v>
      </c>
      <c r="E62" s="30" t="n">
        <v>44.42</v>
      </c>
      <c r="F62" s="30" t="n">
        <v>0</v>
      </c>
      <c r="G62" s="30" t="n">
        <v>44.42</v>
      </c>
      <c r="H62" s="30" t="n">
        <v>0</v>
      </c>
      <c r="I62" s="31" t="s">
        <v>89</v>
      </c>
      <c r="J62" s="32" t="n">
        <v>5</v>
      </c>
    </row>
    <row r="63" customFormat="false" ht="15" hidden="false" customHeight="false" outlineLevel="0" collapsed="false">
      <c r="B63" s="7" t="s">
        <v>160</v>
      </c>
      <c r="C63" s="9" t="n">
        <v>168.16</v>
      </c>
      <c r="D63" s="9" t="n">
        <v>0</v>
      </c>
      <c r="E63" s="9" t="n">
        <v>48.63</v>
      </c>
      <c r="F63" s="9" t="n">
        <v>6.11</v>
      </c>
      <c r="G63" s="9" t="n">
        <v>54.74</v>
      </c>
      <c r="H63" s="9" t="n">
        <v>113.42</v>
      </c>
      <c r="I63" s="33" t="s">
        <v>84</v>
      </c>
      <c r="J63" s="34" t="n">
        <v>27.5</v>
      </c>
    </row>
    <row r="64" customFormat="false" ht="15" hidden="false" customHeight="false" outlineLevel="0" collapsed="false">
      <c r="B64" s="29" t="s">
        <v>161</v>
      </c>
      <c r="C64" s="30" t="n">
        <v>2300.7</v>
      </c>
      <c r="D64" s="30" t="n">
        <v>0</v>
      </c>
      <c r="E64" s="30" t="n">
        <v>2300.7</v>
      </c>
      <c r="F64" s="30" t="n">
        <v>0</v>
      </c>
      <c r="G64" s="30" t="n">
        <v>2300.7</v>
      </c>
      <c r="H64" s="30" t="n">
        <v>0</v>
      </c>
      <c r="I64" s="31" t="s">
        <v>89</v>
      </c>
      <c r="J64" s="32" t="n">
        <v>5</v>
      </c>
    </row>
    <row r="65" customFormat="false" ht="15" hidden="false" customHeight="false" outlineLevel="0" collapsed="false">
      <c r="B65" s="7" t="s">
        <v>162</v>
      </c>
      <c r="C65" s="9" t="n">
        <v>8710.9</v>
      </c>
      <c r="D65" s="9" t="n">
        <v>0</v>
      </c>
      <c r="E65" s="9" t="n">
        <v>2547.28</v>
      </c>
      <c r="F65" s="9" t="n">
        <v>316.76</v>
      </c>
      <c r="G65" s="9" t="n">
        <v>2864.04</v>
      </c>
      <c r="H65" s="9" t="n">
        <v>5846.86</v>
      </c>
      <c r="I65" s="33" t="s">
        <v>84</v>
      </c>
      <c r="J65" s="34" t="n">
        <v>27.5</v>
      </c>
    </row>
    <row r="66" customFormat="false" ht="15" hidden="false" customHeight="false" outlineLevel="0" collapsed="false">
      <c r="B66" s="29" t="s">
        <v>163</v>
      </c>
      <c r="C66" s="30" t="n">
        <v>4167.44</v>
      </c>
      <c r="D66" s="30" t="n">
        <v>0</v>
      </c>
      <c r="E66" s="30" t="n">
        <v>4167.44</v>
      </c>
      <c r="F66" s="30" t="n">
        <v>0</v>
      </c>
      <c r="G66" s="30" t="n">
        <v>4167.44</v>
      </c>
      <c r="H66" s="30" t="n">
        <v>0</v>
      </c>
      <c r="I66" s="31" t="s">
        <v>89</v>
      </c>
      <c r="J66" s="32" t="n">
        <v>5</v>
      </c>
    </row>
    <row r="67" customFormat="false" ht="15" hidden="false" customHeight="false" outlineLevel="0" collapsed="false">
      <c r="B67" s="7" t="s">
        <v>164</v>
      </c>
      <c r="C67" s="9" t="n">
        <v>15778.73</v>
      </c>
      <c r="D67" s="9" t="n">
        <v>0</v>
      </c>
      <c r="E67" s="9" t="n">
        <v>4614.07</v>
      </c>
      <c r="F67" s="9" t="n">
        <v>573.77</v>
      </c>
      <c r="G67" s="9" t="n">
        <v>5187.84</v>
      </c>
      <c r="H67" s="9" t="n">
        <v>10590.89</v>
      </c>
      <c r="I67" s="33" t="s">
        <v>84</v>
      </c>
      <c r="J67" s="34" t="n">
        <v>27.5</v>
      </c>
    </row>
    <row r="68" customFormat="false" ht="15" hidden="false" customHeight="false" outlineLevel="0" collapsed="false">
      <c r="A68" s="35"/>
      <c r="B68" s="36" t="s">
        <v>34</v>
      </c>
      <c r="C68" s="37" t="n">
        <f aca="false">SUM(C60:C67)</f>
        <v>147893.47</v>
      </c>
      <c r="D68" s="37" t="n">
        <f aca="false">SUM(D60:D67)</f>
        <v>0</v>
      </c>
      <c r="E68" s="37" t="n">
        <f aca="false">SUM(E60:E67)</f>
        <v>65111.2</v>
      </c>
      <c r="F68" s="37" t="n">
        <f aca="false">SUM(F60:F67)</f>
        <v>4254.3</v>
      </c>
      <c r="G68" s="37" t="n">
        <f aca="false">SUM(G60:G67)</f>
        <v>69365.5</v>
      </c>
      <c r="H68" s="37" t="n">
        <f aca="false">SUM(H60:H67)</f>
        <v>78527.97</v>
      </c>
      <c r="I68" s="35"/>
      <c r="J68" s="35"/>
    </row>
    <row r="70" customFormat="false" ht="15" hidden="false" customHeight="false" outlineLevel="0" collapsed="false">
      <c r="A70" s="25" t="s">
        <v>38</v>
      </c>
      <c r="B70" s="25"/>
      <c r="C70" s="25"/>
      <c r="D70" s="25"/>
      <c r="E70" s="25"/>
    </row>
    <row r="71" customFormat="false" ht="15" hidden="false" customHeight="false" outlineLevel="0" collapsed="false">
      <c r="B71" s="7" t="s">
        <v>99</v>
      </c>
      <c r="C71" s="39" t="n">
        <f aca="false">G56</f>
        <v>64826.13</v>
      </c>
    </row>
    <row r="72" customFormat="false" ht="15" hidden="false" customHeight="false" outlineLevel="0" collapsed="false">
      <c r="B72" s="7" t="s">
        <v>100</v>
      </c>
      <c r="C72" s="39" t="n">
        <f aca="false">G68</f>
        <v>69365.5</v>
      </c>
    </row>
    <row r="73" customFormat="false" ht="15" hidden="false" customHeight="false" outlineLevel="0" collapsed="false">
      <c r="B73" s="10" t="s">
        <v>38</v>
      </c>
      <c r="C73" s="40" t="n">
        <f aca="false">C72-C71</f>
        <v>4539.37</v>
      </c>
    </row>
  </sheetData>
  <mergeCells count="11">
    <mergeCell ref="A2:J2"/>
    <mergeCell ref="A3:J3"/>
    <mergeCell ref="A4:J4"/>
    <mergeCell ref="A8:J8"/>
    <mergeCell ref="B10:J10"/>
    <mergeCell ref="B23:J23"/>
    <mergeCell ref="B42:J42"/>
    <mergeCell ref="A49:J49"/>
    <mergeCell ref="A50:J50"/>
    <mergeCell ref="A58:J58"/>
    <mergeCell ref="A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169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170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4785.17</v>
      </c>
      <c r="D11" s="21" t="n">
        <v>4785.17</v>
      </c>
    </row>
    <row r="12" customFormat="false" ht="15" hidden="false" customHeight="false" outlineLevel="0" collapsed="false">
      <c r="B12" s="15" t="s">
        <v>105</v>
      </c>
      <c r="C12" s="21" t="n">
        <v>1941.11</v>
      </c>
      <c r="D12" s="21" t="n">
        <v>1941.11</v>
      </c>
    </row>
    <row r="13" customFormat="false" ht="15" hidden="false" customHeight="false" outlineLevel="0" collapsed="false">
      <c r="B13" s="15" t="s">
        <v>106</v>
      </c>
      <c r="C13" s="21" t="n">
        <v>7939.87</v>
      </c>
      <c r="D13" s="21" t="n">
        <v>7939.87</v>
      </c>
    </row>
    <row r="14" customFormat="false" ht="15" hidden="false" customHeight="false" outlineLevel="0" collapsed="false">
      <c r="B14" s="15" t="s">
        <v>108</v>
      </c>
      <c r="C14" s="21" t="n">
        <v>428.82</v>
      </c>
      <c r="D14" s="21" t="n">
        <v>428.82</v>
      </c>
    </row>
    <row r="15" customFormat="false" ht="15" hidden="false" customHeight="false" outlineLevel="0" collapsed="false">
      <c r="B15" s="15" t="s">
        <v>146</v>
      </c>
      <c r="C15" s="21" t="n">
        <v>183.29</v>
      </c>
      <c r="D15" s="21" t="n">
        <v>183.29</v>
      </c>
    </row>
    <row r="16" customFormat="false" ht="15" hidden="false" customHeight="false" outlineLevel="0" collapsed="false">
      <c r="B16" s="15" t="s">
        <v>147</v>
      </c>
      <c r="C16" s="21" t="n">
        <v>96.76</v>
      </c>
      <c r="D16" s="21" t="n">
        <v>96.76</v>
      </c>
    </row>
    <row r="17" customFormat="false" ht="15" hidden="false" customHeight="false" outlineLevel="0" collapsed="false">
      <c r="B17" s="15" t="s">
        <v>109</v>
      </c>
      <c r="C17" s="21" t="n">
        <v>2980.97</v>
      </c>
      <c r="D17" s="21" t="n">
        <v>2980.97</v>
      </c>
    </row>
    <row r="18" customFormat="false" ht="15" hidden="false" customHeight="false" outlineLevel="0" collapsed="false">
      <c r="B18" s="15" t="s">
        <v>110</v>
      </c>
      <c r="C18" s="21" t="n">
        <v>693.58</v>
      </c>
      <c r="D18" s="21" t="n">
        <v>693.58</v>
      </c>
    </row>
    <row r="19" customFormat="false" ht="15" hidden="false" customHeight="false" outlineLevel="0" collapsed="false">
      <c r="B19" s="15" t="s">
        <v>148</v>
      </c>
      <c r="C19" s="21" t="n">
        <v>3427.41</v>
      </c>
      <c r="D19" s="21" t="n">
        <v>3427.41</v>
      </c>
    </row>
    <row r="20" customFormat="false" ht="15" hidden="false" customHeight="false" outlineLevel="0" collapsed="false">
      <c r="B20" s="15" t="s">
        <v>112</v>
      </c>
      <c r="C20" s="21" t="n">
        <v>758.85</v>
      </c>
      <c r="D20" s="21" t="n">
        <v>758.85</v>
      </c>
    </row>
    <row r="21" customFormat="false" ht="15" hidden="false" customHeight="false" outlineLevel="0" collapsed="false">
      <c r="B21" s="15" t="s">
        <v>149</v>
      </c>
      <c r="C21" s="21" t="n">
        <v>43.2</v>
      </c>
      <c r="D21" s="21" t="n">
        <v>43.2</v>
      </c>
    </row>
    <row r="22" customFormat="false" ht="15" hidden="false" customHeight="false" outlineLevel="0" collapsed="false">
      <c r="B22" s="15" t="s">
        <v>150</v>
      </c>
      <c r="C22" s="21" t="n">
        <v>3682.87</v>
      </c>
      <c r="D22" s="21" t="n">
        <v>3682.87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6281.12</v>
      </c>
      <c r="G24" s="21" t="n">
        <v>6281.12</v>
      </c>
    </row>
    <row r="25" customFormat="false" ht="15" hidden="false" customHeight="false" outlineLevel="0" collapsed="false">
      <c r="B25" s="15" t="s">
        <v>116</v>
      </c>
      <c r="C25" s="21" t="n">
        <v>12157.7</v>
      </c>
      <c r="G25" s="21" t="n">
        <v>12157.7</v>
      </c>
    </row>
    <row r="26" customFormat="false" ht="15" hidden="false" customHeight="false" outlineLevel="0" collapsed="false">
      <c r="B26" s="15" t="s">
        <v>117</v>
      </c>
      <c r="C26" s="21" t="n">
        <v>7610.53</v>
      </c>
      <c r="G26" s="21" t="n">
        <v>7610.53</v>
      </c>
    </row>
    <row r="27" customFormat="false" ht="15" hidden="false" customHeight="false" outlineLevel="0" collapsed="false">
      <c r="B27" s="15" t="s">
        <v>118</v>
      </c>
      <c r="C27" s="21" t="n">
        <v>8437.69</v>
      </c>
      <c r="G27" s="21" t="n">
        <v>8437.69</v>
      </c>
    </row>
    <row r="28" customFormat="false" ht="15" hidden="false" customHeight="false" outlineLevel="0" collapsed="false">
      <c r="B28" s="15" t="s">
        <v>119</v>
      </c>
      <c r="C28" s="21" t="n">
        <v>6775.13</v>
      </c>
      <c r="G28" s="21" t="n">
        <v>6775.13</v>
      </c>
    </row>
    <row r="29" customFormat="false" ht="15" hidden="false" customHeight="false" outlineLevel="0" collapsed="false">
      <c r="B29" s="15" t="s">
        <v>120</v>
      </c>
      <c r="C29" s="21" t="n">
        <v>378.96</v>
      </c>
      <c r="G29" s="21" t="n">
        <v>378.96</v>
      </c>
    </row>
    <row r="30" customFormat="false" ht="15" hidden="false" customHeight="false" outlineLevel="0" collapsed="false">
      <c r="B30" s="15" t="s">
        <v>121</v>
      </c>
      <c r="C30" s="21" t="n">
        <v>10712.7</v>
      </c>
      <c r="G30" s="21" t="n">
        <v>10712.7</v>
      </c>
    </row>
    <row r="31" customFormat="false" ht="15" hidden="false" customHeight="false" outlineLevel="0" collapsed="false">
      <c r="B31" s="15" t="s">
        <v>122</v>
      </c>
      <c r="C31" s="21" t="n">
        <v>5035.68</v>
      </c>
      <c r="G31" s="21" t="n">
        <v>5035.68</v>
      </c>
    </row>
    <row r="32" customFormat="false" ht="15" hidden="false" customHeight="false" outlineLevel="0" collapsed="false">
      <c r="B32" s="15" t="s">
        <v>123</v>
      </c>
      <c r="C32" s="21" t="n">
        <v>2117.51</v>
      </c>
      <c r="G32" s="21" t="n">
        <v>2117.51</v>
      </c>
    </row>
    <row r="33" customFormat="false" ht="15" hidden="false" customHeight="false" outlineLevel="0" collapsed="false">
      <c r="B33" s="15" t="s">
        <v>124</v>
      </c>
      <c r="C33" s="21" t="n">
        <v>3536.09</v>
      </c>
      <c r="G33" s="21" t="n">
        <v>3536.09</v>
      </c>
    </row>
    <row r="34" customFormat="false" ht="15" hidden="false" customHeight="false" outlineLevel="0" collapsed="false">
      <c r="B34" s="15" t="s">
        <v>125</v>
      </c>
      <c r="C34" s="21" t="n">
        <v>8613.79</v>
      </c>
      <c r="G34" s="21" t="n">
        <v>8613.79</v>
      </c>
    </row>
    <row r="35" customFormat="false" ht="15" hidden="false" customHeight="false" outlineLevel="0" collapsed="false">
      <c r="B35" s="15" t="s">
        <v>126</v>
      </c>
      <c r="C35" s="21" t="n">
        <v>3604.7</v>
      </c>
      <c r="G35" s="21" t="n">
        <v>3604.7</v>
      </c>
    </row>
    <row r="36" customFormat="false" ht="15" hidden="false" customHeight="false" outlineLevel="0" collapsed="false">
      <c r="B36" s="15" t="s">
        <v>127</v>
      </c>
      <c r="C36" s="21" t="n">
        <v>868.78</v>
      </c>
      <c r="G36" s="21" t="n">
        <v>868.78</v>
      </c>
    </row>
    <row r="37" customFormat="false" ht="15" hidden="false" customHeight="false" outlineLevel="0" collapsed="false">
      <c r="B37" s="15" t="s">
        <v>129</v>
      </c>
      <c r="C37" s="21" t="n">
        <v>10912.49</v>
      </c>
      <c r="G37" s="21" t="n">
        <v>10912.49</v>
      </c>
    </row>
    <row r="38" customFormat="false" ht="15" hidden="false" customHeight="false" outlineLevel="0" collapsed="false">
      <c r="B38" s="15" t="s">
        <v>130</v>
      </c>
      <c r="C38" s="21" t="n">
        <v>662.8</v>
      </c>
      <c r="G38" s="21" t="n">
        <v>662.8</v>
      </c>
    </row>
    <row r="39" customFormat="false" ht="15" hidden="false" customHeight="false" outlineLevel="0" collapsed="false">
      <c r="B39" s="15" t="s">
        <v>152</v>
      </c>
      <c r="C39" s="21" t="n">
        <v>811.57</v>
      </c>
      <c r="G39" s="21" t="n">
        <v>811.57</v>
      </c>
    </row>
    <row r="40" customFormat="false" ht="15" hidden="false" customHeight="false" outlineLevel="0" collapsed="false">
      <c r="A40" s="22"/>
      <c r="B40" s="23" t="s">
        <v>66</v>
      </c>
      <c r="C40" s="24" t="n">
        <f aca="false">SUM(C10:C39)</f>
        <v>115479.14</v>
      </c>
      <c r="D40" s="24" t="n">
        <f aca="false">SUM(D10:D39)</f>
        <v>26961.9</v>
      </c>
      <c r="E40" s="24" t="n">
        <f aca="false">SUM(E10:E39)</f>
        <v>0</v>
      </c>
      <c r="F40" s="24" t="n">
        <f aca="false">SUM(F10:F39)</f>
        <v>0</v>
      </c>
      <c r="G40" s="24" t="n">
        <f aca="false">SUM(G10:G39)</f>
        <v>88517.24</v>
      </c>
      <c r="H40" s="22"/>
    </row>
    <row r="42" customFormat="false" ht="15" hidden="false" customHeight="false" outlineLevel="0" collapsed="false">
      <c r="A42" s="19"/>
      <c r="B42" s="20" t="s">
        <v>67</v>
      </c>
      <c r="C42" s="20"/>
      <c r="D42" s="20"/>
      <c r="E42" s="20"/>
      <c r="F42" s="20"/>
      <c r="G42" s="20"/>
      <c r="H42" s="20"/>
      <c r="I42" s="20"/>
      <c r="J42" s="20"/>
    </row>
    <row r="43" customFormat="false" ht="15" hidden="false" customHeight="false" outlineLevel="0" collapsed="false">
      <c r="B43" s="15" t="s">
        <v>68</v>
      </c>
      <c r="C43" s="21" t="n">
        <v>91140.5</v>
      </c>
      <c r="D43" s="21" t="n">
        <v>21279.35</v>
      </c>
      <c r="G43" s="21" t="n">
        <v>69861.15</v>
      </c>
    </row>
    <row r="44" customFormat="false" ht="15" hidden="false" customHeight="false" outlineLevel="0" collapsed="false">
      <c r="B44" s="15" t="s">
        <v>69</v>
      </c>
      <c r="C44" s="21" t="n">
        <v>165.99</v>
      </c>
      <c r="D44" s="21" t="n">
        <v>38.76</v>
      </c>
      <c r="G44" s="21" t="n">
        <v>127.23</v>
      </c>
    </row>
    <row r="45" customFormat="false" ht="15" hidden="false" customHeight="false" outlineLevel="0" collapsed="false">
      <c r="B45" s="15" t="s">
        <v>70</v>
      </c>
      <c r="C45" s="21" t="n">
        <v>8598.15</v>
      </c>
      <c r="D45" s="21" t="n">
        <v>2007.48</v>
      </c>
      <c r="G45" s="21" t="n">
        <v>6590.67</v>
      </c>
    </row>
    <row r="46" customFormat="false" ht="15" hidden="false" customHeight="false" outlineLevel="0" collapsed="false">
      <c r="B46" s="15" t="s">
        <v>71</v>
      </c>
      <c r="C46" s="21" t="n">
        <v>15574.5</v>
      </c>
      <c r="D46" s="21" t="n">
        <v>3636.33</v>
      </c>
      <c r="G46" s="21" t="n">
        <v>11938.19</v>
      </c>
    </row>
    <row r="47" customFormat="false" ht="15" hidden="false" customHeight="false" outlineLevel="0" collapsed="false">
      <c r="A47" s="22"/>
      <c r="B47" s="23" t="s">
        <v>72</v>
      </c>
      <c r="C47" s="24" t="n">
        <f aca="false">SUM(C43:C46)</f>
        <v>115479.14</v>
      </c>
      <c r="D47" s="24" t="n">
        <f aca="false">SUM(D43:D46)</f>
        <v>26961.92</v>
      </c>
      <c r="E47" s="22"/>
      <c r="F47" s="24" t="n">
        <f aca="false">SUM(F43:F46)</f>
        <v>0</v>
      </c>
      <c r="G47" s="24" t="n">
        <f aca="false">SUM(G43:G46)</f>
        <v>88517.24</v>
      </c>
      <c r="H47" s="22"/>
    </row>
    <row r="49" customFormat="false" ht="15" hidden="false" customHeight="false" outlineLevel="0" collapsed="false">
      <c r="A49" s="25" t="s">
        <v>73</v>
      </c>
      <c r="B49" s="25"/>
      <c r="C49" s="25"/>
      <c r="D49" s="25"/>
      <c r="E49" s="25"/>
      <c r="F49" s="25"/>
      <c r="G49" s="25"/>
      <c r="H49" s="25"/>
      <c r="I49" s="25"/>
      <c r="J49" s="25"/>
    </row>
    <row r="50" customFormat="false" ht="15" hidden="false" customHeight="false" outlineLevel="0" collapsed="false">
      <c r="A50" s="26" t="s">
        <v>36</v>
      </c>
      <c r="B50" s="26"/>
      <c r="C50" s="26"/>
      <c r="D50" s="26"/>
      <c r="E50" s="26"/>
      <c r="F50" s="26"/>
      <c r="G50" s="26"/>
      <c r="H50" s="26"/>
      <c r="I50" s="26"/>
      <c r="J50" s="26"/>
    </row>
    <row r="51" customFormat="false" ht="15" hidden="false" customHeight="false" outlineLevel="0" collapsed="false">
      <c r="A51" s="27"/>
      <c r="B51" s="27" t="s">
        <v>74</v>
      </c>
      <c r="C51" s="28" t="s">
        <v>75</v>
      </c>
      <c r="D51" s="28" t="s">
        <v>76</v>
      </c>
      <c r="E51" s="28" t="s">
        <v>77</v>
      </c>
      <c r="F51" s="28" t="s">
        <v>78</v>
      </c>
      <c r="G51" s="28" t="s">
        <v>79</v>
      </c>
      <c r="H51" s="28" t="s">
        <v>80</v>
      </c>
      <c r="I51" s="28" t="s">
        <v>81</v>
      </c>
      <c r="J51" s="28" t="s">
        <v>82</v>
      </c>
    </row>
    <row r="52" customFormat="false" ht="15" hidden="false" customHeight="false" outlineLevel="0" collapsed="false">
      <c r="B52" s="29" t="s">
        <v>153</v>
      </c>
      <c r="C52" s="30" t="n">
        <v>91140.5</v>
      </c>
      <c r="D52" s="30" t="n">
        <v>0</v>
      </c>
      <c r="E52" s="30" t="n">
        <v>26651.36</v>
      </c>
      <c r="F52" s="30" t="n">
        <v>3314.2</v>
      </c>
      <c r="G52" s="30" t="n">
        <v>29965.56</v>
      </c>
      <c r="H52" s="30" t="n">
        <v>61174.94</v>
      </c>
      <c r="I52" s="31" t="s">
        <v>84</v>
      </c>
      <c r="J52" s="32" t="n">
        <v>27.5</v>
      </c>
    </row>
    <row r="53" customFormat="false" ht="15" hidden="false" customHeight="false" outlineLevel="0" collapsed="false">
      <c r="B53" s="7" t="s">
        <v>154</v>
      </c>
      <c r="C53" s="9" t="n">
        <v>165.99</v>
      </c>
      <c r="D53" s="9" t="n">
        <v>0</v>
      </c>
      <c r="E53" s="9" t="n">
        <v>48.07</v>
      </c>
      <c r="F53" s="9" t="n">
        <v>6.04</v>
      </c>
      <c r="G53" s="9" t="n">
        <v>54.11</v>
      </c>
      <c r="H53" s="9" t="n">
        <v>111.88</v>
      </c>
      <c r="I53" s="33" t="s">
        <v>84</v>
      </c>
      <c r="J53" s="34" t="n">
        <v>27.5</v>
      </c>
    </row>
    <row r="54" customFormat="false" ht="15" hidden="false" customHeight="false" outlineLevel="0" collapsed="false">
      <c r="B54" s="29" t="s">
        <v>155</v>
      </c>
      <c r="C54" s="30" t="n">
        <v>8598.15</v>
      </c>
      <c r="D54" s="30" t="n">
        <v>0</v>
      </c>
      <c r="E54" s="30" t="n">
        <v>5035.65</v>
      </c>
      <c r="F54" s="30" t="n">
        <v>507.3</v>
      </c>
      <c r="G54" s="30" t="n">
        <v>5542.95</v>
      </c>
      <c r="H54" s="30" t="n">
        <v>3055.2</v>
      </c>
      <c r="I54" s="31" t="s">
        <v>87</v>
      </c>
      <c r="J54" s="32" t="n">
        <v>15</v>
      </c>
    </row>
    <row r="55" customFormat="false" ht="15" hidden="false" customHeight="false" outlineLevel="0" collapsed="false">
      <c r="B55" s="7" t="s">
        <v>156</v>
      </c>
      <c r="C55" s="9" t="n">
        <v>15574.5</v>
      </c>
      <c r="D55" s="9" t="n">
        <v>0</v>
      </c>
      <c r="E55" s="9" t="n">
        <v>15055.35</v>
      </c>
      <c r="F55" s="9" t="n">
        <v>0</v>
      </c>
      <c r="G55" s="9" t="n">
        <v>15055.35</v>
      </c>
      <c r="H55" s="9" t="n">
        <v>519.15</v>
      </c>
      <c r="I55" s="33" t="s">
        <v>89</v>
      </c>
      <c r="J55" s="34" t="n">
        <v>5</v>
      </c>
    </row>
    <row r="56" customFormat="false" ht="15" hidden="false" customHeight="false" outlineLevel="0" collapsed="false">
      <c r="A56" s="35"/>
      <c r="B56" s="36" t="s">
        <v>34</v>
      </c>
      <c r="C56" s="37" t="n">
        <f aca="false">SUM(C52:C55)</f>
        <v>115479.14</v>
      </c>
      <c r="D56" s="37" t="n">
        <f aca="false">SUM(D52:D55)</f>
        <v>0</v>
      </c>
      <c r="E56" s="37" t="n">
        <f aca="false">SUM(E52:E55)</f>
        <v>46790.43</v>
      </c>
      <c r="F56" s="37" t="n">
        <f aca="false">SUM(F52:F55)</f>
        <v>3827.54</v>
      </c>
      <c r="G56" s="37" t="n">
        <f aca="false">SUM(G52:G55)</f>
        <v>50617.97</v>
      </c>
      <c r="H56" s="37" t="n">
        <f aca="false">SUM(H52:H55)</f>
        <v>64861.17</v>
      </c>
      <c r="I56" s="35"/>
      <c r="J56" s="35"/>
    </row>
    <row r="58" customFormat="false" ht="15" hidden="false" customHeight="false" outlineLevel="0" collapsed="false">
      <c r="A58" s="38" t="s">
        <v>90</v>
      </c>
      <c r="B58" s="38"/>
      <c r="C58" s="38"/>
      <c r="D58" s="38"/>
      <c r="E58" s="38"/>
      <c r="F58" s="38"/>
      <c r="G58" s="38"/>
      <c r="H58" s="38"/>
      <c r="I58" s="38"/>
      <c r="J58" s="38"/>
    </row>
    <row r="59" customFormat="false" ht="15" hidden="false" customHeight="false" outlineLevel="0" collapsed="false">
      <c r="A59" s="27"/>
      <c r="B59" s="27" t="s">
        <v>74</v>
      </c>
      <c r="C59" s="28" t="s">
        <v>75</v>
      </c>
      <c r="D59" s="28" t="s">
        <v>76</v>
      </c>
      <c r="E59" s="28" t="s">
        <v>77</v>
      </c>
      <c r="F59" s="28" t="s">
        <v>78</v>
      </c>
      <c r="G59" s="28" t="s">
        <v>79</v>
      </c>
      <c r="H59" s="28" t="s">
        <v>80</v>
      </c>
      <c r="I59" s="28" t="s">
        <v>81</v>
      </c>
      <c r="J59" s="28" t="s">
        <v>82</v>
      </c>
    </row>
    <row r="60" customFormat="false" ht="15" hidden="false" customHeight="false" outlineLevel="0" collapsed="false">
      <c r="B60" s="29" t="s">
        <v>157</v>
      </c>
      <c r="C60" s="30" t="n">
        <v>21279.35</v>
      </c>
      <c r="D60" s="30" t="n">
        <v>0</v>
      </c>
      <c r="E60" s="30" t="n">
        <v>21279.35</v>
      </c>
      <c r="F60" s="30" t="n">
        <v>0</v>
      </c>
      <c r="G60" s="30" t="n">
        <v>21279.35</v>
      </c>
      <c r="H60" s="30" t="n">
        <v>0</v>
      </c>
      <c r="I60" s="31" t="s">
        <v>89</v>
      </c>
      <c r="J60" s="32" t="n">
        <v>5</v>
      </c>
    </row>
    <row r="61" customFormat="false" ht="15" hidden="false" customHeight="false" outlineLevel="0" collapsed="false">
      <c r="B61" s="7" t="s">
        <v>158</v>
      </c>
      <c r="C61" s="9" t="n">
        <v>69861.15</v>
      </c>
      <c r="D61" s="9" t="n">
        <v>0</v>
      </c>
      <c r="E61" s="9" t="n">
        <v>20429.13</v>
      </c>
      <c r="F61" s="9" t="n">
        <v>2540.41</v>
      </c>
      <c r="G61" s="9" t="n">
        <v>22969.54</v>
      </c>
      <c r="H61" s="9" t="n">
        <v>46891.61</v>
      </c>
      <c r="I61" s="33" t="s">
        <v>84</v>
      </c>
      <c r="J61" s="34" t="n">
        <v>27.5</v>
      </c>
    </row>
    <row r="62" customFormat="false" ht="15" hidden="false" customHeight="false" outlineLevel="0" collapsed="false">
      <c r="B62" s="29" t="s">
        <v>159</v>
      </c>
      <c r="C62" s="30" t="n">
        <v>38.76</v>
      </c>
      <c r="D62" s="30" t="n">
        <v>0</v>
      </c>
      <c r="E62" s="30" t="n">
        <v>38.76</v>
      </c>
      <c r="F62" s="30" t="n">
        <v>0</v>
      </c>
      <c r="G62" s="30" t="n">
        <v>38.76</v>
      </c>
      <c r="H62" s="30" t="n">
        <v>0</v>
      </c>
      <c r="I62" s="31" t="s">
        <v>89</v>
      </c>
      <c r="J62" s="32" t="n">
        <v>5</v>
      </c>
    </row>
    <row r="63" customFormat="false" ht="15" hidden="false" customHeight="false" outlineLevel="0" collapsed="false">
      <c r="B63" s="7" t="s">
        <v>160</v>
      </c>
      <c r="C63" s="9" t="n">
        <v>127.23</v>
      </c>
      <c r="D63" s="9" t="n">
        <v>0</v>
      </c>
      <c r="E63" s="9" t="n">
        <v>36.84</v>
      </c>
      <c r="F63" s="9" t="n">
        <v>4.63</v>
      </c>
      <c r="G63" s="9" t="n">
        <v>41.47</v>
      </c>
      <c r="H63" s="9" t="n">
        <v>85.76</v>
      </c>
      <c r="I63" s="33" t="s">
        <v>84</v>
      </c>
      <c r="J63" s="34" t="n">
        <v>27.5</v>
      </c>
    </row>
    <row r="64" customFormat="false" ht="15" hidden="false" customHeight="false" outlineLevel="0" collapsed="false">
      <c r="B64" s="29" t="s">
        <v>161</v>
      </c>
      <c r="C64" s="30" t="n">
        <v>2007.48</v>
      </c>
      <c r="D64" s="30" t="n">
        <v>0</v>
      </c>
      <c r="E64" s="30" t="n">
        <v>2007.48</v>
      </c>
      <c r="F64" s="30" t="n">
        <v>0</v>
      </c>
      <c r="G64" s="30" t="n">
        <v>2007.48</v>
      </c>
      <c r="H64" s="30" t="n">
        <v>0</v>
      </c>
      <c r="I64" s="31" t="s">
        <v>89</v>
      </c>
      <c r="J64" s="32" t="n">
        <v>5</v>
      </c>
    </row>
    <row r="65" customFormat="false" ht="15" hidden="false" customHeight="false" outlineLevel="0" collapsed="false">
      <c r="B65" s="7" t="s">
        <v>162</v>
      </c>
      <c r="C65" s="9" t="n">
        <v>6590.67</v>
      </c>
      <c r="D65" s="9" t="n">
        <v>0</v>
      </c>
      <c r="E65" s="9" t="n">
        <v>1927.27</v>
      </c>
      <c r="F65" s="9" t="n">
        <v>239.66</v>
      </c>
      <c r="G65" s="9" t="n">
        <v>2166.93</v>
      </c>
      <c r="H65" s="9" t="n">
        <v>4423.74</v>
      </c>
      <c r="I65" s="33" t="s">
        <v>84</v>
      </c>
      <c r="J65" s="34" t="n">
        <v>27.5</v>
      </c>
    </row>
    <row r="66" customFormat="false" ht="15" hidden="false" customHeight="false" outlineLevel="0" collapsed="false">
      <c r="B66" s="29" t="s">
        <v>163</v>
      </c>
      <c r="C66" s="30" t="n">
        <v>3636.33</v>
      </c>
      <c r="D66" s="30" t="n">
        <v>0</v>
      </c>
      <c r="E66" s="30" t="n">
        <v>3636.33</v>
      </c>
      <c r="F66" s="30" t="n">
        <v>0</v>
      </c>
      <c r="G66" s="30" t="n">
        <v>3636.33</v>
      </c>
      <c r="H66" s="30" t="n">
        <v>0</v>
      </c>
      <c r="I66" s="31" t="s">
        <v>89</v>
      </c>
      <c r="J66" s="32" t="n">
        <v>5</v>
      </c>
    </row>
    <row r="67" customFormat="false" ht="15" hidden="false" customHeight="false" outlineLevel="0" collapsed="false">
      <c r="B67" s="7" t="s">
        <v>164</v>
      </c>
      <c r="C67" s="9" t="n">
        <v>11938.19</v>
      </c>
      <c r="D67" s="9" t="n">
        <v>0</v>
      </c>
      <c r="E67" s="9" t="n">
        <v>3491.05</v>
      </c>
      <c r="F67" s="9" t="n">
        <v>434.12</v>
      </c>
      <c r="G67" s="9" t="n">
        <v>3925.17</v>
      </c>
      <c r="H67" s="9" t="n">
        <v>8013.02</v>
      </c>
      <c r="I67" s="33" t="s">
        <v>84</v>
      </c>
      <c r="J67" s="34" t="n">
        <v>27.5</v>
      </c>
    </row>
    <row r="68" customFormat="false" ht="15" hidden="false" customHeight="false" outlineLevel="0" collapsed="false">
      <c r="A68" s="35"/>
      <c r="B68" s="36" t="s">
        <v>34</v>
      </c>
      <c r="C68" s="37" t="n">
        <f aca="false">SUM(C60:C67)</f>
        <v>115479.16</v>
      </c>
      <c r="D68" s="37" t="n">
        <f aca="false">SUM(D60:D67)</f>
        <v>0</v>
      </c>
      <c r="E68" s="37" t="n">
        <f aca="false">SUM(E60:E67)</f>
        <v>52846.21</v>
      </c>
      <c r="F68" s="37" t="n">
        <f aca="false">SUM(F60:F67)</f>
        <v>3218.82</v>
      </c>
      <c r="G68" s="37" t="n">
        <f aca="false">SUM(G60:G67)</f>
        <v>56065.03</v>
      </c>
      <c r="H68" s="37" t="n">
        <f aca="false">SUM(H60:H67)</f>
        <v>59414.13</v>
      </c>
      <c r="I68" s="35"/>
      <c r="J68" s="35"/>
    </row>
    <row r="70" customFormat="false" ht="15" hidden="false" customHeight="false" outlineLevel="0" collapsed="false">
      <c r="A70" s="25" t="s">
        <v>38</v>
      </c>
      <c r="B70" s="25"/>
      <c r="C70" s="25"/>
      <c r="D70" s="25"/>
      <c r="E70" s="25"/>
    </row>
    <row r="71" customFormat="false" ht="15" hidden="false" customHeight="false" outlineLevel="0" collapsed="false">
      <c r="B71" s="7" t="s">
        <v>99</v>
      </c>
      <c r="C71" s="39" t="n">
        <f aca="false">G56</f>
        <v>50617.97</v>
      </c>
    </row>
    <row r="72" customFormat="false" ht="15" hidden="false" customHeight="false" outlineLevel="0" collapsed="false">
      <c r="B72" s="7" t="s">
        <v>100</v>
      </c>
      <c r="C72" s="39" t="n">
        <f aca="false">G68</f>
        <v>56065.03</v>
      </c>
    </row>
    <row r="73" customFormat="false" ht="15" hidden="false" customHeight="false" outlineLevel="0" collapsed="false">
      <c r="B73" s="10" t="s">
        <v>38</v>
      </c>
      <c r="C73" s="40" t="n">
        <f aca="false">C72-C71</f>
        <v>5447.06</v>
      </c>
    </row>
  </sheetData>
  <mergeCells count="11">
    <mergeCell ref="A2:J2"/>
    <mergeCell ref="A3:J3"/>
    <mergeCell ref="A4:J4"/>
    <mergeCell ref="A8:J8"/>
    <mergeCell ref="B10:J10"/>
    <mergeCell ref="B23:J23"/>
    <mergeCell ref="B42:J42"/>
    <mergeCell ref="A49:J49"/>
    <mergeCell ref="A50:J50"/>
    <mergeCell ref="A58:J58"/>
    <mergeCell ref="A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171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172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4901.61</v>
      </c>
      <c r="D11" s="21" t="n">
        <v>4901.61</v>
      </c>
    </row>
    <row r="12" customFormat="false" ht="15" hidden="false" customHeight="false" outlineLevel="0" collapsed="false">
      <c r="B12" s="15" t="s">
        <v>105</v>
      </c>
      <c r="C12" s="21" t="n">
        <v>2185.54</v>
      </c>
      <c r="D12" s="21" t="n">
        <v>2185.54</v>
      </c>
    </row>
    <row r="13" customFormat="false" ht="15" hidden="false" customHeight="false" outlineLevel="0" collapsed="false">
      <c r="B13" s="15" t="s">
        <v>106</v>
      </c>
      <c r="C13" s="21" t="n">
        <v>11385.26</v>
      </c>
      <c r="D13" s="21" t="n">
        <v>11385.26</v>
      </c>
    </row>
    <row r="14" customFormat="false" ht="15" hidden="false" customHeight="false" outlineLevel="0" collapsed="false">
      <c r="B14" s="15" t="s">
        <v>108</v>
      </c>
      <c r="C14" s="21" t="n">
        <v>589.62</v>
      </c>
      <c r="D14" s="21" t="n">
        <v>589.62</v>
      </c>
    </row>
    <row r="15" customFormat="false" ht="15" hidden="false" customHeight="false" outlineLevel="0" collapsed="false">
      <c r="B15" s="15" t="s">
        <v>146</v>
      </c>
      <c r="C15" s="21" t="n">
        <v>183.29</v>
      </c>
      <c r="D15" s="21" t="n">
        <v>183.29</v>
      </c>
    </row>
    <row r="16" customFormat="false" ht="15" hidden="false" customHeight="false" outlineLevel="0" collapsed="false">
      <c r="B16" s="15" t="s">
        <v>147</v>
      </c>
      <c r="C16" s="21" t="n">
        <v>96.76</v>
      </c>
      <c r="D16" s="21" t="n">
        <v>96.76</v>
      </c>
    </row>
    <row r="17" customFormat="false" ht="15" hidden="false" customHeight="false" outlineLevel="0" collapsed="false">
      <c r="B17" s="15" t="s">
        <v>109</v>
      </c>
      <c r="C17" s="21" t="n">
        <v>2980.97</v>
      </c>
      <c r="D17" s="21" t="n">
        <v>2980.97</v>
      </c>
    </row>
    <row r="18" customFormat="false" ht="15" hidden="false" customHeight="false" outlineLevel="0" collapsed="false">
      <c r="B18" s="15" t="s">
        <v>110</v>
      </c>
      <c r="C18" s="21" t="n">
        <v>994.55</v>
      </c>
      <c r="D18" s="21" t="n">
        <v>994.55</v>
      </c>
    </row>
    <row r="19" customFormat="false" ht="15" hidden="false" customHeight="false" outlineLevel="0" collapsed="false">
      <c r="B19" s="15" t="s">
        <v>148</v>
      </c>
      <c r="C19" s="21" t="n">
        <v>3427.41</v>
      </c>
      <c r="D19" s="21" t="n">
        <v>3427.41</v>
      </c>
    </row>
    <row r="20" customFormat="false" ht="15" hidden="false" customHeight="false" outlineLevel="0" collapsed="false">
      <c r="B20" s="15" t="s">
        <v>112</v>
      </c>
      <c r="C20" s="21" t="n">
        <v>428.96</v>
      </c>
      <c r="D20" s="21" t="n">
        <v>428.96</v>
      </c>
    </row>
    <row r="21" customFormat="false" ht="15" hidden="false" customHeight="false" outlineLevel="0" collapsed="false">
      <c r="B21" s="15" t="s">
        <v>149</v>
      </c>
      <c r="C21" s="21" t="n">
        <v>43.2</v>
      </c>
      <c r="D21" s="21" t="n">
        <v>43.2</v>
      </c>
    </row>
    <row r="22" customFormat="false" ht="15" hidden="false" customHeight="false" outlineLevel="0" collapsed="false">
      <c r="B22" s="15" t="s">
        <v>150</v>
      </c>
      <c r="C22" s="21" t="n">
        <v>3682.87</v>
      </c>
      <c r="D22" s="21" t="n">
        <v>3682.87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8561.68</v>
      </c>
      <c r="G24" s="21" t="n">
        <v>8561.68</v>
      </c>
    </row>
    <row r="25" customFormat="false" ht="15" hidden="false" customHeight="false" outlineLevel="0" collapsed="false">
      <c r="B25" s="15" t="s">
        <v>116</v>
      </c>
      <c r="C25" s="21" t="n">
        <v>16225.62</v>
      </c>
      <c r="G25" s="21" t="n">
        <v>16225.62</v>
      </c>
    </row>
    <row r="26" customFormat="false" ht="15" hidden="false" customHeight="false" outlineLevel="0" collapsed="false">
      <c r="B26" s="15" t="s">
        <v>117</v>
      </c>
      <c r="C26" s="21" t="n">
        <v>10992.55</v>
      </c>
      <c r="G26" s="21" t="n">
        <v>10992.55</v>
      </c>
    </row>
    <row r="27" customFormat="false" ht="15" hidden="false" customHeight="false" outlineLevel="0" collapsed="false">
      <c r="B27" s="15" t="s">
        <v>118</v>
      </c>
      <c r="C27" s="21" t="n">
        <v>12099.12</v>
      </c>
      <c r="G27" s="21" t="n">
        <v>12099.12</v>
      </c>
    </row>
    <row r="28" customFormat="false" ht="15" hidden="false" customHeight="false" outlineLevel="0" collapsed="false">
      <c r="B28" s="15" t="s">
        <v>119</v>
      </c>
      <c r="C28" s="21" t="n">
        <v>9715.1</v>
      </c>
      <c r="G28" s="21" t="n">
        <v>9715.1</v>
      </c>
    </row>
    <row r="29" customFormat="false" ht="15" hidden="false" customHeight="false" outlineLevel="0" collapsed="false">
      <c r="B29" s="15" t="s">
        <v>120</v>
      </c>
      <c r="C29" s="21" t="n">
        <v>548.48</v>
      </c>
      <c r="G29" s="21" t="n">
        <v>548.48</v>
      </c>
    </row>
    <row r="30" customFormat="false" ht="15" hidden="false" customHeight="false" outlineLevel="0" collapsed="false">
      <c r="B30" s="15" t="s">
        <v>121</v>
      </c>
      <c r="C30" s="21" t="n">
        <v>12559.71</v>
      </c>
      <c r="G30" s="21" t="n">
        <v>12559.71</v>
      </c>
    </row>
    <row r="31" customFormat="false" ht="15" hidden="false" customHeight="false" outlineLevel="0" collapsed="false">
      <c r="B31" s="15" t="s">
        <v>122</v>
      </c>
      <c r="C31" s="21" t="n">
        <v>5680.09</v>
      </c>
      <c r="G31" s="21" t="n">
        <v>5680.09</v>
      </c>
    </row>
    <row r="32" customFormat="false" ht="15" hidden="false" customHeight="false" outlineLevel="0" collapsed="false">
      <c r="B32" s="15" t="s">
        <v>123</v>
      </c>
      <c r="C32" s="21" t="n">
        <v>2911.57</v>
      </c>
      <c r="G32" s="21" t="n">
        <v>2911.57</v>
      </c>
    </row>
    <row r="33" customFormat="false" ht="15" hidden="false" customHeight="false" outlineLevel="0" collapsed="false">
      <c r="B33" s="15" t="s">
        <v>124</v>
      </c>
      <c r="C33" s="21" t="n">
        <v>5070.55</v>
      </c>
      <c r="G33" s="21" t="n">
        <v>5070.55</v>
      </c>
    </row>
    <row r="34" customFormat="false" ht="15" hidden="false" customHeight="false" outlineLevel="0" collapsed="false">
      <c r="B34" s="15" t="s">
        <v>125</v>
      </c>
      <c r="C34" s="21" t="n">
        <v>9837.36</v>
      </c>
      <c r="G34" s="21" t="n">
        <v>9837.36</v>
      </c>
    </row>
    <row r="35" customFormat="false" ht="15" hidden="false" customHeight="false" outlineLevel="0" collapsed="false">
      <c r="B35" s="15" t="s">
        <v>126</v>
      </c>
      <c r="C35" s="21" t="n">
        <v>4408.6</v>
      </c>
      <c r="G35" s="21" t="n">
        <v>4408.6</v>
      </c>
    </row>
    <row r="36" customFormat="false" ht="15" hidden="false" customHeight="false" outlineLevel="0" collapsed="false">
      <c r="B36" s="15" t="s">
        <v>127</v>
      </c>
      <c r="C36" s="21" t="n">
        <v>1012.22</v>
      </c>
      <c r="G36" s="21" t="n">
        <v>1012.22</v>
      </c>
    </row>
    <row r="37" customFormat="false" ht="15" hidden="false" customHeight="false" outlineLevel="0" collapsed="false">
      <c r="B37" s="15" t="s">
        <v>129</v>
      </c>
      <c r="C37" s="21" t="n">
        <v>14327.98</v>
      </c>
      <c r="G37" s="21" t="n">
        <v>14327.98</v>
      </c>
    </row>
    <row r="38" customFormat="false" ht="15" hidden="false" customHeight="false" outlineLevel="0" collapsed="false">
      <c r="B38" s="15" t="s">
        <v>130</v>
      </c>
      <c r="C38" s="21" t="n">
        <v>1332.99</v>
      </c>
      <c r="G38" s="21" t="n">
        <v>1332.99</v>
      </c>
    </row>
    <row r="39" customFormat="false" ht="15" hidden="false" customHeight="false" outlineLevel="0" collapsed="false">
      <c r="B39" s="15" t="s">
        <v>152</v>
      </c>
      <c r="C39" s="21" t="n">
        <v>1709.81</v>
      </c>
      <c r="G39" s="21" t="n">
        <v>1709.81</v>
      </c>
    </row>
    <row r="40" customFormat="false" ht="15" hidden="false" customHeight="false" outlineLevel="0" collapsed="false">
      <c r="A40" s="22"/>
      <c r="B40" s="23" t="s">
        <v>66</v>
      </c>
      <c r="C40" s="24" t="n">
        <f aca="false">SUM(C10:C39)</f>
        <v>147893.47</v>
      </c>
      <c r="D40" s="24" t="n">
        <f aca="false">SUM(D10:D39)</f>
        <v>30900.04</v>
      </c>
      <c r="E40" s="24" t="n">
        <f aca="false">SUM(E10:E39)</f>
        <v>0</v>
      </c>
      <c r="F40" s="24" t="n">
        <f aca="false">SUM(F10:F39)</f>
        <v>0</v>
      </c>
      <c r="G40" s="24" t="n">
        <f aca="false">SUM(G10:G39)</f>
        <v>116993.43</v>
      </c>
      <c r="H40" s="22"/>
    </row>
    <row r="42" customFormat="false" ht="15" hidden="false" customHeight="false" outlineLevel="0" collapsed="false">
      <c r="A42" s="19"/>
      <c r="B42" s="20" t="s">
        <v>67</v>
      </c>
      <c r="C42" s="20"/>
      <c r="D42" s="20"/>
      <c r="E42" s="20"/>
      <c r="F42" s="20"/>
      <c r="G42" s="20"/>
      <c r="H42" s="20"/>
      <c r="I42" s="20"/>
      <c r="J42" s="20"/>
    </row>
    <row r="43" customFormat="false" ht="15" hidden="false" customHeight="false" outlineLevel="0" collapsed="false">
      <c r="B43" s="15" t="s">
        <v>68</v>
      </c>
      <c r="C43" s="21" t="n">
        <v>116723.12</v>
      </c>
      <c r="D43" s="21" t="n">
        <v>24387.48</v>
      </c>
      <c r="G43" s="21" t="n">
        <v>92335.64</v>
      </c>
    </row>
    <row r="44" customFormat="false" ht="15" hidden="false" customHeight="false" outlineLevel="0" collapsed="false">
      <c r="B44" s="15" t="s">
        <v>69</v>
      </c>
      <c r="C44" s="21" t="n">
        <v>212.58</v>
      </c>
      <c r="D44" s="21" t="n">
        <v>44.42</v>
      </c>
      <c r="G44" s="21" t="n">
        <v>168.16</v>
      </c>
    </row>
    <row r="45" customFormat="false" ht="15" hidden="false" customHeight="false" outlineLevel="0" collapsed="false">
      <c r="B45" s="15" t="s">
        <v>70</v>
      </c>
      <c r="C45" s="21" t="n">
        <v>11011.6</v>
      </c>
      <c r="D45" s="21" t="n">
        <v>2300.7</v>
      </c>
      <c r="G45" s="21" t="n">
        <v>8710.9</v>
      </c>
    </row>
    <row r="46" customFormat="false" ht="15" hidden="false" customHeight="false" outlineLevel="0" collapsed="false">
      <c r="B46" s="15" t="s">
        <v>71</v>
      </c>
      <c r="C46" s="21" t="n">
        <v>19946.17</v>
      </c>
      <c r="D46" s="21" t="n">
        <v>4167.44</v>
      </c>
      <c r="G46" s="21" t="n">
        <v>15778.73</v>
      </c>
    </row>
    <row r="47" customFormat="false" ht="15" hidden="false" customHeight="false" outlineLevel="0" collapsed="false">
      <c r="A47" s="22"/>
      <c r="B47" s="23" t="s">
        <v>72</v>
      </c>
      <c r="C47" s="24" t="n">
        <f aca="false">SUM(C43:C46)</f>
        <v>147893.47</v>
      </c>
      <c r="D47" s="24" t="n">
        <f aca="false">SUM(D43:D46)</f>
        <v>30900.04</v>
      </c>
      <c r="E47" s="22"/>
      <c r="F47" s="24" t="n">
        <f aca="false">SUM(F43:F46)</f>
        <v>0</v>
      </c>
      <c r="G47" s="24" t="n">
        <f aca="false">SUM(G43:G46)</f>
        <v>116993.43</v>
      </c>
      <c r="H47" s="22"/>
    </row>
    <row r="49" customFormat="false" ht="15" hidden="false" customHeight="false" outlineLevel="0" collapsed="false">
      <c r="A49" s="25" t="s">
        <v>73</v>
      </c>
      <c r="B49" s="25"/>
      <c r="C49" s="25"/>
      <c r="D49" s="25"/>
      <c r="E49" s="25"/>
      <c r="F49" s="25"/>
      <c r="G49" s="25"/>
      <c r="H49" s="25"/>
      <c r="I49" s="25"/>
      <c r="J49" s="25"/>
    </row>
    <row r="50" customFormat="false" ht="15" hidden="false" customHeight="false" outlineLevel="0" collapsed="false">
      <c r="A50" s="26" t="s">
        <v>36</v>
      </c>
      <c r="B50" s="26"/>
      <c r="C50" s="26"/>
      <c r="D50" s="26"/>
      <c r="E50" s="26"/>
      <c r="F50" s="26"/>
      <c r="G50" s="26"/>
      <c r="H50" s="26"/>
      <c r="I50" s="26"/>
      <c r="J50" s="26"/>
    </row>
    <row r="51" customFormat="false" ht="15" hidden="false" customHeight="false" outlineLevel="0" collapsed="false">
      <c r="A51" s="27"/>
      <c r="B51" s="27" t="s">
        <v>74</v>
      </c>
      <c r="C51" s="28" t="s">
        <v>75</v>
      </c>
      <c r="D51" s="28" t="s">
        <v>76</v>
      </c>
      <c r="E51" s="28" t="s">
        <v>77</v>
      </c>
      <c r="F51" s="28" t="s">
        <v>78</v>
      </c>
      <c r="G51" s="28" t="s">
        <v>79</v>
      </c>
      <c r="H51" s="28" t="s">
        <v>80</v>
      </c>
      <c r="I51" s="28" t="s">
        <v>81</v>
      </c>
      <c r="J51" s="28" t="s">
        <v>82</v>
      </c>
    </row>
    <row r="52" customFormat="false" ht="15" hidden="false" customHeight="false" outlineLevel="0" collapsed="false">
      <c r="B52" s="29" t="s">
        <v>153</v>
      </c>
      <c r="C52" s="30" t="n">
        <v>116723.12</v>
      </c>
      <c r="D52" s="30" t="n">
        <v>0</v>
      </c>
      <c r="E52" s="30" t="n">
        <v>34132.24</v>
      </c>
      <c r="F52" s="30" t="n">
        <v>4244.48</v>
      </c>
      <c r="G52" s="30" t="n">
        <v>38376.72</v>
      </c>
      <c r="H52" s="30" t="n">
        <v>78346.4</v>
      </c>
      <c r="I52" s="31" t="s">
        <v>84</v>
      </c>
      <c r="J52" s="32" t="n">
        <v>27.5</v>
      </c>
    </row>
    <row r="53" customFormat="false" ht="15" hidden="false" customHeight="false" outlineLevel="0" collapsed="false">
      <c r="B53" s="7" t="s">
        <v>154</v>
      </c>
      <c r="C53" s="9" t="n">
        <v>212.58</v>
      </c>
      <c r="D53" s="9" t="n">
        <v>0</v>
      </c>
      <c r="E53" s="9" t="n">
        <v>61.56</v>
      </c>
      <c r="F53" s="9" t="n">
        <v>7.73</v>
      </c>
      <c r="G53" s="9" t="n">
        <v>69.29</v>
      </c>
      <c r="H53" s="9" t="n">
        <v>143.29</v>
      </c>
      <c r="I53" s="33" t="s">
        <v>84</v>
      </c>
      <c r="J53" s="34" t="n">
        <v>27.5</v>
      </c>
    </row>
    <row r="54" customFormat="false" ht="15" hidden="false" customHeight="false" outlineLevel="0" collapsed="false">
      <c r="B54" s="29" t="s">
        <v>155</v>
      </c>
      <c r="C54" s="30" t="n">
        <v>11011.6</v>
      </c>
      <c r="D54" s="30" t="n">
        <v>0</v>
      </c>
      <c r="E54" s="30" t="n">
        <v>6449.13</v>
      </c>
      <c r="F54" s="30" t="n">
        <v>649.69</v>
      </c>
      <c r="G54" s="30" t="n">
        <v>7098.82</v>
      </c>
      <c r="H54" s="30" t="n">
        <v>3912.78</v>
      </c>
      <c r="I54" s="31" t="s">
        <v>87</v>
      </c>
      <c r="J54" s="32" t="n">
        <v>15</v>
      </c>
    </row>
    <row r="55" customFormat="false" ht="15" hidden="false" customHeight="false" outlineLevel="0" collapsed="false">
      <c r="B55" s="7" t="s">
        <v>156</v>
      </c>
      <c r="C55" s="9" t="n">
        <v>19946.17</v>
      </c>
      <c r="D55" s="9" t="n">
        <v>0</v>
      </c>
      <c r="E55" s="9" t="n">
        <v>19281.3</v>
      </c>
      <c r="F55" s="9" t="n">
        <v>0</v>
      </c>
      <c r="G55" s="9" t="n">
        <v>19281.3</v>
      </c>
      <c r="H55" s="9" t="n">
        <v>664.87</v>
      </c>
      <c r="I55" s="33" t="s">
        <v>89</v>
      </c>
      <c r="J55" s="34" t="n">
        <v>5</v>
      </c>
    </row>
    <row r="56" customFormat="false" ht="15" hidden="false" customHeight="false" outlineLevel="0" collapsed="false">
      <c r="A56" s="35"/>
      <c r="B56" s="36" t="s">
        <v>34</v>
      </c>
      <c r="C56" s="37" t="n">
        <f aca="false">SUM(C52:C55)</f>
        <v>147893.47</v>
      </c>
      <c r="D56" s="37" t="n">
        <f aca="false">SUM(D52:D55)</f>
        <v>0</v>
      </c>
      <c r="E56" s="37" t="n">
        <f aca="false">SUM(E52:E55)</f>
        <v>59924.23</v>
      </c>
      <c r="F56" s="37" t="n">
        <f aca="false">SUM(F52:F55)</f>
        <v>4901.9</v>
      </c>
      <c r="G56" s="37" t="n">
        <f aca="false">SUM(G52:G55)</f>
        <v>64826.13</v>
      </c>
      <c r="H56" s="37" t="n">
        <f aca="false">SUM(H52:H55)</f>
        <v>83067.34</v>
      </c>
      <c r="I56" s="35"/>
      <c r="J56" s="35"/>
    </row>
    <row r="58" customFormat="false" ht="15" hidden="false" customHeight="false" outlineLevel="0" collapsed="false">
      <c r="A58" s="38" t="s">
        <v>90</v>
      </c>
      <c r="B58" s="38"/>
      <c r="C58" s="38"/>
      <c r="D58" s="38"/>
      <c r="E58" s="38"/>
      <c r="F58" s="38"/>
      <c r="G58" s="38"/>
      <c r="H58" s="38"/>
      <c r="I58" s="38"/>
      <c r="J58" s="38"/>
    </row>
    <row r="59" customFormat="false" ht="15" hidden="false" customHeight="false" outlineLevel="0" collapsed="false">
      <c r="A59" s="27"/>
      <c r="B59" s="27" t="s">
        <v>74</v>
      </c>
      <c r="C59" s="28" t="s">
        <v>75</v>
      </c>
      <c r="D59" s="28" t="s">
        <v>76</v>
      </c>
      <c r="E59" s="28" t="s">
        <v>77</v>
      </c>
      <c r="F59" s="28" t="s">
        <v>78</v>
      </c>
      <c r="G59" s="28" t="s">
        <v>79</v>
      </c>
      <c r="H59" s="28" t="s">
        <v>80</v>
      </c>
      <c r="I59" s="28" t="s">
        <v>81</v>
      </c>
      <c r="J59" s="28" t="s">
        <v>82</v>
      </c>
    </row>
    <row r="60" customFormat="false" ht="15" hidden="false" customHeight="false" outlineLevel="0" collapsed="false">
      <c r="B60" s="29" t="s">
        <v>157</v>
      </c>
      <c r="C60" s="30" t="n">
        <v>24387.48</v>
      </c>
      <c r="D60" s="30" t="n">
        <v>0</v>
      </c>
      <c r="E60" s="30" t="n">
        <v>24387.48</v>
      </c>
      <c r="F60" s="30" t="n">
        <v>0</v>
      </c>
      <c r="G60" s="30" t="n">
        <v>24387.48</v>
      </c>
      <c r="H60" s="30" t="n">
        <v>0</v>
      </c>
      <c r="I60" s="31" t="s">
        <v>89</v>
      </c>
      <c r="J60" s="32" t="n">
        <v>5</v>
      </c>
    </row>
    <row r="61" customFormat="false" ht="15" hidden="false" customHeight="false" outlineLevel="0" collapsed="false">
      <c r="B61" s="7" t="s">
        <v>158</v>
      </c>
      <c r="C61" s="9" t="n">
        <v>92335.64</v>
      </c>
      <c r="D61" s="9" t="n">
        <v>0</v>
      </c>
      <c r="E61" s="9" t="n">
        <v>27001.18</v>
      </c>
      <c r="F61" s="9" t="n">
        <v>3357.66</v>
      </c>
      <c r="G61" s="9" t="n">
        <v>30358.84</v>
      </c>
      <c r="H61" s="9" t="n">
        <v>61976.8</v>
      </c>
      <c r="I61" s="33" t="s">
        <v>84</v>
      </c>
      <c r="J61" s="34" t="n">
        <v>27.5</v>
      </c>
    </row>
    <row r="62" customFormat="false" ht="15" hidden="false" customHeight="false" outlineLevel="0" collapsed="false">
      <c r="B62" s="29" t="s">
        <v>159</v>
      </c>
      <c r="C62" s="30" t="n">
        <v>44.42</v>
      </c>
      <c r="D62" s="30" t="n">
        <v>0</v>
      </c>
      <c r="E62" s="30" t="n">
        <v>44.42</v>
      </c>
      <c r="F62" s="30" t="n">
        <v>0</v>
      </c>
      <c r="G62" s="30" t="n">
        <v>44.42</v>
      </c>
      <c r="H62" s="30" t="n">
        <v>0</v>
      </c>
      <c r="I62" s="31" t="s">
        <v>89</v>
      </c>
      <c r="J62" s="32" t="n">
        <v>5</v>
      </c>
    </row>
    <row r="63" customFormat="false" ht="15" hidden="false" customHeight="false" outlineLevel="0" collapsed="false">
      <c r="B63" s="7" t="s">
        <v>160</v>
      </c>
      <c r="C63" s="9" t="n">
        <v>168.16</v>
      </c>
      <c r="D63" s="9" t="n">
        <v>0</v>
      </c>
      <c r="E63" s="9" t="n">
        <v>48.63</v>
      </c>
      <c r="F63" s="9" t="n">
        <v>6.11</v>
      </c>
      <c r="G63" s="9" t="n">
        <v>54.74</v>
      </c>
      <c r="H63" s="9" t="n">
        <v>113.42</v>
      </c>
      <c r="I63" s="33" t="s">
        <v>84</v>
      </c>
      <c r="J63" s="34" t="n">
        <v>27.5</v>
      </c>
    </row>
    <row r="64" customFormat="false" ht="15" hidden="false" customHeight="false" outlineLevel="0" collapsed="false">
      <c r="B64" s="29" t="s">
        <v>161</v>
      </c>
      <c r="C64" s="30" t="n">
        <v>2300.7</v>
      </c>
      <c r="D64" s="30" t="n">
        <v>0</v>
      </c>
      <c r="E64" s="30" t="n">
        <v>2300.7</v>
      </c>
      <c r="F64" s="30" t="n">
        <v>0</v>
      </c>
      <c r="G64" s="30" t="n">
        <v>2300.7</v>
      </c>
      <c r="H64" s="30" t="n">
        <v>0</v>
      </c>
      <c r="I64" s="31" t="s">
        <v>89</v>
      </c>
      <c r="J64" s="32" t="n">
        <v>5</v>
      </c>
    </row>
    <row r="65" customFormat="false" ht="15" hidden="false" customHeight="false" outlineLevel="0" collapsed="false">
      <c r="B65" s="7" t="s">
        <v>162</v>
      </c>
      <c r="C65" s="9" t="n">
        <v>8710.9</v>
      </c>
      <c r="D65" s="9" t="n">
        <v>0</v>
      </c>
      <c r="E65" s="9" t="n">
        <v>2547.28</v>
      </c>
      <c r="F65" s="9" t="n">
        <v>316.76</v>
      </c>
      <c r="G65" s="9" t="n">
        <v>2864.04</v>
      </c>
      <c r="H65" s="9" t="n">
        <v>5846.86</v>
      </c>
      <c r="I65" s="33" t="s">
        <v>84</v>
      </c>
      <c r="J65" s="34" t="n">
        <v>27.5</v>
      </c>
    </row>
    <row r="66" customFormat="false" ht="15" hidden="false" customHeight="false" outlineLevel="0" collapsed="false">
      <c r="B66" s="29" t="s">
        <v>163</v>
      </c>
      <c r="C66" s="30" t="n">
        <v>4167.44</v>
      </c>
      <c r="D66" s="30" t="n">
        <v>0</v>
      </c>
      <c r="E66" s="30" t="n">
        <v>4167.44</v>
      </c>
      <c r="F66" s="30" t="n">
        <v>0</v>
      </c>
      <c r="G66" s="30" t="n">
        <v>4167.44</v>
      </c>
      <c r="H66" s="30" t="n">
        <v>0</v>
      </c>
      <c r="I66" s="31" t="s">
        <v>89</v>
      </c>
      <c r="J66" s="32" t="n">
        <v>5</v>
      </c>
    </row>
    <row r="67" customFormat="false" ht="15" hidden="false" customHeight="false" outlineLevel="0" collapsed="false">
      <c r="B67" s="7" t="s">
        <v>164</v>
      </c>
      <c r="C67" s="9" t="n">
        <v>15778.73</v>
      </c>
      <c r="D67" s="9" t="n">
        <v>0</v>
      </c>
      <c r="E67" s="9" t="n">
        <v>4614.07</v>
      </c>
      <c r="F67" s="9" t="n">
        <v>573.77</v>
      </c>
      <c r="G67" s="9" t="n">
        <v>5187.84</v>
      </c>
      <c r="H67" s="9" t="n">
        <v>10590.89</v>
      </c>
      <c r="I67" s="33" t="s">
        <v>84</v>
      </c>
      <c r="J67" s="34" t="n">
        <v>27.5</v>
      </c>
    </row>
    <row r="68" customFormat="false" ht="15" hidden="false" customHeight="false" outlineLevel="0" collapsed="false">
      <c r="A68" s="35"/>
      <c r="B68" s="36" t="s">
        <v>34</v>
      </c>
      <c r="C68" s="37" t="n">
        <f aca="false">SUM(C60:C67)</f>
        <v>147893.47</v>
      </c>
      <c r="D68" s="37" t="n">
        <f aca="false">SUM(D60:D67)</f>
        <v>0</v>
      </c>
      <c r="E68" s="37" t="n">
        <f aca="false">SUM(E60:E67)</f>
        <v>65111.2</v>
      </c>
      <c r="F68" s="37" t="n">
        <f aca="false">SUM(F60:F67)</f>
        <v>4254.3</v>
      </c>
      <c r="G68" s="37" t="n">
        <f aca="false">SUM(G60:G67)</f>
        <v>69365.5</v>
      </c>
      <c r="H68" s="37" t="n">
        <f aca="false">SUM(H60:H67)</f>
        <v>78527.97</v>
      </c>
      <c r="I68" s="35"/>
      <c r="J68" s="35"/>
    </row>
    <row r="70" customFormat="false" ht="15" hidden="false" customHeight="false" outlineLevel="0" collapsed="false">
      <c r="A70" s="25" t="s">
        <v>38</v>
      </c>
      <c r="B70" s="25"/>
      <c r="C70" s="25"/>
      <c r="D70" s="25"/>
      <c r="E70" s="25"/>
    </row>
    <row r="71" customFormat="false" ht="15" hidden="false" customHeight="false" outlineLevel="0" collapsed="false">
      <c r="B71" s="7" t="s">
        <v>99</v>
      </c>
      <c r="C71" s="39" t="n">
        <f aca="false">G56</f>
        <v>64826.13</v>
      </c>
    </row>
    <row r="72" customFormat="false" ht="15" hidden="false" customHeight="false" outlineLevel="0" collapsed="false">
      <c r="B72" s="7" t="s">
        <v>100</v>
      </c>
      <c r="C72" s="39" t="n">
        <f aca="false">G68</f>
        <v>69365.5</v>
      </c>
    </row>
    <row r="73" customFormat="false" ht="15" hidden="false" customHeight="false" outlineLevel="0" collapsed="false">
      <c r="B73" s="10" t="s">
        <v>38</v>
      </c>
      <c r="C73" s="40" t="n">
        <f aca="false">C72-C71</f>
        <v>4539.37</v>
      </c>
    </row>
  </sheetData>
  <mergeCells count="11">
    <mergeCell ref="A2:J2"/>
    <mergeCell ref="A3:J3"/>
    <mergeCell ref="A4:J4"/>
    <mergeCell ref="A8:J8"/>
    <mergeCell ref="B10:J10"/>
    <mergeCell ref="B23:J23"/>
    <mergeCell ref="B42:J42"/>
    <mergeCell ref="A49:J49"/>
    <mergeCell ref="A50:J50"/>
    <mergeCell ref="A58:J58"/>
    <mergeCell ref="A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173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174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4901.61</v>
      </c>
      <c r="D11" s="21" t="n">
        <v>4901.61</v>
      </c>
    </row>
    <row r="12" customFormat="false" ht="15" hidden="false" customHeight="false" outlineLevel="0" collapsed="false">
      <c r="B12" s="15" t="s">
        <v>105</v>
      </c>
      <c r="C12" s="21" t="n">
        <v>2185.54</v>
      </c>
      <c r="D12" s="21" t="n">
        <v>2185.54</v>
      </c>
    </row>
    <row r="13" customFormat="false" ht="15" hidden="false" customHeight="false" outlineLevel="0" collapsed="false">
      <c r="B13" s="15" t="s">
        <v>106</v>
      </c>
      <c r="C13" s="21" t="n">
        <v>11385.26</v>
      </c>
      <c r="D13" s="21" t="n">
        <v>11385.26</v>
      </c>
    </row>
    <row r="14" customFormat="false" ht="15" hidden="false" customHeight="false" outlineLevel="0" collapsed="false">
      <c r="B14" s="15" t="s">
        <v>108</v>
      </c>
      <c r="C14" s="21" t="n">
        <v>589.62</v>
      </c>
      <c r="D14" s="21" t="n">
        <v>589.62</v>
      </c>
    </row>
    <row r="15" customFormat="false" ht="15" hidden="false" customHeight="false" outlineLevel="0" collapsed="false">
      <c r="B15" s="15" t="s">
        <v>146</v>
      </c>
      <c r="C15" s="21" t="n">
        <v>183.29</v>
      </c>
      <c r="D15" s="21" t="n">
        <v>183.29</v>
      </c>
    </row>
    <row r="16" customFormat="false" ht="15" hidden="false" customHeight="false" outlineLevel="0" collapsed="false">
      <c r="B16" s="15" t="s">
        <v>147</v>
      </c>
      <c r="C16" s="21" t="n">
        <v>96.76</v>
      </c>
      <c r="D16" s="21" t="n">
        <v>96.76</v>
      </c>
    </row>
    <row r="17" customFormat="false" ht="15" hidden="false" customHeight="false" outlineLevel="0" collapsed="false">
      <c r="B17" s="15" t="s">
        <v>109</v>
      </c>
      <c r="C17" s="21" t="n">
        <v>2980.97</v>
      </c>
      <c r="D17" s="21" t="n">
        <v>2980.97</v>
      </c>
    </row>
    <row r="18" customFormat="false" ht="15" hidden="false" customHeight="false" outlineLevel="0" collapsed="false">
      <c r="B18" s="15" t="s">
        <v>110</v>
      </c>
      <c r="C18" s="21" t="n">
        <v>994.55</v>
      </c>
      <c r="D18" s="21" t="n">
        <v>994.55</v>
      </c>
    </row>
    <row r="19" customFormat="false" ht="15" hidden="false" customHeight="false" outlineLevel="0" collapsed="false">
      <c r="B19" s="15" t="s">
        <v>148</v>
      </c>
      <c r="C19" s="21" t="n">
        <v>3427.41</v>
      </c>
      <c r="D19" s="21" t="n">
        <v>3427.41</v>
      </c>
    </row>
    <row r="20" customFormat="false" ht="15" hidden="false" customHeight="false" outlineLevel="0" collapsed="false">
      <c r="B20" s="15" t="s">
        <v>112</v>
      </c>
      <c r="C20" s="21" t="n">
        <v>428.96</v>
      </c>
      <c r="D20" s="21" t="n">
        <v>428.96</v>
      </c>
    </row>
    <row r="21" customFormat="false" ht="15" hidden="false" customHeight="false" outlineLevel="0" collapsed="false">
      <c r="B21" s="15" t="s">
        <v>149</v>
      </c>
      <c r="C21" s="21" t="n">
        <v>43.2</v>
      </c>
      <c r="D21" s="21" t="n">
        <v>43.2</v>
      </c>
    </row>
    <row r="22" customFormat="false" ht="15" hidden="false" customHeight="false" outlineLevel="0" collapsed="false">
      <c r="B22" s="15" t="s">
        <v>150</v>
      </c>
      <c r="C22" s="21" t="n">
        <v>3682.87</v>
      </c>
      <c r="D22" s="21" t="n">
        <v>3682.87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8561.68</v>
      </c>
      <c r="G24" s="21" t="n">
        <v>8561.68</v>
      </c>
    </row>
    <row r="25" customFormat="false" ht="15" hidden="false" customHeight="false" outlineLevel="0" collapsed="false">
      <c r="B25" s="15" t="s">
        <v>116</v>
      </c>
      <c r="C25" s="21" t="n">
        <v>16225.62</v>
      </c>
      <c r="G25" s="21" t="n">
        <v>16225.62</v>
      </c>
    </row>
    <row r="26" customFormat="false" ht="15" hidden="false" customHeight="false" outlineLevel="0" collapsed="false">
      <c r="B26" s="15" t="s">
        <v>117</v>
      </c>
      <c r="C26" s="21" t="n">
        <v>10992.55</v>
      </c>
      <c r="G26" s="21" t="n">
        <v>10992.55</v>
      </c>
    </row>
    <row r="27" customFormat="false" ht="15" hidden="false" customHeight="false" outlineLevel="0" collapsed="false">
      <c r="B27" s="15" t="s">
        <v>118</v>
      </c>
      <c r="C27" s="21" t="n">
        <v>12099.12</v>
      </c>
      <c r="G27" s="21" t="n">
        <v>12099.12</v>
      </c>
    </row>
    <row r="28" customFormat="false" ht="15" hidden="false" customHeight="false" outlineLevel="0" collapsed="false">
      <c r="B28" s="15" t="s">
        <v>119</v>
      </c>
      <c r="C28" s="21" t="n">
        <v>9715.1</v>
      </c>
      <c r="G28" s="21" t="n">
        <v>9715.1</v>
      </c>
    </row>
    <row r="29" customFormat="false" ht="15" hidden="false" customHeight="false" outlineLevel="0" collapsed="false">
      <c r="B29" s="15" t="s">
        <v>120</v>
      </c>
      <c r="C29" s="21" t="n">
        <v>548.48</v>
      </c>
      <c r="G29" s="21" t="n">
        <v>548.48</v>
      </c>
    </row>
    <row r="30" customFormat="false" ht="15" hidden="false" customHeight="false" outlineLevel="0" collapsed="false">
      <c r="B30" s="15" t="s">
        <v>121</v>
      </c>
      <c r="C30" s="21" t="n">
        <v>12559.71</v>
      </c>
      <c r="G30" s="21" t="n">
        <v>12559.71</v>
      </c>
    </row>
    <row r="31" customFormat="false" ht="15" hidden="false" customHeight="false" outlineLevel="0" collapsed="false">
      <c r="B31" s="15" t="s">
        <v>122</v>
      </c>
      <c r="C31" s="21" t="n">
        <v>5680.09</v>
      </c>
      <c r="G31" s="21" t="n">
        <v>5680.09</v>
      </c>
    </row>
    <row r="32" customFormat="false" ht="15" hidden="false" customHeight="false" outlineLevel="0" collapsed="false">
      <c r="B32" s="15" t="s">
        <v>123</v>
      </c>
      <c r="C32" s="21" t="n">
        <v>2911.57</v>
      </c>
      <c r="G32" s="21" t="n">
        <v>2911.57</v>
      </c>
    </row>
    <row r="33" customFormat="false" ht="15" hidden="false" customHeight="false" outlineLevel="0" collapsed="false">
      <c r="B33" s="15" t="s">
        <v>124</v>
      </c>
      <c r="C33" s="21" t="n">
        <v>5070.55</v>
      </c>
      <c r="G33" s="21" t="n">
        <v>5070.55</v>
      </c>
    </row>
    <row r="34" customFormat="false" ht="15" hidden="false" customHeight="false" outlineLevel="0" collapsed="false">
      <c r="B34" s="15" t="s">
        <v>125</v>
      </c>
      <c r="C34" s="21" t="n">
        <v>9837.36</v>
      </c>
      <c r="G34" s="21" t="n">
        <v>9837.36</v>
      </c>
    </row>
    <row r="35" customFormat="false" ht="15" hidden="false" customHeight="false" outlineLevel="0" collapsed="false">
      <c r="B35" s="15" t="s">
        <v>126</v>
      </c>
      <c r="C35" s="21" t="n">
        <v>4408.6</v>
      </c>
      <c r="G35" s="21" t="n">
        <v>4408.6</v>
      </c>
    </row>
    <row r="36" customFormat="false" ht="15" hidden="false" customHeight="false" outlineLevel="0" collapsed="false">
      <c r="B36" s="15" t="s">
        <v>127</v>
      </c>
      <c r="C36" s="21" t="n">
        <v>1012.22</v>
      </c>
      <c r="G36" s="21" t="n">
        <v>1012.22</v>
      </c>
    </row>
    <row r="37" customFormat="false" ht="15" hidden="false" customHeight="false" outlineLevel="0" collapsed="false">
      <c r="B37" s="15" t="s">
        <v>129</v>
      </c>
      <c r="C37" s="21" t="n">
        <v>14327.98</v>
      </c>
      <c r="G37" s="21" t="n">
        <v>14327.98</v>
      </c>
    </row>
    <row r="38" customFormat="false" ht="15" hidden="false" customHeight="false" outlineLevel="0" collapsed="false">
      <c r="B38" s="15" t="s">
        <v>130</v>
      </c>
      <c r="C38" s="21" t="n">
        <v>1332.99</v>
      </c>
      <c r="G38" s="21" t="n">
        <v>1332.99</v>
      </c>
    </row>
    <row r="39" customFormat="false" ht="15" hidden="false" customHeight="false" outlineLevel="0" collapsed="false">
      <c r="B39" s="15" t="s">
        <v>152</v>
      </c>
      <c r="C39" s="21" t="n">
        <v>1709.81</v>
      </c>
      <c r="G39" s="21" t="n">
        <v>1709.81</v>
      </c>
    </row>
    <row r="40" customFormat="false" ht="15" hidden="false" customHeight="false" outlineLevel="0" collapsed="false">
      <c r="A40" s="22"/>
      <c r="B40" s="23" t="s">
        <v>66</v>
      </c>
      <c r="C40" s="24" t="n">
        <f aca="false">SUM(C10:C39)</f>
        <v>147893.47</v>
      </c>
      <c r="D40" s="24" t="n">
        <f aca="false">SUM(D10:D39)</f>
        <v>30900.04</v>
      </c>
      <c r="E40" s="24" t="n">
        <f aca="false">SUM(E10:E39)</f>
        <v>0</v>
      </c>
      <c r="F40" s="24" t="n">
        <f aca="false">SUM(F10:F39)</f>
        <v>0</v>
      </c>
      <c r="G40" s="24" t="n">
        <f aca="false">SUM(G10:G39)</f>
        <v>116993.43</v>
      </c>
      <c r="H40" s="22"/>
    </row>
    <row r="42" customFormat="false" ht="15" hidden="false" customHeight="false" outlineLevel="0" collapsed="false">
      <c r="A42" s="19"/>
      <c r="B42" s="20" t="s">
        <v>67</v>
      </c>
      <c r="C42" s="20"/>
      <c r="D42" s="20"/>
      <c r="E42" s="20"/>
      <c r="F42" s="20"/>
      <c r="G42" s="20"/>
      <c r="H42" s="20"/>
      <c r="I42" s="20"/>
      <c r="J42" s="20"/>
    </row>
    <row r="43" customFormat="false" ht="15" hidden="false" customHeight="false" outlineLevel="0" collapsed="false">
      <c r="B43" s="15" t="s">
        <v>68</v>
      </c>
      <c r="C43" s="21" t="n">
        <v>116723.12</v>
      </c>
      <c r="D43" s="21" t="n">
        <v>24387.48</v>
      </c>
      <c r="G43" s="21" t="n">
        <v>92335.64</v>
      </c>
    </row>
    <row r="44" customFormat="false" ht="15" hidden="false" customHeight="false" outlineLevel="0" collapsed="false">
      <c r="B44" s="15" t="s">
        <v>69</v>
      </c>
      <c r="C44" s="21" t="n">
        <v>212.58</v>
      </c>
      <c r="D44" s="21" t="n">
        <v>44.42</v>
      </c>
      <c r="G44" s="21" t="n">
        <v>168.16</v>
      </c>
    </row>
    <row r="45" customFormat="false" ht="15" hidden="false" customHeight="false" outlineLevel="0" collapsed="false">
      <c r="B45" s="15" t="s">
        <v>70</v>
      </c>
      <c r="C45" s="21" t="n">
        <v>11011.6</v>
      </c>
      <c r="D45" s="21" t="n">
        <v>2300.7</v>
      </c>
      <c r="G45" s="21" t="n">
        <v>8710.9</v>
      </c>
    </row>
    <row r="46" customFormat="false" ht="15" hidden="false" customHeight="false" outlineLevel="0" collapsed="false">
      <c r="B46" s="15" t="s">
        <v>71</v>
      </c>
      <c r="C46" s="21" t="n">
        <v>19946.17</v>
      </c>
      <c r="D46" s="21" t="n">
        <v>4167.44</v>
      </c>
      <c r="G46" s="21" t="n">
        <v>15778.73</v>
      </c>
    </row>
    <row r="47" customFormat="false" ht="15" hidden="false" customHeight="false" outlineLevel="0" collapsed="false">
      <c r="A47" s="22"/>
      <c r="B47" s="23" t="s">
        <v>72</v>
      </c>
      <c r="C47" s="24" t="n">
        <f aca="false">SUM(C43:C46)</f>
        <v>147893.47</v>
      </c>
      <c r="D47" s="24" t="n">
        <f aca="false">SUM(D43:D46)</f>
        <v>30900.04</v>
      </c>
      <c r="E47" s="22"/>
      <c r="F47" s="24" t="n">
        <f aca="false">SUM(F43:F46)</f>
        <v>0</v>
      </c>
      <c r="G47" s="24" t="n">
        <f aca="false">SUM(G43:G46)</f>
        <v>116993.43</v>
      </c>
      <c r="H47" s="22"/>
    </row>
    <row r="49" customFormat="false" ht="15" hidden="false" customHeight="false" outlineLevel="0" collapsed="false">
      <c r="A49" s="25" t="s">
        <v>73</v>
      </c>
      <c r="B49" s="25"/>
      <c r="C49" s="25"/>
      <c r="D49" s="25"/>
      <c r="E49" s="25"/>
      <c r="F49" s="25"/>
      <c r="G49" s="25"/>
      <c r="H49" s="25"/>
      <c r="I49" s="25"/>
      <c r="J49" s="25"/>
    </row>
    <row r="50" customFormat="false" ht="15" hidden="false" customHeight="false" outlineLevel="0" collapsed="false">
      <c r="A50" s="26" t="s">
        <v>36</v>
      </c>
      <c r="B50" s="26"/>
      <c r="C50" s="26"/>
      <c r="D50" s="26"/>
      <c r="E50" s="26"/>
      <c r="F50" s="26"/>
      <c r="G50" s="26"/>
      <c r="H50" s="26"/>
      <c r="I50" s="26"/>
      <c r="J50" s="26"/>
    </row>
    <row r="51" customFormat="false" ht="15" hidden="false" customHeight="false" outlineLevel="0" collapsed="false">
      <c r="A51" s="27"/>
      <c r="B51" s="27" t="s">
        <v>74</v>
      </c>
      <c r="C51" s="28" t="s">
        <v>75</v>
      </c>
      <c r="D51" s="28" t="s">
        <v>76</v>
      </c>
      <c r="E51" s="28" t="s">
        <v>77</v>
      </c>
      <c r="F51" s="28" t="s">
        <v>78</v>
      </c>
      <c r="G51" s="28" t="s">
        <v>79</v>
      </c>
      <c r="H51" s="28" t="s">
        <v>80</v>
      </c>
      <c r="I51" s="28" t="s">
        <v>81</v>
      </c>
      <c r="J51" s="28" t="s">
        <v>82</v>
      </c>
    </row>
    <row r="52" customFormat="false" ht="15" hidden="false" customHeight="false" outlineLevel="0" collapsed="false">
      <c r="B52" s="29" t="s">
        <v>153</v>
      </c>
      <c r="C52" s="30" t="n">
        <v>116723.12</v>
      </c>
      <c r="D52" s="30" t="n">
        <v>0</v>
      </c>
      <c r="E52" s="30" t="n">
        <v>34132.24</v>
      </c>
      <c r="F52" s="30" t="n">
        <v>4244.48</v>
      </c>
      <c r="G52" s="30" t="n">
        <v>38376.72</v>
      </c>
      <c r="H52" s="30" t="n">
        <v>78346.4</v>
      </c>
      <c r="I52" s="31" t="s">
        <v>84</v>
      </c>
      <c r="J52" s="32" t="n">
        <v>27.5</v>
      </c>
    </row>
    <row r="53" customFormat="false" ht="15" hidden="false" customHeight="false" outlineLevel="0" collapsed="false">
      <c r="B53" s="7" t="s">
        <v>154</v>
      </c>
      <c r="C53" s="9" t="n">
        <v>212.58</v>
      </c>
      <c r="D53" s="9" t="n">
        <v>0</v>
      </c>
      <c r="E53" s="9" t="n">
        <v>61.56</v>
      </c>
      <c r="F53" s="9" t="n">
        <v>7.73</v>
      </c>
      <c r="G53" s="9" t="n">
        <v>69.29</v>
      </c>
      <c r="H53" s="9" t="n">
        <v>143.29</v>
      </c>
      <c r="I53" s="33" t="s">
        <v>84</v>
      </c>
      <c r="J53" s="34" t="n">
        <v>27.5</v>
      </c>
    </row>
    <row r="54" customFormat="false" ht="15" hidden="false" customHeight="false" outlineLevel="0" collapsed="false">
      <c r="B54" s="29" t="s">
        <v>155</v>
      </c>
      <c r="C54" s="30" t="n">
        <v>11011.6</v>
      </c>
      <c r="D54" s="30" t="n">
        <v>0</v>
      </c>
      <c r="E54" s="30" t="n">
        <v>6449.13</v>
      </c>
      <c r="F54" s="30" t="n">
        <v>649.69</v>
      </c>
      <c r="G54" s="30" t="n">
        <v>7098.82</v>
      </c>
      <c r="H54" s="30" t="n">
        <v>3912.78</v>
      </c>
      <c r="I54" s="31" t="s">
        <v>87</v>
      </c>
      <c r="J54" s="32" t="n">
        <v>15</v>
      </c>
    </row>
    <row r="55" customFormat="false" ht="15" hidden="false" customHeight="false" outlineLevel="0" collapsed="false">
      <c r="B55" s="7" t="s">
        <v>156</v>
      </c>
      <c r="C55" s="9" t="n">
        <v>19946.17</v>
      </c>
      <c r="D55" s="9" t="n">
        <v>0</v>
      </c>
      <c r="E55" s="9" t="n">
        <v>19281.3</v>
      </c>
      <c r="F55" s="9" t="n">
        <v>0</v>
      </c>
      <c r="G55" s="9" t="n">
        <v>19281.3</v>
      </c>
      <c r="H55" s="9" t="n">
        <v>664.87</v>
      </c>
      <c r="I55" s="33" t="s">
        <v>89</v>
      </c>
      <c r="J55" s="34" t="n">
        <v>5</v>
      </c>
    </row>
    <row r="56" customFormat="false" ht="15" hidden="false" customHeight="false" outlineLevel="0" collapsed="false">
      <c r="A56" s="35"/>
      <c r="B56" s="36" t="s">
        <v>34</v>
      </c>
      <c r="C56" s="37" t="n">
        <f aca="false">SUM(C52:C55)</f>
        <v>147893.47</v>
      </c>
      <c r="D56" s="37" t="n">
        <f aca="false">SUM(D52:D55)</f>
        <v>0</v>
      </c>
      <c r="E56" s="37" t="n">
        <f aca="false">SUM(E52:E55)</f>
        <v>59924.23</v>
      </c>
      <c r="F56" s="37" t="n">
        <f aca="false">SUM(F52:F55)</f>
        <v>4901.9</v>
      </c>
      <c r="G56" s="37" t="n">
        <f aca="false">SUM(G52:G55)</f>
        <v>64826.13</v>
      </c>
      <c r="H56" s="37" t="n">
        <f aca="false">SUM(H52:H55)</f>
        <v>83067.34</v>
      </c>
      <c r="I56" s="35"/>
      <c r="J56" s="35"/>
    </row>
    <row r="58" customFormat="false" ht="15" hidden="false" customHeight="false" outlineLevel="0" collapsed="false">
      <c r="A58" s="38" t="s">
        <v>90</v>
      </c>
      <c r="B58" s="38"/>
      <c r="C58" s="38"/>
      <c r="D58" s="38"/>
      <c r="E58" s="38"/>
      <c r="F58" s="38"/>
      <c r="G58" s="38"/>
      <c r="H58" s="38"/>
      <c r="I58" s="38"/>
      <c r="J58" s="38"/>
    </row>
    <row r="59" customFormat="false" ht="15" hidden="false" customHeight="false" outlineLevel="0" collapsed="false">
      <c r="A59" s="27"/>
      <c r="B59" s="27" t="s">
        <v>74</v>
      </c>
      <c r="C59" s="28" t="s">
        <v>75</v>
      </c>
      <c r="D59" s="28" t="s">
        <v>76</v>
      </c>
      <c r="E59" s="28" t="s">
        <v>77</v>
      </c>
      <c r="F59" s="28" t="s">
        <v>78</v>
      </c>
      <c r="G59" s="28" t="s">
        <v>79</v>
      </c>
      <c r="H59" s="28" t="s">
        <v>80</v>
      </c>
      <c r="I59" s="28" t="s">
        <v>81</v>
      </c>
      <c r="J59" s="28" t="s">
        <v>82</v>
      </c>
    </row>
    <row r="60" customFormat="false" ht="15" hidden="false" customHeight="false" outlineLevel="0" collapsed="false">
      <c r="B60" s="29" t="s">
        <v>157</v>
      </c>
      <c r="C60" s="30" t="n">
        <v>24387.48</v>
      </c>
      <c r="D60" s="30" t="n">
        <v>0</v>
      </c>
      <c r="E60" s="30" t="n">
        <v>24387.48</v>
      </c>
      <c r="F60" s="30" t="n">
        <v>0</v>
      </c>
      <c r="G60" s="30" t="n">
        <v>24387.48</v>
      </c>
      <c r="H60" s="30" t="n">
        <v>0</v>
      </c>
      <c r="I60" s="31" t="s">
        <v>89</v>
      </c>
      <c r="J60" s="32" t="n">
        <v>5</v>
      </c>
    </row>
    <row r="61" customFormat="false" ht="15" hidden="false" customHeight="false" outlineLevel="0" collapsed="false">
      <c r="B61" s="7" t="s">
        <v>158</v>
      </c>
      <c r="C61" s="9" t="n">
        <v>92335.64</v>
      </c>
      <c r="D61" s="9" t="n">
        <v>0</v>
      </c>
      <c r="E61" s="9" t="n">
        <v>27001.18</v>
      </c>
      <c r="F61" s="9" t="n">
        <v>3357.66</v>
      </c>
      <c r="G61" s="9" t="n">
        <v>30358.84</v>
      </c>
      <c r="H61" s="9" t="n">
        <v>61976.8</v>
      </c>
      <c r="I61" s="33" t="s">
        <v>84</v>
      </c>
      <c r="J61" s="34" t="n">
        <v>27.5</v>
      </c>
    </row>
    <row r="62" customFormat="false" ht="15" hidden="false" customHeight="false" outlineLevel="0" collapsed="false">
      <c r="B62" s="29" t="s">
        <v>159</v>
      </c>
      <c r="C62" s="30" t="n">
        <v>44.42</v>
      </c>
      <c r="D62" s="30" t="n">
        <v>0</v>
      </c>
      <c r="E62" s="30" t="n">
        <v>44.42</v>
      </c>
      <c r="F62" s="30" t="n">
        <v>0</v>
      </c>
      <c r="G62" s="30" t="n">
        <v>44.42</v>
      </c>
      <c r="H62" s="30" t="n">
        <v>0</v>
      </c>
      <c r="I62" s="31" t="s">
        <v>89</v>
      </c>
      <c r="J62" s="32" t="n">
        <v>5</v>
      </c>
    </row>
    <row r="63" customFormat="false" ht="15" hidden="false" customHeight="false" outlineLevel="0" collapsed="false">
      <c r="B63" s="7" t="s">
        <v>160</v>
      </c>
      <c r="C63" s="9" t="n">
        <v>168.16</v>
      </c>
      <c r="D63" s="9" t="n">
        <v>0</v>
      </c>
      <c r="E63" s="9" t="n">
        <v>48.63</v>
      </c>
      <c r="F63" s="9" t="n">
        <v>6.11</v>
      </c>
      <c r="G63" s="9" t="n">
        <v>54.74</v>
      </c>
      <c r="H63" s="9" t="n">
        <v>113.42</v>
      </c>
      <c r="I63" s="33" t="s">
        <v>84</v>
      </c>
      <c r="J63" s="34" t="n">
        <v>27.5</v>
      </c>
    </row>
    <row r="64" customFormat="false" ht="15" hidden="false" customHeight="false" outlineLevel="0" collapsed="false">
      <c r="B64" s="29" t="s">
        <v>161</v>
      </c>
      <c r="C64" s="30" t="n">
        <v>2300.7</v>
      </c>
      <c r="D64" s="30" t="n">
        <v>0</v>
      </c>
      <c r="E64" s="30" t="n">
        <v>2300.7</v>
      </c>
      <c r="F64" s="30" t="n">
        <v>0</v>
      </c>
      <c r="G64" s="30" t="n">
        <v>2300.7</v>
      </c>
      <c r="H64" s="30" t="n">
        <v>0</v>
      </c>
      <c r="I64" s="31" t="s">
        <v>89</v>
      </c>
      <c r="J64" s="32" t="n">
        <v>5</v>
      </c>
    </row>
    <row r="65" customFormat="false" ht="15" hidden="false" customHeight="false" outlineLevel="0" collapsed="false">
      <c r="B65" s="7" t="s">
        <v>162</v>
      </c>
      <c r="C65" s="9" t="n">
        <v>8710.9</v>
      </c>
      <c r="D65" s="9" t="n">
        <v>0</v>
      </c>
      <c r="E65" s="9" t="n">
        <v>2547.28</v>
      </c>
      <c r="F65" s="9" t="n">
        <v>316.76</v>
      </c>
      <c r="G65" s="9" t="n">
        <v>2864.04</v>
      </c>
      <c r="H65" s="9" t="n">
        <v>5846.86</v>
      </c>
      <c r="I65" s="33" t="s">
        <v>84</v>
      </c>
      <c r="J65" s="34" t="n">
        <v>27.5</v>
      </c>
    </row>
    <row r="66" customFormat="false" ht="15" hidden="false" customHeight="false" outlineLevel="0" collapsed="false">
      <c r="B66" s="29" t="s">
        <v>163</v>
      </c>
      <c r="C66" s="30" t="n">
        <v>4167.44</v>
      </c>
      <c r="D66" s="30" t="n">
        <v>0</v>
      </c>
      <c r="E66" s="30" t="n">
        <v>4167.44</v>
      </c>
      <c r="F66" s="30" t="n">
        <v>0</v>
      </c>
      <c r="G66" s="30" t="n">
        <v>4167.44</v>
      </c>
      <c r="H66" s="30" t="n">
        <v>0</v>
      </c>
      <c r="I66" s="31" t="s">
        <v>89</v>
      </c>
      <c r="J66" s="32" t="n">
        <v>5</v>
      </c>
    </row>
    <row r="67" customFormat="false" ht="15" hidden="false" customHeight="false" outlineLevel="0" collapsed="false">
      <c r="B67" s="7" t="s">
        <v>164</v>
      </c>
      <c r="C67" s="9" t="n">
        <v>15778.73</v>
      </c>
      <c r="D67" s="9" t="n">
        <v>0</v>
      </c>
      <c r="E67" s="9" t="n">
        <v>4614.07</v>
      </c>
      <c r="F67" s="9" t="n">
        <v>573.77</v>
      </c>
      <c r="G67" s="9" t="n">
        <v>5187.84</v>
      </c>
      <c r="H67" s="9" t="n">
        <v>10590.89</v>
      </c>
      <c r="I67" s="33" t="s">
        <v>84</v>
      </c>
      <c r="J67" s="34" t="n">
        <v>27.5</v>
      </c>
    </row>
    <row r="68" customFormat="false" ht="15" hidden="false" customHeight="false" outlineLevel="0" collapsed="false">
      <c r="A68" s="35"/>
      <c r="B68" s="36" t="s">
        <v>34</v>
      </c>
      <c r="C68" s="37" t="n">
        <f aca="false">SUM(C60:C67)</f>
        <v>147893.47</v>
      </c>
      <c r="D68" s="37" t="n">
        <f aca="false">SUM(D60:D67)</f>
        <v>0</v>
      </c>
      <c r="E68" s="37" t="n">
        <f aca="false">SUM(E60:E67)</f>
        <v>65111.2</v>
      </c>
      <c r="F68" s="37" t="n">
        <f aca="false">SUM(F60:F67)</f>
        <v>4254.3</v>
      </c>
      <c r="G68" s="37" t="n">
        <f aca="false">SUM(G60:G67)</f>
        <v>69365.5</v>
      </c>
      <c r="H68" s="37" t="n">
        <f aca="false">SUM(H60:H67)</f>
        <v>78527.97</v>
      </c>
      <c r="I68" s="35"/>
      <c r="J68" s="35"/>
    </row>
    <row r="70" customFormat="false" ht="15" hidden="false" customHeight="false" outlineLevel="0" collapsed="false">
      <c r="A70" s="25" t="s">
        <v>38</v>
      </c>
      <c r="B70" s="25"/>
      <c r="C70" s="25"/>
      <c r="D70" s="25"/>
      <c r="E70" s="25"/>
    </row>
    <row r="71" customFormat="false" ht="15" hidden="false" customHeight="false" outlineLevel="0" collapsed="false">
      <c r="B71" s="7" t="s">
        <v>99</v>
      </c>
      <c r="C71" s="39" t="n">
        <f aca="false">G56</f>
        <v>64826.13</v>
      </c>
    </row>
    <row r="72" customFormat="false" ht="15" hidden="false" customHeight="false" outlineLevel="0" collapsed="false">
      <c r="B72" s="7" t="s">
        <v>100</v>
      </c>
      <c r="C72" s="39" t="n">
        <f aca="false">G68</f>
        <v>69365.5</v>
      </c>
    </row>
    <row r="73" customFormat="false" ht="15" hidden="false" customHeight="false" outlineLevel="0" collapsed="false">
      <c r="B73" s="10" t="s">
        <v>38</v>
      </c>
      <c r="C73" s="40" t="n">
        <f aca="false">C72-C71</f>
        <v>4539.37</v>
      </c>
    </row>
  </sheetData>
  <mergeCells count="11">
    <mergeCell ref="A2:J2"/>
    <mergeCell ref="A3:J3"/>
    <mergeCell ref="A4:J4"/>
    <mergeCell ref="A8:J8"/>
    <mergeCell ref="B10:J10"/>
    <mergeCell ref="B23:J23"/>
    <mergeCell ref="B42:J42"/>
    <mergeCell ref="A49:J49"/>
    <mergeCell ref="A50:J50"/>
    <mergeCell ref="A58:J58"/>
    <mergeCell ref="A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175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176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4901.61</v>
      </c>
      <c r="D11" s="21" t="n">
        <v>4901.61</v>
      </c>
    </row>
    <row r="12" customFormat="false" ht="15" hidden="false" customHeight="false" outlineLevel="0" collapsed="false">
      <c r="B12" s="15" t="s">
        <v>105</v>
      </c>
      <c r="C12" s="21" t="n">
        <v>2185.54</v>
      </c>
      <c r="D12" s="21" t="n">
        <v>2185.54</v>
      </c>
    </row>
    <row r="13" customFormat="false" ht="15" hidden="false" customHeight="false" outlineLevel="0" collapsed="false">
      <c r="B13" s="15" t="s">
        <v>106</v>
      </c>
      <c r="C13" s="21" t="n">
        <v>11385.26</v>
      </c>
      <c r="D13" s="21" t="n">
        <v>11385.26</v>
      </c>
    </row>
    <row r="14" customFormat="false" ht="15" hidden="false" customHeight="false" outlineLevel="0" collapsed="false">
      <c r="B14" s="15" t="s">
        <v>108</v>
      </c>
      <c r="C14" s="21" t="n">
        <v>589.62</v>
      </c>
      <c r="D14" s="21" t="n">
        <v>589.62</v>
      </c>
    </row>
    <row r="15" customFormat="false" ht="15" hidden="false" customHeight="false" outlineLevel="0" collapsed="false">
      <c r="B15" s="15" t="s">
        <v>146</v>
      </c>
      <c r="C15" s="21" t="n">
        <v>183.29</v>
      </c>
      <c r="D15" s="21" t="n">
        <v>183.29</v>
      </c>
    </row>
    <row r="16" customFormat="false" ht="15" hidden="false" customHeight="false" outlineLevel="0" collapsed="false">
      <c r="B16" s="15" t="s">
        <v>147</v>
      </c>
      <c r="C16" s="21" t="n">
        <v>96.76</v>
      </c>
      <c r="D16" s="21" t="n">
        <v>96.76</v>
      </c>
    </row>
    <row r="17" customFormat="false" ht="15" hidden="false" customHeight="false" outlineLevel="0" collapsed="false">
      <c r="B17" s="15" t="s">
        <v>109</v>
      </c>
      <c r="C17" s="21" t="n">
        <v>2980.97</v>
      </c>
      <c r="D17" s="21" t="n">
        <v>2980.97</v>
      </c>
    </row>
    <row r="18" customFormat="false" ht="15" hidden="false" customHeight="false" outlineLevel="0" collapsed="false">
      <c r="B18" s="15" t="s">
        <v>110</v>
      </c>
      <c r="C18" s="21" t="n">
        <v>994.55</v>
      </c>
      <c r="D18" s="21" t="n">
        <v>994.55</v>
      </c>
    </row>
    <row r="19" customFormat="false" ht="15" hidden="false" customHeight="false" outlineLevel="0" collapsed="false">
      <c r="B19" s="15" t="s">
        <v>148</v>
      </c>
      <c r="C19" s="21" t="n">
        <v>3427.41</v>
      </c>
      <c r="D19" s="21" t="n">
        <v>3427.41</v>
      </c>
    </row>
    <row r="20" customFormat="false" ht="15" hidden="false" customHeight="false" outlineLevel="0" collapsed="false">
      <c r="B20" s="15" t="s">
        <v>112</v>
      </c>
      <c r="C20" s="21" t="n">
        <v>428.96</v>
      </c>
      <c r="D20" s="21" t="n">
        <v>428.96</v>
      </c>
    </row>
    <row r="21" customFormat="false" ht="15" hidden="false" customHeight="false" outlineLevel="0" collapsed="false">
      <c r="B21" s="15" t="s">
        <v>149</v>
      </c>
      <c r="C21" s="21" t="n">
        <v>43.2</v>
      </c>
      <c r="D21" s="21" t="n">
        <v>43.2</v>
      </c>
    </row>
    <row r="22" customFormat="false" ht="15" hidden="false" customHeight="false" outlineLevel="0" collapsed="false">
      <c r="B22" s="15" t="s">
        <v>150</v>
      </c>
      <c r="C22" s="21" t="n">
        <v>3682.87</v>
      </c>
      <c r="D22" s="21" t="n">
        <v>3682.87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8561.68</v>
      </c>
      <c r="G24" s="21" t="n">
        <v>8561.68</v>
      </c>
    </row>
    <row r="25" customFormat="false" ht="15" hidden="false" customHeight="false" outlineLevel="0" collapsed="false">
      <c r="B25" s="15" t="s">
        <v>116</v>
      </c>
      <c r="C25" s="21" t="n">
        <v>16225.62</v>
      </c>
      <c r="G25" s="21" t="n">
        <v>16225.62</v>
      </c>
    </row>
    <row r="26" customFormat="false" ht="15" hidden="false" customHeight="false" outlineLevel="0" collapsed="false">
      <c r="B26" s="15" t="s">
        <v>117</v>
      </c>
      <c r="C26" s="21" t="n">
        <v>10992.55</v>
      </c>
      <c r="G26" s="21" t="n">
        <v>10992.55</v>
      </c>
    </row>
    <row r="27" customFormat="false" ht="15" hidden="false" customHeight="false" outlineLevel="0" collapsed="false">
      <c r="B27" s="15" t="s">
        <v>118</v>
      </c>
      <c r="C27" s="21" t="n">
        <v>12099.12</v>
      </c>
      <c r="G27" s="21" t="n">
        <v>12099.12</v>
      </c>
    </row>
    <row r="28" customFormat="false" ht="15" hidden="false" customHeight="false" outlineLevel="0" collapsed="false">
      <c r="B28" s="15" t="s">
        <v>119</v>
      </c>
      <c r="C28" s="21" t="n">
        <v>9715.1</v>
      </c>
      <c r="G28" s="21" t="n">
        <v>9715.1</v>
      </c>
    </row>
    <row r="29" customFormat="false" ht="15" hidden="false" customHeight="false" outlineLevel="0" collapsed="false">
      <c r="B29" s="15" t="s">
        <v>120</v>
      </c>
      <c r="C29" s="21" t="n">
        <v>548.48</v>
      </c>
      <c r="G29" s="21" t="n">
        <v>548.48</v>
      </c>
    </row>
    <row r="30" customFormat="false" ht="15" hidden="false" customHeight="false" outlineLevel="0" collapsed="false">
      <c r="B30" s="15" t="s">
        <v>121</v>
      </c>
      <c r="C30" s="21" t="n">
        <v>12559.71</v>
      </c>
      <c r="G30" s="21" t="n">
        <v>12559.71</v>
      </c>
    </row>
    <row r="31" customFormat="false" ht="15" hidden="false" customHeight="false" outlineLevel="0" collapsed="false">
      <c r="B31" s="15" t="s">
        <v>122</v>
      </c>
      <c r="C31" s="21" t="n">
        <v>5680.09</v>
      </c>
      <c r="G31" s="21" t="n">
        <v>5680.09</v>
      </c>
    </row>
    <row r="32" customFormat="false" ht="15" hidden="false" customHeight="false" outlineLevel="0" collapsed="false">
      <c r="B32" s="15" t="s">
        <v>123</v>
      </c>
      <c r="C32" s="21" t="n">
        <v>2911.57</v>
      </c>
      <c r="G32" s="21" t="n">
        <v>2911.57</v>
      </c>
    </row>
    <row r="33" customFormat="false" ht="15" hidden="false" customHeight="false" outlineLevel="0" collapsed="false">
      <c r="B33" s="15" t="s">
        <v>124</v>
      </c>
      <c r="C33" s="21" t="n">
        <v>5070.55</v>
      </c>
      <c r="G33" s="21" t="n">
        <v>5070.55</v>
      </c>
    </row>
    <row r="34" customFormat="false" ht="15" hidden="false" customHeight="false" outlineLevel="0" collapsed="false">
      <c r="B34" s="15" t="s">
        <v>125</v>
      </c>
      <c r="C34" s="21" t="n">
        <v>9837.36</v>
      </c>
      <c r="G34" s="21" t="n">
        <v>9837.36</v>
      </c>
    </row>
    <row r="35" customFormat="false" ht="15" hidden="false" customHeight="false" outlineLevel="0" collapsed="false">
      <c r="B35" s="15" t="s">
        <v>126</v>
      </c>
      <c r="C35" s="21" t="n">
        <v>4408.6</v>
      </c>
      <c r="G35" s="21" t="n">
        <v>4408.6</v>
      </c>
    </row>
    <row r="36" customFormat="false" ht="15" hidden="false" customHeight="false" outlineLevel="0" collapsed="false">
      <c r="B36" s="15" t="s">
        <v>127</v>
      </c>
      <c r="C36" s="21" t="n">
        <v>1012.22</v>
      </c>
      <c r="G36" s="21" t="n">
        <v>1012.22</v>
      </c>
    </row>
    <row r="37" customFormat="false" ht="15" hidden="false" customHeight="false" outlineLevel="0" collapsed="false">
      <c r="B37" s="15" t="s">
        <v>129</v>
      </c>
      <c r="C37" s="21" t="n">
        <v>14327.98</v>
      </c>
      <c r="G37" s="21" t="n">
        <v>14327.98</v>
      </c>
    </row>
    <row r="38" customFormat="false" ht="15" hidden="false" customHeight="false" outlineLevel="0" collapsed="false">
      <c r="B38" s="15" t="s">
        <v>130</v>
      </c>
      <c r="C38" s="21" t="n">
        <v>1332.99</v>
      </c>
      <c r="G38" s="21" t="n">
        <v>1332.99</v>
      </c>
    </row>
    <row r="39" customFormat="false" ht="15" hidden="false" customHeight="false" outlineLevel="0" collapsed="false">
      <c r="B39" s="15" t="s">
        <v>152</v>
      </c>
      <c r="C39" s="21" t="n">
        <v>1709.81</v>
      </c>
      <c r="G39" s="21" t="n">
        <v>1709.81</v>
      </c>
    </row>
    <row r="40" customFormat="false" ht="15" hidden="false" customHeight="false" outlineLevel="0" collapsed="false">
      <c r="A40" s="22"/>
      <c r="B40" s="23" t="s">
        <v>66</v>
      </c>
      <c r="C40" s="24" t="n">
        <f aca="false">SUM(C10:C39)</f>
        <v>147893.47</v>
      </c>
      <c r="D40" s="24" t="n">
        <f aca="false">SUM(D10:D39)</f>
        <v>30900.04</v>
      </c>
      <c r="E40" s="24" t="n">
        <f aca="false">SUM(E10:E39)</f>
        <v>0</v>
      </c>
      <c r="F40" s="24" t="n">
        <f aca="false">SUM(F10:F39)</f>
        <v>0</v>
      </c>
      <c r="G40" s="24" t="n">
        <f aca="false">SUM(G10:G39)</f>
        <v>116993.43</v>
      </c>
      <c r="H40" s="22"/>
    </row>
    <row r="42" customFormat="false" ht="15" hidden="false" customHeight="false" outlineLevel="0" collapsed="false">
      <c r="A42" s="19"/>
      <c r="B42" s="20" t="s">
        <v>67</v>
      </c>
      <c r="C42" s="20"/>
      <c r="D42" s="20"/>
      <c r="E42" s="20"/>
      <c r="F42" s="20"/>
      <c r="G42" s="20"/>
      <c r="H42" s="20"/>
      <c r="I42" s="20"/>
      <c r="J42" s="20"/>
    </row>
    <row r="43" customFormat="false" ht="15" hidden="false" customHeight="false" outlineLevel="0" collapsed="false">
      <c r="B43" s="15" t="s">
        <v>68</v>
      </c>
      <c r="C43" s="21" t="n">
        <v>116723.12</v>
      </c>
      <c r="D43" s="21" t="n">
        <v>24387.48</v>
      </c>
      <c r="G43" s="21" t="n">
        <v>92335.64</v>
      </c>
    </row>
    <row r="44" customFormat="false" ht="15" hidden="false" customHeight="false" outlineLevel="0" collapsed="false">
      <c r="B44" s="15" t="s">
        <v>69</v>
      </c>
      <c r="C44" s="21" t="n">
        <v>212.58</v>
      </c>
      <c r="D44" s="21" t="n">
        <v>44.42</v>
      </c>
      <c r="G44" s="21" t="n">
        <v>168.16</v>
      </c>
    </row>
    <row r="45" customFormat="false" ht="15" hidden="false" customHeight="false" outlineLevel="0" collapsed="false">
      <c r="B45" s="15" t="s">
        <v>70</v>
      </c>
      <c r="C45" s="21" t="n">
        <v>11011.6</v>
      </c>
      <c r="D45" s="21" t="n">
        <v>2300.7</v>
      </c>
      <c r="G45" s="21" t="n">
        <v>8710.9</v>
      </c>
    </row>
    <row r="46" customFormat="false" ht="15" hidden="false" customHeight="false" outlineLevel="0" collapsed="false">
      <c r="B46" s="15" t="s">
        <v>71</v>
      </c>
      <c r="C46" s="21" t="n">
        <v>19946.17</v>
      </c>
      <c r="D46" s="21" t="n">
        <v>4167.44</v>
      </c>
      <c r="G46" s="21" t="n">
        <v>15778.73</v>
      </c>
    </row>
    <row r="47" customFormat="false" ht="15" hidden="false" customHeight="false" outlineLevel="0" collapsed="false">
      <c r="A47" s="22"/>
      <c r="B47" s="23" t="s">
        <v>72</v>
      </c>
      <c r="C47" s="24" t="n">
        <f aca="false">SUM(C43:C46)</f>
        <v>147893.47</v>
      </c>
      <c r="D47" s="24" t="n">
        <f aca="false">SUM(D43:D46)</f>
        <v>30900.04</v>
      </c>
      <c r="E47" s="22"/>
      <c r="F47" s="24" t="n">
        <f aca="false">SUM(F43:F46)</f>
        <v>0</v>
      </c>
      <c r="G47" s="24" t="n">
        <f aca="false">SUM(G43:G46)</f>
        <v>116993.43</v>
      </c>
      <c r="H47" s="22"/>
    </row>
    <row r="49" customFormat="false" ht="15" hidden="false" customHeight="false" outlineLevel="0" collapsed="false">
      <c r="A49" s="25" t="s">
        <v>73</v>
      </c>
      <c r="B49" s="25"/>
      <c r="C49" s="25"/>
      <c r="D49" s="25"/>
      <c r="E49" s="25"/>
      <c r="F49" s="25"/>
      <c r="G49" s="25"/>
      <c r="H49" s="25"/>
      <c r="I49" s="25"/>
      <c r="J49" s="25"/>
    </row>
    <row r="50" customFormat="false" ht="15" hidden="false" customHeight="false" outlineLevel="0" collapsed="false">
      <c r="A50" s="26" t="s">
        <v>36</v>
      </c>
      <c r="B50" s="26"/>
      <c r="C50" s="26"/>
      <c r="D50" s="26"/>
      <c r="E50" s="26"/>
      <c r="F50" s="26"/>
      <c r="G50" s="26"/>
      <c r="H50" s="26"/>
      <c r="I50" s="26"/>
      <c r="J50" s="26"/>
    </row>
    <row r="51" customFormat="false" ht="15" hidden="false" customHeight="false" outlineLevel="0" collapsed="false">
      <c r="A51" s="27"/>
      <c r="B51" s="27" t="s">
        <v>74</v>
      </c>
      <c r="C51" s="28" t="s">
        <v>75</v>
      </c>
      <c r="D51" s="28" t="s">
        <v>76</v>
      </c>
      <c r="E51" s="28" t="s">
        <v>77</v>
      </c>
      <c r="F51" s="28" t="s">
        <v>78</v>
      </c>
      <c r="G51" s="28" t="s">
        <v>79</v>
      </c>
      <c r="H51" s="28" t="s">
        <v>80</v>
      </c>
      <c r="I51" s="28" t="s">
        <v>81</v>
      </c>
      <c r="J51" s="28" t="s">
        <v>82</v>
      </c>
    </row>
    <row r="52" customFormat="false" ht="15" hidden="false" customHeight="false" outlineLevel="0" collapsed="false">
      <c r="B52" s="29" t="s">
        <v>153</v>
      </c>
      <c r="C52" s="30" t="n">
        <v>116723.12</v>
      </c>
      <c r="D52" s="30" t="n">
        <v>0</v>
      </c>
      <c r="E52" s="30" t="n">
        <v>34132.24</v>
      </c>
      <c r="F52" s="30" t="n">
        <v>4244.48</v>
      </c>
      <c r="G52" s="30" t="n">
        <v>38376.72</v>
      </c>
      <c r="H52" s="30" t="n">
        <v>78346.4</v>
      </c>
      <c r="I52" s="31" t="s">
        <v>84</v>
      </c>
      <c r="J52" s="32" t="n">
        <v>27.5</v>
      </c>
    </row>
    <row r="53" customFormat="false" ht="15" hidden="false" customHeight="false" outlineLevel="0" collapsed="false">
      <c r="B53" s="7" t="s">
        <v>154</v>
      </c>
      <c r="C53" s="9" t="n">
        <v>212.58</v>
      </c>
      <c r="D53" s="9" t="n">
        <v>0</v>
      </c>
      <c r="E53" s="9" t="n">
        <v>61.56</v>
      </c>
      <c r="F53" s="9" t="n">
        <v>7.73</v>
      </c>
      <c r="G53" s="9" t="n">
        <v>69.29</v>
      </c>
      <c r="H53" s="9" t="n">
        <v>143.29</v>
      </c>
      <c r="I53" s="33" t="s">
        <v>84</v>
      </c>
      <c r="J53" s="34" t="n">
        <v>27.5</v>
      </c>
    </row>
    <row r="54" customFormat="false" ht="15" hidden="false" customHeight="false" outlineLevel="0" collapsed="false">
      <c r="B54" s="29" t="s">
        <v>155</v>
      </c>
      <c r="C54" s="30" t="n">
        <v>11011.6</v>
      </c>
      <c r="D54" s="30" t="n">
        <v>0</v>
      </c>
      <c r="E54" s="30" t="n">
        <v>6449.13</v>
      </c>
      <c r="F54" s="30" t="n">
        <v>649.69</v>
      </c>
      <c r="G54" s="30" t="n">
        <v>7098.82</v>
      </c>
      <c r="H54" s="30" t="n">
        <v>3912.78</v>
      </c>
      <c r="I54" s="31" t="s">
        <v>87</v>
      </c>
      <c r="J54" s="32" t="n">
        <v>15</v>
      </c>
    </row>
    <row r="55" customFormat="false" ht="15" hidden="false" customHeight="false" outlineLevel="0" collapsed="false">
      <c r="B55" s="7" t="s">
        <v>156</v>
      </c>
      <c r="C55" s="9" t="n">
        <v>19946.17</v>
      </c>
      <c r="D55" s="9" t="n">
        <v>0</v>
      </c>
      <c r="E55" s="9" t="n">
        <v>19281.3</v>
      </c>
      <c r="F55" s="9" t="n">
        <v>0</v>
      </c>
      <c r="G55" s="9" t="n">
        <v>19281.3</v>
      </c>
      <c r="H55" s="9" t="n">
        <v>664.87</v>
      </c>
      <c r="I55" s="33" t="s">
        <v>89</v>
      </c>
      <c r="J55" s="34" t="n">
        <v>5</v>
      </c>
    </row>
    <row r="56" customFormat="false" ht="15" hidden="false" customHeight="false" outlineLevel="0" collapsed="false">
      <c r="A56" s="35"/>
      <c r="B56" s="36" t="s">
        <v>34</v>
      </c>
      <c r="C56" s="37" t="n">
        <f aca="false">SUM(C52:C55)</f>
        <v>147893.47</v>
      </c>
      <c r="D56" s="37" t="n">
        <f aca="false">SUM(D52:D55)</f>
        <v>0</v>
      </c>
      <c r="E56" s="37" t="n">
        <f aca="false">SUM(E52:E55)</f>
        <v>59924.23</v>
      </c>
      <c r="F56" s="37" t="n">
        <f aca="false">SUM(F52:F55)</f>
        <v>4901.9</v>
      </c>
      <c r="G56" s="37" t="n">
        <f aca="false">SUM(G52:G55)</f>
        <v>64826.13</v>
      </c>
      <c r="H56" s="37" t="n">
        <f aca="false">SUM(H52:H55)</f>
        <v>83067.34</v>
      </c>
      <c r="I56" s="35"/>
      <c r="J56" s="35"/>
    </row>
    <row r="58" customFormat="false" ht="15" hidden="false" customHeight="false" outlineLevel="0" collapsed="false">
      <c r="A58" s="38" t="s">
        <v>90</v>
      </c>
      <c r="B58" s="38"/>
      <c r="C58" s="38"/>
      <c r="D58" s="38"/>
      <c r="E58" s="38"/>
      <c r="F58" s="38"/>
      <c r="G58" s="38"/>
      <c r="H58" s="38"/>
      <c r="I58" s="38"/>
      <c r="J58" s="38"/>
    </row>
    <row r="59" customFormat="false" ht="15" hidden="false" customHeight="false" outlineLevel="0" collapsed="false">
      <c r="A59" s="27"/>
      <c r="B59" s="27" t="s">
        <v>74</v>
      </c>
      <c r="C59" s="28" t="s">
        <v>75</v>
      </c>
      <c r="D59" s="28" t="s">
        <v>76</v>
      </c>
      <c r="E59" s="28" t="s">
        <v>77</v>
      </c>
      <c r="F59" s="28" t="s">
        <v>78</v>
      </c>
      <c r="G59" s="28" t="s">
        <v>79</v>
      </c>
      <c r="H59" s="28" t="s">
        <v>80</v>
      </c>
      <c r="I59" s="28" t="s">
        <v>81</v>
      </c>
      <c r="J59" s="28" t="s">
        <v>82</v>
      </c>
    </row>
    <row r="60" customFormat="false" ht="15" hidden="false" customHeight="false" outlineLevel="0" collapsed="false">
      <c r="B60" s="29" t="s">
        <v>157</v>
      </c>
      <c r="C60" s="30" t="n">
        <v>24387.48</v>
      </c>
      <c r="D60" s="30" t="n">
        <v>0</v>
      </c>
      <c r="E60" s="30" t="n">
        <v>24387.48</v>
      </c>
      <c r="F60" s="30" t="n">
        <v>0</v>
      </c>
      <c r="G60" s="30" t="n">
        <v>24387.48</v>
      </c>
      <c r="H60" s="30" t="n">
        <v>0</v>
      </c>
      <c r="I60" s="31" t="s">
        <v>89</v>
      </c>
      <c r="J60" s="32" t="n">
        <v>5</v>
      </c>
    </row>
    <row r="61" customFormat="false" ht="15" hidden="false" customHeight="false" outlineLevel="0" collapsed="false">
      <c r="B61" s="7" t="s">
        <v>158</v>
      </c>
      <c r="C61" s="9" t="n">
        <v>92335.64</v>
      </c>
      <c r="D61" s="9" t="n">
        <v>0</v>
      </c>
      <c r="E61" s="9" t="n">
        <v>27001.18</v>
      </c>
      <c r="F61" s="9" t="n">
        <v>3357.66</v>
      </c>
      <c r="G61" s="9" t="n">
        <v>30358.84</v>
      </c>
      <c r="H61" s="9" t="n">
        <v>61976.8</v>
      </c>
      <c r="I61" s="33" t="s">
        <v>84</v>
      </c>
      <c r="J61" s="34" t="n">
        <v>27.5</v>
      </c>
    </row>
    <row r="62" customFormat="false" ht="15" hidden="false" customHeight="false" outlineLevel="0" collapsed="false">
      <c r="B62" s="29" t="s">
        <v>159</v>
      </c>
      <c r="C62" s="30" t="n">
        <v>44.42</v>
      </c>
      <c r="D62" s="30" t="n">
        <v>0</v>
      </c>
      <c r="E62" s="30" t="n">
        <v>44.42</v>
      </c>
      <c r="F62" s="30" t="n">
        <v>0</v>
      </c>
      <c r="G62" s="30" t="n">
        <v>44.42</v>
      </c>
      <c r="H62" s="30" t="n">
        <v>0</v>
      </c>
      <c r="I62" s="31" t="s">
        <v>89</v>
      </c>
      <c r="J62" s="32" t="n">
        <v>5</v>
      </c>
    </row>
    <row r="63" customFormat="false" ht="15" hidden="false" customHeight="false" outlineLevel="0" collapsed="false">
      <c r="B63" s="7" t="s">
        <v>160</v>
      </c>
      <c r="C63" s="9" t="n">
        <v>168.16</v>
      </c>
      <c r="D63" s="9" t="n">
        <v>0</v>
      </c>
      <c r="E63" s="9" t="n">
        <v>48.63</v>
      </c>
      <c r="F63" s="9" t="n">
        <v>6.11</v>
      </c>
      <c r="G63" s="9" t="n">
        <v>54.74</v>
      </c>
      <c r="H63" s="9" t="n">
        <v>113.42</v>
      </c>
      <c r="I63" s="33" t="s">
        <v>84</v>
      </c>
      <c r="J63" s="34" t="n">
        <v>27.5</v>
      </c>
    </row>
    <row r="64" customFormat="false" ht="15" hidden="false" customHeight="false" outlineLevel="0" collapsed="false">
      <c r="B64" s="29" t="s">
        <v>161</v>
      </c>
      <c r="C64" s="30" t="n">
        <v>2300.7</v>
      </c>
      <c r="D64" s="30" t="n">
        <v>0</v>
      </c>
      <c r="E64" s="30" t="n">
        <v>2300.7</v>
      </c>
      <c r="F64" s="30" t="n">
        <v>0</v>
      </c>
      <c r="G64" s="30" t="n">
        <v>2300.7</v>
      </c>
      <c r="H64" s="30" t="n">
        <v>0</v>
      </c>
      <c r="I64" s="31" t="s">
        <v>89</v>
      </c>
      <c r="J64" s="32" t="n">
        <v>5</v>
      </c>
    </row>
    <row r="65" customFormat="false" ht="15" hidden="false" customHeight="false" outlineLevel="0" collapsed="false">
      <c r="B65" s="7" t="s">
        <v>162</v>
      </c>
      <c r="C65" s="9" t="n">
        <v>8710.9</v>
      </c>
      <c r="D65" s="9" t="n">
        <v>0</v>
      </c>
      <c r="E65" s="9" t="n">
        <v>2547.28</v>
      </c>
      <c r="F65" s="9" t="n">
        <v>316.76</v>
      </c>
      <c r="G65" s="9" t="n">
        <v>2864.04</v>
      </c>
      <c r="H65" s="9" t="n">
        <v>5846.86</v>
      </c>
      <c r="I65" s="33" t="s">
        <v>84</v>
      </c>
      <c r="J65" s="34" t="n">
        <v>27.5</v>
      </c>
    </row>
    <row r="66" customFormat="false" ht="15" hidden="false" customHeight="false" outlineLevel="0" collapsed="false">
      <c r="B66" s="29" t="s">
        <v>163</v>
      </c>
      <c r="C66" s="30" t="n">
        <v>4167.44</v>
      </c>
      <c r="D66" s="30" t="n">
        <v>0</v>
      </c>
      <c r="E66" s="30" t="n">
        <v>4167.44</v>
      </c>
      <c r="F66" s="30" t="n">
        <v>0</v>
      </c>
      <c r="G66" s="30" t="n">
        <v>4167.44</v>
      </c>
      <c r="H66" s="30" t="n">
        <v>0</v>
      </c>
      <c r="I66" s="31" t="s">
        <v>89</v>
      </c>
      <c r="J66" s="32" t="n">
        <v>5</v>
      </c>
    </row>
    <row r="67" customFormat="false" ht="15" hidden="false" customHeight="false" outlineLevel="0" collapsed="false">
      <c r="B67" s="7" t="s">
        <v>164</v>
      </c>
      <c r="C67" s="9" t="n">
        <v>15778.73</v>
      </c>
      <c r="D67" s="9" t="n">
        <v>0</v>
      </c>
      <c r="E67" s="9" t="n">
        <v>4614.07</v>
      </c>
      <c r="F67" s="9" t="n">
        <v>573.77</v>
      </c>
      <c r="G67" s="9" t="n">
        <v>5187.84</v>
      </c>
      <c r="H67" s="9" t="n">
        <v>10590.89</v>
      </c>
      <c r="I67" s="33" t="s">
        <v>84</v>
      </c>
      <c r="J67" s="34" t="n">
        <v>27.5</v>
      </c>
    </row>
    <row r="68" customFormat="false" ht="15" hidden="false" customHeight="false" outlineLevel="0" collapsed="false">
      <c r="A68" s="35"/>
      <c r="B68" s="36" t="s">
        <v>34</v>
      </c>
      <c r="C68" s="37" t="n">
        <f aca="false">SUM(C60:C67)</f>
        <v>147893.47</v>
      </c>
      <c r="D68" s="37" t="n">
        <f aca="false">SUM(D60:D67)</f>
        <v>0</v>
      </c>
      <c r="E68" s="37" t="n">
        <f aca="false">SUM(E60:E67)</f>
        <v>65111.2</v>
      </c>
      <c r="F68" s="37" t="n">
        <f aca="false">SUM(F60:F67)</f>
        <v>4254.3</v>
      </c>
      <c r="G68" s="37" t="n">
        <f aca="false">SUM(G60:G67)</f>
        <v>69365.5</v>
      </c>
      <c r="H68" s="37" t="n">
        <f aca="false">SUM(H60:H67)</f>
        <v>78527.97</v>
      </c>
      <c r="I68" s="35"/>
      <c r="J68" s="35"/>
    </row>
    <row r="70" customFormat="false" ht="15" hidden="false" customHeight="false" outlineLevel="0" collapsed="false">
      <c r="A70" s="25" t="s">
        <v>38</v>
      </c>
      <c r="B70" s="25"/>
      <c r="C70" s="25"/>
      <c r="D70" s="25"/>
      <c r="E70" s="25"/>
    </row>
    <row r="71" customFormat="false" ht="15" hidden="false" customHeight="false" outlineLevel="0" collapsed="false">
      <c r="B71" s="7" t="s">
        <v>99</v>
      </c>
      <c r="C71" s="39" t="n">
        <f aca="false">G56</f>
        <v>64826.13</v>
      </c>
    </row>
    <row r="72" customFormat="false" ht="15" hidden="false" customHeight="false" outlineLevel="0" collapsed="false">
      <c r="B72" s="7" t="s">
        <v>100</v>
      </c>
      <c r="C72" s="39" t="n">
        <f aca="false">G68</f>
        <v>69365.5</v>
      </c>
    </row>
    <row r="73" customFormat="false" ht="15" hidden="false" customHeight="false" outlineLevel="0" collapsed="false">
      <c r="B73" s="10" t="s">
        <v>38</v>
      </c>
      <c r="C73" s="40" t="n">
        <f aca="false">C72-C71</f>
        <v>4539.37</v>
      </c>
    </row>
  </sheetData>
  <mergeCells count="11">
    <mergeCell ref="A2:J2"/>
    <mergeCell ref="A3:J3"/>
    <mergeCell ref="A4:J4"/>
    <mergeCell ref="A8:J8"/>
    <mergeCell ref="B10:J10"/>
    <mergeCell ref="B23:J23"/>
    <mergeCell ref="B42:J42"/>
    <mergeCell ref="A49:J49"/>
    <mergeCell ref="A50:J50"/>
    <mergeCell ref="A58:J58"/>
    <mergeCell ref="A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177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178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4901.61</v>
      </c>
      <c r="D11" s="21" t="n">
        <v>4901.61</v>
      </c>
    </row>
    <row r="12" customFormat="false" ht="15" hidden="false" customHeight="false" outlineLevel="0" collapsed="false">
      <c r="B12" s="15" t="s">
        <v>105</v>
      </c>
      <c r="C12" s="21" t="n">
        <v>2185.54</v>
      </c>
      <c r="D12" s="21" t="n">
        <v>2185.54</v>
      </c>
    </row>
    <row r="13" customFormat="false" ht="15" hidden="false" customHeight="false" outlineLevel="0" collapsed="false">
      <c r="B13" s="15" t="s">
        <v>106</v>
      </c>
      <c r="C13" s="21" t="n">
        <v>11385.26</v>
      </c>
      <c r="D13" s="21" t="n">
        <v>11385.26</v>
      </c>
    </row>
    <row r="14" customFormat="false" ht="15" hidden="false" customHeight="false" outlineLevel="0" collapsed="false">
      <c r="B14" s="15" t="s">
        <v>108</v>
      </c>
      <c r="C14" s="21" t="n">
        <v>589.62</v>
      </c>
      <c r="D14" s="21" t="n">
        <v>589.62</v>
      </c>
    </row>
    <row r="15" customFormat="false" ht="15" hidden="false" customHeight="false" outlineLevel="0" collapsed="false">
      <c r="B15" s="15" t="s">
        <v>146</v>
      </c>
      <c r="C15" s="21" t="n">
        <v>183.29</v>
      </c>
      <c r="D15" s="21" t="n">
        <v>183.29</v>
      </c>
    </row>
    <row r="16" customFormat="false" ht="15" hidden="false" customHeight="false" outlineLevel="0" collapsed="false">
      <c r="B16" s="15" t="s">
        <v>147</v>
      </c>
      <c r="C16" s="21" t="n">
        <v>96.76</v>
      </c>
      <c r="D16" s="21" t="n">
        <v>96.76</v>
      </c>
    </row>
    <row r="17" customFormat="false" ht="15" hidden="false" customHeight="false" outlineLevel="0" collapsed="false">
      <c r="B17" s="15" t="s">
        <v>109</v>
      </c>
      <c r="C17" s="21" t="n">
        <v>2980.97</v>
      </c>
      <c r="D17" s="21" t="n">
        <v>2980.97</v>
      </c>
    </row>
    <row r="18" customFormat="false" ht="15" hidden="false" customHeight="false" outlineLevel="0" collapsed="false">
      <c r="B18" s="15" t="s">
        <v>110</v>
      </c>
      <c r="C18" s="21" t="n">
        <v>994.55</v>
      </c>
      <c r="D18" s="21" t="n">
        <v>994.55</v>
      </c>
    </row>
    <row r="19" customFormat="false" ht="15" hidden="false" customHeight="false" outlineLevel="0" collapsed="false">
      <c r="B19" s="15" t="s">
        <v>148</v>
      </c>
      <c r="C19" s="21" t="n">
        <v>3427.41</v>
      </c>
      <c r="D19" s="21" t="n">
        <v>3427.41</v>
      </c>
    </row>
    <row r="20" customFormat="false" ht="15" hidden="false" customHeight="false" outlineLevel="0" collapsed="false">
      <c r="B20" s="15" t="s">
        <v>112</v>
      </c>
      <c r="C20" s="21" t="n">
        <v>428.96</v>
      </c>
      <c r="D20" s="21" t="n">
        <v>428.96</v>
      </c>
    </row>
    <row r="21" customFormat="false" ht="15" hidden="false" customHeight="false" outlineLevel="0" collapsed="false">
      <c r="B21" s="15" t="s">
        <v>149</v>
      </c>
      <c r="C21" s="21" t="n">
        <v>43.2</v>
      </c>
      <c r="D21" s="21" t="n">
        <v>43.2</v>
      </c>
    </row>
    <row r="22" customFormat="false" ht="15" hidden="false" customHeight="false" outlineLevel="0" collapsed="false">
      <c r="B22" s="15" t="s">
        <v>150</v>
      </c>
      <c r="C22" s="21" t="n">
        <v>3682.87</v>
      </c>
      <c r="D22" s="21" t="n">
        <v>3682.87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8561.68</v>
      </c>
      <c r="G24" s="21" t="n">
        <v>8561.68</v>
      </c>
    </row>
    <row r="25" customFormat="false" ht="15" hidden="false" customHeight="false" outlineLevel="0" collapsed="false">
      <c r="B25" s="15" t="s">
        <v>116</v>
      </c>
      <c r="C25" s="21" t="n">
        <v>16225.62</v>
      </c>
      <c r="G25" s="21" t="n">
        <v>16225.62</v>
      </c>
    </row>
    <row r="26" customFormat="false" ht="15" hidden="false" customHeight="false" outlineLevel="0" collapsed="false">
      <c r="B26" s="15" t="s">
        <v>117</v>
      </c>
      <c r="C26" s="21" t="n">
        <v>10992.55</v>
      </c>
      <c r="G26" s="21" t="n">
        <v>10992.55</v>
      </c>
    </row>
    <row r="27" customFormat="false" ht="15" hidden="false" customHeight="false" outlineLevel="0" collapsed="false">
      <c r="B27" s="15" t="s">
        <v>118</v>
      </c>
      <c r="C27" s="21" t="n">
        <v>12099.12</v>
      </c>
      <c r="G27" s="21" t="n">
        <v>12099.12</v>
      </c>
    </row>
    <row r="28" customFormat="false" ht="15" hidden="false" customHeight="false" outlineLevel="0" collapsed="false">
      <c r="B28" s="15" t="s">
        <v>119</v>
      </c>
      <c r="C28" s="21" t="n">
        <v>9715.1</v>
      </c>
      <c r="G28" s="21" t="n">
        <v>9715.1</v>
      </c>
    </row>
    <row r="29" customFormat="false" ht="15" hidden="false" customHeight="false" outlineLevel="0" collapsed="false">
      <c r="B29" s="15" t="s">
        <v>120</v>
      </c>
      <c r="C29" s="21" t="n">
        <v>548.48</v>
      </c>
      <c r="G29" s="21" t="n">
        <v>548.48</v>
      </c>
    </row>
    <row r="30" customFormat="false" ht="15" hidden="false" customHeight="false" outlineLevel="0" collapsed="false">
      <c r="B30" s="15" t="s">
        <v>121</v>
      </c>
      <c r="C30" s="21" t="n">
        <v>12559.71</v>
      </c>
      <c r="G30" s="21" t="n">
        <v>12559.71</v>
      </c>
    </row>
    <row r="31" customFormat="false" ht="15" hidden="false" customHeight="false" outlineLevel="0" collapsed="false">
      <c r="B31" s="15" t="s">
        <v>122</v>
      </c>
      <c r="C31" s="21" t="n">
        <v>5680.09</v>
      </c>
      <c r="G31" s="21" t="n">
        <v>5680.09</v>
      </c>
    </row>
    <row r="32" customFormat="false" ht="15" hidden="false" customHeight="false" outlineLevel="0" collapsed="false">
      <c r="B32" s="15" t="s">
        <v>123</v>
      </c>
      <c r="C32" s="21" t="n">
        <v>2911.57</v>
      </c>
      <c r="G32" s="21" t="n">
        <v>2911.57</v>
      </c>
    </row>
    <row r="33" customFormat="false" ht="15" hidden="false" customHeight="false" outlineLevel="0" collapsed="false">
      <c r="B33" s="15" t="s">
        <v>124</v>
      </c>
      <c r="C33" s="21" t="n">
        <v>5070.55</v>
      </c>
      <c r="G33" s="21" t="n">
        <v>5070.55</v>
      </c>
    </row>
    <row r="34" customFormat="false" ht="15" hidden="false" customHeight="false" outlineLevel="0" collapsed="false">
      <c r="B34" s="15" t="s">
        <v>125</v>
      </c>
      <c r="C34" s="21" t="n">
        <v>9837.36</v>
      </c>
      <c r="G34" s="21" t="n">
        <v>9837.36</v>
      </c>
    </row>
    <row r="35" customFormat="false" ht="15" hidden="false" customHeight="false" outlineLevel="0" collapsed="false">
      <c r="B35" s="15" t="s">
        <v>126</v>
      </c>
      <c r="C35" s="21" t="n">
        <v>4408.6</v>
      </c>
      <c r="G35" s="21" t="n">
        <v>4408.6</v>
      </c>
    </row>
    <row r="36" customFormat="false" ht="15" hidden="false" customHeight="false" outlineLevel="0" collapsed="false">
      <c r="B36" s="15" t="s">
        <v>127</v>
      </c>
      <c r="C36" s="21" t="n">
        <v>1012.22</v>
      </c>
      <c r="G36" s="21" t="n">
        <v>1012.22</v>
      </c>
    </row>
    <row r="37" customFormat="false" ht="15" hidden="false" customHeight="false" outlineLevel="0" collapsed="false">
      <c r="B37" s="15" t="s">
        <v>129</v>
      </c>
      <c r="C37" s="21" t="n">
        <v>14327.98</v>
      </c>
      <c r="G37" s="21" t="n">
        <v>14327.98</v>
      </c>
    </row>
    <row r="38" customFormat="false" ht="15" hidden="false" customHeight="false" outlineLevel="0" collapsed="false">
      <c r="B38" s="15" t="s">
        <v>130</v>
      </c>
      <c r="C38" s="21" t="n">
        <v>1332.99</v>
      </c>
      <c r="G38" s="21" t="n">
        <v>1332.99</v>
      </c>
    </row>
    <row r="39" customFormat="false" ht="15" hidden="false" customHeight="false" outlineLevel="0" collapsed="false">
      <c r="B39" s="15" t="s">
        <v>152</v>
      </c>
      <c r="C39" s="21" t="n">
        <v>1709.81</v>
      </c>
      <c r="G39" s="21" t="n">
        <v>1709.81</v>
      </c>
    </row>
    <row r="40" customFormat="false" ht="15" hidden="false" customHeight="false" outlineLevel="0" collapsed="false">
      <c r="A40" s="22"/>
      <c r="B40" s="23" t="s">
        <v>66</v>
      </c>
      <c r="C40" s="24" t="n">
        <f aca="false">SUM(C10:C39)</f>
        <v>147893.47</v>
      </c>
      <c r="D40" s="24" t="n">
        <f aca="false">SUM(D10:D39)</f>
        <v>30900.04</v>
      </c>
      <c r="E40" s="24" t="n">
        <f aca="false">SUM(E10:E39)</f>
        <v>0</v>
      </c>
      <c r="F40" s="24" t="n">
        <f aca="false">SUM(F10:F39)</f>
        <v>0</v>
      </c>
      <c r="G40" s="24" t="n">
        <f aca="false">SUM(G10:G39)</f>
        <v>116993.43</v>
      </c>
      <c r="H40" s="22"/>
    </row>
    <row r="42" customFormat="false" ht="15" hidden="false" customHeight="false" outlineLevel="0" collapsed="false">
      <c r="A42" s="19"/>
      <c r="B42" s="20" t="s">
        <v>67</v>
      </c>
      <c r="C42" s="20"/>
      <c r="D42" s="20"/>
      <c r="E42" s="20"/>
      <c r="F42" s="20"/>
      <c r="G42" s="20"/>
      <c r="H42" s="20"/>
      <c r="I42" s="20"/>
      <c r="J42" s="20"/>
    </row>
    <row r="43" customFormat="false" ht="15" hidden="false" customHeight="false" outlineLevel="0" collapsed="false">
      <c r="B43" s="15" t="s">
        <v>68</v>
      </c>
      <c r="C43" s="21" t="n">
        <v>116723.12</v>
      </c>
      <c r="D43" s="21" t="n">
        <v>24387.48</v>
      </c>
      <c r="G43" s="21" t="n">
        <v>92335.64</v>
      </c>
    </row>
    <row r="44" customFormat="false" ht="15" hidden="false" customHeight="false" outlineLevel="0" collapsed="false">
      <c r="B44" s="15" t="s">
        <v>69</v>
      </c>
      <c r="C44" s="21" t="n">
        <v>212.58</v>
      </c>
      <c r="D44" s="21" t="n">
        <v>44.42</v>
      </c>
      <c r="G44" s="21" t="n">
        <v>168.16</v>
      </c>
    </row>
    <row r="45" customFormat="false" ht="15" hidden="false" customHeight="false" outlineLevel="0" collapsed="false">
      <c r="B45" s="15" t="s">
        <v>70</v>
      </c>
      <c r="C45" s="21" t="n">
        <v>11011.6</v>
      </c>
      <c r="D45" s="21" t="n">
        <v>2300.7</v>
      </c>
      <c r="G45" s="21" t="n">
        <v>8710.9</v>
      </c>
    </row>
    <row r="46" customFormat="false" ht="15" hidden="false" customHeight="false" outlineLevel="0" collapsed="false">
      <c r="B46" s="15" t="s">
        <v>71</v>
      </c>
      <c r="C46" s="21" t="n">
        <v>19946.17</v>
      </c>
      <c r="D46" s="21" t="n">
        <v>4167.44</v>
      </c>
      <c r="G46" s="21" t="n">
        <v>15778.73</v>
      </c>
    </row>
    <row r="47" customFormat="false" ht="15" hidden="false" customHeight="false" outlineLevel="0" collapsed="false">
      <c r="A47" s="22"/>
      <c r="B47" s="23" t="s">
        <v>72</v>
      </c>
      <c r="C47" s="24" t="n">
        <f aca="false">SUM(C43:C46)</f>
        <v>147893.47</v>
      </c>
      <c r="D47" s="24" t="n">
        <f aca="false">SUM(D43:D46)</f>
        <v>30900.04</v>
      </c>
      <c r="E47" s="22"/>
      <c r="F47" s="24" t="n">
        <f aca="false">SUM(F43:F46)</f>
        <v>0</v>
      </c>
      <c r="G47" s="24" t="n">
        <f aca="false">SUM(G43:G46)</f>
        <v>116993.43</v>
      </c>
      <c r="H47" s="22"/>
    </row>
    <row r="49" customFormat="false" ht="15" hidden="false" customHeight="false" outlineLevel="0" collapsed="false">
      <c r="A49" s="25" t="s">
        <v>73</v>
      </c>
      <c r="B49" s="25"/>
      <c r="C49" s="25"/>
      <c r="D49" s="25"/>
      <c r="E49" s="25"/>
      <c r="F49" s="25"/>
      <c r="G49" s="25"/>
      <c r="H49" s="25"/>
      <c r="I49" s="25"/>
      <c r="J49" s="25"/>
    </row>
    <row r="50" customFormat="false" ht="15" hidden="false" customHeight="false" outlineLevel="0" collapsed="false">
      <c r="A50" s="26" t="s">
        <v>36</v>
      </c>
      <c r="B50" s="26"/>
      <c r="C50" s="26"/>
      <c r="D50" s="26"/>
      <c r="E50" s="26"/>
      <c r="F50" s="26"/>
      <c r="G50" s="26"/>
      <c r="H50" s="26"/>
      <c r="I50" s="26"/>
      <c r="J50" s="26"/>
    </row>
    <row r="51" customFormat="false" ht="15" hidden="false" customHeight="false" outlineLevel="0" collapsed="false">
      <c r="A51" s="27"/>
      <c r="B51" s="27" t="s">
        <v>74</v>
      </c>
      <c r="C51" s="28" t="s">
        <v>75</v>
      </c>
      <c r="D51" s="28" t="s">
        <v>76</v>
      </c>
      <c r="E51" s="28" t="s">
        <v>77</v>
      </c>
      <c r="F51" s="28" t="s">
        <v>78</v>
      </c>
      <c r="G51" s="28" t="s">
        <v>79</v>
      </c>
      <c r="H51" s="28" t="s">
        <v>80</v>
      </c>
      <c r="I51" s="28" t="s">
        <v>81</v>
      </c>
      <c r="J51" s="28" t="s">
        <v>82</v>
      </c>
    </row>
    <row r="52" customFormat="false" ht="15" hidden="false" customHeight="false" outlineLevel="0" collapsed="false">
      <c r="B52" s="29" t="s">
        <v>153</v>
      </c>
      <c r="C52" s="30" t="n">
        <v>116723.12</v>
      </c>
      <c r="D52" s="30" t="n">
        <v>0</v>
      </c>
      <c r="E52" s="30" t="n">
        <v>34132.24</v>
      </c>
      <c r="F52" s="30" t="n">
        <v>4244.48</v>
      </c>
      <c r="G52" s="30" t="n">
        <v>38376.72</v>
      </c>
      <c r="H52" s="30" t="n">
        <v>78346.4</v>
      </c>
      <c r="I52" s="31" t="s">
        <v>84</v>
      </c>
      <c r="J52" s="32" t="n">
        <v>27.5</v>
      </c>
    </row>
    <row r="53" customFormat="false" ht="15" hidden="false" customHeight="false" outlineLevel="0" collapsed="false">
      <c r="B53" s="7" t="s">
        <v>154</v>
      </c>
      <c r="C53" s="9" t="n">
        <v>212.58</v>
      </c>
      <c r="D53" s="9" t="n">
        <v>0</v>
      </c>
      <c r="E53" s="9" t="n">
        <v>61.56</v>
      </c>
      <c r="F53" s="9" t="n">
        <v>7.73</v>
      </c>
      <c r="G53" s="9" t="n">
        <v>69.29</v>
      </c>
      <c r="H53" s="9" t="n">
        <v>143.29</v>
      </c>
      <c r="I53" s="33" t="s">
        <v>84</v>
      </c>
      <c r="J53" s="34" t="n">
        <v>27.5</v>
      </c>
    </row>
    <row r="54" customFormat="false" ht="15" hidden="false" customHeight="false" outlineLevel="0" collapsed="false">
      <c r="B54" s="29" t="s">
        <v>155</v>
      </c>
      <c r="C54" s="30" t="n">
        <v>11011.6</v>
      </c>
      <c r="D54" s="30" t="n">
        <v>0</v>
      </c>
      <c r="E54" s="30" t="n">
        <v>6449.13</v>
      </c>
      <c r="F54" s="30" t="n">
        <v>649.69</v>
      </c>
      <c r="G54" s="30" t="n">
        <v>7098.82</v>
      </c>
      <c r="H54" s="30" t="n">
        <v>3912.78</v>
      </c>
      <c r="I54" s="31" t="s">
        <v>87</v>
      </c>
      <c r="J54" s="32" t="n">
        <v>15</v>
      </c>
    </row>
    <row r="55" customFormat="false" ht="15" hidden="false" customHeight="false" outlineLevel="0" collapsed="false">
      <c r="B55" s="7" t="s">
        <v>156</v>
      </c>
      <c r="C55" s="9" t="n">
        <v>19946.17</v>
      </c>
      <c r="D55" s="9" t="n">
        <v>0</v>
      </c>
      <c r="E55" s="9" t="n">
        <v>19281.3</v>
      </c>
      <c r="F55" s="9" t="n">
        <v>0</v>
      </c>
      <c r="G55" s="9" t="n">
        <v>19281.3</v>
      </c>
      <c r="H55" s="9" t="n">
        <v>664.87</v>
      </c>
      <c r="I55" s="33" t="s">
        <v>89</v>
      </c>
      <c r="J55" s="34" t="n">
        <v>5</v>
      </c>
    </row>
    <row r="56" customFormat="false" ht="15" hidden="false" customHeight="false" outlineLevel="0" collapsed="false">
      <c r="A56" s="35"/>
      <c r="B56" s="36" t="s">
        <v>34</v>
      </c>
      <c r="C56" s="37" t="n">
        <f aca="false">SUM(C52:C55)</f>
        <v>147893.47</v>
      </c>
      <c r="D56" s="37" t="n">
        <f aca="false">SUM(D52:D55)</f>
        <v>0</v>
      </c>
      <c r="E56" s="37" t="n">
        <f aca="false">SUM(E52:E55)</f>
        <v>59924.23</v>
      </c>
      <c r="F56" s="37" t="n">
        <f aca="false">SUM(F52:F55)</f>
        <v>4901.9</v>
      </c>
      <c r="G56" s="37" t="n">
        <f aca="false">SUM(G52:G55)</f>
        <v>64826.13</v>
      </c>
      <c r="H56" s="37" t="n">
        <f aca="false">SUM(H52:H55)</f>
        <v>83067.34</v>
      </c>
      <c r="I56" s="35"/>
      <c r="J56" s="35"/>
    </row>
    <row r="58" customFormat="false" ht="15" hidden="false" customHeight="false" outlineLevel="0" collapsed="false">
      <c r="A58" s="38" t="s">
        <v>90</v>
      </c>
      <c r="B58" s="38"/>
      <c r="C58" s="38"/>
      <c r="D58" s="38"/>
      <c r="E58" s="38"/>
      <c r="F58" s="38"/>
      <c r="G58" s="38"/>
      <c r="H58" s="38"/>
      <c r="I58" s="38"/>
      <c r="J58" s="38"/>
    </row>
    <row r="59" customFormat="false" ht="15" hidden="false" customHeight="false" outlineLevel="0" collapsed="false">
      <c r="A59" s="27"/>
      <c r="B59" s="27" t="s">
        <v>74</v>
      </c>
      <c r="C59" s="28" t="s">
        <v>75</v>
      </c>
      <c r="D59" s="28" t="s">
        <v>76</v>
      </c>
      <c r="E59" s="28" t="s">
        <v>77</v>
      </c>
      <c r="F59" s="28" t="s">
        <v>78</v>
      </c>
      <c r="G59" s="28" t="s">
        <v>79</v>
      </c>
      <c r="H59" s="28" t="s">
        <v>80</v>
      </c>
      <c r="I59" s="28" t="s">
        <v>81</v>
      </c>
      <c r="J59" s="28" t="s">
        <v>82</v>
      </c>
    </row>
    <row r="60" customFormat="false" ht="15" hidden="false" customHeight="false" outlineLevel="0" collapsed="false">
      <c r="B60" s="29" t="s">
        <v>157</v>
      </c>
      <c r="C60" s="30" t="n">
        <v>24387.48</v>
      </c>
      <c r="D60" s="30" t="n">
        <v>0</v>
      </c>
      <c r="E60" s="30" t="n">
        <v>24387.48</v>
      </c>
      <c r="F60" s="30" t="n">
        <v>0</v>
      </c>
      <c r="G60" s="30" t="n">
        <v>24387.48</v>
      </c>
      <c r="H60" s="30" t="n">
        <v>0</v>
      </c>
      <c r="I60" s="31" t="s">
        <v>89</v>
      </c>
      <c r="J60" s="32" t="n">
        <v>5</v>
      </c>
    </row>
    <row r="61" customFormat="false" ht="15" hidden="false" customHeight="false" outlineLevel="0" collapsed="false">
      <c r="B61" s="7" t="s">
        <v>158</v>
      </c>
      <c r="C61" s="9" t="n">
        <v>92335.64</v>
      </c>
      <c r="D61" s="9" t="n">
        <v>0</v>
      </c>
      <c r="E61" s="9" t="n">
        <v>27001.18</v>
      </c>
      <c r="F61" s="9" t="n">
        <v>3357.66</v>
      </c>
      <c r="G61" s="9" t="n">
        <v>30358.84</v>
      </c>
      <c r="H61" s="9" t="n">
        <v>61976.8</v>
      </c>
      <c r="I61" s="33" t="s">
        <v>84</v>
      </c>
      <c r="J61" s="34" t="n">
        <v>27.5</v>
      </c>
    </row>
    <row r="62" customFormat="false" ht="15" hidden="false" customHeight="false" outlineLevel="0" collapsed="false">
      <c r="B62" s="29" t="s">
        <v>159</v>
      </c>
      <c r="C62" s="30" t="n">
        <v>44.42</v>
      </c>
      <c r="D62" s="30" t="n">
        <v>0</v>
      </c>
      <c r="E62" s="30" t="n">
        <v>44.42</v>
      </c>
      <c r="F62" s="30" t="n">
        <v>0</v>
      </c>
      <c r="G62" s="30" t="n">
        <v>44.42</v>
      </c>
      <c r="H62" s="30" t="n">
        <v>0</v>
      </c>
      <c r="I62" s="31" t="s">
        <v>89</v>
      </c>
      <c r="J62" s="32" t="n">
        <v>5</v>
      </c>
    </row>
    <row r="63" customFormat="false" ht="15" hidden="false" customHeight="false" outlineLevel="0" collapsed="false">
      <c r="B63" s="7" t="s">
        <v>160</v>
      </c>
      <c r="C63" s="9" t="n">
        <v>168.16</v>
      </c>
      <c r="D63" s="9" t="n">
        <v>0</v>
      </c>
      <c r="E63" s="9" t="n">
        <v>48.63</v>
      </c>
      <c r="F63" s="9" t="n">
        <v>6.11</v>
      </c>
      <c r="G63" s="9" t="n">
        <v>54.74</v>
      </c>
      <c r="H63" s="9" t="n">
        <v>113.42</v>
      </c>
      <c r="I63" s="33" t="s">
        <v>84</v>
      </c>
      <c r="J63" s="34" t="n">
        <v>27.5</v>
      </c>
    </row>
    <row r="64" customFormat="false" ht="15" hidden="false" customHeight="false" outlineLevel="0" collapsed="false">
      <c r="B64" s="29" t="s">
        <v>161</v>
      </c>
      <c r="C64" s="30" t="n">
        <v>2300.7</v>
      </c>
      <c r="D64" s="30" t="n">
        <v>0</v>
      </c>
      <c r="E64" s="30" t="n">
        <v>2300.7</v>
      </c>
      <c r="F64" s="30" t="n">
        <v>0</v>
      </c>
      <c r="G64" s="30" t="n">
        <v>2300.7</v>
      </c>
      <c r="H64" s="30" t="n">
        <v>0</v>
      </c>
      <c r="I64" s="31" t="s">
        <v>89</v>
      </c>
      <c r="J64" s="32" t="n">
        <v>5</v>
      </c>
    </row>
    <row r="65" customFormat="false" ht="15" hidden="false" customHeight="false" outlineLevel="0" collapsed="false">
      <c r="B65" s="7" t="s">
        <v>162</v>
      </c>
      <c r="C65" s="9" t="n">
        <v>8710.9</v>
      </c>
      <c r="D65" s="9" t="n">
        <v>0</v>
      </c>
      <c r="E65" s="9" t="n">
        <v>2547.28</v>
      </c>
      <c r="F65" s="9" t="n">
        <v>316.76</v>
      </c>
      <c r="G65" s="9" t="n">
        <v>2864.04</v>
      </c>
      <c r="H65" s="9" t="n">
        <v>5846.86</v>
      </c>
      <c r="I65" s="33" t="s">
        <v>84</v>
      </c>
      <c r="J65" s="34" t="n">
        <v>27.5</v>
      </c>
    </row>
    <row r="66" customFormat="false" ht="15" hidden="false" customHeight="false" outlineLevel="0" collapsed="false">
      <c r="B66" s="29" t="s">
        <v>163</v>
      </c>
      <c r="C66" s="30" t="n">
        <v>4167.44</v>
      </c>
      <c r="D66" s="30" t="n">
        <v>0</v>
      </c>
      <c r="E66" s="30" t="n">
        <v>4167.44</v>
      </c>
      <c r="F66" s="30" t="n">
        <v>0</v>
      </c>
      <c r="G66" s="30" t="n">
        <v>4167.44</v>
      </c>
      <c r="H66" s="30" t="n">
        <v>0</v>
      </c>
      <c r="I66" s="31" t="s">
        <v>89</v>
      </c>
      <c r="J66" s="32" t="n">
        <v>5</v>
      </c>
    </row>
    <row r="67" customFormat="false" ht="15" hidden="false" customHeight="false" outlineLevel="0" collapsed="false">
      <c r="B67" s="7" t="s">
        <v>164</v>
      </c>
      <c r="C67" s="9" t="n">
        <v>15778.73</v>
      </c>
      <c r="D67" s="9" t="n">
        <v>0</v>
      </c>
      <c r="E67" s="9" t="n">
        <v>4614.07</v>
      </c>
      <c r="F67" s="9" t="n">
        <v>573.77</v>
      </c>
      <c r="G67" s="9" t="n">
        <v>5187.84</v>
      </c>
      <c r="H67" s="9" t="n">
        <v>10590.89</v>
      </c>
      <c r="I67" s="33" t="s">
        <v>84</v>
      </c>
      <c r="J67" s="34" t="n">
        <v>27.5</v>
      </c>
    </row>
    <row r="68" customFormat="false" ht="15" hidden="false" customHeight="false" outlineLevel="0" collapsed="false">
      <c r="A68" s="35"/>
      <c r="B68" s="36" t="s">
        <v>34</v>
      </c>
      <c r="C68" s="37" t="n">
        <f aca="false">SUM(C60:C67)</f>
        <v>147893.47</v>
      </c>
      <c r="D68" s="37" t="n">
        <f aca="false">SUM(D60:D67)</f>
        <v>0</v>
      </c>
      <c r="E68" s="37" t="n">
        <f aca="false">SUM(E60:E67)</f>
        <v>65111.2</v>
      </c>
      <c r="F68" s="37" t="n">
        <f aca="false">SUM(F60:F67)</f>
        <v>4254.3</v>
      </c>
      <c r="G68" s="37" t="n">
        <f aca="false">SUM(G60:G67)</f>
        <v>69365.5</v>
      </c>
      <c r="H68" s="37" t="n">
        <f aca="false">SUM(H60:H67)</f>
        <v>78527.97</v>
      </c>
      <c r="I68" s="35"/>
      <c r="J68" s="35"/>
    </row>
    <row r="70" customFormat="false" ht="15" hidden="false" customHeight="false" outlineLevel="0" collapsed="false">
      <c r="A70" s="25" t="s">
        <v>38</v>
      </c>
      <c r="B70" s="25"/>
      <c r="C70" s="25"/>
      <c r="D70" s="25"/>
      <c r="E70" s="25"/>
    </row>
    <row r="71" customFormat="false" ht="15" hidden="false" customHeight="false" outlineLevel="0" collapsed="false">
      <c r="B71" s="7" t="s">
        <v>99</v>
      </c>
      <c r="C71" s="39" t="n">
        <f aca="false">G56</f>
        <v>64826.13</v>
      </c>
    </row>
    <row r="72" customFormat="false" ht="15" hidden="false" customHeight="false" outlineLevel="0" collapsed="false">
      <c r="B72" s="7" t="s">
        <v>100</v>
      </c>
      <c r="C72" s="39" t="n">
        <f aca="false">G68</f>
        <v>69365.5</v>
      </c>
    </row>
    <row r="73" customFormat="false" ht="15" hidden="false" customHeight="false" outlineLevel="0" collapsed="false">
      <c r="B73" s="10" t="s">
        <v>38</v>
      </c>
      <c r="C73" s="40" t="n">
        <f aca="false">C72-C71</f>
        <v>4539.37</v>
      </c>
    </row>
  </sheetData>
  <mergeCells count="11">
    <mergeCell ref="A2:J2"/>
    <mergeCell ref="A3:J3"/>
    <mergeCell ref="A4:J4"/>
    <mergeCell ref="A8:J8"/>
    <mergeCell ref="B10:J10"/>
    <mergeCell ref="B23:J23"/>
    <mergeCell ref="B42:J42"/>
    <mergeCell ref="A49:J49"/>
    <mergeCell ref="A50:J50"/>
    <mergeCell ref="A58:J58"/>
    <mergeCell ref="A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179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180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4901.61</v>
      </c>
      <c r="D11" s="21" t="n">
        <v>4901.61</v>
      </c>
    </row>
    <row r="12" customFormat="false" ht="15" hidden="false" customHeight="false" outlineLevel="0" collapsed="false">
      <c r="B12" s="15" t="s">
        <v>105</v>
      </c>
      <c r="C12" s="21" t="n">
        <v>2185.54</v>
      </c>
      <c r="D12" s="21" t="n">
        <v>2185.54</v>
      </c>
    </row>
    <row r="13" customFormat="false" ht="15" hidden="false" customHeight="false" outlineLevel="0" collapsed="false">
      <c r="B13" s="15" t="s">
        <v>106</v>
      </c>
      <c r="C13" s="21" t="n">
        <v>11385.26</v>
      </c>
      <c r="D13" s="21" t="n">
        <v>11385.26</v>
      </c>
    </row>
    <row r="14" customFormat="false" ht="15" hidden="false" customHeight="false" outlineLevel="0" collapsed="false">
      <c r="B14" s="15" t="s">
        <v>108</v>
      </c>
      <c r="C14" s="21" t="n">
        <v>589.62</v>
      </c>
      <c r="D14" s="21" t="n">
        <v>589.62</v>
      </c>
    </row>
    <row r="15" customFormat="false" ht="15" hidden="false" customHeight="false" outlineLevel="0" collapsed="false">
      <c r="B15" s="15" t="s">
        <v>146</v>
      </c>
      <c r="C15" s="21" t="n">
        <v>183.29</v>
      </c>
      <c r="D15" s="21" t="n">
        <v>183.29</v>
      </c>
    </row>
    <row r="16" customFormat="false" ht="15" hidden="false" customHeight="false" outlineLevel="0" collapsed="false">
      <c r="B16" s="15" t="s">
        <v>147</v>
      </c>
      <c r="C16" s="21" t="n">
        <v>96.76</v>
      </c>
      <c r="D16" s="21" t="n">
        <v>96.76</v>
      </c>
    </row>
    <row r="17" customFormat="false" ht="15" hidden="false" customHeight="false" outlineLevel="0" collapsed="false">
      <c r="B17" s="15" t="s">
        <v>109</v>
      </c>
      <c r="C17" s="21" t="n">
        <v>2980.97</v>
      </c>
      <c r="D17" s="21" t="n">
        <v>2980.97</v>
      </c>
    </row>
    <row r="18" customFormat="false" ht="15" hidden="false" customHeight="false" outlineLevel="0" collapsed="false">
      <c r="B18" s="15" t="s">
        <v>110</v>
      </c>
      <c r="C18" s="21" t="n">
        <v>994.55</v>
      </c>
      <c r="D18" s="21" t="n">
        <v>994.55</v>
      </c>
    </row>
    <row r="19" customFormat="false" ht="15" hidden="false" customHeight="false" outlineLevel="0" collapsed="false">
      <c r="B19" s="15" t="s">
        <v>148</v>
      </c>
      <c r="C19" s="21" t="n">
        <v>3427.41</v>
      </c>
      <c r="D19" s="21" t="n">
        <v>3427.41</v>
      </c>
    </row>
    <row r="20" customFormat="false" ht="15" hidden="false" customHeight="false" outlineLevel="0" collapsed="false">
      <c r="B20" s="15" t="s">
        <v>112</v>
      </c>
      <c r="C20" s="21" t="n">
        <v>428.96</v>
      </c>
      <c r="D20" s="21" t="n">
        <v>428.96</v>
      </c>
    </row>
    <row r="21" customFormat="false" ht="15" hidden="false" customHeight="false" outlineLevel="0" collapsed="false">
      <c r="B21" s="15" t="s">
        <v>149</v>
      </c>
      <c r="C21" s="21" t="n">
        <v>43.2</v>
      </c>
      <c r="D21" s="21" t="n">
        <v>43.2</v>
      </c>
    </row>
    <row r="22" customFormat="false" ht="15" hidden="false" customHeight="false" outlineLevel="0" collapsed="false">
      <c r="B22" s="15" t="s">
        <v>150</v>
      </c>
      <c r="C22" s="21" t="n">
        <v>3682.87</v>
      </c>
      <c r="D22" s="21" t="n">
        <v>3682.87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8561.68</v>
      </c>
      <c r="G24" s="21" t="n">
        <v>8561.68</v>
      </c>
    </row>
    <row r="25" customFormat="false" ht="15" hidden="false" customHeight="false" outlineLevel="0" collapsed="false">
      <c r="B25" s="15" t="s">
        <v>116</v>
      </c>
      <c r="C25" s="21" t="n">
        <v>16225.62</v>
      </c>
      <c r="G25" s="21" t="n">
        <v>16225.62</v>
      </c>
    </row>
    <row r="26" customFormat="false" ht="15" hidden="false" customHeight="false" outlineLevel="0" collapsed="false">
      <c r="B26" s="15" t="s">
        <v>117</v>
      </c>
      <c r="C26" s="21" t="n">
        <v>10992.55</v>
      </c>
      <c r="G26" s="21" t="n">
        <v>10992.55</v>
      </c>
    </row>
    <row r="27" customFormat="false" ht="15" hidden="false" customHeight="false" outlineLevel="0" collapsed="false">
      <c r="B27" s="15" t="s">
        <v>118</v>
      </c>
      <c r="C27" s="21" t="n">
        <v>12099.12</v>
      </c>
      <c r="G27" s="21" t="n">
        <v>12099.12</v>
      </c>
    </row>
    <row r="28" customFormat="false" ht="15" hidden="false" customHeight="false" outlineLevel="0" collapsed="false">
      <c r="B28" s="15" t="s">
        <v>119</v>
      </c>
      <c r="C28" s="21" t="n">
        <v>9715.1</v>
      </c>
      <c r="G28" s="21" t="n">
        <v>9715.1</v>
      </c>
    </row>
    <row r="29" customFormat="false" ht="15" hidden="false" customHeight="false" outlineLevel="0" collapsed="false">
      <c r="B29" s="15" t="s">
        <v>120</v>
      </c>
      <c r="C29" s="21" t="n">
        <v>548.48</v>
      </c>
      <c r="G29" s="21" t="n">
        <v>548.48</v>
      </c>
    </row>
    <row r="30" customFormat="false" ht="15" hidden="false" customHeight="false" outlineLevel="0" collapsed="false">
      <c r="B30" s="15" t="s">
        <v>121</v>
      </c>
      <c r="C30" s="21" t="n">
        <v>12559.71</v>
      </c>
      <c r="G30" s="21" t="n">
        <v>12559.71</v>
      </c>
    </row>
    <row r="31" customFormat="false" ht="15" hidden="false" customHeight="false" outlineLevel="0" collapsed="false">
      <c r="B31" s="15" t="s">
        <v>122</v>
      </c>
      <c r="C31" s="21" t="n">
        <v>5680.09</v>
      </c>
      <c r="G31" s="21" t="n">
        <v>5680.09</v>
      </c>
    </row>
    <row r="32" customFormat="false" ht="15" hidden="false" customHeight="false" outlineLevel="0" collapsed="false">
      <c r="B32" s="15" t="s">
        <v>123</v>
      </c>
      <c r="C32" s="21" t="n">
        <v>2911.57</v>
      </c>
      <c r="G32" s="21" t="n">
        <v>2911.57</v>
      </c>
    </row>
    <row r="33" customFormat="false" ht="15" hidden="false" customHeight="false" outlineLevel="0" collapsed="false">
      <c r="B33" s="15" t="s">
        <v>124</v>
      </c>
      <c r="C33" s="21" t="n">
        <v>5070.55</v>
      </c>
      <c r="G33" s="21" t="n">
        <v>5070.55</v>
      </c>
    </row>
    <row r="34" customFormat="false" ht="15" hidden="false" customHeight="false" outlineLevel="0" collapsed="false">
      <c r="B34" s="15" t="s">
        <v>125</v>
      </c>
      <c r="C34" s="21" t="n">
        <v>9837.36</v>
      </c>
      <c r="G34" s="21" t="n">
        <v>9837.36</v>
      </c>
    </row>
    <row r="35" customFormat="false" ht="15" hidden="false" customHeight="false" outlineLevel="0" collapsed="false">
      <c r="B35" s="15" t="s">
        <v>126</v>
      </c>
      <c r="C35" s="21" t="n">
        <v>4408.6</v>
      </c>
      <c r="G35" s="21" t="n">
        <v>4408.6</v>
      </c>
    </row>
    <row r="36" customFormat="false" ht="15" hidden="false" customHeight="false" outlineLevel="0" collapsed="false">
      <c r="B36" s="15" t="s">
        <v>127</v>
      </c>
      <c r="C36" s="21" t="n">
        <v>1012.22</v>
      </c>
      <c r="G36" s="21" t="n">
        <v>1012.22</v>
      </c>
    </row>
    <row r="37" customFormat="false" ht="15" hidden="false" customHeight="false" outlineLevel="0" collapsed="false">
      <c r="B37" s="15" t="s">
        <v>129</v>
      </c>
      <c r="C37" s="21" t="n">
        <v>14327.98</v>
      </c>
      <c r="G37" s="21" t="n">
        <v>14327.98</v>
      </c>
    </row>
    <row r="38" customFormat="false" ht="15" hidden="false" customHeight="false" outlineLevel="0" collapsed="false">
      <c r="B38" s="15" t="s">
        <v>130</v>
      </c>
      <c r="C38" s="21" t="n">
        <v>1332.99</v>
      </c>
      <c r="G38" s="21" t="n">
        <v>1332.99</v>
      </c>
    </row>
    <row r="39" customFormat="false" ht="15" hidden="false" customHeight="false" outlineLevel="0" collapsed="false">
      <c r="B39" s="15" t="s">
        <v>152</v>
      </c>
      <c r="C39" s="21" t="n">
        <v>1709.81</v>
      </c>
      <c r="G39" s="21" t="n">
        <v>1709.81</v>
      </c>
    </row>
    <row r="40" customFormat="false" ht="15" hidden="false" customHeight="false" outlineLevel="0" collapsed="false">
      <c r="A40" s="22"/>
      <c r="B40" s="23" t="s">
        <v>66</v>
      </c>
      <c r="C40" s="24" t="n">
        <f aca="false">SUM(C10:C39)</f>
        <v>147893.47</v>
      </c>
      <c r="D40" s="24" t="n">
        <f aca="false">SUM(D10:D39)</f>
        <v>30900.04</v>
      </c>
      <c r="E40" s="24" t="n">
        <f aca="false">SUM(E10:E39)</f>
        <v>0</v>
      </c>
      <c r="F40" s="24" t="n">
        <f aca="false">SUM(F10:F39)</f>
        <v>0</v>
      </c>
      <c r="G40" s="24" t="n">
        <f aca="false">SUM(G10:G39)</f>
        <v>116993.43</v>
      </c>
      <c r="H40" s="22"/>
    </row>
    <row r="42" customFormat="false" ht="15" hidden="false" customHeight="false" outlineLevel="0" collapsed="false">
      <c r="A42" s="19"/>
      <c r="B42" s="20" t="s">
        <v>67</v>
      </c>
      <c r="C42" s="20"/>
      <c r="D42" s="20"/>
      <c r="E42" s="20"/>
      <c r="F42" s="20"/>
      <c r="G42" s="20"/>
      <c r="H42" s="20"/>
      <c r="I42" s="20"/>
      <c r="J42" s="20"/>
    </row>
    <row r="43" customFormat="false" ht="15" hidden="false" customHeight="false" outlineLevel="0" collapsed="false">
      <c r="B43" s="15" t="s">
        <v>68</v>
      </c>
      <c r="C43" s="21" t="n">
        <v>116723.12</v>
      </c>
      <c r="D43" s="21" t="n">
        <v>24387.48</v>
      </c>
      <c r="G43" s="21" t="n">
        <v>92335.64</v>
      </c>
    </row>
    <row r="44" customFormat="false" ht="15" hidden="false" customHeight="false" outlineLevel="0" collapsed="false">
      <c r="B44" s="15" t="s">
        <v>69</v>
      </c>
      <c r="C44" s="21" t="n">
        <v>212.58</v>
      </c>
      <c r="D44" s="21" t="n">
        <v>44.42</v>
      </c>
      <c r="G44" s="21" t="n">
        <v>168.16</v>
      </c>
    </row>
    <row r="45" customFormat="false" ht="15" hidden="false" customHeight="false" outlineLevel="0" collapsed="false">
      <c r="B45" s="15" t="s">
        <v>70</v>
      </c>
      <c r="C45" s="21" t="n">
        <v>11011.6</v>
      </c>
      <c r="D45" s="21" t="n">
        <v>2300.7</v>
      </c>
      <c r="G45" s="21" t="n">
        <v>8710.9</v>
      </c>
    </row>
    <row r="46" customFormat="false" ht="15" hidden="false" customHeight="false" outlineLevel="0" collapsed="false">
      <c r="B46" s="15" t="s">
        <v>71</v>
      </c>
      <c r="C46" s="21" t="n">
        <v>19946.17</v>
      </c>
      <c r="D46" s="21" t="n">
        <v>4167.44</v>
      </c>
      <c r="G46" s="21" t="n">
        <v>15778.73</v>
      </c>
    </row>
    <row r="47" customFormat="false" ht="15" hidden="false" customHeight="false" outlineLevel="0" collapsed="false">
      <c r="A47" s="22"/>
      <c r="B47" s="23" t="s">
        <v>72</v>
      </c>
      <c r="C47" s="24" t="n">
        <f aca="false">SUM(C43:C46)</f>
        <v>147893.47</v>
      </c>
      <c r="D47" s="24" t="n">
        <f aca="false">SUM(D43:D46)</f>
        <v>30900.04</v>
      </c>
      <c r="E47" s="22"/>
      <c r="F47" s="24" t="n">
        <f aca="false">SUM(F43:F46)</f>
        <v>0</v>
      </c>
      <c r="G47" s="24" t="n">
        <f aca="false">SUM(G43:G46)</f>
        <v>116993.43</v>
      </c>
      <c r="H47" s="22"/>
    </row>
    <row r="49" customFormat="false" ht="15" hidden="false" customHeight="false" outlineLevel="0" collapsed="false">
      <c r="A49" s="25" t="s">
        <v>73</v>
      </c>
      <c r="B49" s="25"/>
      <c r="C49" s="25"/>
      <c r="D49" s="25"/>
      <c r="E49" s="25"/>
      <c r="F49" s="25"/>
      <c r="G49" s="25"/>
      <c r="H49" s="25"/>
      <c r="I49" s="25"/>
      <c r="J49" s="25"/>
    </row>
    <row r="50" customFormat="false" ht="15" hidden="false" customHeight="false" outlineLevel="0" collapsed="false">
      <c r="A50" s="26" t="s">
        <v>36</v>
      </c>
      <c r="B50" s="26"/>
      <c r="C50" s="26"/>
      <c r="D50" s="26"/>
      <c r="E50" s="26"/>
      <c r="F50" s="26"/>
      <c r="G50" s="26"/>
      <c r="H50" s="26"/>
      <c r="I50" s="26"/>
      <c r="J50" s="26"/>
    </row>
    <row r="51" customFormat="false" ht="15" hidden="false" customHeight="false" outlineLevel="0" collapsed="false">
      <c r="A51" s="27"/>
      <c r="B51" s="27" t="s">
        <v>74</v>
      </c>
      <c r="C51" s="28" t="s">
        <v>75</v>
      </c>
      <c r="D51" s="28" t="s">
        <v>76</v>
      </c>
      <c r="E51" s="28" t="s">
        <v>77</v>
      </c>
      <c r="F51" s="28" t="s">
        <v>78</v>
      </c>
      <c r="G51" s="28" t="s">
        <v>79</v>
      </c>
      <c r="H51" s="28" t="s">
        <v>80</v>
      </c>
      <c r="I51" s="28" t="s">
        <v>81</v>
      </c>
      <c r="J51" s="28" t="s">
        <v>82</v>
      </c>
    </row>
    <row r="52" customFormat="false" ht="15" hidden="false" customHeight="false" outlineLevel="0" collapsed="false">
      <c r="B52" s="29" t="s">
        <v>153</v>
      </c>
      <c r="C52" s="30" t="n">
        <v>116723.12</v>
      </c>
      <c r="D52" s="30" t="n">
        <v>0</v>
      </c>
      <c r="E52" s="30" t="n">
        <v>34132.24</v>
      </c>
      <c r="F52" s="30" t="n">
        <v>4244.48</v>
      </c>
      <c r="G52" s="30" t="n">
        <v>38376.72</v>
      </c>
      <c r="H52" s="30" t="n">
        <v>78346.4</v>
      </c>
      <c r="I52" s="31" t="s">
        <v>84</v>
      </c>
      <c r="J52" s="32" t="n">
        <v>27.5</v>
      </c>
    </row>
    <row r="53" customFormat="false" ht="15" hidden="false" customHeight="false" outlineLevel="0" collapsed="false">
      <c r="B53" s="7" t="s">
        <v>154</v>
      </c>
      <c r="C53" s="9" t="n">
        <v>212.58</v>
      </c>
      <c r="D53" s="9" t="n">
        <v>0</v>
      </c>
      <c r="E53" s="9" t="n">
        <v>61.56</v>
      </c>
      <c r="F53" s="9" t="n">
        <v>7.73</v>
      </c>
      <c r="G53" s="9" t="n">
        <v>69.29</v>
      </c>
      <c r="H53" s="9" t="n">
        <v>143.29</v>
      </c>
      <c r="I53" s="33" t="s">
        <v>84</v>
      </c>
      <c r="J53" s="34" t="n">
        <v>27.5</v>
      </c>
    </row>
    <row r="54" customFormat="false" ht="15" hidden="false" customHeight="false" outlineLevel="0" collapsed="false">
      <c r="B54" s="29" t="s">
        <v>155</v>
      </c>
      <c r="C54" s="30" t="n">
        <v>11011.6</v>
      </c>
      <c r="D54" s="30" t="n">
        <v>0</v>
      </c>
      <c r="E54" s="30" t="n">
        <v>6449.13</v>
      </c>
      <c r="F54" s="30" t="n">
        <v>649.69</v>
      </c>
      <c r="G54" s="30" t="n">
        <v>7098.82</v>
      </c>
      <c r="H54" s="30" t="n">
        <v>3912.78</v>
      </c>
      <c r="I54" s="31" t="s">
        <v>87</v>
      </c>
      <c r="J54" s="32" t="n">
        <v>15</v>
      </c>
    </row>
    <row r="55" customFormat="false" ht="15" hidden="false" customHeight="false" outlineLevel="0" collapsed="false">
      <c r="B55" s="7" t="s">
        <v>156</v>
      </c>
      <c r="C55" s="9" t="n">
        <v>19946.17</v>
      </c>
      <c r="D55" s="9" t="n">
        <v>0</v>
      </c>
      <c r="E55" s="9" t="n">
        <v>19281.3</v>
      </c>
      <c r="F55" s="9" t="n">
        <v>0</v>
      </c>
      <c r="G55" s="9" t="n">
        <v>19281.3</v>
      </c>
      <c r="H55" s="9" t="n">
        <v>664.87</v>
      </c>
      <c r="I55" s="33" t="s">
        <v>89</v>
      </c>
      <c r="J55" s="34" t="n">
        <v>5</v>
      </c>
    </row>
    <row r="56" customFormat="false" ht="15" hidden="false" customHeight="false" outlineLevel="0" collapsed="false">
      <c r="A56" s="35"/>
      <c r="B56" s="36" t="s">
        <v>34</v>
      </c>
      <c r="C56" s="37" t="n">
        <f aca="false">SUM(C52:C55)</f>
        <v>147893.47</v>
      </c>
      <c r="D56" s="37" t="n">
        <f aca="false">SUM(D52:D55)</f>
        <v>0</v>
      </c>
      <c r="E56" s="37" t="n">
        <f aca="false">SUM(E52:E55)</f>
        <v>59924.23</v>
      </c>
      <c r="F56" s="37" t="n">
        <f aca="false">SUM(F52:F55)</f>
        <v>4901.9</v>
      </c>
      <c r="G56" s="37" t="n">
        <f aca="false">SUM(G52:G55)</f>
        <v>64826.13</v>
      </c>
      <c r="H56" s="37" t="n">
        <f aca="false">SUM(H52:H55)</f>
        <v>83067.34</v>
      </c>
      <c r="I56" s="35"/>
      <c r="J56" s="35"/>
    </row>
    <row r="58" customFormat="false" ht="15" hidden="false" customHeight="false" outlineLevel="0" collapsed="false">
      <c r="A58" s="38" t="s">
        <v>90</v>
      </c>
      <c r="B58" s="38"/>
      <c r="C58" s="38"/>
      <c r="D58" s="38"/>
      <c r="E58" s="38"/>
      <c r="F58" s="38"/>
      <c r="G58" s="38"/>
      <c r="H58" s="38"/>
      <c r="I58" s="38"/>
      <c r="J58" s="38"/>
    </row>
    <row r="59" customFormat="false" ht="15" hidden="false" customHeight="false" outlineLevel="0" collapsed="false">
      <c r="A59" s="27"/>
      <c r="B59" s="27" t="s">
        <v>74</v>
      </c>
      <c r="C59" s="28" t="s">
        <v>75</v>
      </c>
      <c r="D59" s="28" t="s">
        <v>76</v>
      </c>
      <c r="E59" s="28" t="s">
        <v>77</v>
      </c>
      <c r="F59" s="28" t="s">
        <v>78</v>
      </c>
      <c r="G59" s="28" t="s">
        <v>79</v>
      </c>
      <c r="H59" s="28" t="s">
        <v>80</v>
      </c>
      <c r="I59" s="28" t="s">
        <v>81</v>
      </c>
      <c r="J59" s="28" t="s">
        <v>82</v>
      </c>
    </row>
    <row r="60" customFormat="false" ht="15" hidden="false" customHeight="false" outlineLevel="0" collapsed="false">
      <c r="B60" s="29" t="s">
        <v>157</v>
      </c>
      <c r="C60" s="30" t="n">
        <v>24387.48</v>
      </c>
      <c r="D60" s="30" t="n">
        <v>0</v>
      </c>
      <c r="E60" s="30" t="n">
        <v>24387.48</v>
      </c>
      <c r="F60" s="30" t="n">
        <v>0</v>
      </c>
      <c r="G60" s="30" t="n">
        <v>24387.48</v>
      </c>
      <c r="H60" s="30" t="n">
        <v>0</v>
      </c>
      <c r="I60" s="31" t="s">
        <v>89</v>
      </c>
      <c r="J60" s="32" t="n">
        <v>5</v>
      </c>
    </row>
    <row r="61" customFormat="false" ht="15" hidden="false" customHeight="false" outlineLevel="0" collapsed="false">
      <c r="B61" s="7" t="s">
        <v>158</v>
      </c>
      <c r="C61" s="9" t="n">
        <v>92335.64</v>
      </c>
      <c r="D61" s="9" t="n">
        <v>0</v>
      </c>
      <c r="E61" s="9" t="n">
        <v>27001.18</v>
      </c>
      <c r="F61" s="9" t="n">
        <v>3357.66</v>
      </c>
      <c r="G61" s="9" t="n">
        <v>30358.84</v>
      </c>
      <c r="H61" s="9" t="n">
        <v>61976.8</v>
      </c>
      <c r="I61" s="33" t="s">
        <v>84</v>
      </c>
      <c r="J61" s="34" t="n">
        <v>27.5</v>
      </c>
    </row>
    <row r="62" customFormat="false" ht="15" hidden="false" customHeight="false" outlineLevel="0" collapsed="false">
      <c r="B62" s="29" t="s">
        <v>159</v>
      </c>
      <c r="C62" s="30" t="n">
        <v>44.42</v>
      </c>
      <c r="D62" s="30" t="n">
        <v>0</v>
      </c>
      <c r="E62" s="30" t="n">
        <v>44.42</v>
      </c>
      <c r="F62" s="30" t="n">
        <v>0</v>
      </c>
      <c r="G62" s="30" t="n">
        <v>44.42</v>
      </c>
      <c r="H62" s="30" t="n">
        <v>0</v>
      </c>
      <c r="I62" s="31" t="s">
        <v>89</v>
      </c>
      <c r="J62" s="32" t="n">
        <v>5</v>
      </c>
    </row>
    <row r="63" customFormat="false" ht="15" hidden="false" customHeight="false" outlineLevel="0" collapsed="false">
      <c r="B63" s="7" t="s">
        <v>160</v>
      </c>
      <c r="C63" s="9" t="n">
        <v>168.16</v>
      </c>
      <c r="D63" s="9" t="n">
        <v>0</v>
      </c>
      <c r="E63" s="9" t="n">
        <v>48.63</v>
      </c>
      <c r="F63" s="9" t="n">
        <v>6.11</v>
      </c>
      <c r="G63" s="9" t="n">
        <v>54.74</v>
      </c>
      <c r="H63" s="9" t="n">
        <v>113.42</v>
      </c>
      <c r="I63" s="33" t="s">
        <v>84</v>
      </c>
      <c r="J63" s="34" t="n">
        <v>27.5</v>
      </c>
    </row>
    <row r="64" customFormat="false" ht="15" hidden="false" customHeight="false" outlineLevel="0" collapsed="false">
      <c r="B64" s="29" t="s">
        <v>161</v>
      </c>
      <c r="C64" s="30" t="n">
        <v>2300.7</v>
      </c>
      <c r="D64" s="30" t="n">
        <v>0</v>
      </c>
      <c r="E64" s="30" t="n">
        <v>2300.7</v>
      </c>
      <c r="F64" s="30" t="n">
        <v>0</v>
      </c>
      <c r="G64" s="30" t="n">
        <v>2300.7</v>
      </c>
      <c r="H64" s="30" t="n">
        <v>0</v>
      </c>
      <c r="I64" s="31" t="s">
        <v>89</v>
      </c>
      <c r="J64" s="32" t="n">
        <v>5</v>
      </c>
    </row>
    <row r="65" customFormat="false" ht="15" hidden="false" customHeight="false" outlineLevel="0" collapsed="false">
      <c r="B65" s="7" t="s">
        <v>162</v>
      </c>
      <c r="C65" s="9" t="n">
        <v>8710.9</v>
      </c>
      <c r="D65" s="9" t="n">
        <v>0</v>
      </c>
      <c r="E65" s="9" t="n">
        <v>2547.28</v>
      </c>
      <c r="F65" s="9" t="n">
        <v>316.76</v>
      </c>
      <c r="G65" s="9" t="n">
        <v>2864.04</v>
      </c>
      <c r="H65" s="9" t="n">
        <v>5846.86</v>
      </c>
      <c r="I65" s="33" t="s">
        <v>84</v>
      </c>
      <c r="J65" s="34" t="n">
        <v>27.5</v>
      </c>
    </row>
    <row r="66" customFormat="false" ht="15" hidden="false" customHeight="false" outlineLevel="0" collapsed="false">
      <c r="B66" s="29" t="s">
        <v>163</v>
      </c>
      <c r="C66" s="30" t="n">
        <v>4167.44</v>
      </c>
      <c r="D66" s="30" t="n">
        <v>0</v>
      </c>
      <c r="E66" s="30" t="n">
        <v>4167.44</v>
      </c>
      <c r="F66" s="30" t="n">
        <v>0</v>
      </c>
      <c r="G66" s="30" t="n">
        <v>4167.44</v>
      </c>
      <c r="H66" s="30" t="n">
        <v>0</v>
      </c>
      <c r="I66" s="31" t="s">
        <v>89</v>
      </c>
      <c r="J66" s="32" t="n">
        <v>5</v>
      </c>
    </row>
    <row r="67" customFormat="false" ht="15" hidden="false" customHeight="false" outlineLevel="0" collapsed="false">
      <c r="B67" s="7" t="s">
        <v>164</v>
      </c>
      <c r="C67" s="9" t="n">
        <v>15778.73</v>
      </c>
      <c r="D67" s="9" t="n">
        <v>0</v>
      </c>
      <c r="E67" s="9" t="n">
        <v>4614.07</v>
      </c>
      <c r="F67" s="9" t="n">
        <v>573.77</v>
      </c>
      <c r="G67" s="9" t="n">
        <v>5187.84</v>
      </c>
      <c r="H67" s="9" t="n">
        <v>10590.89</v>
      </c>
      <c r="I67" s="33" t="s">
        <v>84</v>
      </c>
      <c r="J67" s="34" t="n">
        <v>27.5</v>
      </c>
    </row>
    <row r="68" customFormat="false" ht="15" hidden="false" customHeight="false" outlineLevel="0" collapsed="false">
      <c r="A68" s="35"/>
      <c r="B68" s="36" t="s">
        <v>34</v>
      </c>
      <c r="C68" s="37" t="n">
        <f aca="false">SUM(C60:C67)</f>
        <v>147893.47</v>
      </c>
      <c r="D68" s="37" t="n">
        <f aca="false">SUM(D60:D67)</f>
        <v>0</v>
      </c>
      <c r="E68" s="37" t="n">
        <f aca="false">SUM(E60:E67)</f>
        <v>65111.2</v>
      </c>
      <c r="F68" s="37" t="n">
        <f aca="false">SUM(F60:F67)</f>
        <v>4254.3</v>
      </c>
      <c r="G68" s="37" t="n">
        <f aca="false">SUM(G60:G67)</f>
        <v>69365.5</v>
      </c>
      <c r="H68" s="37" t="n">
        <f aca="false">SUM(H60:H67)</f>
        <v>78527.97</v>
      </c>
      <c r="I68" s="35"/>
      <c r="J68" s="35"/>
    </row>
    <row r="70" customFormat="false" ht="15" hidden="false" customHeight="false" outlineLevel="0" collapsed="false">
      <c r="A70" s="25" t="s">
        <v>38</v>
      </c>
      <c r="B70" s="25"/>
      <c r="C70" s="25"/>
      <c r="D70" s="25"/>
      <c r="E70" s="25"/>
    </row>
    <row r="71" customFormat="false" ht="15" hidden="false" customHeight="false" outlineLevel="0" collapsed="false">
      <c r="B71" s="7" t="s">
        <v>99</v>
      </c>
      <c r="C71" s="39" t="n">
        <f aca="false">G56</f>
        <v>64826.13</v>
      </c>
    </row>
    <row r="72" customFormat="false" ht="15" hidden="false" customHeight="false" outlineLevel="0" collapsed="false">
      <c r="B72" s="7" t="s">
        <v>100</v>
      </c>
      <c r="C72" s="39" t="n">
        <f aca="false">G68</f>
        <v>69365.5</v>
      </c>
    </row>
    <row r="73" customFormat="false" ht="15" hidden="false" customHeight="false" outlineLevel="0" collapsed="false">
      <c r="B73" s="10" t="s">
        <v>38</v>
      </c>
      <c r="C73" s="40" t="n">
        <f aca="false">C72-C71</f>
        <v>4539.37</v>
      </c>
    </row>
  </sheetData>
  <mergeCells count="11">
    <mergeCell ref="A2:J2"/>
    <mergeCell ref="A3:J3"/>
    <mergeCell ref="A4:J4"/>
    <mergeCell ref="A8:J8"/>
    <mergeCell ref="B10:J10"/>
    <mergeCell ref="B23:J23"/>
    <mergeCell ref="B42:J42"/>
    <mergeCell ref="A49:J49"/>
    <mergeCell ref="A50:J50"/>
    <mergeCell ref="A58:J58"/>
    <mergeCell ref="A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181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182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4901.61</v>
      </c>
      <c r="D11" s="21" t="n">
        <v>4901.61</v>
      </c>
    </row>
    <row r="12" customFormat="false" ht="15" hidden="false" customHeight="false" outlineLevel="0" collapsed="false">
      <c r="B12" s="15" t="s">
        <v>105</v>
      </c>
      <c r="C12" s="21" t="n">
        <v>2185.54</v>
      </c>
      <c r="D12" s="21" t="n">
        <v>2185.54</v>
      </c>
    </row>
    <row r="13" customFormat="false" ht="15" hidden="false" customHeight="false" outlineLevel="0" collapsed="false">
      <c r="B13" s="15" t="s">
        <v>106</v>
      </c>
      <c r="C13" s="21" t="n">
        <v>11385.26</v>
      </c>
      <c r="D13" s="21" t="n">
        <v>11385.26</v>
      </c>
    </row>
    <row r="14" customFormat="false" ht="15" hidden="false" customHeight="false" outlineLevel="0" collapsed="false">
      <c r="B14" s="15" t="s">
        <v>108</v>
      </c>
      <c r="C14" s="21" t="n">
        <v>589.62</v>
      </c>
      <c r="D14" s="21" t="n">
        <v>589.62</v>
      </c>
    </row>
    <row r="15" customFormat="false" ht="15" hidden="false" customHeight="false" outlineLevel="0" collapsed="false">
      <c r="B15" s="15" t="s">
        <v>146</v>
      </c>
      <c r="C15" s="21" t="n">
        <v>183.29</v>
      </c>
      <c r="D15" s="21" t="n">
        <v>183.29</v>
      </c>
    </row>
    <row r="16" customFormat="false" ht="15" hidden="false" customHeight="false" outlineLevel="0" collapsed="false">
      <c r="B16" s="15" t="s">
        <v>147</v>
      </c>
      <c r="C16" s="21" t="n">
        <v>96.76</v>
      </c>
      <c r="D16" s="21" t="n">
        <v>96.76</v>
      </c>
    </row>
    <row r="17" customFormat="false" ht="15" hidden="false" customHeight="false" outlineLevel="0" collapsed="false">
      <c r="B17" s="15" t="s">
        <v>109</v>
      </c>
      <c r="C17" s="21" t="n">
        <v>2980.97</v>
      </c>
      <c r="D17" s="21" t="n">
        <v>2980.97</v>
      </c>
    </row>
    <row r="18" customFormat="false" ht="15" hidden="false" customHeight="false" outlineLevel="0" collapsed="false">
      <c r="B18" s="15" t="s">
        <v>110</v>
      </c>
      <c r="C18" s="21" t="n">
        <v>994.55</v>
      </c>
      <c r="D18" s="21" t="n">
        <v>994.55</v>
      </c>
    </row>
    <row r="19" customFormat="false" ht="15" hidden="false" customHeight="false" outlineLevel="0" collapsed="false">
      <c r="B19" s="15" t="s">
        <v>148</v>
      </c>
      <c r="C19" s="21" t="n">
        <v>3427.41</v>
      </c>
      <c r="D19" s="21" t="n">
        <v>3427.41</v>
      </c>
    </row>
    <row r="20" customFormat="false" ht="15" hidden="false" customHeight="false" outlineLevel="0" collapsed="false">
      <c r="B20" s="15" t="s">
        <v>112</v>
      </c>
      <c r="C20" s="21" t="n">
        <v>428.96</v>
      </c>
      <c r="D20" s="21" t="n">
        <v>428.96</v>
      </c>
    </row>
    <row r="21" customFormat="false" ht="15" hidden="false" customHeight="false" outlineLevel="0" collapsed="false">
      <c r="B21" s="15" t="s">
        <v>149</v>
      </c>
      <c r="C21" s="21" t="n">
        <v>43.2</v>
      </c>
      <c r="D21" s="21" t="n">
        <v>43.2</v>
      </c>
    </row>
    <row r="22" customFormat="false" ht="15" hidden="false" customHeight="false" outlineLevel="0" collapsed="false">
      <c r="B22" s="15" t="s">
        <v>150</v>
      </c>
      <c r="C22" s="21" t="n">
        <v>3682.87</v>
      </c>
      <c r="D22" s="21" t="n">
        <v>3682.87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8561.68</v>
      </c>
      <c r="G24" s="21" t="n">
        <v>8561.68</v>
      </c>
    </row>
    <row r="25" customFormat="false" ht="15" hidden="false" customHeight="false" outlineLevel="0" collapsed="false">
      <c r="B25" s="15" t="s">
        <v>116</v>
      </c>
      <c r="C25" s="21" t="n">
        <v>16225.62</v>
      </c>
      <c r="G25" s="21" t="n">
        <v>16225.62</v>
      </c>
    </row>
    <row r="26" customFormat="false" ht="15" hidden="false" customHeight="false" outlineLevel="0" collapsed="false">
      <c r="B26" s="15" t="s">
        <v>117</v>
      </c>
      <c r="C26" s="21" t="n">
        <v>10992.55</v>
      </c>
      <c r="G26" s="21" t="n">
        <v>10992.55</v>
      </c>
    </row>
    <row r="27" customFormat="false" ht="15" hidden="false" customHeight="false" outlineLevel="0" collapsed="false">
      <c r="B27" s="15" t="s">
        <v>118</v>
      </c>
      <c r="C27" s="21" t="n">
        <v>12099.12</v>
      </c>
      <c r="G27" s="21" t="n">
        <v>12099.12</v>
      </c>
    </row>
    <row r="28" customFormat="false" ht="15" hidden="false" customHeight="false" outlineLevel="0" collapsed="false">
      <c r="B28" s="15" t="s">
        <v>119</v>
      </c>
      <c r="C28" s="21" t="n">
        <v>9715.1</v>
      </c>
      <c r="G28" s="21" t="n">
        <v>9715.1</v>
      </c>
    </row>
    <row r="29" customFormat="false" ht="15" hidden="false" customHeight="false" outlineLevel="0" collapsed="false">
      <c r="B29" s="15" t="s">
        <v>120</v>
      </c>
      <c r="C29" s="21" t="n">
        <v>548.48</v>
      </c>
      <c r="G29" s="21" t="n">
        <v>548.48</v>
      </c>
    </row>
    <row r="30" customFormat="false" ht="15" hidden="false" customHeight="false" outlineLevel="0" collapsed="false">
      <c r="B30" s="15" t="s">
        <v>121</v>
      </c>
      <c r="C30" s="21" t="n">
        <v>12559.71</v>
      </c>
      <c r="G30" s="21" t="n">
        <v>12559.71</v>
      </c>
    </row>
    <row r="31" customFormat="false" ht="15" hidden="false" customHeight="false" outlineLevel="0" collapsed="false">
      <c r="B31" s="15" t="s">
        <v>122</v>
      </c>
      <c r="C31" s="21" t="n">
        <v>5680.09</v>
      </c>
      <c r="G31" s="21" t="n">
        <v>5680.09</v>
      </c>
    </row>
    <row r="32" customFormat="false" ht="15" hidden="false" customHeight="false" outlineLevel="0" collapsed="false">
      <c r="B32" s="15" t="s">
        <v>123</v>
      </c>
      <c r="C32" s="21" t="n">
        <v>2911.57</v>
      </c>
      <c r="G32" s="21" t="n">
        <v>2911.57</v>
      </c>
    </row>
    <row r="33" customFormat="false" ht="15" hidden="false" customHeight="false" outlineLevel="0" collapsed="false">
      <c r="B33" s="15" t="s">
        <v>124</v>
      </c>
      <c r="C33" s="21" t="n">
        <v>5070.55</v>
      </c>
      <c r="G33" s="21" t="n">
        <v>5070.55</v>
      </c>
    </row>
    <row r="34" customFormat="false" ht="15" hidden="false" customHeight="false" outlineLevel="0" collapsed="false">
      <c r="B34" s="15" t="s">
        <v>125</v>
      </c>
      <c r="C34" s="21" t="n">
        <v>9837.36</v>
      </c>
      <c r="G34" s="21" t="n">
        <v>9837.36</v>
      </c>
    </row>
    <row r="35" customFormat="false" ht="15" hidden="false" customHeight="false" outlineLevel="0" collapsed="false">
      <c r="B35" s="15" t="s">
        <v>126</v>
      </c>
      <c r="C35" s="21" t="n">
        <v>4408.6</v>
      </c>
      <c r="G35" s="21" t="n">
        <v>4408.6</v>
      </c>
    </row>
    <row r="36" customFormat="false" ht="15" hidden="false" customHeight="false" outlineLevel="0" collapsed="false">
      <c r="B36" s="15" t="s">
        <v>127</v>
      </c>
      <c r="C36" s="21" t="n">
        <v>1012.22</v>
      </c>
      <c r="G36" s="21" t="n">
        <v>1012.22</v>
      </c>
    </row>
    <row r="37" customFormat="false" ht="15" hidden="false" customHeight="false" outlineLevel="0" collapsed="false">
      <c r="B37" s="15" t="s">
        <v>129</v>
      </c>
      <c r="C37" s="21" t="n">
        <v>14327.98</v>
      </c>
      <c r="G37" s="21" t="n">
        <v>14327.98</v>
      </c>
    </row>
    <row r="38" customFormat="false" ht="15" hidden="false" customHeight="false" outlineLevel="0" collapsed="false">
      <c r="B38" s="15" t="s">
        <v>130</v>
      </c>
      <c r="C38" s="21" t="n">
        <v>1332.99</v>
      </c>
      <c r="G38" s="21" t="n">
        <v>1332.99</v>
      </c>
    </row>
    <row r="39" customFormat="false" ht="15" hidden="false" customHeight="false" outlineLevel="0" collapsed="false">
      <c r="B39" s="15" t="s">
        <v>152</v>
      </c>
      <c r="C39" s="21" t="n">
        <v>1709.81</v>
      </c>
      <c r="G39" s="21" t="n">
        <v>1709.81</v>
      </c>
    </row>
    <row r="40" customFormat="false" ht="15" hidden="false" customHeight="false" outlineLevel="0" collapsed="false">
      <c r="A40" s="22"/>
      <c r="B40" s="23" t="s">
        <v>66</v>
      </c>
      <c r="C40" s="24" t="n">
        <f aca="false">SUM(C10:C39)</f>
        <v>147893.47</v>
      </c>
      <c r="D40" s="24" t="n">
        <f aca="false">SUM(D10:D39)</f>
        <v>30900.04</v>
      </c>
      <c r="E40" s="24" t="n">
        <f aca="false">SUM(E10:E39)</f>
        <v>0</v>
      </c>
      <c r="F40" s="24" t="n">
        <f aca="false">SUM(F10:F39)</f>
        <v>0</v>
      </c>
      <c r="G40" s="24" t="n">
        <f aca="false">SUM(G10:G39)</f>
        <v>116993.43</v>
      </c>
      <c r="H40" s="22"/>
    </row>
    <row r="42" customFormat="false" ht="15" hidden="false" customHeight="false" outlineLevel="0" collapsed="false">
      <c r="A42" s="19"/>
      <c r="B42" s="20" t="s">
        <v>67</v>
      </c>
      <c r="C42" s="20"/>
      <c r="D42" s="20"/>
      <c r="E42" s="20"/>
      <c r="F42" s="20"/>
      <c r="G42" s="20"/>
      <c r="H42" s="20"/>
      <c r="I42" s="20"/>
      <c r="J42" s="20"/>
    </row>
    <row r="43" customFormat="false" ht="15" hidden="false" customHeight="false" outlineLevel="0" collapsed="false">
      <c r="B43" s="15" t="s">
        <v>68</v>
      </c>
      <c r="C43" s="21" t="n">
        <v>116723.12</v>
      </c>
      <c r="D43" s="21" t="n">
        <v>24387.48</v>
      </c>
      <c r="G43" s="21" t="n">
        <v>92335.64</v>
      </c>
    </row>
    <row r="44" customFormat="false" ht="15" hidden="false" customHeight="false" outlineLevel="0" collapsed="false">
      <c r="B44" s="15" t="s">
        <v>69</v>
      </c>
      <c r="C44" s="21" t="n">
        <v>212.58</v>
      </c>
      <c r="D44" s="21" t="n">
        <v>44.42</v>
      </c>
      <c r="G44" s="21" t="n">
        <v>168.16</v>
      </c>
    </row>
    <row r="45" customFormat="false" ht="15" hidden="false" customHeight="false" outlineLevel="0" collapsed="false">
      <c r="B45" s="15" t="s">
        <v>70</v>
      </c>
      <c r="C45" s="21" t="n">
        <v>11011.6</v>
      </c>
      <c r="D45" s="21" t="n">
        <v>2300.7</v>
      </c>
      <c r="G45" s="21" t="n">
        <v>8710.9</v>
      </c>
    </row>
    <row r="46" customFormat="false" ht="15" hidden="false" customHeight="false" outlineLevel="0" collapsed="false">
      <c r="B46" s="15" t="s">
        <v>71</v>
      </c>
      <c r="C46" s="21" t="n">
        <v>19946.17</v>
      </c>
      <c r="D46" s="21" t="n">
        <v>4167.44</v>
      </c>
      <c r="G46" s="21" t="n">
        <v>15778.73</v>
      </c>
    </row>
    <row r="47" customFormat="false" ht="15" hidden="false" customHeight="false" outlineLevel="0" collapsed="false">
      <c r="A47" s="22"/>
      <c r="B47" s="23" t="s">
        <v>72</v>
      </c>
      <c r="C47" s="24" t="n">
        <f aca="false">SUM(C43:C46)</f>
        <v>147893.47</v>
      </c>
      <c r="D47" s="24" t="n">
        <f aca="false">SUM(D43:D46)</f>
        <v>30900.04</v>
      </c>
      <c r="E47" s="22"/>
      <c r="F47" s="24" t="n">
        <f aca="false">SUM(F43:F46)</f>
        <v>0</v>
      </c>
      <c r="G47" s="24" t="n">
        <f aca="false">SUM(G43:G46)</f>
        <v>116993.43</v>
      </c>
      <c r="H47" s="22"/>
    </row>
    <row r="49" customFormat="false" ht="15" hidden="false" customHeight="false" outlineLevel="0" collapsed="false">
      <c r="A49" s="25" t="s">
        <v>73</v>
      </c>
      <c r="B49" s="25"/>
      <c r="C49" s="25"/>
      <c r="D49" s="25"/>
      <c r="E49" s="25"/>
      <c r="F49" s="25"/>
      <c r="G49" s="25"/>
      <c r="H49" s="25"/>
      <c r="I49" s="25"/>
      <c r="J49" s="25"/>
    </row>
    <row r="50" customFormat="false" ht="15" hidden="false" customHeight="false" outlineLevel="0" collapsed="false">
      <c r="A50" s="26" t="s">
        <v>36</v>
      </c>
      <c r="B50" s="26"/>
      <c r="C50" s="26"/>
      <c r="D50" s="26"/>
      <c r="E50" s="26"/>
      <c r="F50" s="26"/>
      <c r="G50" s="26"/>
      <c r="H50" s="26"/>
      <c r="I50" s="26"/>
      <c r="J50" s="26"/>
    </row>
    <row r="51" customFormat="false" ht="15" hidden="false" customHeight="false" outlineLevel="0" collapsed="false">
      <c r="A51" s="27"/>
      <c r="B51" s="27" t="s">
        <v>74</v>
      </c>
      <c r="C51" s="28" t="s">
        <v>75</v>
      </c>
      <c r="D51" s="28" t="s">
        <v>76</v>
      </c>
      <c r="E51" s="28" t="s">
        <v>77</v>
      </c>
      <c r="F51" s="28" t="s">
        <v>78</v>
      </c>
      <c r="G51" s="28" t="s">
        <v>79</v>
      </c>
      <c r="H51" s="28" t="s">
        <v>80</v>
      </c>
      <c r="I51" s="28" t="s">
        <v>81</v>
      </c>
      <c r="J51" s="28" t="s">
        <v>82</v>
      </c>
    </row>
    <row r="52" customFormat="false" ht="15" hidden="false" customHeight="false" outlineLevel="0" collapsed="false">
      <c r="B52" s="29" t="s">
        <v>153</v>
      </c>
      <c r="C52" s="30" t="n">
        <v>116723.12</v>
      </c>
      <c r="D52" s="30" t="n">
        <v>0</v>
      </c>
      <c r="E52" s="30" t="n">
        <v>34132.24</v>
      </c>
      <c r="F52" s="30" t="n">
        <v>4244.48</v>
      </c>
      <c r="G52" s="30" t="n">
        <v>38376.72</v>
      </c>
      <c r="H52" s="30" t="n">
        <v>78346.4</v>
      </c>
      <c r="I52" s="31" t="s">
        <v>84</v>
      </c>
      <c r="J52" s="32" t="n">
        <v>27.5</v>
      </c>
    </row>
    <row r="53" customFormat="false" ht="15" hidden="false" customHeight="false" outlineLevel="0" collapsed="false">
      <c r="B53" s="7" t="s">
        <v>154</v>
      </c>
      <c r="C53" s="9" t="n">
        <v>212.58</v>
      </c>
      <c r="D53" s="9" t="n">
        <v>0</v>
      </c>
      <c r="E53" s="9" t="n">
        <v>61.56</v>
      </c>
      <c r="F53" s="9" t="n">
        <v>7.73</v>
      </c>
      <c r="G53" s="9" t="n">
        <v>69.29</v>
      </c>
      <c r="H53" s="9" t="n">
        <v>143.29</v>
      </c>
      <c r="I53" s="33" t="s">
        <v>84</v>
      </c>
      <c r="J53" s="34" t="n">
        <v>27.5</v>
      </c>
    </row>
    <row r="54" customFormat="false" ht="15" hidden="false" customHeight="false" outlineLevel="0" collapsed="false">
      <c r="B54" s="29" t="s">
        <v>155</v>
      </c>
      <c r="C54" s="30" t="n">
        <v>11011.6</v>
      </c>
      <c r="D54" s="30" t="n">
        <v>0</v>
      </c>
      <c r="E54" s="30" t="n">
        <v>6449.13</v>
      </c>
      <c r="F54" s="30" t="n">
        <v>649.69</v>
      </c>
      <c r="G54" s="30" t="n">
        <v>7098.82</v>
      </c>
      <c r="H54" s="30" t="n">
        <v>3912.78</v>
      </c>
      <c r="I54" s="31" t="s">
        <v>87</v>
      </c>
      <c r="J54" s="32" t="n">
        <v>15</v>
      </c>
    </row>
    <row r="55" customFormat="false" ht="15" hidden="false" customHeight="false" outlineLevel="0" collapsed="false">
      <c r="B55" s="7" t="s">
        <v>156</v>
      </c>
      <c r="C55" s="9" t="n">
        <v>19946.17</v>
      </c>
      <c r="D55" s="9" t="n">
        <v>0</v>
      </c>
      <c r="E55" s="9" t="n">
        <v>19281.3</v>
      </c>
      <c r="F55" s="9" t="n">
        <v>0</v>
      </c>
      <c r="G55" s="9" t="n">
        <v>19281.3</v>
      </c>
      <c r="H55" s="9" t="n">
        <v>664.87</v>
      </c>
      <c r="I55" s="33" t="s">
        <v>89</v>
      </c>
      <c r="J55" s="34" t="n">
        <v>5</v>
      </c>
    </row>
    <row r="56" customFormat="false" ht="15" hidden="false" customHeight="false" outlineLevel="0" collapsed="false">
      <c r="A56" s="35"/>
      <c r="B56" s="36" t="s">
        <v>34</v>
      </c>
      <c r="C56" s="37" t="n">
        <f aca="false">SUM(C52:C55)</f>
        <v>147893.47</v>
      </c>
      <c r="D56" s="37" t="n">
        <f aca="false">SUM(D52:D55)</f>
        <v>0</v>
      </c>
      <c r="E56" s="37" t="n">
        <f aca="false">SUM(E52:E55)</f>
        <v>59924.23</v>
      </c>
      <c r="F56" s="37" t="n">
        <f aca="false">SUM(F52:F55)</f>
        <v>4901.9</v>
      </c>
      <c r="G56" s="37" t="n">
        <f aca="false">SUM(G52:G55)</f>
        <v>64826.13</v>
      </c>
      <c r="H56" s="37" t="n">
        <f aca="false">SUM(H52:H55)</f>
        <v>83067.34</v>
      </c>
      <c r="I56" s="35"/>
      <c r="J56" s="35"/>
    </row>
    <row r="58" customFormat="false" ht="15" hidden="false" customHeight="false" outlineLevel="0" collapsed="false">
      <c r="A58" s="38" t="s">
        <v>90</v>
      </c>
      <c r="B58" s="38"/>
      <c r="C58" s="38"/>
      <c r="D58" s="38"/>
      <c r="E58" s="38"/>
      <c r="F58" s="38"/>
      <c r="G58" s="38"/>
      <c r="H58" s="38"/>
      <c r="I58" s="38"/>
      <c r="J58" s="38"/>
    </row>
    <row r="59" customFormat="false" ht="15" hidden="false" customHeight="false" outlineLevel="0" collapsed="false">
      <c r="A59" s="27"/>
      <c r="B59" s="27" t="s">
        <v>74</v>
      </c>
      <c r="C59" s="28" t="s">
        <v>75</v>
      </c>
      <c r="D59" s="28" t="s">
        <v>76</v>
      </c>
      <c r="E59" s="28" t="s">
        <v>77</v>
      </c>
      <c r="F59" s="28" t="s">
        <v>78</v>
      </c>
      <c r="G59" s="28" t="s">
        <v>79</v>
      </c>
      <c r="H59" s="28" t="s">
        <v>80</v>
      </c>
      <c r="I59" s="28" t="s">
        <v>81</v>
      </c>
      <c r="J59" s="28" t="s">
        <v>82</v>
      </c>
    </row>
    <row r="60" customFormat="false" ht="15" hidden="false" customHeight="false" outlineLevel="0" collapsed="false">
      <c r="B60" s="29" t="s">
        <v>157</v>
      </c>
      <c r="C60" s="30" t="n">
        <v>24387.48</v>
      </c>
      <c r="D60" s="30" t="n">
        <v>0</v>
      </c>
      <c r="E60" s="30" t="n">
        <v>24387.48</v>
      </c>
      <c r="F60" s="30" t="n">
        <v>0</v>
      </c>
      <c r="G60" s="30" t="n">
        <v>24387.48</v>
      </c>
      <c r="H60" s="30" t="n">
        <v>0</v>
      </c>
      <c r="I60" s="31" t="s">
        <v>89</v>
      </c>
      <c r="J60" s="32" t="n">
        <v>5</v>
      </c>
    </row>
    <row r="61" customFormat="false" ht="15" hidden="false" customHeight="false" outlineLevel="0" collapsed="false">
      <c r="B61" s="7" t="s">
        <v>158</v>
      </c>
      <c r="C61" s="9" t="n">
        <v>92335.64</v>
      </c>
      <c r="D61" s="9" t="n">
        <v>0</v>
      </c>
      <c r="E61" s="9" t="n">
        <v>27001.18</v>
      </c>
      <c r="F61" s="9" t="n">
        <v>3357.66</v>
      </c>
      <c r="G61" s="9" t="n">
        <v>30358.84</v>
      </c>
      <c r="H61" s="9" t="n">
        <v>61976.8</v>
      </c>
      <c r="I61" s="33" t="s">
        <v>84</v>
      </c>
      <c r="J61" s="34" t="n">
        <v>27.5</v>
      </c>
    </row>
    <row r="62" customFormat="false" ht="15" hidden="false" customHeight="false" outlineLevel="0" collapsed="false">
      <c r="B62" s="29" t="s">
        <v>159</v>
      </c>
      <c r="C62" s="30" t="n">
        <v>44.42</v>
      </c>
      <c r="D62" s="30" t="n">
        <v>0</v>
      </c>
      <c r="E62" s="30" t="n">
        <v>44.42</v>
      </c>
      <c r="F62" s="30" t="n">
        <v>0</v>
      </c>
      <c r="G62" s="30" t="n">
        <v>44.42</v>
      </c>
      <c r="H62" s="30" t="n">
        <v>0</v>
      </c>
      <c r="I62" s="31" t="s">
        <v>89</v>
      </c>
      <c r="J62" s="32" t="n">
        <v>5</v>
      </c>
    </row>
    <row r="63" customFormat="false" ht="15" hidden="false" customHeight="false" outlineLevel="0" collapsed="false">
      <c r="B63" s="7" t="s">
        <v>160</v>
      </c>
      <c r="C63" s="9" t="n">
        <v>168.16</v>
      </c>
      <c r="D63" s="9" t="n">
        <v>0</v>
      </c>
      <c r="E63" s="9" t="n">
        <v>48.63</v>
      </c>
      <c r="F63" s="9" t="n">
        <v>6.11</v>
      </c>
      <c r="G63" s="9" t="n">
        <v>54.74</v>
      </c>
      <c r="H63" s="9" t="n">
        <v>113.42</v>
      </c>
      <c r="I63" s="33" t="s">
        <v>84</v>
      </c>
      <c r="J63" s="34" t="n">
        <v>27.5</v>
      </c>
    </row>
    <row r="64" customFormat="false" ht="15" hidden="false" customHeight="false" outlineLevel="0" collapsed="false">
      <c r="B64" s="29" t="s">
        <v>161</v>
      </c>
      <c r="C64" s="30" t="n">
        <v>2300.7</v>
      </c>
      <c r="D64" s="30" t="n">
        <v>0</v>
      </c>
      <c r="E64" s="30" t="n">
        <v>2300.7</v>
      </c>
      <c r="F64" s="30" t="n">
        <v>0</v>
      </c>
      <c r="G64" s="30" t="n">
        <v>2300.7</v>
      </c>
      <c r="H64" s="30" t="n">
        <v>0</v>
      </c>
      <c r="I64" s="31" t="s">
        <v>89</v>
      </c>
      <c r="J64" s="32" t="n">
        <v>5</v>
      </c>
    </row>
    <row r="65" customFormat="false" ht="15" hidden="false" customHeight="false" outlineLevel="0" collapsed="false">
      <c r="B65" s="7" t="s">
        <v>162</v>
      </c>
      <c r="C65" s="9" t="n">
        <v>8710.9</v>
      </c>
      <c r="D65" s="9" t="n">
        <v>0</v>
      </c>
      <c r="E65" s="9" t="n">
        <v>2547.28</v>
      </c>
      <c r="F65" s="9" t="n">
        <v>316.76</v>
      </c>
      <c r="G65" s="9" t="n">
        <v>2864.04</v>
      </c>
      <c r="H65" s="9" t="n">
        <v>5846.86</v>
      </c>
      <c r="I65" s="33" t="s">
        <v>84</v>
      </c>
      <c r="J65" s="34" t="n">
        <v>27.5</v>
      </c>
    </row>
    <row r="66" customFormat="false" ht="15" hidden="false" customHeight="false" outlineLevel="0" collapsed="false">
      <c r="B66" s="29" t="s">
        <v>163</v>
      </c>
      <c r="C66" s="30" t="n">
        <v>4167.44</v>
      </c>
      <c r="D66" s="30" t="n">
        <v>0</v>
      </c>
      <c r="E66" s="30" t="n">
        <v>4167.44</v>
      </c>
      <c r="F66" s="30" t="n">
        <v>0</v>
      </c>
      <c r="G66" s="30" t="n">
        <v>4167.44</v>
      </c>
      <c r="H66" s="30" t="n">
        <v>0</v>
      </c>
      <c r="I66" s="31" t="s">
        <v>89</v>
      </c>
      <c r="J66" s="32" t="n">
        <v>5</v>
      </c>
    </row>
    <row r="67" customFormat="false" ht="15" hidden="false" customHeight="false" outlineLevel="0" collapsed="false">
      <c r="B67" s="7" t="s">
        <v>164</v>
      </c>
      <c r="C67" s="9" t="n">
        <v>15778.73</v>
      </c>
      <c r="D67" s="9" t="n">
        <v>0</v>
      </c>
      <c r="E67" s="9" t="n">
        <v>4614.07</v>
      </c>
      <c r="F67" s="9" t="n">
        <v>573.77</v>
      </c>
      <c r="G67" s="9" t="n">
        <v>5187.84</v>
      </c>
      <c r="H67" s="9" t="n">
        <v>10590.89</v>
      </c>
      <c r="I67" s="33" t="s">
        <v>84</v>
      </c>
      <c r="J67" s="34" t="n">
        <v>27.5</v>
      </c>
    </row>
    <row r="68" customFormat="false" ht="15" hidden="false" customHeight="false" outlineLevel="0" collapsed="false">
      <c r="A68" s="35"/>
      <c r="B68" s="36" t="s">
        <v>34</v>
      </c>
      <c r="C68" s="37" t="n">
        <f aca="false">SUM(C60:C67)</f>
        <v>147893.47</v>
      </c>
      <c r="D68" s="37" t="n">
        <f aca="false">SUM(D60:D67)</f>
        <v>0</v>
      </c>
      <c r="E68" s="37" t="n">
        <f aca="false">SUM(E60:E67)</f>
        <v>65111.2</v>
      </c>
      <c r="F68" s="37" t="n">
        <f aca="false">SUM(F60:F67)</f>
        <v>4254.3</v>
      </c>
      <c r="G68" s="37" t="n">
        <f aca="false">SUM(G60:G67)</f>
        <v>69365.5</v>
      </c>
      <c r="H68" s="37" t="n">
        <f aca="false">SUM(H60:H67)</f>
        <v>78527.97</v>
      </c>
      <c r="I68" s="35"/>
      <c r="J68" s="35"/>
    </row>
    <row r="70" customFormat="false" ht="15" hidden="false" customHeight="false" outlineLevel="0" collapsed="false">
      <c r="A70" s="25" t="s">
        <v>38</v>
      </c>
      <c r="B70" s="25"/>
      <c r="C70" s="25"/>
      <c r="D70" s="25"/>
      <c r="E70" s="25"/>
    </row>
    <row r="71" customFormat="false" ht="15" hidden="false" customHeight="false" outlineLevel="0" collapsed="false">
      <c r="B71" s="7" t="s">
        <v>99</v>
      </c>
      <c r="C71" s="39" t="n">
        <f aca="false">G56</f>
        <v>64826.13</v>
      </c>
    </row>
    <row r="72" customFormat="false" ht="15" hidden="false" customHeight="false" outlineLevel="0" collapsed="false">
      <c r="B72" s="7" t="s">
        <v>100</v>
      </c>
      <c r="C72" s="39" t="n">
        <f aca="false">G68</f>
        <v>69365.5</v>
      </c>
    </row>
    <row r="73" customFormat="false" ht="15" hidden="false" customHeight="false" outlineLevel="0" collapsed="false">
      <c r="B73" s="10" t="s">
        <v>38</v>
      </c>
      <c r="C73" s="40" t="n">
        <f aca="false">C72-C71</f>
        <v>4539.37</v>
      </c>
    </row>
  </sheetData>
  <mergeCells count="11">
    <mergeCell ref="A2:J2"/>
    <mergeCell ref="A3:J3"/>
    <mergeCell ref="A4:J4"/>
    <mergeCell ref="A8:J8"/>
    <mergeCell ref="B10:J10"/>
    <mergeCell ref="B23:J23"/>
    <mergeCell ref="B42:J42"/>
    <mergeCell ref="A49:J49"/>
    <mergeCell ref="A50:J50"/>
    <mergeCell ref="A58:J58"/>
    <mergeCell ref="A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183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184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4785.17</v>
      </c>
      <c r="D11" s="21" t="n">
        <v>4785.17</v>
      </c>
    </row>
    <row r="12" customFormat="false" ht="15" hidden="false" customHeight="false" outlineLevel="0" collapsed="false">
      <c r="B12" s="15" t="s">
        <v>105</v>
      </c>
      <c r="C12" s="21" t="n">
        <v>1941.11</v>
      </c>
      <c r="D12" s="21" t="n">
        <v>1941.11</v>
      </c>
    </row>
    <row r="13" customFormat="false" ht="15" hidden="false" customHeight="false" outlineLevel="0" collapsed="false">
      <c r="B13" s="15" t="s">
        <v>106</v>
      </c>
      <c r="C13" s="21" t="n">
        <v>7939.87</v>
      </c>
      <c r="D13" s="21" t="n">
        <v>7939.87</v>
      </c>
    </row>
    <row r="14" customFormat="false" ht="15" hidden="false" customHeight="false" outlineLevel="0" collapsed="false">
      <c r="B14" s="15" t="s">
        <v>108</v>
      </c>
      <c r="C14" s="21" t="n">
        <v>428.82</v>
      </c>
      <c r="D14" s="21" t="n">
        <v>428.82</v>
      </c>
    </row>
    <row r="15" customFormat="false" ht="15" hidden="false" customHeight="false" outlineLevel="0" collapsed="false">
      <c r="B15" s="15" t="s">
        <v>146</v>
      </c>
      <c r="C15" s="21" t="n">
        <v>183.29</v>
      </c>
      <c r="D15" s="21" t="n">
        <v>183.29</v>
      </c>
    </row>
    <row r="16" customFormat="false" ht="15" hidden="false" customHeight="false" outlineLevel="0" collapsed="false">
      <c r="B16" s="15" t="s">
        <v>147</v>
      </c>
      <c r="C16" s="21" t="n">
        <v>96.76</v>
      </c>
      <c r="D16" s="21" t="n">
        <v>96.76</v>
      </c>
    </row>
    <row r="17" customFormat="false" ht="15" hidden="false" customHeight="false" outlineLevel="0" collapsed="false">
      <c r="B17" s="15" t="s">
        <v>109</v>
      </c>
      <c r="C17" s="21" t="n">
        <v>2980.97</v>
      </c>
      <c r="D17" s="21" t="n">
        <v>2980.97</v>
      </c>
    </row>
    <row r="18" customFormat="false" ht="15" hidden="false" customHeight="false" outlineLevel="0" collapsed="false">
      <c r="B18" s="15" t="s">
        <v>110</v>
      </c>
      <c r="C18" s="21" t="n">
        <v>693.58</v>
      </c>
      <c r="D18" s="21" t="n">
        <v>693.58</v>
      </c>
    </row>
    <row r="19" customFormat="false" ht="15" hidden="false" customHeight="false" outlineLevel="0" collapsed="false">
      <c r="B19" s="15" t="s">
        <v>148</v>
      </c>
      <c r="C19" s="21" t="n">
        <v>3427.41</v>
      </c>
      <c r="D19" s="21" t="n">
        <v>3427.41</v>
      </c>
    </row>
    <row r="20" customFormat="false" ht="15" hidden="false" customHeight="false" outlineLevel="0" collapsed="false">
      <c r="B20" s="15" t="s">
        <v>112</v>
      </c>
      <c r="C20" s="21" t="n">
        <v>758.85</v>
      </c>
      <c r="D20" s="21" t="n">
        <v>758.85</v>
      </c>
    </row>
    <row r="21" customFormat="false" ht="15" hidden="false" customHeight="false" outlineLevel="0" collapsed="false">
      <c r="B21" s="15" t="s">
        <v>149</v>
      </c>
      <c r="C21" s="21" t="n">
        <v>43.2</v>
      </c>
      <c r="D21" s="21" t="n">
        <v>43.2</v>
      </c>
    </row>
    <row r="22" customFormat="false" ht="15" hidden="false" customHeight="false" outlineLevel="0" collapsed="false">
      <c r="B22" s="15" t="s">
        <v>150</v>
      </c>
      <c r="C22" s="21" t="n">
        <v>3682.87</v>
      </c>
      <c r="D22" s="21" t="n">
        <v>3682.87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6281.12</v>
      </c>
      <c r="G24" s="21" t="n">
        <v>6281.12</v>
      </c>
    </row>
    <row r="25" customFormat="false" ht="15" hidden="false" customHeight="false" outlineLevel="0" collapsed="false">
      <c r="B25" s="15" t="s">
        <v>116</v>
      </c>
      <c r="C25" s="21" t="n">
        <v>12157.7</v>
      </c>
      <c r="G25" s="21" t="n">
        <v>12157.7</v>
      </c>
    </row>
    <row r="26" customFormat="false" ht="15" hidden="false" customHeight="false" outlineLevel="0" collapsed="false">
      <c r="B26" s="15" t="s">
        <v>117</v>
      </c>
      <c r="C26" s="21" t="n">
        <v>7610.53</v>
      </c>
      <c r="G26" s="21" t="n">
        <v>7610.53</v>
      </c>
    </row>
    <row r="27" customFormat="false" ht="15" hidden="false" customHeight="false" outlineLevel="0" collapsed="false">
      <c r="B27" s="15" t="s">
        <v>118</v>
      </c>
      <c r="C27" s="21" t="n">
        <v>8437.69</v>
      </c>
      <c r="G27" s="21" t="n">
        <v>8437.69</v>
      </c>
    </row>
    <row r="28" customFormat="false" ht="15" hidden="false" customHeight="false" outlineLevel="0" collapsed="false">
      <c r="B28" s="15" t="s">
        <v>119</v>
      </c>
      <c r="C28" s="21" t="n">
        <v>6775.13</v>
      </c>
      <c r="G28" s="21" t="n">
        <v>6775.13</v>
      </c>
    </row>
    <row r="29" customFormat="false" ht="15" hidden="false" customHeight="false" outlineLevel="0" collapsed="false">
      <c r="B29" s="15" t="s">
        <v>120</v>
      </c>
      <c r="C29" s="21" t="n">
        <v>378.96</v>
      </c>
      <c r="G29" s="21" t="n">
        <v>378.96</v>
      </c>
    </row>
    <row r="30" customFormat="false" ht="15" hidden="false" customHeight="false" outlineLevel="0" collapsed="false">
      <c r="B30" s="15" t="s">
        <v>121</v>
      </c>
      <c r="C30" s="21" t="n">
        <v>10712.7</v>
      </c>
      <c r="G30" s="21" t="n">
        <v>10712.7</v>
      </c>
    </row>
    <row r="31" customFormat="false" ht="15" hidden="false" customHeight="false" outlineLevel="0" collapsed="false">
      <c r="B31" s="15" t="s">
        <v>122</v>
      </c>
      <c r="C31" s="21" t="n">
        <v>5035.68</v>
      </c>
      <c r="G31" s="21" t="n">
        <v>5035.68</v>
      </c>
    </row>
    <row r="32" customFormat="false" ht="15" hidden="false" customHeight="false" outlineLevel="0" collapsed="false">
      <c r="B32" s="15" t="s">
        <v>123</v>
      </c>
      <c r="C32" s="21" t="n">
        <v>2117.51</v>
      </c>
      <c r="G32" s="21" t="n">
        <v>2117.51</v>
      </c>
    </row>
    <row r="33" customFormat="false" ht="15" hidden="false" customHeight="false" outlineLevel="0" collapsed="false">
      <c r="B33" s="15" t="s">
        <v>124</v>
      </c>
      <c r="C33" s="21" t="n">
        <v>3536.09</v>
      </c>
      <c r="G33" s="21" t="n">
        <v>3536.09</v>
      </c>
    </row>
    <row r="34" customFormat="false" ht="15" hidden="false" customHeight="false" outlineLevel="0" collapsed="false">
      <c r="B34" s="15" t="s">
        <v>125</v>
      </c>
      <c r="C34" s="21" t="n">
        <v>8613.79</v>
      </c>
      <c r="G34" s="21" t="n">
        <v>8613.79</v>
      </c>
    </row>
    <row r="35" customFormat="false" ht="15" hidden="false" customHeight="false" outlineLevel="0" collapsed="false">
      <c r="B35" s="15" t="s">
        <v>126</v>
      </c>
      <c r="C35" s="21" t="n">
        <v>3604.7</v>
      </c>
      <c r="G35" s="21" t="n">
        <v>3604.7</v>
      </c>
    </row>
    <row r="36" customFormat="false" ht="15" hidden="false" customHeight="false" outlineLevel="0" collapsed="false">
      <c r="B36" s="15" t="s">
        <v>127</v>
      </c>
      <c r="C36" s="21" t="n">
        <v>868.78</v>
      </c>
      <c r="G36" s="21" t="n">
        <v>868.78</v>
      </c>
    </row>
    <row r="37" customFormat="false" ht="15" hidden="false" customHeight="false" outlineLevel="0" collapsed="false">
      <c r="B37" s="15" t="s">
        <v>129</v>
      </c>
      <c r="C37" s="21" t="n">
        <v>10912.49</v>
      </c>
      <c r="G37" s="21" t="n">
        <v>10912.49</v>
      </c>
    </row>
    <row r="38" customFormat="false" ht="15" hidden="false" customHeight="false" outlineLevel="0" collapsed="false">
      <c r="B38" s="15" t="s">
        <v>130</v>
      </c>
      <c r="C38" s="21" t="n">
        <v>662.8</v>
      </c>
      <c r="G38" s="21" t="n">
        <v>662.8</v>
      </c>
    </row>
    <row r="39" customFormat="false" ht="15" hidden="false" customHeight="false" outlineLevel="0" collapsed="false">
      <c r="B39" s="15" t="s">
        <v>152</v>
      </c>
      <c r="C39" s="21" t="n">
        <v>811.57</v>
      </c>
      <c r="G39" s="21" t="n">
        <v>811.57</v>
      </c>
    </row>
    <row r="40" customFormat="false" ht="15" hidden="false" customHeight="false" outlineLevel="0" collapsed="false">
      <c r="A40" s="22"/>
      <c r="B40" s="23" t="s">
        <v>66</v>
      </c>
      <c r="C40" s="24" t="n">
        <f aca="false">SUM(C10:C39)</f>
        <v>115479.14</v>
      </c>
      <c r="D40" s="24" t="n">
        <f aca="false">SUM(D10:D39)</f>
        <v>26961.9</v>
      </c>
      <c r="E40" s="24" t="n">
        <f aca="false">SUM(E10:E39)</f>
        <v>0</v>
      </c>
      <c r="F40" s="24" t="n">
        <f aca="false">SUM(F10:F39)</f>
        <v>0</v>
      </c>
      <c r="G40" s="24" t="n">
        <f aca="false">SUM(G10:G39)</f>
        <v>88517.24</v>
      </c>
      <c r="H40" s="22"/>
    </row>
    <row r="42" customFormat="false" ht="15" hidden="false" customHeight="false" outlineLevel="0" collapsed="false">
      <c r="A42" s="19"/>
      <c r="B42" s="20" t="s">
        <v>67</v>
      </c>
      <c r="C42" s="20"/>
      <c r="D42" s="20"/>
      <c r="E42" s="20"/>
      <c r="F42" s="20"/>
      <c r="G42" s="20"/>
      <c r="H42" s="20"/>
      <c r="I42" s="20"/>
      <c r="J42" s="20"/>
    </row>
    <row r="43" customFormat="false" ht="15" hidden="false" customHeight="false" outlineLevel="0" collapsed="false">
      <c r="B43" s="15" t="s">
        <v>68</v>
      </c>
      <c r="C43" s="21" t="n">
        <v>91140.5</v>
      </c>
      <c r="D43" s="21" t="n">
        <v>21279.35</v>
      </c>
      <c r="G43" s="21" t="n">
        <v>69861.15</v>
      </c>
    </row>
    <row r="44" customFormat="false" ht="15" hidden="false" customHeight="false" outlineLevel="0" collapsed="false">
      <c r="B44" s="15" t="s">
        <v>69</v>
      </c>
      <c r="C44" s="21" t="n">
        <v>165.99</v>
      </c>
      <c r="D44" s="21" t="n">
        <v>38.76</v>
      </c>
      <c r="G44" s="21" t="n">
        <v>127.23</v>
      </c>
    </row>
    <row r="45" customFormat="false" ht="15" hidden="false" customHeight="false" outlineLevel="0" collapsed="false">
      <c r="B45" s="15" t="s">
        <v>70</v>
      </c>
      <c r="C45" s="21" t="n">
        <v>8598.15</v>
      </c>
      <c r="D45" s="21" t="n">
        <v>2007.48</v>
      </c>
      <c r="G45" s="21" t="n">
        <v>6590.67</v>
      </c>
    </row>
    <row r="46" customFormat="false" ht="15" hidden="false" customHeight="false" outlineLevel="0" collapsed="false">
      <c r="B46" s="15" t="s">
        <v>71</v>
      </c>
      <c r="C46" s="21" t="n">
        <v>15574.5</v>
      </c>
      <c r="D46" s="21" t="n">
        <v>3636.33</v>
      </c>
      <c r="G46" s="21" t="n">
        <v>11938.19</v>
      </c>
    </row>
    <row r="47" customFormat="false" ht="15" hidden="false" customHeight="false" outlineLevel="0" collapsed="false">
      <c r="A47" s="22"/>
      <c r="B47" s="23" t="s">
        <v>72</v>
      </c>
      <c r="C47" s="24" t="n">
        <f aca="false">SUM(C43:C46)</f>
        <v>115479.14</v>
      </c>
      <c r="D47" s="24" t="n">
        <f aca="false">SUM(D43:D46)</f>
        <v>26961.92</v>
      </c>
      <c r="E47" s="22"/>
      <c r="F47" s="24" t="n">
        <f aca="false">SUM(F43:F46)</f>
        <v>0</v>
      </c>
      <c r="G47" s="24" t="n">
        <f aca="false">SUM(G43:G46)</f>
        <v>88517.24</v>
      </c>
      <c r="H47" s="22"/>
    </row>
    <row r="49" customFormat="false" ht="15" hidden="false" customHeight="false" outlineLevel="0" collapsed="false">
      <c r="A49" s="25" t="s">
        <v>73</v>
      </c>
      <c r="B49" s="25"/>
      <c r="C49" s="25"/>
      <c r="D49" s="25"/>
      <c r="E49" s="25"/>
      <c r="F49" s="25"/>
      <c r="G49" s="25"/>
      <c r="H49" s="25"/>
      <c r="I49" s="25"/>
      <c r="J49" s="25"/>
    </row>
    <row r="50" customFormat="false" ht="15" hidden="false" customHeight="false" outlineLevel="0" collapsed="false">
      <c r="A50" s="26" t="s">
        <v>36</v>
      </c>
      <c r="B50" s="26"/>
      <c r="C50" s="26"/>
      <c r="D50" s="26"/>
      <c r="E50" s="26"/>
      <c r="F50" s="26"/>
      <c r="G50" s="26"/>
      <c r="H50" s="26"/>
      <c r="I50" s="26"/>
      <c r="J50" s="26"/>
    </row>
    <row r="51" customFormat="false" ht="15" hidden="false" customHeight="false" outlineLevel="0" collapsed="false">
      <c r="A51" s="27"/>
      <c r="B51" s="27" t="s">
        <v>74</v>
      </c>
      <c r="C51" s="28" t="s">
        <v>75</v>
      </c>
      <c r="D51" s="28" t="s">
        <v>76</v>
      </c>
      <c r="E51" s="28" t="s">
        <v>77</v>
      </c>
      <c r="F51" s="28" t="s">
        <v>78</v>
      </c>
      <c r="G51" s="28" t="s">
        <v>79</v>
      </c>
      <c r="H51" s="28" t="s">
        <v>80</v>
      </c>
      <c r="I51" s="28" t="s">
        <v>81</v>
      </c>
      <c r="J51" s="28" t="s">
        <v>82</v>
      </c>
    </row>
    <row r="52" customFormat="false" ht="15" hidden="false" customHeight="false" outlineLevel="0" collapsed="false">
      <c r="B52" s="29" t="s">
        <v>153</v>
      </c>
      <c r="C52" s="30" t="n">
        <v>91140.5</v>
      </c>
      <c r="D52" s="30" t="n">
        <v>0</v>
      </c>
      <c r="E52" s="30" t="n">
        <v>26651.36</v>
      </c>
      <c r="F52" s="30" t="n">
        <v>3314.2</v>
      </c>
      <c r="G52" s="30" t="n">
        <v>29965.56</v>
      </c>
      <c r="H52" s="30" t="n">
        <v>61174.94</v>
      </c>
      <c r="I52" s="31" t="s">
        <v>84</v>
      </c>
      <c r="J52" s="32" t="n">
        <v>27.5</v>
      </c>
    </row>
    <row r="53" customFormat="false" ht="15" hidden="false" customHeight="false" outlineLevel="0" collapsed="false">
      <c r="B53" s="7" t="s">
        <v>154</v>
      </c>
      <c r="C53" s="9" t="n">
        <v>165.99</v>
      </c>
      <c r="D53" s="9" t="n">
        <v>0</v>
      </c>
      <c r="E53" s="9" t="n">
        <v>48.07</v>
      </c>
      <c r="F53" s="9" t="n">
        <v>6.04</v>
      </c>
      <c r="G53" s="9" t="n">
        <v>54.11</v>
      </c>
      <c r="H53" s="9" t="n">
        <v>111.88</v>
      </c>
      <c r="I53" s="33" t="s">
        <v>84</v>
      </c>
      <c r="J53" s="34" t="n">
        <v>27.5</v>
      </c>
    </row>
    <row r="54" customFormat="false" ht="15" hidden="false" customHeight="false" outlineLevel="0" collapsed="false">
      <c r="B54" s="29" t="s">
        <v>155</v>
      </c>
      <c r="C54" s="30" t="n">
        <v>8598.15</v>
      </c>
      <c r="D54" s="30" t="n">
        <v>0</v>
      </c>
      <c r="E54" s="30" t="n">
        <v>5035.65</v>
      </c>
      <c r="F54" s="30" t="n">
        <v>507.3</v>
      </c>
      <c r="G54" s="30" t="n">
        <v>5542.95</v>
      </c>
      <c r="H54" s="30" t="n">
        <v>3055.2</v>
      </c>
      <c r="I54" s="31" t="s">
        <v>87</v>
      </c>
      <c r="J54" s="32" t="n">
        <v>15</v>
      </c>
    </row>
    <row r="55" customFormat="false" ht="15" hidden="false" customHeight="false" outlineLevel="0" collapsed="false">
      <c r="B55" s="7" t="s">
        <v>156</v>
      </c>
      <c r="C55" s="9" t="n">
        <v>15574.5</v>
      </c>
      <c r="D55" s="9" t="n">
        <v>0</v>
      </c>
      <c r="E55" s="9" t="n">
        <v>15055.35</v>
      </c>
      <c r="F55" s="9" t="n">
        <v>0</v>
      </c>
      <c r="G55" s="9" t="n">
        <v>15055.35</v>
      </c>
      <c r="H55" s="9" t="n">
        <v>519.15</v>
      </c>
      <c r="I55" s="33" t="s">
        <v>89</v>
      </c>
      <c r="J55" s="34" t="n">
        <v>5</v>
      </c>
    </row>
    <row r="56" customFormat="false" ht="15" hidden="false" customHeight="false" outlineLevel="0" collapsed="false">
      <c r="A56" s="35"/>
      <c r="B56" s="36" t="s">
        <v>34</v>
      </c>
      <c r="C56" s="37" t="n">
        <f aca="false">SUM(C52:C55)</f>
        <v>115479.14</v>
      </c>
      <c r="D56" s="37" t="n">
        <f aca="false">SUM(D52:D55)</f>
        <v>0</v>
      </c>
      <c r="E56" s="37" t="n">
        <f aca="false">SUM(E52:E55)</f>
        <v>46790.43</v>
      </c>
      <c r="F56" s="37" t="n">
        <f aca="false">SUM(F52:F55)</f>
        <v>3827.54</v>
      </c>
      <c r="G56" s="37" t="n">
        <f aca="false">SUM(G52:G55)</f>
        <v>50617.97</v>
      </c>
      <c r="H56" s="37" t="n">
        <f aca="false">SUM(H52:H55)</f>
        <v>64861.17</v>
      </c>
      <c r="I56" s="35"/>
      <c r="J56" s="35"/>
    </row>
    <row r="58" customFormat="false" ht="15" hidden="false" customHeight="false" outlineLevel="0" collapsed="false">
      <c r="A58" s="38" t="s">
        <v>90</v>
      </c>
      <c r="B58" s="38"/>
      <c r="C58" s="38"/>
      <c r="D58" s="38"/>
      <c r="E58" s="38"/>
      <c r="F58" s="38"/>
      <c r="G58" s="38"/>
      <c r="H58" s="38"/>
      <c r="I58" s="38"/>
      <c r="J58" s="38"/>
    </row>
    <row r="59" customFormat="false" ht="15" hidden="false" customHeight="false" outlineLevel="0" collapsed="false">
      <c r="A59" s="27"/>
      <c r="B59" s="27" t="s">
        <v>74</v>
      </c>
      <c r="C59" s="28" t="s">
        <v>75</v>
      </c>
      <c r="D59" s="28" t="s">
        <v>76</v>
      </c>
      <c r="E59" s="28" t="s">
        <v>77</v>
      </c>
      <c r="F59" s="28" t="s">
        <v>78</v>
      </c>
      <c r="G59" s="28" t="s">
        <v>79</v>
      </c>
      <c r="H59" s="28" t="s">
        <v>80</v>
      </c>
      <c r="I59" s="28" t="s">
        <v>81</v>
      </c>
      <c r="J59" s="28" t="s">
        <v>82</v>
      </c>
    </row>
    <row r="60" customFormat="false" ht="15" hidden="false" customHeight="false" outlineLevel="0" collapsed="false">
      <c r="B60" s="29" t="s">
        <v>157</v>
      </c>
      <c r="C60" s="30" t="n">
        <v>21279.35</v>
      </c>
      <c r="D60" s="30" t="n">
        <v>0</v>
      </c>
      <c r="E60" s="30" t="n">
        <v>21279.35</v>
      </c>
      <c r="F60" s="30" t="n">
        <v>0</v>
      </c>
      <c r="G60" s="30" t="n">
        <v>21279.35</v>
      </c>
      <c r="H60" s="30" t="n">
        <v>0</v>
      </c>
      <c r="I60" s="31" t="s">
        <v>89</v>
      </c>
      <c r="J60" s="32" t="n">
        <v>5</v>
      </c>
    </row>
    <row r="61" customFormat="false" ht="15" hidden="false" customHeight="false" outlineLevel="0" collapsed="false">
      <c r="B61" s="7" t="s">
        <v>158</v>
      </c>
      <c r="C61" s="9" t="n">
        <v>69861.15</v>
      </c>
      <c r="D61" s="9" t="n">
        <v>0</v>
      </c>
      <c r="E61" s="9" t="n">
        <v>20429.13</v>
      </c>
      <c r="F61" s="9" t="n">
        <v>2540.41</v>
      </c>
      <c r="G61" s="9" t="n">
        <v>22969.54</v>
      </c>
      <c r="H61" s="9" t="n">
        <v>46891.61</v>
      </c>
      <c r="I61" s="33" t="s">
        <v>84</v>
      </c>
      <c r="J61" s="34" t="n">
        <v>27.5</v>
      </c>
    </row>
    <row r="62" customFormat="false" ht="15" hidden="false" customHeight="false" outlineLevel="0" collapsed="false">
      <c r="B62" s="29" t="s">
        <v>159</v>
      </c>
      <c r="C62" s="30" t="n">
        <v>38.76</v>
      </c>
      <c r="D62" s="30" t="n">
        <v>0</v>
      </c>
      <c r="E62" s="30" t="n">
        <v>38.76</v>
      </c>
      <c r="F62" s="30" t="n">
        <v>0</v>
      </c>
      <c r="G62" s="30" t="n">
        <v>38.76</v>
      </c>
      <c r="H62" s="30" t="n">
        <v>0</v>
      </c>
      <c r="I62" s="31" t="s">
        <v>89</v>
      </c>
      <c r="J62" s="32" t="n">
        <v>5</v>
      </c>
    </row>
    <row r="63" customFormat="false" ht="15" hidden="false" customHeight="false" outlineLevel="0" collapsed="false">
      <c r="B63" s="7" t="s">
        <v>160</v>
      </c>
      <c r="C63" s="9" t="n">
        <v>127.23</v>
      </c>
      <c r="D63" s="9" t="n">
        <v>0</v>
      </c>
      <c r="E63" s="9" t="n">
        <v>36.84</v>
      </c>
      <c r="F63" s="9" t="n">
        <v>4.63</v>
      </c>
      <c r="G63" s="9" t="n">
        <v>41.47</v>
      </c>
      <c r="H63" s="9" t="n">
        <v>85.76</v>
      </c>
      <c r="I63" s="33" t="s">
        <v>84</v>
      </c>
      <c r="J63" s="34" t="n">
        <v>27.5</v>
      </c>
    </row>
    <row r="64" customFormat="false" ht="15" hidden="false" customHeight="false" outlineLevel="0" collapsed="false">
      <c r="B64" s="29" t="s">
        <v>161</v>
      </c>
      <c r="C64" s="30" t="n">
        <v>2007.48</v>
      </c>
      <c r="D64" s="30" t="n">
        <v>0</v>
      </c>
      <c r="E64" s="30" t="n">
        <v>2007.48</v>
      </c>
      <c r="F64" s="30" t="n">
        <v>0</v>
      </c>
      <c r="G64" s="30" t="n">
        <v>2007.48</v>
      </c>
      <c r="H64" s="30" t="n">
        <v>0</v>
      </c>
      <c r="I64" s="31" t="s">
        <v>89</v>
      </c>
      <c r="J64" s="32" t="n">
        <v>5</v>
      </c>
    </row>
    <row r="65" customFormat="false" ht="15" hidden="false" customHeight="false" outlineLevel="0" collapsed="false">
      <c r="B65" s="7" t="s">
        <v>162</v>
      </c>
      <c r="C65" s="9" t="n">
        <v>6590.67</v>
      </c>
      <c r="D65" s="9" t="n">
        <v>0</v>
      </c>
      <c r="E65" s="9" t="n">
        <v>1927.27</v>
      </c>
      <c r="F65" s="9" t="n">
        <v>239.66</v>
      </c>
      <c r="G65" s="9" t="n">
        <v>2166.93</v>
      </c>
      <c r="H65" s="9" t="n">
        <v>4423.74</v>
      </c>
      <c r="I65" s="33" t="s">
        <v>84</v>
      </c>
      <c r="J65" s="34" t="n">
        <v>27.5</v>
      </c>
    </row>
    <row r="66" customFormat="false" ht="15" hidden="false" customHeight="false" outlineLevel="0" collapsed="false">
      <c r="B66" s="29" t="s">
        <v>163</v>
      </c>
      <c r="C66" s="30" t="n">
        <v>3636.33</v>
      </c>
      <c r="D66" s="30" t="n">
        <v>0</v>
      </c>
      <c r="E66" s="30" t="n">
        <v>3636.33</v>
      </c>
      <c r="F66" s="30" t="n">
        <v>0</v>
      </c>
      <c r="G66" s="30" t="n">
        <v>3636.33</v>
      </c>
      <c r="H66" s="30" t="n">
        <v>0</v>
      </c>
      <c r="I66" s="31" t="s">
        <v>89</v>
      </c>
      <c r="J66" s="32" t="n">
        <v>5</v>
      </c>
    </row>
    <row r="67" customFormat="false" ht="15" hidden="false" customHeight="false" outlineLevel="0" collapsed="false">
      <c r="B67" s="7" t="s">
        <v>164</v>
      </c>
      <c r="C67" s="9" t="n">
        <v>11938.19</v>
      </c>
      <c r="D67" s="9" t="n">
        <v>0</v>
      </c>
      <c r="E67" s="9" t="n">
        <v>3491.05</v>
      </c>
      <c r="F67" s="9" t="n">
        <v>434.12</v>
      </c>
      <c r="G67" s="9" t="n">
        <v>3925.17</v>
      </c>
      <c r="H67" s="9" t="n">
        <v>8013.02</v>
      </c>
      <c r="I67" s="33" t="s">
        <v>84</v>
      </c>
      <c r="J67" s="34" t="n">
        <v>27.5</v>
      </c>
    </row>
    <row r="68" customFormat="false" ht="15" hidden="false" customHeight="false" outlineLevel="0" collapsed="false">
      <c r="A68" s="35"/>
      <c r="B68" s="36" t="s">
        <v>34</v>
      </c>
      <c r="C68" s="37" t="n">
        <f aca="false">SUM(C60:C67)</f>
        <v>115479.16</v>
      </c>
      <c r="D68" s="37" t="n">
        <f aca="false">SUM(D60:D67)</f>
        <v>0</v>
      </c>
      <c r="E68" s="37" t="n">
        <f aca="false">SUM(E60:E67)</f>
        <v>52846.21</v>
      </c>
      <c r="F68" s="37" t="n">
        <f aca="false">SUM(F60:F67)</f>
        <v>3218.82</v>
      </c>
      <c r="G68" s="37" t="n">
        <f aca="false">SUM(G60:G67)</f>
        <v>56065.03</v>
      </c>
      <c r="H68" s="37" t="n">
        <f aca="false">SUM(H60:H67)</f>
        <v>59414.13</v>
      </c>
      <c r="I68" s="35"/>
      <c r="J68" s="35"/>
    </row>
    <row r="70" customFormat="false" ht="15" hidden="false" customHeight="false" outlineLevel="0" collapsed="false">
      <c r="A70" s="25" t="s">
        <v>38</v>
      </c>
      <c r="B70" s="25"/>
      <c r="C70" s="25"/>
      <c r="D70" s="25"/>
      <c r="E70" s="25"/>
    </row>
    <row r="71" customFormat="false" ht="15" hidden="false" customHeight="false" outlineLevel="0" collapsed="false">
      <c r="B71" s="7" t="s">
        <v>99</v>
      </c>
      <c r="C71" s="39" t="n">
        <f aca="false">G56</f>
        <v>50617.97</v>
      </c>
    </row>
    <row r="72" customFormat="false" ht="15" hidden="false" customHeight="false" outlineLevel="0" collapsed="false">
      <c r="B72" s="7" t="s">
        <v>100</v>
      </c>
      <c r="C72" s="39" t="n">
        <f aca="false">G68</f>
        <v>56065.03</v>
      </c>
    </row>
    <row r="73" customFormat="false" ht="15" hidden="false" customHeight="false" outlineLevel="0" collapsed="false">
      <c r="B73" s="10" t="s">
        <v>38</v>
      </c>
      <c r="C73" s="40" t="n">
        <f aca="false">C72-C71</f>
        <v>5447.06</v>
      </c>
    </row>
  </sheetData>
  <mergeCells count="11">
    <mergeCell ref="A2:J2"/>
    <mergeCell ref="A3:J3"/>
    <mergeCell ref="A4:J4"/>
    <mergeCell ref="A8:J8"/>
    <mergeCell ref="B10:J10"/>
    <mergeCell ref="B23:J23"/>
    <mergeCell ref="B42:J42"/>
    <mergeCell ref="A49:J49"/>
    <mergeCell ref="A50:J50"/>
    <mergeCell ref="A58:J58"/>
    <mergeCell ref="A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185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186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7759.94</v>
      </c>
      <c r="D11" s="21" t="n">
        <v>7759.94</v>
      </c>
    </row>
    <row r="12" customFormat="false" ht="15" hidden="false" customHeight="false" outlineLevel="0" collapsed="false">
      <c r="B12" s="15" t="s">
        <v>105</v>
      </c>
      <c r="C12" s="21" t="n">
        <v>4601.14</v>
      </c>
      <c r="D12" s="21" t="n">
        <v>4601.14</v>
      </c>
    </row>
    <row r="13" customFormat="false" ht="15" hidden="false" customHeight="false" outlineLevel="0" collapsed="false">
      <c r="B13" s="15" t="s">
        <v>106</v>
      </c>
      <c r="C13" s="21" t="n">
        <v>18695.69</v>
      </c>
      <c r="D13" s="21" t="n">
        <v>18695.69</v>
      </c>
    </row>
    <row r="14" customFormat="false" ht="15" hidden="false" customHeight="false" outlineLevel="0" collapsed="false">
      <c r="B14" s="15" t="s">
        <v>108</v>
      </c>
      <c r="C14" s="21" t="n">
        <v>2235.2</v>
      </c>
      <c r="D14" s="21" t="n">
        <v>2235.2</v>
      </c>
    </row>
    <row r="15" customFormat="false" ht="15" hidden="false" customHeight="false" outlineLevel="0" collapsed="false">
      <c r="B15" s="15" t="s">
        <v>146</v>
      </c>
      <c r="C15" s="21" t="n">
        <v>274.94</v>
      </c>
      <c r="D15" s="21" t="n">
        <v>274.94</v>
      </c>
    </row>
    <row r="16" customFormat="false" ht="15" hidden="false" customHeight="false" outlineLevel="0" collapsed="false">
      <c r="B16" s="15" t="s">
        <v>147</v>
      </c>
      <c r="C16" s="21" t="n">
        <v>120.68</v>
      </c>
      <c r="D16" s="21" t="n">
        <v>120.68</v>
      </c>
    </row>
    <row r="17" customFormat="false" ht="15" hidden="false" customHeight="false" outlineLevel="0" collapsed="false">
      <c r="B17" s="15" t="s">
        <v>109</v>
      </c>
      <c r="C17" s="21" t="n">
        <v>4471.44</v>
      </c>
      <c r="D17" s="21" t="n">
        <v>4471.44</v>
      </c>
    </row>
    <row r="18" customFormat="false" ht="15" hidden="false" customHeight="false" outlineLevel="0" collapsed="false">
      <c r="B18" s="15" t="s">
        <v>110</v>
      </c>
      <c r="C18" s="21" t="n">
        <v>1633.14</v>
      </c>
      <c r="D18" s="21" t="n">
        <v>1633.14</v>
      </c>
    </row>
    <row r="19" customFormat="false" ht="15" hidden="false" customHeight="false" outlineLevel="0" collapsed="false">
      <c r="B19" s="15" t="s">
        <v>148</v>
      </c>
      <c r="C19" s="21" t="n">
        <v>5141.11</v>
      </c>
      <c r="D19" s="21" t="n">
        <v>5141.11</v>
      </c>
    </row>
    <row r="20" customFormat="false" ht="15" hidden="false" customHeight="false" outlineLevel="0" collapsed="false">
      <c r="B20" s="15" t="s">
        <v>112</v>
      </c>
      <c r="C20" s="21" t="n">
        <v>1534.74</v>
      </c>
      <c r="D20" s="21" t="n">
        <v>1534.74</v>
      </c>
    </row>
    <row r="21" customFormat="false" ht="15" hidden="false" customHeight="false" outlineLevel="0" collapsed="false">
      <c r="B21" s="15" t="s">
        <v>149</v>
      </c>
      <c r="C21" s="21" t="n">
        <v>64.8</v>
      </c>
      <c r="D21" s="21" t="n">
        <v>64.8</v>
      </c>
    </row>
    <row r="22" customFormat="false" ht="15" hidden="false" customHeight="false" outlineLevel="0" collapsed="false">
      <c r="B22" s="15" t="s">
        <v>150</v>
      </c>
      <c r="C22" s="21" t="n">
        <v>5524.32</v>
      </c>
      <c r="D22" s="21" t="n">
        <v>5524.32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10400.92</v>
      </c>
      <c r="G24" s="21" t="n">
        <v>10400.92</v>
      </c>
    </row>
    <row r="25" customFormat="false" ht="15" hidden="false" customHeight="false" outlineLevel="0" collapsed="false">
      <c r="B25" s="15" t="s">
        <v>116</v>
      </c>
      <c r="C25" s="21" t="n">
        <v>19732.45</v>
      </c>
      <c r="G25" s="21" t="n">
        <v>19732.45</v>
      </c>
    </row>
    <row r="26" customFormat="false" ht="15" hidden="false" customHeight="false" outlineLevel="0" collapsed="false">
      <c r="B26" s="15" t="s">
        <v>117</v>
      </c>
      <c r="C26" s="21" t="n">
        <v>18076.85</v>
      </c>
      <c r="G26" s="21" t="n">
        <v>18076.85</v>
      </c>
    </row>
    <row r="27" customFormat="false" ht="15" hidden="false" customHeight="false" outlineLevel="0" collapsed="false">
      <c r="B27" s="15" t="s">
        <v>118</v>
      </c>
      <c r="C27" s="21" t="n">
        <v>19867.9</v>
      </c>
      <c r="G27" s="21" t="n">
        <v>19867.9</v>
      </c>
    </row>
    <row r="28" customFormat="false" ht="15" hidden="false" customHeight="false" outlineLevel="0" collapsed="false">
      <c r="B28" s="15" t="s">
        <v>119</v>
      </c>
      <c r="C28" s="21" t="n">
        <v>15953.11</v>
      </c>
      <c r="G28" s="21" t="n">
        <v>15953.11</v>
      </c>
    </row>
    <row r="29" customFormat="false" ht="15" hidden="false" customHeight="false" outlineLevel="0" collapsed="false">
      <c r="B29" s="15" t="s">
        <v>120</v>
      </c>
      <c r="C29" s="21" t="n">
        <v>1077</v>
      </c>
      <c r="G29" s="21" t="n">
        <v>1077</v>
      </c>
    </row>
    <row r="30" customFormat="false" ht="15" hidden="false" customHeight="false" outlineLevel="0" collapsed="false">
      <c r="B30" s="15" t="s">
        <v>121</v>
      </c>
      <c r="C30" s="21" t="n">
        <v>24515.03</v>
      </c>
      <c r="G30" s="21" t="n">
        <v>24515.03</v>
      </c>
    </row>
    <row r="31" customFormat="false" ht="15" hidden="false" customHeight="false" outlineLevel="0" collapsed="false">
      <c r="B31" s="15" t="s">
        <v>122</v>
      </c>
      <c r="C31" s="21" t="n">
        <v>18444.72</v>
      </c>
      <c r="G31" s="21" t="n">
        <v>18444.72</v>
      </c>
    </row>
    <row r="32" customFormat="false" ht="15" hidden="false" customHeight="false" outlineLevel="0" collapsed="false">
      <c r="B32" s="15" t="s">
        <v>123</v>
      </c>
      <c r="C32" s="21" t="n">
        <v>11037.53</v>
      </c>
      <c r="G32" s="21" t="n">
        <v>11037.53</v>
      </c>
    </row>
    <row r="33" customFormat="false" ht="15" hidden="false" customHeight="false" outlineLevel="0" collapsed="false">
      <c r="B33" s="15" t="s">
        <v>124</v>
      </c>
      <c r="C33" s="21" t="n">
        <v>8326.32</v>
      </c>
      <c r="G33" s="21" t="n">
        <v>8326.32</v>
      </c>
    </row>
    <row r="34" customFormat="false" ht="15" hidden="false" customHeight="false" outlineLevel="0" collapsed="false">
      <c r="B34" s="15" t="s">
        <v>125</v>
      </c>
      <c r="C34" s="21" t="n">
        <v>20278.2</v>
      </c>
      <c r="G34" s="21" t="n">
        <v>20278.2</v>
      </c>
    </row>
    <row r="35" customFormat="false" ht="15" hidden="false" customHeight="false" outlineLevel="0" collapsed="false">
      <c r="B35" s="15" t="s">
        <v>126</v>
      </c>
      <c r="C35" s="21" t="n">
        <v>8613.97</v>
      </c>
      <c r="G35" s="21" t="n">
        <v>8613.97</v>
      </c>
    </row>
    <row r="36" customFormat="false" ht="15" hidden="false" customHeight="false" outlineLevel="0" collapsed="false">
      <c r="B36" s="15" t="s">
        <v>127</v>
      </c>
      <c r="C36" s="21" t="n">
        <v>1343.51</v>
      </c>
      <c r="G36" s="21" t="n">
        <v>1343.51</v>
      </c>
    </row>
    <row r="37" customFormat="false" ht="15" hidden="false" customHeight="false" outlineLevel="0" collapsed="false">
      <c r="B37" s="15" t="s">
        <v>129</v>
      </c>
      <c r="C37" s="21" t="n">
        <v>27755.5</v>
      </c>
      <c r="G37" s="21" t="n">
        <v>27755.5</v>
      </c>
    </row>
    <row r="38" customFormat="false" ht="15" hidden="false" customHeight="false" outlineLevel="0" collapsed="false">
      <c r="B38" s="15" t="s">
        <v>151</v>
      </c>
      <c r="C38" s="21" t="n">
        <v>6811.28</v>
      </c>
      <c r="G38" s="21" t="n">
        <v>6811.28</v>
      </c>
    </row>
    <row r="39" customFormat="false" ht="15" hidden="false" customHeight="false" outlineLevel="0" collapsed="false">
      <c r="B39" s="15" t="s">
        <v>130</v>
      </c>
      <c r="C39" s="21" t="n">
        <v>1999.53</v>
      </c>
      <c r="G39" s="21" t="n">
        <v>1999.53</v>
      </c>
    </row>
    <row r="40" customFormat="false" ht="15" hidden="false" customHeight="false" outlineLevel="0" collapsed="false">
      <c r="B40" s="15" t="s">
        <v>152</v>
      </c>
      <c r="C40" s="21" t="n">
        <v>2564.71</v>
      </c>
      <c r="G40" s="21" t="n">
        <v>2564.71</v>
      </c>
    </row>
    <row r="41" customFormat="false" ht="15" hidden="false" customHeight="false" outlineLevel="0" collapsed="false">
      <c r="A41" s="22"/>
      <c r="B41" s="23" t="s">
        <v>66</v>
      </c>
      <c r="C41" s="24" t="n">
        <f aca="false">SUM(C10:C40)</f>
        <v>268855.67</v>
      </c>
      <c r="D41" s="24" t="n">
        <f aca="false">SUM(D10:D40)</f>
        <v>52057.14</v>
      </c>
      <c r="E41" s="24" t="n">
        <f aca="false">SUM(E10:E40)</f>
        <v>0</v>
      </c>
      <c r="F41" s="24" t="n">
        <f aca="false">SUM(F10:F40)</f>
        <v>0</v>
      </c>
      <c r="G41" s="24" t="n">
        <f aca="false">SUM(G10:G40)</f>
        <v>216798.53</v>
      </c>
      <c r="H41" s="22"/>
    </row>
    <row r="43" customFormat="false" ht="15" hidden="false" customHeight="false" outlineLevel="0" collapsed="false">
      <c r="A43" s="19"/>
      <c r="B43" s="20" t="s">
        <v>67</v>
      </c>
      <c r="C43" s="20"/>
      <c r="D43" s="20"/>
      <c r="E43" s="20"/>
      <c r="F43" s="20"/>
      <c r="G43" s="20"/>
      <c r="H43" s="20"/>
      <c r="I43" s="20"/>
      <c r="J43" s="20"/>
    </row>
    <row r="44" customFormat="false" ht="15" hidden="false" customHeight="false" outlineLevel="0" collapsed="false">
      <c r="B44" s="15" t="s">
        <v>68</v>
      </c>
      <c r="C44" s="21" t="n">
        <v>212191.05</v>
      </c>
      <c r="D44" s="21" t="n">
        <v>41085.46</v>
      </c>
      <c r="G44" s="21" t="n">
        <v>171105.59</v>
      </c>
    </row>
    <row r="45" customFormat="false" ht="15" hidden="false" customHeight="false" outlineLevel="0" collapsed="false">
      <c r="B45" s="15" t="s">
        <v>69</v>
      </c>
      <c r="C45" s="21" t="n">
        <v>386.45</v>
      </c>
      <c r="D45" s="21" t="n">
        <v>74.83</v>
      </c>
      <c r="G45" s="21" t="n">
        <v>311.62</v>
      </c>
    </row>
    <row r="46" customFormat="false" ht="15" hidden="false" customHeight="false" outlineLevel="0" collapsed="false">
      <c r="B46" s="15" t="s">
        <v>70</v>
      </c>
      <c r="C46" s="21" t="n">
        <v>20018</v>
      </c>
      <c r="D46" s="21" t="n">
        <v>3875.98</v>
      </c>
      <c r="G46" s="21" t="n">
        <v>16142.02</v>
      </c>
    </row>
    <row r="47" customFormat="false" ht="15" hidden="false" customHeight="false" outlineLevel="0" collapsed="false">
      <c r="B47" s="15" t="s">
        <v>71</v>
      </c>
      <c r="C47" s="21" t="n">
        <v>36260.17</v>
      </c>
      <c r="D47" s="21" t="n">
        <v>7020.87</v>
      </c>
      <c r="G47" s="21" t="n">
        <v>29239.3</v>
      </c>
    </row>
    <row r="48" customFormat="false" ht="15" hidden="false" customHeight="false" outlineLevel="0" collapsed="false">
      <c r="A48" s="22"/>
      <c r="B48" s="23" t="s">
        <v>72</v>
      </c>
      <c r="C48" s="24" t="n">
        <f aca="false">SUM(C44:C47)</f>
        <v>268855.67</v>
      </c>
      <c r="D48" s="24" t="n">
        <f aca="false">SUM(D44:D47)</f>
        <v>52057.14</v>
      </c>
      <c r="E48" s="22"/>
      <c r="F48" s="24" t="n">
        <f aca="false">SUM(F44:F47)</f>
        <v>0</v>
      </c>
      <c r="G48" s="24" t="n">
        <f aca="false">SUM(G44:G47)</f>
        <v>216798.53</v>
      </c>
      <c r="H48" s="22"/>
    </row>
    <row r="50" customFormat="false" ht="15" hidden="false" customHeight="false" outlineLevel="0" collapsed="false">
      <c r="A50" s="25" t="s">
        <v>73</v>
      </c>
      <c r="B50" s="25"/>
      <c r="C50" s="25"/>
      <c r="D50" s="25"/>
      <c r="E50" s="25"/>
      <c r="F50" s="25"/>
      <c r="G50" s="25"/>
      <c r="H50" s="25"/>
      <c r="I50" s="25"/>
      <c r="J50" s="25"/>
    </row>
    <row r="51" customFormat="false" ht="15" hidden="false" customHeight="false" outlineLevel="0" collapsed="false">
      <c r="A51" s="26" t="s">
        <v>36</v>
      </c>
      <c r="B51" s="26"/>
      <c r="C51" s="26"/>
      <c r="D51" s="26"/>
      <c r="E51" s="26"/>
      <c r="F51" s="26"/>
      <c r="G51" s="26"/>
      <c r="H51" s="26"/>
      <c r="I51" s="26"/>
      <c r="J51" s="26"/>
    </row>
    <row r="52" customFormat="false" ht="15" hidden="false" customHeight="false" outlineLevel="0" collapsed="false">
      <c r="A52" s="27"/>
      <c r="B52" s="27" t="s">
        <v>74</v>
      </c>
      <c r="C52" s="28" t="s">
        <v>75</v>
      </c>
      <c r="D52" s="28" t="s">
        <v>76</v>
      </c>
      <c r="E52" s="28" t="s">
        <v>77</v>
      </c>
      <c r="F52" s="28" t="s">
        <v>78</v>
      </c>
      <c r="G52" s="28" t="s">
        <v>79</v>
      </c>
      <c r="H52" s="28" t="s">
        <v>80</v>
      </c>
      <c r="I52" s="28" t="s">
        <v>81</v>
      </c>
      <c r="J52" s="28" t="s">
        <v>82</v>
      </c>
    </row>
    <row r="53" customFormat="false" ht="15" hidden="false" customHeight="false" outlineLevel="0" collapsed="false">
      <c r="B53" s="29" t="s">
        <v>153</v>
      </c>
      <c r="C53" s="30" t="n">
        <v>212191.05</v>
      </c>
      <c r="D53" s="30" t="n">
        <v>0</v>
      </c>
      <c r="E53" s="30" t="n">
        <v>62049.02</v>
      </c>
      <c r="F53" s="30" t="n">
        <v>7716.04</v>
      </c>
      <c r="G53" s="30" t="n">
        <v>69765.06</v>
      </c>
      <c r="H53" s="30" t="n">
        <v>142425.99</v>
      </c>
      <c r="I53" s="31" t="s">
        <v>84</v>
      </c>
      <c r="J53" s="32" t="n">
        <v>27.5</v>
      </c>
    </row>
    <row r="54" customFormat="false" ht="15" hidden="false" customHeight="false" outlineLevel="0" collapsed="false">
      <c r="B54" s="7" t="s">
        <v>154</v>
      </c>
      <c r="C54" s="9" t="n">
        <v>386.45</v>
      </c>
      <c r="D54" s="9" t="n">
        <v>0</v>
      </c>
      <c r="E54" s="9" t="n">
        <v>111.91</v>
      </c>
      <c r="F54" s="9" t="n">
        <v>14.06</v>
      </c>
      <c r="G54" s="9" t="n">
        <v>125.97</v>
      </c>
      <c r="H54" s="9" t="n">
        <v>260.48</v>
      </c>
      <c r="I54" s="33" t="s">
        <v>84</v>
      </c>
      <c r="J54" s="34" t="n">
        <v>27.5</v>
      </c>
    </row>
    <row r="55" customFormat="false" ht="15" hidden="false" customHeight="false" outlineLevel="0" collapsed="false">
      <c r="B55" s="29" t="s">
        <v>155</v>
      </c>
      <c r="C55" s="30" t="n">
        <v>20018</v>
      </c>
      <c r="D55" s="30" t="n">
        <v>0</v>
      </c>
      <c r="E55" s="30" t="n">
        <v>11723.87</v>
      </c>
      <c r="F55" s="30" t="n">
        <v>1181.07</v>
      </c>
      <c r="G55" s="30" t="n">
        <v>12904.94</v>
      </c>
      <c r="H55" s="30" t="n">
        <v>7113.06</v>
      </c>
      <c r="I55" s="31" t="s">
        <v>87</v>
      </c>
      <c r="J55" s="32" t="n">
        <v>15</v>
      </c>
    </row>
    <row r="56" customFormat="false" ht="15" hidden="false" customHeight="false" outlineLevel="0" collapsed="false">
      <c r="B56" s="7" t="s">
        <v>156</v>
      </c>
      <c r="C56" s="9" t="n">
        <v>36260.17</v>
      </c>
      <c r="D56" s="9" t="n">
        <v>0</v>
      </c>
      <c r="E56" s="9" t="n">
        <v>35051.5</v>
      </c>
      <c r="F56" s="9" t="n">
        <v>0</v>
      </c>
      <c r="G56" s="9" t="n">
        <v>35051.5</v>
      </c>
      <c r="H56" s="9" t="n">
        <v>1208.67</v>
      </c>
      <c r="I56" s="33" t="s">
        <v>89</v>
      </c>
      <c r="J56" s="34" t="n">
        <v>5</v>
      </c>
    </row>
    <row r="57" customFormat="false" ht="15" hidden="false" customHeight="false" outlineLevel="0" collapsed="false">
      <c r="A57" s="35"/>
      <c r="B57" s="36" t="s">
        <v>34</v>
      </c>
      <c r="C57" s="37" t="n">
        <f aca="false">SUM(C53:C56)</f>
        <v>268855.67</v>
      </c>
      <c r="D57" s="37" t="n">
        <f aca="false">SUM(D53:D56)</f>
        <v>0</v>
      </c>
      <c r="E57" s="37" t="n">
        <f aca="false">SUM(E53:E56)</f>
        <v>108936.3</v>
      </c>
      <c r="F57" s="37" t="n">
        <f aca="false">SUM(F53:F56)</f>
        <v>8911.17</v>
      </c>
      <c r="G57" s="37" t="n">
        <f aca="false">SUM(G53:G56)</f>
        <v>117847.47</v>
      </c>
      <c r="H57" s="37" t="n">
        <f aca="false">SUM(H53:H56)</f>
        <v>151008.2</v>
      </c>
      <c r="I57" s="35"/>
      <c r="J57" s="35"/>
    </row>
    <row r="59" customFormat="false" ht="15" hidden="false" customHeight="false" outlineLevel="0" collapsed="false">
      <c r="A59" s="38" t="s">
        <v>90</v>
      </c>
      <c r="B59" s="38"/>
      <c r="C59" s="38"/>
      <c r="D59" s="38"/>
      <c r="E59" s="38"/>
      <c r="F59" s="38"/>
      <c r="G59" s="38"/>
      <c r="H59" s="38"/>
      <c r="I59" s="38"/>
      <c r="J59" s="38"/>
    </row>
    <row r="60" customFormat="false" ht="15" hidden="false" customHeight="false" outlineLevel="0" collapsed="false">
      <c r="A60" s="27"/>
      <c r="B60" s="27" t="s">
        <v>74</v>
      </c>
      <c r="C60" s="28" t="s">
        <v>75</v>
      </c>
      <c r="D60" s="28" t="s">
        <v>76</v>
      </c>
      <c r="E60" s="28" t="s">
        <v>77</v>
      </c>
      <c r="F60" s="28" t="s">
        <v>78</v>
      </c>
      <c r="G60" s="28" t="s">
        <v>79</v>
      </c>
      <c r="H60" s="28" t="s">
        <v>80</v>
      </c>
      <c r="I60" s="28" t="s">
        <v>81</v>
      </c>
      <c r="J60" s="28" t="s">
        <v>82</v>
      </c>
    </row>
    <row r="61" customFormat="false" ht="15" hidden="false" customHeight="false" outlineLevel="0" collapsed="false">
      <c r="B61" s="29" t="s">
        <v>157</v>
      </c>
      <c r="C61" s="30" t="n">
        <v>41085.46</v>
      </c>
      <c r="D61" s="30" t="n">
        <v>0</v>
      </c>
      <c r="E61" s="30" t="n">
        <v>41085.46</v>
      </c>
      <c r="F61" s="30" t="n">
        <v>0</v>
      </c>
      <c r="G61" s="30" t="n">
        <v>41085.46</v>
      </c>
      <c r="H61" s="30" t="n">
        <v>0</v>
      </c>
      <c r="I61" s="31" t="s">
        <v>89</v>
      </c>
      <c r="J61" s="32" t="n">
        <v>5</v>
      </c>
    </row>
    <row r="62" customFormat="false" ht="15" hidden="false" customHeight="false" outlineLevel="0" collapsed="false">
      <c r="B62" s="7" t="s">
        <v>158</v>
      </c>
      <c r="C62" s="9" t="n">
        <v>171105.59</v>
      </c>
      <c r="D62" s="9" t="n">
        <v>0</v>
      </c>
      <c r="E62" s="9" t="n">
        <v>50035.41</v>
      </c>
      <c r="F62" s="9" t="n">
        <v>6222.02</v>
      </c>
      <c r="G62" s="9" t="n">
        <v>56257.43</v>
      </c>
      <c r="H62" s="9" t="n">
        <v>114848.16</v>
      </c>
      <c r="I62" s="33" t="s">
        <v>84</v>
      </c>
      <c r="J62" s="34" t="n">
        <v>27.5</v>
      </c>
    </row>
    <row r="63" customFormat="false" ht="15" hidden="false" customHeight="false" outlineLevel="0" collapsed="false">
      <c r="B63" s="29" t="s">
        <v>159</v>
      </c>
      <c r="C63" s="30" t="n">
        <v>74.83</v>
      </c>
      <c r="D63" s="30" t="n">
        <v>0</v>
      </c>
      <c r="E63" s="30" t="n">
        <v>74.83</v>
      </c>
      <c r="F63" s="30" t="n">
        <v>0</v>
      </c>
      <c r="G63" s="30" t="n">
        <v>74.83</v>
      </c>
      <c r="H63" s="30" t="n">
        <v>0</v>
      </c>
      <c r="I63" s="31" t="s">
        <v>89</v>
      </c>
      <c r="J63" s="32" t="n">
        <v>5</v>
      </c>
    </row>
    <row r="64" customFormat="false" ht="15" hidden="false" customHeight="false" outlineLevel="0" collapsed="false">
      <c r="B64" s="7" t="s">
        <v>160</v>
      </c>
      <c r="C64" s="9" t="n">
        <v>311.62</v>
      </c>
      <c r="D64" s="9" t="n">
        <v>0</v>
      </c>
      <c r="E64" s="9" t="n">
        <v>90.17</v>
      </c>
      <c r="F64" s="9" t="n">
        <v>11.33</v>
      </c>
      <c r="G64" s="9" t="n">
        <v>101.5</v>
      </c>
      <c r="H64" s="9" t="n">
        <v>210.12</v>
      </c>
      <c r="I64" s="33" t="s">
        <v>84</v>
      </c>
      <c r="J64" s="34" t="n">
        <v>27.5</v>
      </c>
    </row>
    <row r="65" customFormat="false" ht="15" hidden="false" customHeight="false" outlineLevel="0" collapsed="false">
      <c r="B65" s="29" t="s">
        <v>161</v>
      </c>
      <c r="C65" s="30" t="n">
        <v>3875.98</v>
      </c>
      <c r="D65" s="30" t="n">
        <v>0</v>
      </c>
      <c r="E65" s="30" t="n">
        <v>3875.98</v>
      </c>
      <c r="F65" s="30" t="n">
        <v>0</v>
      </c>
      <c r="G65" s="30" t="n">
        <v>3875.98</v>
      </c>
      <c r="H65" s="30" t="n">
        <v>0</v>
      </c>
      <c r="I65" s="31" t="s">
        <v>89</v>
      </c>
      <c r="J65" s="32" t="n">
        <v>5</v>
      </c>
    </row>
    <row r="66" customFormat="false" ht="15" hidden="false" customHeight="false" outlineLevel="0" collapsed="false">
      <c r="B66" s="7" t="s">
        <v>162</v>
      </c>
      <c r="C66" s="9" t="n">
        <v>16142.02</v>
      </c>
      <c r="D66" s="9" t="n">
        <v>0</v>
      </c>
      <c r="E66" s="9" t="n">
        <v>4720.3</v>
      </c>
      <c r="F66" s="9" t="n">
        <v>586.98</v>
      </c>
      <c r="G66" s="9" t="n">
        <v>5307.28</v>
      </c>
      <c r="H66" s="9" t="n">
        <v>10834.74</v>
      </c>
      <c r="I66" s="33" t="s">
        <v>84</v>
      </c>
      <c r="J66" s="34" t="n">
        <v>27.5</v>
      </c>
    </row>
    <row r="67" customFormat="false" ht="15" hidden="false" customHeight="false" outlineLevel="0" collapsed="false">
      <c r="B67" s="29" t="s">
        <v>163</v>
      </c>
      <c r="C67" s="30" t="n">
        <v>7020.87</v>
      </c>
      <c r="D67" s="30" t="n">
        <v>0</v>
      </c>
      <c r="E67" s="30" t="n">
        <v>7020.87</v>
      </c>
      <c r="F67" s="30" t="n">
        <v>0</v>
      </c>
      <c r="G67" s="30" t="n">
        <v>7020.87</v>
      </c>
      <c r="H67" s="30" t="n">
        <v>0</v>
      </c>
      <c r="I67" s="31" t="s">
        <v>89</v>
      </c>
      <c r="J67" s="32" t="n">
        <v>5</v>
      </c>
    </row>
    <row r="68" customFormat="false" ht="15" hidden="false" customHeight="false" outlineLevel="0" collapsed="false">
      <c r="B68" s="7" t="s">
        <v>164</v>
      </c>
      <c r="C68" s="9" t="n">
        <v>29239.3</v>
      </c>
      <c r="D68" s="9" t="n">
        <v>0</v>
      </c>
      <c r="E68" s="9" t="n">
        <v>8550.3</v>
      </c>
      <c r="F68" s="9" t="n">
        <v>1063.25</v>
      </c>
      <c r="G68" s="9" t="n">
        <v>9613.55</v>
      </c>
      <c r="H68" s="9" t="n">
        <v>19625.75</v>
      </c>
      <c r="I68" s="33" t="s">
        <v>84</v>
      </c>
      <c r="J68" s="34" t="n">
        <v>27.5</v>
      </c>
    </row>
    <row r="69" customFormat="false" ht="15" hidden="false" customHeight="false" outlineLevel="0" collapsed="false">
      <c r="A69" s="35"/>
      <c r="B69" s="36" t="s">
        <v>34</v>
      </c>
      <c r="C69" s="37" t="n">
        <f aca="false">SUM(C61:C68)</f>
        <v>268855.67</v>
      </c>
      <c r="D69" s="37" t="n">
        <f aca="false">SUM(D61:D68)</f>
        <v>0</v>
      </c>
      <c r="E69" s="37" t="n">
        <f aca="false">SUM(E61:E68)</f>
        <v>115453.32</v>
      </c>
      <c r="F69" s="37" t="n">
        <f aca="false">SUM(F61:F68)</f>
        <v>7883.58</v>
      </c>
      <c r="G69" s="37" t="n">
        <f aca="false">SUM(G61:G68)</f>
        <v>123336.9</v>
      </c>
      <c r="H69" s="37" t="n">
        <f aca="false">SUM(H61:H68)</f>
        <v>145518.77</v>
      </c>
      <c r="I69" s="35"/>
      <c r="J69" s="35"/>
    </row>
    <row r="71" customFormat="false" ht="15" hidden="false" customHeight="false" outlineLevel="0" collapsed="false">
      <c r="A71" s="25" t="s">
        <v>38</v>
      </c>
      <c r="B71" s="25"/>
      <c r="C71" s="25"/>
      <c r="D71" s="25"/>
      <c r="E71" s="25"/>
    </row>
    <row r="72" customFormat="false" ht="15" hidden="false" customHeight="false" outlineLevel="0" collapsed="false">
      <c r="B72" s="7" t="s">
        <v>99</v>
      </c>
      <c r="C72" s="39" t="n">
        <f aca="false">G57</f>
        <v>117847.47</v>
      </c>
    </row>
    <row r="73" customFormat="false" ht="15" hidden="false" customHeight="false" outlineLevel="0" collapsed="false">
      <c r="B73" s="7" t="s">
        <v>100</v>
      </c>
      <c r="C73" s="39" t="n">
        <f aca="false">G69</f>
        <v>123336.9</v>
      </c>
    </row>
    <row r="74" customFormat="false" ht="15" hidden="false" customHeight="false" outlineLevel="0" collapsed="false">
      <c r="B74" s="10" t="s">
        <v>38</v>
      </c>
      <c r="C74" s="40" t="n">
        <f aca="false">C73-C72</f>
        <v>5489.42999999999</v>
      </c>
    </row>
  </sheetData>
  <mergeCells count="11">
    <mergeCell ref="A2:J2"/>
    <mergeCell ref="A3:J3"/>
    <mergeCell ref="A4:J4"/>
    <mergeCell ref="A8:J8"/>
    <mergeCell ref="B10:J10"/>
    <mergeCell ref="B23:J23"/>
    <mergeCell ref="B43:J43"/>
    <mergeCell ref="A50:J50"/>
    <mergeCell ref="A51:J51"/>
    <mergeCell ref="A59:J59"/>
    <mergeCell ref="A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187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188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10346.61</v>
      </c>
      <c r="D11" s="21" t="n">
        <v>10346.61</v>
      </c>
    </row>
    <row r="12" customFormat="false" ht="15" hidden="false" customHeight="false" outlineLevel="0" collapsed="false">
      <c r="B12" s="15" t="s">
        <v>105</v>
      </c>
      <c r="C12" s="21" t="n">
        <v>5291.32</v>
      </c>
      <c r="D12" s="21" t="n">
        <v>5291.32</v>
      </c>
    </row>
    <row r="13" customFormat="false" ht="15" hidden="false" customHeight="false" outlineLevel="0" collapsed="false">
      <c r="B13" s="15" t="s">
        <v>106</v>
      </c>
      <c r="C13" s="21" t="n">
        <v>26950.29</v>
      </c>
      <c r="D13" s="21" t="n">
        <v>26950.29</v>
      </c>
    </row>
    <row r="14" customFormat="false" ht="15" hidden="false" customHeight="false" outlineLevel="0" collapsed="false">
      <c r="B14" s="15" t="s">
        <v>108</v>
      </c>
      <c r="C14" s="21" t="n">
        <v>2980.26</v>
      </c>
      <c r="D14" s="21" t="n">
        <v>2980.26</v>
      </c>
    </row>
    <row r="15" customFormat="false" ht="15" hidden="false" customHeight="false" outlineLevel="0" collapsed="false">
      <c r="B15" s="15" t="s">
        <v>146</v>
      </c>
      <c r="C15" s="21" t="n">
        <v>366.57</v>
      </c>
      <c r="D15" s="21" t="n">
        <v>366.57</v>
      </c>
    </row>
    <row r="16" customFormat="false" ht="15" hidden="false" customHeight="false" outlineLevel="0" collapsed="false">
      <c r="B16" s="15" t="s">
        <v>147</v>
      </c>
      <c r="C16" s="21" t="n">
        <v>144.58</v>
      </c>
      <c r="D16" s="21" t="n">
        <v>144.58</v>
      </c>
    </row>
    <row r="17" customFormat="false" ht="15" hidden="false" customHeight="false" outlineLevel="0" collapsed="false">
      <c r="B17" s="15" t="s">
        <v>109</v>
      </c>
      <c r="C17" s="21" t="n">
        <v>5961.89</v>
      </c>
      <c r="D17" s="21" t="n">
        <v>5961.89</v>
      </c>
    </row>
    <row r="18" customFormat="false" ht="15" hidden="false" customHeight="false" outlineLevel="0" collapsed="false">
      <c r="B18" s="15" t="s">
        <v>110</v>
      </c>
      <c r="C18" s="21" t="n">
        <v>2354.19</v>
      </c>
      <c r="D18" s="21" t="n">
        <v>2354.19</v>
      </c>
    </row>
    <row r="19" customFormat="false" ht="15" hidden="false" customHeight="false" outlineLevel="0" collapsed="false">
      <c r="B19" s="15" t="s">
        <v>148</v>
      </c>
      <c r="C19" s="21" t="n">
        <v>6854.82</v>
      </c>
      <c r="D19" s="21" t="n">
        <v>6854.82</v>
      </c>
    </row>
    <row r="20" customFormat="false" ht="15" hidden="false" customHeight="false" outlineLevel="0" collapsed="false">
      <c r="B20" s="15" t="s">
        <v>112</v>
      </c>
      <c r="C20" s="21" t="n">
        <v>2046.92</v>
      </c>
      <c r="D20" s="21" t="n">
        <v>2046.92</v>
      </c>
    </row>
    <row r="21" customFormat="false" ht="15" hidden="false" customHeight="false" outlineLevel="0" collapsed="false">
      <c r="B21" s="15" t="s">
        <v>149</v>
      </c>
      <c r="C21" s="21" t="n">
        <v>86.4</v>
      </c>
      <c r="D21" s="21" t="n">
        <v>86.4</v>
      </c>
    </row>
    <row r="22" customFormat="false" ht="15" hidden="false" customHeight="false" outlineLevel="0" collapsed="false">
      <c r="B22" s="15" t="s">
        <v>150</v>
      </c>
      <c r="C22" s="21" t="n">
        <v>7365.75</v>
      </c>
      <c r="D22" s="21" t="n">
        <v>7365.75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11258.78</v>
      </c>
      <c r="G24" s="21" t="n">
        <v>11258.78</v>
      </c>
    </row>
    <row r="25" customFormat="false" ht="15" hidden="false" customHeight="false" outlineLevel="0" collapsed="false">
      <c r="B25" s="15" t="s">
        <v>116</v>
      </c>
      <c r="C25" s="21" t="n">
        <v>21167.29</v>
      </c>
      <c r="G25" s="21" t="n">
        <v>21167.29</v>
      </c>
    </row>
    <row r="26" customFormat="false" ht="15" hidden="false" customHeight="false" outlineLevel="0" collapsed="false">
      <c r="B26" s="15" t="s">
        <v>117</v>
      </c>
      <c r="C26" s="21" t="n">
        <v>26087.98</v>
      </c>
      <c r="G26" s="21" t="n">
        <v>26087.98</v>
      </c>
    </row>
    <row r="27" customFormat="false" ht="15" hidden="false" customHeight="false" outlineLevel="0" collapsed="false">
      <c r="B27" s="15" t="s">
        <v>118</v>
      </c>
      <c r="C27" s="21" t="n">
        <v>28640.05</v>
      </c>
      <c r="G27" s="21" t="n">
        <v>28640.05</v>
      </c>
    </row>
    <row r="28" customFormat="false" ht="15" hidden="false" customHeight="false" outlineLevel="0" collapsed="false">
      <c r="B28" s="15" t="s">
        <v>119</v>
      </c>
      <c r="C28" s="21" t="n">
        <v>22996.79</v>
      </c>
      <c r="G28" s="21" t="n">
        <v>22996.79</v>
      </c>
    </row>
    <row r="29" customFormat="false" ht="15" hidden="false" customHeight="false" outlineLevel="0" collapsed="false">
      <c r="B29" s="15" t="s">
        <v>120</v>
      </c>
      <c r="C29" s="21" t="n">
        <v>1436.02</v>
      </c>
      <c r="G29" s="21" t="n">
        <v>1436.02</v>
      </c>
    </row>
    <row r="30" customFormat="false" ht="15" hidden="false" customHeight="false" outlineLevel="0" collapsed="false">
      <c r="B30" s="15" t="s">
        <v>121</v>
      </c>
      <c r="C30" s="21" t="n">
        <v>30481.59</v>
      </c>
      <c r="G30" s="21" t="n">
        <v>30481.59</v>
      </c>
    </row>
    <row r="31" customFormat="false" ht="15" hidden="false" customHeight="false" outlineLevel="0" collapsed="false">
      <c r="B31" s="15" t="s">
        <v>122</v>
      </c>
      <c r="C31" s="21" t="n">
        <v>24592.96</v>
      </c>
      <c r="G31" s="21" t="n">
        <v>24592.96</v>
      </c>
    </row>
    <row r="32" customFormat="false" ht="15" hidden="false" customHeight="false" outlineLevel="0" collapsed="false">
      <c r="B32" s="15" t="s">
        <v>123</v>
      </c>
      <c r="C32" s="21" t="n">
        <v>14716.7</v>
      </c>
      <c r="G32" s="21" t="n">
        <v>14716.7</v>
      </c>
    </row>
    <row r="33" customFormat="false" ht="15" hidden="false" customHeight="false" outlineLevel="0" collapsed="false">
      <c r="B33" s="15" t="s">
        <v>124</v>
      </c>
      <c r="C33" s="21" t="n">
        <v>12002.61</v>
      </c>
      <c r="G33" s="21" t="n">
        <v>12002.61</v>
      </c>
    </row>
    <row r="34" customFormat="false" ht="15" hidden="false" customHeight="false" outlineLevel="0" collapsed="false">
      <c r="B34" s="15" t="s">
        <v>125</v>
      </c>
      <c r="C34" s="21" t="n">
        <v>23197.91</v>
      </c>
      <c r="G34" s="21" t="n">
        <v>23197.91</v>
      </c>
    </row>
    <row r="35" customFormat="false" ht="15" hidden="false" customHeight="false" outlineLevel="0" collapsed="false">
      <c r="B35" s="15" t="s">
        <v>126</v>
      </c>
      <c r="C35" s="21" t="n">
        <v>10564.94</v>
      </c>
      <c r="G35" s="21" t="n">
        <v>10564.94</v>
      </c>
    </row>
    <row r="36" customFormat="false" ht="15" hidden="false" customHeight="false" outlineLevel="0" collapsed="false">
      <c r="B36" s="15" t="s">
        <v>127</v>
      </c>
      <c r="C36" s="21" t="n">
        <v>1561.67</v>
      </c>
      <c r="G36" s="21" t="n">
        <v>1561.67</v>
      </c>
    </row>
    <row r="37" customFormat="false" ht="15" hidden="false" customHeight="false" outlineLevel="0" collapsed="false">
      <c r="B37" s="15" t="s">
        <v>129</v>
      </c>
      <c r="C37" s="21" t="n">
        <v>38226.39</v>
      </c>
      <c r="G37" s="21" t="n">
        <v>38226.39</v>
      </c>
    </row>
    <row r="38" customFormat="false" ht="15" hidden="false" customHeight="false" outlineLevel="0" collapsed="false">
      <c r="B38" s="15" t="s">
        <v>151</v>
      </c>
      <c r="C38" s="21" t="n">
        <v>13622.62</v>
      </c>
      <c r="G38" s="21" t="n">
        <v>13622.62</v>
      </c>
    </row>
    <row r="39" customFormat="false" ht="15" hidden="false" customHeight="false" outlineLevel="0" collapsed="false">
      <c r="B39" s="15" t="s">
        <v>130</v>
      </c>
      <c r="C39" s="21" t="n">
        <v>2666.01</v>
      </c>
      <c r="G39" s="21" t="n">
        <v>2666.01</v>
      </c>
    </row>
    <row r="40" customFormat="false" ht="15" hidden="false" customHeight="false" outlineLevel="0" collapsed="false">
      <c r="B40" s="15" t="s">
        <v>152</v>
      </c>
      <c r="C40" s="21" t="n">
        <v>3419.61</v>
      </c>
      <c r="G40" s="21" t="n">
        <v>3419.61</v>
      </c>
    </row>
    <row r="41" customFormat="false" ht="15" hidden="false" customHeight="false" outlineLevel="0" collapsed="false">
      <c r="A41" s="22"/>
      <c r="B41" s="23" t="s">
        <v>66</v>
      </c>
      <c r="C41" s="24" t="n">
        <f aca="false">SUM(C10:C40)</f>
        <v>357389.52</v>
      </c>
      <c r="D41" s="24" t="n">
        <f aca="false">SUM(D10:D40)</f>
        <v>70749.6</v>
      </c>
      <c r="E41" s="24" t="n">
        <f aca="false">SUM(E10:E40)</f>
        <v>0</v>
      </c>
      <c r="F41" s="24" t="n">
        <f aca="false">SUM(F10:F40)</f>
        <v>0</v>
      </c>
      <c r="G41" s="24" t="n">
        <f aca="false">SUM(G10:G40)</f>
        <v>286639.92</v>
      </c>
      <c r="H41" s="22"/>
    </row>
    <row r="43" customFormat="false" ht="15" hidden="false" customHeight="false" outlineLevel="0" collapsed="false">
      <c r="A43" s="19"/>
      <c r="B43" s="20" t="s">
        <v>67</v>
      </c>
      <c r="C43" s="20"/>
      <c r="D43" s="20"/>
      <c r="E43" s="20"/>
      <c r="F43" s="20"/>
      <c r="G43" s="20"/>
      <c r="H43" s="20"/>
      <c r="I43" s="20"/>
      <c r="J43" s="20"/>
    </row>
    <row r="44" customFormat="false" ht="15" hidden="false" customHeight="false" outlineLevel="0" collapsed="false">
      <c r="B44" s="15" t="s">
        <v>68</v>
      </c>
      <c r="C44" s="21" t="n">
        <v>282065.31</v>
      </c>
      <c r="D44" s="21" t="n">
        <v>55838.26</v>
      </c>
      <c r="G44" s="21" t="n">
        <v>226227.05</v>
      </c>
    </row>
    <row r="45" customFormat="false" ht="15" hidden="false" customHeight="false" outlineLevel="0" collapsed="false">
      <c r="B45" s="15" t="s">
        <v>69</v>
      </c>
      <c r="C45" s="21" t="n">
        <v>513.71</v>
      </c>
      <c r="D45" s="21" t="n">
        <v>101.7</v>
      </c>
      <c r="G45" s="21" t="n">
        <v>412.01</v>
      </c>
    </row>
    <row r="46" customFormat="false" ht="15" hidden="false" customHeight="false" outlineLevel="0" collapsed="false">
      <c r="B46" s="15" t="s">
        <v>70</v>
      </c>
      <c r="C46" s="21" t="n">
        <v>26609.91</v>
      </c>
      <c r="D46" s="21" t="n">
        <v>5267.76</v>
      </c>
      <c r="G46" s="21" t="n">
        <v>21342.15</v>
      </c>
    </row>
    <row r="47" customFormat="false" ht="15" hidden="false" customHeight="false" outlineLevel="0" collapsed="false">
      <c r="B47" s="15" t="s">
        <v>71</v>
      </c>
      <c r="C47" s="21" t="n">
        <v>48200.59</v>
      </c>
      <c r="D47" s="21" t="n">
        <v>9541.88</v>
      </c>
      <c r="G47" s="21" t="n">
        <v>38658.71</v>
      </c>
    </row>
    <row r="48" customFormat="false" ht="15" hidden="false" customHeight="false" outlineLevel="0" collapsed="false">
      <c r="A48" s="22"/>
      <c r="B48" s="23" t="s">
        <v>72</v>
      </c>
      <c r="C48" s="24" t="n">
        <f aca="false">SUM(C44:C47)</f>
        <v>357389.52</v>
      </c>
      <c r="D48" s="24" t="n">
        <f aca="false">SUM(D44:D47)</f>
        <v>70749.6</v>
      </c>
      <c r="E48" s="22"/>
      <c r="F48" s="24" t="n">
        <f aca="false">SUM(F44:F47)</f>
        <v>0</v>
      </c>
      <c r="G48" s="24" t="n">
        <f aca="false">SUM(G44:G47)</f>
        <v>286639.92</v>
      </c>
      <c r="H48" s="22"/>
    </row>
    <row r="50" customFormat="false" ht="15" hidden="false" customHeight="false" outlineLevel="0" collapsed="false">
      <c r="A50" s="25" t="s">
        <v>73</v>
      </c>
      <c r="B50" s="25"/>
      <c r="C50" s="25"/>
      <c r="D50" s="25"/>
      <c r="E50" s="25"/>
      <c r="F50" s="25"/>
      <c r="G50" s="25"/>
      <c r="H50" s="25"/>
      <c r="I50" s="25"/>
      <c r="J50" s="25"/>
    </row>
    <row r="51" customFormat="false" ht="15" hidden="false" customHeight="false" outlineLevel="0" collapsed="false">
      <c r="A51" s="26" t="s">
        <v>36</v>
      </c>
      <c r="B51" s="26"/>
      <c r="C51" s="26"/>
      <c r="D51" s="26"/>
      <c r="E51" s="26"/>
      <c r="F51" s="26"/>
      <c r="G51" s="26"/>
      <c r="H51" s="26"/>
      <c r="I51" s="26"/>
      <c r="J51" s="26"/>
    </row>
    <row r="52" customFormat="false" ht="15" hidden="false" customHeight="false" outlineLevel="0" collapsed="false">
      <c r="A52" s="27"/>
      <c r="B52" s="27" t="s">
        <v>74</v>
      </c>
      <c r="C52" s="28" t="s">
        <v>75</v>
      </c>
      <c r="D52" s="28" t="s">
        <v>76</v>
      </c>
      <c r="E52" s="28" t="s">
        <v>77</v>
      </c>
      <c r="F52" s="28" t="s">
        <v>78</v>
      </c>
      <c r="G52" s="28" t="s">
        <v>79</v>
      </c>
      <c r="H52" s="28" t="s">
        <v>80</v>
      </c>
      <c r="I52" s="28" t="s">
        <v>81</v>
      </c>
      <c r="J52" s="28" t="s">
        <v>82</v>
      </c>
    </row>
    <row r="53" customFormat="false" ht="15" hidden="false" customHeight="false" outlineLevel="0" collapsed="false">
      <c r="B53" s="29" t="s">
        <v>153</v>
      </c>
      <c r="C53" s="30" t="n">
        <v>282065.31</v>
      </c>
      <c r="D53" s="30" t="n">
        <v>0</v>
      </c>
      <c r="E53" s="30" t="n">
        <v>82481.69</v>
      </c>
      <c r="F53" s="30" t="n">
        <v>10256.92</v>
      </c>
      <c r="G53" s="30" t="n">
        <v>92738.61</v>
      </c>
      <c r="H53" s="30" t="n">
        <v>189326.7</v>
      </c>
      <c r="I53" s="31" t="s">
        <v>84</v>
      </c>
      <c r="J53" s="32" t="n">
        <v>27.5</v>
      </c>
    </row>
    <row r="54" customFormat="false" ht="15" hidden="false" customHeight="false" outlineLevel="0" collapsed="false">
      <c r="B54" s="7" t="s">
        <v>154</v>
      </c>
      <c r="C54" s="9" t="n">
        <v>513.71</v>
      </c>
      <c r="D54" s="9" t="n">
        <v>0</v>
      </c>
      <c r="E54" s="9" t="n">
        <v>148.76</v>
      </c>
      <c r="F54" s="9" t="n">
        <v>18.69</v>
      </c>
      <c r="G54" s="9" t="n">
        <v>167.45</v>
      </c>
      <c r="H54" s="9" t="n">
        <v>346.26</v>
      </c>
      <c r="I54" s="33" t="s">
        <v>84</v>
      </c>
      <c r="J54" s="34" t="n">
        <v>27.5</v>
      </c>
    </row>
    <row r="55" customFormat="false" ht="15" hidden="false" customHeight="false" outlineLevel="0" collapsed="false">
      <c r="B55" s="29" t="s">
        <v>155</v>
      </c>
      <c r="C55" s="30" t="n">
        <v>26609.91</v>
      </c>
      <c r="D55" s="30" t="n">
        <v>0</v>
      </c>
      <c r="E55" s="30" t="n">
        <v>15584.54</v>
      </c>
      <c r="F55" s="30" t="n">
        <v>1570</v>
      </c>
      <c r="G55" s="30" t="n">
        <v>17154.54</v>
      </c>
      <c r="H55" s="30" t="n">
        <v>9455.37</v>
      </c>
      <c r="I55" s="31" t="s">
        <v>87</v>
      </c>
      <c r="J55" s="32" t="n">
        <v>15</v>
      </c>
    </row>
    <row r="56" customFormat="false" ht="15" hidden="false" customHeight="false" outlineLevel="0" collapsed="false">
      <c r="B56" s="7" t="s">
        <v>156</v>
      </c>
      <c r="C56" s="9" t="n">
        <v>48200.59</v>
      </c>
      <c r="D56" s="9" t="n">
        <v>0</v>
      </c>
      <c r="E56" s="9" t="n">
        <v>46593.9</v>
      </c>
      <c r="F56" s="9" t="n">
        <v>0</v>
      </c>
      <c r="G56" s="9" t="n">
        <v>46593.9</v>
      </c>
      <c r="H56" s="9" t="n">
        <v>1606.69</v>
      </c>
      <c r="I56" s="33" t="s">
        <v>89</v>
      </c>
      <c r="J56" s="34" t="n">
        <v>5</v>
      </c>
    </row>
    <row r="57" customFormat="false" ht="15" hidden="false" customHeight="false" outlineLevel="0" collapsed="false">
      <c r="A57" s="35"/>
      <c r="B57" s="36" t="s">
        <v>34</v>
      </c>
      <c r="C57" s="37" t="n">
        <f aca="false">SUM(C53:C56)</f>
        <v>357389.52</v>
      </c>
      <c r="D57" s="37" t="n">
        <f aca="false">SUM(D53:D56)</f>
        <v>0</v>
      </c>
      <c r="E57" s="37" t="n">
        <f aca="false">SUM(E53:E56)</f>
        <v>144808.89</v>
      </c>
      <c r="F57" s="37" t="n">
        <f aca="false">SUM(F53:F56)</f>
        <v>11845.61</v>
      </c>
      <c r="G57" s="37" t="n">
        <f aca="false">SUM(G53:G56)</f>
        <v>156654.5</v>
      </c>
      <c r="H57" s="37" t="n">
        <f aca="false">SUM(H53:H56)</f>
        <v>200735.02</v>
      </c>
      <c r="I57" s="35"/>
      <c r="J57" s="35"/>
    </row>
    <row r="59" customFormat="false" ht="15" hidden="false" customHeight="false" outlineLevel="0" collapsed="false">
      <c r="A59" s="38" t="s">
        <v>90</v>
      </c>
      <c r="B59" s="38"/>
      <c r="C59" s="38"/>
      <c r="D59" s="38"/>
      <c r="E59" s="38"/>
      <c r="F59" s="38"/>
      <c r="G59" s="38"/>
      <c r="H59" s="38"/>
      <c r="I59" s="38"/>
      <c r="J59" s="38"/>
    </row>
    <row r="60" customFormat="false" ht="15" hidden="false" customHeight="false" outlineLevel="0" collapsed="false">
      <c r="A60" s="27"/>
      <c r="B60" s="27" t="s">
        <v>74</v>
      </c>
      <c r="C60" s="28" t="s">
        <v>75</v>
      </c>
      <c r="D60" s="28" t="s">
        <v>76</v>
      </c>
      <c r="E60" s="28" t="s">
        <v>77</v>
      </c>
      <c r="F60" s="28" t="s">
        <v>78</v>
      </c>
      <c r="G60" s="28" t="s">
        <v>79</v>
      </c>
      <c r="H60" s="28" t="s">
        <v>80</v>
      </c>
      <c r="I60" s="28" t="s">
        <v>81</v>
      </c>
      <c r="J60" s="28" t="s">
        <v>82</v>
      </c>
    </row>
    <row r="61" customFormat="false" ht="15" hidden="false" customHeight="false" outlineLevel="0" collapsed="false">
      <c r="B61" s="29" t="s">
        <v>157</v>
      </c>
      <c r="C61" s="30" t="n">
        <v>55838.26</v>
      </c>
      <c r="D61" s="30" t="n">
        <v>0</v>
      </c>
      <c r="E61" s="30" t="n">
        <v>55838.26</v>
      </c>
      <c r="F61" s="30" t="n">
        <v>0</v>
      </c>
      <c r="G61" s="30" t="n">
        <v>55838.26</v>
      </c>
      <c r="H61" s="30" t="n">
        <v>0</v>
      </c>
      <c r="I61" s="31" t="s">
        <v>89</v>
      </c>
      <c r="J61" s="32" t="n">
        <v>5</v>
      </c>
    </row>
    <row r="62" customFormat="false" ht="15" hidden="false" customHeight="false" outlineLevel="0" collapsed="false">
      <c r="B62" s="7" t="s">
        <v>158</v>
      </c>
      <c r="C62" s="9" t="n">
        <v>226227.05</v>
      </c>
      <c r="D62" s="9" t="n">
        <v>0</v>
      </c>
      <c r="E62" s="9" t="n">
        <v>66154.29</v>
      </c>
      <c r="F62" s="9" t="n">
        <v>8226.44</v>
      </c>
      <c r="G62" s="9" t="n">
        <v>74380.73</v>
      </c>
      <c r="H62" s="9" t="n">
        <v>151846.32</v>
      </c>
      <c r="I62" s="33" t="s">
        <v>84</v>
      </c>
      <c r="J62" s="34" t="n">
        <v>27.5</v>
      </c>
    </row>
    <row r="63" customFormat="false" ht="15" hidden="false" customHeight="false" outlineLevel="0" collapsed="false">
      <c r="B63" s="29" t="s">
        <v>159</v>
      </c>
      <c r="C63" s="30" t="n">
        <v>101.7</v>
      </c>
      <c r="D63" s="30" t="n">
        <v>0</v>
      </c>
      <c r="E63" s="30" t="n">
        <v>101.7</v>
      </c>
      <c r="F63" s="30" t="n">
        <v>0</v>
      </c>
      <c r="G63" s="30" t="n">
        <v>101.7</v>
      </c>
      <c r="H63" s="30" t="n">
        <v>0</v>
      </c>
      <c r="I63" s="31" t="s">
        <v>89</v>
      </c>
      <c r="J63" s="32" t="n">
        <v>5</v>
      </c>
    </row>
    <row r="64" customFormat="false" ht="15" hidden="false" customHeight="false" outlineLevel="0" collapsed="false">
      <c r="B64" s="7" t="s">
        <v>160</v>
      </c>
      <c r="C64" s="9" t="n">
        <v>412.01</v>
      </c>
      <c r="D64" s="9" t="n">
        <v>0</v>
      </c>
      <c r="E64" s="9" t="n">
        <v>119.22</v>
      </c>
      <c r="F64" s="9" t="n">
        <v>14.98</v>
      </c>
      <c r="G64" s="9" t="n">
        <v>134.2</v>
      </c>
      <c r="H64" s="9" t="n">
        <v>277.81</v>
      </c>
      <c r="I64" s="33" t="s">
        <v>84</v>
      </c>
      <c r="J64" s="34" t="n">
        <v>27.5</v>
      </c>
    </row>
    <row r="65" customFormat="false" ht="15" hidden="false" customHeight="false" outlineLevel="0" collapsed="false">
      <c r="B65" s="29" t="s">
        <v>161</v>
      </c>
      <c r="C65" s="30" t="n">
        <v>5267.76</v>
      </c>
      <c r="D65" s="30" t="n">
        <v>0</v>
      </c>
      <c r="E65" s="30" t="n">
        <v>5267.76</v>
      </c>
      <c r="F65" s="30" t="n">
        <v>0</v>
      </c>
      <c r="G65" s="30" t="n">
        <v>5267.76</v>
      </c>
      <c r="H65" s="30" t="n">
        <v>0</v>
      </c>
      <c r="I65" s="31" t="s">
        <v>89</v>
      </c>
      <c r="J65" s="32" t="n">
        <v>5</v>
      </c>
    </row>
    <row r="66" customFormat="false" ht="15" hidden="false" customHeight="false" outlineLevel="0" collapsed="false">
      <c r="B66" s="7" t="s">
        <v>162</v>
      </c>
      <c r="C66" s="9" t="n">
        <v>21342.15</v>
      </c>
      <c r="D66" s="9" t="n">
        <v>0</v>
      </c>
      <c r="E66" s="9" t="n">
        <v>6240.98</v>
      </c>
      <c r="F66" s="9" t="n">
        <v>776.08</v>
      </c>
      <c r="G66" s="9" t="n">
        <v>7017.06</v>
      </c>
      <c r="H66" s="9" t="n">
        <v>14325.09</v>
      </c>
      <c r="I66" s="33" t="s">
        <v>84</v>
      </c>
      <c r="J66" s="34" t="n">
        <v>27.5</v>
      </c>
    </row>
    <row r="67" customFormat="false" ht="15" hidden="false" customHeight="false" outlineLevel="0" collapsed="false">
      <c r="B67" s="29" t="s">
        <v>163</v>
      </c>
      <c r="C67" s="30" t="n">
        <v>9541.88</v>
      </c>
      <c r="D67" s="30" t="n">
        <v>0</v>
      </c>
      <c r="E67" s="30" t="n">
        <v>9541.88</v>
      </c>
      <c r="F67" s="30" t="n">
        <v>0</v>
      </c>
      <c r="G67" s="30" t="n">
        <v>9541.88</v>
      </c>
      <c r="H67" s="30" t="n">
        <v>0</v>
      </c>
      <c r="I67" s="31" t="s">
        <v>89</v>
      </c>
      <c r="J67" s="32" t="n">
        <v>5</v>
      </c>
    </row>
    <row r="68" customFormat="false" ht="15" hidden="false" customHeight="false" outlineLevel="0" collapsed="false">
      <c r="B68" s="7" t="s">
        <v>164</v>
      </c>
      <c r="C68" s="9" t="n">
        <v>38658.71</v>
      </c>
      <c r="D68" s="9" t="n">
        <v>0</v>
      </c>
      <c r="E68" s="9" t="n">
        <v>11304.73</v>
      </c>
      <c r="F68" s="9" t="n">
        <v>1405.77</v>
      </c>
      <c r="G68" s="9" t="n">
        <v>12710.5</v>
      </c>
      <c r="H68" s="9" t="n">
        <v>25948.21</v>
      </c>
      <c r="I68" s="33" t="s">
        <v>84</v>
      </c>
      <c r="J68" s="34" t="n">
        <v>27.5</v>
      </c>
    </row>
    <row r="69" customFormat="false" ht="15" hidden="false" customHeight="false" outlineLevel="0" collapsed="false">
      <c r="A69" s="35"/>
      <c r="B69" s="36" t="s">
        <v>34</v>
      </c>
      <c r="C69" s="37" t="n">
        <f aca="false">SUM(C61:C68)</f>
        <v>357389.52</v>
      </c>
      <c r="D69" s="37" t="n">
        <f aca="false">SUM(D61:D68)</f>
        <v>0</v>
      </c>
      <c r="E69" s="37" t="n">
        <f aca="false">SUM(E61:E68)</f>
        <v>154568.82</v>
      </c>
      <c r="F69" s="37" t="n">
        <f aca="false">SUM(F61:F68)</f>
        <v>10423.27</v>
      </c>
      <c r="G69" s="37" t="n">
        <f aca="false">SUM(G61:G68)</f>
        <v>164992.09</v>
      </c>
      <c r="H69" s="37" t="n">
        <f aca="false">SUM(H61:H68)</f>
        <v>192397.43</v>
      </c>
      <c r="I69" s="35"/>
      <c r="J69" s="35"/>
    </row>
    <row r="71" customFormat="false" ht="15" hidden="false" customHeight="false" outlineLevel="0" collapsed="false">
      <c r="A71" s="25" t="s">
        <v>38</v>
      </c>
      <c r="B71" s="25"/>
      <c r="C71" s="25"/>
      <c r="D71" s="25"/>
      <c r="E71" s="25"/>
    </row>
    <row r="72" customFormat="false" ht="15" hidden="false" customHeight="false" outlineLevel="0" collapsed="false">
      <c r="B72" s="7" t="s">
        <v>99</v>
      </c>
      <c r="C72" s="39" t="n">
        <f aca="false">G57</f>
        <v>156654.5</v>
      </c>
    </row>
    <row r="73" customFormat="false" ht="15" hidden="false" customHeight="false" outlineLevel="0" collapsed="false">
      <c r="B73" s="7" t="s">
        <v>100</v>
      </c>
      <c r="C73" s="39" t="n">
        <f aca="false">G69</f>
        <v>164992.09</v>
      </c>
    </row>
    <row r="74" customFormat="false" ht="15" hidden="false" customHeight="false" outlineLevel="0" collapsed="false">
      <c r="B74" s="10" t="s">
        <v>38</v>
      </c>
      <c r="C74" s="40" t="n">
        <f aca="false">C73-C72</f>
        <v>8337.59</v>
      </c>
    </row>
  </sheetData>
  <mergeCells count="11">
    <mergeCell ref="A2:J2"/>
    <mergeCell ref="A3:J3"/>
    <mergeCell ref="A4:J4"/>
    <mergeCell ref="A8:J8"/>
    <mergeCell ref="B10:J10"/>
    <mergeCell ref="B23:J23"/>
    <mergeCell ref="B43:J43"/>
    <mergeCell ref="A50:J50"/>
    <mergeCell ref="A51:J51"/>
    <mergeCell ref="A59:J59"/>
    <mergeCell ref="A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189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190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7759.94</v>
      </c>
      <c r="D11" s="21" t="n">
        <v>7759.94</v>
      </c>
    </row>
    <row r="12" customFormat="false" ht="15" hidden="false" customHeight="false" outlineLevel="0" collapsed="false">
      <c r="B12" s="15" t="s">
        <v>105</v>
      </c>
      <c r="C12" s="21" t="n">
        <v>4601.14</v>
      </c>
      <c r="D12" s="21" t="n">
        <v>4601.14</v>
      </c>
    </row>
    <row r="13" customFormat="false" ht="15" hidden="false" customHeight="false" outlineLevel="0" collapsed="false">
      <c r="B13" s="15" t="s">
        <v>106</v>
      </c>
      <c r="C13" s="21" t="n">
        <v>18695.69</v>
      </c>
      <c r="D13" s="21" t="n">
        <v>18695.69</v>
      </c>
    </row>
    <row r="14" customFormat="false" ht="15" hidden="false" customHeight="false" outlineLevel="0" collapsed="false">
      <c r="B14" s="15" t="s">
        <v>108</v>
      </c>
      <c r="C14" s="21" t="n">
        <v>2235.2</v>
      </c>
      <c r="D14" s="21" t="n">
        <v>2235.2</v>
      </c>
    </row>
    <row r="15" customFormat="false" ht="15" hidden="false" customHeight="false" outlineLevel="0" collapsed="false">
      <c r="B15" s="15" t="s">
        <v>146</v>
      </c>
      <c r="C15" s="21" t="n">
        <v>274.94</v>
      </c>
      <c r="D15" s="21" t="n">
        <v>274.94</v>
      </c>
    </row>
    <row r="16" customFormat="false" ht="15" hidden="false" customHeight="false" outlineLevel="0" collapsed="false">
      <c r="B16" s="15" t="s">
        <v>147</v>
      </c>
      <c r="C16" s="21" t="n">
        <v>120.68</v>
      </c>
      <c r="D16" s="21" t="n">
        <v>120.68</v>
      </c>
    </row>
    <row r="17" customFormat="false" ht="15" hidden="false" customHeight="false" outlineLevel="0" collapsed="false">
      <c r="B17" s="15" t="s">
        <v>109</v>
      </c>
      <c r="C17" s="21" t="n">
        <v>4471.44</v>
      </c>
      <c r="D17" s="21" t="n">
        <v>4471.44</v>
      </c>
    </row>
    <row r="18" customFormat="false" ht="15" hidden="false" customHeight="false" outlineLevel="0" collapsed="false">
      <c r="B18" s="15" t="s">
        <v>110</v>
      </c>
      <c r="C18" s="21" t="n">
        <v>1633.14</v>
      </c>
      <c r="D18" s="21" t="n">
        <v>1633.14</v>
      </c>
    </row>
    <row r="19" customFormat="false" ht="15" hidden="false" customHeight="false" outlineLevel="0" collapsed="false">
      <c r="B19" s="15" t="s">
        <v>148</v>
      </c>
      <c r="C19" s="21" t="n">
        <v>5141.11</v>
      </c>
      <c r="D19" s="21" t="n">
        <v>5141.11</v>
      </c>
    </row>
    <row r="20" customFormat="false" ht="15" hidden="false" customHeight="false" outlineLevel="0" collapsed="false">
      <c r="B20" s="15" t="s">
        <v>112</v>
      </c>
      <c r="C20" s="21" t="n">
        <v>1534.74</v>
      </c>
      <c r="D20" s="21" t="n">
        <v>1534.74</v>
      </c>
    </row>
    <row r="21" customFormat="false" ht="15" hidden="false" customHeight="false" outlineLevel="0" collapsed="false">
      <c r="B21" s="15" t="s">
        <v>149</v>
      </c>
      <c r="C21" s="21" t="n">
        <v>64.8</v>
      </c>
      <c r="D21" s="21" t="n">
        <v>64.8</v>
      </c>
    </row>
    <row r="22" customFormat="false" ht="15" hidden="false" customHeight="false" outlineLevel="0" collapsed="false">
      <c r="B22" s="15" t="s">
        <v>150</v>
      </c>
      <c r="C22" s="21" t="n">
        <v>5524.32</v>
      </c>
      <c r="D22" s="21" t="n">
        <v>5524.32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10400.92</v>
      </c>
      <c r="G24" s="21" t="n">
        <v>10400.92</v>
      </c>
    </row>
    <row r="25" customFormat="false" ht="15" hidden="false" customHeight="false" outlineLevel="0" collapsed="false">
      <c r="B25" s="15" t="s">
        <v>116</v>
      </c>
      <c r="C25" s="21" t="n">
        <v>19732.45</v>
      </c>
      <c r="G25" s="21" t="n">
        <v>19732.45</v>
      </c>
    </row>
    <row r="26" customFormat="false" ht="15" hidden="false" customHeight="false" outlineLevel="0" collapsed="false">
      <c r="B26" s="15" t="s">
        <v>117</v>
      </c>
      <c r="C26" s="21" t="n">
        <v>18076.85</v>
      </c>
      <c r="G26" s="21" t="n">
        <v>18076.85</v>
      </c>
    </row>
    <row r="27" customFormat="false" ht="15" hidden="false" customHeight="false" outlineLevel="0" collapsed="false">
      <c r="B27" s="15" t="s">
        <v>118</v>
      </c>
      <c r="C27" s="21" t="n">
        <v>19867.9</v>
      </c>
      <c r="G27" s="21" t="n">
        <v>19867.9</v>
      </c>
    </row>
    <row r="28" customFormat="false" ht="15" hidden="false" customHeight="false" outlineLevel="0" collapsed="false">
      <c r="B28" s="15" t="s">
        <v>119</v>
      </c>
      <c r="C28" s="21" t="n">
        <v>15953.11</v>
      </c>
      <c r="G28" s="21" t="n">
        <v>15953.11</v>
      </c>
    </row>
    <row r="29" customFormat="false" ht="15" hidden="false" customHeight="false" outlineLevel="0" collapsed="false">
      <c r="B29" s="15" t="s">
        <v>120</v>
      </c>
      <c r="C29" s="21" t="n">
        <v>1077</v>
      </c>
      <c r="G29" s="21" t="n">
        <v>1077</v>
      </c>
    </row>
    <row r="30" customFormat="false" ht="15" hidden="false" customHeight="false" outlineLevel="0" collapsed="false">
      <c r="B30" s="15" t="s">
        <v>121</v>
      </c>
      <c r="C30" s="21" t="n">
        <v>24515.03</v>
      </c>
      <c r="G30" s="21" t="n">
        <v>24515.03</v>
      </c>
    </row>
    <row r="31" customFormat="false" ht="15" hidden="false" customHeight="false" outlineLevel="0" collapsed="false">
      <c r="B31" s="15" t="s">
        <v>122</v>
      </c>
      <c r="C31" s="21" t="n">
        <v>18444.72</v>
      </c>
      <c r="G31" s="21" t="n">
        <v>18444.72</v>
      </c>
    </row>
    <row r="32" customFormat="false" ht="15" hidden="false" customHeight="false" outlineLevel="0" collapsed="false">
      <c r="B32" s="15" t="s">
        <v>123</v>
      </c>
      <c r="C32" s="21" t="n">
        <v>11037.53</v>
      </c>
      <c r="G32" s="21" t="n">
        <v>11037.53</v>
      </c>
    </row>
    <row r="33" customFormat="false" ht="15" hidden="false" customHeight="false" outlineLevel="0" collapsed="false">
      <c r="B33" s="15" t="s">
        <v>124</v>
      </c>
      <c r="C33" s="21" t="n">
        <v>8326.32</v>
      </c>
      <c r="G33" s="21" t="n">
        <v>8326.32</v>
      </c>
    </row>
    <row r="34" customFormat="false" ht="15" hidden="false" customHeight="false" outlineLevel="0" collapsed="false">
      <c r="B34" s="15" t="s">
        <v>125</v>
      </c>
      <c r="C34" s="21" t="n">
        <v>20278.2</v>
      </c>
      <c r="G34" s="21" t="n">
        <v>20278.2</v>
      </c>
    </row>
    <row r="35" customFormat="false" ht="15" hidden="false" customHeight="false" outlineLevel="0" collapsed="false">
      <c r="B35" s="15" t="s">
        <v>126</v>
      </c>
      <c r="C35" s="21" t="n">
        <v>8613.97</v>
      </c>
      <c r="G35" s="21" t="n">
        <v>8613.97</v>
      </c>
    </row>
    <row r="36" customFormat="false" ht="15" hidden="false" customHeight="false" outlineLevel="0" collapsed="false">
      <c r="B36" s="15" t="s">
        <v>127</v>
      </c>
      <c r="C36" s="21" t="n">
        <v>1343.51</v>
      </c>
      <c r="G36" s="21" t="n">
        <v>1343.51</v>
      </c>
    </row>
    <row r="37" customFormat="false" ht="15" hidden="false" customHeight="false" outlineLevel="0" collapsed="false">
      <c r="B37" s="15" t="s">
        <v>129</v>
      </c>
      <c r="C37" s="21" t="n">
        <v>27755.5</v>
      </c>
      <c r="G37" s="21" t="n">
        <v>27755.5</v>
      </c>
    </row>
    <row r="38" customFormat="false" ht="15" hidden="false" customHeight="false" outlineLevel="0" collapsed="false">
      <c r="B38" s="15" t="s">
        <v>151</v>
      </c>
      <c r="C38" s="21" t="n">
        <v>6811.28</v>
      </c>
      <c r="G38" s="21" t="n">
        <v>6811.28</v>
      </c>
    </row>
    <row r="39" customFormat="false" ht="15" hidden="false" customHeight="false" outlineLevel="0" collapsed="false">
      <c r="B39" s="15" t="s">
        <v>130</v>
      </c>
      <c r="C39" s="21" t="n">
        <v>1999.53</v>
      </c>
      <c r="G39" s="21" t="n">
        <v>1999.53</v>
      </c>
    </row>
    <row r="40" customFormat="false" ht="15" hidden="false" customHeight="false" outlineLevel="0" collapsed="false">
      <c r="B40" s="15" t="s">
        <v>152</v>
      </c>
      <c r="C40" s="21" t="n">
        <v>2564.71</v>
      </c>
      <c r="G40" s="21" t="n">
        <v>2564.71</v>
      </c>
    </row>
    <row r="41" customFormat="false" ht="15" hidden="false" customHeight="false" outlineLevel="0" collapsed="false">
      <c r="A41" s="22"/>
      <c r="B41" s="23" t="s">
        <v>66</v>
      </c>
      <c r="C41" s="24" t="n">
        <f aca="false">SUM(C10:C40)</f>
        <v>268855.67</v>
      </c>
      <c r="D41" s="24" t="n">
        <f aca="false">SUM(D10:D40)</f>
        <v>52057.14</v>
      </c>
      <c r="E41" s="24" t="n">
        <f aca="false">SUM(E10:E40)</f>
        <v>0</v>
      </c>
      <c r="F41" s="24" t="n">
        <f aca="false">SUM(F10:F40)</f>
        <v>0</v>
      </c>
      <c r="G41" s="24" t="n">
        <f aca="false">SUM(G10:G40)</f>
        <v>216798.53</v>
      </c>
      <c r="H41" s="22"/>
    </row>
    <row r="43" customFormat="false" ht="15" hidden="false" customHeight="false" outlineLevel="0" collapsed="false">
      <c r="A43" s="19"/>
      <c r="B43" s="20" t="s">
        <v>67</v>
      </c>
      <c r="C43" s="20"/>
      <c r="D43" s="20"/>
      <c r="E43" s="20"/>
      <c r="F43" s="20"/>
      <c r="G43" s="20"/>
      <c r="H43" s="20"/>
      <c r="I43" s="20"/>
      <c r="J43" s="20"/>
    </row>
    <row r="44" customFormat="false" ht="15" hidden="false" customHeight="false" outlineLevel="0" collapsed="false">
      <c r="B44" s="15" t="s">
        <v>68</v>
      </c>
      <c r="C44" s="21" t="n">
        <v>212191.05</v>
      </c>
      <c r="D44" s="21" t="n">
        <v>41085.46</v>
      </c>
      <c r="G44" s="21" t="n">
        <v>171105.59</v>
      </c>
    </row>
    <row r="45" customFormat="false" ht="15" hidden="false" customHeight="false" outlineLevel="0" collapsed="false">
      <c r="B45" s="15" t="s">
        <v>69</v>
      </c>
      <c r="C45" s="21" t="n">
        <v>386.45</v>
      </c>
      <c r="D45" s="21" t="n">
        <v>74.83</v>
      </c>
      <c r="G45" s="21" t="n">
        <v>311.62</v>
      </c>
    </row>
    <row r="46" customFormat="false" ht="15" hidden="false" customHeight="false" outlineLevel="0" collapsed="false">
      <c r="B46" s="15" t="s">
        <v>70</v>
      </c>
      <c r="C46" s="21" t="n">
        <v>20018</v>
      </c>
      <c r="D46" s="21" t="n">
        <v>3875.98</v>
      </c>
      <c r="G46" s="21" t="n">
        <v>16142.02</v>
      </c>
    </row>
    <row r="47" customFormat="false" ht="15" hidden="false" customHeight="false" outlineLevel="0" collapsed="false">
      <c r="B47" s="15" t="s">
        <v>71</v>
      </c>
      <c r="C47" s="21" t="n">
        <v>36260.17</v>
      </c>
      <c r="D47" s="21" t="n">
        <v>7020.87</v>
      </c>
      <c r="G47" s="21" t="n">
        <v>29239.3</v>
      </c>
    </row>
    <row r="48" customFormat="false" ht="15" hidden="false" customHeight="false" outlineLevel="0" collapsed="false">
      <c r="A48" s="22"/>
      <c r="B48" s="23" t="s">
        <v>72</v>
      </c>
      <c r="C48" s="24" t="n">
        <f aca="false">SUM(C44:C47)</f>
        <v>268855.67</v>
      </c>
      <c r="D48" s="24" t="n">
        <f aca="false">SUM(D44:D47)</f>
        <v>52057.14</v>
      </c>
      <c r="E48" s="22"/>
      <c r="F48" s="24" t="n">
        <f aca="false">SUM(F44:F47)</f>
        <v>0</v>
      </c>
      <c r="G48" s="24" t="n">
        <f aca="false">SUM(G44:G47)</f>
        <v>216798.53</v>
      </c>
      <c r="H48" s="22"/>
    </row>
    <row r="50" customFormat="false" ht="15" hidden="false" customHeight="false" outlineLevel="0" collapsed="false">
      <c r="A50" s="25" t="s">
        <v>73</v>
      </c>
      <c r="B50" s="25"/>
      <c r="C50" s="25"/>
      <c r="D50" s="25"/>
      <c r="E50" s="25"/>
      <c r="F50" s="25"/>
      <c r="G50" s="25"/>
      <c r="H50" s="25"/>
      <c r="I50" s="25"/>
      <c r="J50" s="25"/>
    </row>
    <row r="51" customFormat="false" ht="15" hidden="false" customHeight="false" outlineLevel="0" collapsed="false">
      <c r="A51" s="26" t="s">
        <v>36</v>
      </c>
      <c r="B51" s="26"/>
      <c r="C51" s="26"/>
      <c r="D51" s="26"/>
      <c r="E51" s="26"/>
      <c r="F51" s="26"/>
      <c r="G51" s="26"/>
      <c r="H51" s="26"/>
      <c r="I51" s="26"/>
      <c r="J51" s="26"/>
    </row>
    <row r="52" customFormat="false" ht="15" hidden="false" customHeight="false" outlineLevel="0" collapsed="false">
      <c r="A52" s="27"/>
      <c r="B52" s="27" t="s">
        <v>74</v>
      </c>
      <c r="C52" s="28" t="s">
        <v>75</v>
      </c>
      <c r="D52" s="28" t="s">
        <v>76</v>
      </c>
      <c r="E52" s="28" t="s">
        <v>77</v>
      </c>
      <c r="F52" s="28" t="s">
        <v>78</v>
      </c>
      <c r="G52" s="28" t="s">
        <v>79</v>
      </c>
      <c r="H52" s="28" t="s">
        <v>80</v>
      </c>
      <c r="I52" s="28" t="s">
        <v>81</v>
      </c>
      <c r="J52" s="28" t="s">
        <v>82</v>
      </c>
    </row>
    <row r="53" customFormat="false" ht="15" hidden="false" customHeight="false" outlineLevel="0" collapsed="false">
      <c r="B53" s="29" t="s">
        <v>153</v>
      </c>
      <c r="C53" s="30" t="n">
        <v>212191.05</v>
      </c>
      <c r="D53" s="30" t="n">
        <v>0</v>
      </c>
      <c r="E53" s="30" t="n">
        <v>62049.02</v>
      </c>
      <c r="F53" s="30" t="n">
        <v>7716.04</v>
      </c>
      <c r="G53" s="30" t="n">
        <v>69765.06</v>
      </c>
      <c r="H53" s="30" t="n">
        <v>142425.99</v>
      </c>
      <c r="I53" s="31" t="s">
        <v>84</v>
      </c>
      <c r="J53" s="32" t="n">
        <v>27.5</v>
      </c>
    </row>
    <row r="54" customFormat="false" ht="15" hidden="false" customHeight="false" outlineLevel="0" collapsed="false">
      <c r="B54" s="7" t="s">
        <v>154</v>
      </c>
      <c r="C54" s="9" t="n">
        <v>386.45</v>
      </c>
      <c r="D54" s="9" t="n">
        <v>0</v>
      </c>
      <c r="E54" s="9" t="n">
        <v>111.91</v>
      </c>
      <c r="F54" s="9" t="n">
        <v>14.06</v>
      </c>
      <c r="G54" s="9" t="n">
        <v>125.97</v>
      </c>
      <c r="H54" s="9" t="n">
        <v>260.48</v>
      </c>
      <c r="I54" s="33" t="s">
        <v>84</v>
      </c>
      <c r="J54" s="34" t="n">
        <v>27.5</v>
      </c>
    </row>
    <row r="55" customFormat="false" ht="15" hidden="false" customHeight="false" outlineLevel="0" collapsed="false">
      <c r="B55" s="29" t="s">
        <v>155</v>
      </c>
      <c r="C55" s="30" t="n">
        <v>20018</v>
      </c>
      <c r="D55" s="30" t="n">
        <v>0</v>
      </c>
      <c r="E55" s="30" t="n">
        <v>11723.87</v>
      </c>
      <c r="F55" s="30" t="n">
        <v>1181.07</v>
      </c>
      <c r="G55" s="30" t="n">
        <v>12904.94</v>
      </c>
      <c r="H55" s="30" t="n">
        <v>7113.06</v>
      </c>
      <c r="I55" s="31" t="s">
        <v>87</v>
      </c>
      <c r="J55" s="32" t="n">
        <v>15</v>
      </c>
    </row>
    <row r="56" customFormat="false" ht="15" hidden="false" customHeight="false" outlineLevel="0" collapsed="false">
      <c r="B56" s="7" t="s">
        <v>156</v>
      </c>
      <c r="C56" s="9" t="n">
        <v>36260.17</v>
      </c>
      <c r="D56" s="9" t="n">
        <v>0</v>
      </c>
      <c r="E56" s="9" t="n">
        <v>35051.5</v>
      </c>
      <c r="F56" s="9" t="n">
        <v>0</v>
      </c>
      <c r="G56" s="9" t="n">
        <v>35051.5</v>
      </c>
      <c r="H56" s="9" t="n">
        <v>1208.67</v>
      </c>
      <c r="I56" s="33" t="s">
        <v>89</v>
      </c>
      <c r="J56" s="34" t="n">
        <v>5</v>
      </c>
    </row>
    <row r="57" customFormat="false" ht="15" hidden="false" customHeight="false" outlineLevel="0" collapsed="false">
      <c r="A57" s="35"/>
      <c r="B57" s="36" t="s">
        <v>34</v>
      </c>
      <c r="C57" s="37" t="n">
        <f aca="false">SUM(C53:C56)</f>
        <v>268855.67</v>
      </c>
      <c r="D57" s="37" t="n">
        <f aca="false">SUM(D53:D56)</f>
        <v>0</v>
      </c>
      <c r="E57" s="37" t="n">
        <f aca="false">SUM(E53:E56)</f>
        <v>108936.3</v>
      </c>
      <c r="F57" s="37" t="n">
        <f aca="false">SUM(F53:F56)</f>
        <v>8911.17</v>
      </c>
      <c r="G57" s="37" t="n">
        <f aca="false">SUM(G53:G56)</f>
        <v>117847.47</v>
      </c>
      <c r="H57" s="37" t="n">
        <f aca="false">SUM(H53:H56)</f>
        <v>151008.2</v>
      </c>
      <c r="I57" s="35"/>
      <c r="J57" s="35"/>
    </row>
    <row r="59" customFormat="false" ht="15" hidden="false" customHeight="false" outlineLevel="0" collapsed="false">
      <c r="A59" s="38" t="s">
        <v>90</v>
      </c>
      <c r="B59" s="38"/>
      <c r="C59" s="38"/>
      <c r="D59" s="38"/>
      <c r="E59" s="38"/>
      <c r="F59" s="38"/>
      <c r="G59" s="38"/>
      <c r="H59" s="38"/>
      <c r="I59" s="38"/>
      <c r="J59" s="38"/>
    </row>
    <row r="60" customFormat="false" ht="15" hidden="false" customHeight="false" outlineLevel="0" collapsed="false">
      <c r="A60" s="27"/>
      <c r="B60" s="27" t="s">
        <v>74</v>
      </c>
      <c r="C60" s="28" t="s">
        <v>75</v>
      </c>
      <c r="D60" s="28" t="s">
        <v>76</v>
      </c>
      <c r="E60" s="28" t="s">
        <v>77</v>
      </c>
      <c r="F60" s="28" t="s">
        <v>78</v>
      </c>
      <c r="G60" s="28" t="s">
        <v>79</v>
      </c>
      <c r="H60" s="28" t="s">
        <v>80</v>
      </c>
      <c r="I60" s="28" t="s">
        <v>81</v>
      </c>
      <c r="J60" s="28" t="s">
        <v>82</v>
      </c>
    </row>
    <row r="61" customFormat="false" ht="15" hidden="false" customHeight="false" outlineLevel="0" collapsed="false">
      <c r="B61" s="29" t="s">
        <v>157</v>
      </c>
      <c r="C61" s="30" t="n">
        <v>41085.46</v>
      </c>
      <c r="D61" s="30" t="n">
        <v>0</v>
      </c>
      <c r="E61" s="30" t="n">
        <v>41085.46</v>
      </c>
      <c r="F61" s="30" t="n">
        <v>0</v>
      </c>
      <c r="G61" s="30" t="n">
        <v>41085.46</v>
      </c>
      <c r="H61" s="30" t="n">
        <v>0</v>
      </c>
      <c r="I61" s="31" t="s">
        <v>89</v>
      </c>
      <c r="J61" s="32" t="n">
        <v>5</v>
      </c>
    </row>
    <row r="62" customFormat="false" ht="15" hidden="false" customHeight="false" outlineLevel="0" collapsed="false">
      <c r="B62" s="7" t="s">
        <v>158</v>
      </c>
      <c r="C62" s="9" t="n">
        <v>171105.59</v>
      </c>
      <c r="D62" s="9" t="n">
        <v>0</v>
      </c>
      <c r="E62" s="9" t="n">
        <v>50035.41</v>
      </c>
      <c r="F62" s="9" t="n">
        <v>6222.02</v>
      </c>
      <c r="G62" s="9" t="n">
        <v>56257.43</v>
      </c>
      <c r="H62" s="9" t="n">
        <v>114848.16</v>
      </c>
      <c r="I62" s="33" t="s">
        <v>84</v>
      </c>
      <c r="J62" s="34" t="n">
        <v>27.5</v>
      </c>
    </row>
    <row r="63" customFormat="false" ht="15" hidden="false" customHeight="false" outlineLevel="0" collapsed="false">
      <c r="B63" s="29" t="s">
        <v>159</v>
      </c>
      <c r="C63" s="30" t="n">
        <v>74.83</v>
      </c>
      <c r="D63" s="30" t="n">
        <v>0</v>
      </c>
      <c r="E63" s="30" t="n">
        <v>74.83</v>
      </c>
      <c r="F63" s="30" t="n">
        <v>0</v>
      </c>
      <c r="G63" s="30" t="n">
        <v>74.83</v>
      </c>
      <c r="H63" s="30" t="n">
        <v>0</v>
      </c>
      <c r="I63" s="31" t="s">
        <v>89</v>
      </c>
      <c r="J63" s="32" t="n">
        <v>5</v>
      </c>
    </row>
    <row r="64" customFormat="false" ht="15" hidden="false" customHeight="false" outlineLevel="0" collapsed="false">
      <c r="B64" s="7" t="s">
        <v>160</v>
      </c>
      <c r="C64" s="9" t="n">
        <v>311.62</v>
      </c>
      <c r="D64" s="9" t="n">
        <v>0</v>
      </c>
      <c r="E64" s="9" t="n">
        <v>90.17</v>
      </c>
      <c r="F64" s="9" t="n">
        <v>11.33</v>
      </c>
      <c r="G64" s="9" t="n">
        <v>101.5</v>
      </c>
      <c r="H64" s="9" t="n">
        <v>210.12</v>
      </c>
      <c r="I64" s="33" t="s">
        <v>84</v>
      </c>
      <c r="J64" s="34" t="n">
        <v>27.5</v>
      </c>
    </row>
    <row r="65" customFormat="false" ht="15" hidden="false" customHeight="false" outlineLevel="0" collapsed="false">
      <c r="B65" s="29" t="s">
        <v>161</v>
      </c>
      <c r="C65" s="30" t="n">
        <v>3875.98</v>
      </c>
      <c r="D65" s="30" t="n">
        <v>0</v>
      </c>
      <c r="E65" s="30" t="n">
        <v>3875.98</v>
      </c>
      <c r="F65" s="30" t="n">
        <v>0</v>
      </c>
      <c r="G65" s="30" t="n">
        <v>3875.98</v>
      </c>
      <c r="H65" s="30" t="n">
        <v>0</v>
      </c>
      <c r="I65" s="31" t="s">
        <v>89</v>
      </c>
      <c r="J65" s="32" t="n">
        <v>5</v>
      </c>
    </row>
    <row r="66" customFormat="false" ht="15" hidden="false" customHeight="false" outlineLevel="0" collapsed="false">
      <c r="B66" s="7" t="s">
        <v>162</v>
      </c>
      <c r="C66" s="9" t="n">
        <v>16142.02</v>
      </c>
      <c r="D66" s="9" t="n">
        <v>0</v>
      </c>
      <c r="E66" s="9" t="n">
        <v>4720.3</v>
      </c>
      <c r="F66" s="9" t="n">
        <v>586.98</v>
      </c>
      <c r="G66" s="9" t="n">
        <v>5307.28</v>
      </c>
      <c r="H66" s="9" t="n">
        <v>10834.74</v>
      </c>
      <c r="I66" s="33" t="s">
        <v>84</v>
      </c>
      <c r="J66" s="34" t="n">
        <v>27.5</v>
      </c>
    </row>
    <row r="67" customFormat="false" ht="15" hidden="false" customHeight="false" outlineLevel="0" collapsed="false">
      <c r="B67" s="29" t="s">
        <v>163</v>
      </c>
      <c r="C67" s="30" t="n">
        <v>7020.87</v>
      </c>
      <c r="D67" s="30" t="n">
        <v>0</v>
      </c>
      <c r="E67" s="30" t="n">
        <v>7020.87</v>
      </c>
      <c r="F67" s="30" t="n">
        <v>0</v>
      </c>
      <c r="G67" s="30" t="n">
        <v>7020.87</v>
      </c>
      <c r="H67" s="30" t="n">
        <v>0</v>
      </c>
      <c r="I67" s="31" t="s">
        <v>89</v>
      </c>
      <c r="J67" s="32" t="n">
        <v>5</v>
      </c>
    </row>
    <row r="68" customFormat="false" ht="15" hidden="false" customHeight="false" outlineLevel="0" collapsed="false">
      <c r="B68" s="7" t="s">
        <v>164</v>
      </c>
      <c r="C68" s="9" t="n">
        <v>29239.3</v>
      </c>
      <c r="D68" s="9" t="n">
        <v>0</v>
      </c>
      <c r="E68" s="9" t="n">
        <v>8550.3</v>
      </c>
      <c r="F68" s="9" t="n">
        <v>1063.25</v>
      </c>
      <c r="G68" s="9" t="n">
        <v>9613.55</v>
      </c>
      <c r="H68" s="9" t="n">
        <v>19625.75</v>
      </c>
      <c r="I68" s="33" t="s">
        <v>84</v>
      </c>
      <c r="J68" s="34" t="n">
        <v>27.5</v>
      </c>
    </row>
    <row r="69" customFormat="false" ht="15" hidden="false" customHeight="false" outlineLevel="0" collapsed="false">
      <c r="A69" s="35"/>
      <c r="B69" s="36" t="s">
        <v>34</v>
      </c>
      <c r="C69" s="37" t="n">
        <f aca="false">SUM(C61:C68)</f>
        <v>268855.67</v>
      </c>
      <c r="D69" s="37" t="n">
        <f aca="false">SUM(D61:D68)</f>
        <v>0</v>
      </c>
      <c r="E69" s="37" t="n">
        <f aca="false">SUM(E61:E68)</f>
        <v>115453.32</v>
      </c>
      <c r="F69" s="37" t="n">
        <f aca="false">SUM(F61:F68)</f>
        <v>7883.58</v>
      </c>
      <c r="G69" s="37" t="n">
        <f aca="false">SUM(G61:G68)</f>
        <v>123336.9</v>
      </c>
      <c r="H69" s="37" t="n">
        <f aca="false">SUM(H61:H68)</f>
        <v>145518.77</v>
      </c>
      <c r="I69" s="35"/>
      <c r="J69" s="35"/>
    </row>
    <row r="71" customFormat="false" ht="15" hidden="false" customHeight="false" outlineLevel="0" collapsed="false">
      <c r="A71" s="25" t="s">
        <v>38</v>
      </c>
      <c r="B71" s="25"/>
      <c r="C71" s="25"/>
      <c r="D71" s="25"/>
      <c r="E71" s="25"/>
    </row>
    <row r="72" customFormat="false" ht="15" hidden="false" customHeight="false" outlineLevel="0" collapsed="false">
      <c r="B72" s="7" t="s">
        <v>99</v>
      </c>
      <c r="C72" s="39" t="n">
        <f aca="false">G57</f>
        <v>117847.47</v>
      </c>
    </row>
    <row r="73" customFormat="false" ht="15" hidden="false" customHeight="false" outlineLevel="0" collapsed="false">
      <c r="B73" s="7" t="s">
        <v>100</v>
      </c>
      <c r="C73" s="39" t="n">
        <f aca="false">G69</f>
        <v>123336.9</v>
      </c>
    </row>
    <row r="74" customFormat="false" ht="15" hidden="false" customHeight="false" outlineLevel="0" collapsed="false">
      <c r="B74" s="10" t="s">
        <v>38</v>
      </c>
      <c r="C74" s="40" t="n">
        <f aca="false">C73-C72</f>
        <v>5489.42999999999</v>
      </c>
    </row>
  </sheetData>
  <mergeCells count="11">
    <mergeCell ref="A2:J2"/>
    <mergeCell ref="A3:J3"/>
    <mergeCell ref="A4:J4"/>
    <mergeCell ref="A8:J8"/>
    <mergeCell ref="B10:J10"/>
    <mergeCell ref="B23:J23"/>
    <mergeCell ref="B43:J43"/>
    <mergeCell ref="A50:J50"/>
    <mergeCell ref="A51:J51"/>
    <mergeCell ref="A59:J59"/>
    <mergeCell ref="A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191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192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4785.17</v>
      </c>
      <c r="D11" s="21" t="n">
        <v>4785.17</v>
      </c>
    </row>
    <row r="12" customFormat="false" ht="15" hidden="false" customHeight="false" outlineLevel="0" collapsed="false">
      <c r="B12" s="15" t="s">
        <v>105</v>
      </c>
      <c r="C12" s="21" t="n">
        <v>1941.11</v>
      </c>
      <c r="D12" s="21" t="n">
        <v>1941.11</v>
      </c>
    </row>
    <row r="13" customFormat="false" ht="15" hidden="false" customHeight="false" outlineLevel="0" collapsed="false">
      <c r="B13" s="15" t="s">
        <v>106</v>
      </c>
      <c r="C13" s="21" t="n">
        <v>7939.87</v>
      </c>
      <c r="D13" s="21" t="n">
        <v>7939.87</v>
      </c>
    </row>
    <row r="14" customFormat="false" ht="15" hidden="false" customHeight="false" outlineLevel="0" collapsed="false">
      <c r="B14" s="15" t="s">
        <v>108</v>
      </c>
      <c r="C14" s="21" t="n">
        <v>428.82</v>
      </c>
      <c r="D14" s="21" t="n">
        <v>428.82</v>
      </c>
    </row>
    <row r="15" customFormat="false" ht="15" hidden="false" customHeight="false" outlineLevel="0" collapsed="false">
      <c r="B15" s="15" t="s">
        <v>146</v>
      </c>
      <c r="C15" s="21" t="n">
        <v>183.29</v>
      </c>
      <c r="D15" s="21" t="n">
        <v>183.29</v>
      </c>
    </row>
    <row r="16" customFormat="false" ht="15" hidden="false" customHeight="false" outlineLevel="0" collapsed="false">
      <c r="B16" s="15" t="s">
        <v>147</v>
      </c>
      <c r="C16" s="21" t="n">
        <v>96.76</v>
      </c>
      <c r="D16" s="21" t="n">
        <v>96.76</v>
      </c>
    </row>
    <row r="17" customFormat="false" ht="15" hidden="false" customHeight="false" outlineLevel="0" collapsed="false">
      <c r="B17" s="15" t="s">
        <v>109</v>
      </c>
      <c r="C17" s="21" t="n">
        <v>2980.97</v>
      </c>
      <c r="D17" s="21" t="n">
        <v>2980.97</v>
      </c>
    </row>
    <row r="18" customFormat="false" ht="15" hidden="false" customHeight="false" outlineLevel="0" collapsed="false">
      <c r="B18" s="15" t="s">
        <v>110</v>
      </c>
      <c r="C18" s="21" t="n">
        <v>693.58</v>
      </c>
      <c r="D18" s="21" t="n">
        <v>693.58</v>
      </c>
    </row>
    <row r="19" customFormat="false" ht="15" hidden="false" customHeight="false" outlineLevel="0" collapsed="false">
      <c r="B19" s="15" t="s">
        <v>148</v>
      </c>
      <c r="C19" s="21" t="n">
        <v>3427.41</v>
      </c>
      <c r="D19" s="21" t="n">
        <v>3427.41</v>
      </c>
    </row>
    <row r="20" customFormat="false" ht="15" hidden="false" customHeight="false" outlineLevel="0" collapsed="false">
      <c r="B20" s="15" t="s">
        <v>112</v>
      </c>
      <c r="C20" s="21" t="n">
        <v>758.85</v>
      </c>
      <c r="D20" s="21" t="n">
        <v>758.85</v>
      </c>
    </row>
    <row r="21" customFormat="false" ht="15" hidden="false" customHeight="false" outlineLevel="0" collapsed="false">
      <c r="B21" s="15" t="s">
        <v>149</v>
      </c>
      <c r="C21" s="21" t="n">
        <v>43.2</v>
      </c>
      <c r="D21" s="21" t="n">
        <v>43.2</v>
      </c>
    </row>
    <row r="22" customFormat="false" ht="15" hidden="false" customHeight="false" outlineLevel="0" collapsed="false">
      <c r="B22" s="15" t="s">
        <v>150</v>
      </c>
      <c r="C22" s="21" t="n">
        <v>3682.87</v>
      </c>
      <c r="D22" s="21" t="n">
        <v>3682.87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6281.12</v>
      </c>
      <c r="G24" s="21" t="n">
        <v>6281.12</v>
      </c>
    </row>
    <row r="25" customFormat="false" ht="15" hidden="false" customHeight="false" outlineLevel="0" collapsed="false">
      <c r="B25" s="15" t="s">
        <v>116</v>
      </c>
      <c r="C25" s="21" t="n">
        <v>12157.7</v>
      </c>
      <c r="G25" s="21" t="n">
        <v>12157.7</v>
      </c>
    </row>
    <row r="26" customFormat="false" ht="15" hidden="false" customHeight="false" outlineLevel="0" collapsed="false">
      <c r="B26" s="15" t="s">
        <v>117</v>
      </c>
      <c r="C26" s="21" t="n">
        <v>7610.53</v>
      </c>
      <c r="G26" s="21" t="n">
        <v>7610.53</v>
      </c>
    </row>
    <row r="27" customFormat="false" ht="15" hidden="false" customHeight="false" outlineLevel="0" collapsed="false">
      <c r="B27" s="15" t="s">
        <v>118</v>
      </c>
      <c r="C27" s="21" t="n">
        <v>8437.69</v>
      </c>
      <c r="G27" s="21" t="n">
        <v>8437.69</v>
      </c>
    </row>
    <row r="28" customFormat="false" ht="15" hidden="false" customHeight="false" outlineLevel="0" collapsed="false">
      <c r="B28" s="15" t="s">
        <v>119</v>
      </c>
      <c r="C28" s="21" t="n">
        <v>6775.13</v>
      </c>
      <c r="G28" s="21" t="n">
        <v>6775.13</v>
      </c>
    </row>
    <row r="29" customFormat="false" ht="15" hidden="false" customHeight="false" outlineLevel="0" collapsed="false">
      <c r="B29" s="15" t="s">
        <v>120</v>
      </c>
      <c r="C29" s="21" t="n">
        <v>378.96</v>
      </c>
      <c r="G29" s="21" t="n">
        <v>378.96</v>
      </c>
    </row>
    <row r="30" customFormat="false" ht="15" hidden="false" customHeight="false" outlineLevel="0" collapsed="false">
      <c r="B30" s="15" t="s">
        <v>121</v>
      </c>
      <c r="C30" s="21" t="n">
        <v>10712.7</v>
      </c>
      <c r="G30" s="21" t="n">
        <v>10712.7</v>
      </c>
    </row>
    <row r="31" customFormat="false" ht="15" hidden="false" customHeight="false" outlineLevel="0" collapsed="false">
      <c r="B31" s="15" t="s">
        <v>122</v>
      </c>
      <c r="C31" s="21" t="n">
        <v>5035.68</v>
      </c>
      <c r="G31" s="21" t="n">
        <v>5035.68</v>
      </c>
    </row>
    <row r="32" customFormat="false" ht="15" hidden="false" customHeight="false" outlineLevel="0" collapsed="false">
      <c r="B32" s="15" t="s">
        <v>123</v>
      </c>
      <c r="C32" s="21" t="n">
        <v>2117.51</v>
      </c>
      <c r="G32" s="21" t="n">
        <v>2117.51</v>
      </c>
    </row>
    <row r="33" customFormat="false" ht="15" hidden="false" customHeight="false" outlineLevel="0" collapsed="false">
      <c r="B33" s="15" t="s">
        <v>124</v>
      </c>
      <c r="C33" s="21" t="n">
        <v>3536.09</v>
      </c>
      <c r="G33" s="21" t="n">
        <v>3536.09</v>
      </c>
    </row>
    <row r="34" customFormat="false" ht="15" hidden="false" customHeight="false" outlineLevel="0" collapsed="false">
      <c r="B34" s="15" t="s">
        <v>125</v>
      </c>
      <c r="C34" s="21" t="n">
        <v>8613.79</v>
      </c>
      <c r="G34" s="21" t="n">
        <v>8613.79</v>
      </c>
    </row>
    <row r="35" customFormat="false" ht="15" hidden="false" customHeight="false" outlineLevel="0" collapsed="false">
      <c r="B35" s="15" t="s">
        <v>126</v>
      </c>
      <c r="C35" s="21" t="n">
        <v>3604.7</v>
      </c>
      <c r="G35" s="21" t="n">
        <v>3604.7</v>
      </c>
    </row>
    <row r="36" customFormat="false" ht="15" hidden="false" customHeight="false" outlineLevel="0" collapsed="false">
      <c r="B36" s="15" t="s">
        <v>127</v>
      </c>
      <c r="C36" s="21" t="n">
        <v>868.78</v>
      </c>
      <c r="G36" s="21" t="n">
        <v>868.78</v>
      </c>
    </row>
    <row r="37" customFormat="false" ht="15" hidden="false" customHeight="false" outlineLevel="0" collapsed="false">
      <c r="B37" s="15" t="s">
        <v>129</v>
      </c>
      <c r="C37" s="21" t="n">
        <v>10912.49</v>
      </c>
      <c r="G37" s="21" t="n">
        <v>10912.49</v>
      </c>
    </row>
    <row r="38" customFormat="false" ht="15" hidden="false" customHeight="false" outlineLevel="0" collapsed="false">
      <c r="B38" s="15" t="s">
        <v>130</v>
      </c>
      <c r="C38" s="21" t="n">
        <v>662.8</v>
      </c>
      <c r="G38" s="21" t="n">
        <v>662.8</v>
      </c>
    </row>
    <row r="39" customFormat="false" ht="15" hidden="false" customHeight="false" outlineLevel="0" collapsed="false">
      <c r="B39" s="15" t="s">
        <v>152</v>
      </c>
      <c r="C39" s="21" t="n">
        <v>811.57</v>
      </c>
      <c r="G39" s="21" t="n">
        <v>811.57</v>
      </c>
    </row>
    <row r="40" customFormat="false" ht="15" hidden="false" customHeight="false" outlineLevel="0" collapsed="false">
      <c r="A40" s="22"/>
      <c r="B40" s="23" t="s">
        <v>66</v>
      </c>
      <c r="C40" s="24" t="n">
        <f aca="false">SUM(C10:C39)</f>
        <v>115479.14</v>
      </c>
      <c r="D40" s="24" t="n">
        <f aca="false">SUM(D10:D39)</f>
        <v>26961.9</v>
      </c>
      <c r="E40" s="24" t="n">
        <f aca="false">SUM(E10:E39)</f>
        <v>0</v>
      </c>
      <c r="F40" s="24" t="n">
        <f aca="false">SUM(F10:F39)</f>
        <v>0</v>
      </c>
      <c r="G40" s="24" t="n">
        <f aca="false">SUM(G10:G39)</f>
        <v>88517.24</v>
      </c>
      <c r="H40" s="22"/>
    </row>
    <row r="42" customFormat="false" ht="15" hidden="false" customHeight="false" outlineLevel="0" collapsed="false">
      <c r="A42" s="19"/>
      <c r="B42" s="20" t="s">
        <v>67</v>
      </c>
      <c r="C42" s="20"/>
      <c r="D42" s="20"/>
      <c r="E42" s="20"/>
      <c r="F42" s="20"/>
      <c r="G42" s="20"/>
      <c r="H42" s="20"/>
      <c r="I42" s="20"/>
      <c r="J42" s="20"/>
    </row>
    <row r="43" customFormat="false" ht="15" hidden="false" customHeight="false" outlineLevel="0" collapsed="false">
      <c r="B43" s="15" t="s">
        <v>68</v>
      </c>
      <c r="C43" s="21" t="n">
        <v>91140.5</v>
      </c>
      <c r="D43" s="21" t="n">
        <v>21279.35</v>
      </c>
      <c r="G43" s="21" t="n">
        <v>69861.15</v>
      </c>
    </row>
    <row r="44" customFormat="false" ht="15" hidden="false" customHeight="false" outlineLevel="0" collapsed="false">
      <c r="B44" s="15" t="s">
        <v>69</v>
      </c>
      <c r="C44" s="21" t="n">
        <v>165.99</v>
      </c>
      <c r="D44" s="21" t="n">
        <v>38.76</v>
      </c>
      <c r="G44" s="21" t="n">
        <v>127.23</v>
      </c>
    </row>
    <row r="45" customFormat="false" ht="15" hidden="false" customHeight="false" outlineLevel="0" collapsed="false">
      <c r="B45" s="15" t="s">
        <v>70</v>
      </c>
      <c r="C45" s="21" t="n">
        <v>8598.15</v>
      </c>
      <c r="D45" s="21" t="n">
        <v>2007.48</v>
      </c>
      <c r="G45" s="21" t="n">
        <v>6590.67</v>
      </c>
    </row>
    <row r="46" customFormat="false" ht="15" hidden="false" customHeight="false" outlineLevel="0" collapsed="false">
      <c r="B46" s="15" t="s">
        <v>71</v>
      </c>
      <c r="C46" s="21" t="n">
        <v>15574.5</v>
      </c>
      <c r="D46" s="21" t="n">
        <v>3636.33</v>
      </c>
      <c r="G46" s="21" t="n">
        <v>11938.19</v>
      </c>
    </row>
    <row r="47" customFormat="false" ht="15" hidden="false" customHeight="false" outlineLevel="0" collapsed="false">
      <c r="A47" s="22"/>
      <c r="B47" s="23" t="s">
        <v>72</v>
      </c>
      <c r="C47" s="24" t="n">
        <f aca="false">SUM(C43:C46)</f>
        <v>115479.14</v>
      </c>
      <c r="D47" s="24" t="n">
        <f aca="false">SUM(D43:D46)</f>
        <v>26961.92</v>
      </c>
      <c r="E47" s="22"/>
      <c r="F47" s="24" t="n">
        <f aca="false">SUM(F43:F46)</f>
        <v>0</v>
      </c>
      <c r="G47" s="24" t="n">
        <f aca="false">SUM(G43:G46)</f>
        <v>88517.24</v>
      </c>
      <c r="H47" s="22"/>
    </row>
    <row r="49" customFormat="false" ht="15" hidden="false" customHeight="false" outlineLevel="0" collapsed="false">
      <c r="A49" s="25" t="s">
        <v>73</v>
      </c>
      <c r="B49" s="25"/>
      <c r="C49" s="25"/>
      <c r="D49" s="25"/>
      <c r="E49" s="25"/>
      <c r="F49" s="25"/>
      <c r="G49" s="25"/>
      <c r="H49" s="25"/>
      <c r="I49" s="25"/>
      <c r="J49" s="25"/>
    </row>
    <row r="50" customFormat="false" ht="15" hidden="false" customHeight="false" outlineLevel="0" collapsed="false">
      <c r="A50" s="26" t="s">
        <v>36</v>
      </c>
      <c r="B50" s="26"/>
      <c r="C50" s="26"/>
      <c r="D50" s="26"/>
      <c r="E50" s="26"/>
      <c r="F50" s="26"/>
      <c r="G50" s="26"/>
      <c r="H50" s="26"/>
      <c r="I50" s="26"/>
      <c r="J50" s="26"/>
    </row>
    <row r="51" customFormat="false" ht="15" hidden="false" customHeight="false" outlineLevel="0" collapsed="false">
      <c r="A51" s="27"/>
      <c r="B51" s="27" t="s">
        <v>74</v>
      </c>
      <c r="C51" s="28" t="s">
        <v>75</v>
      </c>
      <c r="D51" s="28" t="s">
        <v>76</v>
      </c>
      <c r="E51" s="28" t="s">
        <v>77</v>
      </c>
      <c r="F51" s="28" t="s">
        <v>78</v>
      </c>
      <c r="G51" s="28" t="s">
        <v>79</v>
      </c>
      <c r="H51" s="28" t="s">
        <v>80</v>
      </c>
      <c r="I51" s="28" t="s">
        <v>81</v>
      </c>
      <c r="J51" s="28" t="s">
        <v>82</v>
      </c>
    </row>
    <row r="52" customFormat="false" ht="15" hidden="false" customHeight="false" outlineLevel="0" collapsed="false">
      <c r="B52" s="29" t="s">
        <v>153</v>
      </c>
      <c r="C52" s="30" t="n">
        <v>91140.5</v>
      </c>
      <c r="D52" s="30" t="n">
        <v>0</v>
      </c>
      <c r="E52" s="30" t="n">
        <v>26651.36</v>
      </c>
      <c r="F52" s="30" t="n">
        <v>3314.2</v>
      </c>
      <c r="G52" s="30" t="n">
        <v>29965.56</v>
      </c>
      <c r="H52" s="30" t="n">
        <v>61174.94</v>
      </c>
      <c r="I52" s="31" t="s">
        <v>84</v>
      </c>
      <c r="J52" s="32" t="n">
        <v>27.5</v>
      </c>
    </row>
    <row r="53" customFormat="false" ht="15" hidden="false" customHeight="false" outlineLevel="0" collapsed="false">
      <c r="B53" s="7" t="s">
        <v>154</v>
      </c>
      <c r="C53" s="9" t="n">
        <v>165.99</v>
      </c>
      <c r="D53" s="9" t="n">
        <v>0</v>
      </c>
      <c r="E53" s="9" t="n">
        <v>48.07</v>
      </c>
      <c r="F53" s="9" t="n">
        <v>6.04</v>
      </c>
      <c r="G53" s="9" t="n">
        <v>54.11</v>
      </c>
      <c r="H53" s="9" t="n">
        <v>111.88</v>
      </c>
      <c r="I53" s="33" t="s">
        <v>84</v>
      </c>
      <c r="J53" s="34" t="n">
        <v>27.5</v>
      </c>
    </row>
    <row r="54" customFormat="false" ht="15" hidden="false" customHeight="false" outlineLevel="0" collapsed="false">
      <c r="B54" s="29" t="s">
        <v>155</v>
      </c>
      <c r="C54" s="30" t="n">
        <v>8598.15</v>
      </c>
      <c r="D54" s="30" t="n">
        <v>0</v>
      </c>
      <c r="E54" s="30" t="n">
        <v>5035.65</v>
      </c>
      <c r="F54" s="30" t="n">
        <v>507.3</v>
      </c>
      <c r="G54" s="30" t="n">
        <v>5542.95</v>
      </c>
      <c r="H54" s="30" t="n">
        <v>3055.2</v>
      </c>
      <c r="I54" s="31" t="s">
        <v>87</v>
      </c>
      <c r="J54" s="32" t="n">
        <v>15</v>
      </c>
    </row>
    <row r="55" customFormat="false" ht="15" hidden="false" customHeight="false" outlineLevel="0" collapsed="false">
      <c r="B55" s="7" t="s">
        <v>156</v>
      </c>
      <c r="C55" s="9" t="n">
        <v>15574.5</v>
      </c>
      <c r="D55" s="9" t="n">
        <v>0</v>
      </c>
      <c r="E55" s="9" t="n">
        <v>15055.35</v>
      </c>
      <c r="F55" s="9" t="n">
        <v>0</v>
      </c>
      <c r="G55" s="9" t="n">
        <v>15055.35</v>
      </c>
      <c r="H55" s="9" t="n">
        <v>519.15</v>
      </c>
      <c r="I55" s="33" t="s">
        <v>89</v>
      </c>
      <c r="J55" s="34" t="n">
        <v>5</v>
      </c>
    </row>
    <row r="56" customFormat="false" ht="15" hidden="false" customHeight="false" outlineLevel="0" collapsed="false">
      <c r="A56" s="35"/>
      <c r="B56" s="36" t="s">
        <v>34</v>
      </c>
      <c r="C56" s="37" t="n">
        <f aca="false">SUM(C52:C55)</f>
        <v>115479.14</v>
      </c>
      <c r="D56" s="37" t="n">
        <f aca="false">SUM(D52:D55)</f>
        <v>0</v>
      </c>
      <c r="E56" s="37" t="n">
        <f aca="false">SUM(E52:E55)</f>
        <v>46790.43</v>
      </c>
      <c r="F56" s="37" t="n">
        <f aca="false">SUM(F52:F55)</f>
        <v>3827.54</v>
      </c>
      <c r="G56" s="37" t="n">
        <f aca="false">SUM(G52:G55)</f>
        <v>50617.97</v>
      </c>
      <c r="H56" s="37" t="n">
        <f aca="false">SUM(H52:H55)</f>
        <v>64861.17</v>
      </c>
      <c r="I56" s="35"/>
      <c r="J56" s="35"/>
    </row>
    <row r="58" customFormat="false" ht="15" hidden="false" customHeight="false" outlineLevel="0" collapsed="false">
      <c r="A58" s="38" t="s">
        <v>90</v>
      </c>
      <c r="B58" s="38"/>
      <c r="C58" s="38"/>
      <c r="D58" s="38"/>
      <c r="E58" s="38"/>
      <c r="F58" s="38"/>
      <c r="G58" s="38"/>
      <c r="H58" s="38"/>
      <c r="I58" s="38"/>
      <c r="J58" s="38"/>
    </row>
    <row r="59" customFormat="false" ht="15" hidden="false" customHeight="false" outlineLevel="0" collapsed="false">
      <c r="A59" s="27"/>
      <c r="B59" s="27" t="s">
        <v>74</v>
      </c>
      <c r="C59" s="28" t="s">
        <v>75</v>
      </c>
      <c r="D59" s="28" t="s">
        <v>76</v>
      </c>
      <c r="E59" s="28" t="s">
        <v>77</v>
      </c>
      <c r="F59" s="28" t="s">
        <v>78</v>
      </c>
      <c r="G59" s="28" t="s">
        <v>79</v>
      </c>
      <c r="H59" s="28" t="s">
        <v>80</v>
      </c>
      <c r="I59" s="28" t="s">
        <v>81</v>
      </c>
      <c r="J59" s="28" t="s">
        <v>82</v>
      </c>
    </row>
    <row r="60" customFormat="false" ht="15" hidden="false" customHeight="false" outlineLevel="0" collapsed="false">
      <c r="B60" s="29" t="s">
        <v>157</v>
      </c>
      <c r="C60" s="30" t="n">
        <v>21279.35</v>
      </c>
      <c r="D60" s="30" t="n">
        <v>0</v>
      </c>
      <c r="E60" s="30" t="n">
        <v>21279.35</v>
      </c>
      <c r="F60" s="30" t="n">
        <v>0</v>
      </c>
      <c r="G60" s="30" t="n">
        <v>21279.35</v>
      </c>
      <c r="H60" s="30" t="n">
        <v>0</v>
      </c>
      <c r="I60" s="31" t="s">
        <v>89</v>
      </c>
      <c r="J60" s="32" t="n">
        <v>5</v>
      </c>
    </row>
    <row r="61" customFormat="false" ht="15" hidden="false" customHeight="false" outlineLevel="0" collapsed="false">
      <c r="B61" s="7" t="s">
        <v>158</v>
      </c>
      <c r="C61" s="9" t="n">
        <v>69861.15</v>
      </c>
      <c r="D61" s="9" t="n">
        <v>0</v>
      </c>
      <c r="E61" s="9" t="n">
        <v>20429.13</v>
      </c>
      <c r="F61" s="9" t="n">
        <v>2540.41</v>
      </c>
      <c r="G61" s="9" t="n">
        <v>22969.54</v>
      </c>
      <c r="H61" s="9" t="n">
        <v>46891.61</v>
      </c>
      <c r="I61" s="33" t="s">
        <v>84</v>
      </c>
      <c r="J61" s="34" t="n">
        <v>27.5</v>
      </c>
    </row>
    <row r="62" customFormat="false" ht="15" hidden="false" customHeight="false" outlineLevel="0" collapsed="false">
      <c r="B62" s="29" t="s">
        <v>159</v>
      </c>
      <c r="C62" s="30" t="n">
        <v>38.76</v>
      </c>
      <c r="D62" s="30" t="n">
        <v>0</v>
      </c>
      <c r="E62" s="30" t="n">
        <v>38.76</v>
      </c>
      <c r="F62" s="30" t="n">
        <v>0</v>
      </c>
      <c r="G62" s="30" t="n">
        <v>38.76</v>
      </c>
      <c r="H62" s="30" t="n">
        <v>0</v>
      </c>
      <c r="I62" s="31" t="s">
        <v>89</v>
      </c>
      <c r="J62" s="32" t="n">
        <v>5</v>
      </c>
    </row>
    <row r="63" customFormat="false" ht="15" hidden="false" customHeight="false" outlineLevel="0" collapsed="false">
      <c r="B63" s="7" t="s">
        <v>160</v>
      </c>
      <c r="C63" s="9" t="n">
        <v>127.23</v>
      </c>
      <c r="D63" s="9" t="n">
        <v>0</v>
      </c>
      <c r="E63" s="9" t="n">
        <v>36.84</v>
      </c>
      <c r="F63" s="9" t="n">
        <v>4.63</v>
      </c>
      <c r="G63" s="9" t="n">
        <v>41.47</v>
      </c>
      <c r="H63" s="9" t="n">
        <v>85.76</v>
      </c>
      <c r="I63" s="33" t="s">
        <v>84</v>
      </c>
      <c r="J63" s="34" t="n">
        <v>27.5</v>
      </c>
    </row>
    <row r="64" customFormat="false" ht="15" hidden="false" customHeight="false" outlineLevel="0" collapsed="false">
      <c r="B64" s="29" t="s">
        <v>161</v>
      </c>
      <c r="C64" s="30" t="n">
        <v>2007.48</v>
      </c>
      <c r="D64" s="30" t="n">
        <v>0</v>
      </c>
      <c r="E64" s="30" t="n">
        <v>2007.48</v>
      </c>
      <c r="F64" s="30" t="n">
        <v>0</v>
      </c>
      <c r="G64" s="30" t="n">
        <v>2007.48</v>
      </c>
      <c r="H64" s="30" t="n">
        <v>0</v>
      </c>
      <c r="I64" s="31" t="s">
        <v>89</v>
      </c>
      <c r="J64" s="32" t="n">
        <v>5</v>
      </c>
    </row>
    <row r="65" customFormat="false" ht="15" hidden="false" customHeight="false" outlineLevel="0" collapsed="false">
      <c r="B65" s="7" t="s">
        <v>162</v>
      </c>
      <c r="C65" s="9" t="n">
        <v>6590.67</v>
      </c>
      <c r="D65" s="9" t="n">
        <v>0</v>
      </c>
      <c r="E65" s="9" t="n">
        <v>1927.27</v>
      </c>
      <c r="F65" s="9" t="n">
        <v>239.66</v>
      </c>
      <c r="G65" s="9" t="n">
        <v>2166.93</v>
      </c>
      <c r="H65" s="9" t="n">
        <v>4423.74</v>
      </c>
      <c r="I65" s="33" t="s">
        <v>84</v>
      </c>
      <c r="J65" s="34" t="n">
        <v>27.5</v>
      </c>
    </row>
    <row r="66" customFormat="false" ht="15" hidden="false" customHeight="false" outlineLevel="0" collapsed="false">
      <c r="B66" s="29" t="s">
        <v>163</v>
      </c>
      <c r="C66" s="30" t="n">
        <v>3636.33</v>
      </c>
      <c r="D66" s="30" t="n">
        <v>0</v>
      </c>
      <c r="E66" s="30" t="n">
        <v>3636.33</v>
      </c>
      <c r="F66" s="30" t="n">
        <v>0</v>
      </c>
      <c r="G66" s="30" t="n">
        <v>3636.33</v>
      </c>
      <c r="H66" s="30" t="n">
        <v>0</v>
      </c>
      <c r="I66" s="31" t="s">
        <v>89</v>
      </c>
      <c r="J66" s="32" t="n">
        <v>5</v>
      </c>
    </row>
    <row r="67" customFormat="false" ht="15" hidden="false" customHeight="false" outlineLevel="0" collapsed="false">
      <c r="B67" s="7" t="s">
        <v>164</v>
      </c>
      <c r="C67" s="9" t="n">
        <v>11938.19</v>
      </c>
      <c r="D67" s="9" t="n">
        <v>0</v>
      </c>
      <c r="E67" s="9" t="n">
        <v>3491.05</v>
      </c>
      <c r="F67" s="9" t="n">
        <v>434.12</v>
      </c>
      <c r="G67" s="9" t="n">
        <v>3925.17</v>
      </c>
      <c r="H67" s="9" t="n">
        <v>8013.02</v>
      </c>
      <c r="I67" s="33" t="s">
        <v>84</v>
      </c>
      <c r="J67" s="34" t="n">
        <v>27.5</v>
      </c>
    </row>
    <row r="68" customFormat="false" ht="15" hidden="false" customHeight="false" outlineLevel="0" collapsed="false">
      <c r="A68" s="35"/>
      <c r="B68" s="36" t="s">
        <v>34</v>
      </c>
      <c r="C68" s="37" t="n">
        <f aca="false">SUM(C60:C67)</f>
        <v>115479.16</v>
      </c>
      <c r="D68" s="37" t="n">
        <f aca="false">SUM(D60:D67)</f>
        <v>0</v>
      </c>
      <c r="E68" s="37" t="n">
        <f aca="false">SUM(E60:E67)</f>
        <v>52846.21</v>
      </c>
      <c r="F68" s="37" t="n">
        <f aca="false">SUM(F60:F67)</f>
        <v>3218.82</v>
      </c>
      <c r="G68" s="37" t="n">
        <f aca="false">SUM(G60:G67)</f>
        <v>56065.03</v>
      </c>
      <c r="H68" s="37" t="n">
        <f aca="false">SUM(H60:H67)</f>
        <v>59414.13</v>
      </c>
      <c r="I68" s="35"/>
      <c r="J68" s="35"/>
    </row>
    <row r="70" customFormat="false" ht="15" hidden="false" customHeight="false" outlineLevel="0" collapsed="false">
      <c r="A70" s="25" t="s">
        <v>38</v>
      </c>
      <c r="B70" s="25"/>
      <c r="C70" s="25"/>
      <c r="D70" s="25"/>
      <c r="E70" s="25"/>
    </row>
    <row r="71" customFormat="false" ht="15" hidden="false" customHeight="false" outlineLevel="0" collapsed="false">
      <c r="B71" s="7" t="s">
        <v>99</v>
      </c>
      <c r="C71" s="39" t="n">
        <f aca="false">G56</f>
        <v>50617.97</v>
      </c>
    </row>
    <row r="72" customFormat="false" ht="15" hidden="false" customHeight="false" outlineLevel="0" collapsed="false">
      <c r="B72" s="7" t="s">
        <v>100</v>
      </c>
      <c r="C72" s="39" t="n">
        <f aca="false">G68</f>
        <v>56065.03</v>
      </c>
    </row>
    <row r="73" customFormat="false" ht="15" hidden="false" customHeight="false" outlineLevel="0" collapsed="false">
      <c r="B73" s="10" t="s">
        <v>38</v>
      </c>
      <c r="C73" s="40" t="n">
        <f aca="false">C72-C71</f>
        <v>5447.06</v>
      </c>
    </row>
  </sheetData>
  <mergeCells count="11">
    <mergeCell ref="A2:J2"/>
    <mergeCell ref="A3:J3"/>
    <mergeCell ref="A4:J4"/>
    <mergeCell ref="A8:J8"/>
    <mergeCell ref="B10:J10"/>
    <mergeCell ref="B23:J23"/>
    <mergeCell ref="B42:J42"/>
    <mergeCell ref="A49:J49"/>
    <mergeCell ref="A50:J50"/>
    <mergeCell ref="A58:J58"/>
    <mergeCell ref="A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193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194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7759.94</v>
      </c>
      <c r="D11" s="21" t="n">
        <v>7759.94</v>
      </c>
    </row>
    <row r="12" customFormat="false" ht="15" hidden="false" customHeight="false" outlineLevel="0" collapsed="false">
      <c r="B12" s="15" t="s">
        <v>105</v>
      </c>
      <c r="C12" s="21" t="n">
        <v>4601.14</v>
      </c>
      <c r="D12" s="21" t="n">
        <v>4601.14</v>
      </c>
    </row>
    <row r="13" customFormat="false" ht="15" hidden="false" customHeight="false" outlineLevel="0" collapsed="false">
      <c r="B13" s="15" t="s">
        <v>106</v>
      </c>
      <c r="C13" s="21" t="n">
        <v>18695.69</v>
      </c>
      <c r="D13" s="21" t="n">
        <v>18695.69</v>
      </c>
    </row>
    <row r="14" customFormat="false" ht="15" hidden="false" customHeight="false" outlineLevel="0" collapsed="false">
      <c r="B14" s="15" t="s">
        <v>108</v>
      </c>
      <c r="C14" s="21" t="n">
        <v>2235.2</v>
      </c>
      <c r="D14" s="21" t="n">
        <v>2235.2</v>
      </c>
    </row>
    <row r="15" customFormat="false" ht="15" hidden="false" customHeight="false" outlineLevel="0" collapsed="false">
      <c r="B15" s="15" t="s">
        <v>146</v>
      </c>
      <c r="C15" s="21" t="n">
        <v>274.94</v>
      </c>
      <c r="D15" s="21" t="n">
        <v>274.94</v>
      </c>
    </row>
    <row r="16" customFormat="false" ht="15" hidden="false" customHeight="false" outlineLevel="0" collapsed="false">
      <c r="B16" s="15" t="s">
        <v>147</v>
      </c>
      <c r="C16" s="21" t="n">
        <v>120.68</v>
      </c>
      <c r="D16" s="21" t="n">
        <v>120.68</v>
      </c>
    </row>
    <row r="17" customFormat="false" ht="15" hidden="false" customHeight="false" outlineLevel="0" collapsed="false">
      <c r="B17" s="15" t="s">
        <v>109</v>
      </c>
      <c r="C17" s="21" t="n">
        <v>4471.44</v>
      </c>
      <c r="D17" s="21" t="n">
        <v>4471.44</v>
      </c>
    </row>
    <row r="18" customFormat="false" ht="15" hidden="false" customHeight="false" outlineLevel="0" collapsed="false">
      <c r="B18" s="15" t="s">
        <v>110</v>
      </c>
      <c r="C18" s="21" t="n">
        <v>1633.14</v>
      </c>
      <c r="D18" s="21" t="n">
        <v>1633.14</v>
      </c>
    </row>
    <row r="19" customFormat="false" ht="15" hidden="false" customHeight="false" outlineLevel="0" collapsed="false">
      <c r="B19" s="15" t="s">
        <v>148</v>
      </c>
      <c r="C19" s="21" t="n">
        <v>5141.11</v>
      </c>
      <c r="D19" s="21" t="n">
        <v>5141.11</v>
      </c>
    </row>
    <row r="20" customFormat="false" ht="15" hidden="false" customHeight="false" outlineLevel="0" collapsed="false">
      <c r="B20" s="15" t="s">
        <v>112</v>
      </c>
      <c r="C20" s="21" t="n">
        <v>1534.74</v>
      </c>
      <c r="D20" s="21" t="n">
        <v>1534.74</v>
      </c>
    </row>
    <row r="21" customFormat="false" ht="15" hidden="false" customHeight="false" outlineLevel="0" collapsed="false">
      <c r="B21" s="15" t="s">
        <v>149</v>
      </c>
      <c r="C21" s="21" t="n">
        <v>64.8</v>
      </c>
      <c r="D21" s="21" t="n">
        <v>64.8</v>
      </c>
    </row>
    <row r="22" customFormat="false" ht="15" hidden="false" customHeight="false" outlineLevel="0" collapsed="false">
      <c r="B22" s="15" t="s">
        <v>150</v>
      </c>
      <c r="C22" s="21" t="n">
        <v>5524.32</v>
      </c>
      <c r="D22" s="21" t="n">
        <v>5524.32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10400.92</v>
      </c>
      <c r="G24" s="21" t="n">
        <v>10400.92</v>
      </c>
    </row>
    <row r="25" customFormat="false" ht="15" hidden="false" customHeight="false" outlineLevel="0" collapsed="false">
      <c r="B25" s="15" t="s">
        <v>116</v>
      </c>
      <c r="C25" s="21" t="n">
        <v>19732.45</v>
      </c>
      <c r="G25" s="21" t="n">
        <v>19732.45</v>
      </c>
    </row>
    <row r="26" customFormat="false" ht="15" hidden="false" customHeight="false" outlineLevel="0" collapsed="false">
      <c r="B26" s="15" t="s">
        <v>117</v>
      </c>
      <c r="C26" s="21" t="n">
        <v>18076.85</v>
      </c>
      <c r="G26" s="21" t="n">
        <v>18076.85</v>
      </c>
    </row>
    <row r="27" customFormat="false" ht="15" hidden="false" customHeight="false" outlineLevel="0" collapsed="false">
      <c r="B27" s="15" t="s">
        <v>118</v>
      </c>
      <c r="C27" s="21" t="n">
        <v>19867.9</v>
      </c>
      <c r="G27" s="21" t="n">
        <v>19867.9</v>
      </c>
    </row>
    <row r="28" customFormat="false" ht="15" hidden="false" customHeight="false" outlineLevel="0" collapsed="false">
      <c r="B28" s="15" t="s">
        <v>119</v>
      </c>
      <c r="C28" s="21" t="n">
        <v>15953.11</v>
      </c>
      <c r="G28" s="21" t="n">
        <v>15953.11</v>
      </c>
    </row>
    <row r="29" customFormat="false" ht="15" hidden="false" customHeight="false" outlineLevel="0" collapsed="false">
      <c r="B29" s="15" t="s">
        <v>120</v>
      </c>
      <c r="C29" s="21" t="n">
        <v>1077</v>
      </c>
      <c r="G29" s="21" t="n">
        <v>1077</v>
      </c>
    </row>
    <row r="30" customFormat="false" ht="15" hidden="false" customHeight="false" outlineLevel="0" collapsed="false">
      <c r="B30" s="15" t="s">
        <v>121</v>
      </c>
      <c r="C30" s="21" t="n">
        <v>24515.03</v>
      </c>
      <c r="G30" s="21" t="n">
        <v>24515.03</v>
      </c>
    </row>
    <row r="31" customFormat="false" ht="15" hidden="false" customHeight="false" outlineLevel="0" collapsed="false">
      <c r="B31" s="15" t="s">
        <v>122</v>
      </c>
      <c r="C31" s="21" t="n">
        <v>18444.72</v>
      </c>
      <c r="G31" s="21" t="n">
        <v>18444.72</v>
      </c>
    </row>
    <row r="32" customFormat="false" ht="15" hidden="false" customHeight="false" outlineLevel="0" collapsed="false">
      <c r="B32" s="15" t="s">
        <v>123</v>
      </c>
      <c r="C32" s="21" t="n">
        <v>11037.53</v>
      </c>
      <c r="G32" s="21" t="n">
        <v>11037.53</v>
      </c>
    </row>
    <row r="33" customFormat="false" ht="15" hidden="false" customHeight="false" outlineLevel="0" collapsed="false">
      <c r="B33" s="15" t="s">
        <v>124</v>
      </c>
      <c r="C33" s="21" t="n">
        <v>8326.32</v>
      </c>
      <c r="G33" s="21" t="n">
        <v>8326.32</v>
      </c>
    </row>
    <row r="34" customFormat="false" ht="15" hidden="false" customHeight="false" outlineLevel="0" collapsed="false">
      <c r="B34" s="15" t="s">
        <v>125</v>
      </c>
      <c r="C34" s="21" t="n">
        <v>20278.2</v>
      </c>
      <c r="G34" s="21" t="n">
        <v>20278.2</v>
      </c>
    </row>
    <row r="35" customFormat="false" ht="15" hidden="false" customHeight="false" outlineLevel="0" collapsed="false">
      <c r="B35" s="15" t="s">
        <v>126</v>
      </c>
      <c r="C35" s="21" t="n">
        <v>8613.97</v>
      </c>
      <c r="G35" s="21" t="n">
        <v>8613.97</v>
      </c>
    </row>
    <row r="36" customFormat="false" ht="15" hidden="false" customHeight="false" outlineLevel="0" collapsed="false">
      <c r="B36" s="15" t="s">
        <v>127</v>
      </c>
      <c r="C36" s="21" t="n">
        <v>1343.51</v>
      </c>
      <c r="G36" s="21" t="n">
        <v>1343.51</v>
      </c>
    </row>
    <row r="37" customFormat="false" ht="15" hidden="false" customHeight="false" outlineLevel="0" collapsed="false">
      <c r="B37" s="15" t="s">
        <v>129</v>
      </c>
      <c r="C37" s="21" t="n">
        <v>27755.5</v>
      </c>
      <c r="G37" s="21" t="n">
        <v>27755.5</v>
      </c>
    </row>
    <row r="38" customFormat="false" ht="15" hidden="false" customHeight="false" outlineLevel="0" collapsed="false">
      <c r="B38" s="15" t="s">
        <v>151</v>
      </c>
      <c r="C38" s="21" t="n">
        <v>6811.28</v>
      </c>
      <c r="G38" s="21" t="n">
        <v>6811.28</v>
      </c>
    </row>
    <row r="39" customFormat="false" ht="15" hidden="false" customHeight="false" outlineLevel="0" collapsed="false">
      <c r="B39" s="15" t="s">
        <v>130</v>
      </c>
      <c r="C39" s="21" t="n">
        <v>1999.53</v>
      </c>
      <c r="G39" s="21" t="n">
        <v>1999.53</v>
      </c>
    </row>
    <row r="40" customFormat="false" ht="15" hidden="false" customHeight="false" outlineLevel="0" collapsed="false">
      <c r="B40" s="15" t="s">
        <v>152</v>
      </c>
      <c r="C40" s="21" t="n">
        <v>2564.71</v>
      </c>
      <c r="G40" s="21" t="n">
        <v>2564.71</v>
      </c>
    </row>
    <row r="41" customFormat="false" ht="15" hidden="false" customHeight="false" outlineLevel="0" collapsed="false">
      <c r="A41" s="22"/>
      <c r="B41" s="23" t="s">
        <v>66</v>
      </c>
      <c r="C41" s="24" t="n">
        <f aca="false">SUM(C10:C40)</f>
        <v>268855.67</v>
      </c>
      <c r="D41" s="24" t="n">
        <f aca="false">SUM(D10:D40)</f>
        <v>52057.14</v>
      </c>
      <c r="E41" s="24" t="n">
        <f aca="false">SUM(E10:E40)</f>
        <v>0</v>
      </c>
      <c r="F41" s="24" t="n">
        <f aca="false">SUM(F10:F40)</f>
        <v>0</v>
      </c>
      <c r="G41" s="24" t="n">
        <f aca="false">SUM(G10:G40)</f>
        <v>216798.53</v>
      </c>
      <c r="H41" s="22"/>
    </row>
    <row r="43" customFormat="false" ht="15" hidden="false" customHeight="false" outlineLevel="0" collapsed="false">
      <c r="A43" s="19"/>
      <c r="B43" s="20" t="s">
        <v>67</v>
      </c>
      <c r="C43" s="20"/>
      <c r="D43" s="20"/>
      <c r="E43" s="20"/>
      <c r="F43" s="20"/>
      <c r="G43" s="20"/>
      <c r="H43" s="20"/>
      <c r="I43" s="20"/>
      <c r="J43" s="20"/>
    </row>
    <row r="44" customFormat="false" ht="15" hidden="false" customHeight="false" outlineLevel="0" collapsed="false">
      <c r="B44" s="15" t="s">
        <v>68</v>
      </c>
      <c r="C44" s="21" t="n">
        <v>212191.05</v>
      </c>
      <c r="D44" s="21" t="n">
        <v>41085.46</v>
      </c>
      <c r="G44" s="21" t="n">
        <v>171105.59</v>
      </c>
    </row>
    <row r="45" customFormat="false" ht="15" hidden="false" customHeight="false" outlineLevel="0" collapsed="false">
      <c r="B45" s="15" t="s">
        <v>69</v>
      </c>
      <c r="C45" s="21" t="n">
        <v>386.45</v>
      </c>
      <c r="D45" s="21" t="n">
        <v>74.83</v>
      </c>
      <c r="G45" s="21" t="n">
        <v>311.62</v>
      </c>
    </row>
    <row r="46" customFormat="false" ht="15" hidden="false" customHeight="false" outlineLevel="0" collapsed="false">
      <c r="B46" s="15" t="s">
        <v>70</v>
      </c>
      <c r="C46" s="21" t="n">
        <v>20018</v>
      </c>
      <c r="D46" s="21" t="n">
        <v>3875.98</v>
      </c>
      <c r="G46" s="21" t="n">
        <v>16142.02</v>
      </c>
    </row>
    <row r="47" customFormat="false" ht="15" hidden="false" customHeight="false" outlineLevel="0" collapsed="false">
      <c r="B47" s="15" t="s">
        <v>71</v>
      </c>
      <c r="C47" s="21" t="n">
        <v>36260.17</v>
      </c>
      <c r="D47" s="21" t="n">
        <v>7020.87</v>
      </c>
      <c r="G47" s="21" t="n">
        <v>29239.3</v>
      </c>
    </row>
    <row r="48" customFormat="false" ht="15" hidden="false" customHeight="false" outlineLevel="0" collapsed="false">
      <c r="A48" s="22"/>
      <c r="B48" s="23" t="s">
        <v>72</v>
      </c>
      <c r="C48" s="24" t="n">
        <f aca="false">SUM(C44:C47)</f>
        <v>268855.67</v>
      </c>
      <c r="D48" s="24" t="n">
        <f aca="false">SUM(D44:D47)</f>
        <v>52057.14</v>
      </c>
      <c r="E48" s="22"/>
      <c r="F48" s="24" t="n">
        <f aca="false">SUM(F44:F47)</f>
        <v>0</v>
      </c>
      <c r="G48" s="24" t="n">
        <f aca="false">SUM(G44:G47)</f>
        <v>216798.53</v>
      </c>
      <c r="H48" s="22"/>
    </row>
    <row r="50" customFormat="false" ht="15" hidden="false" customHeight="false" outlineLevel="0" collapsed="false">
      <c r="A50" s="25" t="s">
        <v>73</v>
      </c>
      <c r="B50" s="25"/>
      <c r="C50" s="25"/>
      <c r="D50" s="25"/>
      <c r="E50" s="25"/>
      <c r="F50" s="25"/>
      <c r="G50" s="25"/>
      <c r="H50" s="25"/>
      <c r="I50" s="25"/>
      <c r="J50" s="25"/>
    </row>
    <row r="51" customFormat="false" ht="15" hidden="false" customHeight="false" outlineLevel="0" collapsed="false">
      <c r="A51" s="26" t="s">
        <v>36</v>
      </c>
      <c r="B51" s="26"/>
      <c r="C51" s="26"/>
      <c r="D51" s="26"/>
      <c r="E51" s="26"/>
      <c r="F51" s="26"/>
      <c r="G51" s="26"/>
      <c r="H51" s="26"/>
      <c r="I51" s="26"/>
      <c r="J51" s="26"/>
    </row>
    <row r="52" customFormat="false" ht="15" hidden="false" customHeight="false" outlineLevel="0" collapsed="false">
      <c r="A52" s="27"/>
      <c r="B52" s="27" t="s">
        <v>74</v>
      </c>
      <c r="C52" s="28" t="s">
        <v>75</v>
      </c>
      <c r="D52" s="28" t="s">
        <v>76</v>
      </c>
      <c r="E52" s="28" t="s">
        <v>77</v>
      </c>
      <c r="F52" s="28" t="s">
        <v>78</v>
      </c>
      <c r="G52" s="28" t="s">
        <v>79</v>
      </c>
      <c r="H52" s="28" t="s">
        <v>80</v>
      </c>
      <c r="I52" s="28" t="s">
        <v>81</v>
      </c>
      <c r="J52" s="28" t="s">
        <v>82</v>
      </c>
    </row>
    <row r="53" customFormat="false" ht="15" hidden="false" customHeight="false" outlineLevel="0" collapsed="false">
      <c r="B53" s="29" t="s">
        <v>153</v>
      </c>
      <c r="C53" s="30" t="n">
        <v>212191.05</v>
      </c>
      <c r="D53" s="30" t="n">
        <v>0</v>
      </c>
      <c r="E53" s="30" t="n">
        <v>62049.02</v>
      </c>
      <c r="F53" s="30" t="n">
        <v>7716.04</v>
      </c>
      <c r="G53" s="30" t="n">
        <v>69765.06</v>
      </c>
      <c r="H53" s="30" t="n">
        <v>142425.99</v>
      </c>
      <c r="I53" s="31" t="s">
        <v>84</v>
      </c>
      <c r="J53" s="32" t="n">
        <v>27.5</v>
      </c>
    </row>
    <row r="54" customFormat="false" ht="15" hidden="false" customHeight="false" outlineLevel="0" collapsed="false">
      <c r="B54" s="7" t="s">
        <v>154</v>
      </c>
      <c r="C54" s="9" t="n">
        <v>386.45</v>
      </c>
      <c r="D54" s="9" t="n">
        <v>0</v>
      </c>
      <c r="E54" s="9" t="n">
        <v>111.91</v>
      </c>
      <c r="F54" s="9" t="n">
        <v>14.06</v>
      </c>
      <c r="G54" s="9" t="n">
        <v>125.97</v>
      </c>
      <c r="H54" s="9" t="n">
        <v>260.48</v>
      </c>
      <c r="I54" s="33" t="s">
        <v>84</v>
      </c>
      <c r="J54" s="34" t="n">
        <v>27.5</v>
      </c>
    </row>
    <row r="55" customFormat="false" ht="15" hidden="false" customHeight="false" outlineLevel="0" collapsed="false">
      <c r="B55" s="29" t="s">
        <v>155</v>
      </c>
      <c r="C55" s="30" t="n">
        <v>20018</v>
      </c>
      <c r="D55" s="30" t="n">
        <v>0</v>
      </c>
      <c r="E55" s="30" t="n">
        <v>11723.87</v>
      </c>
      <c r="F55" s="30" t="n">
        <v>1181.07</v>
      </c>
      <c r="G55" s="30" t="n">
        <v>12904.94</v>
      </c>
      <c r="H55" s="30" t="n">
        <v>7113.06</v>
      </c>
      <c r="I55" s="31" t="s">
        <v>87</v>
      </c>
      <c r="J55" s="32" t="n">
        <v>15</v>
      </c>
    </row>
    <row r="56" customFormat="false" ht="15" hidden="false" customHeight="false" outlineLevel="0" collapsed="false">
      <c r="B56" s="7" t="s">
        <v>156</v>
      </c>
      <c r="C56" s="9" t="n">
        <v>36260.17</v>
      </c>
      <c r="D56" s="9" t="n">
        <v>0</v>
      </c>
      <c r="E56" s="9" t="n">
        <v>35051.5</v>
      </c>
      <c r="F56" s="9" t="n">
        <v>0</v>
      </c>
      <c r="G56" s="9" t="n">
        <v>35051.5</v>
      </c>
      <c r="H56" s="9" t="n">
        <v>1208.67</v>
      </c>
      <c r="I56" s="33" t="s">
        <v>89</v>
      </c>
      <c r="J56" s="34" t="n">
        <v>5</v>
      </c>
    </row>
    <row r="57" customFormat="false" ht="15" hidden="false" customHeight="false" outlineLevel="0" collapsed="false">
      <c r="A57" s="35"/>
      <c r="B57" s="36" t="s">
        <v>34</v>
      </c>
      <c r="C57" s="37" t="n">
        <f aca="false">SUM(C53:C56)</f>
        <v>268855.67</v>
      </c>
      <c r="D57" s="37" t="n">
        <f aca="false">SUM(D53:D56)</f>
        <v>0</v>
      </c>
      <c r="E57" s="37" t="n">
        <f aca="false">SUM(E53:E56)</f>
        <v>108936.3</v>
      </c>
      <c r="F57" s="37" t="n">
        <f aca="false">SUM(F53:F56)</f>
        <v>8911.17</v>
      </c>
      <c r="G57" s="37" t="n">
        <f aca="false">SUM(G53:G56)</f>
        <v>117847.47</v>
      </c>
      <c r="H57" s="37" t="n">
        <f aca="false">SUM(H53:H56)</f>
        <v>151008.2</v>
      </c>
      <c r="I57" s="35"/>
      <c r="J57" s="35"/>
    </row>
    <row r="59" customFormat="false" ht="15" hidden="false" customHeight="false" outlineLevel="0" collapsed="false">
      <c r="A59" s="38" t="s">
        <v>90</v>
      </c>
      <c r="B59" s="38"/>
      <c r="C59" s="38"/>
      <c r="D59" s="38"/>
      <c r="E59" s="38"/>
      <c r="F59" s="38"/>
      <c r="G59" s="38"/>
      <c r="H59" s="38"/>
      <c r="I59" s="38"/>
      <c r="J59" s="38"/>
    </row>
    <row r="60" customFormat="false" ht="15" hidden="false" customHeight="false" outlineLevel="0" collapsed="false">
      <c r="A60" s="27"/>
      <c r="B60" s="27" t="s">
        <v>74</v>
      </c>
      <c r="C60" s="28" t="s">
        <v>75</v>
      </c>
      <c r="D60" s="28" t="s">
        <v>76</v>
      </c>
      <c r="E60" s="28" t="s">
        <v>77</v>
      </c>
      <c r="F60" s="28" t="s">
        <v>78</v>
      </c>
      <c r="G60" s="28" t="s">
        <v>79</v>
      </c>
      <c r="H60" s="28" t="s">
        <v>80</v>
      </c>
      <c r="I60" s="28" t="s">
        <v>81</v>
      </c>
      <c r="J60" s="28" t="s">
        <v>82</v>
      </c>
    </row>
    <row r="61" customFormat="false" ht="15" hidden="false" customHeight="false" outlineLevel="0" collapsed="false">
      <c r="B61" s="29" t="s">
        <v>157</v>
      </c>
      <c r="C61" s="30" t="n">
        <v>41085.46</v>
      </c>
      <c r="D61" s="30" t="n">
        <v>0</v>
      </c>
      <c r="E61" s="30" t="n">
        <v>41085.46</v>
      </c>
      <c r="F61" s="30" t="n">
        <v>0</v>
      </c>
      <c r="G61" s="30" t="n">
        <v>41085.46</v>
      </c>
      <c r="H61" s="30" t="n">
        <v>0</v>
      </c>
      <c r="I61" s="31" t="s">
        <v>89</v>
      </c>
      <c r="J61" s="32" t="n">
        <v>5</v>
      </c>
    </row>
    <row r="62" customFormat="false" ht="15" hidden="false" customHeight="false" outlineLevel="0" collapsed="false">
      <c r="B62" s="7" t="s">
        <v>158</v>
      </c>
      <c r="C62" s="9" t="n">
        <v>171105.59</v>
      </c>
      <c r="D62" s="9" t="n">
        <v>0</v>
      </c>
      <c r="E62" s="9" t="n">
        <v>50035.41</v>
      </c>
      <c r="F62" s="9" t="n">
        <v>6222.02</v>
      </c>
      <c r="G62" s="9" t="n">
        <v>56257.43</v>
      </c>
      <c r="H62" s="9" t="n">
        <v>114848.16</v>
      </c>
      <c r="I62" s="33" t="s">
        <v>84</v>
      </c>
      <c r="J62" s="34" t="n">
        <v>27.5</v>
      </c>
    </row>
    <row r="63" customFormat="false" ht="15" hidden="false" customHeight="false" outlineLevel="0" collapsed="false">
      <c r="B63" s="29" t="s">
        <v>159</v>
      </c>
      <c r="C63" s="30" t="n">
        <v>74.83</v>
      </c>
      <c r="D63" s="30" t="n">
        <v>0</v>
      </c>
      <c r="E63" s="30" t="n">
        <v>74.83</v>
      </c>
      <c r="F63" s="30" t="n">
        <v>0</v>
      </c>
      <c r="G63" s="30" t="n">
        <v>74.83</v>
      </c>
      <c r="H63" s="30" t="n">
        <v>0</v>
      </c>
      <c r="I63" s="31" t="s">
        <v>89</v>
      </c>
      <c r="J63" s="32" t="n">
        <v>5</v>
      </c>
    </row>
    <row r="64" customFormat="false" ht="15" hidden="false" customHeight="false" outlineLevel="0" collapsed="false">
      <c r="B64" s="7" t="s">
        <v>160</v>
      </c>
      <c r="C64" s="9" t="n">
        <v>311.62</v>
      </c>
      <c r="D64" s="9" t="n">
        <v>0</v>
      </c>
      <c r="E64" s="9" t="n">
        <v>90.17</v>
      </c>
      <c r="F64" s="9" t="n">
        <v>11.33</v>
      </c>
      <c r="G64" s="9" t="n">
        <v>101.5</v>
      </c>
      <c r="H64" s="9" t="n">
        <v>210.12</v>
      </c>
      <c r="I64" s="33" t="s">
        <v>84</v>
      </c>
      <c r="J64" s="34" t="n">
        <v>27.5</v>
      </c>
    </row>
    <row r="65" customFormat="false" ht="15" hidden="false" customHeight="false" outlineLevel="0" collapsed="false">
      <c r="B65" s="29" t="s">
        <v>161</v>
      </c>
      <c r="C65" s="30" t="n">
        <v>3875.98</v>
      </c>
      <c r="D65" s="30" t="n">
        <v>0</v>
      </c>
      <c r="E65" s="30" t="n">
        <v>3875.98</v>
      </c>
      <c r="F65" s="30" t="n">
        <v>0</v>
      </c>
      <c r="G65" s="30" t="n">
        <v>3875.98</v>
      </c>
      <c r="H65" s="30" t="n">
        <v>0</v>
      </c>
      <c r="I65" s="31" t="s">
        <v>89</v>
      </c>
      <c r="J65" s="32" t="n">
        <v>5</v>
      </c>
    </row>
    <row r="66" customFormat="false" ht="15" hidden="false" customHeight="false" outlineLevel="0" collapsed="false">
      <c r="B66" s="7" t="s">
        <v>162</v>
      </c>
      <c r="C66" s="9" t="n">
        <v>16142.02</v>
      </c>
      <c r="D66" s="9" t="n">
        <v>0</v>
      </c>
      <c r="E66" s="9" t="n">
        <v>4720.3</v>
      </c>
      <c r="F66" s="9" t="n">
        <v>586.98</v>
      </c>
      <c r="G66" s="9" t="n">
        <v>5307.28</v>
      </c>
      <c r="H66" s="9" t="n">
        <v>10834.74</v>
      </c>
      <c r="I66" s="33" t="s">
        <v>84</v>
      </c>
      <c r="J66" s="34" t="n">
        <v>27.5</v>
      </c>
    </row>
    <row r="67" customFormat="false" ht="15" hidden="false" customHeight="false" outlineLevel="0" collapsed="false">
      <c r="B67" s="29" t="s">
        <v>163</v>
      </c>
      <c r="C67" s="30" t="n">
        <v>7020.87</v>
      </c>
      <c r="D67" s="30" t="n">
        <v>0</v>
      </c>
      <c r="E67" s="30" t="n">
        <v>7020.87</v>
      </c>
      <c r="F67" s="30" t="n">
        <v>0</v>
      </c>
      <c r="G67" s="30" t="n">
        <v>7020.87</v>
      </c>
      <c r="H67" s="30" t="n">
        <v>0</v>
      </c>
      <c r="I67" s="31" t="s">
        <v>89</v>
      </c>
      <c r="J67" s="32" t="n">
        <v>5</v>
      </c>
    </row>
    <row r="68" customFormat="false" ht="15" hidden="false" customHeight="false" outlineLevel="0" collapsed="false">
      <c r="B68" s="7" t="s">
        <v>164</v>
      </c>
      <c r="C68" s="9" t="n">
        <v>29239.3</v>
      </c>
      <c r="D68" s="9" t="n">
        <v>0</v>
      </c>
      <c r="E68" s="9" t="n">
        <v>8550.3</v>
      </c>
      <c r="F68" s="9" t="n">
        <v>1063.25</v>
      </c>
      <c r="G68" s="9" t="n">
        <v>9613.55</v>
      </c>
      <c r="H68" s="9" t="n">
        <v>19625.75</v>
      </c>
      <c r="I68" s="33" t="s">
        <v>84</v>
      </c>
      <c r="J68" s="34" t="n">
        <v>27.5</v>
      </c>
    </row>
    <row r="69" customFormat="false" ht="15" hidden="false" customHeight="false" outlineLevel="0" collapsed="false">
      <c r="A69" s="35"/>
      <c r="B69" s="36" t="s">
        <v>34</v>
      </c>
      <c r="C69" s="37" t="n">
        <f aca="false">SUM(C61:C68)</f>
        <v>268855.67</v>
      </c>
      <c r="D69" s="37" t="n">
        <f aca="false">SUM(D61:D68)</f>
        <v>0</v>
      </c>
      <c r="E69" s="37" t="n">
        <f aca="false">SUM(E61:E68)</f>
        <v>115453.32</v>
      </c>
      <c r="F69" s="37" t="n">
        <f aca="false">SUM(F61:F68)</f>
        <v>7883.58</v>
      </c>
      <c r="G69" s="37" t="n">
        <f aca="false">SUM(G61:G68)</f>
        <v>123336.9</v>
      </c>
      <c r="H69" s="37" t="n">
        <f aca="false">SUM(H61:H68)</f>
        <v>145518.77</v>
      </c>
      <c r="I69" s="35"/>
      <c r="J69" s="35"/>
    </row>
    <row r="71" customFormat="false" ht="15" hidden="false" customHeight="false" outlineLevel="0" collapsed="false">
      <c r="A71" s="25" t="s">
        <v>38</v>
      </c>
      <c r="B71" s="25"/>
      <c r="C71" s="25"/>
      <c r="D71" s="25"/>
      <c r="E71" s="25"/>
    </row>
    <row r="72" customFormat="false" ht="15" hidden="false" customHeight="false" outlineLevel="0" collapsed="false">
      <c r="B72" s="7" t="s">
        <v>99</v>
      </c>
      <c r="C72" s="39" t="n">
        <f aca="false">G57</f>
        <v>117847.47</v>
      </c>
    </row>
    <row r="73" customFormat="false" ht="15" hidden="false" customHeight="false" outlineLevel="0" collapsed="false">
      <c r="B73" s="7" t="s">
        <v>100</v>
      </c>
      <c r="C73" s="39" t="n">
        <f aca="false">G69</f>
        <v>123336.9</v>
      </c>
    </row>
    <row r="74" customFormat="false" ht="15" hidden="false" customHeight="false" outlineLevel="0" collapsed="false">
      <c r="B74" s="10" t="s">
        <v>38</v>
      </c>
      <c r="C74" s="40" t="n">
        <f aca="false">C73-C72</f>
        <v>5489.42999999999</v>
      </c>
    </row>
  </sheetData>
  <mergeCells count="11">
    <mergeCell ref="A2:J2"/>
    <mergeCell ref="A3:J3"/>
    <mergeCell ref="A4:J4"/>
    <mergeCell ref="A8:J8"/>
    <mergeCell ref="B10:J10"/>
    <mergeCell ref="B23:J23"/>
    <mergeCell ref="B43:J43"/>
    <mergeCell ref="A50:J50"/>
    <mergeCell ref="A51:J51"/>
    <mergeCell ref="A59:J59"/>
    <mergeCell ref="A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195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196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4901.61</v>
      </c>
      <c r="D11" s="21" t="n">
        <v>4901.61</v>
      </c>
    </row>
    <row r="12" customFormat="false" ht="15" hidden="false" customHeight="false" outlineLevel="0" collapsed="false">
      <c r="B12" s="15" t="s">
        <v>105</v>
      </c>
      <c r="C12" s="21" t="n">
        <v>2185.54</v>
      </c>
      <c r="D12" s="21" t="n">
        <v>2185.54</v>
      </c>
    </row>
    <row r="13" customFormat="false" ht="15" hidden="false" customHeight="false" outlineLevel="0" collapsed="false">
      <c r="B13" s="15" t="s">
        <v>106</v>
      </c>
      <c r="C13" s="21" t="n">
        <v>11385.26</v>
      </c>
      <c r="D13" s="21" t="n">
        <v>11385.26</v>
      </c>
    </row>
    <row r="14" customFormat="false" ht="15" hidden="false" customHeight="false" outlineLevel="0" collapsed="false">
      <c r="B14" s="15" t="s">
        <v>108</v>
      </c>
      <c r="C14" s="21" t="n">
        <v>589.62</v>
      </c>
      <c r="D14" s="21" t="n">
        <v>589.62</v>
      </c>
    </row>
    <row r="15" customFormat="false" ht="15" hidden="false" customHeight="false" outlineLevel="0" collapsed="false">
      <c r="B15" s="15" t="s">
        <v>146</v>
      </c>
      <c r="C15" s="21" t="n">
        <v>183.29</v>
      </c>
      <c r="D15" s="21" t="n">
        <v>183.29</v>
      </c>
    </row>
    <row r="16" customFormat="false" ht="15" hidden="false" customHeight="false" outlineLevel="0" collapsed="false">
      <c r="B16" s="15" t="s">
        <v>147</v>
      </c>
      <c r="C16" s="21" t="n">
        <v>96.76</v>
      </c>
      <c r="D16" s="21" t="n">
        <v>96.76</v>
      </c>
    </row>
    <row r="17" customFormat="false" ht="15" hidden="false" customHeight="false" outlineLevel="0" collapsed="false">
      <c r="B17" s="15" t="s">
        <v>109</v>
      </c>
      <c r="C17" s="21" t="n">
        <v>2980.97</v>
      </c>
      <c r="D17" s="21" t="n">
        <v>2980.97</v>
      </c>
    </row>
    <row r="18" customFormat="false" ht="15" hidden="false" customHeight="false" outlineLevel="0" collapsed="false">
      <c r="B18" s="15" t="s">
        <v>110</v>
      </c>
      <c r="C18" s="21" t="n">
        <v>994.55</v>
      </c>
      <c r="D18" s="21" t="n">
        <v>994.55</v>
      </c>
    </row>
    <row r="19" customFormat="false" ht="15" hidden="false" customHeight="false" outlineLevel="0" collapsed="false">
      <c r="B19" s="15" t="s">
        <v>148</v>
      </c>
      <c r="C19" s="21" t="n">
        <v>3427.41</v>
      </c>
      <c r="D19" s="21" t="n">
        <v>3427.41</v>
      </c>
    </row>
    <row r="20" customFormat="false" ht="15" hidden="false" customHeight="false" outlineLevel="0" collapsed="false">
      <c r="B20" s="15" t="s">
        <v>112</v>
      </c>
      <c r="C20" s="21" t="n">
        <v>428.96</v>
      </c>
      <c r="D20" s="21" t="n">
        <v>428.96</v>
      </c>
    </row>
    <row r="21" customFormat="false" ht="15" hidden="false" customHeight="false" outlineLevel="0" collapsed="false">
      <c r="B21" s="15" t="s">
        <v>149</v>
      </c>
      <c r="C21" s="21" t="n">
        <v>43.2</v>
      </c>
      <c r="D21" s="21" t="n">
        <v>43.2</v>
      </c>
    </row>
    <row r="22" customFormat="false" ht="15" hidden="false" customHeight="false" outlineLevel="0" collapsed="false">
      <c r="B22" s="15" t="s">
        <v>150</v>
      </c>
      <c r="C22" s="21" t="n">
        <v>3682.87</v>
      </c>
      <c r="D22" s="21" t="n">
        <v>3682.87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8561.68</v>
      </c>
      <c r="G24" s="21" t="n">
        <v>8561.68</v>
      </c>
    </row>
    <row r="25" customFormat="false" ht="15" hidden="false" customHeight="false" outlineLevel="0" collapsed="false">
      <c r="B25" s="15" t="s">
        <v>116</v>
      </c>
      <c r="C25" s="21" t="n">
        <v>16225.62</v>
      </c>
      <c r="G25" s="21" t="n">
        <v>16225.62</v>
      </c>
    </row>
    <row r="26" customFormat="false" ht="15" hidden="false" customHeight="false" outlineLevel="0" collapsed="false">
      <c r="B26" s="15" t="s">
        <v>117</v>
      </c>
      <c r="C26" s="21" t="n">
        <v>10992.55</v>
      </c>
      <c r="G26" s="21" t="n">
        <v>10992.55</v>
      </c>
    </row>
    <row r="27" customFormat="false" ht="15" hidden="false" customHeight="false" outlineLevel="0" collapsed="false">
      <c r="B27" s="15" t="s">
        <v>118</v>
      </c>
      <c r="C27" s="21" t="n">
        <v>12099.12</v>
      </c>
      <c r="G27" s="21" t="n">
        <v>12099.12</v>
      </c>
    </row>
    <row r="28" customFormat="false" ht="15" hidden="false" customHeight="false" outlineLevel="0" collapsed="false">
      <c r="B28" s="15" t="s">
        <v>119</v>
      </c>
      <c r="C28" s="21" t="n">
        <v>9715.1</v>
      </c>
      <c r="G28" s="21" t="n">
        <v>9715.1</v>
      </c>
    </row>
    <row r="29" customFormat="false" ht="15" hidden="false" customHeight="false" outlineLevel="0" collapsed="false">
      <c r="B29" s="15" t="s">
        <v>120</v>
      </c>
      <c r="C29" s="21" t="n">
        <v>548.48</v>
      </c>
      <c r="G29" s="21" t="n">
        <v>548.48</v>
      </c>
    </row>
    <row r="30" customFormat="false" ht="15" hidden="false" customHeight="false" outlineLevel="0" collapsed="false">
      <c r="B30" s="15" t="s">
        <v>121</v>
      </c>
      <c r="C30" s="21" t="n">
        <v>12559.71</v>
      </c>
      <c r="G30" s="21" t="n">
        <v>12559.71</v>
      </c>
    </row>
    <row r="31" customFormat="false" ht="15" hidden="false" customHeight="false" outlineLevel="0" collapsed="false">
      <c r="B31" s="15" t="s">
        <v>122</v>
      </c>
      <c r="C31" s="21" t="n">
        <v>5680.09</v>
      </c>
      <c r="G31" s="21" t="n">
        <v>5680.09</v>
      </c>
    </row>
    <row r="32" customFormat="false" ht="15" hidden="false" customHeight="false" outlineLevel="0" collapsed="false">
      <c r="B32" s="15" t="s">
        <v>123</v>
      </c>
      <c r="C32" s="21" t="n">
        <v>2911.57</v>
      </c>
      <c r="G32" s="21" t="n">
        <v>2911.57</v>
      </c>
    </row>
    <row r="33" customFormat="false" ht="15" hidden="false" customHeight="false" outlineLevel="0" collapsed="false">
      <c r="B33" s="15" t="s">
        <v>124</v>
      </c>
      <c r="C33" s="21" t="n">
        <v>5070.55</v>
      </c>
      <c r="G33" s="21" t="n">
        <v>5070.55</v>
      </c>
    </row>
    <row r="34" customFormat="false" ht="15" hidden="false" customHeight="false" outlineLevel="0" collapsed="false">
      <c r="B34" s="15" t="s">
        <v>125</v>
      </c>
      <c r="C34" s="21" t="n">
        <v>9837.36</v>
      </c>
      <c r="G34" s="21" t="n">
        <v>9837.36</v>
      </c>
    </row>
    <row r="35" customFormat="false" ht="15" hidden="false" customHeight="false" outlineLevel="0" collapsed="false">
      <c r="B35" s="15" t="s">
        <v>126</v>
      </c>
      <c r="C35" s="21" t="n">
        <v>4408.6</v>
      </c>
      <c r="G35" s="21" t="n">
        <v>4408.6</v>
      </c>
    </row>
    <row r="36" customFormat="false" ht="15" hidden="false" customHeight="false" outlineLevel="0" collapsed="false">
      <c r="B36" s="15" t="s">
        <v>127</v>
      </c>
      <c r="C36" s="21" t="n">
        <v>1012.22</v>
      </c>
      <c r="G36" s="21" t="n">
        <v>1012.22</v>
      </c>
    </row>
    <row r="37" customFormat="false" ht="15" hidden="false" customHeight="false" outlineLevel="0" collapsed="false">
      <c r="B37" s="15" t="s">
        <v>129</v>
      </c>
      <c r="C37" s="21" t="n">
        <v>14327.98</v>
      </c>
      <c r="G37" s="21" t="n">
        <v>14327.98</v>
      </c>
    </row>
    <row r="38" customFormat="false" ht="15" hidden="false" customHeight="false" outlineLevel="0" collapsed="false">
      <c r="B38" s="15" t="s">
        <v>130</v>
      </c>
      <c r="C38" s="21" t="n">
        <v>1332.99</v>
      </c>
      <c r="G38" s="21" t="n">
        <v>1332.99</v>
      </c>
    </row>
    <row r="39" customFormat="false" ht="15" hidden="false" customHeight="false" outlineLevel="0" collapsed="false">
      <c r="B39" s="15" t="s">
        <v>152</v>
      </c>
      <c r="C39" s="21" t="n">
        <v>1709.81</v>
      </c>
      <c r="G39" s="21" t="n">
        <v>1709.81</v>
      </c>
    </row>
    <row r="40" customFormat="false" ht="15" hidden="false" customHeight="false" outlineLevel="0" collapsed="false">
      <c r="A40" s="22"/>
      <c r="B40" s="23" t="s">
        <v>66</v>
      </c>
      <c r="C40" s="24" t="n">
        <f aca="false">SUM(C10:C39)</f>
        <v>147893.47</v>
      </c>
      <c r="D40" s="24" t="n">
        <f aca="false">SUM(D10:D39)</f>
        <v>30900.04</v>
      </c>
      <c r="E40" s="24" t="n">
        <f aca="false">SUM(E10:E39)</f>
        <v>0</v>
      </c>
      <c r="F40" s="24" t="n">
        <f aca="false">SUM(F10:F39)</f>
        <v>0</v>
      </c>
      <c r="G40" s="24" t="n">
        <f aca="false">SUM(G10:G39)</f>
        <v>116993.43</v>
      </c>
      <c r="H40" s="22"/>
    </row>
    <row r="42" customFormat="false" ht="15" hidden="false" customHeight="false" outlineLevel="0" collapsed="false">
      <c r="A42" s="19"/>
      <c r="B42" s="20" t="s">
        <v>67</v>
      </c>
      <c r="C42" s="20"/>
      <c r="D42" s="20"/>
      <c r="E42" s="20"/>
      <c r="F42" s="20"/>
      <c r="G42" s="20"/>
      <c r="H42" s="20"/>
      <c r="I42" s="20"/>
      <c r="J42" s="20"/>
    </row>
    <row r="43" customFormat="false" ht="15" hidden="false" customHeight="false" outlineLevel="0" collapsed="false">
      <c r="B43" s="15" t="s">
        <v>68</v>
      </c>
      <c r="C43" s="21" t="n">
        <v>116723.12</v>
      </c>
      <c r="D43" s="21" t="n">
        <v>24387.48</v>
      </c>
      <c r="G43" s="21" t="n">
        <v>92335.64</v>
      </c>
    </row>
    <row r="44" customFormat="false" ht="15" hidden="false" customHeight="false" outlineLevel="0" collapsed="false">
      <c r="B44" s="15" t="s">
        <v>69</v>
      </c>
      <c r="C44" s="21" t="n">
        <v>212.58</v>
      </c>
      <c r="D44" s="21" t="n">
        <v>44.42</v>
      </c>
      <c r="G44" s="21" t="n">
        <v>168.16</v>
      </c>
    </row>
    <row r="45" customFormat="false" ht="15" hidden="false" customHeight="false" outlineLevel="0" collapsed="false">
      <c r="B45" s="15" t="s">
        <v>70</v>
      </c>
      <c r="C45" s="21" t="n">
        <v>11011.6</v>
      </c>
      <c r="D45" s="21" t="n">
        <v>2300.7</v>
      </c>
      <c r="G45" s="21" t="n">
        <v>8710.9</v>
      </c>
    </row>
    <row r="46" customFormat="false" ht="15" hidden="false" customHeight="false" outlineLevel="0" collapsed="false">
      <c r="B46" s="15" t="s">
        <v>71</v>
      </c>
      <c r="C46" s="21" t="n">
        <v>19946.17</v>
      </c>
      <c r="D46" s="21" t="n">
        <v>4167.44</v>
      </c>
      <c r="G46" s="21" t="n">
        <v>15778.73</v>
      </c>
    </row>
    <row r="47" customFormat="false" ht="15" hidden="false" customHeight="false" outlineLevel="0" collapsed="false">
      <c r="A47" s="22"/>
      <c r="B47" s="23" t="s">
        <v>72</v>
      </c>
      <c r="C47" s="24" t="n">
        <f aca="false">SUM(C43:C46)</f>
        <v>147893.47</v>
      </c>
      <c r="D47" s="24" t="n">
        <f aca="false">SUM(D43:D46)</f>
        <v>30900.04</v>
      </c>
      <c r="E47" s="22"/>
      <c r="F47" s="24" t="n">
        <f aca="false">SUM(F43:F46)</f>
        <v>0</v>
      </c>
      <c r="G47" s="24" t="n">
        <f aca="false">SUM(G43:G46)</f>
        <v>116993.43</v>
      </c>
      <c r="H47" s="22"/>
    </row>
    <row r="49" customFormat="false" ht="15" hidden="false" customHeight="false" outlineLevel="0" collapsed="false">
      <c r="A49" s="25" t="s">
        <v>73</v>
      </c>
      <c r="B49" s="25"/>
      <c r="C49" s="25"/>
      <c r="D49" s="25"/>
      <c r="E49" s="25"/>
      <c r="F49" s="25"/>
      <c r="G49" s="25"/>
      <c r="H49" s="25"/>
      <c r="I49" s="25"/>
      <c r="J49" s="25"/>
    </row>
    <row r="50" customFormat="false" ht="15" hidden="false" customHeight="false" outlineLevel="0" collapsed="false">
      <c r="A50" s="26" t="s">
        <v>36</v>
      </c>
      <c r="B50" s="26"/>
      <c r="C50" s="26"/>
      <c r="D50" s="26"/>
      <c r="E50" s="26"/>
      <c r="F50" s="26"/>
      <c r="G50" s="26"/>
      <c r="H50" s="26"/>
      <c r="I50" s="26"/>
      <c r="J50" s="26"/>
    </row>
    <row r="51" customFormat="false" ht="15" hidden="false" customHeight="false" outlineLevel="0" collapsed="false">
      <c r="A51" s="27"/>
      <c r="B51" s="27" t="s">
        <v>74</v>
      </c>
      <c r="C51" s="28" t="s">
        <v>75</v>
      </c>
      <c r="D51" s="28" t="s">
        <v>76</v>
      </c>
      <c r="E51" s="28" t="s">
        <v>77</v>
      </c>
      <c r="F51" s="28" t="s">
        <v>78</v>
      </c>
      <c r="G51" s="28" t="s">
        <v>79</v>
      </c>
      <c r="H51" s="28" t="s">
        <v>80</v>
      </c>
      <c r="I51" s="28" t="s">
        <v>81</v>
      </c>
      <c r="J51" s="28" t="s">
        <v>82</v>
      </c>
    </row>
    <row r="52" customFormat="false" ht="15" hidden="false" customHeight="false" outlineLevel="0" collapsed="false">
      <c r="B52" s="29" t="s">
        <v>153</v>
      </c>
      <c r="C52" s="30" t="n">
        <v>116723.12</v>
      </c>
      <c r="D52" s="30" t="n">
        <v>0</v>
      </c>
      <c r="E52" s="30" t="n">
        <v>34132.24</v>
      </c>
      <c r="F52" s="30" t="n">
        <v>4244.48</v>
      </c>
      <c r="G52" s="30" t="n">
        <v>38376.72</v>
      </c>
      <c r="H52" s="30" t="n">
        <v>78346.4</v>
      </c>
      <c r="I52" s="31" t="s">
        <v>84</v>
      </c>
      <c r="J52" s="32" t="n">
        <v>27.5</v>
      </c>
    </row>
    <row r="53" customFormat="false" ht="15" hidden="false" customHeight="false" outlineLevel="0" collapsed="false">
      <c r="B53" s="7" t="s">
        <v>154</v>
      </c>
      <c r="C53" s="9" t="n">
        <v>212.58</v>
      </c>
      <c r="D53" s="9" t="n">
        <v>0</v>
      </c>
      <c r="E53" s="9" t="n">
        <v>61.56</v>
      </c>
      <c r="F53" s="9" t="n">
        <v>7.73</v>
      </c>
      <c r="G53" s="9" t="n">
        <v>69.29</v>
      </c>
      <c r="H53" s="9" t="n">
        <v>143.29</v>
      </c>
      <c r="I53" s="33" t="s">
        <v>84</v>
      </c>
      <c r="J53" s="34" t="n">
        <v>27.5</v>
      </c>
    </row>
    <row r="54" customFormat="false" ht="15" hidden="false" customHeight="false" outlineLevel="0" collapsed="false">
      <c r="B54" s="29" t="s">
        <v>155</v>
      </c>
      <c r="C54" s="30" t="n">
        <v>11011.6</v>
      </c>
      <c r="D54" s="30" t="n">
        <v>0</v>
      </c>
      <c r="E54" s="30" t="n">
        <v>6449.13</v>
      </c>
      <c r="F54" s="30" t="n">
        <v>649.69</v>
      </c>
      <c r="G54" s="30" t="n">
        <v>7098.82</v>
      </c>
      <c r="H54" s="30" t="n">
        <v>3912.78</v>
      </c>
      <c r="I54" s="31" t="s">
        <v>87</v>
      </c>
      <c r="J54" s="32" t="n">
        <v>15</v>
      </c>
    </row>
    <row r="55" customFormat="false" ht="15" hidden="false" customHeight="false" outlineLevel="0" collapsed="false">
      <c r="B55" s="7" t="s">
        <v>156</v>
      </c>
      <c r="C55" s="9" t="n">
        <v>19946.17</v>
      </c>
      <c r="D55" s="9" t="n">
        <v>0</v>
      </c>
      <c r="E55" s="9" t="n">
        <v>19281.3</v>
      </c>
      <c r="F55" s="9" t="n">
        <v>0</v>
      </c>
      <c r="G55" s="9" t="n">
        <v>19281.3</v>
      </c>
      <c r="H55" s="9" t="n">
        <v>664.87</v>
      </c>
      <c r="I55" s="33" t="s">
        <v>89</v>
      </c>
      <c r="J55" s="34" t="n">
        <v>5</v>
      </c>
    </row>
    <row r="56" customFormat="false" ht="15" hidden="false" customHeight="false" outlineLevel="0" collapsed="false">
      <c r="A56" s="35"/>
      <c r="B56" s="36" t="s">
        <v>34</v>
      </c>
      <c r="C56" s="37" t="n">
        <f aca="false">SUM(C52:C55)</f>
        <v>147893.47</v>
      </c>
      <c r="D56" s="37" t="n">
        <f aca="false">SUM(D52:D55)</f>
        <v>0</v>
      </c>
      <c r="E56" s="37" t="n">
        <f aca="false">SUM(E52:E55)</f>
        <v>59924.23</v>
      </c>
      <c r="F56" s="37" t="n">
        <f aca="false">SUM(F52:F55)</f>
        <v>4901.9</v>
      </c>
      <c r="G56" s="37" t="n">
        <f aca="false">SUM(G52:G55)</f>
        <v>64826.13</v>
      </c>
      <c r="H56" s="37" t="n">
        <f aca="false">SUM(H52:H55)</f>
        <v>83067.34</v>
      </c>
      <c r="I56" s="35"/>
      <c r="J56" s="35"/>
    </row>
    <row r="58" customFormat="false" ht="15" hidden="false" customHeight="false" outlineLevel="0" collapsed="false">
      <c r="A58" s="38" t="s">
        <v>90</v>
      </c>
      <c r="B58" s="38"/>
      <c r="C58" s="38"/>
      <c r="D58" s="38"/>
      <c r="E58" s="38"/>
      <c r="F58" s="38"/>
      <c r="G58" s="38"/>
      <c r="H58" s="38"/>
      <c r="I58" s="38"/>
      <c r="J58" s="38"/>
    </row>
    <row r="59" customFormat="false" ht="15" hidden="false" customHeight="false" outlineLevel="0" collapsed="false">
      <c r="A59" s="27"/>
      <c r="B59" s="27" t="s">
        <v>74</v>
      </c>
      <c r="C59" s="28" t="s">
        <v>75</v>
      </c>
      <c r="D59" s="28" t="s">
        <v>76</v>
      </c>
      <c r="E59" s="28" t="s">
        <v>77</v>
      </c>
      <c r="F59" s="28" t="s">
        <v>78</v>
      </c>
      <c r="G59" s="28" t="s">
        <v>79</v>
      </c>
      <c r="H59" s="28" t="s">
        <v>80</v>
      </c>
      <c r="I59" s="28" t="s">
        <v>81</v>
      </c>
      <c r="J59" s="28" t="s">
        <v>82</v>
      </c>
    </row>
    <row r="60" customFormat="false" ht="15" hidden="false" customHeight="false" outlineLevel="0" collapsed="false">
      <c r="B60" s="29" t="s">
        <v>157</v>
      </c>
      <c r="C60" s="30" t="n">
        <v>24387.48</v>
      </c>
      <c r="D60" s="30" t="n">
        <v>0</v>
      </c>
      <c r="E60" s="30" t="n">
        <v>24387.48</v>
      </c>
      <c r="F60" s="30" t="n">
        <v>0</v>
      </c>
      <c r="G60" s="30" t="n">
        <v>24387.48</v>
      </c>
      <c r="H60" s="30" t="n">
        <v>0</v>
      </c>
      <c r="I60" s="31" t="s">
        <v>89</v>
      </c>
      <c r="J60" s="32" t="n">
        <v>5</v>
      </c>
    </row>
    <row r="61" customFormat="false" ht="15" hidden="false" customHeight="false" outlineLevel="0" collapsed="false">
      <c r="B61" s="7" t="s">
        <v>158</v>
      </c>
      <c r="C61" s="9" t="n">
        <v>92335.64</v>
      </c>
      <c r="D61" s="9" t="n">
        <v>0</v>
      </c>
      <c r="E61" s="9" t="n">
        <v>27001.18</v>
      </c>
      <c r="F61" s="9" t="n">
        <v>3357.66</v>
      </c>
      <c r="G61" s="9" t="n">
        <v>30358.84</v>
      </c>
      <c r="H61" s="9" t="n">
        <v>61976.8</v>
      </c>
      <c r="I61" s="33" t="s">
        <v>84</v>
      </c>
      <c r="J61" s="34" t="n">
        <v>27.5</v>
      </c>
    </row>
    <row r="62" customFormat="false" ht="15" hidden="false" customHeight="false" outlineLevel="0" collapsed="false">
      <c r="B62" s="29" t="s">
        <v>159</v>
      </c>
      <c r="C62" s="30" t="n">
        <v>44.42</v>
      </c>
      <c r="D62" s="30" t="n">
        <v>0</v>
      </c>
      <c r="E62" s="30" t="n">
        <v>44.42</v>
      </c>
      <c r="F62" s="30" t="n">
        <v>0</v>
      </c>
      <c r="G62" s="30" t="n">
        <v>44.42</v>
      </c>
      <c r="H62" s="30" t="n">
        <v>0</v>
      </c>
      <c r="I62" s="31" t="s">
        <v>89</v>
      </c>
      <c r="J62" s="32" t="n">
        <v>5</v>
      </c>
    </row>
    <row r="63" customFormat="false" ht="15" hidden="false" customHeight="false" outlineLevel="0" collapsed="false">
      <c r="B63" s="7" t="s">
        <v>160</v>
      </c>
      <c r="C63" s="9" t="n">
        <v>168.16</v>
      </c>
      <c r="D63" s="9" t="n">
        <v>0</v>
      </c>
      <c r="E63" s="9" t="n">
        <v>48.63</v>
      </c>
      <c r="F63" s="9" t="n">
        <v>6.11</v>
      </c>
      <c r="G63" s="9" t="n">
        <v>54.74</v>
      </c>
      <c r="H63" s="9" t="n">
        <v>113.42</v>
      </c>
      <c r="I63" s="33" t="s">
        <v>84</v>
      </c>
      <c r="J63" s="34" t="n">
        <v>27.5</v>
      </c>
    </row>
    <row r="64" customFormat="false" ht="15" hidden="false" customHeight="false" outlineLevel="0" collapsed="false">
      <c r="B64" s="29" t="s">
        <v>161</v>
      </c>
      <c r="C64" s="30" t="n">
        <v>2300.7</v>
      </c>
      <c r="D64" s="30" t="n">
        <v>0</v>
      </c>
      <c r="E64" s="30" t="n">
        <v>2300.7</v>
      </c>
      <c r="F64" s="30" t="n">
        <v>0</v>
      </c>
      <c r="G64" s="30" t="n">
        <v>2300.7</v>
      </c>
      <c r="H64" s="30" t="n">
        <v>0</v>
      </c>
      <c r="I64" s="31" t="s">
        <v>89</v>
      </c>
      <c r="J64" s="32" t="n">
        <v>5</v>
      </c>
    </row>
    <row r="65" customFormat="false" ht="15" hidden="false" customHeight="false" outlineLevel="0" collapsed="false">
      <c r="B65" s="7" t="s">
        <v>162</v>
      </c>
      <c r="C65" s="9" t="n">
        <v>8710.9</v>
      </c>
      <c r="D65" s="9" t="n">
        <v>0</v>
      </c>
      <c r="E65" s="9" t="n">
        <v>2547.28</v>
      </c>
      <c r="F65" s="9" t="n">
        <v>316.76</v>
      </c>
      <c r="G65" s="9" t="n">
        <v>2864.04</v>
      </c>
      <c r="H65" s="9" t="n">
        <v>5846.86</v>
      </c>
      <c r="I65" s="33" t="s">
        <v>84</v>
      </c>
      <c r="J65" s="34" t="n">
        <v>27.5</v>
      </c>
    </row>
    <row r="66" customFormat="false" ht="15" hidden="false" customHeight="false" outlineLevel="0" collapsed="false">
      <c r="B66" s="29" t="s">
        <v>163</v>
      </c>
      <c r="C66" s="30" t="n">
        <v>4167.44</v>
      </c>
      <c r="D66" s="30" t="n">
        <v>0</v>
      </c>
      <c r="E66" s="30" t="n">
        <v>4167.44</v>
      </c>
      <c r="F66" s="30" t="n">
        <v>0</v>
      </c>
      <c r="G66" s="30" t="n">
        <v>4167.44</v>
      </c>
      <c r="H66" s="30" t="n">
        <v>0</v>
      </c>
      <c r="I66" s="31" t="s">
        <v>89</v>
      </c>
      <c r="J66" s="32" t="n">
        <v>5</v>
      </c>
    </row>
    <row r="67" customFormat="false" ht="15" hidden="false" customHeight="false" outlineLevel="0" collapsed="false">
      <c r="B67" s="7" t="s">
        <v>164</v>
      </c>
      <c r="C67" s="9" t="n">
        <v>15778.73</v>
      </c>
      <c r="D67" s="9" t="n">
        <v>0</v>
      </c>
      <c r="E67" s="9" t="n">
        <v>4614.07</v>
      </c>
      <c r="F67" s="9" t="n">
        <v>573.77</v>
      </c>
      <c r="G67" s="9" t="n">
        <v>5187.84</v>
      </c>
      <c r="H67" s="9" t="n">
        <v>10590.89</v>
      </c>
      <c r="I67" s="33" t="s">
        <v>84</v>
      </c>
      <c r="J67" s="34" t="n">
        <v>27.5</v>
      </c>
    </row>
    <row r="68" customFormat="false" ht="15" hidden="false" customHeight="false" outlineLevel="0" collapsed="false">
      <c r="A68" s="35"/>
      <c r="B68" s="36" t="s">
        <v>34</v>
      </c>
      <c r="C68" s="37" t="n">
        <f aca="false">SUM(C60:C67)</f>
        <v>147893.47</v>
      </c>
      <c r="D68" s="37" t="n">
        <f aca="false">SUM(D60:D67)</f>
        <v>0</v>
      </c>
      <c r="E68" s="37" t="n">
        <f aca="false">SUM(E60:E67)</f>
        <v>65111.2</v>
      </c>
      <c r="F68" s="37" t="n">
        <f aca="false">SUM(F60:F67)</f>
        <v>4254.3</v>
      </c>
      <c r="G68" s="37" t="n">
        <f aca="false">SUM(G60:G67)</f>
        <v>69365.5</v>
      </c>
      <c r="H68" s="37" t="n">
        <f aca="false">SUM(H60:H67)</f>
        <v>78527.97</v>
      </c>
      <c r="I68" s="35"/>
      <c r="J68" s="35"/>
    </row>
    <row r="70" customFormat="false" ht="15" hidden="false" customHeight="false" outlineLevel="0" collapsed="false">
      <c r="A70" s="25" t="s">
        <v>38</v>
      </c>
      <c r="B70" s="25"/>
      <c r="C70" s="25"/>
      <c r="D70" s="25"/>
      <c r="E70" s="25"/>
    </row>
    <row r="71" customFormat="false" ht="15" hidden="false" customHeight="false" outlineLevel="0" collapsed="false">
      <c r="B71" s="7" t="s">
        <v>99</v>
      </c>
      <c r="C71" s="39" t="n">
        <f aca="false">G56</f>
        <v>64826.13</v>
      </c>
    </row>
    <row r="72" customFormat="false" ht="15" hidden="false" customHeight="false" outlineLevel="0" collapsed="false">
      <c r="B72" s="7" t="s">
        <v>100</v>
      </c>
      <c r="C72" s="39" t="n">
        <f aca="false">G68</f>
        <v>69365.5</v>
      </c>
    </row>
    <row r="73" customFormat="false" ht="15" hidden="false" customHeight="false" outlineLevel="0" collapsed="false">
      <c r="B73" s="10" t="s">
        <v>38</v>
      </c>
      <c r="C73" s="40" t="n">
        <f aca="false">C72-C71</f>
        <v>4539.37</v>
      </c>
    </row>
  </sheetData>
  <mergeCells count="11">
    <mergeCell ref="A2:J2"/>
    <mergeCell ref="A3:J3"/>
    <mergeCell ref="A4:J4"/>
    <mergeCell ref="A8:J8"/>
    <mergeCell ref="B10:J10"/>
    <mergeCell ref="B23:J23"/>
    <mergeCell ref="B42:J42"/>
    <mergeCell ref="A49:J49"/>
    <mergeCell ref="A50:J50"/>
    <mergeCell ref="A58:J58"/>
    <mergeCell ref="A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197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198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4785.17</v>
      </c>
      <c r="D11" s="21" t="n">
        <v>4785.17</v>
      </c>
    </row>
    <row r="12" customFormat="false" ht="15" hidden="false" customHeight="false" outlineLevel="0" collapsed="false">
      <c r="B12" s="15" t="s">
        <v>105</v>
      </c>
      <c r="C12" s="21" t="n">
        <v>1941.11</v>
      </c>
      <c r="D12" s="21" t="n">
        <v>1941.11</v>
      </c>
    </row>
    <row r="13" customFormat="false" ht="15" hidden="false" customHeight="false" outlineLevel="0" collapsed="false">
      <c r="B13" s="15" t="s">
        <v>106</v>
      </c>
      <c r="C13" s="21" t="n">
        <v>7939.87</v>
      </c>
      <c r="D13" s="21" t="n">
        <v>7939.87</v>
      </c>
    </row>
    <row r="14" customFormat="false" ht="15" hidden="false" customHeight="false" outlineLevel="0" collapsed="false">
      <c r="B14" s="15" t="s">
        <v>108</v>
      </c>
      <c r="C14" s="21" t="n">
        <v>428.82</v>
      </c>
      <c r="D14" s="21" t="n">
        <v>428.82</v>
      </c>
    </row>
    <row r="15" customFormat="false" ht="15" hidden="false" customHeight="false" outlineLevel="0" collapsed="false">
      <c r="B15" s="15" t="s">
        <v>146</v>
      </c>
      <c r="C15" s="21" t="n">
        <v>183.29</v>
      </c>
      <c r="D15" s="21" t="n">
        <v>183.29</v>
      </c>
    </row>
    <row r="16" customFormat="false" ht="15" hidden="false" customHeight="false" outlineLevel="0" collapsed="false">
      <c r="B16" s="15" t="s">
        <v>147</v>
      </c>
      <c r="C16" s="21" t="n">
        <v>96.76</v>
      </c>
      <c r="D16" s="21" t="n">
        <v>96.76</v>
      </c>
    </row>
    <row r="17" customFormat="false" ht="15" hidden="false" customHeight="false" outlineLevel="0" collapsed="false">
      <c r="B17" s="15" t="s">
        <v>109</v>
      </c>
      <c r="C17" s="21" t="n">
        <v>2980.97</v>
      </c>
      <c r="D17" s="21" t="n">
        <v>2980.97</v>
      </c>
    </row>
    <row r="18" customFormat="false" ht="15" hidden="false" customHeight="false" outlineLevel="0" collapsed="false">
      <c r="B18" s="15" t="s">
        <v>110</v>
      </c>
      <c r="C18" s="21" t="n">
        <v>693.58</v>
      </c>
      <c r="D18" s="21" t="n">
        <v>693.58</v>
      </c>
    </row>
    <row r="19" customFormat="false" ht="15" hidden="false" customHeight="false" outlineLevel="0" collapsed="false">
      <c r="B19" s="15" t="s">
        <v>148</v>
      </c>
      <c r="C19" s="21" t="n">
        <v>3427.41</v>
      </c>
      <c r="D19" s="21" t="n">
        <v>3427.41</v>
      </c>
    </row>
    <row r="20" customFormat="false" ht="15" hidden="false" customHeight="false" outlineLevel="0" collapsed="false">
      <c r="B20" s="15" t="s">
        <v>112</v>
      </c>
      <c r="C20" s="21" t="n">
        <v>758.85</v>
      </c>
      <c r="D20" s="21" t="n">
        <v>758.85</v>
      </c>
    </row>
    <row r="21" customFormat="false" ht="15" hidden="false" customHeight="false" outlineLevel="0" collapsed="false">
      <c r="B21" s="15" t="s">
        <v>149</v>
      </c>
      <c r="C21" s="21" t="n">
        <v>43.2</v>
      </c>
      <c r="D21" s="21" t="n">
        <v>43.2</v>
      </c>
    </row>
    <row r="22" customFormat="false" ht="15" hidden="false" customHeight="false" outlineLevel="0" collapsed="false">
      <c r="B22" s="15" t="s">
        <v>150</v>
      </c>
      <c r="C22" s="21" t="n">
        <v>3682.87</v>
      </c>
      <c r="D22" s="21" t="n">
        <v>3682.87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6281.12</v>
      </c>
      <c r="G24" s="21" t="n">
        <v>6281.12</v>
      </c>
    </row>
    <row r="25" customFormat="false" ht="15" hidden="false" customHeight="false" outlineLevel="0" collapsed="false">
      <c r="B25" s="15" t="s">
        <v>116</v>
      </c>
      <c r="C25" s="21" t="n">
        <v>12157.7</v>
      </c>
      <c r="G25" s="21" t="n">
        <v>12157.7</v>
      </c>
    </row>
    <row r="26" customFormat="false" ht="15" hidden="false" customHeight="false" outlineLevel="0" collapsed="false">
      <c r="B26" s="15" t="s">
        <v>117</v>
      </c>
      <c r="C26" s="21" t="n">
        <v>7610.53</v>
      </c>
      <c r="G26" s="21" t="n">
        <v>7610.53</v>
      </c>
    </row>
    <row r="27" customFormat="false" ht="15" hidden="false" customHeight="false" outlineLevel="0" collapsed="false">
      <c r="B27" s="15" t="s">
        <v>118</v>
      </c>
      <c r="C27" s="21" t="n">
        <v>8437.69</v>
      </c>
      <c r="G27" s="21" t="n">
        <v>8437.69</v>
      </c>
    </row>
    <row r="28" customFormat="false" ht="15" hidden="false" customHeight="false" outlineLevel="0" collapsed="false">
      <c r="B28" s="15" t="s">
        <v>119</v>
      </c>
      <c r="C28" s="21" t="n">
        <v>6775.13</v>
      </c>
      <c r="G28" s="21" t="n">
        <v>6775.13</v>
      </c>
    </row>
    <row r="29" customFormat="false" ht="15" hidden="false" customHeight="false" outlineLevel="0" collapsed="false">
      <c r="B29" s="15" t="s">
        <v>120</v>
      </c>
      <c r="C29" s="21" t="n">
        <v>378.96</v>
      </c>
      <c r="G29" s="21" t="n">
        <v>378.96</v>
      </c>
    </row>
    <row r="30" customFormat="false" ht="15" hidden="false" customHeight="false" outlineLevel="0" collapsed="false">
      <c r="B30" s="15" t="s">
        <v>121</v>
      </c>
      <c r="C30" s="21" t="n">
        <v>10712.7</v>
      </c>
      <c r="G30" s="21" t="n">
        <v>10712.7</v>
      </c>
    </row>
    <row r="31" customFormat="false" ht="15" hidden="false" customHeight="false" outlineLevel="0" collapsed="false">
      <c r="B31" s="15" t="s">
        <v>122</v>
      </c>
      <c r="C31" s="21" t="n">
        <v>5035.68</v>
      </c>
      <c r="G31" s="21" t="n">
        <v>5035.68</v>
      </c>
    </row>
    <row r="32" customFormat="false" ht="15" hidden="false" customHeight="false" outlineLevel="0" collapsed="false">
      <c r="B32" s="15" t="s">
        <v>123</v>
      </c>
      <c r="C32" s="21" t="n">
        <v>2117.51</v>
      </c>
      <c r="G32" s="21" t="n">
        <v>2117.51</v>
      </c>
    </row>
    <row r="33" customFormat="false" ht="15" hidden="false" customHeight="false" outlineLevel="0" collapsed="false">
      <c r="B33" s="15" t="s">
        <v>124</v>
      </c>
      <c r="C33" s="21" t="n">
        <v>3536.09</v>
      </c>
      <c r="G33" s="21" t="n">
        <v>3536.09</v>
      </c>
    </row>
    <row r="34" customFormat="false" ht="15" hidden="false" customHeight="false" outlineLevel="0" collapsed="false">
      <c r="B34" s="15" t="s">
        <v>125</v>
      </c>
      <c r="C34" s="21" t="n">
        <v>8613.79</v>
      </c>
      <c r="G34" s="21" t="n">
        <v>8613.79</v>
      </c>
    </row>
    <row r="35" customFormat="false" ht="15" hidden="false" customHeight="false" outlineLevel="0" collapsed="false">
      <c r="B35" s="15" t="s">
        <v>126</v>
      </c>
      <c r="C35" s="21" t="n">
        <v>3604.7</v>
      </c>
      <c r="G35" s="21" t="n">
        <v>3604.7</v>
      </c>
    </row>
    <row r="36" customFormat="false" ht="15" hidden="false" customHeight="false" outlineLevel="0" collapsed="false">
      <c r="B36" s="15" t="s">
        <v>127</v>
      </c>
      <c r="C36" s="21" t="n">
        <v>868.78</v>
      </c>
      <c r="G36" s="21" t="n">
        <v>868.78</v>
      </c>
    </row>
    <row r="37" customFormat="false" ht="15" hidden="false" customHeight="false" outlineLevel="0" collapsed="false">
      <c r="B37" s="15" t="s">
        <v>129</v>
      </c>
      <c r="C37" s="21" t="n">
        <v>10912.49</v>
      </c>
      <c r="G37" s="21" t="n">
        <v>10912.49</v>
      </c>
    </row>
    <row r="38" customFormat="false" ht="15" hidden="false" customHeight="false" outlineLevel="0" collapsed="false">
      <c r="B38" s="15" t="s">
        <v>130</v>
      </c>
      <c r="C38" s="21" t="n">
        <v>662.8</v>
      </c>
      <c r="G38" s="21" t="n">
        <v>662.8</v>
      </c>
    </row>
    <row r="39" customFormat="false" ht="15" hidden="false" customHeight="false" outlineLevel="0" collapsed="false">
      <c r="B39" s="15" t="s">
        <v>152</v>
      </c>
      <c r="C39" s="21" t="n">
        <v>811.57</v>
      </c>
      <c r="G39" s="21" t="n">
        <v>811.57</v>
      </c>
    </row>
    <row r="40" customFormat="false" ht="15" hidden="false" customHeight="false" outlineLevel="0" collapsed="false">
      <c r="A40" s="22"/>
      <c r="B40" s="23" t="s">
        <v>66</v>
      </c>
      <c r="C40" s="24" t="n">
        <f aca="false">SUM(C10:C39)</f>
        <v>115479.14</v>
      </c>
      <c r="D40" s="24" t="n">
        <f aca="false">SUM(D10:D39)</f>
        <v>26961.9</v>
      </c>
      <c r="E40" s="24" t="n">
        <f aca="false">SUM(E10:E39)</f>
        <v>0</v>
      </c>
      <c r="F40" s="24" t="n">
        <f aca="false">SUM(F10:F39)</f>
        <v>0</v>
      </c>
      <c r="G40" s="24" t="n">
        <f aca="false">SUM(G10:G39)</f>
        <v>88517.24</v>
      </c>
      <c r="H40" s="22"/>
    </row>
    <row r="42" customFormat="false" ht="15" hidden="false" customHeight="false" outlineLevel="0" collapsed="false">
      <c r="A42" s="19"/>
      <c r="B42" s="20" t="s">
        <v>67</v>
      </c>
      <c r="C42" s="20"/>
      <c r="D42" s="20"/>
      <c r="E42" s="20"/>
      <c r="F42" s="20"/>
      <c r="G42" s="20"/>
      <c r="H42" s="20"/>
      <c r="I42" s="20"/>
      <c r="J42" s="20"/>
    </row>
    <row r="43" customFormat="false" ht="15" hidden="false" customHeight="false" outlineLevel="0" collapsed="false">
      <c r="B43" s="15" t="s">
        <v>68</v>
      </c>
      <c r="C43" s="21" t="n">
        <v>91140.5</v>
      </c>
      <c r="D43" s="21" t="n">
        <v>21279.35</v>
      </c>
      <c r="G43" s="21" t="n">
        <v>69861.15</v>
      </c>
    </row>
    <row r="44" customFormat="false" ht="15" hidden="false" customHeight="false" outlineLevel="0" collapsed="false">
      <c r="B44" s="15" t="s">
        <v>69</v>
      </c>
      <c r="C44" s="21" t="n">
        <v>165.99</v>
      </c>
      <c r="D44" s="21" t="n">
        <v>38.76</v>
      </c>
      <c r="G44" s="21" t="n">
        <v>127.23</v>
      </c>
    </row>
    <row r="45" customFormat="false" ht="15" hidden="false" customHeight="false" outlineLevel="0" collapsed="false">
      <c r="B45" s="15" t="s">
        <v>70</v>
      </c>
      <c r="C45" s="21" t="n">
        <v>8598.15</v>
      </c>
      <c r="D45" s="21" t="n">
        <v>2007.48</v>
      </c>
      <c r="G45" s="21" t="n">
        <v>6590.67</v>
      </c>
    </row>
    <row r="46" customFormat="false" ht="15" hidden="false" customHeight="false" outlineLevel="0" collapsed="false">
      <c r="B46" s="15" t="s">
        <v>71</v>
      </c>
      <c r="C46" s="21" t="n">
        <v>15574.5</v>
      </c>
      <c r="D46" s="21" t="n">
        <v>3636.33</v>
      </c>
      <c r="G46" s="21" t="n">
        <v>11938.19</v>
      </c>
    </row>
    <row r="47" customFormat="false" ht="15" hidden="false" customHeight="false" outlineLevel="0" collapsed="false">
      <c r="A47" s="22"/>
      <c r="B47" s="23" t="s">
        <v>72</v>
      </c>
      <c r="C47" s="24" t="n">
        <f aca="false">SUM(C43:C46)</f>
        <v>115479.14</v>
      </c>
      <c r="D47" s="24" t="n">
        <f aca="false">SUM(D43:D46)</f>
        <v>26961.92</v>
      </c>
      <c r="E47" s="22"/>
      <c r="F47" s="24" t="n">
        <f aca="false">SUM(F43:F46)</f>
        <v>0</v>
      </c>
      <c r="G47" s="24" t="n">
        <f aca="false">SUM(G43:G46)</f>
        <v>88517.24</v>
      </c>
      <c r="H47" s="22"/>
    </row>
    <row r="49" customFormat="false" ht="15" hidden="false" customHeight="false" outlineLevel="0" collapsed="false">
      <c r="A49" s="25" t="s">
        <v>73</v>
      </c>
      <c r="B49" s="25"/>
      <c r="C49" s="25"/>
      <c r="D49" s="25"/>
      <c r="E49" s="25"/>
      <c r="F49" s="25"/>
      <c r="G49" s="25"/>
      <c r="H49" s="25"/>
      <c r="I49" s="25"/>
      <c r="J49" s="25"/>
    </row>
    <row r="50" customFormat="false" ht="15" hidden="false" customHeight="false" outlineLevel="0" collapsed="false">
      <c r="A50" s="26" t="s">
        <v>36</v>
      </c>
      <c r="B50" s="26"/>
      <c r="C50" s="26"/>
      <c r="D50" s="26"/>
      <c r="E50" s="26"/>
      <c r="F50" s="26"/>
      <c r="G50" s="26"/>
      <c r="H50" s="26"/>
      <c r="I50" s="26"/>
      <c r="J50" s="26"/>
    </row>
    <row r="51" customFormat="false" ht="15" hidden="false" customHeight="false" outlineLevel="0" collapsed="false">
      <c r="A51" s="27"/>
      <c r="B51" s="27" t="s">
        <v>74</v>
      </c>
      <c r="C51" s="28" t="s">
        <v>75</v>
      </c>
      <c r="D51" s="28" t="s">
        <v>76</v>
      </c>
      <c r="E51" s="28" t="s">
        <v>77</v>
      </c>
      <c r="F51" s="28" t="s">
        <v>78</v>
      </c>
      <c r="G51" s="28" t="s">
        <v>79</v>
      </c>
      <c r="H51" s="28" t="s">
        <v>80</v>
      </c>
      <c r="I51" s="28" t="s">
        <v>81</v>
      </c>
      <c r="J51" s="28" t="s">
        <v>82</v>
      </c>
    </row>
    <row r="52" customFormat="false" ht="15" hidden="false" customHeight="false" outlineLevel="0" collapsed="false">
      <c r="B52" s="29" t="s">
        <v>153</v>
      </c>
      <c r="C52" s="30" t="n">
        <v>91140.5</v>
      </c>
      <c r="D52" s="30" t="n">
        <v>0</v>
      </c>
      <c r="E52" s="30" t="n">
        <v>26651.36</v>
      </c>
      <c r="F52" s="30" t="n">
        <v>3314.2</v>
      </c>
      <c r="G52" s="30" t="n">
        <v>29965.56</v>
      </c>
      <c r="H52" s="30" t="n">
        <v>61174.94</v>
      </c>
      <c r="I52" s="31" t="s">
        <v>84</v>
      </c>
      <c r="J52" s="32" t="n">
        <v>27.5</v>
      </c>
    </row>
    <row r="53" customFormat="false" ht="15" hidden="false" customHeight="false" outlineLevel="0" collapsed="false">
      <c r="B53" s="7" t="s">
        <v>154</v>
      </c>
      <c r="C53" s="9" t="n">
        <v>165.99</v>
      </c>
      <c r="D53" s="9" t="n">
        <v>0</v>
      </c>
      <c r="E53" s="9" t="n">
        <v>48.07</v>
      </c>
      <c r="F53" s="9" t="n">
        <v>6.04</v>
      </c>
      <c r="G53" s="9" t="n">
        <v>54.11</v>
      </c>
      <c r="H53" s="9" t="n">
        <v>111.88</v>
      </c>
      <c r="I53" s="33" t="s">
        <v>84</v>
      </c>
      <c r="J53" s="34" t="n">
        <v>27.5</v>
      </c>
    </row>
    <row r="54" customFormat="false" ht="15" hidden="false" customHeight="false" outlineLevel="0" collapsed="false">
      <c r="B54" s="29" t="s">
        <v>155</v>
      </c>
      <c r="C54" s="30" t="n">
        <v>8598.15</v>
      </c>
      <c r="D54" s="30" t="n">
        <v>0</v>
      </c>
      <c r="E54" s="30" t="n">
        <v>5035.65</v>
      </c>
      <c r="F54" s="30" t="n">
        <v>507.3</v>
      </c>
      <c r="G54" s="30" t="n">
        <v>5542.95</v>
      </c>
      <c r="H54" s="30" t="n">
        <v>3055.2</v>
      </c>
      <c r="I54" s="31" t="s">
        <v>87</v>
      </c>
      <c r="J54" s="32" t="n">
        <v>15</v>
      </c>
    </row>
    <row r="55" customFormat="false" ht="15" hidden="false" customHeight="false" outlineLevel="0" collapsed="false">
      <c r="B55" s="7" t="s">
        <v>156</v>
      </c>
      <c r="C55" s="9" t="n">
        <v>15574.5</v>
      </c>
      <c r="D55" s="9" t="n">
        <v>0</v>
      </c>
      <c r="E55" s="9" t="n">
        <v>15055.35</v>
      </c>
      <c r="F55" s="9" t="n">
        <v>0</v>
      </c>
      <c r="G55" s="9" t="n">
        <v>15055.35</v>
      </c>
      <c r="H55" s="9" t="n">
        <v>519.15</v>
      </c>
      <c r="I55" s="33" t="s">
        <v>89</v>
      </c>
      <c r="J55" s="34" t="n">
        <v>5</v>
      </c>
    </row>
    <row r="56" customFormat="false" ht="15" hidden="false" customHeight="false" outlineLevel="0" collapsed="false">
      <c r="A56" s="35"/>
      <c r="B56" s="36" t="s">
        <v>34</v>
      </c>
      <c r="C56" s="37" t="n">
        <f aca="false">SUM(C52:C55)</f>
        <v>115479.14</v>
      </c>
      <c r="D56" s="37" t="n">
        <f aca="false">SUM(D52:D55)</f>
        <v>0</v>
      </c>
      <c r="E56" s="37" t="n">
        <f aca="false">SUM(E52:E55)</f>
        <v>46790.43</v>
      </c>
      <c r="F56" s="37" t="n">
        <f aca="false">SUM(F52:F55)</f>
        <v>3827.54</v>
      </c>
      <c r="G56" s="37" t="n">
        <f aca="false">SUM(G52:G55)</f>
        <v>50617.97</v>
      </c>
      <c r="H56" s="37" t="n">
        <f aca="false">SUM(H52:H55)</f>
        <v>64861.17</v>
      </c>
      <c r="I56" s="35"/>
      <c r="J56" s="35"/>
    </row>
    <row r="58" customFormat="false" ht="15" hidden="false" customHeight="false" outlineLevel="0" collapsed="false">
      <c r="A58" s="38" t="s">
        <v>90</v>
      </c>
      <c r="B58" s="38"/>
      <c r="C58" s="38"/>
      <c r="D58" s="38"/>
      <c r="E58" s="38"/>
      <c r="F58" s="38"/>
      <c r="G58" s="38"/>
      <c r="H58" s="38"/>
      <c r="I58" s="38"/>
      <c r="J58" s="38"/>
    </row>
    <row r="59" customFormat="false" ht="15" hidden="false" customHeight="false" outlineLevel="0" collapsed="false">
      <c r="A59" s="27"/>
      <c r="B59" s="27" t="s">
        <v>74</v>
      </c>
      <c r="C59" s="28" t="s">
        <v>75</v>
      </c>
      <c r="D59" s="28" t="s">
        <v>76</v>
      </c>
      <c r="E59" s="28" t="s">
        <v>77</v>
      </c>
      <c r="F59" s="28" t="s">
        <v>78</v>
      </c>
      <c r="G59" s="28" t="s">
        <v>79</v>
      </c>
      <c r="H59" s="28" t="s">
        <v>80</v>
      </c>
      <c r="I59" s="28" t="s">
        <v>81</v>
      </c>
      <c r="J59" s="28" t="s">
        <v>82</v>
      </c>
    </row>
    <row r="60" customFormat="false" ht="15" hidden="false" customHeight="false" outlineLevel="0" collapsed="false">
      <c r="B60" s="29" t="s">
        <v>157</v>
      </c>
      <c r="C60" s="30" t="n">
        <v>21279.35</v>
      </c>
      <c r="D60" s="30" t="n">
        <v>0</v>
      </c>
      <c r="E60" s="30" t="n">
        <v>21279.35</v>
      </c>
      <c r="F60" s="30" t="n">
        <v>0</v>
      </c>
      <c r="G60" s="30" t="n">
        <v>21279.35</v>
      </c>
      <c r="H60" s="30" t="n">
        <v>0</v>
      </c>
      <c r="I60" s="31" t="s">
        <v>89</v>
      </c>
      <c r="J60" s="32" t="n">
        <v>5</v>
      </c>
    </row>
    <row r="61" customFormat="false" ht="15" hidden="false" customHeight="false" outlineLevel="0" collapsed="false">
      <c r="B61" s="7" t="s">
        <v>158</v>
      </c>
      <c r="C61" s="9" t="n">
        <v>69861.15</v>
      </c>
      <c r="D61" s="9" t="n">
        <v>0</v>
      </c>
      <c r="E61" s="9" t="n">
        <v>20429.13</v>
      </c>
      <c r="F61" s="9" t="n">
        <v>2540.41</v>
      </c>
      <c r="G61" s="9" t="n">
        <v>22969.54</v>
      </c>
      <c r="H61" s="9" t="n">
        <v>46891.61</v>
      </c>
      <c r="I61" s="33" t="s">
        <v>84</v>
      </c>
      <c r="J61" s="34" t="n">
        <v>27.5</v>
      </c>
    </row>
    <row r="62" customFormat="false" ht="15" hidden="false" customHeight="false" outlineLevel="0" collapsed="false">
      <c r="B62" s="29" t="s">
        <v>159</v>
      </c>
      <c r="C62" s="30" t="n">
        <v>38.76</v>
      </c>
      <c r="D62" s="30" t="n">
        <v>0</v>
      </c>
      <c r="E62" s="30" t="n">
        <v>38.76</v>
      </c>
      <c r="F62" s="30" t="n">
        <v>0</v>
      </c>
      <c r="G62" s="30" t="n">
        <v>38.76</v>
      </c>
      <c r="H62" s="30" t="n">
        <v>0</v>
      </c>
      <c r="I62" s="31" t="s">
        <v>89</v>
      </c>
      <c r="J62" s="32" t="n">
        <v>5</v>
      </c>
    </row>
    <row r="63" customFormat="false" ht="15" hidden="false" customHeight="false" outlineLevel="0" collapsed="false">
      <c r="B63" s="7" t="s">
        <v>160</v>
      </c>
      <c r="C63" s="9" t="n">
        <v>127.23</v>
      </c>
      <c r="D63" s="9" t="n">
        <v>0</v>
      </c>
      <c r="E63" s="9" t="n">
        <v>36.84</v>
      </c>
      <c r="F63" s="9" t="n">
        <v>4.63</v>
      </c>
      <c r="G63" s="9" t="n">
        <v>41.47</v>
      </c>
      <c r="H63" s="9" t="n">
        <v>85.76</v>
      </c>
      <c r="I63" s="33" t="s">
        <v>84</v>
      </c>
      <c r="J63" s="34" t="n">
        <v>27.5</v>
      </c>
    </row>
    <row r="64" customFormat="false" ht="15" hidden="false" customHeight="false" outlineLevel="0" collapsed="false">
      <c r="B64" s="29" t="s">
        <v>161</v>
      </c>
      <c r="C64" s="30" t="n">
        <v>2007.48</v>
      </c>
      <c r="D64" s="30" t="n">
        <v>0</v>
      </c>
      <c r="E64" s="30" t="n">
        <v>2007.48</v>
      </c>
      <c r="F64" s="30" t="n">
        <v>0</v>
      </c>
      <c r="G64" s="30" t="n">
        <v>2007.48</v>
      </c>
      <c r="H64" s="30" t="n">
        <v>0</v>
      </c>
      <c r="I64" s="31" t="s">
        <v>89</v>
      </c>
      <c r="J64" s="32" t="n">
        <v>5</v>
      </c>
    </row>
    <row r="65" customFormat="false" ht="15" hidden="false" customHeight="false" outlineLevel="0" collapsed="false">
      <c r="B65" s="7" t="s">
        <v>162</v>
      </c>
      <c r="C65" s="9" t="n">
        <v>6590.67</v>
      </c>
      <c r="D65" s="9" t="n">
        <v>0</v>
      </c>
      <c r="E65" s="9" t="n">
        <v>1927.27</v>
      </c>
      <c r="F65" s="9" t="n">
        <v>239.66</v>
      </c>
      <c r="G65" s="9" t="n">
        <v>2166.93</v>
      </c>
      <c r="H65" s="9" t="n">
        <v>4423.74</v>
      </c>
      <c r="I65" s="33" t="s">
        <v>84</v>
      </c>
      <c r="J65" s="34" t="n">
        <v>27.5</v>
      </c>
    </row>
    <row r="66" customFormat="false" ht="15" hidden="false" customHeight="false" outlineLevel="0" collapsed="false">
      <c r="B66" s="29" t="s">
        <v>163</v>
      </c>
      <c r="C66" s="30" t="n">
        <v>3636.33</v>
      </c>
      <c r="D66" s="30" t="n">
        <v>0</v>
      </c>
      <c r="E66" s="30" t="n">
        <v>3636.33</v>
      </c>
      <c r="F66" s="30" t="n">
        <v>0</v>
      </c>
      <c r="G66" s="30" t="n">
        <v>3636.33</v>
      </c>
      <c r="H66" s="30" t="n">
        <v>0</v>
      </c>
      <c r="I66" s="31" t="s">
        <v>89</v>
      </c>
      <c r="J66" s="32" t="n">
        <v>5</v>
      </c>
    </row>
    <row r="67" customFormat="false" ht="15" hidden="false" customHeight="false" outlineLevel="0" collapsed="false">
      <c r="B67" s="7" t="s">
        <v>164</v>
      </c>
      <c r="C67" s="9" t="n">
        <v>11938.19</v>
      </c>
      <c r="D67" s="9" t="n">
        <v>0</v>
      </c>
      <c r="E67" s="9" t="n">
        <v>3491.05</v>
      </c>
      <c r="F67" s="9" t="n">
        <v>434.12</v>
      </c>
      <c r="G67" s="9" t="n">
        <v>3925.17</v>
      </c>
      <c r="H67" s="9" t="n">
        <v>8013.02</v>
      </c>
      <c r="I67" s="33" t="s">
        <v>84</v>
      </c>
      <c r="J67" s="34" t="n">
        <v>27.5</v>
      </c>
    </row>
    <row r="68" customFormat="false" ht="15" hidden="false" customHeight="false" outlineLevel="0" collapsed="false">
      <c r="A68" s="35"/>
      <c r="B68" s="36" t="s">
        <v>34</v>
      </c>
      <c r="C68" s="37" t="n">
        <f aca="false">SUM(C60:C67)</f>
        <v>115479.16</v>
      </c>
      <c r="D68" s="37" t="n">
        <f aca="false">SUM(D60:D67)</f>
        <v>0</v>
      </c>
      <c r="E68" s="37" t="n">
        <f aca="false">SUM(E60:E67)</f>
        <v>52846.21</v>
      </c>
      <c r="F68" s="37" t="n">
        <f aca="false">SUM(F60:F67)</f>
        <v>3218.82</v>
      </c>
      <c r="G68" s="37" t="n">
        <f aca="false">SUM(G60:G67)</f>
        <v>56065.03</v>
      </c>
      <c r="H68" s="37" t="n">
        <f aca="false">SUM(H60:H67)</f>
        <v>59414.13</v>
      </c>
      <c r="I68" s="35"/>
      <c r="J68" s="35"/>
    </row>
    <row r="70" customFormat="false" ht="15" hidden="false" customHeight="false" outlineLevel="0" collapsed="false">
      <c r="A70" s="25" t="s">
        <v>38</v>
      </c>
      <c r="B70" s="25"/>
      <c r="C70" s="25"/>
      <c r="D70" s="25"/>
      <c r="E70" s="25"/>
    </row>
    <row r="71" customFormat="false" ht="15" hidden="false" customHeight="false" outlineLevel="0" collapsed="false">
      <c r="B71" s="7" t="s">
        <v>99</v>
      </c>
      <c r="C71" s="39" t="n">
        <f aca="false">G56</f>
        <v>50617.97</v>
      </c>
    </row>
    <row r="72" customFormat="false" ht="15" hidden="false" customHeight="false" outlineLevel="0" collapsed="false">
      <c r="B72" s="7" t="s">
        <v>100</v>
      </c>
      <c r="C72" s="39" t="n">
        <f aca="false">G68</f>
        <v>56065.03</v>
      </c>
    </row>
    <row r="73" customFormat="false" ht="15" hidden="false" customHeight="false" outlineLevel="0" collapsed="false">
      <c r="B73" s="10" t="s">
        <v>38</v>
      </c>
      <c r="C73" s="40" t="n">
        <f aca="false">C72-C71</f>
        <v>5447.06</v>
      </c>
    </row>
  </sheetData>
  <mergeCells count="11">
    <mergeCell ref="A2:J2"/>
    <mergeCell ref="A3:J3"/>
    <mergeCell ref="A4:J4"/>
    <mergeCell ref="A8:J8"/>
    <mergeCell ref="B10:J10"/>
    <mergeCell ref="B23:J23"/>
    <mergeCell ref="B42:J42"/>
    <mergeCell ref="A49:J49"/>
    <mergeCell ref="A50:J50"/>
    <mergeCell ref="A58:J58"/>
    <mergeCell ref="A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199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200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7759.94</v>
      </c>
      <c r="D11" s="21" t="n">
        <v>7759.94</v>
      </c>
    </row>
    <row r="12" customFormat="false" ht="15" hidden="false" customHeight="false" outlineLevel="0" collapsed="false">
      <c r="B12" s="15" t="s">
        <v>105</v>
      </c>
      <c r="C12" s="21" t="n">
        <v>4601.14</v>
      </c>
      <c r="D12" s="21" t="n">
        <v>4601.14</v>
      </c>
    </row>
    <row r="13" customFormat="false" ht="15" hidden="false" customHeight="false" outlineLevel="0" collapsed="false">
      <c r="B13" s="15" t="s">
        <v>106</v>
      </c>
      <c r="C13" s="21" t="n">
        <v>18695.69</v>
      </c>
      <c r="D13" s="21" t="n">
        <v>18695.69</v>
      </c>
    </row>
    <row r="14" customFormat="false" ht="15" hidden="false" customHeight="false" outlineLevel="0" collapsed="false">
      <c r="B14" s="15" t="s">
        <v>108</v>
      </c>
      <c r="C14" s="21" t="n">
        <v>2235.2</v>
      </c>
      <c r="D14" s="21" t="n">
        <v>2235.2</v>
      </c>
    </row>
    <row r="15" customFormat="false" ht="15" hidden="false" customHeight="false" outlineLevel="0" collapsed="false">
      <c r="B15" s="15" t="s">
        <v>146</v>
      </c>
      <c r="C15" s="21" t="n">
        <v>274.94</v>
      </c>
      <c r="D15" s="21" t="n">
        <v>274.94</v>
      </c>
    </row>
    <row r="16" customFormat="false" ht="15" hidden="false" customHeight="false" outlineLevel="0" collapsed="false">
      <c r="B16" s="15" t="s">
        <v>147</v>
      </c>
      <c r="C16" s="21" t="n">
        <v>120.68</v>
      </c>
      <c r="D16" s="21" t="n">
        <v>120.68</v>
      </c>
    </row>
    <row r="17" customFormat="false" ht="15" hidden="false" customHeight="false" outlineLevel="0" collapsed="false">
      <c r="B17" s="15" t="s">
        <v>109</v>
      </c>
      <c r="C17" s="21" t="n">
        <v>4471.44</v>
      </c>
      <c r="D17" s="21" t="n">
        <v>4471.44</v>
      </c>
    </row>
    <row r="18" customFormat="false" ht="15" hidden="false" customHeight="false" outlineLevel="0" collapsed="false">
      <c r="B18" s="15" t="s">
        <v>110</v>
      </c>
      <c r="C18" s="21" t="n">
        <v>1633.14</v>
      </c>
      <c r="D18" s="21" t="n">
        <v>1633.14</v>
      </c>
    </row>
    <row r="19" customFormat="false" ht="15" hidden="false" customHeight="false" outlineLevel="0" collapsed="false">
      <c r="B19" s="15" t="s">
        <v>148</v>
      </c>
      <c r="C19" s="21" t="n">
        <v>5141.11</v>
      </c>
      <c r="D19" s="21" t="n">
        <v>5141.11</v>
      </c>
    </row>
    <row r="20" customFormat="false" ht="15" hidden="false" customHeight="false" outlineLevel="0" collapsed="false">
      <c r="B20" s="15" t="s">
        <v>112</v>
      </c>
      <c r="C20" s="21" t="n">
        <v>1534.74</v>
      </c>
      <c r="D20" s="21" t="n">
        <v>1534.74</v>
      </c>
    </row>
    <row r="21" customFormat="false" ht="15" hidden="false" customHeight="false" outlineLevel="0" collapsed="false">
      <c r="B21" s="15" t="s">
        <v>149</v>
      </c>
      <c r="C21" s="21" t="n">
        <v>64.8</v>
      </c>
      <c r="D21" s="21" t="n">
        <v>64.8</v>
      </c>
    </row>
    <row r="22" customFormat="false" ht="15" hidden="false" customHeight="false" outlineLevel="0" collapsed="false">
      <c r="B22" s="15" t="s">
        <v>150</v>
      </c>
      <c r="C22" s="21" t="n">
        <v>5524.32</v>
      </c>
      <c r="D22" s="21" t="n">
        <v>5524.32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10400.92</v>
      </c>
      <c r="G24" s="21" t="n">
        <v>10400.92</v>
      </c>
    </row>
    <row r="25" customFormat="false" ht="15" hidden="false" customHeight="false" outlineLevel="0" collapsed="false">
      <c r="B25" s="15" t="s">
        <v>116</v>
      </c>
      <c r="C25" s="21" t="n">
        <v>19732.45</v>
      </c>
      <c r="G25" s="21" t="n">
        <v>19732.45</v>
      </c>
    </row>
    <row r="26" customFormat="false" ht="15" hidden="false" customHeight="false" outlineLevel="0" collapsed="false">
      <c r="B26" s="15" t="s">
        <v>117</v>
      </c>
      <c r="C26" s="21" t="n">
        <v>18076.85</v>
      </c>
      <c r="G26" s="21" t="n">
        <v>18076.85</v>
      </c>
    </row>
    <row r="27" customFormat="false" ht="15" hidden="false" customHeight="false" outlineLevel="0" collapsed="false">
      <c r="B27" s="15" t="s">
        <v>118</v>
      </c>
      <c r="C27" s="21" t="n">
        <v>19867.9</v>
      </c>
      <c r="G27" s="21" t="n">
        <v>19867.9</v>
      </c>
    </row>
    <row r="28" customFormat="false" ht="15" hidden="false" customHeight="false" outlineLevel="0" collapsed="false">
      <c r="B28" s="15" t="s">
        <v>119</v>
      </c>
      <c r="C28" s="21" t="n">
        <v>15953.11</v>
      </c>
      <c r="G28" s="21" t="n">
        <v>15953.11</v>
      </c>
    </row>
    <row r="29" customFormat="false" ht="15" hidden="false" customHeight="false" outlineLevel="0" collapsed="false">
      <c r="B29" s="15" t="s">
        <v>120</v>
      </c>
      <c r="C29" s="21" t="n">
        <v>1077</v>
      </c>
      <c r="G29" s="21" t="n">
        <v>1077</v>
      </c>
    </row>
    <row r="30" customFormat="false" ht="15" hidden="false" customHeight="false" outlineLevel="0" collapsed="false">
      <c r="B30" s="15" t="s">
        <v>121</v>
      </c>
      <c r="C30" s="21" t="n">
        <v>24515.03</v>
      </c>
      <c r="G30" s="21" t="n">
        <v>24515.03</v>
      </c>
    </row>
    <row r="31" customFormat="false" ht="15" hidden="false" customHeight="false" outlineLevel="0" collapsed="false">
      <c r="B31" s="15" t="s">
        <v>122</v>
      </c>
      <c r="C31" s="21" t="n">
        <v>18444.72</v>
      </c>
      <c r="G31" s="21" t="n">
        <v>18444.72</v>
      </c>
    </row>
    <row r="32" customFormat="false" ht="15" hidden="false" customHeight="false" outlineLevel="0" collapsed="false">
      <c r="B32" s="15" t="s">
        <v>123</v>
      </c>
      <c r="C32" s="21" t="n">
        <v>11037.53</v>
      </c>
      <c r="G32" s="21" t="n">
        <v>11037.53</v>
      </c>
    </row>
    <row r="33" customFormat="false" ht="15" hidden="false" customHeight="false" outlineLevel="0" collapsed="false">
      <c r="B33" s="15" t="s">
        <v>124</v>
      </c>
      <c r="C33" s="21" t="n">
        <v>8326.32</v>
      </c>
      <c r="G33" s="21" t="n">
        <v>8326.32</v>
      </c>
    </row>
    <row r="34" customFormat="false" ht="15" hidden="false" customHeight="false" outlineLevel="0" collapsed="false">
      <c r="B34" s="15" t="s">
        <v>125</v>
      </c>
      <c r="C34" s="21" t="n">
        <v>20278.2</v>
      </c>
      <c r="G34" s="21" t="n">
        <v>20278.2</v>
      </c>
    </row>
    <row r="35" customFormat="false" ht="15" hidden="false" customHeight="false" outlineLevel="0" collapsed="false">
      <c r="B35" s="15" t="s">
        <v>126</v>
      </c>
      <c r="C35" s="21" t="n">
        <v>8613.97</v>
      </c>
      <c r="G35" s="21" t="n">
        <v>8613.97</v>
      </c>
    </row>
    <row r="36" customFormat="false" ht="15" hidden="false" customHeight="false" outlineLevel="0" collapsed="false">
      <c r="B36" s="15" t="s">
        <v>127</v>
      </c>
      <c r="C36" s="21" t="n">
        <v>1343.51</v>
      </c>
      <c r="G36" s="21" t="n">
        <v>1343.51</v>
      </c>
    </row>
    <row r="37" customFormat="false" ht="15" hidden="false" customHeight="false" outlineLevel="0" collapsed="false">
      <c r="B37" s="15" t="s">
        <v>129</v>
      </c>
      <c r="C37" s="21" t="n">
        <v>27755.5</v>
      </c>
      <c r="G37" s="21" t="n">
        <v>27755.5</v>
      </c>
    </row>
    <row r="38" customFormat="false" ht="15" hidden="false" customHeight="false" outlineLevel="0" collapsed="false">
      <c r="B38" s="15" t="s">
        <v>151</v>
      </c>
      <c r="C38" s="21" t="n">
        <v>6811.28</v>
      </c>
      <c r="G38" s="21" t="n">
        <v>6811.28</v>
      </c>
    </row>
    <row r="39" customFormat="false" ht="15" hidden="false" customHeight="false" outlineLevel="0" collapsed="false">
      <c r="B39" s="15" t="s">
        <v>130</v>
      </c>
      <c r="C39" s="21" t="n">
        <v>1999.53</v>
      </c>
      <c r="G39" s="21" t="n">
        <v>1999.53</v>
      </c>
    </row>
    <row r="40" customFormat="false" ht="15" hidden="false" customHeight="false" outlineLevel="0" collapsed="false">
      <c r="B40" s="15" t="s">
        <v>152</v>
      </c>
      <c r="C40" s="21" t="n">
        <v>2564.71</v>
      </c>
      <c r="G40" s="21" t="n">
        <v>2564.71</v>
      </c>
    </row>
    <row r="41" customFormat="false" ht="15" hidden="false" customHeight="false" outlineLevel="0" collapsed="false">
      <c r="A41" s="22"/>
      <c r="B41" s="23" t="s">
        <v>66</v>
      </c>
      <c r="C41" s="24" t="n">
        <f aca="false">SUM(C10:C40)</f>
        <v>268855.67</v>
      </c>
      <c r="D41" s="24" t="n">
        <f aca="false">SUM(D10:D40)</f>
        <v>52057.14</v>
      </c>
      <c r="E41" s="24" t="n">
        <f aca="false">SUM(E10:E40)</f>
        <v>0</v>
      </c>
      <c r="F41" s="24" t="n">
        <f aca="false">SUM(F10:F40)</f>
        <v>0</v>
      </c>
      <c r="G41" s="24" t="n">
        <f aca="false">SUM(G10:G40)</f>
        <v>216798.53</v>
      </c>
      <c r="H41" s="22"/>
    </row>
    <row r="43" customFormat="false" ht="15" hidden="false" customHeight="false" outlineLevel="0" collapsed="false">
      <c r="A43" s="19"/>
      <c r="B43" s="20" t="s">
        <v>67</v>
      </c>
      <c r="C43" s="20"/>
      <c r="D43" s="20"/>
      <c r="E43" s="20"/>
      <c r="F43" s="20"/>
      <c r="G43" s="20"/>
      <c r="H43" s="20"/>
      <c r="I43" s="20"/>
      <c r="J43" s="20"/>
    </row>
    <row r="44" customFormat="false" ht="15" hidden="false" customHeight="false" outlineLevel="0" collapsed="false">
      <c r="B44" s="15" t="s">
        <v>68</v>
      </c>
      <c r="C44" s="21" t="n">
        <v>212191.05</v>
      </c>
      <c r="D44" s="21" t="n">
        <v>41085.46</v>
      </c>
      <c r="G44" s="21" t="n">
        <v>171105.59</v>
      </c>
    </row>
    <row r="45" customFormat="false" ht="15" hidden="false" customHeight="false" outlineLevel="0" collapsed="false">
      <c r="B45" s="15" t="s">
        <v>69</v>
      </c>
      <c r="C45" s="21" t="n">
        <v>386.45</v>
      </c>
      <c r="D45" s="21" t="n">
        <v>74.83</v>
      </c>
      <c r="G45" s="21" t="n">
        <v>311.62</v>
      </c>
    </row>
    <row r="46" customFormat="false" ht="15" hidden="false" customHeight="false" outlineLevel="0" collapsed="false">
      <c r="B46" s="15" t="s">
        <v>70</v>
      </c>
      <c r="C46" s="21" t="n">
        <v>20018</v>
      </c>
      <c r="D46" s="21" t="n">
        <v>3875.98</v>
      </c>
      <c r="G46" s="21" t="n">
        <v>16142.02</v>
      </c>
    </row>
    <row r="47" customFormat="false" ht="15" hidden="false" customHeight="false" outlineLevel="0" collapsed="false">
      <c r="B47" s="15" t="s">
        <v>71</v>
      </c>
      <c r="C47" s="21" t="n">
        <v>36260.17</v>
      </c>
      <c r="D47" s="21" t="n">
        <v>7020.87</v>
      </c>
      <c r="G47" s="21" t="n">
        <v>29239.3</v>
      </c>
    </row>
    <row r="48" customFormat="false" ht="15" hidden="false" customHeight="false" outlineLevel="0" collapsed="false">
      <c r="A48" s="22"/>
      <c r="B48" s="23" t="s">
        <v>72</v>
      </c>
      <c r="C48" s="24" t="n">
        <f aca="false">SUM(C44:C47)</f>
        <v>268855.67</v>
      </c>
      <c r="D48" s="24" t="n">
        <f aca="false">SUM(D44:D47)</f>
        <v>52057.14</v>
      </c>
      <c r="E48" s="22"/>
      <c r="F48" s="24" t="n">
        <f aca="false">SUM(F44:F47)</f>
        <v>0</v>
      </c>
      <c r="G48" s="24" t="n">
        <f aca="false">SUM(G44:G47)</f>
        <v>216798.53</v>
      </c>
      <c r="H48" s="22"/>
    </row>
    <row r="50" customFormat="false" ht="15" hidden="false" customHeight="false" outlineLevel="0" collapsed="false">
      <c r="A50" s="25" t="s">
        <v>73</v>
      </c>
      <c r="B50" s="25"/>
      <c r="C50" s="25"/>
      <c r="D50" s="25"/>
      <c r="E50" s="25"/>
      <c r="F50" s="25"/>
      <c r="G50" s="25"/>
      <c r="H50" s="25"/>
      <c r="I50" s="25"/>
      <c r="J50" s="25"/>
    </row>
    <row r="51" customFormat="false" ht="15" hidden="false" customHeight="false" outlineLevel="0" collapsed="false">
      <c r="A51" s="26" t="s">
        <v>36</v>
      </c>
      <c r="B51" s="26"/>
      <c r="C51" s="26"/>
      <c r="D51" s="26"/>
      <c r="E51" s="26"/>
      <c r="F51" s="26"/>
      <c r="G51" s="26"/>
      <c r="H51" s="26"/>
      <c r="I51" s="26"/>
      <c r="J51" s="26"/>
    </row>
    <row r="52" customFormat="false" ht="15" hidden="false" customHeight="false" outlineLevel="0" collapsed="false">
      <c r="A52" s="27"/>
      <c r="B52" s="27" t="s">
        <v>74</v>
      </c>
      <c r="C52" s="28" t="s">
        <v>75</v>
      </c>
      <c r="D52" s="28" t="s">
        <v>76</v>
      </c>
      <c r="E52" s="28" t="s">
        <v>77</v>
      </c>
      <c r="F52" s="28" t="s">
        <v>78</v>
      </c>
      <c r="G52" s="28" t="s">
        <v>79</v>
      </c>
      <c r="H52" s="28" t="s">
        <v>80</v>
      </c>
      <c r="I52" s="28" t="s">
        <v>81</v>
      </c>
      <c r="J52" s="28" t="s">
        <v>82</v>
      </c>
    </row>
    <row r="53" customFormat="false" ht="15" hidden="false" customHeight="false" outlineLevel="0" collapsed="false">
      <c r="B53" s="29" t="s">
        <v>153</v>
      </c>
      <c r="C53" s="30" t="n">
        <v>212191.05</v>
      </c>
      <c r="D53" s="30" t="n">
        <v>0</v>
      </c>
      <c r="E53" s="30" t="n">
        <v>62049.02</v>
      </c>
      <c r="F53" s="30" t="n">
        <v>7716.04</v>
      </c>
      <c r="G53" s="30" t="n">
        <v>69765.06</v>
      </c>
      <c r="H53" s="30" t="n">
        <v>142425.99</v>
      </c>
      <c r="I53" s="31" t="s">
        <v>84</v>
      </c>
      <c r="J53" s="32" t="n">
        <v>27.5</v>
      </c>
    </row>
    <row r="54" customFormat="false" ht="15" hidden="false" customHeight="false" outlineLevel="0" collapsed="false">
      <c r="B54" s="7" t="s">
        <v>154</v>
      </c>
      <c r="C54" s="9" t="n">
        <v>386.45</v>
      </c>
      <c r="D54" s="9" t="n">
        <v>0</v>
      </c>
      <c r="E54" s="9" t="n">
        <v>111.91</v>
      </c>
      <c r="F54" s="9" t="n">
        <v>14.06</v>
      </c>
      <c r="G54" s="9" t="n">
        <v>125.97</v>
      </c>
      <c r="H54" s="9" t="n">
        <v>260.48</v>
      </c>
      <c r="I54" s="33" t="s">
        <v>84</v>
      </c>
      <c r="J54" s="34" t="n">
        <v>27.5</v>
      </c>
    </row>
    <row r="55" customFormat="false" ht="15" hidden="false" customHeight="false" outlineLevel="0" collapsed="false">
      <c r="B55" s="29" t="s">
        <v>155</v>
      </c>
      <c r="C55" s="30" t="n">
        <v>20018</v>
      </c>
      <c r="D55" s="30" t="n">
        <v>0</v>
      </c>
      <c r="E55" s="30" t="n">
        <v>11723.87</v>
      </c>
      <c r="F55" s="30" t="n">
        <v>1181.07</v>
      </c>
      <c r="G55" s="30" t="n">
        <v>12904.94</v>
      </c>
      <c r="H55" s="30" t="n">
        <v>7113.06</v>
      </c>
      <c r="I55" s="31" t="s">
        <v>87</v>
      </c>
      <c r="J55" s="32" t="n">
        <v>15</v>
      </c>
    </row>
    <row r="56" customFormat="false" ht="15" hidden="false" customHeight="false" outlineLevel="0" collapsed="false">
      <c r="B56" s="7" t="s">
        <v>156</v>
      </c>
      <c r="C56" s="9" t="n">
        <v>36260.17</v>
      </c>
      <c r="D56" s="9" t="n">
        <v>0</v>
      </c>
      <c r="E56" s="9" t="n">
        <v>35051.5</v>
      </c>
      <c r="F56" s="9" t="n">
        <v>0</v>
      </c>
      <c r="G56" s="9" t="n">
        <v>35051.5</v>
      </c>
      <c r="H56" s="9" t="n">
        <v>1208.67</v>
      </c>
      <c r="I56" s="33" t="s">
        <v>89</v>
      </c>
      <c r="J56" s="34" t="n">
        <v>5</v>
      </c>
    </row>
    <row r="57" customFormat="false" ht="15" hidden="false" customHeight="false" outlineLevel="0" collapsed="false">
      <c r="A57" s="35"/>
      <c r="B57" s="36" t="s">
        <v>34</v>
      </c>
      <c r="C57" s="37" t="n">
        <f aca="false">SUM(C53:C56)</f>
        <v>268855.67</v>
      </c>
      <c r="D57" s="37" t="n">
        <f aca="false">SUM(D53:D56)</f>
        <v>0</v>
      </c>
      <c r="E57" s="37" t="n">
        <f aca="false">SUM(E53:E56)</f>
        <v>108936.3</v>
      </c>
      <c r="F57" s="37" t="n">
        <f aca="false">SUM(F53:F56)</f>
        <v>8911.17</v>
      </c>
      <c r="G57" s="37" t="n">
        <f aca="false">SUM(G53:G56)</f>
        <v>117847.47</v>
      </c>
      <c r="H57" s="37" t="n">
        <f aca="false">SUM(H53:H56)</f>
        <v>151008.2</v>
      </c>
      <c r="I57" s="35"/>
      <c r="J57" s="35"/>
    </row>
    <row r="59" customFormat="false" ht="15" hidden="false" customHeight="false" outlineLevel="0" collapsed="false">
      <c r="A59" s="38" t="s">
        <v>90</v>
      </c>
      <c r="B59" s="38"/>
      <c r="C59" s="38"/>
      <c r="D59" s="38"/>
      <c r="E59" s="38"/>
      <c r="F59" s="38"/>
      <c r="G59" s="38"/>
      <c r="H59" s="38"/>
      <c r="I59" s="38"/>
      <c r="J59" s="38"/>
    </row>
    <row r="60" customFormat="false" ht="15" hidden="false" customHeight="false" outlineLevel="0" collapsed="false">
      <c r="A60" s="27"/>
      <c r="B60" s="27" t="s">
        <v>74</v>
      </c>
      <c r="C60" s="28" t="s">
        <v>75</v>
      </c>
      <c r="D60" s="28" t="s">
        <v>76</v>
      </c>
      <c r="E60" s="28" t="s">
        <v>77</v>
      </c>
      <c r="F60" s="28" t="s">
        <v>78</v>
      </c>
      <c r="G60" s="28" t="s">
        <v>79</v>
      </c>
      <c r="H60" s="28" t="s">
        <v>80</v>
      </c>
      <c r="I60" s="28" t="s">
        <v>81</v>
      </c>
      <c r="J60" s="28" t="s">
        <v>82</v>
      </c>
    </row>
    <row r="61" customFormat="false" ht="15" hidden="false" customHeight="false" outlineLevel="0" collapsed="false">
      <c r="B61" s="29" t="s">
        <v>157</v>
      </c>
      <c r="C61" s="30" t="n">
        <v>41085.46</v>
      </c>
      <c r="D61" s="30" t="n">
        <v>0</v>
      </c>
      <c r="E61" s="30" t="n">
        <v>41085.46</v>
      </c>
      <c r="F61" s="30" t="n">
        <v>0</v>
      </c>
      <c r="G61" s="30" t="n">
        <v>41085.46</v>
      </c>
      <c r="H61" s="30" t="n">
        <v>0</v>
      </c>
      <c r="I61" s="31" t="s">
        <v>89</v>
      </c>
      <c r="J61" s="32" t="n">
        <v>5</v>
      </c>
    </row>
    <row r="62" customFormat="false" ht="15" hidden="false" customHeight="false" outlineLevel="0" collapsed="false">
      <c r="B62" s="7" t="s">
        <v>158</v>
      </c>
      <c r="C62" s="9" t="n">
        <v>171105.59</v>
      </c>
      <c r="D62" s="9" t="n">
        <v>0</v>
      </c>
      <c r="E62" s="9" t="n">
        <v>50035.41</v>
      </c>
      <c r="F62" s="9" t="n">
        <v>6222.02</v>
      </c>
      <c r="G62" s="9" t="n">
        <v>56257.43</v>
      </c>
      <c r="H62" s="9" t="n">
        <v>114848.16</v>
      </c>
      <c r="I62" s="33" t="s">
        <v>84</v>
      </c>
      <c r="J62" s="34" t="n">
        <v>27.5</v>
      </c>
    </row>
    <row r="63" customFormat="false" ht="15" hidden="false" customHeight="false" outlineLevel="0" collapsed="false">
      <c r="B63" s="29" t="s">
        <v>159</v>
      </c>
      <c r="C63" s="30" t="n">
        <v>74.83</v>
      </c>
      <c r="D63" s="30" t="n">
        <v>0</v>
      </c>
      <c r="E63" s="30" t="n">
        <v>74.83</v>
      </c>
      <c r="F63" s="30" t="n">
        <v>0</v>
      </c>
      <c r="G63" s="30" t="n">
        <v>74.83</v>
      </c>
      <c r="H63" s="30" t="n">
        <v>0</v>
      </c>
      <c r="I63" s="31" t="s">
        <v>89</v>
      </c>
      <c r="J63" s="32" t="n">
        <v>5</v>
      </c>
    </row>
    <row r="64" customFormat="false" ht="15" hidden="false" customHeight="false" outlineLevel="0" collapsed="false">
      <c r="B64" s="7" t="s">
        <v>160</v>
      </c>
      <c r="C64" s="9" t="n">
        <v>311.62</v>
      </c>
      <c r="D64" s="9" t="n">
        <v>0</v>
      </c>
      <c r="E64" s="9" t="n">
        <v>90.17</v>
      </c>
      <c r="F64" s="9" t="n">
        <v>11.33</v>
      </c>
      <c r="G64" s="9" t="n">
        <v>101.5</v>
      </c>
      <c r="H64" s="9" t="n">
        <v>210.12</v>
      </c>
      <c r="I64" s="33" t="s">
        <v>84</v>
      </c>
      <c r="J64" s="34" t="n">
        <v>27.5</v>
      </c>
    </row>
    <row r="65" customFormat="false" ht="15" hidden="false" customHeight="false" outlineLevel="0" collapsed="false">
      <c r="B65" s="29" t="s">
        <v>161</v>
      </c>
      <c r="C65" s="30" t="n">
        <v>3875.98</v>
      </c>
      <c r="D65" s="30" t="n">
        <v>0</v>
      </c>
      <c r="E65" s="30" t="n">
        <v>3875.98</v>
      </c>
      <c r="F65" s="30" t="n">
        <v>0</v>
      </c>
      <c r="G65" s="30" t="n">
        <v>3875.98</v>
      </c>
      <c r="H65" s="30" t="n">
        <v>0</v>
      </c>
      <c r="I65" s="31" t="s">
        <v>89</v>
      </c>
      <c r="J65" s="32" t="n">
        <v>5</v>
      </c>
    </row>
    <row r="66" customFormat="false" ht="15" hidden="false" customHeight="false" outlineLevel="0" collapsed="false">
      <c r="B66" s="7" t="s">
        <v>162</v>
      </c>
      <c r="C66" s="9" t="n">
        <v>16142.02</v>
      </c>
      <c r="D66" s="9" t="n">
        <v>0</v>
      </c>
      <c r="E66" s="9" t="n">
        <v>4720.3</v>
      </c>
      <c r="F66" s="9" t="n">
        <v>586.98</v>
      </c>
      <c r="G66" s="9" t="n">
        <v>5307.28</v>
      </c>
      <c r="H66" s="9" t="n">
        <v>10834.74</v>
      </c>
      <c r="I66" s="33" t="s">
        <v>84</v>
      </c>
      <c r="J66" s="34" t="n">
        <v>27.5</v>
      </c>
    </row>
    <row r="67" customFormat="false" ht="15" hidden="false" customHeight="false" outlineLevel="0" collapsed="false">
      <c r="B67" s="29" t="s">
        <v>163</v>
      </c>
      <c r="C67" s="30" t="n">
        <v>7020.87</v>
      </c>
      <c r="D67" s="30" t="n">
        <v>0</v>
      </c>
      <c r="E67" s="30" t="n">
        <v>7020.87</v>
      </c>
      <c r="F67" s="30" t="n">
        <v>0</v>
      </c>
      <c r="G67" s="30" t="n">
        <v>7020.87</v>
      </c>
      <c r="H67" s="30" t="n">
        <v>0</v>
      </c>
      <c r="I67" s="31" t="s">
        <v>89</v>
      </c>
      <c r="J67" s="32" t="n">
        <v>5</v>
      </c>
    </row>
    <row r="68" customFormat="false" ht="15" hidden="false" customHeight="false" outlineLevel="0" collapsed="false">
      <c r="B68" s="7" t="s">
        <v>164</v>
      </c>
      <c r="C68" s="9" t="n">
        <v>29239.3</v>
      </c>
      <c r="D68" s="9" t="n">
        <v>0</v>
      </c>
      <c r="E68" s="9" t="n">
        <v>8550.3</v>
      </c>
      <c r="F68" s="9" t="n">
        <v>1063.25</v>
      </c>
      <c r="G68" s="9" t="n">
        <v>9613.55</v>
      </c>
      <c r="H68" s="9" t="n">
        <v>19625.75</v>
      </c>
      <c r="I68" s="33" t="s">
        <v>84</v>
      </c>
      <c r="J68" s="34" t="n">
        <v>27.5</v>
      </c>
    </row>
    <row r="69" customFormat="false" ht="15" hidden="false" customHeight="false" outlineLevel="0" collapsed="false">
      <c r="A69" s="35"/>
      <c r="B69" s="36" t="s">
        <v>34</v>
      </c>
      <c r="C69" s="37" t="n">
        <f aca="false">SUM(C61:C68)</f>
        <v>268855.67</v>
      </c>
      <c r="D69" s="37" t="n">
        <f aca="false">SUM(D61:D68)</f>
        <v>0</v>
      </c>
      <c r="E69" s="37" t="n">
        <f aca="false">SUM(E61:E68)</f>
        <v>115453.32</v>
      </c>
      <c r="F69" s="37" t="n">
        <f aca="false">SUM(F61:F68)</f>
        <v>7883.58</v>
      </c>
      <c r="G69" s="37" t="n">
        <f aca="false">SUM(G61:G68)</f>
        <v>123336.9</v>
      </c>
      <c r="H69" s="37" t="n">
        <f aca="false">SUM(H61:H68)</f>
        <v>145518.77</v>
      </c>
      <c r="I69" s="35"/>
      <c r="J69" s="35"/>
    </row>
    <row r="71" customFormat="false" ht="15" hidden="false" customHeight="false" outlineLevel="0" collapsed="false">
      <c r="A71" s="25" t="s">
        <v>38</v>
      </c>
      <c r="B71" s="25"/>
      <c r="C71" s="25"/>
      <c r="D71" s="25"/>
      <c r="E71" s="25"/>
    </row>
    <row r="72" customFormat="false" ht="15" hidden="false" customHeight="false" outlineLevel="0" collapsed="false">
      <c r="B72" s="7" t="s">
        <v>99</v>
      </c>
      <c r="C72" s="39" t="n">
        <f aca="false">G57</f>
        <v>117847.47</v>
      </c>
    </row>
    <row r="73" customFormat="false" ht="15" hidden="false" customHeight="false" outlineLevel="0" collapsed="false">
      <c r="B73" s="7" t="s">
        <v>100</v>
      </c>
      <c r="C73" s="39" t="n">
        <f aca="false">G69</f>
        <v>123336.9</v>
      </c>
    </row>
    <row r="74" customFormat="false" ht="15" hidden="false" customHeight="false" outlineLevel="0" collapsed="false">
      <c r="B74" s="10" t="s">
        <v>38</v>
      </c>
      <c r="C74" s="40" t="n">
        <f aca="false">C73-C72</f>
        <v>5489.42999999999</v>
      </c>
    </row>
  </sheetData>
  <mergeCells count="11">
    <mergeCell ref="A2:J2"/>
    <mergeCell ref="A3:J3"/>
    <mergeCell ref="A4:J4"/>
    <mergeCell ref="A8:J8"/>
    <mergeCell ref="B10:J10"/>
    <mergeCell ref="B23:J23"/>
    <mergeCell ref="B43:J43"/>
    <mergeCell ref="A50:J50"/>
    <mergeCell ref="A51:J51"/>
    <mergeCell ref="A59:J59"/>
    <mergeCell ref="A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201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202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4785.17</v>
      </c>
      <c r="D11" s="21" t="n">
        <v>4785.17</v>
      </c>
    </row>
    <row r="12" customFormat="false" ht="15" hidden="false" customHeight="false" outlineLevel="0" collapsed="false">
      <c r="B12" s="15" t="s">
        <v>105</v>
      </c>
      <c r="C12" s="21" t="n">
        <v>1941.11</v>
      </c>
      <c r="D12" s="21" t="n">
        <v>1941.11</v>
      </c>
    </row>
    <row r="13" customFormat="false" ht="15" hidden="false" customHeight="false" outlineLevel="0" collapsed="false">
      <c r="B13" s="15" t="s">
        <v>106</v>
      </c>
      <c r="C13" s="21" t="n">
        <v>7939.87</v>
      </c>
      <c r="D13" s="21" t="n">
        <v>7939.87</v>
      </c>
    </row>
    <row r="14" customFormat="false" ht="15" hidden="false" customHeight="false" outlineLevel="0" collapsed="false">
      <c r="B14" s="15" t="s">
        <v>108</v>
      </c>
      <c r="C14" s="21" t="n">
        <v>428.82</v>
      </c>
      <c r="D14" s="21" t="n">
        <v>428.82</v>
      </c>
    </row>
    <row r="15" customFormat="false" ht="15" hidden="false" customHeight="false" outlineLevel="0" collapsed="false">
      <c r="B15" s="15" t="s">
        <v>146</v>
      </c>
      <c r="C15" s="21" t="n">
        <v>183.29</v>
      </c>
      <c r="D15" s="21" t="n">
        <v>183.29</v>
      </c>
    </row>
    <row r="16" customFormat="false" ht="15" hidden="false" customHeight="false" outlineLevel="0" collapsed="false">
      <c r="B16" s="15" t="s">
        <v>147</v>
      </c>
      <c r="C16" s="21" t="n">
        <v>96.76</v>
      </c>
      <c r="D16" s="21" t="n">
        <v>96.76</v>
      </c>
    </row>
    <row r="17" customFormat="false" ht="15" hidden="false" customHeight="false" outlineLevel="0" collapsed="false">
      <c r="B17" s="15" t="s">
        <v>109</v>
      </c>
      <c r="C17" s="21" t="n">
        <v>2980.97</v>
      </c>
      <c r="D17" s="21" t="n">
        <v>2980.97</v>
      </c>
    </row>
    <row r="18" customFormat="false" ht="15" hidden="false" customHeight="false" outlineLevel="0" collapsed="false">
      <c r="B18" s="15" t="s">
        <v>110</v>
      </c>
      <c r="C18" s="21" t="n">
        <v>693.58</v>
      </c>
      <c r="D18" s="21" t="n">
        <v>693.58</v>
      </c>
    </row>
    <row r="19" customFormat="false" ht="15" hidden="false" customHeight="false" outlineLevel="0" collapsed="false">
      <c r="B19" s="15" t="s">
        <v>148</v>
      </c>
      <c r="C19" s="21" t="n">
        <v>3427.41</v>
      </c>
      <c r="D19" s="21" t="n">
        <v>3427.41</v>
      </c>
    </row>
    <row r="20" customFormat="false" ht="15" hidden="false" customHeight="false" outlineLevel="0" collapsed="false">
      <c r="B20" s="15" t="s">
        <v>112</v>
      </c>
      <c r="C20" s="21" t="n">
        <v>758.85</v>
      </c>
      <c r="D20" s="21" t="n">
        <v>758.85</v>
      </c>
    </row>
    <row r="21" customFormat="false" ht="15" hidden="false" customHeight="false" outlineLevel="0" collapsed="false">
      <c r="B21" s="15" t="s">
        <v>149</v>
      </c>
      <c r="C21" s="21" t="n">
        <v>43.2</v>
      </c>
      <c r="D21" s="21" t="n">
        <v>43.2</v>
      </c>
    </row>
    <row r="22" customFormat="false" ht="15" hidden="false" customHeight="false" outlineLevel="0" collapsed="false">
      <c r="B22" s="15" t="s">
        <v>150</v>
      </c>
      <c r="C22" s="21" t="n">
        <v>3682.87</v>
      </c>
      <c r="D22" s="21" t="n">
        <v>3682.87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6281.12</v>
      </c>
      <c r="G24" s="21" t="n">
        <v>6281.12</v>
      </c>
    </row>
    <row r="25" customFormat="false" ht="15" hidden="false" customHeight="false" outlineLevel="0" collapsed="false">
      <c r="B25" s="15" t="s">
        <v>116</v>
      </c>
      <c r="C25" s="21" t="n">
        <v>12157.7</v>
      </c>
      <c r="G25" s="21" t="n">
        <v>12157.7</v>
      </c>
    </row>
    <row r="26" customFormat="false" ht="15" hidden="false" customHeight="false" outlineLevel="0" collapsed="false">
      <c r="B26" s="15" t="s">
        <v>117</v>
      </c>
      <c r="C26" s="21" t="n">
        <v>7610.53</v>
      </c>
      <c r="G26" s="21" t="n">
        <v>7610.53</v>
      </c>
    </row>
    <row r="27" customFormat="false" ht="15" hidden="false" customHeight="false" outlineLevel="0" collapsed="false">
      <c r="B27" s="15" t="s">
        <v>118</v>
      </c>
      <c r="C27" s="21" t="n">
        <v>8437.69</v>
      </c>
      <c r="G27" s="21" t="n">
        <v>8437.69</v>
      </c>
    </row>
    <row r="28" customFormat="false" ht="15" hidden="false" customHeight="false" outlineLevel="0" collapsed="false">
      <c r="B28" s="15" t="s">
        <v>119</v>
      </c>
      <c r="C28" s="21" t="n">
        <v>6775.13</v>
      </c>
      <c r="G28" s="21" t="n">
        <v>6775.13</v>
      </c>
    </row>
    <row r="29" customFormat="false" ht="15" hidden="false" customHeight="false" outlineLevel="0" collapsed="false">
      <c r="B29" s="15" t="s">
        <v>120</v>
      </c>
      <c r="C29" s="21" t="n">
        <v>378.96</v>
      </c>
      <c r="G29" s="21" t="n">
        <v>378.96</v>
      </c>
    </row>
    <row r="30" customFormat="false" ht="15" hidden="false" customHeight="false" outlineLevel="0" collapsed="false">
      <c r="B30" s="15" t="s">
        <v>121</v>
      </c>
      <c r="C30" s="21" t="n">
        <v>10712.7</v>
      </c>
      <c r="G30" s="21" t="n">
        <v>10712.7</v>
      </c>
    </row>
    <row r="31" customFormat="false" ht="15" hidden="false" customHeight="false" outlineLevel="0" collapsed="false">
      <c r="B31" s="15" t="s">
        <v>122</v>
      </c>
      <c r="C31" s="21" t="n">
        <v>5035.68</v>
      </c>
      <c r="G31" s="21" t="n">
        <v>5035.68</v>
      </c>
    </row>
    <row r="32" customFormat="false" ht="15" hidden="false" customHeight="false" outlineLevel="0" collapsed="false">
      <c r="B32" s="15" t="s">
        <v>123</v>
      </c>
      <c r="C32" s="21" t="n">
        <v>2117.51</v>
      </c>
      <c r="G32" s="21" t="n">
        <v>2117.51</v>
      </c>
    </row>
    <row r="33" customFormat="false" ht="15" hidden="false" customHeight="false" outlineLevel="0" collapsed="false">
      <c r="B33" s="15" t="s">
        <v>124</v>
      </c>
      <c r="C33" s="21" t="n">
        <v>3536.09</v>
      </c>
      <c r="G33" s="21" t="n">
        <v>3536.09</v>
      </c>
    </row>
    <row r="34" customFormat="false" ht="15" hidden="false" customHeight="false" outlineLevel="0" collapsed="false">
      <c r="B34" s="15" t="s">
        <v>125</v>
      </c>
      <c r="C34" s="21" t="n">
        <v>8613.79</v>
      </c>
      <c r="G34" s="21" t="n">
        <v>8613.79</v>
      </c>
    </row>
    <row r="35" customFormat="false" ht="15" hidden="false" customHeight="false" outlineLevel="0" collapsed="false">
      <c r="B35" s="15" t="s">
        <v>126</v>
      </c>
      <c r="C35" s="21" t="n">
        <v>3604.7</v>
      </c>
      <c r="G35" s="21" t="n">
        <v>3604.7</v>
      </c>
    </row>
    <row r="36" customFormat="false" ht="15" hidden="false" customHeight="false" outlineLevel="0" collapsed="false">
      <c r="B36" s="15" t="s">
        <v>127</v>
      </c>
      <c r="C36" s="21" t="n">
        <v>868.78</v>
      </c>
      <c r="G36" s="21" t="n">
        <v>868.78</v>
      </c>
    </row>
    <row r="37" customFormat="false" ht="15" hidden="false" customHeight="false" outlineLevel="0" collapsed="false">
      <c r="B37" s="15" t="s">
        <v>129</v>
      </c>
      <c r="C37" s="21" t="n">
        <v>10912.49</v>
      </c>
      <c r="G37" s="21" t="n">
        <v>10912.49</v>
      </c>
    </row>
    <row r="38" customFormat="false" ht="15" hidden="false" customHeight="false" outlineLevel="0" collapsed="false">
      <c r="B38" s="15" t="s">
        <v>130</v>
      </c>
      <c r="C38" s="21" t="n">
        <v>662.8</v>
      </c>
      <c r="G38" s="21" t="n">
        <v>662.8</v>
      </c>
    </row>
    <row r="39" customFormat="false" ht="15" hidden="false" customHeight="false" outlineLevel="0" collapsed="false">
      <c r="B39" s="15" t="s">
        <v>152</v>
      </c>
      <c r="C39" s="21" t="n">
        <v>811.57</v>
      </c>
      <c r="G39" s="21" t="n">
        <v>811.57</v>
      </c>
    </row>
    <row r="40" customFormat="false" ht="15" hidden="false" customHeight="false" outlineLevel="0" collapsed="false">
      <c r="A40" s="22"/>
      <c r="B40" s="23" t="s">
        <v>66</v>
      </c>
      <c r="C40" s="24" t="n">
        <f aca="false">SUM(C10:C39)</f>
        <v>115479.14</v>
      </c>
      <c r="D40" s="24" t="n">
        <f aca="false">SUM(D10:D39)</f>
        <v>26961.9</v>
      </c>
      <c r="E40" s="24" t="n">
        <f aca="false">SUM(E10:E39)</f>
        <v>0</v>
      </c>
      <c r="F40" s="24" t="n">
        <f aca="false">SUM(F10:F39)</f>
        <v>0</v>
      </c>
      <c r="G40" s="24" t="n">
        <f aca="false">SUM(G10:G39)</f>
        <v>88517.24</v>
      </c>
      <c r="H40" s="22"/>
    </row>
    <row r="42" customFormat="false" ht="15" hidden="false" customHeight="false" outlineLevel="0" collapsed="false">
      <c r="A42" s="19"/>
      <c r="B42" s="20" t="s">
        <v>67</v>
      </c>
      <c r="C42" s="20"/>
      <c r="D42" s="20"/>
      <c r="E42" s="20"/>
      <c r="F42" s="20"/>
      <c r="G42" s="20"/>
      <c r="H42" s="20"/>
      <c r="I42" s="20"/>
      <c r="J42" s="20"/>
    </row>
    <row r="43" customFormat="false" ht="15" hidden="false" customHeight="false" outlineLevel="0" collapsed="false">
      <c r="B43" s="15" t="s">
        <v>68</v>
      </c>
      <c r="C43" s="21" t="n">
        <v>91140.5</v>
      </c>
      <c r="D43" s="21" t="n">
        <v>21279.35</v>
      </c>
      <c r="G43" s="21" t="n">
        <v>69861.15</v>
      </c>
    </row>
    <row r="44" customFormat="false" ht="15" hidden="false" customHeight="false" outlineLevel="0" collapsed="false">
      <c r="B44" s="15" t="s">
        <v>69</v>
      </c>
      <c r="C44" s="21" t="n">
        <v>165.99</v>
      </c>
      <c r="D44" s="21" t="n">
        <v>38.76</v>
      </c>
      <c r="G44" s="21" t="n">
        <v>127.23</v>
      </c>
    </row>
    <row r="45" customFormat="false" ht="15" hidden="false" customHeight="false" outlineLevel="0" collapsed="false">
      <c r="B45" s="15" t="s">
        <v>70</v>
      </c>
      <c r="C45" s="21" t="n">
        <v>8598.15</v>
      </c>
      <c r="D45" s="21" t="n">
        <v>2007.48</v>
      </c>
      <c r="G45" s="21" t="n">
        <v>6590.67</v>
      </c>
    </row>
    <row r="46" customFormat="false" ht="15" hidden="false" customHeight="false" outlineLevel="0" collapsed="false">
      <c r="B46" s="15" t="s">
        <v>71</v>
      </c>
      <c r="C46" s="21" t="n">
        <v>15574.5</v>
      </c>
      <c r="D46" s="21" t="n">
        <v>3636.33</v>
      </c>
      <c r="G46" s="21" t="n">
        <v>11938.19</v>
      </c>
    </row>
    <row r="47" customFormat="false" ht="15" hidden="false" customHeight="false" outlineLevel="0" collapsed="false">
      <c r="A47" s="22"/>
      <c r="B47" s="23" t="s">
        <v>72</v>
      </c>
      <c r="C47" s="24" t="n">
        <f aca="false">SUM(C43:C46)</f>
        <v>115479.14</v>
      </c>
      <c r="D47" s="24" t="n">
        <f aca="false">SUM(D43:D46)</f>
        <v>26961.92</v>
      </c>
      <c r="E47" s="22"/>
      <c r="F47" s="24" t="n">
        <f aca="false">SUM(F43:F46)</f>
        <v>0</v>
      </c>
      <c r="G47" s="24" t="n">
        <f aca="false">SUM(G43:G46)</f>
        <v>88517.24</v>
      </c>
      <c r="H47" s="22"/>
    </row>
    <row r="49" customFormat="false" ht="15" hidden="false" customHeight="false" outlineLevel="0" collapsed="false">
      <c r="A49" s="25" t="s">
        <v>73</v>
      </c>
      <c r="B49" s="25"/>
      <c r="C49" s="25"/>
      <c r="D49" s="25"/>
      <c r="E49" s="25"/>
      <c r="F49" s="25"/>
      <c r="G49" s="25"/>
      <c r="H49" s="25"/>
      <c r="I49" s="25"/>
      <c r="J49" s="25"/>
    </row>
    <row r="50" customFormat="false" ht="15" hidden="false" customHeight="false" outlineLevel="0" collapsed="false">
      <c r="A50" s="26" t="s">
        <v>36</v>
      </c>
      <c r="B50" s="26"/>
      <c r="C50" s="26"/>
      <c r="D50" s="26"/>
      <c r="E50" s="26"/>
      <c r="F50" s="26"/>
      <c r="G50" s="26"/>
      <c r="H50" s="26"/>
      <c r="I50" s="26"/>
      <c r="J50" s="26"/>
    </row>
    <row r="51" customFormat="false" ht="15" hidden="false" customHeight="false" outlineLevel="0" collapsed="false">
      <c r="A51" s="27"/>
      <c r="B51" s="27" t="s">
        <v>74</v>
      </c>
      <c r="C51" s="28" t="s">
        <v>75</v>
      </c>
      <c r="D51" s="28" t="s">
        <v>76</v>
      </c>
      <c r="E51" s="28" t="s">
        <v>77</v>
      </c>
      <c r="F51" s="28" t="s">
        <v>78</v>
      </c>
      <c r="G51" s="28" t="s">
        <v>79</v>
      </c>
      <c r="H51" s="28" t="s">
        <v>80</v>
      </c>
      <c r="I51" s="28" t="s">
        <v>81</v>
      </c>
      <c r="J51" s="28" t="s">
        <v>82</v>
      </c>
    </row>
    <row r="52" customFormat="false" ht="15" hidden="false" customHeight="false" outlineLevel="0" collapsed="false">
      <c r="B52" s="29" t="s">
        <v>153</v>
      </c>
      <c r="C52" s="30" t="n">
        <v>91140.5</v>
      </c>
      <c r="D52" s="30" t="n">
        <v>0</v>
      </c>
      <c r="E52" s="30" t="n">
        <v>26651.36</v>
      </c>
      <c r="F52" s="30" t="n">
        <v>3314.2</v>
      </c>
      <c r="G52" s="30" t="n">
        <v>29965.56</v>
      </c>
      <c r="H52" s="30" t="n">
        <v>61174.94</v>
      </c>
      <c r="I52" s="31" t="s">
        <v>84</v>
      </c>
      <c r="J52" s="32" t="n">
        <v>27.5</v>
      </c>
    </row>
    <row r="53" customFormat="false" ht="15" hidden="false" customHeight="false" outlineLevel="0" collapsed="false">
      <c r="B53" s="7" t="s">
        <v>154</v>
      </c>
      <c r="C53" s="9" t="n">
        <v>165.99</v>
      </c>
      <c r="D53" s="9" t="n">
        <v>0</v>
      </c>
      <c r="E53" s="9" t="n">
        <v>48.07</v>
      </c>
      <c r="F53" s="9" t="n">
        <v>6.04</v>
      </c>
      <c r="G53" s="9" t="n">
        <v>54.11</v>
      </c>
      <c r="H53" s="9" t="n">
        <v>111.88</v>
      </c>
      <c r="I53" s="33" t="s">
        <v>84</v>
      </c>
      <c r="J53" s="34" t="n">
        <v>27.5</v>
      </c>
    </row>
    <row r="54" customFormat="false" ht="15" hidden="false" customHeight="false" outlineLevel="0" collapsed="false">
      <c r="B54" s="29" t="s">
        <v>155</v>
      </c>
      <c r="C54" s="30" t="n">
        <v>8598.15</v>
      </c>
      <c r="D54" s="30" t="n">
        <v>0</v>
      </c>
      <c r="E54" s="30" t="n">
        <v>5035.65</v>
      </c>
      <c r="F54" s="30" t="n">
        <v>507.3</v>
      </c>
      <c r="G54" s="30" t="n">
        <v>5542.95</v>
      </c>
      <c r="H54" s="30" t="n">
        <v>3055.2</v>
      </c>
      <c r="I54" s="31" t="s">
        <v>87</v>
      </c>
      <c r="J54" s="32" t="n">
        <v>15</v>
      </c>
    </row>
    <row r="55" customFormat="false" ht="15" hidden="false" customHeight="false" outlineLevel="0" collapsed="false">
      <c r="B55" s="7" t="s">
        <v>156</v>
      </c>
      <c r="C55" s="9" t="n">
        <v>15574.5</v>
      </c>
      <c r="D55" s="9" t="n">
        <v>0</v>
      </c>
      <c r="E55" s="9" t="n">
        <v>15055.35</v>
      </c>
      <c r="F55" s="9" t="n">
        <v>0</v>
      </c>
      <c r="G55" s="9" t="n">
        <v>15055.35</v>
      </c>
      <c r="H55" s="9" t="n">
        <v>519.15</v>
      </c>
      <c r="I55" s="33" t="s">
        <v>89</v>
      </c>
      <c r="J55" s="34" t="n">
        <v>5</v>
      </c>
    </row>
    <row r="56" customFormat="false" ht="15" hidden="false" customHeight="false" outlineLevel="0" collapsed="false">
      <c r="A56" s="35"/>
      <c r="B56" s="36" t="s">
        <v>34</v>
      </c>
      <c r="C56" s="37" t="n">
        <f aca="false">SUM(C52:C55)</f>
        <v>115479.14</v>
      </c>
      <c r="D56" s="37" t="n">
        <f aca="false">SUM(D52:D55)</f>
        <v>0</v>
      </c>
      <c r="E56" s="37" t="n">
        <f aca="false">SUM(E52:E55)</f>
        <v>46790.43</v>
      </c>
      <c r="F56" s="37" t="n">
        <f aca="false">SUM(F52:F55)</f>
        <v>3827.54</v>
      </c>
      <c r="G56" s="37" t="n">
        <f aca="false">SUM(G52:G55)</f>
        <v>50617.97</v>
      </c>
      <c r="H56" s="37" t="n">
        <f aca="false">SUM(H52:H55)</f>
        <v>64861.17</v>
      </c>
      <c r="I56" s="35"/>
      <c r="J56" s="35"/>
    </row>
    <row r="58" customFormat="false" ht="15" hidden="false" customHeight="false" outlineLevel="0" collapsed="false">
      <c r="A58" s="38" t="s">
        <v>90</v>
      </c>
      <c r="B58" s="38"/>
      <c r="C58" s="38"/>
      <c r="D58" s="38"/>
      <c r="E58" s="38"/>
      <c r="F58" s="38"/>
      <c r="G58" s="38"/>
      <c r="H58" s="38"/>
      <c r="I58" s="38"/>
      <c r="J58" s="38"/>
    </row>
    <row r="59" customFormat="false" ht="15" hidden="false" customHeight="false" outlineLevel="0" collapsed="false">
      <c r="A59" s="27"/>
      <c r="B59" s="27" t="s">
        <v>74</v>
      </c>
      <c r="C59" s="28" t="s">
        <v>75</v>
      </c>
      <c r="D59" s="28" t="s">
        <v>76</v>
      </c>
      <c r="E59" s="28" t="s">
        <v>77</v>
      </c>
      <c r="F59" s="28" t="s">
        <v>78</v>
      </c>
      <c r="G59" s="28" t="s">
        <v>79</v>
      </c>
      <c r="H59" s="28" t="s">
        <v>80</v>
      </c>
      <c r="I59" s="28" t="s">
        <v>81</v>
      </c>
      <c r="J59" s="28" t="s">
        <v>82</v>
      </c>
    </row>
    <row r="60" customFormat="false" ht="15" hidden="false" customHeight="false" outlineLevel="0" collapsed="false">
      <c r="B60" s="29" t="s">
        <v>157</v>
      </c>
      <c r="C60" s="30" t="n">
        <v>21279.35</v>
      </c>
      <c r="D60" s="30" t="n">
        <v>0</v>
      </c>
      <c r="E60" s="30" t="n">
        <v>21279.35</v>
      </c>
      <c r="F60" s="30" t="n">
        <v>0</v>
      </c>
      <c r="G60" s="30" t="n">
        <v>21279.35</v>
      </c>
      <c r="H60" s="30" t="n">
        <v>0</v>
      </c>
      <c r="I60" s="31" t="s">
        <v>89</v>
      </c>
      <c r="J60" s="32" t="n">
        <v>5</v>
      </c>
    </row>
    <row r="61" customFormat="false" ht="15" hidden="false" customHeight="false" outlineLevel="0" collapsed="false">
      <c r="B61" s="7" t="s">
        <v>158</v>
      </c>
      <c r="C61" s="9" t="n">
        <v>69861.15</v>
      </c>
      <c r="D61" s="9" t="n">
        <v>0</v>
      </c>
      <c r="E61" s="9" t="n">
        <v>20429.13</v>
      </c>
      <c r="F61" s="9" t="n">
        <v>2540.41</v>
      </c>
      <c r="G61" s="9" t="n">
        <v>22969.54</v>
      </c>
      <c r="H61" s="9" t="n">
        <v>46891.61</v>
      </c>
      <c r="I61" s="33" t="s">
        <v>84</v>
      </c>
      <c r="J61" s="34" t="n">
        <v>27.5</v>
      </c>
    </row>
    <row r="62" customFormat="false" ht="15" hidden="false" customHeight="false" outlineLevel="0" collapsed="false">
      <c r="B62" s="29" t="s">
        <v>159</v>
      </c>
      <c r="C62" s="30" t="n">
        <v>38.76</v>
      </c>
      <c r="D62" s="30" t="n">
        <v>0</v>
      </c>
      <c r="E62" s="30" t="n">
        <v>38.76</v>
      </c>
      <c r="F62" s="30" t="n">
        <v>0</v>
      </c>
      <c r="G62" s="30" t="n">
        <v>38.76</v>
      </c>
      <c r="H62" s="30" t="n">
        <v>0</v>
      </c>
      <c r="I62" s="31" t="s">
        <v>89</v>
      </c>
      <c r="J62" s="32" t="n">
        <v>5</v>
      </c>
    </row>
    <row r="63" customFormat="false" ht="15" hidden="false" customHeight="false" outlineLevel="0" collapsed="false">
      <c r="B63" s="7" t="s">
        <v>160</v>
      </c>
      <c r="C63" s="9" t="n">
        <v>127.23</v>
      </c>
      <c r="D63" s="9" t="n">
        <v>0</v>
      </c>
      <c r="E63" s="9" t="n">
        <v>36.84</v>
      </c>
      <c r="F63" s="9" t="n">
        <v>4.63</v>
      </c>
      <c r="G63" s="9" t="n">
        <v>41.47</v>
      </c>
      <c r="H63" s="9" t="n">
        <v>85.76</v>
      </c>
      <c r="I63" s="33" t="s">
        <v>84</v>
      </c>
      <c r="J63" s="34" t="n">
        <v>27.5</v>
      </c>
    </row>
    <row r="64" customFormat="false" ht="15" hidden="false" customHeight="false" outlineLevel="0" collapsed="false">
      <c r="B64" s="29" t="s">
        <v>161</v>
      </c>
      <c r="C64" s="30" t="n">
        <v>2007.48</v>
      </c>
      <c r="D64" s="30" t="n">
        <v>0</v>
      </c>
      <c r="E64" s="30" t="n">
        <v>2007.48</v>
      </c>
      <c r="F64" s="30" t="n">
        <v>0</v>
      </c>
      <c r="G64" s="30" t="n">
        <v>2007.48</v>
      </c>
      <c r="H64" s="30" t="n">
        <v>0</v>
      </c>
      <c r="I64" s="31" t="s">
        <v>89</v>
      </c>
      <c r="J64" s="32" t="n">
        <v>5</v>
      </c>
    </row>
    <row r="65" customFormat="false" ht="15" hidden="false" customHeight="false" outlineLevel="0" collapsed="false">
      <c r="B65" s="7" t="s">
        <v>162</v>
      </c>
      <c r="C65" s="9" t="n">
        <v>6590.67</v>
      </c>
      <c r="D65" s="9" t="n">
        <v>0</v>
      </c>
      <c r="E65" s="9" t="n">
        <v>1927.27</v>
      </c>
      <c r="F65" s="9" t="n">
        <v>239.66</v>
      </c>
      <c r="G65" s="9" t="n">
        <v>2166.93</v>
      </c>
      <c r="H65" s="9" t="n">
        <v>4423.74</v>
      </c>
      <c r="I65" s="33" t="s">
        <v>84</v>
      </c>
      <c r="J65" s="34" t="n">
        <v>27.5</v>
      </c>
    </row>
    <row r="66" customFormat="false" ht="15" hidden="false" customHeight="false" outlineLevel="0" collapsed="false">
      <c r="B66" s="29" t="s">
        <v>163</v>
      </c>
      <c r="C66" s="30" t="n">
        <v>3636.33</v>
      </c>
      <c r="D66" s="30" t="n">
        <v>0</v>
      </c>
      <c r="E66" s="30" t="n">
        <v>3636.33</v>
      </c>
      <c r="F66" s="30" t="n">
        <v>0</v>
      </c>
      <c r="G66" s="30" t="n">
        <v>3636.33</v>
      </c>
      <c r="H66" s="30" t="n">
        <v>0</v>
      </c>
      <c r="I66" s="31" t="s">
        <v>89</v>
      </c>
      <c r="J66" s="32" t="n">
        <v>5</v>
      </c>
    </row>
    <row r="67" customFormat="false" ht="15" hidden="false" customHeight="false" outlineLevel="0" collapsed="false">
      <c r="B67" s="7" t="s">
        <v>164</v>
      </c>
      <c r="C67" s="9" t="n">
        <v>11938.19</v>
      </c>
      <c r="D67" s="9" t="n">
        <v>0</v>
      </c>
      <c r="E67" s="9" t="n">
        <v>3491.05</v>
      </c>
      <c r="F67" s="9" t="n">
        <v>434.12</v>
      </c>
      <c r="G67" s="9" t="n">
        <v>3925.17</v>
      </c>
      <c r="H67" s="9" t="n">
        <v>8013.02</v>
      </c>
      <c r="I67" s="33" t="s">
        <v>84</v>
      </c>
      <c r="J67" s="34" t="n">
        <v>27.5</v>
      </c>
    </row>
    <row r="68" customFormat="false" ht="15" hidden="false" customHeight="false" outlineLevel="0" collapsed="false">
      <c r="A68" s="35"/>
      <c r="B68" s="36" t="s">
        <v>34</v>
      </c>
      <c r="C68" s="37" t="n">
        <f aca="false">SUM(C60:C67)</f>
        <v>115479.16</v>
      </c>
      <c r="D68" s="37" t="n">
        <f aca="false">SUM(D60:D67)</f>
        <v>0</v>
      </c>
      <c r="E68" s="37" t="n">
        <f aca="false">SUM(E60:E67)</f>
        <v>52846.21</v>
      </c>
      <c r="F68" s="37" t="n">
        <f aca="false">SUM(F60:F67)</f>
        <v>3218.82</v>
      </c>
      <c r="G68" s="37" t="n">
        <f aca="false">SUM(G60:G67)</f>
        <v>56065.03</v>
      </c>
      <c r="H68" s="37" t="n">
        <f aca="false">SUM(H60:H67)</f>
        <v>59414.13</v>
      </c>
      <c r="I68" s="35"/>
      <c r="J68" s="35"/>
    </row>
    <row r="70" customFormat="false" ht="15" hidden="false" customHeight="false" outlineLevel="0" collapsed="false">
      <c r="A70" s="25" t="s">
        <v>38</v>
      </c>
      <c r="B70" s="25"/>
      <c r="C70" s="25"/>
      <c r="D70" s="25"/>
      <c r="E70" s="25"/>
    </row>
    <row r="71" customFormat="false" ht="15" hidden="false" customHeight="false" outlineLevel="0" collapsed="false">
      <c r="B71" s="7" t="s">
        <v>99</v>
      </c>
      <c r="C71" s="39" t="n">
        <f aca="false">G56</f>
        <v>50617.97</v>
      </c>
    </row>
    <row r="72" customFormat="false" ht="15" hidden="false" customHeight="false" outlineLevel="0" collapsed="false">
      <c r="B72" s="7" t="s">
        <v>100</v>
      </c>
      <c r="C72" s="39" t="n">
        <f aca="false">G68</f>
        <v>56065.03</v>
      </c>
    </row>
    <row r="73" customFormat="false" ht="15" hidden="false" customHeight="false" outlineLevel="0" collapsed="false">
      <c r="B73" s="10" t="s">
        <v>38</v>
      </c>
      <c r="C73" s="40" t="n">
        <f aca="false">C72-C71</f>
        <v>5447.06</v>
      </c>
    </row>
  </sheetData>
  <mergeCells count="11">
    <mergeCell ref="A2:J2"/>
    <mergeCell ref="A3:J3"/>
    <mergeCell ref="A4:J4"/>
    <mergeCell ref="A8:J8"/>
    <mergeCell ref="B10:J10"/>
    <mergeCell ref="B23:J23"/>
    <mergeCell ref="B42:J42"/>
    <mergeCell ref="A49:J49"/>
    <mergeCell ref="A50:J50"/>
    <mergeCell ref="A58:J58"/>
    <mergeCell ref="A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203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204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7759.94</v>
      </c>
      <c r="D11" s="21" t="n">
        <v>7759.94</v>
      </c>
    </row>
    <row r="12" customFormat="false" ht="15" hidden="false" customHeight="false" outlineLevel="0" collapsed="false">
      <c r="B12" s="15" t="s">
        <v>105</v>
      </c>
      <c r="C12" s="21" t="n">
        <v>4601.14</v>
      </c>
      <c r="D12" s="21" t="n">
        <v>4601.14</v>
      </c>
    </row>
    <row r="13" customFormat="false" ht="15" hidden="false" customHeight="false" outlineLevel="0" collapsed="false">
      <c r="B13" s="15" t="s">
        <v>106</v>
      </c>
      <c r="C13" s="21" t="n">
        <v>18695.69</v>
      </c>
      <c r="D13" s="21" t="n">
        <v>18695.69</v>
      </c>
    </row>
    <row r="14" customFormat="false" ht="15" hidden="false" customHeight="false" outlineLevel="0" collapsed="false">
      <c r="B14" s="15" t="s">
        <v>108</v>
      </c>
      <c r="C14" s="21" t="n">
        <v>2235.2</v>
      </c>
      <c r="D14" s="21" t="n">
        <v>2235.2</v>
      </c>
    </row>
    <row r="15" customFormat="false" ht="15" hidden="false" customHeight="false" outlineLevel="0" collapsed="false">
      <c r="B15" s="15" t="s">
        <v>146</v>
      </c>
      <c r="C15" s="21" t="n">
        <v>274.94</v>
      </c>
      <c r="D15" s="21" t="n">
        <v>274.94</v>
      </c>
    </row>
    <row r="16" customFormat="false" ht="15" hidden="false" customHeight="false" outlineLevel="0" collapsed="false">
      <c r="B16" s="15" t="s">
        <v>147</v>
      </c>
      <c r="C16" s="21" t="n">
        <v>120.68</v>
      </c>
      <c r="D16" s="21" t="n">
        <v>120.68</v>
      </c>
    </row>
    <row r="17" customFormat="false" ht="15" hidden="false" customHeight="false" outlineLevel="0" collapsed="false">
      <c r="B17" s="15" t="s">
        <v>109</v>
      </c>
      <c r="C17" s="21" t="n">
        <v>4471.44</v>
      </c>
      <c r="D17" s="21" t="n">
        <v>4471.44</v>
      </c>
    </row>
    <row r="18" customFormat="false" ht="15" hidden="false" customHeight="false" outlineLevel="0" collapsed="false">
      <c r="B18" s="15" t="s">
        <v>110</v>
      </c>
      <c r="C18" s="21" t="n">
        <v>1633.14</v>
      </c>
      <c r="D18" s="21" t="n">
        <v>1633.14</v>
      </c>
    </row>
    <row r="19" customFormat="false" ht="15" hidden="false" customHeight="false" outlineLevel="0" collapsed="false">
      <c r="B19" s="15" t="s">
        <v>148</v>
      </c>
      <c r="C19" s="21" t="n">
        <v>5141.11</v>
      </c>
      <c r="D19" s="21" t="n">
        <v>5141.11</v>
      </c>
    </row>
    <row r="20" customFormat="false" ht="15" hidden="false" customHeight="false" outlineLevel="0" collapsed="false">
      <c r="B20" s="15" t="s">
        <v>112</v>
      </c>
      <c r="C20" s="21" t="n">
        <v>1534.74</v>
      </c>
      <c r="D20" s="21" t="n">
        <v>1534.74</v>
      </c>
    </row>
    <row r="21" customFormat="false" ht="15" hidden="false" customHeight="false" outlineLevel="0" collapsed="false">
      <c r="B21" s="15" t="s">
        <v>149</v>
      </c>
      <c r="C21" s="21" t="n">
        <v>64.8</v>
      </c>
      <c r="D21" s="21" t="n">
        <v>64.8</v>
      </c>
    </row>
    <row r="22" customFormat="false" ht="15" hidden="false" customHeight="false" outlineLevel="0" collapsed="false">
      <c r="B22" s="15" t="s">
        <v>150</v>
      </c>
      <c r="C22" s="21" t="n">
        <v>5524.32</v>
      </c>
      <c r="D22" s="21" t="n">
        <v>5524.32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10400.92</v>
      </c>
      <c r="G24" s="21" t="n">
        <v>10400.92</v>
      </c>
    </row>
    <row r="25" customFormat="false" ht="15" hidden="false" customHeight="false" outlineLevel="0" collapsed="false">
      <c r="B25" s="15" t="s">
        <v>116</v>
      </c>
      <c r="C25" s="21" t="n">
        <v>19732.45</v>
      </c>
      <c r="G25" s="21" t="n">
        <v>19732.45</v>
      </c>
    </row>
    <row r="26" customFormat="false" ht="15" hidden="false" customHeight="false" outlineLevel="0" collapsed="false">
      <c r="B26" s="15" t="s">
        <v>117</v>
      </c>
      <c r="C26" s="21" t="n">
        <v>18076.85</v>
      </c>
      <c r="G26" s="21" t="n">
        <v>18076.85</v>
      </c>
    </row>
    <row r="27" customFormat="false" ht="15" hidden="false" customHeight="false" outlineLevel="0" collapsed="false">
      <c r="B27" s="15" t="s">
        <v>118</v>
      </c>
      <c r="C27" s="21" t="n">
        <v>19867.9</v>
      </c>
      <c r="G27" s="21" t="n">
        <v>19867.9</v>
      </c>
    </row>
    <row r="28" customFormat="false" ht="15" hidden="false" customHeight="false" outlineLevel="0" collapsed="false">
      <c r="B28" s="15" t="s">
        <v>119</v>
      </c>
      <c r="C28" s="21" t="n">
        <v>15953.11</v>
      </c>
      <c r="G28" s="21" t="n">
        <v>15953.11</v>
      </c>
    </row>
    <row r="29" customFormat="false" ht="15" hidden="false" customHeight="false" outlineLevel="0" collapsed="false">
      <c r="B29" s="15" t="s">
        <v>120</v>
      </c>
      <c r="C29" s="21" t="n">
        <v>1077</v>
      </c>
      <c r="G29" s="21" t="n">
        <v>1077</v>
      </c>
    </row>
    <row r="30" customFormat="false" ht="15" hidden="false" customHeight="false" outlineLevel="0" collapsed="false">
      <c r="B30" s="15" t="s">
        <v>121</v>
      </c>
      <c r="C30" s="21" t="n">
        <v>24515.03</v>
      </c>
      <c r="G30" s="21" t="n">
        <v>24515.03</v>
      </c>
    </row>
    <row r="31" customFormat="false" ht="15" hidden="false" customHeight="false" outlineLevel="0" collapsed="false">
      <c r="B31" s="15" t="s">
        <v>122</v>
      </c>
      <c r="C31" s="21" t="n">
        <v>18444.72</v>
      </c>
      <c r="G31" s="21" t="n">
        <v>18444.72</v>
      </c>
    </row>
    <row r="32" customFormat="false" ht="15" hidden="false" customHeight="false" outlineLevel="0" collapsed="false">
      <c r="B32" s="15" t="s">
        <v>123</v>
      </c>
      <c r="C32" s="21" t="n">
        <v>11037.53</v>
      </c>
      <c r="G32" s="21" t="n">
        <v>11037.53</v>
      </c>
    </row>
    <row r="33" customFormat="false" ht="15" hidden="false" customHeight="false" outlineLevel="0" collapsed="false">
      <c r="B33" s="15" t="s">
        <v>124</v>
      </c>
      <c r="C33" s="21" t="n">
        <v>8326.32</v>
      </c>
      <c r="G33" s="21" t="n">
        <v>8326.32</v>
      </c>
    </row>
    <row r="34" customFormat="false" ht="15" hidden="false" customHeight="false" outlineLevel="0" collapsed="false">
      <c r="B34" s="15" t="s">
        <v>125</v>
      </c>
      <c r="C34" s="21" t="n">
        <v>20278.2</v>
      </c>
      <c r="G34" s="21" t="n">
        <v>20278.2</v>
      </c>
    </row>
    <row r="35" customFormat="false" ht="15" hidden="false" customHeight="false" outlineLevel="0" collapsed="false">
      <c r="B35" s="15" t="s">
        <v>126</v>
      </c>
      <c r="C35" s="21" t="n">
        <v>8613.97</v>
      </c>
      <c r="G35" s="21" t="n">
        <v>8613.97</v>
      </c>
    </row>
    <row r="36" customFormat="false" ht="15" hidden="false" customHeight="false" outlineLevel="0" collapsed="false">
      <c r="B36" s="15" t="s">
        <v>127</v>
      </c>
      <c r="C36" s="21" t="n">
        <v>1343.51</v>
      </c>
      <c r="G36" s="21" t="n">
        <v>1343.51</v>
      </c>
    </row>
    <row r="37" customFormat="false" ht="15" hidden="false" customHeight="false" outlineLevel="0" collapsed="false">
      <c r="B37" s="15" t="s">
        <v>129</v>
      </c>
      <c r="C37" s="21" t="n">
        <v>27755.5</v>
      </c>
      <c r="G37" s="21" t="n">
        <v>27755.5</v>
      </c>
    </row>
    <row r="38" customFormat="false" ht="15" hidden="false" customHeight="false" outlineLevel="0" collapsed="false">
      <c r="B38" s="15" t="s">
        <v>151</v>
      </c>
      <c r="C38" s="21" t="n">
        <v>6811.28</v>
      </c>
      <c r="G38" s="21" t="n">
        <v>6811.28</v>
      </c>
    </row>
    <row r="39" customFormat="false" ht="15" hidden="false" customHeight="false" outlineLevel="0" collapsed="false">
      <c r="B39" s="15" t="s">
        <v>130</v>
      </c>
      <c r="C39" s="21" t="n">
        <v>1999.53</v>
      </c>
      <c r="G39" s="21" t="n">
        <v>1999.53</v>
      </c>
    </row>
    <row r="40" customFormat="false" ht="15" hidden="false" customHeight="false" outlineLevel="0" collapsed="false">
      <c r="B40" s="15" t="s">
        <v>152</v>
      </c>
      <c r="C40" s="21" t="n">
        <v>2564.71</v>
      </c>
      <c r="G40" s="21" t="n">
        <v>2564.71</v>
      </c>
    </row>
    <row r="41" customFormat="false" ht="15" hidden="false" customHeight="false" outlineLevel="0" collapsed="false">
      <c r="A41" s="22"/>
      <c r="B41" s="23" t="s">
        <v>66</v>
      </c>
      <c r="C41" s="24" t="n">
        <f aca="false">SUM(C10:C40)</f>
        <v>268855.67</v>
      </c>
      <c r="D41" s="24" t="n">
        <f aca="false">SUM(D10:D40)</f>
        <v>52057.14</v>
      </c>
      <c r="E41" s="24" t="n">
        <f aca="false">SUM(E10:E40)</f>
        <v>0</v>
      </c>
      <c r="F41" s="24" t="n">
        <f aca="false">SUM(F10:F40)</f>
        <v>0</v>
      </c>
      <c r="G41" s="24" t="n">
        <f aca="false">SUM(G10:G40)</f>
        <v>216798.53</v>
      </c>
      <c r="H41" s="22"/>
    </row>
    <row r="43" customFormat="false" ht="15" hidden="false" customHeight="false" outlineLevel="0" collapsed="false">
      <c r="A43" s="19"/>
      <c r="B43" s="20" t="s">
        <v>67</v>
      </c>
      <c r="C43" s="20"/>
      <c r="D43" s="20"/>
      <c r="E43" s="20"/>
      <c r="F43" s="20"/>
      <c r="G43" s="20"/>
      <c r="H43" s="20"/>
      <c r="I43" s="20"/>
      <c r="J43" s="20"/>
    </row>
    <row r="44" customFormat="false" ht="15" hidden="false" customHeight="false" outlineLevel="0" collapsed="false">
      <c r="B44" s="15" t="s">
        <v>68</v>
      </c>
      <c r="C44" s="21" t="n">
        <v>212191.05</v>
      </c>
      <c r="D44" s="21" t="n">
        <v>41085.46</v>
      </c>
      <c r="G44" s="21" t="n">
        <v>171105.59</v>
      </c>
    </row>
    <row r="45" customFormat="false" ht="15" hidden="false" customHeight="false" outlineLevel="0" collapsed="false">
      <c r="B45" s="15" t="s">
        <v>69</v>
      </c>
      <c r="C45" s="21" t="n">
        <v>386.45</v>
      </c>
      <c r="D45" s="21" t="n">
        <v>74.83</v>
      </c>
      <c r="G45" s="21" t="n">
        <v>311.62</v>
      </c>
    </row>
    <row r="46" customFormat="false" ht="15" hidden="false" customHeight="false" outlineLevel="0" collapsed="false">
      <c r="B46" s="15" t="s">
        <v>70</v>
      </c>
      <c r="C46" s="21" t="n">
        <v>20018</v>
      </c>
      <c r="D46" s="21" t="n">
        <v>3875.98</v>
      </c>
      <c r="G46" s="21" t="n">
        <v>16142.02</v>
      </c>
    </row>
    <row r="47" customFormat="false" ht="15" hidden="false" customHeight="false" outlineLevel="0" collapsed="false">
      <c r="B47" s="15" t="s">
        <v>71</v>
      </c>
      <c r="C47" s="21" t="n">
        <v>36260.17</v>
      </c>
      <c r="D47" s="21" t="n">
        <v>7020.87</v>
      </c>
      <c r="G47" s="21" t="n">
        <v>29239.3</v>
      </c>
    </row>
    <row r="48" customFormat="false" ht="15" hidden="false" customHeight="false" outlineLevel="0" collapsed="false">
      <c r="A48" s="22"/>
      <c r="B48" s="23" t="s">
        <v>72</v>
      </c>
      <c r="C48" s="24" t="n">
        <f aca="false">SUM(C44:C47)</f>
        <v>268855.67</v>
      </c>
      <c r="D48" s="24" t="n">
        <f aca="false">SUM(D44:D47)</f>
        <v>52057.14</v>
      </c>
      <c r="E48" s="22"/>
      <c r="F48" s="24" t="n">
        <f aca="false">SUM(F44:F47)</f>
        <v>0</v>
      </c>
      <c r="G48" s="24" t="n">
        <f aca="false">SUM(G44:G47)</f>
        <v>216798.53</v>
      </c>
      <c r="H48" s="22"/>
    </row>
    <row r="50" customFormat="false" ht="15" hidden="false" customHeight="false" outlineLevel="0" collapsed="false">
      <c r="A50" s="25" t="s">
        <v>73</v>
      </c>
      <c r="B50" s="25"/>
      <c r="C50" s="25"/>
      <c r="D50" s="25"/>
      <c r="E50" s="25"/>
      <c r="F50" s="25"/>
      <c r="G50" s="25"/>
      <c r="H50" s="25"/>
      <c r="I50" s="25"/>
      <c r="J50" s="25"/>
    </row>
    <row r="51" customFormat="false" ht="15" hidden="false" customHeight="false" outlineLevel="0" collapsed="false">
      <c r="A51" s="26" t="s">
        <v>36</v>
      </c>
      <c r="B51" s="26"/>
      <c r="C51" s="26"/>
      <c r="D51" s="26"/>
      <c r="E51" s="26"/>
      <c r="F51" s="26"/>
      <c r="G51" s="26"/>
      <c r="H51" s="26"/>
      <c r="I51" s="26"/>
      <c r="J51" s="26"/>
    </row>
    <row r="52" customFormat="false" ht="15" hidden="false" customHeight="false" outlineLevel="0" collapsed="false">
      <c r="A52" s="27"/>
      <c r="B52" s="27" t="s">
        <v>74</v>
      </c>
      <c r="C52" s="28" t="s">
        <v>75</v>
      </c>
      <c r="D52" s="28" t="s">
        <v>76</v>
      </c>
      <c r="E52" s="28" t="s">
        <v>77</v>
      </c>
      <c r="F52" s="28" t="s">
        <v>78</v>
      </c>
      <c r="G52" s="28" t="s">
        <v>79</v>
      </c>
      <c r="H52" s="28" t="s">
        <v>80</v>
      </c>
      <c r="I52" s="28" t="s">
        <v>81</v>
      </c>
      <c r="J52" s="28" t="s">
        <v>82</v>
      </c>
    </row>
    <row r="53" customFormat="false" ht="15" hidden="false" customHeight="false" outlineLevel="0" collapsed="false">
      <c r="B53" s="29" t="s">
        <v>153</v>
      </c>
      <c r="C53" s="30" t="n">
        <v>212191.05</v>
      </c>
      <c r="D53" s="30" t="n">
        <v>0</v>
      </c>
      <c r="E53" s="30" t="n">
        <v>62049.02</v>
      </c>
      <c r="F53" s="30" t="n">
        <v>7716.04</v>
      </c>
      <c r="G53" s="30" t="n">
        <v>69765.06</v>
      </c>
      <c r="H53" s="30" t="n">
        <v>142425.99</v>
      </c>
      <c r="I53" s="31" t="s">
        <v>84</v>
      </c>
      <c r="J53" s="32" t="n">
        <v>27.5</v>
      </c>
    </row>
    <row r="54" customFormat="false" ht="15" hidden="false" customHeight="false" outlineLevel="0" collapsed="false">
      <c r="B54" s="7" t="s">
        <v>154</v>
      </c>
      <c r="C54" s="9" t="n">
        <v>386.45</v>
      </c>
      <c r="D54" s="9" t="n">
        <v>0</v>
      </c>
      <c r="E54" s="9" t="n">
        <v>111.91</v>
      </c>
      <c r="F54" s="9" t="n">
        <v>14.06</v>
      </c>
      <c r="G54" s="9" t="n">
        <v>125.97</v>
      </c>
      <c r="H54" s="9" t="n">
        <v>260.48</v>
      </c>
      <c r="I54" s="33" t="s">
        <v>84</v>
      </c>
      <c r="J54" s="34" t="n">
        <v>27.5</v>
      </c>
    </row>
    <row r="55" customFormat="false" ht="15" hidden="false" customHeight="false" outlineLevel="0" collapsed="false">
      <c r="B55" s="29" t="s">
        <v>155</v>
      </c>
      <c r="C55" s="30" t="n">
        <v>20018</v>
      </c>
      <c r="D55" s="30" t="n">
        <v>0</v>
      </c>
      <c r="E55" s="30" t="n">
        <v>11723.87</v>
      </c>
      <c r="F55" s="30" t="n">
        <v>1181.07</v>
      </c>
      <c r="G55" s="30" t="n">
        <v>12904.94</v>
      </c>
      <c r="H55" s="30" t="n">
        <v>7113.06</v>
      </c>
      <c r="I55" s="31" t="s">
        <v>87</v>
      </c>
      <c r="J55" s="32" t="n">
        <v>15</v>
      </c>
    </row>
    <row r="56" customFormat="false" ht="15" hidden="false" customHeight="false" outlineLevel="0" collapsed="false">
      <c r="B56" s="7" t="s">
        <v>156</v>
      </c>
      <c r="C56" s="9" t="n">
        <v>36260.17</v>
      </c>
      <c r="D56" s="9" t="n">
        <v>0</v>
      </c>
      <c r="E56" s="9" t="n">
        <v>35051.5</v>
      </c>
      <c r="F56" s="9" t="n">
        <v>0</v>
      </c>
      <c r="G56" s="9" t="n">
        <v>35051.5</v>
      </c>
      <c r="H56" s="9" t="n">
        <v>1208.67</v>
      </c>
      <c r="I56" s="33" t="s">
        <v>89</v>
      </c>
      <c r="J56" s="34" t="n">
        <v>5</v>
      </c>
    </row>
    <row r="57" customFormat="false" ht="15" hidden="false" customHeight="false" outlineLevel="0" collapsed="false">
      <c r="A57" s="35"/>
      <c r="B57" s="36" t="s">
        <v>34</v>
      </c>
      <c r="C57" s="37" t="n">
        <f aca="false">SUM(C53:C56)</f>
        <v>268855.67</v>
      </c>
      <c r="D57" s="37" t="n">
        <f aca="false">SUM(D53:D56)</f>
        <v>0</v>
      </c>
      <c r="E57" s="37" t="n">
        <f aca="false">SUM(E53:E56)</f>
        <v>108936.3</v>
      </c>
      <c r="F57" s="37" t="n">
        <f aca="false">SUM(F53:F56)</f>
        <v>8911.17</v>
      </c>
      <c r="G57" s="37" t="n">
        <f aca="false">SUM(G53:G56)</f>
        <v>117847.47</v>
      </c>
      <c r="H57" s="37" t="n">
        <f aca="false">SUM(H53:H56)</f>
        <v>151008.2</v>
      </c>
      <c r="I57" s="35"/>
      <c r="J57" s="35"/>
    </row>
    <row r="59" customFormat="false" ht="15" hidden="false" customHeight="false" outlineLevel="0" collapsed="false">
      <c r="A59" s="38" t="s">
        <v>90</v>
      </c>
      <c r="B59" s="38"/>
      <c r="C59" s="38"/>
      <c r="D59" s="38"/>
      <c r="E59" s="38"/>
      <c r="F59" s="38"/>
      <c r="G59" s="38"/>
      <c r="H59" s="38"/>
      <c r="I59" s="38"/>
      <c r="J59" s="38"/>
    </row>
    <row r="60" customFormat="false" ht="15" hidden="false" customHeight="false" outlineLevel="0" collapsed="false">
      <c r="A60" s="27"/>
      <c r="B60" s="27" t="s">
        <v>74</v>
      </c>
      <c r="C60" s="28" t="s">
        <v>75</v>
      </c>
      <c r="D60" s="28" t="s">
        <v>76</v>
      </c>
      <c r="E60" s="28" t="s">
        <v>77</v>
      </c>
      <c r="F60" s="28" t="s">
        <v>78</v>
      </c>
      <c r="G60" s="28" t="s">
        <v>79</v>
      </c>
      <c r="H60" s="28" t="s">
        <v>80</v>
      </c>
      <c r="I60" s="28" t="s">
        <v>81</v>
      </c>
      <c r="J60" s="28" t="s">
        <v>82</v>
      </c>
    </row>
    <row r="61" customFormat="false" ht="15" hidden="false" customHeight="false" outlineLevel="0" collapsed="false">
      <c r="B61" s="29" t="s">
        <v>157</v>
      </c>
      <c r="C61" s="30" t="n">
        <v>41085.46</v>
      </c>
      <c r="D61" s="30" t="n">
        <v>0</v>
      </c>
      <c r="E61" s="30" t="n">
        <v>41085.46</v>
      </c>
      <c r="F61" s="30" t="n">
        <v>0</v>
      </c>
      <c r="G61" s="30" t="n">
        <v>41085.46</v>
      </c>
      <c r="H61" s="30" t="n">
        <v>0</v>
      </c>
      <c r="I61" s="31" t="s">
        <v>89</v>
      </c>
      <c r="J61" s="32" t="n">
        <v>5</v>
      </c>
    </row>
    <row r="62" customFormat="false" ht="15" hidden="false" customHeight="false" outlineLevel="0" collapsed="false">
      <c r="B62" s="7" t="s">
        <v>158</v>
      </c>
      <c r="C62" s="9" t="n">
        <v>171105.59</v>
      </c>
      <c r="D62" s="9" t="n">
        <v>0</v>
      </c>
      <c r="E62" s="9" t="n">
        <v>50035.41</v>
      </c>
      <c r="F62" s="9" t="n">
        <v>6222.02</v>
      </c>
      <c r="G62" s="9" t="n">
        <v>56257.43</v>
      </c>
      <c r="H62" s="9" t="n">
        <v>114848.16</v>
      </c>
      <c r="I62" s="33" t="s">
        <v>84</v>
      </c>
      <c r="J62" s="34" t="n">
        <v>27.5</v>
      </c>
    </row>
    <row r="63" customFormat="false" ht="15" hidden="false" customHeight="false" outlineLevel="0" collapsed="false">
      <c r="B63" s="29" t="s">
        <v>159</v>
      </c>
      <c r="C63" s="30" t="n">
        <v>74.83</v>
      </c>
      <c r="D63" s="30" t="n">
        <v>0</v>
      </c>
      <c r="E63" s="30" t="n">
        <v>74.83</v>
      </c>
      <c r="F63" s="30" t="n">
        <v>0</v>
      </c>
      <c r="G63" s="30" t="n">
        <v>74.83</v>
      </c>
      <c r="H63" s="30" t="n">
        <v>0</v>
      </c>
      <c r="I63" s="31" t="s">
        <v>89</v>
      </c>
      <c r="J63" s="32" t="n">
        <v>5</v>
      </c>
    </row>
    <row r="64" customFormat="false" ht="15" hidden="false" customHeight="false" outlineLevel="0" collapsed="false">
      <c r="B64" s="7" t="s">
        <v>160</v>
      </c>
      <c r="C64" s="9" t="n">
        <v>311.62</v>
      </c>
      <c r="D64" s="9" t="n">
        <v>0</v>
      </c>
      <c r="E64" s="9" t="n">
        <v>90.17</v>
      </c>
      <c r="F64" s="9" t="n">
        <v>11.33</v>
      </c>
      <c r="G64" s="9" t="n">
        <v>101.5</v>
      </c>
      <c r="H64" s="9" t="n">
        <v>210.12</v>
      </c>
      <c r="I64" s="33" t="s">
        <v>84</v>
      </c>
      <c r="J64" s="34" t="n">
        <v>27.5</v>
      </c>
    </row>
    <row r="65" customFormat="false" ht="15" hidden="false" customHeight="false" outlineLevel="0" collapsed="false">
      <c r="B65" s="29" t="s">
        <v>161</v>
      </c>
      <c r="C65" s="30" t="n">
        <v>3875.98</v>
      </c>
      <c r="D65" s="30" t="n">
        <v>0</v>
      </c>
      <c r="E65" s="30" t="n">
        <v>3875.98</v>
      </c>
      <c r="F65" s="30" t="n">
        <v>0</v>
      </c>
      <c r="G65" s="30" t="n">
        <v>3875.98</v>
      </c>
      <c r="H65" s="30" t="n">
        <v>0</v>
      </c>
      <c r="I65" s="31" t="s">
        <v>89</v>
      </c>
      <c r="J65" s="32" t="n">
        <v>5</v>
      </c>
    </row>
    <row r="66" customFormat="false" ht="15" hidden="false" customHeight="false" outlineLevel="0" collapsed="false">
      <c r="B66" s="7" t="s">
        <v>162</v>
      </c>
      <c r="C66" s="9" t="n">
        <v>16142.02</v>
      </c>
      <c r="D66" s="9" t="n">
        <v>0</v>
      </c>
      <c r="E66" s="9" t="n">
        <v>4720.3</v>
      </c>
      <c r="F66" s="9" t="n">
        <v>586.98</v>
      </c>
      <c r="G66" s="9" t="n">
        <v>5307.28</v>
      </c>
      <c r="H66" s="9" t="n">
        <v>10834.74</v>
      </c>
      <c r="I66" s="33" t="s">
        <v>84</v>
      </c>
      <c r="J66" s="34" t="n">
        <v>27.5</v>
      </c>
    </row>
    <row r="67" customFormat="false" ht="15" hidden="false" customHeight="false" outlineLevel="0" collapsed="false">
      <c r="B67" s="29" t="s">
        <v>163</v>
      </c>
      <c r="C67" s="30" t="n">
        <v>7020.87</v>
      </c>
      <c r="D67" s="30" t="n">
        <v>0</v>
      </c>
      <c r="E67" s="30" t="n">
        <v>7020.87</v>
      </c>
      <c r="F67" s="30" t="n">
        <v>0</v>
      </c>
      <c r="G67" s="30" t="n">
        <v>7020.87</v>
      </c>
      <c r="H67" s="30" t="n">
        <v>0</v>
      </c>
      <c r="I67" s="31" t="s">
        <v>89</v>
      </c>
      <c r="J67" s="32" t="n">
        <v>5</v>
      </c>
    </row>
    <row r="68" customFormat="false" ht="15" hidden="false" customHeight="false" outlineLevel="0" collapsed="false">
      <c r="B68" s="7" t="s">
        <v>164</v>
      </c>
      <c r="C68" s="9" t="n">
        <v>29239.3</v>
      </c>
      <c r="D68" s="9" t="n">
        <v>0</v>
      </c>
      <c r="E68" s="9" t="n">
        <v>8550.3</v>
      </c>
      <c r="F68" s="9" t="n">
        <v>1063.25</v>
      </c>
      <c r="G68" s="9" t="n">
        <v>9613.55</v>
      </c>
      <c r="H68" s="9" t="n">
        <v>19625.75</v>
      </c>
      <c r="I68" s="33" t="s">
        <v>84</v>
      </c>
      <c r="J68" s="34" t="n">
        <v>27.5</v>
      </c>
    </row>
    <row r="69" customFormat="false" ht="15" hidden="false" customHeight="false" outlineLevel="0" collapsed="false">
      <c r="A69" s="35"/>
      <c r="B69" s="36" t="s">
        <v>34</v>
      </c>
      <c r="C69" s="37" t="n">
        <f aca="false">SUM(C61:C68)</f>
        <v>268855.67</v>
      </c>
      <c r="D69" s="37" t="n">
        <f aca="false">SUM(D61:D68)</f>
        <v>0</v>
      </c>
      <c r="E69" s="37" t="n">
        <f aca="false">SUM(E61:E68)</f>
        <v>115453.32</v>
      </c>
      <c r="F69" s="37" t="n">
        <f aca="false">SUM(F61:F68)</f>
        <v>7883.58</v>
      </c>
      <c r="G69" s="37" t="n">
        <f aca="false">SUM(G61:G68)</f>
        <v>123336.9</v>
      </c>
      <c r="H69" s="37" t="n">
        <f aca="false">SUM(H61:H68)</f>
        <v>145518.77</v>
      </c>
      <c r="I69" s="35"/>
      <c r="J69" s="35"/>
    </row>
    <row r="71" customFormat="false" ht="15" hidden="false" customHeight="false" outlineLevel="0" collapsed="false">
      <c r="A71" s="25" t="s">
        <v>38</v>
      </c>
      <c r="B71" s="25"/>
      <c r="C71" s="25"/>
      <c r="D71" s="25"/>
      <c r="E71" s="25"/>
    </row>
    <row r="72" customFormat="false" ht="15" hidden="false" customHeight="false" outlineLevel="0" collapsed="false">
      <c r="B72" s="7" t="s">
        <v>99</v>
      </c>
      <c r="C72" s="39" t="n">
        <f aca="false">G57</f>
        <v>117847.47</v>
      </c>
    </row>
    <row r="73" customFormat="false" ht="15" hidden="false" customHeight="false" outlineLevel="0" collapsed="false">
      <c r="B73" s="7" t="s">
        <v>100</v>
      </c>
      <c r="C73" s="39" t="n">
        <f aca="false">G69</f>
        <v>123336.9</v>
      </c>
    </row>
    <row r="74" customFormat="false" ht="15" hidden="false" customHeight="false" outlineLevel="0" collapsed="false">
      <c r="B74" s="10" t="s">
        <v>38</v>
      </c>
      <c r="C74" s="40" t="n">
        <f aca="false">C73-C72</f>
        <v>5489.42999999999</v>
      </c>
    </row>
  </sheetData>
  <mergeCells count="11">
    <mergeCell ref="A2:J2"/>
    <mergeCell ref="A3:J3"/>
    <mergeCell ref="A4:J4"/>
    <mergeCell ref="A8:J8"/>
    <mergeCell ref="B10:J10"/>
    <mergeCell ref="B23:J23"/>
    <mergeCell ref="B43:J43"/>
    <mergeCell ref="A50:J50"/>
    <mergeCell ref="A51:J51"/>
    <mergeCell ref="A59:J59"/>
    <mergeCell ref="A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205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206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7759.94</v>
      </c>
      <c r="D11" s="21" t="n">
        <v>7759.94</v>
      </c>
    </row>
    <row r="12" customFormat="false" ht="15" hidden="false" customHeight="false" outlineLevel="0" collapsed="false">
      <c r="B12" s="15" t="s">
        <v>105</v>
      </c>
      <c r="C12" s="21" t="n">
        <v>4601.14</v>
      </c>
      <c r="D12" s="21" t="n">
        <v>4601.14</v>
      </c>
    </row>
    <row r="13" customFormat="false" ht="15" hidden="false" customHeight="false" outlineLevel="0" collapsed="false">
      <c r="B13" s="15" t="s">
        <v>106</v>
      </c>
      <c r="C13" s="21" t="n">
        <v>18695.69</v>
      </c>
      <c r="D13" s="21" t="n">
        <v>18695.69</v>
      </c>
    </row>
    <row r="14" customFormat="false" ht="15" hidden="false" customHeight="false" outlineLevel="0" collapsed="false">
      <c r="B14" s="15" t="s">
        <v>108</v>
      </c>
      <c r="C14" s="21" t="n">
        <v>2235.2</v>
      </c>
      <c r="D14" s="21" t="n">
        <v>2235.2</v>
      </c>
    </row>
    <row r="15" customFormat="false" ht="15" hidden="false" customHeight="false" outlineLevel="0" collapsed="false">
      <c r="B15" s="15" t="s">
        <v>146</v>
      </c>
      <c r="C15" s="21" t="n">
        <v>274.94</v>
      </c>
      <c r="D15" s="21" t="n">
        <v>274.94</v>
      </c>
    </row>
    <row r="16" customFormat="false" ht="15" hidden="false" customHeight="false" outlineLevel="0" collapsed="false">
      <c r="B16" s="15" t="s">
        <v>147</v>
      </c>
      <c r="C16" s="21" t="n">
        <v>120.68</v>
      </c>
      <c r="D16" s="21" t="n">
        <v>120.68</v>
      </c>
    </row>
    <row r="17" customFormat="false" ht="15" hidden="false" customHeight="false" outlineLevel="0" collapsed="false">
      <c r="B17" s="15" t="s">
        <v>109</v>
      </c>
      <c r="C17" s="21" t="n">
        <v>4471.44</v>
      </c>
      <c r="D17" s="21" t="n">
        <v>4471.44</v>
      </c>
    </row>
    <row r="18" customFormat="false" ht="15" hidden="false" customHeight="false" outlineLevel="0" collapsed="false">
      <c r="B18" s="15" t="s">
        <v>110</v>
      </c>
      <c r="C18" s="21" t="n">
        <v>1633.14</v>
      </c>
      <c r="D18" s="21" t="n">
        <v>1633.14</v>
      </c>
    </row>
    <row r="19" customFormat="false" ht="15" hidden="false" customHeight="false" outlineLevel="0" collapsed="false">
      <c r="B19" s="15" t="s">
        <v>148</v>
      </c>
      <c r="C19" s="21" t="n">
        <v>5141.11</v>
      </c>
      <c r="D19" s="21" t="n">
        <v>5141.11</v>
      </c>
    </row>
    <row r="20" customFormat="false" ht="15" hidden="false" customHeight="false" outlineLevel="0" collapsed="false">
      <c r="B20" s="15" t="s">
        <v>112</v>
      </c>
      <c r="C20" s="21" t="n">
        <v>1534.74</v>
      </c>
      <c r="D20" s="21" t="n">
        <v>1534.74</v>
      </c>
    </row>
    <row r="21" customFormat="false" ht="15" hidden="false" customHeight="false" outlineLevel="0" collapsed="false">
      <c r="B21" s="15" t="s">
        <v>149</v>
      </c>
      <c r="C21" s="21" t="n">
        <v>64.8</v>
      </c>
      <c r="D21" s="21" t="n">
        <v>64.8</v>
      </c>
    </row>
    <row r="22" customFormat="false" ht="15" hidden="false" customHeight="false" outlineLevel="0" collapsed="false">
      <c r="B22" s="15" t="s">
        <v>150</v>
      </c>
      <c r="C22" s="21" t="n">
        <v>5524.32</v>
      </c>
      <c r="D22" s="21" t="n">
        <v>5524.32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10400.92</v>
      </c>
      <c r="G24" s="21" t="n">
        <v>10400.92</v>
      </c>
    </row>
    <row r="25" customFormat="false" ht="15" hidden="false" customHeight="false" outlineLevel="0" collapsed="false">
      <c r="B25" s="15" t="s">
        <v>116</v>
      </c>
      <c r="C25" s="21" t="n">
        <v>19732.45</v>
      </c>
      <c r="G25" s="21" t="n">
        <v>19732.45</v>
      </c>
    </row>
    <row r="26" customFormat="false" ht="15" hidden="false" customHeight="false" outlineLevel="0" collapsed="false">
      <c r="B26" s="15" t="s">
        <v>117</v>
      </c>
      <c r="C26" s="21" t="n">
        <v>18076.85</v>
      </c>
      <c r="G26" s="21" t="n">
        <v>18076.85</v>
      </c>
    </row>
    <row r="27" customFormat="false" ht="15" hidden="false" customHeight="false" outlineLevel="0" collapsed="false">
      <c r="B27" s="15" t="s">
        <v>118</v>
      </c>
      <c r="C27" s="21" t="n">
        <v>19867.9</v>
      </c>
      <c r="G27" s="21" t="n">
        <v>19867.9</v>
      </c>
    </row>
    <row r="28" customFormat="false" ht="15" hidden="false" customHeight="false" outlineLevel="0" collapsed="false">
      <c r="B28" s="15" t="s">
        <v>119</v>
      </c>
      <c r="C28" s="21" t="n">
        <v>15953.11</v>
      </c>
      <c r="G28" s="21" t="n">
        <v>15953.11</v>
      </c>
    </row>
    <row r="29" customFormat="false" ht="15" hidden="false" customHeight="false" outlineLevel="0" collapsed="false">
      <c r="B29" s="15" t="s">
        <v>120</v>
      </c>
      <c r="C29" s="21" t="n">
        <v>1077</v>
      </c>
      <c r="G29" s="21" t="n">
        <v>1077</v>
      </c>
    </row>
    <row r="30" customFormat="false" ht="15" hidden="false" customHeight="false" outlineLevel="0" collapsed="false">
      <c r="B30" s="15" t="s">
        <v>121</v>
      </c>
      <c r="C30" s="21" t="n">
        <v>24515.03</v>
      </c>
      <c r="G30" s="21" t="n">
        <v>24515.03</v>
      </c>
    </row>
    <row r="31" customFormat="false" ht="15" hidden="false" customHeight="false" outlineLevel="0" collapsed="false">
      <c r="B31" s="15" t="s">
        <v>122</v>
      </c>
      <c r="C31" s="21" t="n">
        <v>18444.72</v>
      </c>
      <c r="G31" s="21" t="n">
        <v>18444.72</v>
      </c>
    </row>
    <row r="32" customFormat="false" ht="15" hidden="false" customHeight="false" outlineLevel="0" collapsed="false">
      <c r="B32" s="15" t="s">
        <v>123</v>
      </c>
      <c r="C32" s="21" t="n">
        <v>11037.53</v>
      </c>
      <c r="G32" s="21" t="n">
        <v>11037.53</v>
      </c>
    </row>
    <row r="33" customFormat="false" ht="15" hidden="false" customHeight="false" outlineLevel="0" collapsed="false">
      <c r="B33" s="15" t="s">
        <v>124</v>
      </c>
      <c r="C33" s="21" t="n">
        <v>8326.32</v>
      </c>
      <c r="G33" s="21" t="n">
        <v>8326.32</v>
      </c>
    </row>
    <row r="34" customFormat="false" ht="15" hidden="false" customHeight="false" outlineLevel="0" collapsed="false">
      <c r="B34" s="15" t="s">
        <v>125</v>
      </c>
      <c r="C34" s="21" t="n">
        <v>20278.2</v>
      </c>
      <c r="G34" s="21" t="n">
        <v>20278.2</v>
      </c>
    </row>
    <row r="35" customFormat="false" ht="15" hidden="false" customHeight="false" outlineLevel="0" collapsed="false">
      <c r="B35" s="15" t="s">
        <v>126</v>
      </c>
      <c r="C35" s="21" t="n">
        <v>8613.97</v>
      </c>
      <c r="G35" s="21" t="n">
        <v>8613.97</v>
      </c>
    </row>
    <row r="36" customFormat="false" ht="15" hidden="false" customHeight="false" outlineLevel="0" collapsed="false">
      <c r="B36" s="15" t="s">
        <v>127</v>
      </c>
      <c r="C36" s="21" t="n">
        <v>1343.51</v>
      </c>
      <c r="G36" s="21" t="n">
        <v>1343.51</v>
      </c>
    </row>
    <row r="37" customFormat="false" ht="15" hidden="false" customHeight="false" outlineLevel="0" collapsed="false">
      <c r="B37" s="15" t="s">
        <v>129</v>
      </c>
      <c r="C37" s="21" t="n">
        <v>27755.5</v>
      </c>
      <c r="G37" s="21" t="n">
        <v>27755.5</v>
      </c>
    </row>
    <row r="38" customFormat="false" ht="15" hidden="false" customHeight="false" outlineLevel="0" collapsed="false">
      <c r="B38" s="15" t="s">
        <v>151</v>
      </c>
      <c r="C38" s="21" t="n">
        <v>6811.28</v>
      </c>
      <c r="G38" s="21" t="n">
        <v>6811.28</v>
      </c>
    </row>
    <row r="39" customFormat="false" ht="15" hidden="false" customHeight="false" outlineLevel="0" collapsed="false">
      <c r="B39" s="15" t="s">
        <v>130</v>
      </c>
      <c r="C39" s="21" t="n">
        <v>1999.53</v>
      </c>
      <c r="G39" s="21" t="n">
        <v>1999.53</v>
      </c>
    </row>
    <row r="40" customFormat="false" ht="15" hidden="false" customHeight="false" outlineLevel="0" collapsed="false">
      <c r="B40" s="15" t="s">
        <v>152</v>
      </c>
      <c r="C40" s="21" t="n">
        <v>2564.71</v>
      </c>
      <c r="G40" s="21" t="n">
        <v>2564.71</v>
      </c>
    </row>
    <row r="41" customFormat="false" ht="15" hidden="false" customHeight="false" outlineLevel="0" collapsed="false">
      <c r="A41" s="22"/>
      <c r="B41" s="23" t="s">
        <v>66</v>
      </c>
      <c r="C41" s="24" t="n">
        <f aca="false">SUM(C10:C40)</f>
        <v>268855.67</v>
      </c>
      <c r="D41" s="24" t="n">
        <f aca="false">SUM(D10:D40)</f>
        <v>52057.14</v>
      </c>
      <c r="E41" s="24" t="n">
        <f aca="false">SUM(E10:E40)</f>
        <v>0</v>
      </c>
      <c r="F41" s="24" t="n">
        <f aca="false">SUM(F10:F40)</f>
        <v>0</v>
      </c>
      <c r="G41" s="24" t="n">
        <f aca="false">SUM(G10:G40)</f>
        <v>216798.53</v>
      </c>
      <c r="H41" s="22"/>
    </row>
    <row r="43" customFormat="false" ht="15" hidden="false" customHeight="false" outlineLevel="0" collapsed="false">
      <c r="A43" s="19"/>
      <c r="B43" s="20" t="s">
        <v>67</v>
      </c>
      <c r="C43" s="20"/>
      <c r="D43" s="20"/>
      <c r="E43" s="20"/>
      <c r="F43" s="20"/>
      <c r="G43" s="20"/>
      <c r="H43" s="20"/>
      <c r="I43" s="20"/>
      <c r="J43" s="20"/>
    </row>
    <row r="44" customFormat="false" ht="15" hidden="false" customHeight="false" outlineLevel="0" collapsed="false">
      <c r="B44" s="15" t="s">
        <v>68</v>
      </c>
      <c r="C44" s="21" t="n">
        <v>212191.05</v>
      </c>
      <c r="D44" s="21" t="n">
        <v>41085.46</v>
      </c>
      <c r="G44" s="21" t="n">
        <v>171105.59</v>
      </c>
    </row>
    <row r="45" customFormat="false" ht="15" hidden="false" customHeight="false" outlineLevel="0" collapsed="false">
      <c r="B45" s="15" t="s">
        <v>69</v>
      </c>
      <c r="C45" s="21" t="n">
        <v>386.45</v>
      </c>
      <c r="D45" s="21" t="n">
        <v>74.83</v>
      </c>
      <c r="G45" s="21" t="n">
        <v>311.62</v>
      </c>
    </row>
    <row r="46" customFormat="false" ht="15" hidden="false" customHeight="false" outlineLevel="0" collapsed="false">
      <c r="B46" s="15" t="s">
        <v>70</v>
      </c>
      <c r="C46" s="21" t="n">
        <v>20018</v>
      </c>
      <c r="D46" s="21" t="n">
        <v>3875.98</v>
      </c>
      <c r="G46" s="21" t="n">
        <v>16142.02</v>
      </c>
    </row>
    <row r="47" customFormat="false" ht="15" hidden="false" customHeight="false" outlineLevel="0" collapsed="false">
      <c r="B47" s="15" t="s">
        <v>71</v>
      </c>
      <c r="C47" s="21" t="n">
        <v>36260.17</v>
      </c>
      <c r="D47" s="21" t="n">
        <v>7020.87</v>
      </c>
      <c r="G47" s="21" t="n">
        <v>29239.3</v>
      </c>
    </row>
    <row r="48" customFormat="false" ht="15" hidden="false" customHeight="false" outlineLevel="0" collapsed="false">
      <c r="A48" s="22"/>
      <c r="B48" s="23" t="s">
        <v>72</v>
      </c>
      <c r="C48" s="24" t="n">
        <f aca="false">SUM(C44:C47)</f>
        <v>268855.67</v>
      </c>
      <c r="D48" s="24" t="n">
        <f aca="false">SUM(D44:D47)</f>
        <v>52057.14</v>
      </c>
      <c r="E48" s="22"/>
      <c r="F48" s="24" t="n">
        <f aca="false">SUM(F44:F47)</f>
        <v>0</v>
      </c>
      <c r="G48" s="24" t="n">
        <f aca="false">SUM(G44:G47)</f>
        <v>216798.53</v>
      </c>
      <c r="H48" s="22"/>
    </row>
    <row r="50" customFormat="false" ht="15" hidden="false" customHeight="false" outlineLevel="0" collapsed="false">
      <c r="A50" s="25" t="s">
        <v>73</v>
      </c>
      <c r="B50" s="25"/>
      <c r="C50" s="25"/>
      <c r="D50" s="25"/>
      <c r="E50" s="25"/>
      <c r="F50" s="25"/>
      <c r="G50" s="25"/>
      <c r="H50" s="25"/>
      <c r="I50" s="25"/>
      <c r="J50" s="25"/>
    </row>
    <row r="51" customFormat="false" ht="15" hidden="false" customHeight="false" outlineLevel="0" collapsed="false">
      <c r="A51" s="26" t="s">
        <v>36</v>
      </c>
      <c r="B51" s="26"/>
      <c r="C51" s="26"/>
      <c r="D51" s="26"/>
      <c r="E51" s="26"/>
      <c r="F51" s="26"/>
      <c r="G51" s="26"/>
      <c r="H51" s="26"/>
      <c r="I51" s="26"/>
      <c r="J51" s="26"/>
    </row>
    <row r="52" customFormat="false" ht="15" hidden="false" customHeight="false" outlineLevel="0" collapsed="false">
      <c r="A52" s="27"/>
      <c r="B52" s="27" t="s">
        <v>74</v>
      </c>
      <c r="C52" s="28" t="s">
        <v>75</v>
      </c>
      <c r="D52" s="28" t="s">
        <v>76</v>
      </c>
      <c r="E52" s="28" t="s">
        <v>77</v>
      </c>
      <c r="F52" s="28" t="s">
        <v>78</v>
      </c>
      <c r="G52" s="28" t="s">
        <v>79</v>
      </c>
      <c r="H52" s="28" t="s">
        <v>80</v>
      </c>
      <c r="I52" s="28" t="s">
        <v>81</v>
      </c>
      <c r="J52" s="28" t="s">
        <v>82</v>
      </c>
    </row>
    <row r="53" customFormat="false" ht="15" hidden="false" customHeight="false" outlineLevel="0" collapsed="false">
      <c r="B53" s="29" t="s">
        <v>153</v>
      </c>
      <c r="C53" s="30" t="n">
        <v>212191.05</v>
      </c>
      <c r="D53" s="30" t="n">
        <v>0</v>
      </c>
      <c r="E53" s="30" t="n">
        <v>62049.02</v>
      </c>
      <c r="F53" s="30" t="n">
        <v>7716.04</v>
      </c>
      <c r="G53" s="30" t="n">
        <v>69765.06</v>
      </c>
      <c r="H53" s="30" t="n">
        <v>142425.99</v>
      </c>
      <c r="I53" s="31" t="s">
        <v>84</v>
      </c>
      <c r="J53" s="32" t="n">
        <v>27.5</v>
      </c>
    </row>
    <row r="54" customFormat="false" ht="15" hidden="false" customHeight="false" outlineLevel="0" collapsed="false">
      <c r="B54" s="7" t="s">
        <v>154</v>
      </c>
      <c r="C54" s="9" t="n">
        <v>386.45</v>
      </c>
      <c r="D54" s="9" t="n">
        <v>0</v>
      </c>
      <c r="E54" s="9" t="n">
        <v>111.91</v>
      </c>
      <c r="F54" s="9" t="n">
        <v>14.06</v>
      </c>
      <c r="G54" s="9" t="n">
        <v>125.97</v>
      </c>
      <c r="H54" s="9" t="n">
        <v>260.48</v>
      </c>
      <c r="I54" s="33" t="s">
        <v>84</v>
      </c>
      <c r="J54" s="34" t="n">
        <v>27.5</v>
      </c>
    </row>
    <row r="55" customFormat="false" ht="15" hidden="false" customHeight="false" outlineLevel="0" collapsed="false">
      <c r="B55" s="29" t="s">
        <v>155</v>
      </c>
      <c r="C55" s="30" t="n">
        <v>20018</v>
      </c>
      <c r="D55" s="30" t="n">
        <v>0</v>
      </c>
      <c r="E55" s="30" t="n">
        <v>11723.87</v>
      </c>
      <c r="F55" s="30" t="n">
        <v>1181.07</v>
      </c>
      <c r="G55" s="30" t="n">
        <v>12904.94</v>
      </c>
      <c r="H55" s="30" t="n">
        <v>7113.06</v>
      </c>
      <c r="I55" s="31" t="s">
        <v>87</v>
      </c>
      <c r="J55" s="32" t="n">
        <v>15</v>
      </c>
    </row>
    <row r="56" customFormat="false" ht="15" hidden="false" customHeight="false" outlineLevel="0" collapsed="false">
      <c r="B56" s="7" t="s">
        <v>156</v>
      </c>
      <c r="C56" s="9" t="n">
        <v>36260.17</v>
      </c>
      <c r="D56" s="9" t="n">
        <v>0</v>
      </c>
      <c r="E56" s="9" t="n">
        <v>35051.5</v>
      </c>
      <c r="F56" s="9" t="n">
        <v>0</v>
      </c>
      <c r="G56" s="9" t="n">
        <v>35051.5</v>
      </c>
      <c r="H56" s="9" t="n">
        <v>1208.67</v>
      </c>
      <c r="I56" s="33" t="s">
        <v>89</v>
      </c>
      <c r="J56" s="34" t="n">
        <v>5</v>
      </c>
    </row>
    <row r="57" customFormat="false" ht="15" hidden="false" customHeight="false" outlineLevel="0" collapsed="false">
      <c r="A57" s="35"/>
      <c r="B57" s="36" t="s">
        <v>34</v>
      </c>
      <c r="C57" s="37" t="n">
        <f aca="false">SUM(C53:C56)</f>
        <v>268855.67</v>
      </c>
      <c r="D57" s="37" t="n">
        <f aca="false">SUM(D53:D56)</f>
        <v>0</v>
      </c>
      <c r="E57" s="37" t="n">
        <f aca="false">SUM(E53:E56)</f>
        <v>108936.3</v>
      </c>
      <c r="F57" s="37" t="n">
        <f aca="false">SUM(F53:F56)</f>
        <v>8911.17</v>
      </c>
      <c r="G57" s="37" t="n">
        <f aca="false">SUM(G53:G56)</f>
        <v>117847.47</v>
      </c>
      <c r="H57" s="37" t="n">
        <f aca="false">SUM(H53:H56)</f>
        <v>151008.2</v>
      </c>
      <c r="I57" s="35"/>
      <c r="J57" s="35"/>
    </row>
    <row r="59" customFormat="false" ht="15" hidden="false" customHeight="false" outlineLevel="0" collapsed="false">
      <c r="A59" s="38" t="s">
        <v>90</v>
      </c>
      <c r="B59" s="38"/>
      <c r="C59" s="38"/>
      <c r="D59" s="38"/>
      <c r="E59" s="38"/>
      <c r="F59" s="38"/>
      <c r="G59" s="38"/>
      <c r="H59" s="38"/>
      <c r="I59" s="38"/>
      <c r="J59" s="38"/>
    </row>
    <row r="60" customFormat="false" ht="15" hidden="false" customHeight="false" outlineLevel="0" collapsed="false">
      <c r="A60" s="27"/>
      <c r="B60" s="27" t="s">
        <v>74</v>
      </c>
      <c r="C60" s="28" t="s">
        <v>75</v>
      </c>
      <c r="D60" s="28" t="s">
        <v>76</v>
      </c>
      <c r="E60" s="28" t="s">
        <v>77</v>
      </c>
      <c r="F60" s="28" t="s">
        <v>78</v>
      </c>
      <c r="G60" s="28" t="s">
        <v>79</v>
      </c>
      <c r="H60" s="28" t="s">
        <v>80</v>
      </c>
      <c r="I60" s="28" t="s">
        <v>81</v>
      </c>
      <c r="J60" s="28" t="s">
        <v>82</v>
      </c>
    </row>
    <row r="61" customFormat="false" ht="15" hidden="false" customHeight="false" outlineLevel="0" collapsed="false">
      <c r="B61" s="29" t="s">
        <v>157</v>
      </c>
      <c r="C61" s="30" t="n">
        <v>41085.46</v>
      </c>
      <c r="D61" s="30" t="n">
        <v>0</v>
      </c>
      <c r="E61" s="30" t="n">
        <v>41085.46</v>
      </c>
      <c r="F61" s="30" t="n">
        <v>0</v>
      </c>
      <c r="G61" s="30" t="n">
        <v>41085.46</v>
      </c>
      <c r="H61" s="30" t="n">
        <v>0</v>
      </c>
      <c r="I61" s="31" t="s">
        <v>89</v>
      </c>
      <c r="J61" s="32" t="n">
        <v>5</v>
      </c>
    </row>
    <row r="62" customFormat="false" ht="15" hidden="false" customHeight="false" outlineLevel="0" collapsed="false">
      <c r="B62" s="7" t="s">
        <v>158</v>
      </c>
      <c r="C62" s="9" t="n">
        <v>171105.59</v>
      </c>
      <c r="D62" s="9" t="n">
        <v>0</v>
      </c>
      <c r="E62" s="9" t="n">
        <v>50035.41</v>
      </c>
      <c r="F62" s="9" t="n">
        <v>6222.02</v>
      </c>
      <c r="G62" s="9" t="n">
        <v>56257.43</v>
      </c>
      <c r="H62" s="9" t="n">
        <v>114848.16</v>
      </c>
      <c r="I62" s="33" t="s">
        <v>84</v>
      </c>
      <c r="J62" s="34" t="n">
        <v>27.5</v>
      </c>
    </row>
    <row r="63" customFormat="false" ht="15" hidden="false" customHeight="false" outlineLevel="0" collapsed="false">
      <c r="B63" s="29" t="s">
        <v>159</v>
      </c>
      <c r="C63" s="30" t="n">
        <v>74.83</v>
      </c>
      <c r="D63" s="30" t="n">
        <v>0</v>
      </c>
      <c r="E63" s="30" t="n">
        <v>74.83</v>
      </c>
      <c r="F63" s="30" t="n">
        <v>0</v>
      </c>
      <c r="G63" s="30" t="n">
        <v>74.83</v>
      </c>
      <c r="H63" s="30" t="n">
        <v>0</v>
      </c>
      <c r="I63" s="31" t="s">
        <v>89</v>
      </c>
      <c r="J63" s="32" t="n">
        <v>5</v>
      </c>
    </row>
    <row r="64" customFormat="false" ht="15" hidden="false" customHeight="false" outlineLevel="0" collapsed="false">
      <c r="B64" s="7" t="s">
        <v>160</v>
      </c>
      <c r="C64" s="9" t="n">
        <v>311.62</v>
      </c>
      <c r="D64" s="9" t="n">
        <v>0</v>
      </c>
      <c r="E64" s="9" t="n">
        <v>90.17</v>
      </c>
      <c r="F64" s="9" t="n">
        <v>11.33</v>
      </c>
      <c r="G64" s="9" t="n">
        <v>101.5</v>
      </c>
      <c r="H64" s="9" t="n">
        <v>210.12</v>
      </c>
      <c r="I64" s="33" t="s">
        <v>84</v>
      </c>
      <c r="J64" s="34" t="n">
        <v>27.5</v>
      </c>
    </row>
    <row r="65" customFormat="false" ht="15" hidden="false" customHeight="false" outlineLevel="0" collapsed="false">
      <c r="B65" s="29" t="s">
        <v>161</v>
      </c>
      <c r="C65" s="30" t="n">
        <v>3875.98</v>
      </c>
      <c r="D65" s="30" t="n">
        <v>0</v>
      </c>
      <c r="E65" s="30" t="n">
        <v>3875.98</v>
      </c>
      <c r="F65" s="30" t="n">
        <v>0</v>
      </c>
      <c r="G65" s="30" t="n">
        <v>3875.98</v>
      </c>
      <c r="H65" s="30" t="n">
        <v>0</v>
      </c>
      <c r="I65" s="31" t="s">
        <v>89</v>
      </c>
      <c r="J65" s="32" t="n">
        <v>5</v>
      </c>
    </row>
    <row r="66" customFormat="false" ht="15" hidden="false" customHeight="false" outlineLevel="0" collapsed="false">
      <c r="B66" s="7" t="s">
        <v>162</v>
      </c>
      <c r="C66" s="9" t="n">
        <v>16142.02</v>
      </c>
      <c r="D66" s="9" t="n">
        <v>0</v>
      </c>
      <c r="E66" s="9" t="n">
        <v>4720.3</v>
      </c>
      <c r="F66" s="9" t="n">
        <v>586.98</v>
      </c>
      <c r="G66" s="9" t="n">
        <v>5307.28</v>
      </c>
      <c r="H66" s="9" t="n">
        <v>10834.74</v>
      </c>
      <c r="I66" s="33" t="s">
        <v>84</v>
      </c>
      <c r="J66" s="34" t="n">
        <v>27.5</v>
      </c>
    </row>
    <row r="67" customFormat="false" ht="15" hidden="false" customHeight="false" outlineLevel="0" collapsed="false">
      <c r="B67" s="29" t="s">
        <v>163</v>
      </c>
      <c r="C67" s="30" t="n">
        <v>7020.87</v>
      </c>
      <c r="D67" s="30" t="n">
        <v>0</v>
      </c>
      <c r="E67" s="30" t="n">
        <v>7020.87</v>
      </c>
      <c r="F67" s="30" t="n">
        <v>0</v>
      </c>
      <c r="G67" s="30" t="n">
        <v>7020.87</v>
      </c>
      <c r="H67" s="30" t="n">
        <v>0</v>
      </c>
      <c r="I67" s="31" t="s">
        <v>89</v>
      </c>
      <c r="J67" s="32" t="n">
        <v>5</v>
      </c>
    </row>
    <row r="68" customFormat="false" ht="15" hidden="false" customHeight="false" outlineLevel="0" collapsed="false">
      <c r="B68" s="7" t="s">
        <v>164</v>
      </c>
      <c r="C68" s="9" t="n">
        <v>29239.3</v>
      </c>
      <c r="D68" s="9" t="n">
        <v>0</v>
      </c>
      <c r="E68" s="9" t="n">
        <v>8550.3</v>
      </c>
      <c r="F68" s="9" t="n">
        <v>1063.25</v>
      </c>
      <c r="G68" s="9" t="n">
        <v>9613.55</v>
      </c>
      <c r="H68" s="9" t="n">
        <v>19625.75</v>
      </c>
      <c r="I68" s="33" t="s">
        <v>84</v>
      </c>
      <c r="J68" s="34" t="n">
        <v>27.5</v>
      </c>
    </row>
    <row r="69" customFormat="false" ht="15" hidden="false" customHeight="false" outlineLevel="0" collapsed="false">
      <c r="A69" s="35"/>
      <c r="B69" s="36" t="s">
        <v>34</v>
      </c>
      <c r="C69" s="37" t="n">
        <f aca="false">SUM(C61:C68)</f>
        <v>268855.67</v>
      </c>
      <c r="D69" s="37" t="n">
        <f aca="false">SUM(D61:D68)</f>
        <v>0</v>
      </c>
      <c r="E69" s="37" t="n">
        <f aca="false">SUM(E61:E68)</f>
        <v>115453.32</v>
      </c>
      <c r="F69" s="37" t="n">
        <f aca="false">SUM(F61:F68)</f>
        <v>7883.58</v>
      </c>
      <c r="G69" s="37" t="n">
        <f aca="false">SUM(G61:G68)</f>
        <v>123336.9</v>
      </c>
      <c r="H69" s="37" t="n">
        <f aca="false">SUM(H61:H68)</f>
        <v>145518.77</v>
      </c>
      <c r="I69" s="35"/>
      <c r="J69" s="35"/>
    </row>
    <row r="71" customFormat="false" ht="15" hidden="false" customHeight="false" outlineLevel="0" collapsed="false">
      <c r="A71" s="25" t="s">
        <v>38</v>
      </c>
      <c r="B71" s="25"/>
      <c r="C71" s="25"/>
      <c r="D71" s="25"/>
      <c r="E71" s="25"/>
    </row>
    <row r="72" customFormat="false" ht="15" hidden="false" customHeight="false" outlineLevel="0" collapsed="false">
      <c r="B72" s="7" t="s">
        <v>99</v>
      </c>
      <c r="C72" s="39" t="n">
        <f aca="false">G57</f>
        <v>117847.47</v>
      </c>
    </row>
    <row r="73" customFormat="false" ht="15" hidden="false" customHeight="false" outlineLevel="0" collapsed="false">
      <c r="B73" s="7" t="s">
        <v>100</v>
      </c>
      <c r="C73" s="39" t="n">
        <f aca="false">G69</f>
        <v>123336.9</v>
      </c>
    </row>
    <row r="74" customFormat="false" ht="15" hidden="false" customHeight="false" outlineLevel="0" collapsed="false">
      <c r="B74" s="10" t="s">
        <v>38</v>
      </c>
      <c r="C74" s="40" t="n">
        <f aca="false">C73-C72</f>
        <v>5489.42999999999</v>
      </c>
    </row>
  </sheetData>
  <mergeCells count="11">
    <mergeCell ref="A2:J2"/>
    <mergeCell ref="A3:J3"/>
    <mergeCell ref="A4:J4"/>
    <mergeCell ref="A8:J8"/>
    <mergeCell ref="B10:J10"/>
    <mergeCell ref="B23:J23"/>
    <mergeCell ref="B43:J43"/>
    <mergeCell ref="A50:J50"/>
    <mergeCell ref="A51:J51"/>
    <mergeCell ref="A59:J59"/>
    <mergeCell ref="A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207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208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7759.94</v>
      </c>
      <c r="D11" s="21" t="n">
        <v>7759.94</v>
      </c>
    </row>
    <row r="12" customFormat="false" ht="15" hidden="false" customHeight="false" outlineLevel="0" collapsed="false">
      <c r="B12" s="15" t="s">
        <v>105</v>
      </c>
      <c r="C12" s="21" t="n">
        <v>4601.14</v>
      </c>
      <c r="D12" s="21" t="n">
        <v>4601.14</v>
      </c>
    </row>
    <row r="13" customFormat="false" ht="15" hidden="false" customHeight="false" outlineLevel="0" collapsed="false">
      <c r="B13" s="15" t="s">
        <v>106</v>
      </c>
      <c r="C13" s="21" t="n">
        <v>18695.69</v>
      </c>
      <c r="D13" s="21" t="n">
        <v>18695.69</v>
      </c>
    </row>
    <row r="14" customFormat="false" ht="15" hidden="false" customHeight="false" outlineLevel="0" collapsed="false">
      <c r="B14" s="15" t="s">
        <v>108</v>
      </c>
      <c r="C14" s="21" t="n">
        <v>2235.2</v>
      </c>
      <c r="D14" s="21" t="n">
        <v>2235.2</v>
      </c>
    </row>
    <row r="15" customFormat="false" ht="15" hidden="false" customHeight="false" outlineLevel="0" collapsed="false">
      <c r="B15" s="15" t="s">
        <v>146</v>
      </c>
      <c r="C15" s="21" t="n">
        <v>274.94</v>
      </c>
      <c r="D15" s="21" t="n">
        <v>274.94</v>
      </c>
    </row>
    <row r="16" customFormat="false" ht="15" hidden="false" customHeight="false" outlineLevel="0" collapsed="false">
      <c r="B16" s="15" t="s">
        <v>147</v>
      </c>
      <c r="C16" s="21" t="n">
        <v>120.68</v>
      </c>
      <c r="D16" s="21" t="n">
        <v>120.68</v>
      </c>
    </row>
    <row r="17" customFormat="false" ht="15" hidden="false" customHeight="false" outlineLevel="0" collapsed="false">
      <c r="B17" s="15" t="s">
        <v>109</v>
      </c>
      <c r="C17" s="21" t="n">
        <v>4471.44</v>
      </c>
      <c r="D17" s="21" t="n">
        <v>4471.44</v>
      </c>
    </row>
    <row r="18" customFormat="false" ht="15" hidden="false" customHeight="false" outlineLevel="0" collapsed="false">
      <c r="B18" s="15" t="s">
        <v>110</v>
      </c>
      <c r="C18" s="21" t="n">
        <v>1633.14</v>
      </c>
      <c r="D18" s="21" t="n">
        <v>1633.14</v>
      </c>
    </row>
    <row r="19" customFormat="false" ht="15" hidden="false" customHeight="false" outlineLevel="0" collapsed="false">
      <c r="B19" s="15" t="s">
        <v>148</v>
      </c>
      <c r="C19" s="21" t="n">
        <v>5141.11</v>
      </c>
      <c r="D19" s="21" t="n">
        <v>5141.11</v>
      </c>
    </row>
    <row r="20" customFormat="false" ht="15" hidden="false" customHeight="false" outlineLevel="0" collapsed="false">
      <c r="B20" s="15" t="s">
        <v>112</v>
      </c>
      <c r="C20" s="21" t="n">
        <v>1534.74</v>
      </c>
      <c r="D20" s="21" t="n">
        <v>1534.74</v>
      </c>
    </row>
    <row r="21" customFormat="false" ht="15" hidden="false" customHeight="false" outlineLevel="0" collapsed="false">
      <c r="B21" s="15" t="s">
        <v>149</v>
      </c>
      <c r="C21" s="21" t="n">
        <v>64.8</v>
      </c>
      <c r="D21" s="21" t="n">
        <v>64.8</v>
      </c>
    </row>
    <row r="22" customFormat="false" ht="15" hidden="false" customHeight="false" outlineLevel="0" collapsed="false">
      <c r="B22" s="15" t="s">
        <v>150</v>
      </c>
      <c r="C22" s="21" t="n">
        <v>5524.32</v>
      </c>
      <c r="D22" s="21" t="n">
        <v>5524.32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10400.92</v>
      </c>
      <c r="G24" s="21" t="n">
        <v>10400.92</v>
      </c>
    </row>
    <row r="25" customFormat="false" ht="15" hidden="false" customHeight="false" outlineLevel="0" collapsed="false">
      <c r="B25" s="15" t="s">
        <v>116</v>
      </c>
      <c r="C25" s="21" t="n">
        <v>19732.45</v>
      </c>
      <c r="G25" s="21" t="n">
        <v>19732.45</v>
      </c>
    </row>
    <row r="26" customFormat="false" ht="15" hidden="false" customHeight="false" outlineLevel="0" collapsed="false">
      <c r="B26" s="15" t="s">
        <v>117</v>
      </c>
      <c r="C26" s="21" t="n">
        <v>18076.85</v>
      </c>
      <c r="G26" s="21" t="n">
        <v>18076.85</v>
      </c>
    </row>
    <row r="27" customFormat="false" ht="15" hidden="false" customHeight="false" outlineLevel="0" collapsed="false">
      <c r="B27" s="15" t="s">
        <v>118</v>
      </c>
      <c r="C27" s="21" t="n">
        <v>19867.9</v>
      </c>
      <c r="G27" s="21" t="n">
        <v>19867.9</v>
      </c>
    </row>
    <row r="28" customFormat="false" ht="15" hidden="false" customHeight="false" outlineLevel="0" collapsed="false">
      <c r="B28" s="15" t="s">
        <v>119</v>
      </c>
      <c r="C28" s="21" t="n">
        <v>15953.11</v>
      </c>
      <c r="G28" s="21" t="n">
        <v>15953.11</v>
      </c>
    </row>
    <row r="29" customFormat="false" ht="15" hidden="false" customHeight="false" outlineLevel="0" collapsed="false">
      <c r="B29" s="15" t="s">
        <v>120</v>
      </c>
      <c r="C29" s="21" t="n">
        <v>1077</v>
      </c>
      <c r="G29" s="21" t="n">
        <v>1077</v>
      </c>
    </row>
    <row r="30" customFormat="false" ht="15" hidden="false" customHeight="false" outlineLevel="0" collapsed="false">
      <c r="B30" s="15" t="s">
        <v>121</v>
      </c>
      <c r="C30" s="21" t="n">
        <v>24515.03</v>
      </c>
      <c r="G30" s="21" t="n">
        <v>24515.03</v>
      </c>
    </row>
    <row r="31" customFormat="false" ht="15" hidden="false" customHeight="false" outlineLevel="0" collapsed="false">
      <c r="B31" s="15" t="s">
        <v>122</v>
      </c>
      <c r="C31" s="21" t="n">
        <v>18444.72</v>
      </c>
      <c r="G31" s="21" t="n">
        <v>18444.72</v>
      </c>
    </row>
    <row r="32" customFormat="false" ht="15" hidden="false" customHeight="false" outlineLevel="0" collapsed="false">
      <c r="B32" s="15" t="s">
        <v>123</v>
      </c>
      <c r="C32" s="21" t="n">
        <v>11037.53</v>
      </c>
      <c r="G32" s="21" t="n">
        <v>11037.53</v>
      </c>
    </row>
    <row r="33" customFormat="false" ht="15" hidden="false" customHeight="false" outlineLevel="0" collapsed="false">
      <c r="B33" s="15" t="s">
        <v>124</v>
      </c>
      <c r="C33" s="21" t="n">
        <v>8326.32</v>
      </c>
      <c r="G33" s="21" t="n">
        <v>8326.32</v>
      </c>
    </row>
    <row r="34" customFormat="false" ht="15" hidden="false" customHeight="false" outlineLevel="0" collapsed="false">
      <c r="B34" s="15" t="s">
        <v>125</v>
      </c>
      <c r="C34" s="21" t="n">
        <v>20278.2</v>
      </c>
      <c r="G34" s="21" t="n">
        <v>20278.2</v>
      </c>
    </row>
    <row r="35" customFormat="false" ht="15" hidden="false" customHeight="false" outlineLevel="0" collapsed="false">
      <c r="B35" s="15" t="s">
        <v>126</v>
      </c>
      <c r="C35" s="21" t="n">
        <v>8613.97</v>
      </c>
      <c r="G35" s="21" t="n">
        <v>8613.97</v>
      </c>
    </row>
    <row r="36" customFormat="false" ht="15" hidden="false" customHeight="false" outlineLevel="0" collapsed="false">
      <c r="B36" s="15" t="s">
        <v>127</v>
      </c>
      <c r="C36" s="21" t="n">
        <v>1343.51</v>
      </c>
      <c r="G36" s="21" t="n">
        <v>1343.51</v>
      </c>
    </row>
    <row r="37" customFormat="false" ht="15" hidden="false" customHeight="false" outlineLevel="0" collapsed="false">
      <c r="B37" s="15" t="s">
        <v>129</v>
      </c>
      <c r="C37" s="21" t="n">
        <v>27755.5</v>
      </c>
      <c r="G37" s="21" t="n">
        <v>27755.5</v>
      </c>
    </row>
    <row r="38" customFormat="false" ht="15" hidden="false" customHeight="false" outlineLevel="0" collapsed="false">
      <c r="B38" s="15" t="s">
        <v>151</v>
      </c>
      <c r="C38" s="21" t="n">
        <v>6811.28</v>
      </c>
      <c r="G38" s="21" t="n">
        <v>6811.28</v>
      </c>
    </row>
    <row r="39" customFormat="false" ht="15" hidden="false" customHeight="false" outlineLevel="0" collapsed="false">
      <c r="B39" s="15" t="s">
        <v>130</v>
      </c>
      <c r="C39" s="21" t="n">
        <v>1999.53</v>
      </c>
      <c r="G39" s="21" t="n">
        <v>1999.53</v>
      </c>
    </row>
    <row r="40" customFormat="false" ht="15" hidden="false" customHeight="false" outlineLevel="0" collapsed="false">
      <c r="B40" s="15" t="s">
        <v>152</v>
      </c>
      <c r="C40" s="21" t="n">
        <v>2564.71</v>
      </c>
      <c r="G40" s="21" t="n">
        <v>2564.71</v>
      </c>
    </row>
    <row r="41" customFormat="false" ht="15" hidden="false" customHeight="false" outlineLevel="0" collapsed="false">
      <c r="A41" s="22"/>
      <c r="B41" s="23" t="s">
        <v>66</v>
      </c>
      <c r="C41" s="24" t="n">
        <f aca="false">SUM(C10:C40)</f>
        <v>268855.67</v>
      </c>
      <c r="D41" s="24" t="n">
        <f aca="false">SUM(D10:D40)</f>
        <v>52057.14</v>
      </c>
      <c r="E41" s="24" t="n">
        <f aca="false">SUM(E10:E40)</f>
        <v>0</v>
      </c>
      <c r="F41" s="24" t="n">
        <f aca="false">SUM(F10:F40)</f>
        <v>0</v>
      </c>
      <c r="G41" s="24" t="n">
        <f aca="false">SUM(G10:G40)</f>
        <v>216798.53</v>
      </c>
      <c r="H41" s="22"/>
    </row>
    <row r="43" customFormat="false" ht="15" hidden="false" customHeight="false" outlineLevel="0" collapsed="false">
      <c r="A43" s="19"/>
      <c r="B43" s="20" t="s">
        <v>67</v>
      </c>
      <c r="C43" s="20"/>
      <c r="D43" s="20"/>
      <c r="E43" s="20"/>
      <c r="F43" s="20"/>
      <c r="G43" s="20"/>
      <c r="H43" s="20"/>
      <c r="I43" s="20"/>
      <c r="J43" s="20"/>
    </row>
    <row r="44" customFormat="false" ht="15" hidden="false" customHeight="false" outlineLevel="0" collapsed="false">
      <c r="B44" s="15" t="s">
        <v>68</v>
      </c>
      <c r="C44" s="21" t="n">
        <v>212191.05</v>
      </c>
      <c r="D44" s="21" t="n">
        <v>41085.46</v>
      </c>
      <c r="G44" s="21" t="n">
        <v>171105.59</v>
      </c>
    </row>
    <row r="45" customFormat="false" ht="15" hidden="false" customHeight="false" outlineLevel="0" collapsed="false">
      <c r="B45" s="15" t="s">
        <v>69</v>
      </c>
      <c r="C45" s="21" t="n">
        <v>386.45</v>
      </c>
      <c r="D45" s="21" t="n">
        <v>74.83</v>
      </c>
      <c r="G45" s="21" t="n">
        <v>311.62</v>
      </c>
    </row>
    <row r="46" customFormat="false" ht="15" hidden="false" customHeight="false" outlineLevel="0" collapsed="false">
      <c r="B46" s="15" t="s">
        <v>70</v>
      </c>
      <c r="C46" s="21" t="n">
        <v>20018</v>
      </c>
      <c r="D46" s="21" t="n">
        <v>3875.98</v>
      </c>
      <c r="G46" s="21" t="n">
        <v>16142.02</v>
      </c>
    </row>
    <row r="47" customFormat="false" ht="15" hidden="false" customHeight="false" outlineLevel="0" collapsed="false">
      <c r="B47" s="15" t="s">
        <v>71</v>
      </c>
      <c r="C47" s="21" t="n">
        <v>36260.17</v>
      </c>
      <c r="D47" s="21" t="n">
        <v>7020.87</v>
      </c>
      <c r="G47" s="21" t="n">
        <v>29239.3</v>
      </c>
    </row>
    <row r="48" customFormat="false" ht="15" hidden="false" customHeight="false" outlineLevel="0" collapsed="false">
      <c r="A48" s="22"/>
      <c r="B48" s="23" t="s">
        <v>72</v>
      </c>
      <c r="C48" s="24" t="n">
        <f aca="false">SUM(C44:C47)</f>
        <v>268855.67</v>
      </c>
      <c r="D48" s="24" t="n">
        <f aca="false">SUM(D44:D47)</f>
        <v>52057.14</v>
      </c>
      <c r="E48" s="22"/>
      <c r="F48" s="24" t="n">
        <f aca="false">SUM(F44:F47)</f>
        <v>0</v>
      </c>
      <c r="G48" s="24" t="n">
        <f aca="false">SUM(G44:G47)</f>
        <v>216798.53</v>
      </c>
      <c r="H48" s="22"/>
    </row>
    <row r="50" customFormat="false" ht="15" hidden="false" customHeight="false" outlineLevel="0" collapsed="false">
      <c r="A50" s="25" t="s">
        <v>73</v>
      </c>
      <c r="B50" s="25"/>
      <c r="C50" s="25"/>
      <c r="D50" s="25"/>
      <c r="E50" s="25"/>
      <c r="F50" s="25"/>
      <c r="G50" s="25"/>
      <c r="H50" s="25"/>
      <c r="I50" s="25"/>
      <c r="J50" s="25"/>
    </row>
    <row r="51" customFormat="false" ht="15" hidden="false" customHeight="false" outlineLevel="0" collapsed="false">
      <c r="A51" s="26" t="s">
        <v>36</v>
      </c>
      <c r="B51" s="26"/>
      <c r="C51" s="26"/>
      <c r="D51" s="26"/>
      <c r="E51" s="26"/>
      <c r="F51" s="26"/>
      <c r="G51" s="26"/>
      <c r="H51" s="26"/>
      <c r="I51" s="26"/>
      <c r="J51" s="26"/>
    </row>
    <row r="52" customFormat="false" ht="15" hidden="false" customHeight="false" outlineLevel="0" collapsed="false">
      <c r="A52" s="27"/>
      <c r="B52" s="27" t="s">
        <v>74</v>
      </c>
      <c r="C52" s="28" t="s">
        <v>75</v>
      </c>
      <c r="D52" s="28" t="s">
        <v>76</v>
      </c>
      <c r="E52" s="28" t="s">
        <v>77</v>
      </c>
      <c r="F52" s="28" t="s">
        <v>78</v>
      </c>
      <c r="G52" s="28" t="s">
        <v>79</v>
      </c>
      <c r="H52" s="28" t="s">
        <v>80</v>
      </c>
      <c r="I52" s="28" t="s">
        <v>81</v>
      </c>
      <c r="J52" s="28" t="s">
        <v>82</v>
      </c>
    </row>
    <row r="53" customFormat="false" ht="15" hidden="false" customHeight="false" outlineLevel="0" collapsed="false">
      <c r="B53" s="29" t="s">
        <v>153</v>
      </c>
      <c r="C53" s="30" t="n">
        <v>212191.05</v>
      </c>
      <c r="D53" s="30" t="n">
        <v>0</v>
      </c>
      <c r="E53" s="30" t="n">
        <v>62049.02</v>
      </c>
      <c r="F53" s="30" t="n">
        <v>7716.04</v>
      </c>
      <c r="G53" s="30" t="n">
        <v>69765.06</v>
      </c>
      <c r="H53" s="30" t="n">
        <v>142425.99</v>
      </c>
      <c r="I53" s="31" t="s">
        <v>84</v>
      </c>
      <c r="J53" s="32" t="n">
        <v>27.5</v>
      </c>
    </row>
    <row r="54" customFormat="false" ht="15" hidden="false" customHeight="false" outlineLevel="0" collapsed="false">
      <c r="B54" s="7" t="s">
        <v>154</v>
      </c>
      <c r="C54" s="9" t="n">
        <v>386.45</v>
      </c>
      <c r="D54" s="9" t="n">
        <v>0</v>
      </c>
      <c r="E54" s="9" t="n">
        <v>111.91</v>
      </c>
      <c r="F54" s="9" t="n">
        <v>14.06</v>
      </c>
      <c r="G54" s="9" t="n">
        <v>125.97</v>
      </c>
      <c r="H54" s="9" t="n">
        <v>260.48</v>
      </c>
      <c r="I54" s="33" t="s">
        <v>84</v>
      </c>
      <c r="J54" s="34" t="n">
        <v>27.5</v>
      </c>
    </row>
    <row r="55" customFormat="false" ht="15" hidden="false" customHeight="false" outlineLevel="0" collapsed="false">
      <c r="B55" s="29" t="s">
        <v>155</v>
      </c>
      <c r="C55" s="30" t="n">
        <v>20018</v>
      </c>
      <c r="D55" s="30" t="n">
        <v>0</v>
      </c>
      <c r="E55" s="30" t="n">
        <v>11723.87</v>
      </c>
      <c r="F55" s="30" t="n">
        <v>1181.07</v>
      </c>
      <c r="G55" s="30" t="n">
        <v>12904.94</v>
      </c>
      <c r="H55" s="30" t="n">
        <v>7113.06</v>
      </c>
      <c r="I55" s="31" t="s">
        <v>87</v>
      </c>
      <c r="J55" s="32" t="n">
        <v>15</v>
      </c>
    </row>
    <row r="56" customFormat="false" ht="15" hidden="false" customHeight="false" outlineLevel="0" collapsed="false">
      <c r="B56" s="7" t="s">
        <v>156</v>
      </c>
      <c r="C56" s="9" t="n">
        <v>36260.17</v>
      </c>
      <c r="D56" s="9" t="n">
        <v>0</v>
      </c>
      <c r="E56" s="9" t="n">
        <v>35051.5</v>
      </c>
      <c r="F56" s="9" t="n">
        <v>0</v>
      </c>
      <c r="G56" s="9" t="n">
        <v>35051.5</v>
      </c>
      <c r="H56" s="9" t="n">
        <v>1208.67</v>
      </c>
      <c r="I56" s="33" t="s">
        <v>89</v>
      </c>
      <c r="J56" s="34" t="n">
        <v>5</v>
      </c>
    </row>
    <row r="57" customFormat="false" ht="15" hidden="false" customHeight="false" outlineLevel="0" collapsed="false">
      <c r="A57" s="35"/>
      <c r="B57" s="36" t="s">
        <v>34</v>
      </c>
      <c r="C57" s="37" t="n">
        <f aca="false">SUM(C53:C56)</f>
        <v>268855.67</v>
      </c>
      <c r="D57" s="37" t="n">
        <f aca="false">SUM(D53:D56)</f>
        <v>0</v>
      </c>
      <c r="E57" s="37" t="n">
        <f aca="false">SUM(E53:E56)</f>
        <v>108936.3</v>
      </c>
      <c r="F57" s="37" t="n">
        <f aca="false">SUM(F53:F56)</f>
        <v>8911.17</v>
      </c>
      <c r="G57" s="37" t="n">
        <f aca="false">SUM(G53:G56)</f>
        <v>117847.47</v>
      </c>
      <c r="H57" s="37" t="n">
        <f aca="false">SUM(H53:H56)</f>
        <v>151008.2</v>
      </c>
      <c r="I57" s="35"/>
      <c r="J57" s="35"/>
    </row>
    <row r="59" customFormat="false" ht="15" hidden="false" customHeight="false" outlineLevel="0" collapsed="false">
      <c r="A59" s="38" t="s">
        <v>90</v>
      </c>
      <c r="B59" s="38"/>
      <c r="C59" s="38"/>
      <c r="D59" s="38"/>
      <c r="E59" s="38"/>
      <c r="F59" s="38"/>
      <c r="G59" s="38"/>
      <c r="H59" s="38"/>
      <c r="I59" s="38"/>
      <c r="J59" s="38"/>
    </row>
    <row r="60" customFormat="false" ht="15" hidden="false" customHeight="false" outlineLevel="0" collapsed="false">
      <c r="A60" s="27"/>
      <c r="B60" s="27" t="s">
        <v>74</v>
      </c>
      <c r="C60" s="28" t="s">
        <v>75</v>
      </c>
      <c r="D60" s="28" t="s">
        <v>76</v>
      </c>
      <c r="E60" s="28" t="s">
        <v>77</v>
      </c>
      <c r="F60" s="28" t="s">
        <v>78</v>
      </c>
      <c r="G60" s="28" t="s">
        <v>79</v>
      </c>
      <c r="H60" s="28" t="s">
        <v>80</v>
      </c>
      <c r="I60" s="28" t="s">
        <v>81</v>
      </c>
      <c r="J60" s="28" t="s">
        <v>82</v>
      </c>
    </row>
    <row r="61" customFormat="false" ht="15" hidden="false" customHeight="false" outlineLevel="0" collapsed="false">
      <c r="B61" s="29" t="s">
        <v>157</v>
      </c>
      <c r="C61" s="30" t="n">
        <v>41085.46</v>
      </c>
      <c r="D61" s="30" t="n">
        <v>0</v>
      </c>
      <c r="E61" s="30" t="n">
        <v>41085.46</v>
      </c>
      <c r="F61" s="30" t="n">
        <v>0</v>
      </c>
      <c r="G61" s="30" t="n">
        <v>41085.46</v>
      </c>
      <c r="H61" s="30" t="n">
        <v>0</v>
      </c>
      <c r="I61" s="31" t="s">
        <v>89</v>
      </c>
      <c r="J61" s="32" t="n">
        <v>5</v>
      </c>
    </row>
    <row r="62" customFormat="false" ht="15" hidden="false" customHeight="false" outlineLevel="0" collapsed="false">
      <c r="B62" s="7" t="s">
        <v>158</v>
      </c>
      <c r="C62" s="9" t="n">
        <v>171105.59</v>
      </c>
      <c r="D62" s="9" t="n">
        <v>0</v>
      </c>
      <c r="E62" s="9" t="n">
        <v>50035.41</v>
      </c>
      <c r="F62" s="9" t="n">
        <v>6222.02</v>
      </c>
      <c r="G62" s="9" t="n">
        <v>56257.43</v>
      </c>
      <c r="H62" s="9" t="n">
        <v>114848.16</v>
      </c>
      <c r="I62" s="33" t="s">
        <v>84</v>
      </c>
      <c r="J62" s="34" t="n">
        <v>27.5</v>
      </c>
    </row>
    <row r="63" customFormat="false" ht="15" hidden="false" customHeight="false" outlineLevel="0" collapsed="false">
      <c r="B63" s="29" t="s">
        <v>159</v>
      </c>
      <c r="C63" s="30" t="n">
        <v>74.83</v>
      </c>
      <c r="D63" s="30" t="n">
        <v>0</v>
      </c>
      <c r="E63" s="30" t="n">
        <v>74.83</v>
      </c>
      <c r="F63" s="30" t="n">
        <v>0</v>
      </c>
      <c r="G63" s="30" t="n">
        <v>74.83</v>
      </c>
      <c r="H63" s="30" t="n">
        <v>0</v>
      </c>
      <c r="I63" s="31" t="s">
        <v>89</v>
      </c>
      <c r="J63" s="32" t="n">
        <v>5</v>
      </c>
    </row>
    <row r="64" customFormat="false" ht="15" hidden="false" customHeight="false" outlineLevel="0" collapsed="false">
      <c r="B64" s="7" t="s">
        <v>160</v>
      </c>
      <c r="C64" s="9" t="n">
        <v>311.62</v>
      </c>
      <c r="D64" s="9" t="n">
        <v>0</v>
      </c>
      <c r="E64" s="9" t="n">
        <v>90.17</v>
      </c>
      <c r="F64" s="9" t="n">
        <v>11.33</v>
      </c>
      <c r="G64" s="9" t="n">
        <v>101.5</v>
      </c>
      <c r="H64" s="9" t="n">
        <v>210.12</v>
      </c>
      <c r="I64" s="33" t="s">
        <v>84</v>
      </c>
      <c r="J64" s="34" t="n">
        <v>27.5</v>
      </c>
    </row>
    <row r="65" customFormat="false" ht="15" hidden="false" customHeight="false" outlineLevel="0" collapsed="false">
      <c r="B65" s="29" t="s">
        <v>161</v>
      </c>
      <c r="C65" s="30" t="n">
        <v>3875.98</v>
      </c>
      <c r="D65" s="30" t="n">
        <v>0</v>
      </c>
      <c r="E65" s="30" t="n">
        <v>3875.98</v>
      </c>
      <c r="F65" s="30" t="n">
        <v>0</v>
      </c>
      <c r="G65" s="30" t="n">
        <v>3875.98</v>
      </c>
      <c r="H65" s="30" t="n">
        <v>0</v>
      </c>
      <c r="I65" s="31" t="s">
        <v>89</v>
      </c>
      <c r="J65" s="32" t="n">
        <v>5</v>
      </c>
    </row>
    <row r="66" customFormat="false" ht="15" hidden="false" customHeight="false" outlineLevel="0" collapsed="false">
      <c r="B66" s="7" t="s">
        <v>162</v>
      </c>
      <c r="C66" s="9" t="n">
        <v>16142.02</v>
      </c>
      <c r="D66" s="9" t="n">
        <v>0</v>
      </c>
      <c r="E66" s="9" t="n">
        <v>4720.3</v>
      </c>
      <c r="F66" s="9" t="n">
        <v>586.98</v>
      </c>
      <c r="G66" s="9" t="n">
        <v>5307.28</v>
      </c>
      <c r="H66" s="9" t="n">
        <v>10834.74</v>
      </c>
      <c r="I66" s="33" t="s">
        <v>84</v>
      </c>
      <c r="J66" s="34" t="n">
        <v>27.5</v>
      </c>
    </row>
    <row r="67" customFormat="false" ht="15" hidden="false" customHeight="false" outlineLevel="0" collapsed="false">
      <c r="B67" s="29" t="s">
        <v>163</v>
      </c>
      <c r="C67" s="30" t="n">
        <v>7020.87</v>
      </c>
      <c r="D67" s="30" t="n">
        <v>0</v>
      </c>
      <c r="E67" s="30" t="n">
        <v>7020.87</v>
      </c>
      <c r="F67" s="30" t="n">
        <v>0</v>
      </c>
      <c r="G67" s="30" t="n">
        <v>7020.87</v>
      </c>
      <c r="H67" s="30" t="n">
        <v>0</v>
      </c>
      <c r="I67" s="31" t="s">
        <v>89</v>
      </c>
      <c r="J67" s="32" t="n">
        <v>5</v>
      </c>
    </row>
    <row r="68" customFormat="false" ht="15" hidden="false" customHeight="false" outlineLevel="0" collapsed="false">
      <c r="B68" s="7" t="s">
        <v>164</v>
      </c>
      <c r="C68" s="9" t="n">
        <v>29239.3</v>
      </c>
      <c r="D68" s="9" t="n">
        <v>0</v>
      </c>
      <c r="E68" s="9" t="n">
        <v>8550.3</v>
      </c>
      <c r="F68" s="9" t="n">
        <v>1063.25</v>
      </c>
      <c r="G68" s="9" t="n">
        <v>9613.55</v>
      </c>
      <c r="H68" s="9" t="n">
        <v>19625.75</v>
      </c>
      <c r="I68" s="33" t="s">
        <v>84</v>
      </c>
      <c r="J68" s="34" t="n">
        <v>27.5</v>
      </c>
    </row>
    <row r="69" customFormat="false" ht="15" hidden="false" customHeight="false" outlineLevel="0" collapsed="false">
      <c r="A69" s="35"/>
      <c r="B69" s="36" t="s">
        <v>34</v>
      </c>
      <c r="C69" s="37" t="n">
        <f aca="false">SUM(C61:C68)</f>
        <v>268855.67</v>
      </c>
      <c r="D69" s="37" t="n">
        <f aca="false">SUM(D61:D68)</f>
        <v>0</v>
      </c>
      <c r="E69" s="37" t="n">
        <f aca="false">SUM(E61:E68)</f>
        <v>115453.32</v>
      </c>
      <c r="F69" s="37" t="n">
        <f aca="false">SUM(F61:F68)</f>
        <v>7883.58</v>
      </c>
      <c r="G69" s="37" t="n">
        <f aca="false">SUM(G61:G68)</f>
        <v>123336.9</v>
      </c>
      <c r="H69" s="37" t="n">
        <f aca="false">SUM(H61:H68)</f>
        <v>145518.77</v>
      </c>
      <c r="I69" s="35"/>
      <c r="J69" s="35"/>
    </row>
    <row r="71" customFormat="false" ht="15" hidden="false" customHeight="false" outlineLevel="0" collapsed="false">
      <c r="A71" s="25" t="s">
        <v>38</v>
      </c>
      <c r="B71" s="25"/>
      <c r="C71" s="25"/>
      <c r="D71" s="25"/>
      <c r="E71" s="25"/>
    </row>
    <row r="72" customFormat="false" ht="15" hidden="false" customHeight="false" outlineLevel="0" collapsed="false">
      <c r="B72" s="7" t="s">
        <v>99</v>
      </c>
      <c r="C72" s="39" t="n">
        <f aca="false">G57</f>
        <v>117847.47</v>
      </c>
    </row>
    <row r="73" customFormat="false" ht="15" hidden="false" customHeight="false" outlineLevel="0" collapsed="false">
      <c r="B73" s="7" t="s">
        <v>100</v>
      </c>
      <c r="C73" s="39" t="n">
        <f aca="false">G69</f>
        <v>123336.9</v>
      </c>
    </row>
    <row r="74" customFormat="false" ht="15" hidden="false" customHeight="false" outlineLevel="0" collapsed="false">
      <c r="B74" s="10" t="s">
        <v>38</v>
      </c>
      <c r="C74" s="40" t="n">
        <f aca="false">C73-C72</f>
        <v>5489.42999999999</v>
      </c>
    </row>
  </sheetData>
  <mergeCells count="11">
    <mergeCell ref="A2:J2"/>
    <mergeCell ref="A3:J3"/>
    <mergeCell ref="A4:J4"/>
    <mergeCell ref="A8:J8"/>
    <mergeCell ref="B10:J10"/>
    <mergeCell ref="B23:J23"/>
    <mergeCell ref="B43:J43"/>
    <mergeCell ref="A50:J50"/>
    <mergeCell ref="A51:J51"/>
    <mergeCell ref="A59:J59"/>
    <mergeCell ref="A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209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210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7759.94</v>
      </c>
      <c r="D11" s="21" t="n">
        <v>7759.94</v>
      </c>
    </row>
    <row r="12" customFormat="false" ht="15" hidden="false" customHeight="false" outlineLevel="0" collapsed="false">
      <c r="B12" s="15" t="s">
        <v>105</v>
      </c>
      <c r="C12" s="21" t="n">
        <v>4601.14</v>
      </c>
      <c r="D12" s="21" t="n">
        <v>4601.14</v>
      </c>
    </row>
    <row r="13" customFormat="false" ht="15" hidden="false" customHeight="false" outlineLevel="0" collapsed="false">
      <c r="B13" s="15" t="s">
        <v>106</v>
      </c>
      <c r="C13" s="21" t="n">
        <v>18695.69</v>
      </c>
      <c r="D13" s="21" t="n">
        <v>18695.69</v>
      </c>
    </row>
    <row r="14" customFormat="false" ht="15" hidden="false" customHeight="false" outlineLevel="0" collapsed="false">
      <c r="B14" s="15" t="s">
        <v>108</v>
      </c>
      <c r="C14" s="21" t="n">
        <v>2235.2</v>
      </c>
      <c r="D14" s="21" t="n">
        <v>2235.2</v>
      </c>
    </row>
    <row r="15" customFormat="false" ht="15" hidden="false" customHeight="false" outlineLevel="0" collapsed="false">
      <c r="B15" s="15" t="s">
        <v>146</v>
      </c>
      <c r="C15" s="21" t="n">
        <v>274.94</v>
      </c>
      <c r="D15" s="21" t="n">
        <v>274.94</v>
      </c>
    </row>
    <row r="16" customFormat="false" ht="15" hidden="false" customHeight="false" outlineLevel="0" collapsed="false">
      <c r="B16" s="15" t="s">
        <v>147</v>
      </c>
      <c r="C16" s="21" t="n">
        <v>120.68</v>
      </c>
      <c r="D16" s="21" t="n">
        <v>120.68</v>
      </c>
    </row>
    <row r="17" customFormat="false" ht="15" hidden="false" customHeight="false" outlineLevel="0" collapsed="false">
      <c r="B17" s="15" t="s">
        <v>109</v>
      </c>
      <c r="C17" s="21" t="n">
        <v>4471.44</v>
      </c>
      <c r="D17" s="21" t="n">
        <v>4471.44</v>
      </c>
    </row>
    <row r="18" customFormat="false" ht="15" hidden="false" customHeight="false" outlineLevel="0" collapsed="false">
      <c r="B18" s="15" t="s">
        <v>110</v>
      </c>
      <c r="C18" s="21" t="n">
        <v>1633.14</v>
      </c>
      <c r="D18" s="21" t="n">
        <v>1633.14</v>
      </c>
    </row>
    <row r="19" customFormat="false" ht="15" hidden="false" customHeight="false" outlineLevel="0" collapsed="false">
      <c r="B19" s="15" t="s">
        <v>148</v>
      </c>
      <c r="C19" s="21" t="n">
        <v>5141.11</v>
      </c>
      <c r="D19" s="21" t="n">
        <v>5141.11</v>
      </c>
    </row>
    <row r="20" customFormat="false" ht="15" hidden="false" customHeight="false" outlineLevel="0" collapsed="false">
      <c r="B20" s="15" t="s">
        <v>112</v>
      </c>
      <c r="C20" s="21" t="n">
        <v>1534.74</v>
      </c>
      <c r="D20" s="21" t="n">
        <v>1534.74</v>
      </c>
    </row>
    <row r="21" customFormat="false" ht="15" hidden="false" customHeight="false" outlineLevel="0" collapsed="false">
      <c r="B21" s="15" t="s">
        <v>149</v>
      </c>
      <c r="C21" s="21" t="n">
        <v>64.8</v>
      </c>
      <c r="D21" s="21" t="n">
        <v>64.8</v>
      </c>
    </row>
    <row r="22" customFormat="false" ht="15" hidden="false" customHeight="false" outlineLevel="0" collapsed="false">
      <c r="B22" s="15" t="s">
        <v>150</v>
      </c>
      <c r="C22" s="21" t="n">
        <v>5524.32</v>
      </c>
      <c r="D22" s="21" t="n">
        <v>5524.32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10400.92</v>
      </c>
      <c r="G24" s="21" t="n">
        <v>10400.92</v>
      </c>
    </row>
    <row r="25" customFormat="false" ht="15" hidden="false" customHeight="false" outlineLevel="0" collapsed="false">
      <c r="B25" s="15" t="s">
        <v>116</v>
      </c>
      <c r="C25" s="21" t="n">
        <v>19732.45</v>
      </c>
      <c r="G25" s="21" t="n">
        <v>19732.45</v>
      </c>
    </row>
    <row r="26" customFormat="false" ht="15" hidden="false" customHeight="false" outlineLevel="0" collapsed="false">
      <c r="B26" s="15" t="s">
        <v>117</v>
      </c>
      <c r="C26" s="21" t="n">
        <v>18076.85</v>
      </c>
      <c r="G26" s="21" t="n">
        <v>18076.85</v>
      </c>
    </row>
    <row r="27" customFormat="false" ht="15" hidden="false" customHeight="false" outlineLevel="0" collapsed="false">
      <c r="B27" s="15" t="s">
        <v>118</v>
      </c>
      <c r="C27" s="21" t="n">
        <v>19867.9</v>
      </c>
      <c r="G27" s="21" t="n">
        <v>19867.9</v>
      </c>
    </row>
    <row r="28" customFormat="false" ht="15" hidden="false" customHeight="false" outlineLevel="0" collapsed="false">
      <c r="B28" s="15" t="s">
        <v>119</v>
      </c>
      <c r="C28" s="21" t="n">
        <v>15953.11</v>
      </c>
      <c r="G28" s="21" t="n">
        <v>15953.11</v>
      </c>
    </row>
    <row r="29" customFormat="false" ht="15" hidden="false" customHeight="false" outlineLevel="0" collapsed="false">
      <c r="B29" s="15" t="s">
        <v>120</v>
      </c>
      <c r="C29" s="21" t="n">
        <v>1077</v>
      </c>
      <c r="G29" s="21" t="n">
        <v>1077</v>
      </c>
    </row>
    <row r="30" customFormat="false" ht="15" hidden="false" customHeight="false" outlineLevel="0" collapsed="false">
      <c r="B30" s="15" t="s">
        <v>121</v>
      </c>
      <c r="C30" s="21" t="n">
        <v>24515.03</v>
      </c>
      <c r="G30" s="21" t="n">
        <v>24515.03</v>
      </c>
    </row>
    <row r="31" customFormat="false" ht="15" hidden="false" customHeight="false" outlineLevel="0" collapsed="false">
      <c r="B31" s="15" t="s">
        <v>122</v>
      </c>
      <c r="C31" s="21" t="n">
        <v>18444.72</v>
      </c>
      <c r="G31" s="21" t="n">
        <v>18444.72</v>
      </c>
    </row>
    <row r="32" customFormat="false" ht="15" hidden="false" customHeight="false" outlineLevel="0" collapsed="false">
      <c r="B32" s="15" t="s">
        <v>123</v>
      </c>
      <c r="C32" s="21" t="n">
        <v>11037.53</v>
      </c>
      <c r="G32" s="21" t="n">
        <v>11037.53</v>
      </c>
    </row>
    <row r="33" customFormat="false" ht="15" hidden="false" customHeight="false" outlineLevel="0" collapsed="false">
      <c r="B33" s="15" t="s">
        <v>124</v>
      </c>
      <c r="C33" s="21" t="n">
        <v>8326.32</v>
      </c>
      <c r="G33" s="21" t="n">
        <v>8326.32</v>
      </c>
    </row>
    <row r="34" customFormat="false" ht="15" hidden="false" customHeight="false" outlineLevel="0" collapsed="false">
      <c r="B34" s="15" t="s">
        <v>125</v>
      </c>
      <c r="C34" s="21" t="n">
        <v>20278.2</v>
      </c>
      <c r="G34" s="21" t="n">
        <v>20278.2</v>
      </c>
    </row>
    <row r="35" customFormat="false" ht="15" hidden="false" customHeight="false" outlineLevel="0" collapsed="false">
      <c r="B35" s="15" t="s">
        <v>126</v>
      </c>
      <c r="C35" s="21" t="n">
        <v>8613.97</v>
      </c>
      <c r="G35" s="21" t="n">
        <v>8613.97</v>
      </c>
    </row>
    <row r="36" customFormat="false" ht="15" hidden="false" customHeight="false" outlineLevel="0" collapsed="false">
      <c r="B36" s="15" t="s">
        <v>127</v>
      </c>
      <c r="C36" s="21" t="n">
        <v>1343.51</v>
      </c>
      <c r="G36" s="21" t="n">
        <v>1343.51</v>
      </c>
    </row>
    <row r="37" customFormat="false" ht="15" hidden="false" customHeight="false" outlineLevel="0" collapsed="false">
      <c r="B37" s="15" t="s">
        <v>129</v>
      </c>
      <c r="C37" s="21" t="n">
        <v>27755.5</v>
      </c>
      <c r="G37" s="21" t="n">
        <v>27755.5</v>
      </c>
    </row>
    <row r="38" customFormat="false" ht="15" hidden="false" customHeight="false" outlineLevel="0" collapsed="false">
      <c r="B38" s="15" t="s">
        <v>151</v>
      </c>
      <c r="C38" s="21" t="n">
        <v>6811.28</v>
      </c>
      <c r="G38" s="21" t="n">
        <v>6811.28</v>
      </c>
    </row>
    <row r="39" customFormat="false" ht="15" hidden="false" customHeight="false" outlineLevel="0" collapsed="false">
      <c r="B39" s="15" t="s">
        <v>130</v>
      </c>
      <c r="C39" s="21" t="n">
        <v>1999.53</v>
      </c>
      <c r="G39" s="21" t="n">
        <v>1999.53</v>
      </c>
    </row>
    <row r="40" customFormat="false" ht="15" hidden="false" customHeight="false" outlineLevel="0" collapsed="false">
      <c r="B40" s="15" t="s">
        <v>152</v>
      </c>
      <c r="C40" s="21" t="n">
        <v>2564.71</v>
      </c>
      <c r="G40" s="21" t="n">
        <v>2564.71</v>
      </c>
    </row>
    <row r="41" customFormat="false" ht="15" hidden="false" customHeight="false" outlineLevel="0" collapsed="false">
      <c r="A41" s="22"/>
      <c r="B41" s="23" t="s">
        <v>66</v>
      </c>
      <c r="C41" s="24" t="n">
        <f aca="false">SUM(C10:C40)</f>
        <v>268855.67</v>
      </c>
      <c r="D41" s="24" t="n">
        <f aca="false">SUM(D10:D40)</f>
        <v>52057.14</v>
      </c>
      <c r="E41" s="24" t="n">
        <f aca="false">SUM(E10:E40)</f>
        <v>0</v>
      </c>
      <c r="F41" s="24" t="n">
        <f aca="false">SUM(F10:F40)</f>
        <v>0</v>
      </c>
      <c r="G41" s="24" t="n">
        <f aca="false">SUM(G10:G40)</f>
        <v>216798.53</v>
      </c>
      <c r="H41" s="22"/>
    </row>
    <row r="43" customFormat="false" ht="15" hidden="false" customHeight="false" outlineLevel="0" collapsed="false">
      <c r="A43" s="19"/>
      <c r="B43" s="20" t="s">
        <v>67</v>
      </c>
      <c r="C43" s="20"/>
      <c r="D43" s="20"/>
      <c r="E43" s="20"/>
      <c r="F43" s="20"/>
      <c r="G43" s="20"/>
      <c r="H43" s="20"/>
      <c r="I43" s="20"/>
      <c r="J43" s="20"/>
    </row>
    <row r="44" customFormat="false" ht="15" hidden="false" customHeight="false" outlineLevel="0" collapsed="false">
      <c r="B44" s="15" t="s">
        <v>68</v>
      </c>
      <c r="C44" s="21" t="n">
        <v>212191.05</v>
      </c>
      <c r="D44" s="21" t="n">
        <v>41085.46</v>
      </c>
      <c r="G44" s="21" t="n">
        <v>171105.59</v>
      </c>
    </row>
    <row r="45" customFormat="false" ht="15" hidden="false" customHeight="false" outlineLevel="0" collapsed="false">
      <c r="B45" s="15" t="s">
        <v>69</v>
      </c>
      <c r="C45" s="21" t="n">
        <v>386.45</v>
      </c>
      <c r="D45" s="21" t="n">
        <v>74.83</v>
      </c>
      <c r="G45" s="21" t="n">
        <v>311.62</v>
      </c>
    </row>
    <row r="46" customFormat="false" ht="15" hidden="false" customHeight="false" outlineLevel="0" collapsed="false">
      <c r="B46" s="15" t="s">
        <v>70</v>
      </c>
      <c r="C46" s="21" t="n">
        <v>20018</v>
      </c>
      <c r="D46" s="21" t="n">
        <v>3875.98</v>
      </c>
      <c r="G46" s="21" t="n">
        <v>16142.02</v>
      </c>
    </row>
    <row r="47" customFormat="false" ht="15" hidden="false" customHeight="false" outlineLevel="0" collapsed="false">
      <c r="B47" s="15" t="s">
        <v>71</v>
      </c>
      <c r="C47" s="21" t="n">
        <v>36260.17</v>
      </c>
      <c r="D47" s="21" t="n">
        <v>7020.87</v>
      </c>
      <c r="G47" s="21" t="n">
        <v>29239.3</v>
      </c>
    </row>
    <row r="48" customFormat="false" ht="15" hidden="false" customHeight="false" outlineLevel="0" collapsed="false">
      <c r="A48" s="22"/>
      <c r="B48" s="23" t="s">
        <v>72</v>
      </c>
      <c r="C48" s="24" t="n">
        <f aca="false">SUM(C44:C47)</f>
        <v>268855.67</v>
      </c>
      <c r="D48" s="24" t="n">
        <f aca="false">SUM(D44:D47)</f>
        <v>52057.14</v>
      </c>
      <c r="E48" s="22"/>
      <c r="F48" s="24" t="n">
        <f aca="false">SUM(F44:F47)</f>
        <v>0</v>
      </c>
      <c r="G48" s="24" t="n">
        <f aca="false">SUM(G44:G47)</f>
        <v>216798.53</v>
      </c>
      <c r="H48" s="22"/>
    </row>
    <row r="50" customFormat="false" ht="15" hidden="false" customHeight="false" outlineLevel="0" collapsed="false">
      <c r="A50" s="25" t="s">
        <v>73</v>
      </c>
      <c r="B50" s="25"/>
      <c r="C50" s="25"/>
      <c r="D50" s="25"/>
      <c r="E50" s="25"/>
      <c r="F50" s="25"/>
      <c r="G50" s="25"/>
      <c r="H50" s="25"/>
      <c r="I50" s="25"/>
      <c r="J50" s="25"/>
    </row>
    <row r="51" customFormat="false" ht="15" hidden="false" customHeight="false" outlineLevel="0" collapsed="false">
      <c r="A51" s="26" t="s">
        <v>36</v>
      </c>
      <c r="B51" s="26"/>
      <c r="C51" s="26"/>
      <c r="D51" s="26"/>
      <c r="E51" s="26"/>
      <c r="F51" s="26"/>
      <c r="G51" s="26"/>
      <c r="H51" s="26"/>
      <c r="I51" s="26"/>
      <c r="J51" s="26"/>
    </row>
    <row r="52" customFormat="false" ht="15" hidden="false" customHeight="false" outlineLevel="0" collapsed="false">
      <c r="A52" s="27"/>
      <c r="B52" s="27" t="s">
        <v>74</v>
      </c>
      <c r="C52" s="28" t="s">
        <v>75</v>
      </c>
      <c r="D52" s="28" t="s">
        <v>76</v>
      </c>
      <c r="E52" s="28" t="s">
        <v>77</v>
      </c>
      <c r="F52" s="28" t="s">
        <v>78</v>
      </c>
      <c r="G52" s="28" t="s">
        <v>79</v>
      </c>
      <c r="H52" s="28" t="s">
        <v>80</v>
      </c>
      <c r="I52" s="28" t="s">
        <v>81</v>
      </c>
      <c r="J52" s="28" t="s">
        <v>82</v>
      </c>
    </row>
    <row r="53" customFormat="false" ht="15" hidden="false" customHeight="false" outlineLevel="0" collapsed="false">
      <c r="B53" s="29" t="s">
        <v>153</v>
      </c>
      <c r="C53" s="30" t="n">
        <v>212191.05</v>
      </c>
      <c r="D53" s="30" t="n">
        <v>0</v>
      </c>
      <c r="E53" s="30" t="n">
        <v>62049.02</v>
      </c>
      <c r="F53" s="30" t="n">
        <v>7716.04</v>
      </c>
      <c r="G53" s="30" t="n">
        <v>69765.06</v>
      </c>
      <c r="H53" s="30" t="n">
        <v>142425.99</v>
      </c>
      <c r="I53" s="31" t="s">
        <v>84</v>
      </c>
      <c r="J53" s="32" t="n">
        <v>27.5</v>
      </c>
    </row>
    <row r="54" customFormat="false" ht="15" hidden="false" customHeight="false" outlineLevel="0" collapsed="false">
      <c r="B54" s="7" t="s">
        <v>154</v>
      </c>
      <c r="C54" s="9" t="n">
        <v>386.45</v>
      </c>
      <c r="D54" s="9" t="n">
        <v>0</v>
      </c>
      <c r="E54" s="9" t="n">
        <v>111.91</v>
      </c>
      <c r="F54" s="9" t="n">
        <v>14.06</v>
      </c>
      <c r="G54" s="9" t="n">
        <v>125.97</v>
      </c>
      <c r="H54" s="9" t="n">
        <v>260.48</v>
      </c>
      <c r="I54" s="33" t="s">
        <v>84</v>
      </c>
      <c r="J54" s="34" t="n">
        <v>27.5</v>
      </c>
    </row>
    <row r="55" customFormat="false" ht="15" hidden="false" customHeight="false" outlineLevel="0" collapsed="false">
      <c r="B55" s="29" t="s">
        <v>155</v>
      </c>
      <c r="C55" s="30" t="n">
        <v>20018</v>
      </c>
      <c r="D55" s="30" t="n">
        <v>0</v>
      </c>
      <c r="E55" s="30" t="n">
        <v>11723.87</v>
      </c>
      <c r="F55" s="30" t="n">
        <v>1181.07</v>
      </c>
      <c r="G55" s="30" t="n">
        <v>12904.94</v>
      </c>
      <c r="H55" s="30" t="n">
        <v>7113.06</v>
      </c>
      <c r="I55" s="31" t="s">
        <v>87</v>
      </c>
      <c r="J55" s="32" t="n">
        <v>15</v>
      </c>
    </row>
    <row r="56" customFormat="false" ht="15" hidden="false" customHeight="false" outlineLevel="0" collapsed="false">
      <c r="B56" s="7" t="s">
        <v>156</v>
      </c>
      <c r="C56" s="9" t="n">
        <v>36260.17</v>
      </c>
      <c r="D56" s="9" t="n">
        <v>0</v>
      </c>
      <c r="E56" s="9" t="n">
        <v>35051.5</v>
      </c>
      <c r="F56" s="9" t="n">
        <v>0</v>
      </c>
      <c r="G56" s="9" t="n">
        <v>35051.5</v>
      </c>
      <c r="H56" s="9" t="n">
        <v>1208.67</v>
      </c>
      <c r="I56" s="33" t="s">
        <v>89</v>
      </c>
      <c r="J56" s="34" t="n">
        <v>5</v>
      </c>
    </row>
    <row r="57" customFormat="false" ht="15" hidden="false" customHeight="false" outlineLevel="0" collapsed="false">
      <c r="A57" s="35"/>
      <c r="B57" s="36" t="s">
        <v>34</v>
      </c>
      <c r="C57" s="37" t="n">
        <f aca="false">SUM(C53:C56)</f>
        <v>268855.67</v>
      </c>
      <c r="D57" s="37" t="n">
        <f aca="false">SUM(D53:D56)</f>
        <v>0</v>
      </c>
      <c r="E57" s="37" t="n">
        <f aca="false">SUM(E53:E56)</f>
        <v>108936.3</v>
      </c>
      <c r="F57" s="37" t="n">
        <f aca="false">SUM(F53:F56)</f>
        <v>8911.17</v>
      </c>
      <c r="G57" s="37" t="n">
        <f aca="false">SUM(G53:G56)</f>
        <v>117847.47</v>
      </c>
      <c r="H57" s="37" t="n">
        <f aca="false">SUM(H53:H56)</f>
        <v>151008.2</v>
      </c>
      <c r="I57" s="35"/>
      <c r="J57" s="35"/>
    </row>
    <row r="59" customFormat="false" ht="15" hidden="false" customHeight="false" outlineLevel="0" collapsed="false">
      <c r="A59" s="38" t="s">
        <v>90</v>
      </c>
      <c r="B59" s="38"/>
      <c r="C59" s="38"/>
      <c r="D59" s="38"/>
      <c r="E59" s="38"/>
      <c r="F59" s="38"/>
      <c r="G59" s="38"/>
      <c r="H59" s="38"/>
      <c r="I59" s="38"/>
      <c r="J59" s="38"/>
    </row>
    <row r="60" customFormat="false" ht="15" hidden="false" customHeight="false" outlineLevel="0" collapsed="false">
      <c r="A60" s="27"/>
      <c r="B60" s="27" t="s">
        <v>74</v>
      </c>
      <c r="C60" s="28" t="s">
        <v>75</v>
      </c>
      <c r="D60" s="28" t="s">
        <v>76</v>
      </c>
      <c r="E60" s="28" t="s">
        <v>77</v>
      </c>
      <c r="F60" s="28" t="s">
        <v>78</v>
      </c>
      <c r="G60" s="28" t="s">
        <v>79</v>
      </c>
      <c r="H60" s="28" t="s">
        <v>80</v>
      </c>
      <c r="I60" s="28" t="s">
        <v>81</v>
      </c>
      <c r="J60" s="28" t="s">
        <v>82</v>
      </c>
    </row>
    <row r="61" customFormat="false" ht="15" hidden="false" customHeight="false" outlineLevel="0" collapsed="false">
      <c r="B61" s="29" t="s">
        <v>157</v>
      </c>
      <c r="C61" s="30" t="n">
        <v>41085.46</v>
      </c>
      <c r="D61" s="30" t="n">
        <v>0</v>
      </c>
      <c r="E61" s="30" t="n">
        <v>41085.46</v>
      </c>
      <c r="F61" s="30" t="n">
        <v>0</v>
      </c>
      <c r="G61" s="30" t="n">
        <v>41085.46</v>
      </c>
      <c r="H61" s="30" t="n">
        <v>0</v>
      </c>
      <c r="I61" s="31" t="s">
        <v>89</v>
      </c>
      <c r="J61" s="32" t="n">
        <v>5</v>
      </c>
    </row>
    <row r="62" customFormat="false" ht="15" hidden="false" customHeight="false" outlineLevel="0" collapsed="false">
      <c r="B62" s="7" t="s">
        <v>158</v>
      </c>
      <c r="C62" s="9" t="n">
        <v>171105.59</v>
      </c>
      <c r="D62" s="9" t="n">
        <v>0</v>
      </c>
      <c r="E62" s="9" t="n">
        <v>50035.41</v>
      </c>
      <c r="F62" s="9" t="n">
        <v>6222.02</v>
      </c>
      <c r="G62" s="9" t="n">
        <v>56257.43</v>
      </c>
      <c r="H62" s="9" t="n">
        <v>114848.16</v>
      </c>
      <c r="I62" s="33" t="s">
        <v>84</v>
      </c>
      <c r="J62" s="34" t="n">
        <v>27.5</v>
      </c>
    </row>
    <row r="63" customFormat="false" ht="15" hidden="false" customHeight="false" outlineLevel="0" collapsed="false">
      <c r="B63" s="29" t="s">
        <v>159</v>
      </c>
      <c r="C63" s="30" t="n">
        <v>74.83</v>
      </c>
      <c r="D63" s="30" t="n">
        <v>0</v>
      </c>
      <c r="E63" s="30" t="n">
        <v>74.83</v>
      </c>
      <c r="F63" s="30" t="n">
        <v>0</v>
      </c>
      <c r="G63" s="30" t="n">
        <v>74.83</v>
      </c>
      <c r="H63" s="30" t="n">
        <v>0</v>
      </c>
      <c r="I63" s="31" t="s">
        <v>89</v>
      </c>
      <c r="J63" s="32" t="n">
        <v>5</v>
      </c>
    </row>
    <row r="64" customFormat="false" ht="15" hidden="false" customHeight="false" outlineLevel="0" collapsed="false">
      <c r="B64" s="7" t="s">
        <v>160</v>
      </c>
      <c r="C64" s="9" t="n">
        <v>311.62</v>
      </c>
      <c r="D64" s="9" t="n">
        <v>0</v>
      </c>
      <c r="E64" s="9" t="n">
        <v>90.17</v>
      </c>
      <c r="F64" s="9" t="n">
        <v>11.33</v>
      </c>
      <c r="G64" s="9" t="n">
        <v>101.5</v>
      </c>
      <c r="H64" s="9" t="n">
        <v>210.12</v>
      </c>
      <c r="I64" s="33" t="s">
        <v>84</v>
      </c>
      <c r="J64" s="34" t="n">
        <v>27.5</v>
      </c>
    </row>
    <row r="65" customFormat="false" ht="15" hidden="false" customHeight="false" outlineLevel="0" collapsed="false">
      <c r="B65" s="29" t="s">
        <v>161</v>
      </c>
      <c r="C65" s="30" t="n">
        <v>3875.98</v>
      </c>
      <c r="D65" s="30" t="n">
        <v>0</v>
      </c>
      <c r="E65" s="30" t="n">
        <v>3875.98</v>
      </c>
      <c r="F65" s="30" t="n">
        <v>0</v>
      </c>
      <c r="G65" s="30" t="n">
        <v>3875.98</v>
      </c>
      <c r="H65" s="30" t="n">
        <v>0</v>
      </c>
      <c r="I65" s="31" t="s">
        <v>89</v>
      </c>
      <c r="J65" s="32" t="n">
        <v>5</v>
      </c>
    </row>
    <row r="66" customFormat="false" ht="15" hidden="false" customHeight="false" outlineLevel="0" collapsed="false">
      <c r="B66" s="7" t="s">
        <v>162</v>
      </c>
      <c r="C66" s="9" t="n">
        <v>16142.02</v>
      </c>
      <c r="D66" s="9" t="n">
        <v>0</v>
      </c>
      <c r="E66" s="9" t="n">
        <v>4720.3</v>
      </c>
      <c r="F66" s="9" t="n">
        <v>586.98</v>
      </c>
      <c r="G66" s="9" t="n">
        <v>5307.28</v>
      </c>
      <c r="H66" s="9" t="n">
        <v>10834.74</v>
      </c>
      <c r="I66" s="33" t="s">
        <v>84</v>
      </c>
      <c r="J66" s="34" t="n">
        <v>27.5</v>
      </c>
    </row>
    <row r="67" customFormat="false" ht="15" hidden="false" customHeight="false" outlineLevel="0" collapsed="false">
      <c r="B67" s="29" t="s">
        <v>163</v>
      </c>
      <c r="C67" s="30" t="n">
        <v>7020.87</v>
      </c>
      <c r="D67" s="30" t="n">
        <v>0</v>
      </c>
      <c r="E67" s="30" t="n">
        <v>7020.87</v>
      </c>
      <c r="F67" s="30" t="n">
        <v>0</v>
      </c>
      <c r="G67" s="30" t="n">
        <v>7020.87</v>
      </c>
      <c r="H67" s="30" t="n">
        <v>0</v>
      </c>
      <c r="I67" s="31" t="s">
        <v>89</v>
      </c>
      <c r="J67" s="32" t="n">
        <v>5</v>
      </c>
    </row>
    <row r="68" customFormat="false" ht="15" hidden="false" customHeight="false" outlineLevel="0" collapsed="false">
      <c r="B68" s="7" t="s">
        <v>164</v>
      </c>
      <c r="C68" s="9" t="n">
        <v>29239.3</v>
      </c>
      <c r="D68" s="9" t="n">
        <v>0</v>
      </c>
      <c r="E68" s="9" t="n">
        <v>8550.3</v>
      </c>
      <c r="F68" s="9" t="n">
        <v>1063.25</v>
      </c>
      <c r="G68" s="9" t="n">
        <v>9613.55</v>
      </c>
      <c r="H68" s="9" t="n">
        <v>19625.75</v>
      </c>
      <c r="I68" s="33" t="s">
        <v>84</v>
      </c>
      <c r="J68" s="34" t="n">
        <v>27.5</v>
      </c>
    </row>
    <row r="69" customFormat="false" ht="15" hidden="false" customHeight="false" outlineLevel="0" collapsed="false">
      <c r="A69" s="35"/>
      <c r="B69" s="36" t="s">
        <v>34</v>
      </c>
      <c r="C69" s="37" t="n">
        <f aca="false">SUM(C61:C68)</f>
        <v>268855.67</v>
      </c>
      <c r="D69" s="37" t="n">
        <f aca="false">SUM(D61:D68)</f>
        <v>0</v>
      </c>
      <c r="E69" s="37" t="n">
        <f aca="false">SUM(E61:E68)</f>
        <v>115453.32</v>
      </c>
      <c r="F69" s="37" t="n">
        <f aca="false">SUM(F61:F68)</f>
        <v>7883.58</v>
      </c>
      <c r="G69" s="37" t="n">
        <f aca="false">SUM(G61:G68)</f>
        <v>123336.9</v>
      </c>
      <c r="H69" s="37" t="n">
        <f aca="false">SUM(H61:H68)</f>
        <v>145518.77</v>
      </c>
      <c r="I69" s="35"/>
      <c r="J69" s="35"/>
    </row>
    <row r="71" customFormat="false" ht="15" hidden="false" customHeight="false" outlineLevel="0" collapsed="false">
      <c r="A71" s="25" t="s">
        <v>38</v>
      </c>
      <c r="B71" s="25"/>
      <c r="C71" s="25"/>
      <c r="D71" s="25"/>
      <c r="E71" s="25"/>
    </row>
    <row r="72" customFormat="false" ht="15" hidden="false" customHeight="false" outlineLevel="0" collapsed="false">
      <c r="B72" s="7" t="s">
        <v>99</v>
      </c>
      <c r="C72" s="39" t="n">
        <f aca="false">G57</f>
        <v>117847.47</v>
      </c>
    </row>
    <row r="73" customFormat="false" ht="15" hidden="false" customHeight="false" outlineLevel="0" collapsed="false">
      <c r="B73" s="7" t="s">
        <v>100</v>
      </c>
      <c r="C73" s="39" t="n">
        <f aca="false">G69</f>
        <v>123336.9</v>
      </c>
    </row>
    <row r="74" customFormat="false" ht="15" hidden="false" customHeight="false" outlineLevel="0" collapsed="false">
      <c r="B74" s="10" t="s">
        <v>38</v>
      </c>
      <c r="C74" s="40" t="n">
        <f aca="false">C73-C72</f>
        <v>5489.42999999999</v>
      </c>
    </row>
  </sheetData>
  <mergeCells count="11">
    <mergeCell ref="A2:J2"/>
    <mergeCell ref="A3:J3"/>
    <mergeCell ref="A4:J4"/>
    <mergeCell ref="A8:J8"/>
    <mergeCell ref="B10:J10"/>
    <mergeCell ref="B23:J23"/>
    <mergeCell ref="B43:J43"/>
    <mergeCell ref="A50:J50"/>
    <mergeCell ref="A51:J51"/>
    <mergeCell ref="A59:J59"/>
    <mergeCell ref="A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211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212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104</v>
      </c>
      <c r="C11" s="21" t="n">
        <v>7759.94</v>
      </c>
      <c r="D11" s="21" t="n">
        <v>7759.94</v>
      </c>
    </row>
    <row r="12" customFormat="false" ht="15" hidden="false" customHeight="false" outlineLevel="0" collapsed="false">
      <c r="B12" s="15" t="s">
        <v>105</v>
      </c>
      <c r="C12" s="21" t="n">
        <v>4601.14</v>
      </c>
      <c r="D12" s="21" t="n">
        <v>4601.14</v>
      </c>
    </row>
    <row r="13" customFormat="false" ht="15" hidden="false" customHeight="false" outlineLevel="0" collapsed="false">
      <c r="B13" s="15" t="s">
        <v>106</v>
      </c>
      <c r="C13" s="21" t="n">
        <v>18695.69</v>
      </c>
      <c r="D13" s="21" t="n">
        <v>18695.69</v>
      </c>
    </row>
    <row r="14" customFormat="false" ht="15" hidden="false" customHeight="false" outlineLevel="0" collapsed="false">
      <c r="B14" s="15" t="s">
        <v>108</v>
      </c>
      <c r="C14" s="21" t="n">
        <v>2235.2</v>
      </c>
      <c r="D14" s="21" t="n">
        <v>2235.2</v>
      </c>
    </row>
    <row r="15" customFormat="false" ht="15" hidden="false" customHeight="false" outlineLevel="0" collapsed="false">
      <c r="B15" s="15" t="s">
        <v>146</v>
      </c>
      <c r="C15" s="21" t="n">
        <v>274.94</v>
      </c>
      <c r="D15" s="21" t="n">
        <v>274.94</v>
      </c>
    </row>
    <row r="16" customFormat="false" ht="15" hidden="false" customHeight="false" outlineLevel="0" collapsed="false">
      <c r="B16" s="15" t="s">
        <v>147</v>
      </c>
      <c r="C16" s="21" t="n">
        <v>120.68</v>
      </c>
      <c r="D16" s="21" t="n">
        <v>120.68</v>
      </c>
    </row>
    <row r="17" customFormat="false" ht="15" hidden="false" customHeight="false" outlineLevel="0" collapsed="false">
      <c r="B17" s="15" t="s">
        <v>109</v>
      </c>
      <c r="C17" s="21" t="n">
        <v>4471.44</v>
      </c>
      <c r="D17" s="21" t="n">
        <v>4471.44</v>
      </c>
    </row>
    <row r="18" customFormat="false" ht="15" hidden="false" customHeight="false" outlineLevel="0" collapsed="false">
      <c r="B18" s="15" t="s">
        <v>110</v>
      </c>
      <c r="C18" s="21" t="n">
        <v>1633.14</v>
      </c>
      <c r="D18" s="21" t="n">
        <v>1633.14</v>
      </c>
    </row>
    <row r="19" customFormat="false" ht="15" hidden="false" customHeight="false" outlineLevel="0" collapsed="false">
      <c r="B19" s="15" t="s">
        <v>148</v>
      </c>
      <c r="C19" s="21" t="n">
        <v>5141.11</v>
      </c>
      <c r="D19" s="21" t="n">
        <v>5141.11</v>
      </c>
    </row>
    <row r="20" customFormat="false" ht="15" hidden="false" customHeight="false" outlineLevel="0" collapsed="false">
      <c r="B20" s="15" t="s">
        <v>112</v>
      </c>
      <c r="C20" s="21" t="n">
        <v>1534.74</v>
      </c>
      <c r="D20" s="21" t="n">
        <v>1534.74</v>
      </c>
    </row>
    <row r="21" customFormat="false" ht="15" hidden="false" customHeight="false" outlineLevel="0" collapsed="false">
      <c r="B21" s="15" t="s">
        <v>149</v>
      </c>
      <c r="C21" s="21" t="n">
        <v>64.8</v>
      </c>
      <c r="D21" s="21" t="n">
        <v>64.8</v>
      </c>
    </row>
    <row r="22" customFormat="false" ht="15" hidden="false" customHeight="false" outlineLevel="0" collapsed="false">
      <c r="B22" s="15" t="s">
        <v>150</v>
      </c>
      <c r="C22" s="21" t="n">
        <v>5524.32</v>
      </c>
      <c r="D22" s="21" t="n">
        <v>5524.32</v>
      </c>
    </row>
    <row r="23" customFormat="false" ht="15" hidden="false" customHeight="false" outlineLevel="0" collapsed="false">
      <c r="A23" s="19"/>
      <c r="B23" s="20" t="s">
        <v>114</v>
      </c>
      <c r="C23" s="20"/>
      <c r="D23" s="20"/>
      <c r="E23" s="20"/>
      <c r="F23" s="20"/>
      <c r="G23" s="20"/>
      <c r="H23" s="20"/>
      <c r="I23" s="20"/>
      <c r="J23" s="20"/>
    </row>
    <row r="24" customFormat="false" ht="15" hidden="false" customHeight="false" outlineLevel="0" collapsed="false">
      <c r="B24" s="15" t="s">
        <v>115</v>
      </c>
      <c r="C24" s="21" t="n">
        <v>10400.92</v>
      </c>
      <c r="G24" s="21" t="n">
        <v>10400.92</v>
      </c>
    </row>
    <row r="25" customFormat="false" ht="15" hidden="false" customHeight="false" outlineLevel="0" collapsed="false">
      <c r="B25" s="15" t="s">
        <v>116</v>
      </c>
      <c r="C25" s="21" t="n">
        <v>19732.45</v>
      </c>
      <c r="G25" s="21" t="n">
        <v>19732.45</v>
      </c>
    </row>
    <row r="26" customFormat="false" ht="15" hidden="false" customHeight="false" outlineLevel="0" collapsed="false">
      <c r="B26" s="15" t="s">
        <v>117</v>
      </c>
      <c r="C26" s="21" t="n">
        <v>18076.85</v>
      </c>
      <c r="G26" s="21" t="n">
        <v>18076.85</v>
      </c>
    </row>
    <row r="27" customFormat="false" ht="15" hidden="false" customHeight="false" outlineLevel="0" collapsed="false">
      <c r="B27" s="15" t="s">
        <v>118</v>
      </c>
      <c r="C27" s="21" t="n">
        <v>19867.9</v>
      </c>
      <c r="G27" s="21" t="n">
        <v>19867.9</v>
      </c>
    </row>
    <row r="28" customFormat="false" ht="15" hidden="false" customHeight="false" outlineLevel="0" collapsed="false">
      <c r="B28" s="15" t="s">
        <v>119</v>
      </c>
      <c r="C28" s="21" t="n">
        <v>15953.11</v>
      </c>
      <c r="G28" s="21" t="n">
        <v>15953.11</v>
      </c>
    </row>
    <row r="29" customFormat="false" ht="15" hidden="false" customHeight="false" outlineLevel="0" collapsed="false">
      <c r="B29" s="15" t="s">
        <v>120</v>
      </c>
      <c r="C29" s="21" t="n">
        <v>1077</v>
      </c>
      <c r="G29" s="21" t="n">
        <v>1077</v>
      </c>
    </row>
    <row r="30" customFormat="false" ht="15" hidden="false" customHeight="false" outlineLevel="0" collapsed="false">
      <c r="B30" s="15" t="s">
        <v>121</v>
      </c>
      <c r="C30" s="21" t="n">
        <v>24515.03</v>
      </c>
      <c r="G30" s="21" t="n">
        <v>24515.03</v>
      </c>
    </row>
    <row r="31" customFormat="false" ht="15" hidden="false" customHeight="false" outlineLevel="0" collapsed="false">
      <c r="B31" s="15" t="s">
        <v>122</v>
      </c>
      <c r="C31" s="21" t="n">
        <v>18444.72</v>
      </c>
      <c r="G31" s="21" t="n">
        <v>18444.72</v>
      </c>
    </row>
    <row r="32" customFormat="false" ht="15" hidden="false" customHeight="false" outlineLevel="0" collapsed="false">
      <c r="B32" s="15" t="s">
        <v>123</v>
      </c>
      <c r="C32" s="21" t="n">
        <v>11037.53</v>
      </c>
      <c r="G32" s="21" t="n">
        <v>11037.53</v>
      </c>
    </row>
    <row r="33" customFormat="false" ht="15" hidden="false" customHeight="false" outlineLevel="0" collapsed="false">
      <c r="B33" s="15" t="s">
        <v>124</v>
      </c>
      <c r="C33" s="21" t="n">
        <v>8326.32</v>
      </c>
      <c r="G33" s="21" t="n">
        <v>8326.32</v>
      </c>
    </row>
    <row r="34" customFormat="false" ht="15" hidden="false" customHeight="false" outlineLevel="0" collapsed="false">
      <c r="B34" s="15" t="s">
        <v>125</v>
      </c>
      <c r="C34" s="21" t="n">
        <v>20278.2</v>
      </c>
      <c r="G34" s="21" t="n">
        <v>20278.2</v>
      </c>
    </row>
    <row r="35" customFormat="false" ht="15" hidden="false" customHeight="false" outlineLevel="0" collapsed="false">
      <c r="B35" s="15" t="s">
        <v>126</v>
      </c>
      <c r="C35" s="21" t="n">
        <v>8613.97</v>
      </c>
      <c r="G35" s="21" t="n">
        <v>8613.97</v>
      </c>
    </row>
    <row r="36" customFormat="false" ht="15" hidden="false" customHeight="false" outlineLevel="0" collapsed="false">
      <c r="B36" s="15" t="s">
        <v>127</v>
      </c>
      <c r="C36" s="21" t="n">
        <v>1343.51</v>
      </c>
      <c r="G36" s="21" t="n">
        <v>1343.51</v>
      </c>
    </row>
    <row r="37" customFormat="false" ht="15" hidden="false" customHeight="false" outlineLevel="0" collapsed="false">
      <c r="B37" s="15" t="s">
        <v>129</v>
      </c>
      <c r="C37" s="21" t="n">
        <v>27755.5</v>
      </c>
      <c r="G37" s="21" t="n">
        <v>27755.5</v>
      </c>
    </row>
    <row r="38" customFormat="false" ht="15" hidden="false" customHeight="false" outlineLevel="0" collapsed="false">
      <c r="B38" s="15" t="s">
        <v>151</v>
      </c>
      <c r="C38" s="21" t="n">
        <v>6811.28</v>
      </c>
      <c r="G38" s="21" t="n">
        <v>6811.28</v>
      </c>
    </row>
    <row r="39" customFormat="false" ht="15" hidden="false" customHeight="false" outlineLevel="0" collapsed="false">
      <c r="B39" s="15" t="s">
        <v>130</v>
      </c>
      <c r="C39" s="21" t="n">
        <v>1999.53</v>
      </c>
      <c r="G39" s="21" t="n">
        <v>1999.53</v>
      </c>
    </row>
    <row r="40" customFormat="false" ht="15" hidden="false" customHeight="false" outlineLevel="0" collapsed="false">
      <c r="B40" s="15" t="s">
        <v>152</v>
      </c>
      <c r="C40" s="21" t="n">
        <v>2564.71</v>
      </c>
      <c r="G40" s="21" t="n">
        <v>2564.71</v>
      </c>
    </row>
    <row r="41" customFormat="false" ht="15" hidden="false" customHeight="false" outlineLevel="0" collapsed="false">
      <c r="A41" s="22"/>
      <c r="B41" s="23" t="s">
        <v>66</v>
      </c>
      <c r="C41" s="24" t="n">
        <f aca="false">SUM(C10:C40)</f>
        <v>268855.67</v>
      </c>
      <c r="D41" s="24" t="n">
        <f aca="false">SUM(D10:D40)</f>
        <v>52057.14</v>
      </c>
      <c r="E41" s="24" t="n">
        <f aca="false">SUM(E10:E40)</f>
        <v>0</v>
      </c>
      <c r="F41" s="24" t="n">
        <f aca="false">SUM(F10:F40)</f>
        <v>0</v>
      </c>
      <c r="G41" s="24" t="n">
        <f aca="false">SUM(G10:G40)</f>
        <v>216798.53</v>
      </c>
      <c r="H41" s="22"/>
    </row>
    <row r="43" customFormat="false" ht="15" hidden="false" customHeight="false" outlineLevel="0" collapsed="false">
      <c r="A43" s="19"/>
      <c r="B43" s="20" t="s">
        <v>67</v>
      </c>
      <c r="C43" s="20"/>
      <c r="D43" s="20"/>
      <c r="E43" s="20"/>
      <c r="F43" s="20"/>
      <c r="G43" s="20"/>
      <c r="H43" s="20"/>
      <c r="I43" s="20"/>
      <c r="J43" s="20"/>
    </row>
    <row r="44" customFormat="false" ht="15" hidden="false" customHeight="false" outlineLevel="0" collapsed="false">
      <c r="B44" s="15" t="s">
        <v>68</v>
      </c>
      <c r="C44" s="21" t="n">
        <v>212191.05</v>
      </c>
      <c r="D44" s="21" t="n">
        <v>41085.46</v>
      </c>
      <c r="G44" s="21" t="n">
        <v>171105.59</v>
      </c>
    </row>
    <row r="45" customFormat="false" ht="15" hidden="false" customHeight="false" outlineLevel="0" collapsed="false">
      <c r="B45" s="15" t="s">
        <v>69</v>
      </c>
      <c r="C45" s="21" t="n">
        <v>386.45</v>
      </c>
      <c r="D45" s="21" t="n">
        <v>74.83</v>
      </c>
      <c r="G45" s="21" t="n">
        <v>311.62</v>
      </c>
    </row>
    <row r="46" customFormat="false" ht="15" hidden="false" customHeight="false" outlineLevel="0" collapsed="false">
      <c r="B46" s="15" t="s">
        <v>70</v>
      </c>
      <c r="C46" s="21" t="n">
        <v>20018</v>
      </c>
      <c r="D46" s="21" t="n">
        <v>3875.98</v>
      </c>
      <c r="G46" s="21" t="n">
        <v>16142.02</v>
      </c>
    </row>
    <row r="47" customFormat="false" ht="15" hidden="false" customHeight="false" outlineLevel="0" collapsed="false">
      <c r="B47" s="15" t="s">
        <v>71</v>
      </c>
      <c r="C47" s="21" t="n">
        <v>36260.17</v>
      </c>
      <c r="D47" s="21" t="n">
        <v>7020.87</v>
      </c>
      <c r="G47" s="21" t="n">
        <v>29239.3</v>
      </c>
    </row>
    <row r="48" customFormat="false" ht="15" hidden="false" customHeight="false" outlineLevel="0" collapsed="false">
      <c r="A48" s="22"/>
      <c r="B48" s="23" t="s">
        <v>72</v>
      </c>
      <c r="C48" s="24" t="n">
        <f aca="false">SUM(C44:C47)</f>
        <v>268855.67</v>
      </c>
      <c r="D48" s="24" t="n">
        <f aca="false">SUM(D44:D47)</f>
        <v>52057.14</v>
      </c>
      <c r="E48" s="22"/>
      <c r="F48" s="24" t="n">
        <f aca="false">SUM(F44:F47)</f>
        <v>0</v>
      </c>
      <c r="G48" s="24" t="n">
        <f aca="false">SUM(G44:G47)</f>
        <v>216798.53</v>
      </c>
      <c r="H48" s="22"/>
    </row>
    <row r="50" customFormat="false" ht="15" hidden="false" customHeight="false" outlineLevel="0" collapsed="false">
      <c r="A50" s="25" t="s">
        <v>73</v>
      </c>
      <c r="B50" s="25"/>
      <c r="C50" s="25"/>
      <c r="D50" s="25"/>
      <c r="E50" s="25"/>
      <c r="F50" s="25"/>
      <c r="G50" s="25"/>
      <c r="H50" s="25"/>
      <c r="I50" s="25"/>
      <c r="J50" s="25"/>
    </row>
    <row r="51" customFormat="false" ht="15" hidden="false" customHeight="false" outlineLevel="0" collapsed="false">
      <c r="A51" s="26" t="s">
        <v>36</v>
      </c>
      <c r="B51" s="26"/>
      <c r="C51" s="26"/>
      <c r="D51" s="26"/>
      <c r="E51" s="26"/>
      <c r="F51" s="26"/>
      <c r="G51" s="26"/>
      <c r="H51" s="26"/>
      <c r="I51" s="26"/>
      <c r="J51" s="26"/>
    </row>
    <row r="52" customFormat="false" ht="15" hidden="false" customHeight="false" outlineLevel="0" collapsed="false">
      <c r="A52" s="27"/>
      <c r="B52" s="27" t="s">
        <v>74</v>
      </c>
      <c r="C52" s="28" t="s">
        <v>75</v>
      </c>
      <c r="D52" s="28" t="s">
        <v>76</v>
      </c>
      <c r="E52" s="28" t="s">
        <v>77</v>
      </c>
      <c r="F52" s="28" t="s">
        <v>78</v>
      </c>
      <c r="G52" s="28" t="s">
        <v>79</v>
      </c>
      <c r="H52" s="28" t="s">
        <v>80</v>
      </c>
      <c r="I52" s="28" t="s">
        <v>81</v>
      </c>
      <c r="J52" s="28" t="s">
        <v>82</v>
      </c>
    </row>
    <row r="53" customFormat="false" ht="15" hidden="false" customHeight="false" outlineLevel="0" collapsed="false">
      <c r="B53" s="29" t="s">
        <v>153</v>
      </c>
      <c r="C53" s="30" t="n">
        <v>212191.05</v>
      </c>
      <c r="D53" s="30" t="n">
        <v>0</v>
      </c>
      <c r="E53" s="30" t="n">
        <v>62049.02</v>
      </c>
      <c r="F53" s="30" t="n">
        <v>7716.04</v>
      </c>
      <c r="G53" s="30" t="n">
        <v>69765.06</v>
      </c>
      <c r="H53" s="30" t="n">
        <v>142425.99</v>
      </c>
      <c r="I53" s="31" t="s">
        <v>84</v>
      </c>
      <c r="J53" s="32" t="n">
        <v>27.5</v>
      </c>
    </row>
    <row r="54" customFormat="false" ht="15" hidden="false" customHeight="false" outlineLevel="0" collapsed="false">
      <c r="B54" s="7" t="s">
        <v>154</v>
      </c>
      <c r="C54" s="9" t="n">
        <v>386.45</v>
      </c>
      <c r="D54" s="9" t="n">
        <v>0</v>
      </c>
      <c r="E54" s="9" t="n">
        <v>111.91</v>
      </c>
      <c r="F54" s="9" t="n">
        <v>14.06</v>
      </c>
      <c r="G54" s="9" t="n">
        <v>125.97</v>
      </c>
      <c r="H54" s="9" t="n">
        <v>260.48</v>
      </c>
      <c r="I54" s="33" t="s">
        <v>84</v>
      </c>
      <c r="J54" s="34" t="n">
        <v>27.5</v>
      </c>
    </row>
    <row r="55" customFormat="false" ht="15" hidden="false" customHeight="false" outlineLevel="0" collapsed="false">
      <c r="B55" s="29" t="s">
        <v>155</v>
      </c>
      <c r="C55" s="30" t="n">
        <v>20018</v>
      </c>
      <c r="D55" s="30" t="n">
        <v>0</v>
      </c>
      <c r="E55" s="30" t="n">
        <v>11723.87</v>
      </c>
      <c r="F55" s="30" t="n">
        <v>1181.07</v>
      </c>
      <c r="G55" s="30" t="n">
        <v>12904.94</v>
      </c>
      <c r="H55" s="30" t="n">
        <v>7113.06</v>
      </c>
      <c r="I55" s="31" t="s">
        <v>87</v>
      </c>
      <c r="J55" s="32" t="n">
        <v>15</v>
      </c>
    </row>
    <row r="56" customFormat="false" ht="15" hidden="false" customHeight="false" outlineLevel="0" collapsed="false">
      <c r="B56" s="7" t="s">
        <v>156</v>
      </c>
      <c r="C56" s="9" t="n">
        <v>36260.17</v>
      </c>
      <c r="D56" s="9" t="n">
        <v>0</v>
      </c>
      <c r="E56" s="9" t="n">
        <v>35051.5</v>
      </c>
      <c r="F56" s="9" t="n">
        <v>0</v>
      </c>
      <c r="G56" s="9" t="n">
        <v>35051.5</v>
      </c>
      <c r="H56" s="9" t="n">
        <v>1208.67</v>
      </c>
      <c r="I56" s="33" t="s">
        <v>89</v>
      </c>
      <c r="J56" s="34" t="n">
        <v>5</v>
      </c>
    </row>
    <row r="57" customFormat="false" ht="15" hidden="false" customHeight="false" outlineLevel="0" collapsed="false">
      <c r="A57" s="35"/>
      <c r="B57" s="36" t="s">
        <v>34</v>
      </c>
      <c r="C57" s="37" t="n">
        <f aca="false">SUM(C53:C56)</f>
        <v>268855.67</v>
      </c>
      <c r="D57" s="37" t="n">
        <f aca="false">SUM(D53:D56)</f>
        <v>0</v>
      </c>
      <c r="E57" s="37" t="n">
        <f aca="false">SUM(E53:E56)</f>
        <v>108936.3</v>
      </c>
      <c r="F57" s="37" t="n">
        <f aca="false">SUM(F53:F56)</f>
        <v>8911.17</v>
      </c>
      <c r="G57" s="37" t="n">
        <f aca="false">SUM(G53:G56)</f>
        <v>117847.47</v>
      </c>
      <c r="H57" s="37" t="n">
        <f aca="false">SUM(H53:H56)</f>
        <v>151008.2</v>
      </c>
      <c r="I57" s="35"/>
      <c r="J57" s="35"/>
    </row>
    <row r="59" customFormat="false" ht="15" hidden="false" customHeight="false" outlineLevel="0" collapsed="false">
      <c r="A59" s="38" t="s">
        <v>90</v>
      </c>
      <c r="B59" s="38"/>
      <c r="C59" s="38"/>
      <c r="D59" s="38"/>
      <c r="E59" s="38"/>
      <c r="F59" s="38"/>
      <c r="G59" s="38"/>
      <c r="H59" s="38"/>
      <c r="I59" s="38"/>
      <c r="J59" s="38"/>
    </row>
    <row r="60" customFormat="false" ht="15" hidden="false" customHeight="false" outlineLevel="0" collapsed="false">
      <c r="A60" s="27"/>
      <c r="B60" s="27" t="s">
        <v>74</v>
      </c>
      <c r="C60" s="28" t="s">
        <v>75</v>
      </c>
      <c r="D60" s="28" t="s">
        <v>76</v>
      </c>
      <c r="E60" s="28" t="s">
        <v>77</v>
      </c>
      <c r="F60" s="28" t="s">
        <v>78</v>
      </c>
      <c r="G60" s="28" t="s">
        <v>79</v>
      </c>
      <c r="H60" s="28" t="s">
        <v>80</v>
      </c>
      <c r="I60" s="28" t="s">
        <v>81</v>
      </c>
      <c r="J60" s="28" t="s">
        <v>82</v>
      </c>
    </row>
    <row r="61" customFormat="false" ht="15" hidden="false" customHeight="false" outlineLevel="0" collapsed="false">
      <c r="B61" s="29" t="s">
        <v>157</v>
      </c>
      <c r="C61" s="30" t="n">
        <v>41085.46</v>
      </c>
      <c r="D61" s="30" t="n">
        <v>0</v>
      </c>
      <c r="E61" s="30" t="n">
        <v>41085.46</v>
      </c>
      <c r="F61" s="30" t="n">
        <v>0</v>
      </c>
      <c r="G61" s="30" t="n">
        <v>41085.46</v>
      </c>
      <c r="H61" s="30" t="n">
        <v>0</v>
      </c>
      <c r="I61" s="31" t="s">
        <v>89</v>
      </c>
      <c r="J61" s="32" t="n">
        <v>5</v>
      </c>
    </row>
    <row r="62" customFormat="false" ht="15" hidden="false" customHeight="false" outlineLevel="0" collapsed="false">
      <c r="B62" s="7" t="s">
        <v>158</v>
      </c>
      <c r="C62" s="9" t="n">
        <v>171105.59</v>
      </c>
      <c r="D62" s="9" t="n">
        <v>0</v>
      </c>
      <c r="E62" s="9" t="n">
        <v>50035.41</v>
      </c>
      <c r="F62" s="9" t="n">
        <v>6222.02</v>
      </c>
      <c r="G62" s="9" t="n">
        <v>56257.43</v>
      </c>
      <c r="H62" s="9" t="n">
        <v>114848.16</v>
      </c>
      <c r="I62" s="33" t="s">
        <v>84</v>
      </c>
      <c r="J62" s="34" t="n">
        <v>27.5</v>
      </c>
    </row>
    <row r="63" customFormat="false" ht="15" hidden="false" customHeight="false" outlineLevel="0" collapsed="false">
      <c r="B63" s="29" t="s">
        <v>159</v>
      </c>
      <c r="C63" s="30" t="n">
        <v>74.83</v>
      </c>
      <c r="D63" s="30" t="n">
        <v>0</v>
      </c>
      <c r="E63" s="30" t="n">
        <v>74.83</v>
      </c>
      <c r="F63" s="30" t="n">
        <v>0</v>
      </c>
      <c r="G63" s="30" t="n">
        <v>74.83</v>
      </c>
      <c r="H63" s="30" t="n">
        <v>0</v>
      </c>
      <c r="I63" s="31" t="s">
        <v>89</v>
      </c>
      <c r="J63" s="32" t="n">
        <v>5</v>
      </c>
    </row>
    <row r="64" customFormat="false" ht="15" hidden="false" customHeight="false" outlineLevel="0" collapsed="false">
      <c r="B64" s="7" t="s">
        <v>160</v>
      </c>
      <c r="C64" s="9" t="n">
        <v>311.62</v>
      </c>
      <c r="D64" s="9" t="n">
        <v>0</v>
      </c>
      <c r="E64" s="9" t="n">
        <v>90.17</v>
      </c>
      <c r="F64" s="9" t="n">
        <v>11.33</v>
      </c>
      <c r="G64" s="9" t="n">
        <v>101.5</v>
      </c>
      <c r="H64" s="9" t="n">
        <v>210.12</v>
      </c>
      <c r="I64" s="33" t="s">
        <v>84</v>
      </c>
      <c r="J64" s="34" t="n">
        <v>27.5</v>
      </c>
    </row>
    <row r="65" customFormat="false" ht="15" hidden="false" customHeight="false" outlineLevel="0" collapsed="false">
      <c r="B65" s="29" t="s">
        <v>161</v>
      </c>
      <c r="C65" s="30" t="n">
        <v>3875.98</v>
      </c>
      <c r="D65" s="30" t="n">
        <v>0</v>
      </c>
      <c r="E65" s="30" t="n">
        <v>3875.98</v>
      </c>
      <c r="F65" s="30" t="n">
        <v>0</v>
      </c>
      <c r="G65" s="30" t="n">
        <v>3875.98</v>
      </c>
      <c r="H65" s="30" t="n">
        <v>0</v>
      </c>
      <c r="I65" s="31" t="s">
        <v>89</v>
      </c>
      <c r="J65" s="32" t="n">
        <v>5</v>
      </c>
    </row>
    <row r="66" customFormat="false" ht="15" hidden="false" customHeight="false" outlineLevel="0" collapsed="false">
      <c r="B66" s="7" t="s">
        <v>162</v>
      </c>
      <c r="C66" s="9" t="n">
        <v>16142.02</v>
      </c>
      <c r="D66" s="9" t="n">
        <v>0</v>
      </c>
      <c r="E66" s="9" t="n">
        <v>4720.3</v>
      </c>
      <c r="F66" s="9" t="n">
        <v>586.98</v>
      </c>
      <c r="G66" s="9" t="n">
        <v>5307.28</v>
      </c>
      <c r="H66" s="9" t="n">
        <v>10834.74</v>
      </c>
      <c r="I66" s="33" t="s">
        <v>84</v>
      </c>
      <c r="J66" s="34" t="n">
        <v>27.5</v>
      </c>
    </row>
    <row r="67" customFormat="false" ht="15" hidden="false" customHeight="false" outlineLevel="0" collapsed="false">
      <c r="B67" s="29" t="s">
        <v>163</v>
      </c>
      <c r="C67" s="30" t="n">
        <v>7020.87</v>
      </c>
      <c r="D67" s="30" t="n">
        <v>0</v>
      </c>
      <c r="E67" s="30" t="n">
        <v>7020.87</v>
      </c>
      <c r="F67" s="30" t="n">
        <v>0</v>
      </c>
      <c r="G67" s="30" t="n">
        <v>7020.87</v>
      </c>
      <c r="H67" s="30" t="n">
        <v>0</v>
      </c>
      <c r="I67" s="31" t="s">
        <v>89</v>
      </c>
      <c r="J67" s="32" t="n">
        <v>5</v>
      </c>
    </row>
    <row r="68" customFormat="false" ht="15" hidden="false" customHeight="false" outlineLevel="0" collapsed="false">
      <c r="B68" s="7" t="s">
        <v>164</v>
      </c>
      <c r="C68" s="9" t="n">
        <v>29239.3</v>
      </c>
      <c r="D68" s="9" t="n">
        <v>0</v>
      </c>
      <c r="E68" s="9" t="n">
        <v>8550.3</v>
      </c>
      <c r="F68" s="9" t="n">
        <v>1063.25</v>
      </c>
      <c r="G68" s="9" t="n">
        <v>9613.55</v>
      </c>
      <c r="H68" s="9" t="n">
        <v>19625.75</v>
      </c>
      <c r="I68" s="33" t="s">
        <v>84</v>
      </c>
      <c r="J68" s="34" t="n">
        <v>27.5</v>
      </c>
    </row>
    <row r="69" customFormat="false" ht="15" hidden="false" customHeight="false" outlineLevel="0" collapsed="false">
      <c r="A69" s="35"/>
      <c r="B69" s="36" t="s">
        <v>34</v>
      </c>
      <c r="C69" s="37" t="n">
        <f aca="false">SUM(C61:C68)</f>
        <v>268855.67</v>
      </c>
      <c r="D69" s="37" t="n">
        <f aca="false">SUM(D61:D68)</f>
        <v>0</v>
      </c>
      <c r="E69" s="37" t="n">
        <f aca="false">SUM(E61:E68)</f>
        <v>115453.32</v>
      </c>
      <c r="F69" s="37" t="n">
        <f aca="false">SUM(F61:F68)</f>
        <v>7883.58</v>
      </c>
      <c r="G69" s="37" t="n">
        <f aca="false">SUM(G61:G68)</f>
        <v>123336.9</v>
      </c>
      <c r="H69" s="37" t="n">
        <f aca="false">SUM(H61:H68)</f>
        <v>145518.77</v>
      </c>
      <c r="I69" s="35"/>
      <c r="J69" s="35"/>
    </row>
    <row r="71" customFormat="false" ht="15" hidden="false" customHeight="false" outlineLevel="0" collapsed="false">
      <c r="A71" s="25" t="s">
        <v>38</v>
      </c>
      <c r="B71" s="25"/>
      <c r="C71" s="25"/>
      <c r="D71" s="25"/>
      <c r="E71" s="25"/>
    </row>
    <row r="72" customFormat="false" ht="15" hidden="false" customHeight="false" outlineLevel="0" collapsed="false">
      <c r="B72" s="7" t="s">
        <v>99</v>
      </c>
      <c r="C72" s="39" t="n">
        <f aca="false">G57</f>
        <v>117847.47</v>
      </c>
    </row>
    <row r="73" customFormat="false" ht="15" hidden="false" customHeight="false" outlineLevel="0" collapsed="false">
      <c r="B73" s="7" t="s">
        <v>100</v>
      </c>
      <c r="C73" s="39" t="n">
        <f aca="false">G69</f>
        <v>123336.9</v>
      </c>
    </row>
    <row r="74" customFormat="false" ht="15" hidden="false" customHeight="false" outlineLevel="0" collapsed="false">
      <c r="B74" s="10" t="s">
        <v>38</v>
      </c>
      <c r="C74" s="40" t="n">
        <f aca="false">C73-C72</f>
        <v>5489.42999999999</v>
      </c>
    </row>
  </sheetData>
  <mergeCells count="11">
    <mergeCell ref="A2:J2"/>
    <mergeCell ref="A3:J3"/>
    <mergeCell ref="A4:J4"/>
    <mergeCell ref="A8:J8"/>
    <mergeCell ref="B10:J10"/>
    <mergeCell ref="B23:J23"/>
    <mergeCell ref="B43:J43"/>
    <mergeCell ref="A50:J50"/>
    <mergeCell ref="A51:J51"/>
    <mergeCell ref="A59:J59"/>
    <mergeCell ref="A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8" min="4" style="0" width="12"/>
    <col collapsed="false" customWidth="true" hidden="false" outlineLevel="0" max="10" min="9" style="0" width="10"/>
  </cols>
  <sheetData>
    <row r="2" customFormat="false" ht="16.15" hidden="false" customHeight="false" outlineLevel="0" collapsed="false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customFormat="false" ht="15" hidden="false" customHeight="false" outlineLevel="0" collapsed="false">
      <c r="A3" s="2" t="s">
        <v>213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40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false" outlineLevel="0" collapsed="false">
      <c r="B6" s="14" t="s">
        <v>41</v>
      </c>
      <c r="C6" s="15" t="s">
        <v>42</v>
      </c>
    </row>
    <row r="8" customFormat="false" ht="15" hidden="false" customHeight="false" outlineLevel="0" collapsed="false">
      <c r="A8" s="16" t="s">
        <v>214</v>
      </c>
      <c r="B8" s="16"/>
      <c r="C8" s="16"/>
      <c r="D8" s="16"/>
      <c r="E8" s="16"/>
      <c r="F8" s="16"/>
      <c r="G8" s="16"/>
      <c r="H8" s="16"/>
      <c r="I8" s="16"/>
      <c r="J8" s="16"/>
    </row>
    <row r="9" customFormat="false" ht="15" hidden="false" customHeight="false" outlineLevel="0" collapsed="false">
      <c r="A9" s="17"/>
      <c r="B9" s="17" t="s">
        <v>44</v>
      </c>
      <c r="C9" s="18" t="s">
        <v>45</v>
      </c>
      <c r="D9" s="18" t="s">
        <v>46</v>
      </c>
      <c r="E9" s="18" t="s">
        <v>47</v>
      </c>
      <c r="F9" s="18" t="s">
        <v>48</v>
      </c>
      <c r="G9" s="18" t="s">
        <v>49</v>
      </c>
      <c r="H9" s="18" t="s">
        <v>50</v>
      </c>
    </row>
    <row r="10" customFormat="false" ht="15" hidden="false" customHeight="false" outlineLevel="0" collapsed="false">
      <c r="A10" s="19"/>
      <c r="B10" s="20" t="s">
        <v>103</v>
      </c>
      <c r="C10" s="20"/>
      <c r="D10" s="20"/>
      <c r="E10" s="20"/>
      <c r="F10" s="20"/>
      <c r="G10" s="20"/>
      <c r="H10" s="20"/>
      <c r="I10" s="20"/>
      <c r="J10" s="20"/>
    </row>
    <row r="11" customFormat="false" ht="15" hidden="false" customHeight="false" outlineLevel="0" collapsed="false">
      <c r="B11" s="15" t="s">
        <v>112</v>
      </c>
      <c r="C11" s="21" t="n">
        <v>466.64</v>
      </c>
      <c r="D11" s="21" t="n">
        <v>466.64</v>
      </c>
    </row>
    <row r="12" customFormat="false" ht="15" hidden="false" customHeight="false" outlineLevel="0" collapsed="false">
      <c r="A12" s="19"/>
      <c r="B12" s="20" t="s">
        <v>114</v>
      </c>
      <c r="C12" s="20"/>
      <c r="D12" s="20"/>
      <c r="E12" s="20"/>
      <c r="F12" s="20"/>
      <c r="G12" s="20"/>
      <c r="H12" s="20"/>
      <c r="I12" s="20"/>
      <c r="J12" s="20"/>
    </row>
    <row r="13" customFormat="false" ht="15" hidden="false" customHeight="false" outlineLevel="0" collapsed="false">
      <c r="B13" s="15" t="s">
        <v>115</v>
      </c>
      <c r="C13" s="21" t="n">
        <v>1166.22</v>
      </c>
      <c r="G13" s="21" t="n">
        <v>1166.22</v>
      </c>
    </row>
    <row r="14" customFormat="false" ht="15" hidden="false" customHeight="false" outlineLevel="0" collapsed="false">
      <c r="B14" s="15" t="s">
        <v>116</v>
      </c>
      <c r="C14" s="21" t="n">
        <v>2317.11</v>
      </c>
      <c r="G14" s="21" t="n">
        <v>2317.11</v>
      </c>
    </row>
    <row r="15" customFormat="false" ht="15" hidden="false" customHeight="false" outlineLevel="0" collapsed="false">
      <c r="B15" s="15" t="s">
        <v>118</v>
      </c>
      <c r="C15" s="21" t="n">
        <v>1596.01</v>
      </c>
      <c r="G15" s="21" t="n">
        <v>1596.01</v>
      </c>
    </row>
    <row r="16" customFormat="false" ht="15" hidden="false" customHeight="false" outlineLevel="0" collapsed="false">
      <c r="B16" s="15" t="s">
        <v>119</v>
      </c>
      <c r="C16" s="21" t="n">
        <v>1281.52</v>
      </c>
      <c r="G16" s="21" t="n">
        <v>1281.52</v>
      </c>
    </row>
    <row r="17" customFormat="false" ht="15" hidden="false" customHeight="false" outlineLevel="0" collapsed="false">
      <c r="B17" s="15" t="s">
        <v>121</v>
      </c>
      <c r="C17" s="21" t="n">
        <v>1142.2</v>
      </c>
      <c r="G17" s="21" t="n">
        <v>1142.2</v>
      </c>
    </row>
    <row r="18" customFormat="false" ht="15" hidden="false" customHeight="false" outlineLevel="0" collapsed="false">
      <c r="B18" s="15" t="s">
        <v>122</v>
      </c>
      <c r="C18" s="21" t="n">
        <v>1553.84</v>
      </c>
      <c r="G18" s="21" t="n">
        <v>1553.84</v>
      </c>
    </row>
    <row r="19" customFormat="false" ht="15" hidden="false" customHeight="false" outlineLevel="0" collapsed="false">
      <c r="B19" s="15" t="s">
        <v>124</v>
      </c>
      <c r="C19" s="21" t="n">
        <v>668.87</v>
      </c>
      <c r="G19" s="21" t="n">
        <v>668.87</v>
      </c>
    </row>
    <row r="20" customFormat="false" ht="15" hidden="false" customHeight="false" outlineLevel="0" collapsed="false">
      <c r="B20" s="15" t="s">
        <v>125</v>
      </c>
      <c r="C20" s="21" t="n">
        <v>1942.61</v>
      </c>
      <c r="G20" s="21" t="n">
        <v>1942.61</v>
      </c>
    </row>
    <row r="21" customFormat="false" ht="15" hidden="false" customHeight="false" outlineLevel="0" collapsed="false">
      <c r="B21" s="15" t="s">
        <v>126</v>
      </c>
      <c r="C21" s="21" t="n">
        <v>1009.44</v>
      </c>
      <c r="G21" s="21" t="n">
        <v>1009.44</v>
      </c>
    </row>
    <row r="22" customFormat="false" ht="15" hidden="false" customHeight="false" outlineLevel="0" collapsed="false">
      <c r="B22" s="15" t="s">
        <v>127</v>
      </c>
      <c r="C22" s="21" t="n">
        <v>374.41</v>
      </c>
      <c r="G22" s="21" t="n">
        <v>374.41</v>
      </c>
    </row>
    <row r="23" customFormat="false" ht="15" hidden="false" customHeight="false" outlineLevel="0" collapsed="false">
      <c r="B23" s="15" t="s">
        <v>129</v>
      </c>
      <c r="C23" s="21" t="n">
        <v>2295.74</v>
      </c>
      <c r="G23" s="21" t="n">
        <v>2295.74</v>
      </c>
    </row>
    <row r="24" customFormat="false" ht="15" hidden="false" customHeight="false" outlineLevel="0" collapsed="false">
      <c r="B24" s="15" t="s">
        <v>215</v>
      </c>
      <c r="C24" s="21" t="n">
        <v>167.22</v>
      </c>
      <c r="G24" s="21" t="n">
        <v>167.22</v>
      </c>
    </row>
    <row r="25" customFormat="false" ht="15" hidden="false" customHeight="false" outlineLevel="0" collapsed="false">
      <c r="B25" s="15" t="s">
        <v>130</v>
      </c>
      <c r="C25" s="21" t="n">
        <v>399.61</v>
      </c>
      <c r="G25" s="21" t="n">
        <v>399.61</v>
      </c>
    </row>
    <row r="26" customFormat="false" ht="15" hidden="false" customHeight="false" outlineLevel="0" collapsed="false">
      <c r="A26" s="22"/>
      <c r="B26" s="23" t="s">
        <v>66</v>
      </c>
      <c r="C26" s="24" t="n">
        <f aca="false">SUM(C10:C25)</f>
        <v>16381.44</v>
      </c>
      <c r="D26" s="24" t="n">
        <f aca="false">SUM(D10:D25)</f>
        <v>466.64</v>
      </c>
      <c r="E26" s="24" t="n">
        <f aca="false">SUM(E10:E25)</f>
        <v>0</v>
      </c>
      <c r="F26" s="24" t="n">
        <f aca="false">SUM(F10:F25)</f>
        <v>0</v>
      </c>
      <c r="G26" s="24" t="n">
        <f aca="false">SUM(G10:G25)</f>
        <v>15914.8</v>
      </c>
      <c r="H26" s="22"/>
    </row>
    <row r="28" customFormat="false" ht="15" hidden="false" customHeight="false" outlineLevel="0" collapsed="false">
      <c r="A28" s="19"/>
      <c r="B28" s="20" t="s">
        <v>67</v>
      </c>
      <c r="C28" s="20"/>
      <c r="D28" s="20"/>
      <c r="E28" s="20"/>
      <c r="F28" s="20"/>
      <c r="G28" s="20"/>
      <c r="H28" s="20"/>
      <c r="I28" s="20"/>
      <c r="J28" s="20"/>
    </row>
    <row r="29" customFormat="false" ht="15" hidden="false" customHeight="false" outlineLevel="0" collapsed="false">
      <c r="B29" s="15" t="s">
        <v>68</v>
      </c>
      <c r="C29" s="21" t="n">
        <v>12928.85</v>
      </c>
      <c r="D29" s="21" t="n">
        <v>368.29</v>
      </c>
      <c r="G29" s="21" t="n">
        <v>12560.56</v>
      </c>
    </row>
    <row r="30" customFormat="false" ht="15" hidden="false" customHeight="false" outlineLevel="0" collapsed="false">
      <c r="B30" s="15" t="s">
        <v>69</v>
      </c>
      <c r="C30" s="21" t="n">
        <v>23.55</v>
      </c>
      <c r="D30" s="21" t="n">
        <v>0.67</v>
      </c>
      <c r="G30" s="21" t="n">
        <v>22.88</v>
      </c>
    </row>
    <row r="31" customFormat="false" ht="15" hidden="false" customHeight="false" outlineLevel="0" collapsed="false">
      <c r="B31" s="15" t="s">
        <v>70</v>
      </c>
      <c r="C31" s="21" t="n">
        <v>1219.7</v>
      </c>
      <c r="D31" s="21" t="n">
        <v>34.74</v>
      </c>
      <c r="G31" s="21" t="n">
        <v>1184.96</v>
      </c>
    </row>
    <row r="32" customFormat="false" ht="15" hidden="false" customHeight="false" outlineLevel="0" collapsed="false">
      <c r="B32" s="15" t="s">
        <v>71</v>
      </c>
      <c r="C32" s="21" t="n">
        <v>2209.34</v>
      </c>
      <c r="D32" s="21" t="n">
        <v>62.94</v>
      </c>
      <c r="G32" s="21" t="n">
        <v>2146.4</v>
      </c>
    </row>
    <row r="33" customFormat="false" ht="15" hidden="false" customHeight="false" outlineLevel="0" collapsed="false">
      <c r="A33" s="22"/>
      <c r="B33" s="23" t="s">
        <v>72</v>
      </c>
      <c r="C33" s="24" t="n">
        <f aca="false">SUM(C29:C32)</f>
        <v>16381.44</v>
      </c>
      <c r="D33" s="24" t="n">
        <f aca="false">SUM(D29:D32)</f>
        <v>466.64</v>
      </c>
      <c r="E33" s="22"/>
      <c r="F33" s="24" t="n">
        <f aca="false">SUM(F29:F32)</f>
        <v>0</v>
      </c>
      <c r="G33" s="24" t="n">
        <f aca="false">SUM(G29:G32)</f>
        <v>15914.8</v>
      </c>
      <c r="H33" s="22"/>
    </row>
    <row r="35" customFormat="false" ht="15" hidden="false" customHeight="false" outlineLevel="0" collapsed="false">
      <c r="A35" s="25" t="s">
        <v>73</v>
      </c>
      <c r="B35" s="25"/>
      <c r="C35" s="25"/>
      <c r="D35" s="25"/>
      <c r="E35" s="25"/>
      <c r="F35" s="25"/>
      <c r="G35" s="25"/>
      <c r="H35" s="25"/>
      <c r="I35" s="25"/>
      <c r="J35" s="25"/>
    </row>
    <row r="36" customFormat="false" ht="15" hidden="false" customHeight="false" outlineLevel="0" collapsed="false">
      <c r="A36" s="26" t="s">
        <v>36</v>
      </c>
      <c r="B36" s="26"/>
      <c r="C36" s="26"/>
      <c r="D36" s="26"/>
      <c r="E36" s="26"/>
      <c r="F36" s="26"/>
      <c r="G36" s="26"/>
      <c r="H36" s="26"/>
      <c r="I36" s="26"/>
      <c r="J36" s="26"/>
    </row>
    <row r="37" customFormat="false" ht="15" hidden="false" customHeight="false" outlineLevel="0" collapsed="false">
      <c r="A37" s="27"/>
      <c r="B37" s="27" t="s">
        <v>74</v>
      </c>
      <c r="C37" s="28" t="s">
        <v>75</v>
      </c>
      <c r="D37" s="28" t="s">
        <v>76</v>
      </c>
      <c r="E37" s="28" t="s">
        <v>77</v>
      </c>
      <c r="F37" s="28" t="s">
        <v>78</v>
      </c>
      <c r="G37" s="28" t="s">
        <v>79</v>
      </c>
      <c r="H37" s="28" t="s">
        <v>80</v>
      </c>
      <c r="I37" s="28" t="s">
        <v>81</v>
      </c>
      <c r="J37" s="28" t="s">
        <v>82</v>
      </c>
    </row>
    <row r="38" customFormat="false" ht="15" hidden="false" customHeight="false" outlineLevel="0" collapsed="false">
      <c r="B38" s="29" t="s">
        <v>216</v>
      </c>
      <c r="C38" s="30" t="n">
        <v>12928.85</v>
      </c>
      <c r="D38" s="30" t="n">
        <v>0</v>
      </c>
      <c r="E38" s="30" t="n">
        <v>3780.66</v>
      </c>
      <c r="F38" s="30" t="n">
        <v>470.14</v>
      </c>
      <c r="G38" s="30" t="n">
        <v>4250.8</v>
      </c>
      <c r="H38" s="30" t="n">
        <v>8678.05</v>
      </c>
      <c r="I38" s="31" t="s">
        <v>84</v>
      </c>
      <c r="J38" s="32" t="n">
        <v>27.5</v>
      </c>
    </row>
    <row r="39" customFormat="false" ht="15" hidden="false" customHeight="false" outlineLevel="0" collapsed="false">
      <c r="B39" s="7" t="s">
        <v>217</v>
      </c>
      <c r="C39" s="9" t="n">
        <v>23.55</v>
      </c>
      <c r="D39" s="9" t="n">
        <v>0</v>
      </c>
      <c r="E39" s="9" t="n">
        <v>6.82</v>
      </c>
      <c r="F39" s="9" t="n">
        <v>0.86</v>
      </c>
      <c r="G39" s="9" t="n">
        <v>7.68</v>
      </c>
      <c r="H39" s="9" t="n">
        <v>15.87</v>
      </c>
      <c r="I39" s="33" t="s">
        <v>84</v>
      </c>
      <c r="J39" s="34" t="n">
        <v>27.5</v>
      </c>
    </row>
    <row r="40" customFormat="false" ht="15" hidden="false" customHeight="false" outlineLevel="0" collapsed="false">
      <c r="B40" s="29" t="s">
        <v>218</v>
      </c>
      <c r="C40" s="30" t="n">
        <v>1219.7</v>
      </c>
      <c r="D40" s="30" t="n">
        <v>0</v>
      </c>
      <c r="E40" s="30" t="n">
        <v>714.34</v>
      </c>
      <c r="F40" s="30" t="n">
        <v>71.96</v>
      </c>
      <c r="G40" s="30" t="n">
        <v>786.3</v>
      </c>
      <c r="H40" s="30" t="n">
        <v>433.4</v>
      </c>
      <c r="I40" s="31" t="s">
        <v>87</v>
      </c>
      <c r="J40" s="32" t="n">
        <v>15</v>
      </c>
    </row>
    <row r="41" customFormat="false" ht="15" hidden="false" customHeight="false" outlineLevel="0" collapsed="false">
      <c r="B41" s="7" t="s">
        <v>219</v>
      </c>
      <c r="C41" s="9" t="n">
        <v>2209.34</v>
      </c>
      <c r="D41" s="9" t="n">
        <v>0</v>
      </c>
      <c r="E41" s="9" t="n">
        <v>2135.7</v>
      </c>
      <c r="F41" s="9" t="n">
        <v>0</v>
      </c>
      <c r="G41" s="9" t="n">
        <v>2135.7</v>
      </c>
      <c r="H41" s="9" t="n">
        <v>73.64</v>
      </c>
      <c r="I41" s="33" t="s">
        <v>89</v>
      </c>
      <c r="J41" s="34" t="n">
        <v>5</v>
      </c>
    </row>
    <row r="42" customFormat="false" ht="15" hidden="false" customHeight="false" outlineLevel="0" collapsed="false">
      <c r="A42" s="35"/>
      <c r="B42" s="36" t="s">
        <v>34</v>
      </c>
      <c r="C42" s="37" t="n">
        <f aca="false">SUM(C38:C41)</f>
        <v>16381.44</v>
      </c>
      <c r="D42" s="37" t="n">
        <f aca="false">SUM(D38:D41)</f>
        <v>0</v>
      </c>
      <c r="E42" s="37" t="n">
        <f aca="false">SUM(E38:E41)</f>
        <v>6637.52</v>
      </c>
      <c r="F42" s="37" t="n">
        <f aca="false">SUM(F38:F41)</f>
        <v>542.96</v>
      </c>
      <c r="G42" s="37" t="n">
        <f aca="false">SUM(G38:G41)</f>
        <v>7180.48</v>
      </c>
      <c r="H42" s="37" t="n">
        <f aca="false">SUM(H38:H41)</f>
        <v>9200.96</v>
      </c>
      <c r="I42" s="35"/>
      <c r="J42" s="35"/>
    </row>
    <row r="44" customFormat="false" ht="15" hidden="false" customHeight="false" outlineLevel="0" collapsed="false">
      <c r="A44" s="38" t="s">
        <v>90</v>
      </c>
      <c r="B44" s="38"/>
      <c r="C44" s="38"/>
      <c r="D44" s="38"/>
      <c r="E44" s="38"/>
      <c r="F44" s="38"/>
      <c r="G44" s="38"/>
      <c r="H44" s="38"/>
      <c r="I44" s="38"/>
      <c r="J44" s="38"/>
    </row>
    <row r="45" customFormat="false" ht="15" hidden="false" customHeight="false" outlineLevel="0" collapsed="false">
      <c r="A45" s="27"/>
      <c r="B45" s="27" t="s">
        <v>74</v>
      </c>
      <c r="C45" s="28" t="s">
        <v>75</v>
      </c>
      <c r="D45" s="28" t="s">
        <v>76</v>
      </c>
      <c r="E45" s="28" t="s">
        <v>77</v>
      </c>
      <c r="F45" s="28" t="s">
        <v>78</v>
      </c>
      <c r="G45" s="28" t="s">
        <v>79</v>
      </c>
      <c r="H45" s="28" t="s">
        <v>80</v>
      </c>
      <c r="I45" s="28" t="s">
        <v>81</v>
      </c>
      <c r="J45" s="28" t="s">
        <v>82</v>
      </c>
    </row>
    <row r="46" customFormat="false" ht="15" hidden="false" customHeight="false" outlineLevel="0" collapsed="false">
      <c r="B46" s="29" t="s">
        <v>220</v>
      </c>
      <c r="C46" s="30" t="n">
        <v>368.29</v>
      </c>
      <c r="D46" s="30" t="n">
        <v>0</v>
      </c>
      <c r="E46" s="30" t="n">
        <v>368.29</v>
      </c>
      <c r="F46" s="30" t="n">
        <v>0</v>
      </c>
      <c r="G46" s="30" t="n">
        <v>368.29</v>
      </c>
      <c r="H46" s="30" t="n">
        <v>0</v>
      </c>
      <c r="I46" s="31" t="s">
        <v>89</v>
      </c>
      <c r="J46" s="32" t="n">
        <v>5</v>
      </c>
    </row>
    <row r="47" customFormat="false" ht="15" hidden="false" customHeight="false" outlineLevel="0" collapsed="false">
      <c r="B47" s="7" t="s">
        <v>221</v>
      </c>
      <c r="C47" s="9" t="n">
        <v>12560.56</v>
      </c>
      <c r="D47" s="9" t="n">
        <v>0</v>
      </c>
      <c r="E47" s="9" t="n">
        <v>3673.03</v>
      </c>
      <c r="F47" s="9" t="n">
        <v>456.75</v>
      </c>
      <c r="G47" s="9" t="n">
        <v>4129.78</v>
      </c>
      <c r="H47" s="9" t="n">
        <v>8430.78</v>
      </c>
      <c r="I47" s="33" t="s">
        <v>84</v>
      </c>
      <c r="J47" s="34" t="n">
        <v>27.5</v>
      </c>
    </row>
    <row r="48" customFormat="false" ht="15" hidden="false" customHeight="false" outlineLevel="0" collapsed="false">
      <c r="B48" s="29" t="s">
        <v>222</v>
      </c>
      <c r="C48" s="30" t="n">
        <v>0.67</v>
      </c>
      <c r="D48" s="30" t="n">
        <v>0</v>
      </c>
      <c r="E48" s="30" t="n">
        <v>0.67</v>
      </c>
      <c r="F48" s="30" t="n">
        <v>0</v>
      </c>
      <c r="G48" s="30" t="n">
        <v>0.67</v>
      </c>
      <c r="H48" s="30" t="n">
        <v>0</v>
      </c>
      <c r="I48" s="31" t="s">
        <v>89</v>
      </c>
      <c r="J48" s="32" t="n">
        <v>5</v>
      </c>
    </row>
    <row r="49" customFormat="false" ht="15" hidden="false" customHeight="false" outlineLevel="0" collapsed="false">
      <c r="B49" s="7" t="s">
        <v>223</v>
      </c>
      <c r="C49" s="9" t="n">
        <v>22.88</v>
      </c>
      <c r="D49" s="9" t="n">
        <v>0</v>
      </c>
      <c r="E49" s="9" t="n">
        <v>6.61</v>
      </c>
      <c r="F49" s="9" t="n">
        <v>0.83</v>
      </c>
      <c r="G49" s="9" t="n">
        <v>7.44</v>
      </c>
      <c r="H49" s="9" t="n">
        <v>15.44</v>
      </c>
      <c r="I49" s="33" t="s">
        <v>84</v>
      </c>
      <c r="J49" s="34" t="n">
        <v>27.5</v>
      </c>
    </row>
    <row r="50" customFormat="false" ht="15" hidden="false" customHeight="false" outlineLevel="0" collapsed="false">
      <c r="B50" s="29" t="s">
        <v>224</v>
      </c>
      <c r="C50" s="30" t="n">
        <v>34.74</v>
      </c>
      <c r="D50" s="30" t="n">
        <v>0</v>
      </c>
      <c r="E50" s="30" t="n">
        <v>34.74</v>
      </c>
      <c r="F50" s="30" t="n">
        <v>0</v>
      </c>
      <c r="G50" s="30" t="n">
        <v>34.74</v>
      </c>
      <c r="H50" s="30" t="n">
        <v>0</v>
      </c>
      <c r="I50" s="31" t="s">
        <v>89</v>
      </c>
      <c r="J50" s="32" t="n">
        <v>5</v>
      </c>
    </row>
    <row r="51" customFormat="false" ht="15" hidden="false" customHeight="false" outlineLevel="0" collapsed="false">
      <c r="B51" s="7" t="s">
        <v>225</v>
      </c>
      <c r="C51" s="9" t="n">
        <v>1184.96</v>
      </c>
      <c r="D51" s="9" t="n">
        <v>0</v>
      </c>
      <c r="E51" s="9" t="n">
        <v>346.52</v>
      </c>
      <c r="F51" s="9" t="n">
        <v>43.09</v>
      </c>
      <c r="G51" s="9" t="n">
        <v>389.61</v>
      </c>
      <c r="H51" s="9" t="n">
        <v>795.35</v>
      </c>
      <c r="I51" s="33" t="s">
        <v>84</v>
      </c>
      <c r="J51" s="34" t="n">
        <v>27.5</v>
      </c>
    </row>
    <row r="52" customFormat="false" ht="15" hidden="false" customHeight="false" outlineLevel="0" collapsed="false">
      <c r="B52" s="29" t="s">
        <v>226</v>
      </c>
      <c r="C52" s="30" t="n">
        <v>62.94</v>
      </c>
      <c r="D52" s="30" t="n">
        <v>0</v>
      </c>
      <c r="E52" s="30" t="n">
        <v>62.94</v>
      </c>
      <c r="F52" s="30" t="n">
        <v>0</v>
      </c>
      <c r="G52" s="30" t="n">
        <v>62.94</v>
      </c>
      <c r="H52" s="30" t="n">
        <v>0</v>
      </c>
      <c r="I52" s="31" t="s">
        <v>89</v>
      </c>
      <c r="J52" s="32" t="n">
        <v>5</v>
      </c>
    </row>
    <row r="53" customFormat="false" ht="15" hidden="false" customHeight="false" outlineLevel="0" collapsed="false">
      <c r="B53" s="7" t="s">
        <v>227</v>
      </c>
      <c r="C53" s="9" t="n">
        <v>2146.4</v>
      </c>
      <c r="D53" s="9" t="n">
        <v>0</v>
      </c>
      <c r="E53" s="9" t="n">
        <v>627.65</v>
      </c>
      <c r="F53" s="9" t="n">
        <v>78.05</v>
      </c>
      <c r="G53" s="9" t="n">
        <v>705.7</v>
      </c>
      <c r="H53" s="9" t="n">
        <v>1440.7</v>
      </c>
      <c r="I53" s="33" t="s">
        <v>84</v>
      </c>
      <c r="J53" s="34" t="n">
        <v>27.5</v>
      </c>
    </row>
    <row r="54" customFormat="false" ht="15" hidden="false" customHeight="false" outlineLevel="0" collapsed="false">
      <c r="A54" s="35"/>
      <c r="B54" s="36" t="s">
        <v>34</v>
      </c>
      <c r="C54" s="37" t="n">
        <f aca="false">SUM(C46:C53)</f>
        <v>16381.44</v>
      </c>
      <c r="D54" s="37" t="n">
        <f aca="false">SUM(D46:D53)</f>
        <v>0</v>
      </c>
      <c r="E54" s="37" t="n">
        <f aca="false">SUM(E46:E53)</f>
        <v>5120.45</v>
      </c>
      <c r="F54" s="37" t="n">
        <f aca="false">SUM(F46:F53)</f>
        <v>578.72</v>
      </c>
      <c r="G54" s="37" t="n">
        <f aca="false">SUM(G46:G53)</f>
        <v>5699.17</v>
      </c>
      <c r="H54" s="37" t="n">
        <f aca="false">SUM(H46:H53)</f>
        <v>10682.27</v>
      </c>
      <c r="I54" s="35"/>
      <c r="J54" s="35"/>
    </row>
    <row r="56" customFormat="false" ht="15" hidden="false" customHeight="false" outlineLevel="0" collapsed="false">
      <c r="A56" s="25" t="s">
        <v>38</v>
      </c>
      <c r="B56" s="25"/>
      <c r="C56" s="25"/>
      <c r="D56" s="25"/>
      <c r="E56" s="25"/>
    </row>
    <row r="57" customFormat="false" ht="15" hidden="false" customHeight="false" outlineLevel="0" collapsed="false">
      <c r="B57" s="7" t="s">
        <v>99</v>
      </c>
      <c r="C57" s="39" t="n">
        <f aca="false">G42</f>
        <v>7180.48</v>
      </c>
    </row>
    <row r="58" customFormat="false" ht="15" hidden="false" customHeight="false" outlineLevel="0" collapsed="false">
      <c r="B58" s="7" t="s">
        <v>100</v>
      </c>
      <c r="C58" s="39" t="n">
        <f aca="false">G54</f>
        <v>5699.17</v>
      </c>
    </row>
    <row r="59" customFormat="false" ht="15" hidden="false" customHeight="false" outlineLevel="0" collapsed="false">
      <c r="B59" s="10" t="s">
        <v>38</v>
      </c>
      <c r="C59" s="40" t="n">
        <f aca="false">C58-C57</f>
        <v>-1481.31</v>
      </c>
    </row>
  </sheetData>
  <mergeCells count="11">
    <mergeCell ref="A2:J2"/>
    <mergeCell ref="A3:J3"/>
    <mergeCell ref="A4:J4"/>
    <mergeCell ref="A8:J8"/>
    <mergeCell ref="B10:J10"/>
    <mergeCell ref="B12:J12"/>
    <mergeCell ref="B28:J28"/>
    <mergeCell ref="A35:J35"/>
    <mergeCell ref="A36:J36"/>
    <mergeCell ref="A44:J44"/>
    <mergeCell ref="A56:E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2026-07-08T21:05:51Z</dcterms:created>
  <dc:creator>openpyxl</dc:creator>
  <dc:description/>
  <dc:language>en-US</dc:language>
  <cp:lastModifiedBy/>
  <dcterms:modified xsi:type="dcterms:W3CDTF">2026-07-08T21:05:52Z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