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ild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<sst xmlns="http://schemas.openxmlformats.org/spreadsheetml/2006/main" count="128" uniqueCount="100">
  <si>
    <t xml:space="preserve">Fairfax Senior Apartments</t>
  </si>
  <si>
    <t xml:space="preserve">Summary of Cost Seg Adjustments</t>
  </si>
  <si>
    <t xml:space="preserve">As of December 31, 2024  |  EIN: 11-3233403  |  Report #107752-35</t>
  </si>
  <si>
    <t xml:space="preserve">Acq Date</t>
  </si>
  <si>
    <t xml:space="preserve">Asset Description</t>
  </si>
  <si>
    <t xml:space="preserve">Total</t>
  </si>
  <si>
    <t xml:space="preserve">Building</t>
  </si>
  <si>
    <t xml:space="preserve">Grand Total</t>
  </si>
  <si>
    <t xml:space="preserve">Property Cost Summary</t>
  </si>
  <si>
    <t xml:space="preserve">4/10/20</t>
  </si>
  <si>
    <t xml:space="preserve">Property - Building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</si>
  <si>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</si>
  <si>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</si>
  <si>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</si>
  <si>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</si>
  <si>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Fairfax Senior Apartments</t>
  </si>
  <si>
    <t xml:space="preserve">Report #107752-35</t>
  </si>
  <si>
    <t xml:space="preserve">Acquisition Date:</t>
  </si>
  <si>
    <t xml:space="preserve">Fairfax Senior Apartments - Fairfax Senior Apartments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</si>
  <si>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</si>
  <si>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</si>
  <si>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</si>
  <si>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</si>
  <si>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</si>
  <si>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</si>
  <si>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</si>
  <si>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Building Components</t>
  </si>
  <si>
    <t xml:space="preserve">Cabinets / Millwork</t>
  </si>
  <si>
    <t xml:space="preserve">Moldings</t>
  </si>
  <si>
    <t xml:space="preserve">Wood Flooring</t>
  </si>
  <si>
    <t xml:space="preserve">Wall Coverings</t>
  </si>
  <si>
    <t xml:space="preserve">Security System</t>
  </si>
  <si>
    <t xml:space="preserve">Window Treatments</t>
  </si>
  <si>
    <t xml:space="preserve">Specialty HVAC - Dryer Vents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</si>
  <si>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</si>
  <si>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</si>
  <si>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</si>
  <si>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 / Laundry</t>
  </si>
  <si>
    <t xml:space="preserve">Security / Exterior Lighting</t>
  </si>
  <si>
    <t xml:space="preserve">Access Control</t>
  </si>
  <si>
    <t xml:space="preserve">Interior Windows</t>
  </si>
  <si>
    <t xml:space="preserve">Mailboxes</t>
  </si>
  <si>
    <t xml:space="preserve">Site Work / Improvements</t>
  </si>
  <si>
    <t xml:space="preserve">Driveways &amp; Paved Areas</t>
  </si>
  <si>
    <t xml:space="preserve">Exterior Signage</t>
  </si>
  <si>
    <t xml:space="preserve">Landscaping</t>
  </si>
  <si>
    <t xml:space="preserve">Security Lighting Poles</t>
  </si>
  <si>
    <t xml:space="preserve">Exterior Equipment Concrete Pads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</si>
  <si>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</si>
  <si>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</si>
  <si>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</si>
  <si>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</si>
  <si>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</si>
  <si>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</si>
  <si>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</si>
  <si>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</si>
  <si>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</si>
  <si>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</si>
  <si>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</si>
  <si>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</si>
  <si>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</si>
  <si>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</si>
  <si>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</si>
  <si>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Total Cost</t>
  </si>
  <si>
    <t xml:space="preserve">Asset Allocation:</t>
  </si>
  <si>
    <t xml:space="preserve">Asset #17-Building &amp; Improvements</t>
  </si>
  <si>
    <t xml:space="preserve">Asset #21-Building Step Up 754</t>
  </si>
  <si>
    <t xml:space="preserve">Asset #22-Building Improvement 754</t>
  </si>
  <si>
    <t xml:space="preserve">Asset #24-Appliances &amp; Equipment Stepup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</si>
  <si>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</si>
  <si>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</si>
  <si>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</si>
  <si>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</si>
  <si>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</si>
  <si>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</si>
  <si>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</si>
  <si>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</si>
  <si>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</si>
  <si>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</si>
  <si>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</si>
  <si>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17-Building &amp; Improvements</t>
  </si>
  <si>
    <t xml:space="preserve">S/L</t>
  </si>
  <si>
    <t xml:space="preserve">21-Building Step 754 Election</t>
  </si>
  <si>
    <t xml:space="preserve">22-Building Improv 754 Step Up</t>
  </si>
  <si>
    <t xml:space="preserve">24-Appliances &amp; Equip Stepup</t>
  </si>
  <si>
    <t xml:space="preserve">200DB</t>
  </si>
  <si>
    <t xml:space="preserve">After Cost Segregation Correction</t>
  </si>
  <si>
    <t xml:space="preserve">17-Bldg &amp; Impr-5yr</t>
  </si>
  <si>
    <t xml:space="preserve">17-Bldg &amp; Impr-15yr</t>
  </si>
  <si>
    <t xml:space="preserve">150DB</t>
  </si>
  <si>
    <t xml:space="preserve">17-Bldg &amp; Impr-27.5yr</t>
  </si>
  <si>
    <t xml:space="preserve">21-Bldg Step 754-5yr</t>
  </si>
  <si>
    <t xml:space="preserve">21-Bldg Step 754-15yr</t>
  </si>
  <si>
    <t xml:space="preserve">21-Bldg Step 754-27.5yr</t>
  </si>
  <si>
    <t xml:space="preserve">22-Bldg Impr 754-5yr</t>
  </si>
  <si>
    <t xml:space="preserve">22-Bldg Impr 754-15yr</t>
  </si>
  <si>
    <t xml:space="preserve">22-Bldg Impr 754-27.5yr</t>
  </si>
  <si>
    <t xml:space="preserve">24-Appliances &amp; Equip-5yr</t>
  </si>
  <si>
    <t xml:space="preserve">Depreciation Reported Previously</t>
  </si>
  <si>
    <t xml:space="preserve">Cost Segregation Corrected Depreciation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</si>
</sst>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7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false" outlineLevel="0" collapsed="false">
      <c r="A7" s="5"/>
      <c r="B7" s="6" t="s">
        <v>8</v>
      </c>
      <c r="C7" s="6"/>
      <c r="D7" s="6"/>
      <c r="E7" s="6"/>
      <c r="F7" s="6"/>
    </row>
    <row r="8" customFormat="false" ht="15" hidden="false" customHeight="false" outlineLevel="0" collapsed="false">
      <c r="B8" s="7" t="s">
        <v>9</v>
      </c>
      <c r="C8" s="8" t="s">
        <v>10</v>
      </c>
      <c r="D8" s="9" t="n">
        <v>824840</v>
      </c>
      <c r="E8" s="9" t="n">
        <v>163089.67</v>
      </c>
      <c r="F8" s="9" t="n">
        <v>20065.85</v>
      </c>
      <c r="G8" s="9" t="n">
        <v>641684.48</v>
      </c>
    </row>
    <row r="9" customFormat="false" ht="15" hidden="false" customHeight="false" outlineLevel="0" collapsed="false">
      <c r="A9" s="10"/>
      <c r="B9" s="11" t="s">
        <v>7</v>
      </c>
      <c r="C9" s="10"/>
      <c r="D9" s="12" t="n">
        <f aca="false">SUM(D8:D8)</f>
        <v>824840</v>
      </c>
      <c r="E9" s="12" t="n">
        <f aca="false">SUM(E8:E8)</f>
        <v>163089.67</v>
      </c>
      <c r="F9" s="12" t="n">
        <f aca="false">SUM(F8:F8)</f>
        <v>20065.85</v>
      </c>
      <c r="G9" s="13" t="n">
        <f aca="false">SUM(G8:G8)</f>
        <v>641684.48</v>
      </c>
    </row>
    <row r="11" customFormat="false" ht="15" hidden="false" customHeight="false" outlineLevel="0" collapsed="false">
      <c r="A11" s="14"/>
      <c r="B11" s="15" t="s">
        <v>11</v>
      </c>
      <c r="C11" s="15"/>
      <c r="D11" s="15"/>
      <c r="E11" s="15"/>
      <c r="F11" s="15"/>
    </row>
    <row r="12" customFormat="false" ht="15" hidden="false" customHeight="false" outlineLevel="0" collapsed="false">
      <c r="C12" s="8" t="s">
        <v>12</v>
      </c>
      <c r="D12" s="16" t="n">
        <f aca="false">SUM(E12:E12)</f>
        <v>149699</v>
      </c>
      <c r="E12" s="17" t="n">
        <v>149699</v>
      </c>
    </row>
    <row r="13" customFormat="false" ht="15" hidden="false" customHeight="false" outlineLevel="0" collapsed="false">
      <c r="C13" s="8" t="s">
        <v>13</v>
      </c>
      <c r="D13" s="16" t="n">
        <f aca="false">SUM(E13:E13)</f>
        <v>294696.61</v>
      </c>
      <c r="E13" s="17" t="n">
        <v>294696.61</v>
      </c>
    </row>
    <row r="14" customFormat="false" ht="15" hidden="false" customHeight="false" outlineLevel="0" collapsed="false">
      <c r="C14" s="18" t="s">
        <v>14</v>
      </c>
      <c r="D14" s="19" t="n">
        <f aca="false">SUM(E14:E14)</f>
        <v>144997.61</v>
      </c>
      <c r="E14" s="19" t="n">
        <f aca="false">E13-E12</f>
        <v>144997.61</v>
      </c>
    </row>
  </sheetData>
  <mergeCells count="5">
    <mergeCell ref="A2:F2"/>
    <mergeCell ref="A3:F3"/>
    <mergeCell ref="A4:F4"/>
    <mergeCell ref="B7:F7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1" t="s">
        <v>17</v>
      </c>
      <c r="C6" s="8" t="s">
        <v>9</v>
      </c>
    </row>
    <row r="8" customFormat="false" ht="15" hidden="false" customHeight="false" outlineLevel="0" collapsed="false">
      <c r="A8" s="22" t="s">
        <v>18</v>
      </c>
      <c r="B8" s="22"/>
      <c r="C8" s="22"/>
      <c r="D8" s="22"/>
      <c r="E8" s="22"/>
      <c r="F8" s="22"/>
      <c r="G8" s="22"/>
      <c r="H8" s="22"/>
      <c r="I8" s="22"/>
      <c r="J8" s="22"/>
    </row>
    <row r="9" customFormat="false" ht="15" hidden="false" customHeight="false" outlineLevel="0" collapsed="false">
      <c r="A9" s="23"/>
      <c r="B9" s="23" t="s">
        <v>19</v>
      </c>
      <c r="C9" s="24" t="s">
        <v>20</v>
      </c>
      <c r="D9" s="24" t="s">
        <v>21</v>
      </c>
      <c r="E9" s="24" t="s">
        <v>22</v>
      </c>
      <c r="F9" s="24" t="s">
        <v>23</v>
      </c>
      <c r="G9" s="24" t="s">
        <v>24</v>
      </c>
      <c r="H9" s="24" t="s">
        <v>25</v>
      </c>
    </row>
    <row r="10" customFormat="false" ht="15" hidden="false" customHeight="false" outlineLevel="0" collapsed="false">
      <c r="A10" s="5"/>
      <c r="B10" s="6" t="s">
        <v>26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27</v>
      </c>
      <c r="C11" s="17" t="n">
        <v>28850.51</v>
      </c>
      <c r="D11" s="17" t="n">
        <v>28850.51</v>
      </c>
    </row>
    <row r="12" customFormat="false" ht="15" hidden="false" customHeight="false" outlineLevel="0" collapsed="false">
      <c r="B12" s="8" t="s">
        <v>28</v>
      </c>
      <c r="C12" s="17" t="n">
        <v>10378.63</v>
      </c>
      <c r="D12" s="17" t="n">
        <v>10378.63</v>
      </c>
    </row>
    <row r="13" customFormat="false" ht="15" hidden="false" customHeight="false" outlineLevel="0" collapsed="false">
      <c r="B13" s="8" t="s">
        <v>29</v>
      </c>
      <c r="C13" s="17" t="n">
        <v>61366.84</v>
      </c>
      <c r="D13" s="17" t="n">
        <v>61366.84</v>
      </c>
    </row>
    <row r="14" customFormat="false" ht="15" hidden="false" customHeight="false" outlineLevel="0" collapsed="false">
      <c r="B14" s="8" t="s">
        <v>30</v>
      </c>
      <c r="C14" s="17" t="n">
        <v>2705.2</v>
      </c>
      <c r="D14" s="17" t="n">
        <v>2705.2</v>
      </c>
    </row>
    <row r="15" customFormat="false" ht="15" hidden="false" customHeight="false" outlineLevel="0" collapsed="false">
      <c r="B15" s="8" t="s">
        <v>31</v>
      </c>
      <c r="C15" s="17" t="n">
        <v>1047.7</v>
      </c>
      <c r="D15" s="17" t="n">
        <v>1047.7</v>
      </c>
    </row>
    <row r="16" customFormat="false" ht="15" hidden="false" customHeight="false" outlineLevel="0" collapsed="false">
      <c r="B16" s="8" t="s">
        <v>32</v>
      </c>
      <c r="C16" s="17" t="n">
        <v>4835.55</v>
      </c>
      <c r="D16" s="17" t="n">
        <v>4835.55</v>
      </c>
    </row>
    <row r="17" customFormat="false" ht="15" hidden="false" customHeight="false" outlineLevel="0" collapsed="false">
      <c r="B17" s="8" t="s">
        <v>33</v>
      </c>
      <c r="C17" s="17" t="n">
        <v>101.65</v>
      </c>
      <c r="D17" s="17" t="n">
        <v>101.65</v>
      </c>
    </row>
    <row r="18" customFormat="false" ht="15" hidden="false" customHeight="false" outlineLevel="0" collapsed="false">
      <c r="B18" s="8" t="s">
        <v>34</v>
      </c>
      <c r="C18" s="17" t="n">
        <v>667.13</v>
      </c>
      <c r="D18" s="17" t="n">
        <v>667.13</v>
      </c>
    </row>
    <row r="19" customFormat="false" ht="15" hidden="false" customHeight="false" outlineLevel="0" collapsed="false">
      <c r="B19" s="8" t="s">
        <v>35</v>
      </c>
      <c r="C19" s="17" t="n">
        <v>10926.3</v>
      </c>
      <c r="D19" s="17" t="n">
        <v>10926.3</v>
      </c>
    </row>
    <row r="20" customFormat="false" ht="15" hidden="false" customHeight="false" outlineLevel="0" collapsed="false">
      <c r="B20" s="8" t="s">
        <v>36</v>
      </c>
      <c r="C20" s="17" t="n">
        <v>5431.06</v>
      </c>
      <c r="D20" s="17" t="n">
        <v>5431.06</v>
      </c>
    </row>
    <row r="21" customFormat="false" ht="15" hidden="false" customHeight="false" outlineLevel="0" collapsed="false">
      <c r="B21" s="8" t="s">
        <v>37</v>
      </c>
      <c r="C21" s="17" t="n">
        <v>17560.96</v>
      </c>
      <c r="D21" s="17" t="n">
        <v>17560.96</v>
      </c>
    </row>
    <row r="22" customFormat="false" ht="15" hidden="false" customHeight="false" outlineLevel="0" collapsed="false">
      <c r="B22" s="8" t="s">
        <v>38</v>
      </c>
      <c r="C22" s="17" t="n">
        <v>242.58</v>
      </c>
      <c r="D22" s="17" t="n">
        <v>242.58</v>
      </c>
    </row>
    <row r="23" customFormat="false" ht="15" hidden="false" customHeight="false" outlineLevel="0" collapsed="false">
      <c r="B23" s="8" t="s">
        <v>39</v>
      </c>
      <c r="C23" s="17" t="n">
        <v>506.41</v>
      </c>
      <c r="D23" s="17" t="n">
        <v>506.41</v>
      </c>
    </row>
    <row r="24" customFormat="false" ht="15" hidden="false" customHeight="false" outlineLevel="0" collapsed="false">
      <c r="B24" s="8" t="s">
        <v>40</v>
      </c>
      <c r="C24" s="17" t="n">
        <v>611.85</v>
      </c>
      <c r="D24" s="17" t="n">
        <v>611.85</v>
      </c>
    </row>
    <row r="25" customFormat="false" ht="15" hidden="false" customHeight="false" outlineLevel="0" collapsed="false">
      <c r="B25" s="8" t="s">
        <v>41</v>
      </c>
      <c r="C25" s="17" t="n">
        <v>2856.3</v>
      </c>
      <c r="D25" s="17" t="n">
        <v>2856.3</v>
      </c>
    </row>
    <row r="26" customFormat="false" ht="15" hidden="false" customHeight="false" outlineLevel="0" collapsed="false">
      <c r="A26" s="5"/>
      <c r="B26" s="6" t="s">
        <v>42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B27" s="8" t="s">
        <v>43</v>
      </c>
      <c r="C27" s="17" t="n">
        <v>5351.04</v>
      </c>
      <c r="F27" s="17" t="n">
        <v>5351.04</v>
      </c>
    </row>
    <row r="28" customFormat="false" ht="15" hidden="false" customHeight="false" outlineLevel="0" collapsed="false">
      <c r="B28" s="8" t="s">
        <v>44</v>
      </c>
      <c r="C28" s="17" t="n">
        <v>1124.67</v>
      </c>
      <c r="F28" s="17" t="n">
        <v>1124.67</v>
      </c>
    </row>
    <row r="29" customFormat="false" ht="15" hidden="false" customHeight="false" outlineLevel="0" collapsed="false">
      <c r="B29" s="8" t="s">
        <v>45</v>
      </c>
      <c r="C29" s="17" t="n">
        <v>2400</v>
      </c>
      <c r="F29" s="17" t="n">
        <v>2400</v>
      </c>
    </row>
    <row r="30" customFormat="false" ht="15" hidden="false" customHeight="false" outlineLevel="0" collapsed="false">
      <c r="B30" s="8" t="s">
        <v>46</v>
      </c>
      <c r="C30" s="17" t="n">
        <v>2000</v>
      </c>
      <c r="F30" s="17" t="n">
        <v>2000</v>
      </c>
    </row>
    <row r="31" customFormat="false" ht="15" hidden="false" customHeight="false" outlineLevel="0" collapsed="false">
      <c r="B31" s="8" t="s">
        <v>47</v>
      </c>
      <c r="C31" s="17" t="n">
        <v>1190.14</v>
      </c>
      <c r="F31" s="17" t="n">
        <v>1190.14</v>
      </c>
    </row>
    <row r="32" customFormat="false" ht="15" hidden="false" customHeight="false" outlineLevel="0" collapsed="false">
      <c r="A32" s="5"/>
      <c r="B32" s="6" t="s">
        <v>48</v>
      </c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B33" s="8" t="s">
        <v>49</v>
      </c>
      <c r="C33" s="17" t="n">
        <v>75000</v>
      </c>
      <c r="G33" s="17" t="n">
        <v>75000</v>
      </c>
    </row>
    <row r="34" customFormat="false" ht="15" hidden="false" customHeight="false" outlineLevel="0" collapsed="false">
      <c r="B34" s="8" t="s">
        <v>50</v>
      </c>
      <c r="C34" s="17" t="n">
        <v>55000</v>
      </c>
      <c r="G34" s="17" t="n">
        <v>55000</v>
      </c>
    </row>
    <row r="35" customFormat="false" ht="15" hidden="false" customHeight="false" outlineLevel="0" collapsed="false">
      <c r="B35" s="8" t="s">
        <v>51</v>
      </c>
      <c r="C35" s="17" t="n">
        <v>62000</v>
      </c>
      <c r="G35" s="17" t="n">
        <v>62000</v>
      </c>
    </row>
    <row r="36" customFormat="false" ht="15" hidden="false" customHeight="false" outlineLevel="0" collapsed="false">
      <c r="B36" s="8" t="s">
        <v>52</v>
      </c>
      <c r="C36" s="17" t="n">
        <v>58000</v>
      </c>
      <c r="G36" s="17" t="n">
        <v>58000</v>
      </c>
    </row>
    <row r="37" customFormat="false" ht="15" hidden="false" customHeight="false" outlineLevel="0" collapsed="false">
      <c r="B37" s="8" t="s">
        <v>53</v>
      </c>
      <c r="C37" s="17" t="n">
        <v>50000</v>
      </c>
      <c r="G37" s="17" t="n">
        <v>50000</v>
      </c>
    </row>
    <row r="38" customFormat="false" ht="15" hidden="false" customHeight="false" outlineLevel="0" collapsed="false">
      <c r="B38" s="8" t="s">
        <v>54</v>
      </c>
      <c r="C38" s="17" t="n">
        <v>3000</v>
      </c>
      <c r="G38" s="17" t="n">
        <v>3000</v>
      </c>
    </row>
    <row r="39" customFormat="false" ht="15" hidden="false" customHeight="false" outlineLevel="0" collapsed="false">
      <c r="B39" s="8" t="s">
        <v>55</v>
      </c>
      <c r="C39" s="17" t="n">
        <v>45000</v>
      </c>
      <c r="G39" s="17" t="n">
        <v>45000</v>
      </c>
    </row>
    <row r="40" customFormat="false" ht="15" hidden="false" customHeight="false" outlineLevel="0" collapsed="false">
      <c r="B40" s="8" t="s">
        <v>56</v>
      </c>
      <c r="C40" s="17" t="n">
        <v>42000</v>
      </c>
      <c r="G40" s="17" t="n">
        <v>42000</v>
      </c>
    </row>
    <row r="41" customFormat="false" ht="15" hidden="false" customHeight="false" outlineLevel="0" collapsed="false">
      <c r="B41" s="8" t="s">
        <v>57</v>
      </c>
      <c r="C41" s="17" t="n">
        <v>38000</v>
      </c>
      <c r="G41" s="17" t="n">
        <v>38000</v>
      </c>
    </row>
    <row r="42" customFormat="false" ht="15" hidden="false" customHeight="false" outlineLevel="0" collapsed="false">
      <c r="B42" s="8" t="s">
        <v>58</v>
      </c>
      <c r="C42" s="17" t="n">
        <v>35000</v>
      </c>
      <c r="G42" s="17" t="n">
        <v>35000</v>
      </c>
    </row>
    <row r="43" customFormat="false" ht="15" hidden="false" customHeight="false" outlineLevel="0" collapsed="false">
      <c r="B43" s="8" t="s">
        <v>59</v>
      </c>
      <c r="C43" s="17" t="n">
        <v>85000</v>
      </c>
      <c r="G43" s="17" t="n">
        <v>85000</v>
      </c>
    </row>
    <row r="44" customFormat="false" ht="15" hidden="false" customHeight="false" outlineLevel="0" collapsed="false">
      <c r="B44" s="8" t="s">
        <v>60</v>
      </c>
      <c r="C44" s="17" t="n">
        <v>40000</v>
      </c>
      <c r="G44" s="17" t="n">
        <v>40000</v>
      </c>
    </row>
    <row r="45" customFormat="false" ht="15" hidden="false" customHeight="false" outlineLevel="0" collapsed="false">
      <c r="B45" s="8" t="s">
        <v>61</v>
      </c>
      <c r="C45" s="17" t="n">
        <v>3000</v>
      </c>
      <c r="G45" s="17" t="n">
        <v>3000</v>
      </c>
    </row>
    <row r="46" customFormat="false" ht="15" hidden="false" customHeight="false" outlineLevel="0" collapsed="false">
      <c r="B46" s="8" t="s">
        <v>62</v>
      </c>
      <c r="C46" s="17" t="n">
        <v>98684.48</v>
      </c>
      <c r="G46" s="17" t="n">
        <v>98684.48</v>
      </c>
    </row>
    <row r="47" customFormat="false" ht="15" hidden="false" customHeight="false" outlineLevel="0" collapsed="false">
      <c r="A47" s="25"/>
      <c r="B47" s="26" t="s">
        <v>63</v>
      </c>
      <c r="C47" s="27" t="n">
        <f aca="false">SUM(C10:C46)</f>
        <v>849839</v>
      </c>
      <c r="D47" s="27" t="n">
        <f aca="false">SUM(D10:D46)</f>
        <v>148088.67</v>
      </c>
      <c r="E47" s="27" t="n">
        <f aca="false">SUM(E10:E46)</f>
        <v>0</v>
      </c>
      <c r="F47" s="27" t="n">
        <f aca="false">SUM(F10:F46)</f>
        <v>12065.85</v>
      </c>
      <c r="G47" s="27" t="n">
        <f aca="false">SUM(G10:G46)</f>
        <v>689684.48</v>
      </c>
      <c r="H47" s="25"/>
    </row>
    <row r="49" customFormat="false" ht="15" hidden="false" customHeight="false" outlineLevel="0" collapsed="false">
      <c r="A49" s="5"/>
      <c r="B49" s="6" t="s">
        <v>64</v>
      </c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B50" s="8" t="s">
        <v>65</v>
      </c>
      <c r="C50" s="17" t="n">
        <v>23000</v>
      </c>
      <c r="D50" s="17" t="n">
        <v>4419.59</v>
      </c>
      <c r="E50" s="17" t="n">
        <v>563.4</v>
      </c>
      <c r="G50" s="17" t="n">
        <v>18017.01</v>
      </c>
    </row>
    <row r="51" customFormat="false" ht="15" hidden="false" customHeight="false" outlineLevel="0" collapsed="false">
      <c r="B51" s="8" t="s">
        <v>66</v>
      </c>
      <c r="C51" s="17" t="n">
        <v>726135</v>
      </c>
      <c r="D51" s="17" t="n">
        <v>139531.13</v>
      </c>
      <c r="E51" s="17" t="n">
        <v>17787.23</v>
      </c>
      <c r="G51" s="17" t="n">
        <v>568816.64</v>
      </c>
    </row>
    <row r="52" customFormat="false" ht="15" hidden="false" customHeight="false" outlineLevel="0" collapsed="false">
      <c r="B52" s="8" t="s">
        <v>67</v>
      </c>
      <c r="C52" s="17" t="n">
        <v>70021</v>
      </c>
      <c r="D52" s="17" t="n">
        <v>13454.95</v>
      </c>
      <c r="E52" s="17" t="n">
        <v>1715.22</v>
      </c>
      <c r="G52" s="17" t="n">
        <v>54850.83</v>
      </c>
    </row>
    <row r="53" customFormat="false" ht="15" hidden="false" customHeight="false" outlineLevel="0" collapsed="false">
      <c r="B53" s="8" t="s">
        <v>68</v>
      </c>
      <c r="C53" s="17" t="n">
        <v>5684</v>
      </c>
      <c r="D53" s="17" t="n">
        <v>5684</v>
      </c>
    </row>
    <row r="54" customFormat="false" ht="15" hidden="false" customHeight="false" outlineLevel="0" collapsed="false">
      <c r="A54" s="25"/>
      <c r="B54" s="26" t="s">
        <v>69</v>
      </c>
      <c r="C54" s="27" t="n">
        <f aca="false">SUM(C50:C53)</f>
        <v>824840</v>
      </c>
      <c r="D54" s="27" t="n">
        <f aca="false">SUM(D50:D53)</f>
        <v>163089.67</v>
      </c>
      <c r="E54" s="25"/>
      <c r="F54" s="27" t="n">
        <f aca="false">SUM(F50:F53)</f>
        <v>0</v>
      </c>
      <c r="G54" s="27" t="n">
        <f aca="false">SUM(G50:G53)</f>
        <v>641684.48</v>
      </c>
      <c r="H54" s="25"/>
    </row>
    <row r="56" customFormat="false" ht="15" hidden="false" customHeight="false" outlineLevel="0" collapsed="false">
      <c r="A56" s="28" t="s">
        <v>70</v>
      </c>
      <c r="B56" s="28"/>
      <c r="C56" s="28"/>
      <c r="D56" s="28"/>
      <c r="E56" s="28"/>
      <c r="F56" s="28"/>
      <c r="G56" s="28"/>
      <c r="H56" s="28"/>
      <c r="I56" s="28"/>
      <c r="J56" s="28"/>
    </row>
    <row r="57" customFormat="false" ht="15" hidden="false" customHeight="false" outlineLevel="0" collapsed="false">
      <c r="A57" s="29" t="s">
        <v>12</v>
      </c>
      <c r="B57" s="29"/>
      <c r="C57" s="29"/>
      <c r="D57" s="29"/>
      <c r="E57" s="29"/>
      <c r="F57" s="29"/>
      <c r="G57" s="29"/>
      <c r="H57" s="29"/>
      <c r="I57" s="29"/>
      <c r="J57" s="29"/>
    </row>
    <row r="58" customFormat="false" ht="15" hidden="false" customHeight="false" outlineLevel="0" collapsed="false">
      <c r="A58" s="30"/>
      <c r="B58" s="30" t="s">
        <v>71</v>
      </c>
      <c r="C58" s="31" t="s">
        <v>72</v>
      </c>
      <c r="D58" s="31" t="s">
        <v>73</v>
      </c>
      <c r="E58" s="31" t="s">
        <v>74</v>
      </c>
      <c r="F58" s="31" t="s">
        <v>75</v>
      </c>
      <c r="G58" s="31" t="s">
        <v>76</v>
      </c>
      <c r="H58" s="31" t="s">
        <v>77</v>
      </c>
      <c r="I58" s="31" t="s">
        <v>78</v>
      </c>
      <c r="J58" s="31" t="s">
        <v>79</v>
      </c>
    </row>
    <row r="59" customFormat="false" ht="15" hidden="false" customHeight="false" outlineLevel="0" collapsed="false">
      <c r="B59" s="32" t="s">
        <v>80</v>
      </c>
      <c r="C59" s="33" t="n">
        <v>23000</v>
      </c>
      <c r="D59" s="33" t="n">
        <v>0</v>
      </c>
      <c r="E59" s="33" t="n">
        <v>5436</v>
      </c>
      <c r="F59" s="33" t="n">
        <v>837</v>
      </c>
      <c r="G59" s="33" t="n">
        <v>6273</v>
      </c>
      <c r="H59" s="33" t="n">
        <v>16727</v>
      </c>
      <c r="I59" s="34" t="s">
        <v>81</v>
      </c>
      <c r="J59" s="35" t="n">
        <v>27.5</v>
      </c>
    </row>
    <row r="60" customFormat="false" ht="15" hidden="false" customHeight="false" outlineLevel="0" collapsed="false">
      <c r="B60" s="36" t="s">
        <v>82</v>
      </c>
      <c r="C60" s="37" t="n">
        <v>726135</v>
      </c>
      <c r="D60" s="37" t="n">
        <v>0</v>
      </c>
      <c r="E60" s="37" t="n">
        <v>99018</v>
      </c>
      <c r="F60" s="37" t="n">
        <v>26405</v>
      </c>
      <c r="G60" s="37" t="n">
        <v>125423</v>
      </c>
      <c r="H60" s="37" t="n">
        <v>600712</v>
      </c>
      <c r="I60" s="38" t="s">
        <v>81</v>
      </c>
      <c r="J60" s="39" t="n">
        <v>27.5</v>
      </c>
    </row>
    <row r="61" customFormat="false" ht="15" hidden="false" customHeight="false" outlineLevel="0" collapsed="false">
      <c r="B61" s="32" t="s">
        <v>83</v>
      </c>
      <c r="C61" s="33" t="n">
        <v>70021</v>
      </c>
      <c r="D61" s="33" t="n">
        <v>0</v>
      </c>
      <c r="E61" s="33" t="n">
        <v>9725</v>
      </c>
      <c r="F61" s="33" t="n">
        <v>2594</v>
      </c>
      <c r="G61" s="33" t="n">
        <v>12319</v>
      </c>
      <c r="H61" s="33" t="n">
        <v>57702</v>
      </c>
      <c r="I61" s="34" t="s">
        <v>81</v>
      </c>
      <c r="J61" s="35" t="n">
        <v>27.5</v>
      </c>
    </row>
    <row r="62" customFormat="false" ht="15" hidden="false" customHeight="false" outlineLevel="0" collapsed="false">
      <c r="B62" s="36" t="s">
        <v>84</v>
      </c>
      <c r="C62" s="37" t="n">
        <v>5684</v>
      </c>
      <c r="D62" s="37" t="n">
        <v>5684</v>
      </c>
      <c r="E62" s="37" t="n">
        <v>5684</v>
      </c>
      <c r="F62" s="37" t="n">
        <v>0</v>
      </c>
      <c r="G62" s="37" t="n">
        <v>5684</v>
      </c>
      <c r="H62" s="37" t="n">
        <v>0</v>
      </c>
      <c r="I62" s="38" t="s">
        <v>85</v>
      </c>
      <c r="J62" s="39" t="n">
        <v>3</v>
      </c>
    </row>
    <row r="63" customFormat="false" ht="15" hidden="false" customHeight="false" outlineLevel="0" collapsed="false">
      <c r="A63" s="10"/>
      <c r="B63" s="11" t="s">
        <v>7</v>
      </c>
      <c r="C63" s="40" t="n">
        <f aca="false">SUM(C59:C62)</f>
        <v>824840</v>
      </c>
      <c r="D63" s="40" t="n">
        <f aca="false">SUM(D59:D62)</f>
        <v>5684</v>
      </c>
      <c r="E63" s="40" t="n">
        <f aca="false">SUM(E59:E62)</f>
        <v>119863</v>
      </c>
      <c r="F63" s="40" t="n">
        <f aca="false">SUM(F59:F62)</f>
        <v>29836</v>
      </c>
      <c r="G63" s="40" t="n">
        <f aca="false">SUM(G59:G62)</f>
        <v>149699</v>
      </c>
      <c r="H63" s="40" t="n">
        <f aca="false">SUM(H59:H62)</f>
        <v>675141</v>
      </c>
      <c r="I63" s="10"/>
      <c r="J63" s="10"/>
    </row>
    <row r="65" customFormat="false" ht="15" hidden="false" customHeight="false" outlineLevel="0" collapsed="false">
      <c r="A65" s="41" t="s">
        <v>86</v>
      </c>
      <c r="B65" s="41"/>
      <c r="C65" s="41"/>
      <c r="D65" s="41"/>
      <c r="E65" s="41"/>
      <c r="F65" s="41"/>
      <c r="G65" s="41"/>
      <c r="H65" s="41"/>
      <c r="I65" s="41"/>
      <c r="J65" s="41"/>
    </row>
    <row r="66" customFormat="false" ht="15" hidden="false" customHeight="false" outlineLevel="0" collapsed="false">
      <c r="A66" s="30"/>
      <c r="B66" s="30" t="s">
        <v>71</v>
      </c>
      <c r="C66" s="31" t="s">
        <v>72</v>
      </c>
      <c r="D66" s="31" t="s">
        <v>73</v>
      </c>
      <c r="E66" s="31" t="s">
        <v>74</v>
      </c>
      <c r="F66" s="31" t="s">
        <v>75</v>
      </c>
      <c r="G66" s="31" t="s">
        <v>76</v>
      </c>
      <c r="H66" s="31" t="s">
        <v>77</v>
      </c>
      <c r="I66" s="31" t="s">
        <v>78</v>
      </c>
      <c r="J66" s="31" t="s">
        <v>79</v>
      </c>
    </row>
    <row r="67" customFormat="false" ht="15" hidden="false" customHeight="false" outlineLevel="0" collapsed="false">
      <c r="B67" s="32" t="s">
        <v>87</v>
      </c>
      <c r="C67" s="33" t="n">
        <v>4419.59</v>
      </c>
      <c r="D67" s="33" t="n">
        <v>2209.8</v>
      </c>
      <c r="E67" s="33" t="n">
        <v>4419.59</v>
      </c>
      <c r="F67" s="33" t="n">
        <v>0</v>
      </c>
      <c r="G67" s="33" t="n">
        <v>4419.59</v>
      </c>
      <c r="H67" s="33" t="n">
        <v>0</v>
      </c>
      <c r="I67" s="34" t="s">
        <v>85</v>
      </c>
      <c r="J67" s="35" t="n">
        <v>5</v>
      </c>
    </row>
    <row r="68" customFormat="false" ht="15" hidden="false" customHeight="false" outlineLevel="0" collapsed="false">
      <c r="B68" s="36" t="s">
        <v>88</v>
      </c>
      <c r="C68" s="37" t="n">
        <v>563.4</v>
      </c>
      <c r="D68" s="37" t="n">
        <v>281.7</v>
      </c>
      <c r="E68" s="37" t="n">
        <v>422.02</v>
      </c>
      <c r="F68" s="37" t="n">
        <v>16.63</v>
      </c>
      <c r="G68" s="37" t="n">
        <v>438.65</v>
      </c>
      <c r="H68" s="37" t="n">
        <v>124.75</v>
      </c>
      <c r="I68" s="38" t="s">
        <v>89</v>
      </c>
      <c r="J68" s="39" t="n">
        <v>15</v>
      </c>
    </row>
    <row r="69" customFormat="false" ht="15" hidden="false" customHeight="false" outlineLevel="0" collapsed="false">
      <c r="B69" s="32" t="s">
        <v>90</v>
      </c>
      <c r="C69" s="33" t="n">
        <v>18017.01</v>
      </c>
      <c r="D69" s="33" t="n">
        <v>0</v>
      </c>
      <c r="E69" s="33" t="n">
        <v>4231.24</v>
      </c>
      <c r="F69" s="33" t="n">
        <v>655.16</v>
      </c>
      <c r="G69" s="33" t="n">
        <v>4886.4</v>
      </c>
      <c r="H69" s="33" t="n">
        <v>13130.61</v>
      </c>
      <c r="I69" s="34" t="s">
        <v>81</v>
      </c>
      <c r="J69" s="35" t="n">
        <v>27.5</v>
      </c>
    </row>
    <row r="70" customFormat="false" ht="15" hidden="false" customHeight="false" outlineLevel="0" collapsed="false">
      <c r="B70" s="36" t="s">
        <v>91</v>
      </c>
      <c r="C70" s="37" t="n">
        <v>139531.13</v>
      </c>
      <c r="D70" s="37" t="n">
        <v>139531.13</v>
      </c>
      <c r="E70" s="37" t="n">
        <v>139531.13</v>
      </c>
      <c r="F70" s="37" t="n">
        <v>0</v>
      </c>
      <c r="G70" s="37" t="n">
        <v>139531.13</v>
      </c>
      <c r="H70" s="37" t="n">
        <v>0</v>
      </c>
      <c r="I70" s="38" t="s">
        <v>85</v>
      </c>
      <c r="J70" s="39" t="n">
        <v>5</v>
      </c>
    </row>
    <row r="71" customFormat="false" ht="15" hidden="false" customHeight="false" outlineLevel="0" collapsed="false">
      <c r="B71" s="32" t="s">
        <v>92</v>
      </c>
      <c r="C71" s="33" t="n">
        <v>17787.23</v>
      </c>
      <c r="D71" s="33" t="n">
        <v>17787.23</v>
      </c>
      <c r="E71" s="33" t="n">
        <v>17787.23</v>
      </c>
      <c r="F71" s="33" t="n">
        <v>0</v>
      </c>
      <c r="G71" s="33" t="n">
        <v>17787.23</v>
      </c>
      <c r="H71" s="33" t="n">
        <v>0</v>
      </c>
      <c r="I71" s="34" t="s">
        <v>89</v>
      </c>
      <c r="J71" s="35" t="n">
        <v>15</v>
      </c>
    </row>
    <row r="72" customFormat="false" ht="15" hidden="false" customHeight="false" outlineLevel="0" collapsed="false">
      <c r="B72" s="36" t="s">
        <v>93</v>
      </c>
      <c r="C72" s="37" t="n">
        <v>568816.64</v>
      </c>
      <c r="D72" s="37" t="n">
        <v>0</v>
      </c>
      <c r="E72" s="37" t="n">
        <v>76704.06</v>
      </c>
      <c r="F72" s="37" t="n">
        <v>20684.24</v>
      </c>
      <c r="G72" s="37" t="n">
        <v>97388.3</v>
      </c>
      <c r="H72" s="37" t="n">
        <v>471428.34</v>
      </c>
      <c r="I72" s="38" t="s">
        <v>81</v>
      </c>
      <c r="J72" s="39" t="n">
        <v>27.5</v>
      </c>
    </row>
    <row r="73" customFormat="false" ht="15" hidden="false" customHeight="false" outlineLevel="0" collapsed="false">
      <c r="B73" s="32" t="s">
        <v>94</v>
      </c>
      <c r="C73" s="33" t="n">
        <v>13454.95</v>
      </c>
      <c r="D73" s="33" t="n">
        <v>13454.95</v>
      </c>
      <c r="E73" s="33" t="n">
        <v>13454.95</v>
      </c>
      <c r="F73" s="33" t="n">
        <v>0</v>
      </c>
      <c r="G73" s="33" t="n">
        <v>13454.95</v>
      </c>
      <c r="H73" s="33" t="n">
        <v>0</v>
      </c>
      <c r="I73" s="34" t="s">
        <v>85</v>
      </c>
      <c r="J73" s="35" t="n">
        <v>5</v>
      </c>
    </row>
    <row r="74" customFormat="false" ht="15" hidden="false" customHeight="false" outlineLevel="0" collapsed="false">
      <c r="B74" s="36" t="s">
        <v>95</v>
      </c>
      <c r="C74" s="37" t="n">
        <v>1715.22</v>
      </c>
      <c r="D74" s="37" t="n">
        <v>1715.22</v>
      </c>
      <c r="E74" s="37" t="n">
        <v>1715.22</v>
      </c>
      <c r="F74" s="37" t="n">
        <v>0</v>
      </c>
      <c r="G74" s="37" t="n">
        <v>1715.22</v>
      </c>
      <c r="H74" s="37" t="n">
        <v>0</v>
      </c>
      <c r="I74" s="38" t="s">
        <v>89</v>
      </c>
      <c r="J74" s="39" t="n">
        <v>15</v>
      </c>
    </row>
    <row r="75" customFormat="false" ht="15" hidden="false" customHeight="false" outlineLevel="0" collapsed="false">
      <c r="B75" s="32" t="s">
        <v>96</v>
      </c>
      <c r="C75" s="33" t="n">
        <v>54850.83</v>
      </c>
      <c r="D75" s="33" t="n">
        <v>0</v>
      </c>
      <c r="E75" s="33" t="n">
        <v>7396.56</v>
      </c>
      <c r="F75" s="33" t="n">
        <v>1994.58</v>
      </c>
      <c r="G75" s="33" t="n">
        <v>9391.14</v>
      </c>
      <c r="H75" s="33" t="n">
        <v>45459.69</v>
      </c>
      <c r="I75" s="34" t="s">
        <v>81</v>
      </c>
      <c r="J75" s="35" t="n">
        <v>27.5</v>
      </c>
    </row>
    <row r="76" customFormat="false" ht="15" hidden="false" customHeight="false" outlineLevel="0" collapsed="false">
      <c r="B76" s="36" t="s">
        <v>97</v>
      </c>
      <c r="C76" s="37" t="n">
        <v>5684</v>
      </c>
      <c r="D76" s="37" t="n">
        <v>5684</v>
      </c>
      <c r="E76" s="37" t="n">
        <v>5684</v>
      </c>
      <c r="F76" s="37" t="n">
        <v>0</v>
      </c>
      <c r="G76" s="37" t="n">
        <v>5684</v>
      </c>
      <c r="H76" s="37" t="n">
        <v>0</v>
      </c>
      <c r="I76" s="38" t="s">
        <v>85</v>
      </c>
      <c r="J76" s="39" t="n">
        <v>5</v>
      </c>
    </row>
    <row r="77" customFormat="false" ht="15" hidden="false" customHeight="false" outlineLevel="0" collapsed="false">
      <c r="A77" s="10"/>
      <c r="B77" s="11" t="s">
        <v>7</v>
      </c>
      <c r="C77" s="40" t="n">
        <f aca="false">SUM(C67:C76)</f>
        <v>824840</v>
      </c>
      <c r="D77" s="40" t="n">
        <f aca="false">SUM(D67:D76)</f>
        <v>180664.03</v>
      </c>
      <c r="E77" s="40" t="n">
        <f aca="false">SUM(E67:E76)</f>
        <v>271346</v>
      </c>
      <c r="F77" s="40" t="n">
        <f aca="false">SUM(F67:F76)</f>
        <v>23350.61</v>
      </c>
      <c r="G77" s="40" t="n">
        <f aca="false">SUM(G67:G76)</f>
        <v>294696.61</v>
      </c>
      <c r="H77" s="40" t="n">
        <f aca="false">SUM(H67:H76)</f>
        <v>530143.39</v>
      </c>
      <c r="I77" s="10"/>
      <c r="J77" s="10"/>
    </row>
    <row r="79" customFormat="false" ht="15" hidden="false" customHeight="false" outlineLevel="0" collapsed="false">
      <c r="A79" s="28" t="s">
        <v>14</v>
      </c>
      <c r="B79" s="28"/>
      <c r="C79" s="28"/>
      <c r="D79" s="28"/>
      <c r="E79" s="28"/>
    </row>
    <row r="80" customFormat="false" ht="15" hidden="false" customHeight="false" outlineLevel="0" collapsed="false">
      <c r="B80" s="8" t="s">
        <v>98</v>
      </c>
      <c r="C80" s="42" t="n">
        <f aca="false">G63</f>
        <v>149699</v>
      </c>
    </row>
    <row r="81" customFormat="false" ht="15" hidden="false" customHeight="false" outlineLevel="0" collapsed="false">
      <c r="B81" s="8" t="s">
        <v>99</v>
      </c>
      <c r="C81" s="42" t="n">
        <f aca="false">G77</f>
        <v>294696.61</v>
      </c>
    </row>
    <row r="82" customFormat="false" ht="15" hidden="false" customHeight="false" outlineLevel="0" collapsed="false">
      <c r="B82" s="18" t="s">
        <v>14</v>
      </c>
      <c r="C82" s="43" t="n">
        <f aca="false">C81-C80</f>
        <v>144997.61</v>
      </c>
    </row>
  </sheetData>
  <mergeCells count="12">
    <mergeCell ref="A2:J2"/>
    <mergeCell ref="A3:J3"/>
    <mergeCell ref="A4:J4"/>
    <mergeCell ref="A8:J8"/>
    <mergeCell ref="B10:J10"/>
    <mergeCell ref="B26:J26"/>
    <mergeCell ref="B32:J32"/>
    <mergeCell ref="B49:J49"/>
    <mergeCell ref="A56:J56"/>
    <mergeCell ref="A57:J57"/>
    <mergeCell ref="A65:J65"/>
    <mergeCell ref="A79:E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2026-07-08T23:03:33Z</dcterms:created>
  <dc:creator>openpyxl</dc:creator>
  <dc:description/>
  <dc:language>en-US</dc:language>
  <cp:lastModifiedBy/>
  <dcterms:modified xsi:type="dcterms:W3CDTF">2026-07-08T23:03:33Z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