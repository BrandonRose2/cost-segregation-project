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Fairfax Senior Apartmen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<sst xmlns="http://schemas.openxmlformats.org/spreadsheetml/2006/main" count="238" uniqueCount="69">
  <si>
    <t xml:space="preserve">Fairfax Genesee Partners &amp; Associates LP</t>
  </si>
  <si>
    <t xml:space="preserve">Fairfax Senior Apartments</t>
  </si>
  <si>
    <t xml:space="preserve">EIN: 11-3233403    ·    FYE: December 31, 2024    ·    Year of Change: 1/1/2024</t>
  </si>
  <si>
    <t xml:space="preserve">Summary of Cost Segregation Adjustments — CSSI Report #107752-35 (CAM — DCN #7)</t>
  </si>
  <si>
    <t xml:space="preserve">Acq Date</t>
  </si>
  <si>
    <t xml:space="preserve">Asset Description</t>
  </si>
  <si>
    <t xml:space="preserve">Total</t>
  </si>
  <si>
    <t xml:space="preserve">7/01/17</t>
  </si>
  <si>
    <t xml:space="preserve">17- Building &amp; Improvements</t>
  </si>
  <si>
    <t xml:space="preserve">4/10/20</t>
  </si>
  <si>
    <t xml:space="preserve">21 - Building Step 754 Election</t>
  </si>
  <si>
    <t xml:space="preserve">22 - Building Improv 754 Step Up election</t>
  </si>
  <si>
    <t xml:space="preserve">24 - Appliances &amp; Equip Stepup 754 election</t>
  </si>
  <si>
    <t xml:space="preserve">Grand Total</t>
  </si>
  <si>
    <t xml:space="preserve">MACRS Reclassification</t>
  </si>
  <si>
    <t xml:space="preserve">17- Building &amp; Improvements - 5yr</t>
  </si>
  <si>
    <t xml:space="preserve">17- Building &amp; Improvements - 15yr</t>
  </si>
  <si>
    <t xml:space="preserve">17- Building &amp; Improvements - 27.5yr</t>
  </si>
  <si>
    <t xml:space="preserve">21 - Building Step 754 Election - 5yr</t>
  </si>
  <si>
    <t xml:space="preserve">21 - Building Step 754 Election - 15yr</t>
  </si>
  <si>
    <t xml:space="preserve">21 - Building Step 754 Election - 27.5yr</t>
  </si>
  <si>
    <t xml:space="preserve">22 - Building Improv 754 Step Up election -5</t>
  </si>
  <si>
    <t xml:space="preserve">22 - Building Improv 754 Step Up election -15</t>
  </si>
  <si>
    <t xml:space="preserve">22 - Building Improv 754 Step Up election -27</t>
  </si>
  <si>
    <t xml:space="preserve">24 - Appliances &amp; Equip Stepup 754 election - 5yr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</si>
  <si>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</si>
  <si>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</si>
  <si>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</si>
  <si>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</si>
  <si>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</si>
  <si>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</si>
  <si>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</si>
  <si>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</si>
  <si>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footed §481(a) adjustment across all units: -144,997.61 (Regular Tax; AMT equals Regular Tax on every unit in this report).</t>
  </si>
  <si>
    <t xml:space="preserve">2. The Form 3115 face page states a tax year of change beginning 1/1/2025, while the attached statements and all 481(a) schedules use a year of change beginning 1/1/2024 (FYE 12/31/2024). Confirm the intended year of change with the preparer before filing.</t>
  </si>
  <si>
    <t xml:space="preserve">3. All End Depreciation, Net Book Value, totals, and 481(a) cells are live formulas; asset-level inputs are transcribed from the CSSI PDF. The Difference and Check rows must remain zero after any edit.</t>
  </si>
  <si>
    <t xml:space="preserve">Fairfax Senior Apartments — Attachment to Form 3115 (DCN #7, Rev. Proc. 2024-23 §6.01)</t>
  </si>
  <si>
    <t xml:space="preserve">Source: CSSI Report #107752-35, "#107752-35_Fairfax Senior Apartments - 3115 combined R1.pdf"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</si>
  <si>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</si>
  <si>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</si>
  <si>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</si>
  <si>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</si>
  <si>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</si>
  <si>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</si>
  <si>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</si>
  <si>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</si>
  <si>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</si>
  <si>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</si>
  <si>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</si>
  <si>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</si>
  <si>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</si>
  <si>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</si>
  <si>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S/L</t>
  </si>
  <si>
    <t xml:space="preserve">27.5</t>
  </si>
  <si>
    <t xml:space="preserve">200DB</t>
  </si>
  <si>
    <t xml:space="preserve">3.0</t>
  </si>
  <si>
    <t xml:space="preserve">After Cost Segregation Correction</t>
  </si>
  <si>
    <t xml:space="preserve">5.0</t>
  </si>
  <si>
    <t xml:space="preserve">150DB</t>
  </si>
  <si>
    <t xml:space="preserve">15.0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</si>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</sst>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"/>
    <numFmt numFmtId="166" formatCode="#,##0.00;\(#,##0.00\)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CE4CF"/>
      </patternFill>
    </fill>
    <fill>
      <patternFill patternType="solid">
        <fgColor rgb="FFFCE4CF"/>
        <bgColor rgb="FFD9E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CF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7" customFormat="false" ht="22.35" hidden="false" customHeight="false" outlineLevel="0" collapsed="false">
      <c r="A7" s="4" t="s">
        <v>4</v>
      </c>
      <c r="B7" s="4" t="s">
        <v>5</v>
      </c>
      <c r="C7" s="4" t="s">
        <v>6</v>
      </c>
      <c r="D7" s="4" t="s">
        <v>1</v>
      </c>
    </row>
    <row r="8" customFormat="false" ht="15" hidden="false" customHeight="false" outlineLevel="0" collapsed="false">
      <c r="A8" s="5" t="s">
        <v>7</v>
      </c>
      <c r="B8" s="5" t="s">
        <v>8</v>
      </c>
      <c r="C8" s="6" t="n">
        <f aca="false">SUM(D8:D8)</f>
        <v>23000</v>
      </c>
      <c r="D8" s="6" t="n">
        <f aca="false">'Fairfax Senior Apartments'!$D$10</f>
        <v>23000</v>
      </c>
    </row>
    <row r="9" customFormat="false" ht="15" hidden="false" customHeight="false" outlineLevel="0" collapsed="false">
      <c r="A9" s="5" t="s">
        <v>9</v>
      </c>
      <c r="B9" s="5" t="s">
        <v>10</v>
      </c>
      <c r="C9" s="6" t="n">
        <f aca="false">SUM(D9:D9)</f>
        <v>726135</v>
      </c>
      <c r="D9" s="6" t="n">
        <f aca="false">'Fairfax Senior Apartments'!$D$11</f>
        <v>726135</v>
      </c>
    </row>
    <row r="10" customFormat="false" ht="15" hidden="false" customHeight="false" outlineLevel="0" collapsed="false">
      <c r="A10" s="5" t="s">
        <v>9</v>
      </c>
      <c r="B10" s="5" t="s">
        <v>11</v>
      </c>
      <c r="C10" s="6" t="n">
        <f aca="false">SUM(D10:D10)</f>
        <v>70021</v>
      </c>
      <c r="D10" s="6" t="n">
        <f aca="false">'Fairfax Senior Apartments'!$D$12</f>
        <v>70021</v>
      </c>
    </row>
    <row r="11" customFormat="false" ht="15" hidden="false" customHeight="false" outlineLevel="0" collapsed="false">
      <c r="A11" s="5" t="s">
        <v>9</v>
      </c>
      <c r="B11" s="5" t="s">
        <v>12</v>
      </c>
      <c r="C11" s="6" t="n">
        <f aca="false">SUM(D11:D11)</f>
        <v>5684</v>
      </c>
      <c r="D11" s="6" t="n">
        <f aca="false">'Fairfax Senior Apartments'!$D$13</f>
        <v>5684</v>
      </c>
    </row>
    <row r="12" customFormat="false" ht="15" hidden="false" customHeight="false" outlineLevel="0" collapsed="false">
      <c r="A12" s="7"/>
      <c r="B12" s="8" t="s">
        <v>13</v>
      </c>
      <c r="C12" s="9" t="n">
        <f aca="false">SUM(C8:C11)</f>
        <v>824840</v>
      </c>
      <c r="D12" s="9" t="n">
        <f aca="false">SUM(D8:D11)</f>
        <v>824840</v>
      </c>
    </row>
    <row r="14" customFormat="false" ht="15" hidden="false" customHeight="false" outlineLevel="0" collapsed="false">
      <c r="B14" s="10" t="s">
        <v>14</v>
      </c>
    </row>
    <row r="15" customFormat="false" ht="15" hidden="false" customHeight="false" outlineLevel="0" collapsed="false">
      <c r="A15" s="5" t="s">
        <v>7</v>
      </c>
      <c r="B15" s="5" t="s">
        <v>15</v>
      </c>
      <c r="C15" s="6" t="n">
        <f aca="false">SUM(D15:D15)</f>
        <v>4419.59</v>
      </c>
      <c r="D15" s="6" t="n">
        <f aca="false">'Fairfax Senior Apartments'!$D$18</f>
        <v>4419.59</v>
      </c>
    </row>
    <row r="16" customFormat="false" ht="15" hidden="false" customHeight="false" outlineLevel="0" collapsed="false">
      <c r="A16" s="5" t="s">
        <v>7</v>
      </c>
      <c r="B16" s="5" t="s">
        <v>16</v>
      </c>
      <c r="C16" s="6" t="n">
        <f aca="false">SUM(D16:D16)</f>
        <v>563.4</v>
      </c>
      <c r="D16" s="6" t="n">
        <f aca="false">'Fairfax Senior Apartments'!$D$19</f>
        <v>563.4</v>
      </c>
    </row>
    <row r="17" customFormat="false" ht="15" hidden="false" customHeight="false" outlineLevel="0" collapsed="false">
      <c r="A17" s="5" t="s">
        <v>7</v>
      </c>
      <c r="B17" s="5" t="s">
        <v>17</v>
      </c>
      <c r="C17" s="6" t="n">
        <f aca="false">SUM(D17:D17)</f>
        <v>18017.01</v>
      </c>
      <c r="D17" s="6" t="n">
        <f aca="false">'Fairfax Senior Apartments'!$D$20</f>
        <v>18017.01</v>
      </c>
    </row>
    <row r="18" customFormat="false" ht="15" hidden="false" customHeight="false" outlineLevel="0" collapsed="false">
      <c r="A18" s="5" t="s">
        <v>9</v>
      </c>
      <c r="B18" s="5" t="s">
        <v>18</v>
      </c>
      <c r="C18" s="6" t="n">
        <f aca="false">SUM(D18:D18)</f>
        <v>139531.13</v>
      </c>
      <c r="D18" s="6" t="n">
        <f aca="false">'Fairfax Senior Apartments'!$D$21</f>
        <v>139531.13</v>
      </c>
    </row>
    <row r="19" customFormat="false" ht="15" hidden="false" customHeight="false" outlineLevel="0" collapsed="false">
      <c r="A19" s="5" t="s">
        <v>9</v>
      </c>
      <c r="B19" s="5" t="s">
        <v>19</v>
      </c>
      <c r="C19" s="6" t="n">
        <f aca="false">SUM(D19:D19)</f>
        <v>17787.23</v>
      </c>
      <c r="D19" s="6" t="n">
        <f aca="false">'Fairfax Senior Apartments'!$D$22</f>
        <v>17787.23</v>
      </c>
    </row>
    <row r="20" customFormat="false" ht="15" hidden="false" customHeight="false" outlineLevel="0" collapsed="false">
      <c r="A20" s="5" t="s">
        <v>9</v>
      </c>
      <c r="B20" s="5" t="s">
        <v>20</v>
      </c>
      <c r="C20" s="6" t="n">
        <f aca="false">SUM(D20:D20)</f>
        <v>568816.64</v>
      </c>
      <c r="D20" s="6" t="n">
        <f aca="false">'Fairfax Senior Apartments'!$D$23</f>
        <v>568816.64</v>
      </c>
    </row>
    <row r="21" customFormat="false" ht="15" hidden="false" customHeight="false" outlineLevel="0" collapsed="false">
      <c r="A21" s="5" t="s">
        <v>9</v>
      </c>
      <c r="B21" s="5" t="s">
        <v>21</v>
      </c>
      <c r="C21" s="6" t="n">
        <f aca="false">SUM(D21:D21)</f>
        <v>13454.95</v>
      </c>
      <c r="D21" s="6" t="n">
        <f aca="false">'Fairfax Senior Apartments'!$D$24</f>
        <v>13454.95</v>
      </c>
    </row>
    <row r="22" customFormat="false" ht="15" hidden="false" customHeight="false" outlineLevel="0" collapsed="false">
      <c r="A22" s="5" t="s">
        <v>9</v>
      </c>
      <c r="B22" s="5" t="s">
        <v>22</v>
      </c>
      <c r="C22" s="6" t="n">
        <f aca="false">SUM(D22:D22)</f>
        <v>1715.22</v>
      </c>
      <c r="D22" s="6" t="n">
        <f aca="false">'Fairfax Senior Apartments'!$D$25</f>
        <v>1715.22</v>
      </c>
    </row>
    <row r="23" customFormat="false" ht="15" hidden="false" customHeight="false" outlineLevel="0" collapsed="false">
      <c r="A23" s="5" t="s">
        <v>9</v>
      </c>
      <c r="B23" s="5" t="s">
        <v>23</v>
      </c>
      <c r="C23" s="6" t="n">
        <f aca="false">SUM(D23:D23)</f>
        <v>54850.83</v>
      </c>
      <c r="D23" s="6" t="n">
        <f aca="false">'Fairfax Senior Apartments'!$D$26</f>
        <v>54850.83</v>
      </c>
    </row>
    <row r="24" customFormat="false" ht="15" hidden="false" customHeight="false" outlineLevel="0" collapsed="false">
      <c r="A24" s="5" t="s">
        <v>9</v>
      </c>
      <c r="B24" s="5" t="s">
        <v>24</v>
      </c>
      <c r="C24" s="6" t="n">
        <f aca="false">SUM(D24:D24)</f>
        <v>5684</v>
      </c>
      <c r="D24" s="6" t="n">
        <f aca="false">'Fairfax Senior Apartments'!$D$27</f>
        <v>5684</v>
      </c>
    </row>
    <row r="25" customFormat="false" ht="15" hidden="false" customHeight="false" outlineLevel="0" collapsed="false">
      <c r="A25" s="7"/>
      <c r="B25" s="8" t="s">
        <v>25</v>
      </c>
      <c r="C25" s="9" t="n">
        <f aca="false">SUM(C15:C24)</f>
        <v>824840</v>
      </c>
      <c r="D25" s="9" t="n">
        <f aca="false">SUM(D15:D24)</f>
        <v>824840</v>
      </c>
    </row>
    <row r="26" customFormat="false" ht="15" hidden="false" customHeight="false" outlineLevel="0" collapsed="false">
      <c r="B26" s="11" t="s">
        <v>26</v>
      </c>
      <c r="C26" s="12" t="n">
        <f aca="false">C12-C25</f>
        <v>0</v>
      </c>
      <c r="D26" s="12" t="n">
        <f aca="false">D12-D25</f>
        <v>0</v>
      </c>
    </row>
    <row r="28" customFormat="false" ht="15" hidden="false" customHeight="false" outlineLevel="0" collapsed="false">
      <c r="B28" s="10" t="s">
        <v>27</v>
      </c>
    </row>
    <row r="29" customFormat="false" ht="15" hidden="false" customHeight="false" outlineLevel="0" collapsed="false">
      <c r="B29" s="11" t="s">
        <v>28</v>
      </c>
      <c r="C29" s="12" t="n">
        <f aca="false">SUM(D29:D29)</f>
        <v>149699</v>
      </c>
      <c r="D29" s="12" t="n">
        <f aca="false">'Fairfax Senior Apartments'!$I$14</f>
        <v>149699</v>
      </c>
    </row>
    <row r="30" customFormat="false" ht="15" hidden="false" customHeight="false" outlineLevel="0" collapsed="false">
      <c r="B30" s="5" t="s">
        <v>15</v>
      </c>
      <c r="C30" s="6" t="n">
        <f aca="false">SUM(D30:D30)</f>
        <v>4419.59</v>
      </c>
      <c r="D30" s="6" t="n">
        <f aca="false">'Fairfax Senior Apartments'!$I$18</f>
        <v>4419.59</v>
      </c>
    </row>
    <row r="31" customFormat="false" ht="15" hidden="false" customHeight="false" outlineLevel="0" collapsed="false">
      <c r="B31" s="5" t="s">
        <v>16</v>
      </c>
      <c r="C31" s="6" t="n">
        <f aca="false">SUM(D31:D31)</f>
        <v>438.65</v>
      </c>
      <c r="D31" s="6" t="n">
        <f aca="false">'Fairfax Senior Apartments'!$I$19</f>
        <v>438.65</v>
      </c>
    </row>
    <row r="32" customFormat="false" ht="15" hidden="false" customHeight="false" outlineLevel="0" collapsed="false">
      <c r="B32" s="5" t="s">
        <v>17</v>
      </c>
      <c r="C32" s="6" t="n">
        <f aca="false">SUM(D32:D32)</f>
        <v>4886.4</v>
      </c>
      <c r="D32" s="6" t="n">
        <f aca="false">'Fairfax Senior Apartments'!$I$20</f>
        <v>4886.4</v>
      </c>
    </row>
    <row r="33" customFormat="false" ht="15" hidden="false" customHeight="false" outlineLevel="0" collapsed="false">
      <c r="B33" s="5" t="s">
        <v>18</v>
      </c>
      <c r="C33" s="6" t="n">
        <f aca="false">SUM(D33:D33)</f>
        <v>139531.13</v>
      </c>
      <c r="D33" s="6" t="n">
        <f aca="false">'Fairfax Senior Apartments'!$I$21</f>
        <v>139531.13</v>
      </c>
    </row>
    <row r="34" customFormat="false" ht="15" hidden="false" customHeight="false" outlineLevel="0" collapsed="false">
      <c r="B34" s="5" t="s">
        <v>19</v>
      </c>
      <c r="C34" s="6" t="n">
        <f aca="false">SUM(D34:D34)</f>
        <v>17787.23</v>
      </c>
      <c r="D34" s="6" t="n">
        <f aca="false">'Fairfax Senior Apartments'!$I$22</f>
        <v>17787.23</v>
      </c>
    </row>
    <row r="35" customFormat="false" ht="15" hidden="false" customHeight="false" outlineLevel="0" collapsed="false">
      <c r="B35" s="5" t="s">
        <v>20</v>
      </c>
      <c r="C35" s="6" t="n">
        <f aca="false">SUM(D35:D35)</f>
        <v>97388.3</v>
      </c>
      <c r="D35" s="6" t="n">
        <f aca="false">'Fairfax Senior Apartments'!$I$23</f>
        <v>97388.3</v>
      </c>
    </row>
    <row r="36" customFormat="false" ht="15" hidden="false" customHeight="false" outlineLevel="0" collapsed="false">
      <c r="B36" s="5" t="s">
        <v>21</v>
      </c>
      <c r="C36" s="6" t="n">
        <f aca="false">SUM(D36:D36)</f>
        <v>13454.95</v>
      </c>
      <c r="D36" s="6" t="n">
        <f aca="false">'Fairfax Senior Apartments'!$I$24</f>
        <v>13454.95</v>
      </c>
    </row>
    <row r="37" customFormat="false" ht="15" hidden="false" customHeight="false" outlineLevel="0" collapsed="false">
      <c r="B37" s="5" t="s">
        <v>22</v>
      </c>
      <c r="C37" s="6" t="n">
        <f aca="false">SUM(D37:D37)</f>
        <v>1715.22</v>
      </c>
      <c r="D37" s="6" t="n">
        <f aca="false">'Fairfax Senior Apartments'!$I$25</f>
        <v>1715.22</v>
      </c>
    </row>
    <row r="38" customFormat="false" ht="15" hidden="false" customHeight="false" outlineLevel="0" collapsed="false">
      <c r="B38" s="5" t="s">
        <v>23</v>
      </c>
      <c r="C38" s="6" t="n">
        <f aca="false">SUM(D38:D38)</f>
        <v>9391.14</v>
      </c>
      <c r="D38" s="6" t="n">
        <f aca="false">'Fairfax Senior Apartments'!$I$26</f>
        <v>9391.14</v>
      </c>
    </row>
    <row r="39" customFormat="false" ht="15" hidden="false" customHeight="false" outlineLevel="0" collapsed="false">
      <c r="B39" s="5" t="s">
        <v>24</v>
      </c>
      <c r="C39" s="6" t="n">
        <f aca="false">SUM(D39:D39)</f>
        <v>5684</v>
      </c>
      <c r="D39" s="6" t="n">
        <f aca="false">'Fairfax Senior Apartments'!$I$27</f>
        <v>5684</v>
      </c>
    </row>
    <row r="40" customFormat="false" ht="15" hidden="false" customHeight="false" outlineLevel="0" collapsed="false">
      <c r="A40" s="7"/>
      <c r="B40" s="8" t="s">
        <v>29</v>
      </c>
      <c r="C40" s="9" t="n">
        <f aca="false">SUM(C30:C39)</f>
        <v>294696.61</v>
      </c>
      <c r="D40" s="9" t="n">
        <f aca="false">SUM(D30:D39)</f>
        <v>294696.61</v>
      </c>
    </row>
    <row r="41" customFormat="false" ht="15" hidden="false" customHeight="false" outlineLevel="0" collapsed="false">
      <c r="A41" s="13"/>
      <c r="B41" s="14" t="s">
        <v>30</v>
      </c>
      <c r="C41" s="15" t="n">
        <f aca="false">C29-C40</f>
        <v>-144997.61</v>
      </c>
      <c r="D41" s="15" t="n">
        <f aca="false">D29-D40</f>
        <v>-144997.61</v>
      </c>
    </row>
    <row r="42" customFormat="false" ht="15" hidden="false" customHeight="false" outlineLevel="0" collapsed="false">
      <c r="B42" s="16" t="s">
        <v>31</v>
      </c>
      <c r="C42" s="17" t="n">
        <f aca="false">C41-(-144997.61)</f>
        <v>0</v>
      </c>
      <c r="D42" s="17" t="n">
        <f aca="false">D41-'Fairfax Senior Apartments'!$D$33</f>
        <v>0</v>
      </c>
    </row>
    <row r="44" customFormat="false" ht="15" hidden="false" customHeight="false" outlineLevel="0" collapsed="false">
      <c r="B44" s="18" t="s">
        <v>32</v>
      </c>
    </row>
    <row r="45" customFormat="false" ht="15" hidden="false" customHeight="false" outlineLevel="0" collapsed="false">
      <c r="B45" s="19" t="s">
        <v>33</v>
      </c>
    </row>
    <row r="46" customFormat="false" ht="15" hidden="false" customHeight="false" outlineLevel="0" collapsed="false">
      <c r="B46" s="19" t="s">
        <v>34</v>
      </c>
    </row>
    <row r="47" customFormat="false" ht="15" hidden="false" customHeight="false" outlineLevel="0" collapsed="false">
      <c r="B47" s="19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36</v>
      </c>
    </row>
    <row r="5" customFormat="false" ht="15" hidden="false" customHeight="false" outlineLevel="0" collapsed="false">
      <c r="A5" s="16" t="s">
        <v>37</v>
      </c>
    </row>
    <row r="7" customFormat="false" ht="15" hidden="false" customHeight="false" outlineLevel="0" collapsed="false">
      <c r="A7" s="10" t="s">
        <v>38</v>
      </c>
    </row>
    <row r="8" customFormat="false" ht="15" hidden="false" customHeight="false" outlineLevel="0" collapsed="false">
      <c r="A8" s="21" t="s">
        <v>39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</row>
    <row r="10" customFormat="false" ht="15" hidden="false" customHeight="false" outlineLevel="0" collapsed="false">
      <c r="A10" s="23" t="n">
        <v>1</v>
      </c>
      <c r="B10" s="23" t="s">
        <v>8</v>
      </c>
      <c r="C10" s="23" t="s">
        <v>7</v>
      </c>
      <c r="D10" s="24" t="n">
        <v>23000</v>
      </c>
      <c r="E10" s="24" t="n">
        <v>0</v>
      </c>
      <c r="F10" s="24" t="n">
        <v>0</v>
      </c>
      <c r="G10" s="24" t="n">
        <v>5436</v>
      </c>
      <c r="H10" s="24" t="n">
        <v>837</v>
      </c>
      <c r="I10" s="24" t="n">
        <f aca="false">G10+H10</f>
        <v>6273</v>
      </c>
      <c r="J10" s="24" t="n">
        <f aca="false">D10-I10</f>
        <v>16727</v>
      </c>
      <c r="K10" s="25" t="s">
        <v>52</v>
      </c>
      <c r="L10" s="25" t="s">
        <v>53</v>
      </c>
    </row>
    <row r="11" customFormat="false" ht="15" hidden="false" customHeight="false" outlineLevel="0" collapsed="false">
      <c r="A11" s="23" t="n">
        <v>2</v>
      </c>
      <c r="B11" s="23" t="s">
        <v>10</v>
      </c>
      <c r="C11" s="23" t="s">
        <v>9</v>
      </c>
      <c r="D11" s="24" t="n">
        <v>726135</v>
      </c>
      <c r="E11" s="24" t="n">
        <v>0</v>
      </c>
      <c r="F11" s="24" t="n">
        <v>0</v>
      </c>
      <c r="G11" s="24" t="n">
        <v>99018</v>
      </c>
      <c r="H11" s="24" t="n">
        <v>26405</v>
      </c>
      <c r="I11" s="24" t="n">
        <f aca="false">G11+H11</f>
        <v>125423</v>
      </c>
      <c r="J11" s="24" t="n">
        <f aca="false">D11-I11</f>
        <v>600712</v>
      </c>
      <c r="K11" s="25" t="s">
        <v>52</v>
      </c>
      <c r="L11" s="25" t="s">
        <v>53</v>
      </c>
    </row>
    <row r="12" customFormat="false" ht="15" hidden="false" customHeight="false" outlineLevel="0" collapsed="false">
      <c r="A12" s="23" t="n">
        <v>3</v>
      </c>
      <c r="B12" s="23" t="s">
        <v>11</v>
      </c>
      <c r="C12" s="23" t="s">
        <v>9</v>
      </c>
      <c r="D12" s="24" t="n">
        <v>70021</v>
      </c>
      <c r="E12" s="24" t="n">
        <v>0</v>
      </c>
      <c r="F12" s="24" t="n">
        <v>0</v>
      </c>
      <c r="G12" s="24" t="n">
        <v>9725</v>
      </c>
      <c r="H12" s="24" t="n">
        <v>2594</v>
      </c>
      <c r="I12" s="24" t="n">
        <f aca="false">G12+H12</f>
        <v>12319</v>
      </c>
      <c r="J12" s="24" t="n">
        <f aca="false">D12-I12</f>
        <v>57702</v>
      </c>
      <c r="K12" s="25" t="s">
        <v>52</v>
      </c>
      <c r="L12" s="25" t="s">
        <v>53</v>
      </c>
    </row>
    <row r="13" customFormat="false" ht="15" hidden="false" customHeight="false" outlineLevel="0" collapsed="false">
      <c r="A13" s="23" t="n">
        <v>4</v>
      </c>
      <c r="B13" s="23" t="s">
        <v>12</v>
      </c>
      <c r="C13" s="23" t="s">
        <v>9</v>
      </c>
      <c r="D13" s="24" t="n">
        <v>5684</v>
      </c>
      <c r="E13" s="24" t="n">
        <v>0</v>
      </c>
      <c r="F13" s="24" t="n">
        <v>5684</v>
      </c>
      <c r="G13" s="24" t="n">
        <v>5684</v>
      </c>
      <c r="H13" s="24" t="n">
        <v>0</v>
      </c>
      <c r="I13" s="24" t="n">
        <f aca="false">G13+H13</f>
        <v>5684</v>
      </c>
      <c r="J13" s="24" t="n">
        <f aca="false">D13-I13</f>
        <v>0</v>
      </c>
      <c r="K13" s="25" t="s">
        <v>54</v>
      </c>
      <c r="L13" s="25" t="s">
        <v>55</v>
      </c>
    </row>
    <row r="14" customFormat="false" ht="15" hidden="false" customHeight="false" outlineLevel="0" collapsed="false">
      <c r="A14" s="26"/>
      <c r="B14" s="27" t="s">
        <v>13</v>
      </c>
      <c r="C14" s="26"/>
      <c r="D14" s="28" t="n">
        <f aca="false">SUM(D10:D13)</f>
        <v>824840</v>
      </c>
      <c r="E14" s="28" t="n">
        <f aca="false">SUM(E10:E13)</f>
        <v>0</v>
      </c>
      <c r="F14" s="28" t="n">
        <f aca="false">SUM(F10:F13)</f>
        <v>5684</v>
      </c>
      <c r="G14" s="28" t="n">
        <f aca="false">SUM(G10:G13)</f>
        <v>119863</v>
      </c>
      <c r="H14" s="28" t="n">
        <f aca="false">SUM(H10:H13)</f>
        <v>29836</v>
      </c>
      <c r="I14" s="28" t="n">
        <f aca="false">SUM(I10:I13)</f>
        <v>149699</v>
      </c>
      <c r="J14" s="28" t="n">
        <f aca="false">SUM(J10:J13)</f>
        <v>675141</v>
      </c>
      <c r="K14" s="26"/>
      <c r="L14" s="26"/>
    </row>
    <row r="16" customFormat="false" ht="15" hidden="false" customHeight="false" outlineLevel="0" collapsed="false">
      <c r="A16" s="21" t="s">
        <v>56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4" t="s">
        <v>40</v>
      </c>
      <c r="B17" s="4" t="s">
        <v>41</v>
      </c>
      <c r="C17" s="4" t="s">
        <v>42</v>
      </c>
      <c r="D17" s="4" t="s">
        <v>43</v>
      </c>
      <c r="E17" s="4" t="s">
        <v>44</v>
      </c>
      <c r="F17" s="4" t="s">
        <v>45</v>
      </c>
      <c r="G17" s="4" t="s">
        <v>46</v>
      </c>
      <c r="H17" s="4" t="s">
        <v>47</v>
      </c>
      <c r="I17" s="4" t="s">
        <v>48</v>
      </c>
      <c r="J17" s="4" t="s">
        <v>49</v>
      </c>
      <c r="K17" s="4" t="s">
        <v>50</v>
      </c>
      <c r="L17" s="4" t="s">
        <v>51</v>
      </c>
    </row>
    <row r="18" customFormat="false" ht="15" hidden="false" customHeight="false" outlineLevel="0" collapsed="false">
      <c r="A18" s="23" t="n">
        <v>1</v>
      </c>
      <c r="B18" s="23" t="s">
        <v>15</v>
      </c>
      <c r="C18" s="23" t="s">
        <v>7</v>
      </c>
      <c r="D18" s="24" t="n">
        <v>4419.59</v>
      </c>
      <c r="E18" s="24" t="n">
        <v>0</v>
      </c>
      <c r="F18" s="24" t="n">
        <v>2209.8</v>
      </c>
      <c r="G18" s="24" t="n">
        <v>4419.59</v>
      </c>
      <c r="H18" s="24" t="n">
        <v>0</v>
      </c>
      <c r="I18" s="24" t="n">
        <f aca="false">G18+H18</f>
        <v>4419.59</v>
      </c>
      <c r="J18" s="24" t="n">
        <f aca="false">D18-I18</f>
        <v>0</v>
      </c>
      <c r="K18" s="25" t="s">
        <v>54</v>
      </c>
      <c r="L18" s="25" t="s">
        <v>57</v>
      </c>
    </row>
    <row r="19" customFormat="false" ht="15" hidden="false" customHeight="false" outlineLevel="0" collapsed="false">
      <c r="A19" s="23" t="n">
        <v>2</v>
      </c>
      <c r="B19" s="23" t="s">
        <v>16</v>
      </c>
      <c r="C19" s="23" t="s">
        <v>7</v>
      </c>
      <c r="D19" s="24" t="n">
        <v>563.4</v>
      </c>
      <c r="E19" s="24" t="n">
        <v>0</v>
      </c>
      <c r="F19" s="24" t="n">
        <v>281.7</v>
      </c>
      <c r="G19" s="24" t="n">
        <v>422.02</v>
      </c>
      <c r="H19" s="24" t="n">
        <v>16.63</v>
      </c>
      <c r="I19" s="24" t="n">
        <f aca="false">G19+H19</f>
        <v>438.65</v>
      </c>
      <c r="J19" s="24" t="n">
        <f aca="false">D19-I19</f>
        <v>124.75</v>
      </c>
      <c r="K19" s="25" t="s">
        <v>58</v>
      </c>
      <c r="L19" s="25" t="s">
        <v>59</v>
      </c>
    </row>
    <row r="20" customFormat="false" ht="15" hidden="false" customHeight="false" outlineLevel="0" collapsed="false">
      <c r="A20" s="23" t="n">
        <v>3</v>
      </c>
      <c r="B20" s="23" t="s">
        <v>17</v>
      </c>
      <c r="C20" s="23" t="s">
        <v>7</v>
      </c>
      <c r="D20" s="24" t="n">
        <v>18017.01</v>
      </c>
      <c r="E20" s="24" t="n">
        <v>0</v>
      </c>
      <c r="F20" s="24" t="n">
        <v>0</v>
      </c>
      <c r="G20" s="24" t="n">
        <v>4231.24</v>
      </c>
      <c r="H20" s="24" t="n">
        <v>655.16</v>
      </c>
      <c r="I20" s="24" t="n">
        <f aca="false">G20+H20</f>
        <v>4886.4</v>
      </c>
      <c r="J20" s="24" t="n">
        <f aca="false">D20-I20</f>
        <v>13130.61</v>
      </c>
      <c r="K20" s="25" t="s">
        <v>52</v>
      </c>
      <c r="L20" s="25" t="s">
        <v>53</v>
      </c>
    </row>
    <row r="21" customFormat="false" ht="15" hidden="false" customHeight="false" outlineLevel="0" collapsed="false">
      <c r="A21" s="23" t="n">
        <v>4</v>
      </c>
      <c r="B21" s="23" t="s">
        <v>18</v>
      </c>
      <c r="C21" s="23" t="s">
        <v>9</v>
      </c>
      <c r="D21" s="24" t="n">
        <v>139531.13</v>
      </c>
      <c r="E21" s="24" t="n">
        <v>0</v>
      </c>
      <c r="F21" s="24" t="n">
        <v>139531.13</v>
      </c>
      <c r="G21" s="24" t="n">
        <v>139531.13</v>
      </c>
      <c r="H21" s="24" t="n">
        <v>0</v>
      </c>
      <c r="I21" s="24" t="n">
        <f aca="false">G21+H21</f>
        <v>139531.13</v>
      </c>
      <c r="J21" s="24" t="n">
        <f aca="false">D21-I21</f>
        <v>0</v>
      </c>
      <c r="K21" s="25" t="s">
        <v>54</v>
      </c>
      <c r="L21" s="25" t="s">
        <v>57</v>
      </c>
    </row>
    <row r="22" customFormat="false" ht="15" hidden="false" customHeight="false" outlineLevel="0" collapsed="false">
      <c r="A22" s="23" t="n">
        <v>5</v>
      </c>
      <c r="B22" s="23" t="s">
        <v>19</v>
      </c>
      <c r="C22" s="23" t="s">
        <v>9</v>
      </c>
      <c r="D22" s="24" t="n">
        <v>17787.23</v>
      </c>
      <c r="E22" s="24" t="n">
        <v>0</v>
      </c>
      <c r="F22" s="24" t="n">
        <v>17787.23</v>
      </c>
      <c r="G22" s="24" t="n">
        <v>17787.23</v>
      </c>
      <c r="H22" s="24" t="n">
        <v>0</v>
      </c>
      <c r="I22" s="24" t="n">
        <f aca="false">G22+H22</f>
        <v>17787.23</v>
      </c>
      <c r="J22" s="24" t="n">
        <f aca="false">D22-I22</f>
        <v>0</v>
      </c>
      <c r="K22" s="25" t="s">
        <v>58</v>
      </c>
      <c r="L22" s="25" t="s">
        <v>59</v>
      </c>
    </row>
    <row r="23" customFormat="false" ht="15" hidden="false" customHeight="false" outlineLevel="0" collapsed="false">
      <c r="A23" s="23" t="n">
        <v>6</v>
      </c>
      <c r="B23" s="23" t="s">
        <v>20</v>
      </c>
      <c r="C23" s="23" t="s">
        <v>9</v>
      </c>
      <c r="D23" s="24" t="n">
        <v>568816.64</v>
      </c>
      <c r="E23" s="24" t="n">
        <v>0</v>
      </c>
      <c r="F23" s="24" t="n">
        <v>0</v>
      </c>
      <c r="G23" s="24" t="n">
        <v>76704.06</v>
      </c>
      <c r="H23" s="24" t="n">
        <v>20684.24</v>
      </c>
      <c r="I23" s="24" t="n">
        <f aca="false">G23+H23</f>
        <v>97388.3</v>
      </c>
      <c r="J23" s="24" t="n">
        <f aca="false">D23-I23</f>
        <v>471428.34</v>
      </c>
      <c r="K23" s="25" t="s">
        <v>52</v>
      </c>
      <c r="L23" s="25" t="s">
        <v>53</v>
      </c>
    </row>
    <row r="24" customFormat="false" ht="15" hidden="false" customHeight="false" outlineLevel="0" collapsed="false">
      <c r="A24" s="23" t="n">
        <v>7</v>
      </c>
      <c r="B24" s="23" t="s">
        <v>21</v>
      </c>
      <c r="C24" s="23" t="s">
        <v>9</v>
      </c>
      <c r="D24" s="24" t="n">
        <v>13454.95</v>
      </c>
      <c r="E24" s="24" t="n">
        <v>0</v>
      </c>
      <c r="F24" s="24" t="n">
        <v>13454.95</v>
      </c>
      <c r="G24" s="24" t="n">
        <v>13454.95</v>
      </c>
      <c r="H24" s="24" t="n">
        <v>0</v>
      </c>
      <c r="I24" s="24" t="n">
        <f aca="false">G24+H24</f>
        <v>13454.95</v>
      </c>
      <c r="J24" s="24" t="n">
        <f aca="false">D24-I24</f>
        <v>0</v>
      </c>
      <c r="K24" s="25" t="s">
        <v>54</v>
      </c>
      <c r="L24" s="25" t="s">
        <v>57</v>
      </c>
    </row>
    <row r="25" customFormat="false" ht="15" hidden="false" customHeight="false" outlineLevel="0" collapsed="false">
      <c r="A25" s="23" t="n">
        <v>8</v>
      </c>
      <c r="B25" s="23" t="s">
        <v>22</v>
      </c>
      <c r="C25" s="23" t="s">
        <v>9</v>
      </c>
      <c r="D25" s="24" t="n">
        <v>1715.22</v>
      </c>
      <c r="E25" s="24" t="n">
        <v>0</v>
      </c>
      <c r="F25" s="24" t="n">
        <v>1715.22</v>
      </c>
      <c r="G25" s="24" t="n">
        <v>1715.22</v>
      </c>
      <c r="H25" s="24" t="n">
        <v>0</v>
      </c>
      <c r="I25" s="24" t="n">
        <f aca="false">G25+H25</f>
        <v>1715.22</v>
      </c>
      <c r="J25" s="24" t="n">
        <f aca="false">D25-I25</f>
        <v>0</v>
      </c>
      <c r="K25" s="25" t="s">
        <v>58</v>
      </c>
      <c r="L25" s="25" t="s">
        <v>59</v>
      </c>
    </row>
    <row r="26" customFormat="false" ht="15" hidden="false" customHeight="false" outlineLevel="0" collapsed="false">
      <c r="A26" s="23" t="n">
        <v>9</v>
      </c>
      <c r="B26" s="23" t="s">
        <v>23</v>
      </c>
      <c r="C26" s="23" t="s">
        <v>9</v>
      </c>
      <c r="D26" s="24" t="n">
        <v>54850.83</v>
      </c>
      <c r="E26" s="24" t="n">
        <v>0</v>
      </c>
      <c r="F26" s="24" t="n">
        <v>0</v>
      </c>
      <c r="G26" s="24" t="n">
        <v>7396.56</v>
      </c>
      <c r="H26" s="24" t="n">
        <v>1994.58</v>
      </c>
      <c r="I26" s="24" t="n">
        <f aca="false">G26+H26</f>
        <v>9391.14</v>
      </c>
      <c r="J26" s="24" t="n">
        <f aca="false">D26-I26</f>
        <v>45459.69</v>
      </c>
      <c r="K26" s="25" t="s">
        <v>52</v>
      </c>
      <c r="L26" s="25" t="s">
        <v>53</v>
      </c>
    </row>
    <row r="27" customFormat="false" ht="15" hidden="false" customHeight="false" outlineLevel="0" collapsed="false">
      <c r="A27" s="23" t="n">
        <v>10</v>
      </c>
      <c r="B27" s="23" t="s">
        <v>24</v>
      </c>
      <c r="C27" s="23" t="s">
        <v>9</v>
      </c>
      <c r="D27" s="24" t="n">
        <v>5684</v>
      </c>
      <c r="E27" s="24" t="n">
        <v>0</v>
      </c>
      <c r="F27" s="24" t="n">
        <v>5684</v>
      </c>
      <c r="G27" s="24" t="n">
        <v>5684</v>
      </c>
      <c r="H27" s="24" t="n">
        <v>0</v>
      </c>
      <c r="I27" s="24" t="n">
        <f aca="false">G27+H27</f>
        <v>5684</v>
      </c>
      <c r="J27" s="24" t="n">
        <f aca="false">D27-I27</f>
        <v>0</v>
      </c>
      <c r="K27" s="25" t="s">
        <v>54</v>
      </c>
      <c r="L27" s="25" t="s">
        <v>57</v>
      </c>
    </row>
    <row r="28" customFormat="false" ht="15" hidden="false" customHeight="false" outlineLevel="0" collapsed="false">
      <c r="A28" s="26"/>
      <c r="B28" s="27" t="s">
        <v>13</v>
      </c>
      <c r="C28" s="26"/>
      <c r="D28" s="28" t="n">
        <f aca="false">SUM(D18:D27)</f>
        <v>824840</v>
      </c>
      <c r="E28" s="28" t="n">
        <f aca="false">SUM(E18:E27)</f>
        <v>0</v>
      </c>
      <c r="F28" s="28" t="n">
        <f aca="false">SUM(F18:F27)</f>
        <v>180664.03</v>
      </c>
      <c r="G28" s="28" t="n">
        <f aca="false">SUM(G18:G27)</f>
        <v>271346</v>
      </c>
      <c r="H28" s="28" t="n">
        <f aca="false">SUM(H18:H27)</f>
        <v>23350.61</v>
      </c>
      <c r="I28" s="28" t="n">
        <f aca="false">SUM(I18:I27)</f>
        <v>294696.61</v>
      </c>
      <c r="J28" s="28" t="n">
        <f aca="false">SUM(J18:J27)</f>
        <v>530143.39</v>
      </c>
      <c r="K28" s="26"/>
      <c r="L28" s="26"/>
    </row>
    <row r="30" customFormat="false" ht="15" hidden="false" customHeight="false" outlineLevel="0" collapsed="false">
      <c r="B30" s="18" t="s">
        <v>60</v>
      </c>
    </row>
    <row r="31" customFormat="false" ht="15" hidden="false" customHeight="false" outlineLevel="0" collapsed="false">
      <c r="B31" s="5" t="s">
        <v>61</v>
      </c>
      <c r="D31" s="6" t="n">
        <f aca="false">I14</f>
        <v>149699</v>
      </c>
    </row>
    <row r="32" customFormat="false" ht="15" hidden="false" customHeight="false" outlineLevel="0" collapsed="false">
      <c r="B32" s="5" t="s">
        <v>62</v>
      </c>
      <c r="D32" s="6" t="n">
        <f aca="false">I28</f>
        <v>294696.61</v>
      </c>
    </row>
    <row r="33" customFormat="false" ht="15" hidden="false" customHeight="false" outlineLevel="0" collapsed="false">
      <c r="B33" s="11" t="s">
        <v>60</v>
      </c>
      <c r="D33" s="29" t="n">
        <f aca="false">D31-D32</f>
        <v>-144997.61</v>
      </c>
    </row>
    <row r="35" customFormat="false" ht="15" hidden="false" customHeight="false" outlineLevel="0" collapsed="false">
      <c r="A35" s="10" t="s">
        <v>63</v>
      </c>
    </row>
    <row r="36" customFormat="false" ht="15" hidden="false" customHeight="false" outlineLevel="0" collapsed="false">
      <c r="A36" s="21" t="s">
        <v>64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</row>
    <row r="37" customFormat="false" ht="22.35" hidden="false" customHeight="false" outlineLevel="0" collapsed="false">
      <c r="A37" s="4" t="s">
        <v>40</v>
      </c>
      <c r="B37" s="4" t="s">
        <v>41</v>
      </c>
      <c r="C37" s="4" t="s">
        <v>42</v>
      </c>
      <c r="D37" s="4" t="s">
        <v>43</v>
      </c>
      <c r="E37" s="4" t="s">
        <v>44</v>
      </c>
      <c r="F37" s="4" t="s">
        <v>45</v>
      </c>
      <c r="G37" s="4" t="s">
        <v>65</v>
      </c>
      <c r="H37" s="4" t="s">
        <v>66</v>
      </c>
      <c r="I37" s="4" t="s">
        <v>48</v>
      </c>
      <c r="J37" s="4" t="s">
        <v>49</v>
      </c>
      <c r="K37" s="4" t="s">
        <v>50</v>
      </c>
      <c r="L37" s="4" t="s">
        <v>51</v>
      </c>
    </row>
    <row r="38" customFormat="false" ht="15" hidden="false" customHeight="false" outlineLevel="0" collapsed="false">
      <c r="A38" s="23" t="n">
        <v>1</v>
      </c>
      <c r="B38" s="23" t="s">
        <v>8</v>
      </c>
      <c r="C38" s="23" t="s">
        <v>7</v>
      </c>
      <c r="D38" s="24" t="n">
        <v>23000</v>
      </c>
      <c r="E38" s="24" t="n">
        <v>0</v>
      </c>
      <c r="F38" s="24" t="n">
        <v>0</v>
      </c>
      <c r="G38" s="24" t="n">
        <v>5436</v>
      </c>
      <c r="H38" s="24" t="n">
        <v>837</v>
      </c>
      <c r="I38" s="24" t="n">
        <f aca="false">G38+H38</f>
        <v>6273</v>
      </c>
      <c r="J38" s="24" t="n">
        <f aca="false">D38-I38</f>
        <v>16727</v>
      </c>
      <c r="K38" s="25" t="s">
        <v>52</v>
      </c>
      <c r="L38" s="25" t="s">
        <v>53</v>
      </c>
    </row>
    <row r="39" customFormat="false" ht="15" hidden="false" customHeight="false" outlineLevel="0" collapsed="false">
      <c r="A39" s="23" t="n">
        <v>2</v>
      </c>
      <c r="B39" s="23" t="s">
        <v>10</v>
      </c>
      <c r="C39" s="23" t="s">
        <v>9</v>
      </c>
      <c r="D39" s="24" t="n">
        <v>726135</v>
      </c>
      <c r="E39" s="24" t="n">
        <v>0</v>
      </c>
      <c r="F39" s="24" t="n">
        <v>0</v>
      </c>
      <c r="G39" s="24" t="n">
        <v>99018</v>
      </c>
      <c r="H39" s="24" t="n">
        <v>26405</v>
      </c>
      <c r="I39" s="24" t="n">
        <f aca="false">G39+H39</f>
        <v>125423</v>
      </c>
      <c r="J39" s="24" t="n">
        <f aca="false">D39-I39</f>
        <v>600712</v>
      </c>
      <c r="K39" s="25" t="s">
        <v>52</v>
      </c>
      <c r="L39" s="25" t="s">
        <v>53</v>
      </c>
    </row>
    <row r="40" customFormat="false" ht="15" hidden="false" customHeight="false" outlineLevel="0" collapsed="false">
      <c r="A40" s="23" t="n">
        <v>3</v>
      </c>
      <c r="B40" s="23" t="s">
        <v>11</v>
      </c>
      <c r="C40" s="23" t="s">
        <v>9</v>
      </c>
      <c r="D40" s="24" t="n">
        <v>70021</v>
      </c>
      <c r="E40" s="24" t="n">
        <v>0</v>
      </c>
      <c r="F40" s="24" t="n">
        <v>0</v>
      </c>
      <c r="G40" s="24" t="n">
        <v>9725</v>
      </c>
      <c r="H40" s="24" t="n">
        <v>2594</v>
      </c>
      <c r="I40" s="24" t="n">
        <f aca="false">G40+H40</f>
        <v>12319</v>
      </c>
      <c r="J40" s="24" t="n">
        <f aca="false">D40-I40</f>
        <v>57702</v>
      </c>
      <c r="K40" s="25" t="s">
        <v>52</v>
      </c>
      <c r="L40" s="25" t="s">
        <v>53</v>
      </c>
    </row>
    <row r="41" customFormat="false" ht="15" hidden="false" customHeight="false" outlineLevel="0" collapsed="false">
      <c r="A41" s="23" t="n">
        <v>4</v>
      </c>
      <c r="B41" s="23" t="s">
        <v>12</v>
      </c>
      <c r="C41" s="23" t="s">
        <v>9</v>
      </c>
      <c r="D41" s="24" t="n">
        <v>5684</v>
      </c>
      <c r="E41" s="24" t="n">
        <v>0</v>
      </c>
      <c r="F41" s="24" t="n">
        <v>5684</v>
      </c>
      <c r="G41" s="24" t="n">
        <v>5684</v>
      </c>
      <c r="H41" s="24" t="n">
        <v>0</v>
      </c>
      <c r="I41" s="24" t="n">
        <f aca="false">G41+H41</f>
        <v>5684</v>
      </c>
      <c r="J41" s="24" t="n">
        <f aca="false">D41-I41</f>
        <v>0</v>
      </c>
      <c r="K41" s="25" t="s">
        <v>54</v>
      </c>
      <c r="L41" s="25" t="s">
        <v>55</v>
      </c>
    </row>
    <row r="42" customFormat="false" ht="15" hidden="false" customHeight="false" outlineLevel="0" collapsed="false">
      <c r="A42" s="26"/>
      <c r="B42" s="27" t="s">
        <v>13</v>
      </c>
      <c r="C42" s="26"/>
      <c r="D42" s="28" t="n">
        <f aca="false">SUM(D38:D41)</f>
        <v>824840</v>
      </c>
      <c r="E42" s="28" t="n">
        <f aca="false">SUM(E38:E41)</f>
        <v>0</v>
      </c>
      <c r="F42" s="28" t="n">
        <f aca="false">SUM(F38:F41)</f>
        <v>5684</v>
      </c>
      <c r="G42" s="28" t="n">
        <f aca="false">SUM(G38:G41)</f>
        <v>119863</v>
      </c>
      <c r="H42" s="28" t="n">
        <f aca="false">SUM(H38:H41)</f>
        <v>29836</v>
      </c>
      <c r="I42" s="28" t="n">
        <f aca="false">SUM(I38:I41)</f>
        <v>149699</v>
      </c>
      <c r="J42" s="28" t="n">
        <f aca="false">SUM(J38:J41)</f>
        <v>675141</v>
      </c>
      <c r="K42" s="26"/>
      <c r="L42" s="26"/>
    </row>
    <row r="44" customFormat="false" ht="15" hidden="false" customHeight="false" outlineLevel="0" collapsed="false">
      <c r="A44" s="21" t="s">
        <v>67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</row>
    <row r="45" customFormat="false" ht="22.35" hidden="false" customHeight="false" outlineLevel="0" collapsed="false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65</v>
      </c>
      <c r="H45" s="4" t="s">
        <v>66</v>
      </c>
      <c r="I45" s="4" t="s">
        <v>48</v>
      </c>
      <c r="J45" s="4" t="s">
        <v>49</v>
      </c>
      <c r="K45" s="4" t="s">
        <v>50</v>
      </c>
      <c r="L45" s="4" t="s">
        <v>51</v>
      </c>
    </row>
    <row r="46" customFormat="false" ht="15" hidden="false" customHeight="false" outlineLevel="0" collapsed="false">
      <c r="A46" s="23" t="n">
        <v>1</v>
      </c>
      <c r="B46" s="23" t="s">
        <v>15</v>
      </c>
      <c r="C46" s="23" t="s">
        <v>7</v>
      </c>
      <c r="D46" s="24" t="n">
        <v>4419.59</v>
      </c>
      <c r="E46" s="24" t="n">
        <v>0</v>
      </c>
      <c r="F46" s="24" t="n">
        <v>2209.8</v>
      </c>
      <c r="G46" s="24" t="n">
        <v>4419.59</v>
      </c>
      <c r="H46" s="24" t="n">
        <v>0</v>
      </c>
      <c r="I46" s="24" t="n">
        <f aca="false">G46+H46</f>
        <v>4419.59</v>
      </c>
      <c r="J46" s="24" t="n">
        <f aca="false">D46-I46</f>
        <v>0</v>
      </c>
      <c r="K46" s="25" t="s">
        <v>54</v>
      </c>
      <c r="L46" s="25" t="s">
        <v>57</v>
      </c>
    </row>
    <row r="47" customFormat="false" ht="15" hidden="false" customHeight="false" outlineLevel="0" collapsed="false">
      <c r="A47" s="23" t="n">
        <v>2</v>
      </c>
      <c r="B47" s="23" t="s">
        <v>16</v>
      </c>
      <c r="C47" s="23" t="s">
        <v>7</v>
      </c>
      <c r="D47" s="24" t="n">
        <v>563.4</v>
      </c>
      <c r="E47" s="24" t="n">
        <v>0</v>
      </c>
      <c r="F47" s="24" t="n">
        <v>281.7</v>
      </c>
      <c r="G47" s="24" t="n">
        <v>422.02</v>
      </c>
      <c r="H47" s="24" t="n">
        <v>16.63</v>
      </c>
      <c r="I47" s="24" t="n">
        <f aca="false">G47+H47</f>
        <v>438.65</v>
      </c>
      <c r="J47" s="24" t="n">
        <f aca="false">D47-I47</f>
        <v>124.75</v>
      </c>
      <c r="K47" s="25" t="s">
        <v>58</v>
      </c>
      <c r="L47" s="25" t="s">
        <v>59</v>
      </c>
    </row>
    <row r="48" customFormat="false" ht="15" hidden="false" customHeight="false" outlineLevel="0" collapsed="false">
      <c r="A48" s="23" t="n">
        <v>3</v>
      </c>
      <c r="B48" s="23" t="s">
        <v>17</v>
      </c>
      <c r="C48" s="23" t="s">
        <v>7</v>
      </c>
      <c r="D48" s="24" t="n">
        <v>18017.01</v>
      </c>
      <c r="E48" s="24" t="n">
        <v>0</v>
      </c>
      <c r="F48" s="24" t="n">
        <v>0</v>
      </c>
      <c r="G48" s="24" t="n">
        <v>4231.24</v>
      </c>
      <c r="H48" s="24" t="n">
        <v>655.16</v>
      </c>
      <c r="I48" s="24" t="n">
        <f aca="false">G48+H48</f>
        <v>4886.4</v>
      </c>
      <c r="J48" s="24" t="n">
        <f aca="false">D48-I48</f>
        <v>13130.61</v>
      </c>
      <c r="K48" s="25" t="s">
        <v>52</v>
      </c>
      <c r="L48" s="25" t="s">
        <v>53</v>
      </c>
    </row>
    <row r="49" customFormat="false" ht="15" hidden="false" customHeight="false" outlineLevel="0" collapsed="false">
      <c r="A49" s="23" t="n">
        <v>4</v>
      </c>
      <c r="B49" s="23" t="s">
        <v>18</v>
      </c>
      <c r="C49" s="23" t="s">
        <v>9</v>
      </c>
      <c r="D49" s="24" t="n">
        <v>139531.13</v>
      </c>
      <c r="E49" s="24" t="n">
        <v>0</v>
      </c>
      <c r="F49" s="24" t="n">
        <v>139531.13</v>
      </c>
      <c r="G49" s="24" t="n">
        <v>139531.13</v>
      </c>
      <c r="H49" s="24" t="n">
        <v>0</v>
      </c>
      <c r="I49" s="24" t="n">
        <f aca="false">G49+H49</f>
        <v>139531.13</v>
      </c>
      <c r="J49" s="24" t="n">
        <f aca="false">D49-I49</f>
        <v>0</v>
      </c>
      <c r="K49" s="25" t="s">
        <v>54</v>
      </c>
      <c r="L49" s="25" t="s">
        <v>57</v>
      </c>
    </row>
    <row r="50" customFormat="false" ht="15" hidden="false" customHeight="false" outlineLevel="0" collapsed="false">
      <c r="A50" s="23" t="n">
        <v>5</v>
      </c>
      <c r="B50" s="23" t="s">
        <v>19</v>
      </c>
      <c r="C50" s="23" t="s">
        <v>9</v>
      </c>
      <c r="D50" s="24" t="n">
        <v>17787.23</v>
      </c>
      <c r="E50" s="24" t="n">
        <v>0</v>
      </c>
      <c r="F50" s="24" t="n">
        <v>17787.23</v>
      </c>
      <c r="G50" s="24" t="n">
        <v>17787.23</v>
      </c>
      <c r="H50" s="24" t="n">
        <v>0</v>
      </c>
      <c r="I50" s="24" t="n">
        <f aca="false">G50+H50</f>
        <v>17787.23</v>
      </c>
      <c r="J50" s="24" t="n">
        <f aca="false">D50-I50</f>
        <v>0</v>
      </c>
      <c r="K50" s="25" t="s">
        <v>58</v>
      </c>
      <c r="L50" s="25" t="s">
        <v>59</v>
      </c>
    </row>
    <row r="51" customFormat="false" ht="15" hidden="false" customHeight="false" outlineLevel="0" collapsed="false">
      <c r="A51" s="23" t="n">
        <v>6</v>
      </c>
      <c r="B51" s="23" t="s">
        <v>20</v>
      </c>
      <c r="C51" s="23" t="s">
        <v>9</v>
      </c>
      <c r="D51" s="24" t="n">
        <v>568816.64</v>
      </c>
      <c r="E51" s="24" t="n">
        <v>0</v>
      </c>
      <c r="F51" s="24" t="n">
        <v>0</v>
      </c>
      <c r="G51" s="24" t="n">
        <v>76704.06</v>
      </c>
      <c r="H51" s="24" t="n">
        <v>20684.24</v>
      </c>
      <c r="I51" s="24" t="n">
        <f aca="false">G51+H51</f>
        <v>97388.3</v>
      </c>
      <c r="J51" s="24" t="n">
        <f aca="false">D51-I51</f>
        <v>471428.34</v>
      </c>
      <c r="K51" s="25" t="s">
        <v>52</v>
      </c>
      <c r="L51" s="25" t="s">
        <v>53</v>
      </c>
    </row>
    <row r="52" customFormat="false" ht="15" hidden="false" customHeight="false" outlineLevel="0" collapsed="false">
      <c r="A52" s="23" t="n">
        <v>7</v>
      </c>
      <c r="B52" s="23" t="s">
        <v>21</v>
      </c>
      <c r="C52" s="23" t="s">
        <v>9</v>
      </c>
      <c r="D52" s="24" t="n">
        <v>13454.95</v>
      </c>
      <c r="E52" s="24" t="n">
        <v>0</v>
      </c>
      <c r="F52" s="24" t="n">
        <v>13454.95</v>
      </c>
      <c r="G52" s="24" t="n">
        <v>13454.95</v>
      </c>
      <c r="H52" s="24" t="n">
        <v>0</v>
      </c>
      <c r="I52" s="24" t="n">
        <f aca="false">G52+H52</f>
        <v>13454.95</v>
      </c>
      <c r="J52" s="24" t="n">
        <f aca="false">D52-I52</f>
        <v>0</v>
      </c>
      <c r="K52" s="25" t="s">
        <v>54</v>
      </c>
      <c r="L52" s="25" t="s">
        <v>57</v>
      </c>
    </row>
    <row r="53" customFormat="false" ht="15" hidden="false" customHeight="false" outlineLevel="0" collapsed="false">
      <c r="A53" s="23" t="n">
        <v>8</v>
      </c>
      <c r="B53" s="23" t="s">
        <v>22</v>
      </c>
      <c r="C53" s="23" t="s">
        <v>9</v>
      </c>
      <c r="D53" s="24" t="n">
        <v>1715.22</v>
      </c>
      <c r="E53" s="24" t="n">
        <v>0</v>
      </c>
      <c r="F53" s="24" t="n">
        <v>1715.22</v>
      </c>
      <c r="G53" s="24" t="n">
        <v>1715.22</v>
      </c>
      <c r="H53" s="24" t="n">
        <v>0</v>
      </c>
      <c r="I53" s="24" t="n">
        <f aca="false">G53+H53</f>
        <v>1715.22</v>
      </c>
      <c r="J53" s="24" t="n">
        <f aca="false">D53-I53</f>
        <v>0</v>
      </c>
      <c r="K53" s="25" t="s">
        <v>58</v>
      </c>
      <c r="L53" s="25" t="s">
        <v>59</v>
      </c>
    </row>
    <row r="54" customFormat="false" ht="15" hidden="false" customHeight="false" outlineLevel="0" collapsed="false">
      <c r="A54" s="23" t="n">
        <v>9</v>
      </c>
      <c r="B54" s="23" t="s">
        <v>23</v>
      </c>
      <c r="C54" s="23" t="s">
        <v>9</v>
      </c>
      <c r="D54" s="24" t="n">
        <v>54850.83</v>
      </c>
      <c r="E54" s="24" t="n">
        <v>0</v>
      </c>
      <c r="F54" s="24" t="n">
        <v>0</v>
      </c>
      <c r="G54" s="24" t="n">
        <v>7396.56</v>
      </c>
      <c r="H54" s="24" t="n">
        <v>1994.58</v>
      </c>
      <c r="I54" s="24" t="n">
        <f aca="false">G54+H54</f>
        <v>9391.14</v>
      </c>
      <c r="J54" s="24" t="n">
        <f aca="false">D54-I54</f>
        <v>45459.69</v>
      </c>
      <c r="K54" s="25" t="s">
        <v>52</v>
      </c>
      <c r="L54" s="25" t="s">
        <v>53</v>
      </c>
    </row>
    <row r="55" customFormat="false" ht="15" hidden="false" customHeight="false" outlineLevel="0" collapsed="false">
      <c r="A55" s="26"/>
      <c r="B55" s="27" t="s">
        <v>13</v>
      </c>
      <c r="C55" s="26"/>
      <c r="D55" s="28" t="n">
        <f aca="false">SUM(D46:D54)</f>
        <v>819156</v>
      </c>
      <c r="E55" s="28" t="n">
        <f aca="false">SUM(E46:E54)</f>
        <v>0</v>
      </c>
      <c r="F55" s="28" t="n">
        <f aca="false">SUM(F46:F54)</f>
        <v>174980.03</v>
      </c>
      <c r="G55" s="28" t="n">
        <f aca="false">SUM(G46:G54)</f>
        <v>265662</v>
      </c>
      <c r="H55" s="28" t="n">
        <f aca="false">SUM(H46:H54)</f>
        <v>23350.61</v>
      </c>
      <c r="I55" s="28" t="n">
        <f aca="false">SUM(I46:I54)</f>
        <v>289012.61</v>
      </c>
      <c r="J55" s="28" t="n">
        <f aca="false">SUM(J46:J54)</f>
        <v>530143.39</v>
      </c>
      <c r="K55" s="26"/>
      <c r="L55" s="26"/>
    </row>
    <row r="57" customFormat="false" ht="15" hidden="false" customHeight="false" outlineLevel="0" collapsed="false">
      <c r="B57" s="18" t="s">
        <v>68</v>
      </c>
    </row>
    <row r="58" customFormat="false" ht="15" hidden="false" customHeight="false" outlineLevel="0" collapsed="false">
      <c r="B58" s="5" t="s">
        <v>61</v>
      </c>
      <c r="D58" s="6" t="n">
        <f aca="false">I42</f>
        <v>149699</v>
      </c>
    </row>
    <row r="59" customFormat="false" ht="15" hidden="false" customHeight="false" outlineLevel="0" collapsed="false">
      <c r="B59" s="5" t="s">
        <v>62</v>
      </c>
      <c r="D59" s="6" t="n">
        <f aca="false">I55</f>
        <v>289012.61</v>
      </c>
    </row>
    <row r="60" customFormat="false" ht="15" hidden="false" customHeight="false" outlineLevel="0" collapsed="false">
      <c r="B60" s="11" t="s">
        <v>68</v>
      </c>
      <c r="D60" s="29" t="n">
        <f aca="false">D58-D59</f>
        <v>-139313.61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2026-07-17T19:11:04Z</dcterms:created>
  <dc:creator>openpyxl</dc:creator>
  <dc:description/>
  <dc:language>en-US</dc:language>
  <cp:lastModifiedBy/>
  <dcterms:modified xsi:type="dcterms:W3CDTF">2026-07-17T19:11:04Z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