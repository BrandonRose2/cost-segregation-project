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ite" sheetId="2" state="visible" r:id="rId4"/>
    <sheet name="Building 1" sheetId="3" state="visible" r:id="rId5"/>
    <sheet name="Building 2" sheetId="4" state="visible" r:id="rId6"/>
    <sheet name="Building 3" sheetId="5" state="visible" r:id="rId7"/>
    <sheet name="Office" sheetId="6" state="visible" r:id="rId8"/>
    <sheet name="Building 5" sheetId="7" state="visible" r:id="rId9"/>
    <sheet name="Building 6" sheetId="8" state="visible" r:id="rId10"/>
    <sheet name="Building 7" sheetId="9" state="visible" r:id="rId11"/>
    <sheet name="Building 8" sheetId="10" state="visible" r:id="rId12"/>
    <sheet name="Building 9" sheetId="11" state="visible" r:id="rId13"/>
    <sheet name="Building 10" sheetId="12" state="visible" r:id="rId14"/>
    <sheet name="Building 11" sheetId="13" state="visible" r:id="rId15"/>
    <sheet name="Building 12" sheetId="14" state="visible" r:id="rId16"/>
    <sheet name="Building 13" sheetId="15" state="visible" r:id="rId17"/>
    <sheet name="Building 14" sheetId="16" state="visible" r:id="rId18"/>
    <sheet name="Building 15" sheetId="17" state="visible" r:id="rId19"/>
    <sheet name="Building 16" sheetId="18" state="visible" r:id="rId20"/>
    <sheet name="Building 17" sheetId="19" state="visible" r:id="rId21"/>
    <sheet name="Maintenance Building" sheetId="20" state="visible" r:id="rId22"/>
    <sheet name="Asset #15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<sst xmlns="http://schemas.openxmlformats.org/spreadsheetml/2006/main" count="4367" uniqueCount="215">
  <si>
    <t xml:space="preserve">Silver Springs Housing, LP</t>
  </si>
  <si>
    <t xml:space="preserve">Silver Spring Terrace Apartments — 950 20th St NE, Hickory, NC 28601</t>
  </si>
  <si>
    <t xml:space="preserve">EIN: 82-0773652    ·    FYE: December 31, 2024    ·    Year of Change: 1/1/2024</t>
  </si>
  <si>
    <t xml:space="preserve">Summary of Cost Segregation Adjustments — CSSI Report #107752-39 (CAM — DCN #7)</t>
  </si>
  <si>
    <t xml:space="preserve">All unit columns are linked to the individual unit tabs; totals and 481(a) figures are live formulas.</t>
  </si>
  <si>
    <t xml:space="preserve">Acq Date</t>
  </si>
  <si>
    <t xml:space="preserve">Asset Description</t>
  </si>
  <si>
    <t xml:space="preserve">Total</t>
  </si>
  <si>
    <t xml:space="preserve">Site</t>
  </si>
  <si>
    <t xml:space="preserve">Office</t>
  </si>
  <si>
    <t xml:space="preserve">Building 1</t>
  </si>
  <si>
    <t xml:space="preserve">Building 2</t>
  </si>
  <si>
    <t xml:space="preserve">Building 3</t>
  </si>
  <si>
    <t xml:space="preserve">Building 5</t>
  </si>
  <si>
    <t xml:space="preserve">Building 6</t>
  </si>
  <si>
    <t xml:space="preserve">Building 7</t>
  </si>
  <si>
    <t xml:space="preserve">Building 8</t>
  </si>
  <si>
    <t xml:space="preserve">Building 9</t>
  </si>
  <si>
    <t xml:space="preserve">Building 10</t>
  </si>
  <si>
    <t xml:space="preserve">Building 11</t>
  </si>
  <si>
    <t xml:space="preserve">Building 12</t>
  </si>
  <si>
    <t xml:space="preserve">Building 13</t>
  </si>
  <si>
    <t xml:space="preserve">Building 14</t>
  </si>
  <si>
    <t xml:space="preserve">Building 15</t>
  </si>
  <si>
    <t xml:space="preserve">Building 16</t>
  </si>
  <si>
    <t xml:space="preserve">Building 17</t>
  </si>
  <si>
    <t xml:space="preserve">Maintenance Building</t>
  </si>
  <si>
    <t xml:space="preserve">Asset #15</t>
  </si>
  <si>
    <t xml:space="preserve">9/15/21</t>
  </si>
  <si>
    <t xml:space="preserve">Asset # 19-Building - 754 "Menowitz"</t>
  </si>
  <si>
    <t xml:space="preserve">5/31/17</t>
  </si>
  <si>
    <t xml:space="preserve">Asset # 3-Building</t>
  </si>
  <si>
    <t xml:space="preserve">Asset # 4-Personal Property</t>
  </si>
  <si>
    <t xml:space="preserve">Asset # 2-Land Improvements</t>
  </si>
  <si>
    <t xml:space="preserve">5/01/21</t>
  </si>
  <si>
    <t xml:space="preserve">Asset # 15-Building Improvements</t>
  </si>
  <si>
    <t xml:space="preserve">Grand Total</t>
  </si>
  <si>
    <t xml:space="preserve">MACRS Reclassification</t>
  </si>
  <si>
    <t xml:space="preserve">Asset # 19-Building - 754 "Menowitz" - 5yr</t>
  </si>
  <si>
    <t xml:space="preserve">Asset # 19-Building - 754 "Menowitz" - Site-15yr</t>
  </si>
  <si>
    <t xml:space="preserve">Asset # 19-Building - 754 "Menowitz" - 30yr</t>
  </si>
  <si>
    <t xml:space="preserve">Asset # 3-Building - 5yr</t>
  </si>
  <si>
    <t xml:space="preserve">Asset # 3-Building - Site-15yr</t>
  </si>
  <si>
    <t xml:space="preserve">Asset # 3-Building - 30yr</t>
  </si>
  <si>
    <t xml:space="preserve">Asset # 4-Personal Property - 5yr</t>
  </si>
  <si>
    <t xml:space="preserve">Asset # 4-Personal Property - Site-15yr</t>
  </si>
  <si>
    <t xml:space="preserve">Asset # 4-Personal Property - 30yr</t>
  </si>
  <si>
    <t xml:space="preserve">Asset # 2-Land Improvements - 5yr</t>
  </si>
  <si>
    <t xml:space="preserve">Asset # 2-Land Improvements - Site-15yr</t>
  </si>
  <si>
    <t xml:space="preserve">Asset # 2-Land Improvements - 30yr</t>
  </si>
  <si>
    <t xml:space="preserve">Asset # 15-Building Improvements - 5yr</t>
  </si>
  <si>
    <t xml:space="preserve">Asset # 15-Building Improvements - 30yr</t>
  </si>
  <si>
    <t xml:space="preserve">Total MACRS Reclassification</t>
  </si>
  <si>
    <t xml:space="preserve">Difference (should be zero)</t>
  </si>
  <si>
    <t xml:space="preserve">End Depreciation Reconciliation</t>
  </si>
  <si>
    <t xml:space="preserve">Before Cost Segregation (As Previously Filed)</t>
  </si>
  <si>
    <t xml:space="preserve">After Cost Segregation (Corrected)</t>
  </si>
  <si>
    <t xml:space="preserve">Section 481(a) Adjustment</t>
  </si>
  <si>
    <t xml:space="preserve">Check vs. unit-tab 481(a) cells (should be zero)</t>
  </si>
  <si>
    <t xml:space="preserve">Notes</t>
  </si>
  <si>
    <t xml:space="preserve">1. Total column ties to the CSSI report: total negative §481(a) adjustment of ($427,882.48) — Regular Tax; AMT equals Regular Tax for every unit.</t>
  </si>
  <si>
    <t xml:space="preserve">2. Structure reclassified to a 30-year S/L recovery period per the depreciation schedules; the Building 2 Cost Summary page of the PDF labels</t>
  </si>
  <si>
    <t xml:space="preserve">    structure as 27.5-year, but its depreciation schedule uses 30-year S/L consistent with every other unit — 30-year is used throughout.</t>
  </si>
  <si>
    <t xml:space="preserve">3. Bonus depreciation (100%) applies to the 754 "Menowitz" (9/15/21) and Asset #15 Building Improvements (5/01/21) reclassified components.</t>
  </si>
  <si>
    <t xml:space="preserve">4. Every unit column links live to that unit's tab; the Difference and Check rows must remain zero after any edit.</t>
  </si>
  <si>
    <t xml:space="preserve">Site — Attachment to Form 3115 (DCN #7, Rev. Proc. 2024-23 §6.01)</t>
  </si>
  <si>
    <t xml:space="preserve">Source: CSSI Report #107752-39, "Silver Springs Housing LP_#107752-39_3115_Combined R1.pdf"</t>
  </si>
  <si>
    <t xml:space="preserve">CALCULATION OF §481(a) ADJUSTMENT — REGULAR TAX</t>
  </si>
  <si>
    <t xml:space="preserve">As Previously Filed</t>
  </si>
  <si>
    <t xml:space="preserve">Asset</t>
  </si>
  <si>
    <t xml:space="preserve">Property Description</t>
  </si>
  <si>
    <t xml:space="preserve">Date In Service</t>
  </si>
  <si>
    <t xml:space="preserve">Cost</t>
  </si>
  <si>
    <t xml:space="preserve">Sec 179 Exp</t>
  </si>
  <si>
    <t xml:space="preserve">Bonus Amt</t>
  </si>
  <si>
    <t xml:space="preserve">Tax Prior Depreciation</t>
  </si>
  <si>
    <t xml:space="preserve">Tax Current Depreciation</t>
  </si>
  <si>
    <t xml:space="preserve">End Depreciation</t>
  </si>
  <si>
    <t xml:space="preserve">Net Book Value</t>
  </si>
  <si>
    <t xml:space="preserve">Method</t>
  </si>
  <si>
    <t xml:space="preserve">Period</t>
  </si>
  <si>
    <t xml:space="preserve">19 - Building - 754 "Menowitz"</t>
  </si>
  <si>
    <t xml:space="preserve">S/L</t>
  </si>
  <si>
    <t xml:space="preserve">40.00</t>
  </si>
  <si>
    <t xml:space="preserve">3 - Building</t>
  </si>
  <si>
    <t xml:space="preserve">4 - Personal Property</t>
  </si>
  <si>
    <t xml:space="preserve">2 - Land Improvements</t>
  </si>
  <si>
    <t xml:space="preserve">After Cost Segregation Correction</t>
  </si>
  <si>
    <t xml:space="preserve">19 - Building - 754 "Menowitz" - 15 year</t>
  </si>
  <si>
    <t xml:space="preserve">150DB</t>
  </si>
  <si>
    <t xml:space="preserve">15.0</t>
  </si>
  <si>
    <t xml:space="preserve">19 - Building - 754 "Menowitz" - 30 year</t>
  </si>
  <si>
    <t xml:space="preserve">30.00</t>
  </si>
  <si>
    <t xml:space="preserve">3 - Building - 15 year</t>
  </si>
  <si>
    <t xml:space="preserve">3 - Building - 30 year</t>
  </si>
  <si>
    <t xml:space="preserve">4 - Personal Property - 15 year</t>
  </si>
  <si>
    <t xml:space="preserve">4 - Personal Property - 30 year</t>
  </si>
  <si>
    <t xml:space="preserve">2 - Land Improvements - 15 year</t>
  </si>
  <si>
    <t xml:space="preserve">2 - Land Improvements - 30 year</t>
  </si>
  <si>
    <t xml:space="preserve">Section 481(a) Adjustment — Regular Tax</t>
  </si>
  <si>
    <t xml:space="preserve">Depreciation reported previously</t>
  </si>
  <si>
    <t xml:space="preserve">Cost Segregation Corrected Depreciation</t>
  </si>
  <si>
    <t xml:space="preserve">CALCULATION OF §481(a) ADJUSTMENT — AMT</t>
  </si>
  <si>
    <t xml:space="preserve">As Previously Filed — AMT</t>
  </si>
  <si>
    <t xml:space="preserve">AMT Prior Depreciation</t>
  </si>
  <si>
    <t xml:space="preserve">AMT Current Depreciation</t>
  </si>
  <si>
    <t xml:space="preserve">After Cost Segregation Correction — AMT</t>
  </si>
  <si>
    <t xml:space="preserve">Section 481(a) Adjustment — AMT</t>
  </si>
  <si>
    <t xml:space="preserve">COST SEGREGATION STUDY — COST SUMMARY</t>
  </si>
  <si>
    <t xml:space="preserve">Total Site Cost</t>
  </si>
  <si>
    <t xml:space="preserve">Site Work / Improvements: 15 Year</t>
  </si>
  <si>
    <t xml:space="preserve">% of Site Cost</t>
  </si>
  <si>
    <t xml:space="preserve">Site Utilities: 30 Year</t>
  </si>
  <si>
    <t xml:space="preserve">COST SEGREGATION STUDY — COST DETAIL</t>
  </si>
  <si>
    <t xml:space="preserve">Property Category</t>
  </si>
  <si>
    <t xml:space="preserve">15 Year</t>
  </si>
  <si>
    <t xml:space="preserve">30 Year</t>
  </si>
  <si>
    <t xml:space="preserve">Site Work / Improvements</t>
  </si>
  <si>
    <t xml:space="preserve">Site Drainage</t>
  </si>
  <si>
    <t xml:space="preserve">Parking Lot</t>
  </si>
  <si>
    <t xml:space="preserve">Exterior Signage</t>
  </si>
  <si>
    <t xml:space="preserve">Parking Lot Striping / Barriers</t>
  </si>
  <si>
    <t xml:space="preserve">Sidewalks / Curbs</t>
  </si>
  <si>
    <t xml:space="preserve">Landscaping &amp; Flagpole</t>
  </si>
  <si>
    <t xml:space="preserve">Security Lighting Poles</t>
  </si>
  <si>
    <t xml:space="preserve">Exterior Fencing</t>
  </si>
  <si>
    <t xml:space="preserve">Dumpster Enclosures</t>
  </si>
  <si>
    <t xml:space="preserve">Fabricated Steel - Exterior Bollards</t>
  </si>
  <si>
    <t xml:space="preserve">Fire Hydrants</t>
  </si>
  <si>
    <t xml:space="preserve">Exterior Equipment Concrete Pads</t>
  </si>
  <si>
    <t xml:space="preserve">Mailboxes</t>
  </si>
  <si>
    <t xml:space="preserve">Basketball Court</t>
  </si>
  <si>
    <t xml:space="preserve">Playground</t>
  </si>
  <si>
    <t xml:space="preserve">Site Utilities</t>
  </si>
  <si>
    <t xml:space="preserve">ASSET ALLOCATION</t>
  </si>
  <si>
    <t xml:space="preserve">Asset # 19 - Building - 754 "Menowitz"</t>
  </si>
  <si>
    <t xml:space="preserve">Asset # 3 - Building</t>
  </si>
  <si>
    <t xml:space="preserve">Asset # 4 - Personal Property</t>
  </si>
  <si>
    <t xml:space="preserve">Asset # 2 - Land Improvements</t>
  </si>
  <si>
    <t xml:space="preserve">Total Allocation</t>
  </si>
  <si>
    <t xml:space="preserve">Check: Allocation vs. Cost Detail (should be zero)</t>
  </si>
  <si>
    <t xml:space="preserve">Building 1 — Attachment to Form 3115 (DCN #7, Rev. Proc. 2024-23 §6.01)</t>
  </si>
  <si>
    <t xml:space="preserve">19 - Building - 754 "Menowitz" - 5 year</t>
  </si>
  <si>
    <t xml:space="preserve">200DB</t>
  </si>
  <si>
    <t xml:space="preserve">5.0</t>
  </si>
  <si>
    <t xml:space="preserve">3 - Building - 5 year</t>
  </si>
  <si>
    <t xml:space="preserve">4 - Personal Property - 5 year</t>
  </si>
  <si>
    <t xml:space="preserve">2 - Land Improvements - 5 year</t>
  </si>
  <si>
    <t xml:space="preserve">Total Building Cost</t>
  </si>
  <si>
    <t xml:space="preserve">Building Components: 5 Year</t>
  </si>
  <si>
    <t xml:space="preserve">% of Building Cost</t>
  </si>
  <si>
    <t xml:space="preserve">Building Structure: 30 Year</t>
  </si>
  <si>
    <t xml:space="preserve">5 Year</t>
  </si>
  <si>
    <t xml:space="preserve">Building Components</t>
  </si>
  <si>
    <t xml:space="preserve">Cabinets / Millwork</t>
  </si>
  <si>
    <t xml:space="preserve">Moldings</t>
  </si>
  <si>
    <t xml:space="preserve">Flooring - Vinyl Plank</t>
  </si>
  <si>
    <t xml:space="preserve">Window Treatments</t>
  </si>
  <si>
    <t xml:space="preserve">Building Signage</t>
  </si>
  <si>
    <t xml:space="preserve">Specialty Electrical - Appliances</t>
  </si>
  <si>
    <t xml:space="preserve">Communication / Data</t>
  </si>
  <si>
    <t xml:space="preserve">Specialty Plumbing - Kitchen Sinks</t>
  </si>
  <si>
    <t xml:space="preserve">Security / Exterior Lighting</t>
  </si>
  <si>
    <t xml:space="preserve">Access Control</t>
  </si>
  <si>
    <t xml:space="preserve">Appliances</t>
  </si>
  <si>
    <t xml:space="preserve">Building Structure</t>
  </si>
  <si>
    <t xml:space="preserve">Roofing Systems</t>
  </si>
  <si>
    <t xml:space="preserve">Foundations</t>
  </si>
  <si>
    <t xml:space="preserve">HVAC</t>
  </si>
  <si>
    <t xml:space="preserve">Electrical</t>
  </si>
  <si>
    <t xml:space="preserve">Plumbing</t>
  </si>
  <si>
    <t xml:space="preserve">Fire Protection &amp; Alarm</t>
  </si>
  <si>
    <t xml:space="preserve">Exterior Façade / Building Skin</t>
  </si>
  <si>
    <t xml:space="preserve">Doors &amp; Frames</t>
  </si>
  <si>
    <t xml:space="preserve">Windows</t>
  </si>
  <si>
    <t xml:space="preserve">Ceiling Systems</t>
  </si>
  <si>
    <t xml:space="preserve">Interior Framing / Partitions</t>
  </si>
  <si>
    <t xml:space="preserve">Painting</t>
  </si>
  <si>
    <t xml:space="preserve">Gutter Systems</t>
  </si>
  <si>
    <t xml:space="preserve">Structural Framing</t>
  </si>
  <si>
    <t xml:space="preserve">Stairs / Balconies</t>
  </si>
  <si>
    <t xml:space="preserve">Bathroom Accessories</t>
  </si>
  <si>
    <t xml:space="preserve">Cabinets / Millwork - Restrooms</t>
  </si>
  <si>
    <t xml:space="preserve">Building 2 — Attachment to Form 3115 (DCN #7, Rev. Proc. 2024-23 §6.01)</t>
  </si>
  <si>
    <t xml:space="preserve">Building 3 — Attachment to Form 3115 (DCN #7, Rev. Proc. 2024-23 §6.01)</t>
  </si>
  <si>
    <t xml:space="preserve">Office — Attachment to Form 3115 (DCN #7, Rev. Proc. 2024-23 §6.01)</t>
  </si>
  <si>
    <t xml:space="preserve">Flooring - Carpet</t>
  </si>
  <si>
    <t xml:space="preserve">Interior Half Walls</t>
  </si>
  <si>
    <t xml:space="preserve">Specialty HVAC - Dryer Vents</t>
  </si>
  <si>
    <t xml:space="preserve">Specialty Plumbing - Breakroom Sink / Laundry</t>
  </si>
  <si>
    <t xml:space="preserve">Interior Windows</t>
  </si>
  <si>
    <t xml:space="preserve">Emergency Lighting</t>
  </si>
  <si>
    <t xml:space="preserve">Flooring - Sealed Concrete</t>
  </si>
  <si>
    <t xml:space="preserve">Building 5 — Attachment to Form 3115 (DCN #7, Rev. Proc. 2024-23 §6.01)</t>
  </si>
  <si>
    <t xml:space="preserve">Building 6 — Attachment to Form 3115 (DCN #7, Rev. Proc. 2024-23 §6.01)</t>
  </si>
  <si>
    <t xml:space="preserve">Building 7 — Attachment to Form 3115 (DCN #7, Rev. Proc. 2024-23 §6.01)</t>
  </si>
  <si>
    <t xml:space="preserve">Building 8 — Attachment to Form 3115 (DCN #7, Rev. Proc. 2024-23 §6.01)</t>
  </si>
  <si>
    <t xml:space="preserve">Building 9 — Attachment to Form 3115 (DCN #7, Rev. Proc. 2024-23 §6.01)</t>
  </si>
  <si>
    <t xml:space="preserve">Building 10 — Attachment to Form 3115 (DCN #7, Rev. Proc. 2024-23 §6.01)</t>
  </si>
  <si>
    <t xml:space="preserve">Building 11 — Attachment to Form 3115 (DCN #7, Rev. Proc. 2024-23 §6.01)</t>
  </si>
  <si>
    <t xml:space="preserve">Building 12 — Attachment to Form 3115 (DCN #7, Rev. Proc. 2024-23 §6.01)</t>
  </si>
  <si>
    <t xml:space="preserve">Building 13 — Attachment to Form 3115 (DCN #7, Rev. Proc. 2024-23 §6.01)</t>
  </si>
  <si>
    <t xml:space="preserve">Building 14 — Attachment to Form 3115 (DCN #7, Rev. Proc. 2024-23 §6.01)</t>
  </si>
  <si>
    <t xml:space="preserve">Building 15 — Attachment to Form 3115 (DCN #7, Rev. Proc. 2024-23 §6.01)</t>
  </si>
  <si>
    <t xml:space="preserve">Building 16 — Attachment to Form 3115 (DCN #7, Rev. Proc. 2024-23 §6.01)</t>
  </si>
  <si>
    <t xml:space="preserve">Building 17 — Attachment to Form 3115 (DCN #7, Rev. Proc. 2024-23 §6.01)</t>
  </si>
  <si>
    <t xml:space="preserve">Maintenance Building — Attachment to Form 3115 (DCN #7, Rev. Proc. 2024-23 §6.01)</t>
  </si>
  <si>
    <t xml:space="preserve">Raised Wood Paneling</t>
  </si>
  <si>
    <t xml:space="preserve">Flooring - Vinyl Tile</t>
  </si>
  <si>
    <t xml:space="preserve">Asset #15 — Attachment to Form 3115 (DCN #7, Rev. Proc. 2024-23 §6.01)</t>
  </si>
  <si>
    <t xml:space="preserve">15 - Building Improvements</t>
  </si>
  <si>
    <t xml:space="preserve">15 - Building Improvements - 5 year</t>
  </si>
  <si>
    <t xml:space="preserve">15 - Building Improvements - 30 year</t>
  </si>
  <si>
    <t xml:space="preserve">Security System</t>
  </si>
  <si>
    <t xml:space="preserve">Miscellaneous Building Components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</si>
</sst>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"/>
    <numFmt numFmtId="166" formatCode="#,##0.00;\(#,##0.00\)"/>
    <numFmt numFmtId="167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8"/>
      <color rgb="FF404040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i val="true"/>
      <sz val="9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2"/>
        <bgColor rgb="FFF2F2F2"/>
      </patternFill>
    </fill>
    <fill>
      <patternFill patternType="solid">
        <fgColor rgb="FFFCE4CF"/>
        <bgColor rgb="FFF2F2F2"/>
      </patternFill>
    </fill>
    <fill>
      <patternFill patternType="solid">
        <fgColor rgb="FFF2F2F2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double"/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C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14"/>
    <col collapsed="false" customWidth="true" hidden="false" outlineLevel="0" max="23" min="4" style="0" width="12.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3</v>
      </c>
    </row>
    <row r="5" customFormat="false" ht="15" hidden="false" customHeight="false" outlineLevel="0" collapsed="false">
      <c r="A5" s="4" t="s">
        <v>4</v>
      </c>
    </row>
    <row r="7" customFormat="false" ht="22.35" hidden="false" customHeight="false" outlineLevel="0" collapsed="false">
      <c r="A7" s="5" t="s">
        <v>5</v>
      </c>
      <c r="B7" s="5" t="s">
        <v>6</v>
      </c>
      <c r="C7" s="5" t="s">
        <v>7</v>
      </c>
      <c r="D7" s="5" t="s">
        <v>8</v>
      </c>
      <c r="E7" s="5" t="s">
        <v>9</v>
      </c>
      <c r="F7" s="5" t="s">
        <v>10</v>
      </c>
      <c r="G7" s="5" t="s">
        <v>11</v>
      </c>
      <c r="H7" s="5" t="s">
        <v>12</v>
      </c>
      <c r="I7" s="5" t="s">
        <v>13</v>
      </c>
      <c r="J7" s="5" t="s">
        <v>14</v>
      </c>
      <c r="K7" s="5" t="s">
        <v>15</v>
      </c>
      <c r="L7" s="5" t="s">
        <v>16</v>
      </c>
      <c r="M7" s="5" t="s">
        <v>17</v>
      </c>
      <c r="N7" s="5" t="s">
        <v>18</v>
      </c>
      <c r="O7" s="5" t="s">
        <v>19</v>
      </c>
      <c r="P7" s="5" t="s">
        <v>20</v>
      </c>
      <c r="Q7" s="5" t="s">
        <v>21</v>
      </c>
      <c r="R7" s="5" t="s">
        <v>22</v>
      </c>
      <c r="S7" s="5" t="s">
        <v>23</v>
      </c>
      <c r="T7" s="5" t="s">
        <v>24</v>
      </c>
      <c r="U7" s="5" t="s">
        <v>25</v>
      </c>
      <c r="V7" s="5" t="s">
        <v>26</v>
      </c>
      <c r="W7" s="5" t="s">
        <v>27</v>
      </c>
    </row>
    <row r="8" customFormat="false" ht="15" hidden="false" customHeight="false" outlineLevel="0" collapsed="false">
      <c r="A8" s="6" t="s">
        <v>28</v>
      </c>
      <c r="B8" s="6" t="s">
        <v>29</v>
      </c>
      <c r="C8" s="7" t="n">
        <f aca="false">SUM(D8:W8)</f>
        <v>10818</v>
      </c>
      <c r="D8" s="7" t="n">
        <f aca="false">Site!$D$10</f>
        <v>1183.32</v>
      </c>
      <c r="E8" s="7" t="n">
        <f aca="false">Office!$D$10</f>
        <v>262.41</v>
      </c>
      <c r="F8" s="7" t="n">
        <f aca="false">'Building 1'!$D$10</f>
        <v>662.06</v>
      </c>
      <c r="G8" s="7" t="n">
        <f aca="false">'Building 2'!$D$10</f>
        <v>662.06</v>
      </c>
      <c r="H8" s="7" t="n">
        <f aca="false">'Building 3'!$D$10</f>
        <v>662.06</v>
      </c>
      <c r="I8" s="7" t="n">
        <f aca="false">'Building 5'!$D$10</f>
        <v>479.53</v>
      </c>
      <c r="J8" s="7" t="n">
        <f aca="false">'Building 6'!$D$10</f>
        <v>750.82</v>
      </c>
      <c r="K8" s="7" t="n">
        <f aca="false">'Building 7'!$D$10</f>
        <v>750.82</v>
      </c>
      <c r="L8" s="7" t="n">
        <f aca="false">'Building 8'!$D$10</f>
        <v>479.53</v>
      </c>
      <c r="M8" s="7" t="n">
        <f aca="false">'Building 9'!$D$10</f>
        <v>750.82</v>
      </c>
      <c r="N8" s="7" t="n">
        <f aca="false">'Building 10'!$D$10</f>
        <v>750.82</v>
      </c>
      <c r="O8" s="7" t="n">
        <f aca="false">'Building 11'!$D$10</f>
        <v>662.06</v>
      </c>
      <c r="P8" s="7" t="n">
        <f aca="false">'Building 12'!$D$10</f>
        <v>479.53</v>
      </c>
      <c r="Q8" s="7" t="n">
        <f aca="false">'Building 13'!$D$10</f>
        <v>479.53</v>
      </c>
      <c r="R8" s="7" t="n">
        <f aca="false">'Building 14'!$D$10</f>
        <v>407.79</v>
      </c>
      <c r="S8" s="7" t="n">
        <f aca="false">'Building 15'!$D$10</f>
        <v>316.3</v>
      </c>
      <c r="T8" s="7" t="n">
        <f aca="false">'Building 16'!$D$10</f>
        <v>316.3</v>
      </c>
      <c r="U8" s="7" t="n">
        <f aca="false">'Building 17'!$D$10</f>
        <v>750.82</v>
      </c>
      <c r="V8" s="7" t="n">
        <f aca="false">'Maintenance Building'!$D$10</f>
        <v>11.42</v>
      </c>
      <c r="W8" s="7"/>
    </row>
    <row r="9" customFormat="false" ht="15" hidden="false" customHeight="false" outlineLevel="0" collapsed="false">
      <c r="A9" s="6" t="s">
        <v>30</v>
      </c>
      <c r="B9" s="6" t="s">
        <v>31</v>
      </c>
      <c r="C9" s="7" t="n">
        <f aca="false">SUM(D9:W9)</f>
        <v>3219130</v>
      </c>
      <c r="D9" s="7" t="n">
        <f aca="false">Site!$D$11</f>
        <v>352122.24</v>
      </c>
      <c r="E9" s="7" t="n">
        <f aca="false">Office!$D$11</f>
        <v>78086.63</v>
      </c>
      <c r="F9" s="7" t="n">
        <f aca="false">'Building 1'!$D$11</f>
        <v>197009.25</v>
      </c>
      <c r="G9" s="7" t="n">
        <f aca="false">'Building 2'!$D$11</f>
        <v>197009.25</v>
      </c>
      <c r="H9" s="7" t="n">
        <f aca="false">'Building 3'!$D$11</f>
        <v>197009.25</v>
      </c>
      <c r="I9" s="7" t="n">
        <f aca="false">'Building 5'!$D$11</f>
        <v>142694.3</v>
      </c>
      <c r="J9" s="7" t="n">
        <f aca="false">'Building 6'!$D$11</f>
        <v>223422.8</v>
      </c>
      <c r="K9" s="7" t="n">
        <f aca="false">'Building 7'!$D$11</f>
        <v>223422.8</v>
      </c>
      <c r="L9" s="7" t="n">
        <f aca="false">'Building 8'!$D$11</f>
        <v>142694.3</v>
      </c>
      <c r="M9" s="7" t="n">
        <f aca="false">'Building 9'!$D$11</f>
        <v>223422.8</v>
      </c>
      <c r="N9" s="7" t="n">
        <f aca="false">'Building 10'!$D$11</f>
        <v>223422.8</v>
      </c>
      <c r="O9" s="7" t="n">
        <f aca="false">'Building 11'!$D$11</f>
        <v>197009.25</v>
      </c>
      <c r="P9" s="7" t="n">
        <f aca="false">'Building 12'!$D$11</f>
        <v>142694.3</v>
      </c>
      <c r="Q9" s="7" t="n">
        <f aca="false">'Building 13'!$D$11</f>
        <v>142694.3</v>
      </c>
      <c r="R9" s="7" t="n">
        <f aca="false">'Building 14'!$D$11</f>
        <v>121347</v>
      </c>
      <c r="S9" s="7" t="n">
        <f aca="false">'Building 15'!$D$11</f>
        <v>94123.92</v>
      </c>
      <c r="T9" s="7" t="n">
        <f aca="false">'Building 16'!$D$11</f>
        <v>94123.92</v>
      </c>
      <c r="U9" s="7" t="n">
        <f aca="false">'Building 17'!$D$11</f>
        <v>223422.8</v>
      </c>
      <c r="V9" s="7" t="n">
        <f aca="false">'Maintenance Building'!$D$11</f>
        <v>3398.09</v>
      </c>
      <c r="W9" s="7"/>
    </row>
    <row r="10" customFormat="false" ht="15" hidden="false" customHeight="false" outlineLevel="0" collapsed="false">
      <c r="A10" s="6" t="s">
        <v>30</v>
      </c>
      <c r="B10" s="6" t="s">
        <v>32</v>
      </c>
      <c r="C10" s="7" t="n">
        <f aca="false">SUM(D10:W10)</f>
        <v>200000</v>
      </c>
      <c r="D10" s="7" t="n">
        <f aca="false">Site!$D$12</f>
        <v>21876.86</v>
      </c>
      <c r="E10" s="7" t="n">
        <f aca="false">Office!$D$12</f>
        <v>4851.41</v>
      </c>
      <c r="F10" s="7" t="n">
        <f aca="false">'Building 1'!$D$12</f>
        <v>12239.91</v>
      </c>
      <c r="G10" s="7" t="n">
        <f aca="false">'Building 2'!$D$12</f>
        <v>12239.91</v>
      </c>
      <c r="H10" s="7" t="n">
        <f aca="false">'Building 3'!$D$12</f>
        <v>12239.91</v>
      </c>
      <c r="I10" s="7" t="n">
        <f aca="false">'Building 5'!$D$12</f>
        <v>8865.4</v>
      </c>
      <c r="J10" s="7" t="n">
        <f aca="false">'Building 6'!$D$12</f>
        <v>13880.94</v>
      </c>
      <c r="K10" s="7" t="n">
        <f aca="false">'Building 7'!$D$12</f>
        <v>13880.94</v>
      </c>
      <c r="L10" s="7" t="n">
        <f aca="false">'Building 8'!$D$12</f>
        <v>8865.4</v>
      </c>
      <c r="M10" s="7" t="n">
        <f aca="false">'Building 9'!$D$12</f>
        <v>13880.94</v>
      </c>
      <c r="N10" s="7" t="n">
        <f aca="false">'Building 10'!$D$12</f>
        <v>13880.94</v>
      </c>
      <c r="O10" s="7" t="n">
        <f aca="false">'Building 11'!$D$12</f>
        <v>12239.91</v>
      </c>
      <c r="P10" s="7" t="n">
        <f aca="false">'Building 12'!$D$12</f>
        <v>8865.4</v>
      </c>
      <c r="Q10" s="7" t="n">
        <f aca="false">'Building 13'!$D$12</f>
        <v>8865.4</v>
      </c>
      <c r="R10" s="7" t="n">
        <f aca="false">'Building 14'!$D$12</f>
        <v>7539.11</v>
      </c>
      <c r="S10" s="7" t="n">
        <f aca="false">'Building 15'!$D$12</f>
        <v>5847.79</v>
      </c>
      <c r="T10" s="7" t="n">
        <f aca="false">'Building 16'!$D$12</f>
        <v>5847.79</v>
      </c>
      <c r="U10" s="7" t="n">
        <f aca="false">'Building 17'!$D$12</f>
        <v>13880.94</v>
      </c>
      <c r="V10" s="7" t="n">
        <f aca="false">'Maintenance Building'!$D$12</f>
        <v>211.1</v>
      </c>
      <c r="W10" s="7"/>
    </row>
    <row r="11" customFormat="false" ht="15" hidden="false" customHeight="false" outlineLevel="0" collapsed="false">
      <c r="A11" s="6" t="s">
        <v>30</v>
      </c>
      <c r="B11" s="6" t="s">
        <v>33</v>
      </c>
      <c r="C11" s="7" t="n">
        <f aca="false">SUM(D11:W11)</f>
        <v>400000</v>
      </c>
      <c r="D11" s="7" t="n">
        <f aca="false">Site!$D$13</f>
        <v>43753.71</v>
      </c>
      <c r="E11" s="7" t="n">
        <f aca="false">Office!$D$13</f>
        <v>9702.83</v>
      </c>
      <c r="F11" s="7" t="n">
        <f aca="false">'Building 1'!$D$13</f>
        <v>24479.81</v>
      </c>
      <c r="G11" s="7" t="n">
        <f aca="false">'Building 2'!$D$13</f>
        <v>24479.81</v>
      </c>
      <c r="H11" s="7" t="n">
        <f aca="false">'Building 3'!$D$13</f>
        <v>24479.81</v>
      </c>
      <c r="I11" s="7" t="n">
        <f aca="false">'Building 5'!$D$13</f>
        <v>17730.79</v>
      </c>
      <c r="J11" s="7" t="n">
        <f aca="false">'Building 6'!$D$13</f>
        <v>27761.89</v>
      </c>
      <c r="K11" s="7" t="n">
        <f aca="false">'Building 7'!$D$13</f>
        <v>27761.89</v>
      </c>
      <c r="L11" s="7" t="n">
        <f aca="false">'Building 8'!$D$13</f>
        <v>17730.79</v>
      </c>
      <c r="M11" s="7" t="n">
        <f aca="false">'Building 9'!$D$13</f>
        <v>27761.89</v>
      </c>
      <c r="N11" s="7" t="n">
        <f aca="false">'Building 10'!$D$13</f>
        <v>27761.89</v>
      </c>
      <c r="O11" s="7" t="n">
        <f aca="false">'Building 11'!$D$13</f>
        <v>24479.81</v>
      </c>
      <c r="P11" s="7" t="n">
        <f aca="false">'Building 12'!$D$13</f>
        <v>17730.79</v>
      </c>
      <c r="Q11" s="7" t="n">
        <f aca="false">'Building 13'!$D$13</f>
        <v>17730.79</v>
      </c>
      <c r="R11" s="7" t="n">
        <f aca="false">'Building 14'!$D$13</f>
        <v>15078.24</v>
      </c>
      <c r="S11" s="7" t="n">
        <f aca="false">'Building 15'!$D$13</f>
        <v>11695.57</v>
      </c>
      <c r="T11" s="7" t="n">
        <f aca="false">'Building 16'!$D$13</f>
        <v>11695.57</v>
      </c>
      <c r="U11" s="7" t="n">
        <f aca="false">'Building 17'!$D$13</f>
        <v>27761.89</v>
      </c>
      <c r="V11" s="7" t="n">
        <f aca="false">'Maintenance Building'!$D$13</f>
        <v>422.23</v>
      </c>
      <c r="W11" s="7"/>
    </row>
    <row r="12" customFormat="false" ht="15" hidden="false" customHeight="false" outlineLevel="0" collapsed="false">
      <c r="A12" s="6" t="s">
        <v>34</v>
      </c>
      <c r="B12" s="6" t="s">
        <v>35</v>
      </c>
      <c r="C12" s="7" t="n">
        <f aca="false">SUM(D12:W12)</f>
        <v>87540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 t="n">
        <f aca="false">'Asset #15'!$D$10</f>
        <v>87540</v>
      </c>
    </row>
    <row r="13" customFormat="false" ht="15" hidden="false" customHeight="false" outlineLevel="0" collapsed="false">
      <c r="A13" s="8"/>
      <c r="B13" s="9" t="s">
        <v>36</v>
      </c>
      <c r="C13" s="10" t="n">
        <f aca="false">SUM(C8:C12)</f>
        <v>3917488</v>
      </c>
      <c r="D13" s="10" t="n">
        <f aca="false">SUM(D8:D12)</f>
        <v>418936.13</v>
      </c>
      <c r="E13" s="10" t="n">
        <f aca="false">SUM(E8:E12)</f>
        <v>92903.28</v>
      </c>
      <c r="F13" s="10" t="n">
        <f aca="false">SUM(F8:F12)</f>
        <v>234391.03</v>
      </c>
      <c r="G13" s="10" t="n">
        <f aca="false">SUM(G8:G12)</f>
        <v>234391.03</v>
      </c>
      <c r="H13" s="10" t="n">
        <f aca="false">SUM(H8:H12)</f>
        <v>234391.03</v>
      </c>
      <c r="I13" s="10" t="n">
        <f aca="false">SUM(I8:I12)</f>
        <v>169770.02</v>
      </c>
      <c r="J13" s="10" t="n">
        <f aca="false">SUM(J8:J12)</f>
        <v>265816.45</v>
      </c>
      <c r="K13" s="10" t="n">
        <f aca="false">SUM(K8:K12)</f>
        <v>265816.45</v>
      </c>
      <c r="L13" s="10" t="n">
        <f aca="false">SUM(L8:L12)</f>
        <v>169770.02</v>
      </c>
      <c r="M13" s="10" t="n">
        <f aca="false">SUM(M8:M12)</f>
        <v>265816.45</v>
      </c>
      <c r="N13" s="10" t="n">
        <f aca="false">SUM(N8:N12)</f>
        <v>265816.45</v>
      </c>
      <c r="O13" s="10" t="n">
        <f aca="false">SUM(O8:O12)</f>
        <v>234391.03</v>
      </c>
      <c r="P13" s="10" t="n">
        <f aca="false">SUM(P8:P12)</f>
        <v>169770.02</v>
      </c>
      <c r="Q13" s="10" t="n">
        <f aca="false">SUM(Q8:Q12)</f>
        <v>169770.02</v>
      </c>
      <c r="R13" s="10" t="n">
        <f aca="false">SUM(R8:R12)</f>
        <v>144372.14</v>
      </c>
      <c r="S13" s="10" t="n">
        <f aca="false">SUM(S8:S12)</f>
        <v>111983.58</v>
      </c>
      <c r="T13" s="10" t="n">
        <f aca="false">SUM(T8:T12)</f>
        <v>111983.58</v>
      </c>
      <c r="U13" s="10" t="n">
        <f aca="false">SUM(U8:U12)</f>
        <v>265816.45</v>
      </c>
      <c r="V13" s="10" t="n">
        <f aca="false">SUM(V8:V12)</f>
        <v>4042.84</v>
      </c>
      <c r="W13" s="10" t="n">
        <f aca="false">SUM(W8:W12)</f>
        <v>87540</v>
      </c>
    </row>
    <row r="15" customFormat="false" ht="15" hidden="false" customHeight="false" outlineLevel="0" collapsed="false">
      <c r="B15" s="11" t="s">
        <v>37</v>
      </c>
    </row>
    <row r="16" customFormat="false" ht="15" hidden="false" customHeight="false" outlineLevel="0" collapsed="false">
      <c r="B16" s="6" t="s">
        <v>38</v>
      </c>
      <c r="C16" s="7" t="n">
        <f aca="false">SUM(D16:W16)</f>
        <v>1954.79</v>
      </c>
      <c r="D16" s="7"/>
      <c r="E16" s="7" t="n">
        <f aca="false">Office!$D$18</f>
        <v>53.44</v>
      </c>
      <c r="F16" s="7" t="n">
        <f aca="false">'Building 1'!$D$18</f>
        <v>137.19</v>
      </c>
      <c r="G16" s="7" t="n">
        <f aca="false">'Building 2'!$D$18</f>
        <v>137.19</v>
      </c>
      <c r="H16" s="7" t="n">
        <f aca="false">'Building 3'!$D$18</f>
        <v>137.19</v>
      </c>
      <c r="I16" s="7" t="n">
        <f aca="false">'Building 5'!$D$18</f>
        <v>89.94</v>
      </c>
      <c r="J16" s="7" t="n">
        <f aca="false">'Building 6'!$D$18</f>
        <v>157.52</v>
      </c>
      <c r="K16" s="7" t="n">
        <f aca="false">'Building 7'!$D$18</f>
        <v>157.52</v>
      </c>
      <c r="L16" s="7" t="n">
        <f aca="false">'Building 8'!$D$18</f>
        <v>89.94</v>
      </c>
      <c r="M16" s="7" t="n">
        <f aca="false">'Building 9'!$D$18</f>
        <v>157.52</v>
      </c>
      <c r="N16" s="7" t="n">
        <f aca="false">'Building 10'!$D$18</f>
        <v>157.52</v>
      </c>
      <c r="O16" s="7" t="n">
        <f aca="false">'Building 11'!$D$18</f>
        <v>137.19</v>
      </c>
      <c r="P16" s="7" t="n">
        <f aca="false">'Building 12'!$D$18</f>
        <v>89.94</v>
      </c>
      <c r="Q16" s="7" t="n">
        <f aca="false">'Building 13'!$D$18</f>
        <v>89.94</v>
      </c>
      <c r="R16" s="7" t="n">
        <f aca="false">'Building 14'!$D$18</f>
        <v>77.21</v>
      </c>
      <c r="S16" s="7" t="n">
        <f aca="false">'Building 15'!$D$18</f>
        <v>63.33</v>
      </c>
      <c r="T16" s="7" t="n">
        <f aca="false">'Building 16'!$D$18</f>
        <v>63.33</v>
      </c>
      <c r="U16" s="7" t="n">
        <f aca="false">'Building 17'!$D$18</f>
        <v>157.52</v>
      </c>
      <c r="V16" s="7" t="n">
        <f aca="false">'Maintenance Building'!$D$18</f>
        <v>1.36</v>
      </c>
      <c r="W16" s="7"/>
    </row>
    <row r="17" customFormat="false" ht="15" hidden="false" customHeight="false" outlineLevel="0" collapsed="false">
      <c r="B17" s="6" t="s">
        <v>39</v>
      </c>
      <c r="C17" s="7" t="n">
        <f aca="false">SUM(D17:W17)</f>
        <v>802.92</v>
      </c>
      <c r="D17" s="7" t="n">
        <f aca="false">Site!$D$18</f>
        <v>802.92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customFormat="false" ht="15" hidden="false" customHeight="false" outlineLevel="0" collapsed="false">
      <c r="B18" s="6" t="s">
        <v>40</v>
      </c>
      <c r="C18" s="7" t="n">
        <f aca="false">SUM(D18:W18)</f>
        <v>8060.29</v>
      </c>
      <c r="D18" s="7" t="n">
        <f aca="false">Site!$D$19</f>
        <v>380.4</v>
      </c>
      <c r="E18" s="7" t="n">
        <f aca="false">Office!$D$19</f>
        <v>208.97</v>
      </c>
      <c r="F18" s="7" t="n">
        <f aca="false">'Building 1'!$D$19</f>
        <v>524.87</v>
      </c>
      <c r="G18" s="7" t="n">
        <f aca="false">'Building 2'!$D$19</f>
        <v>524.87</v>
      </c>
      <c r="H18" s="7" t="n">
        <f aca="false">'Building 3'!$D$19</f>
        <v>524.87</v>
      </c>
      <c r="I18" s="7" t="n">
        <f aca="false">'Building 5'!$D$19</f>
        <v>389.59</v>
      </c>
      <c r="J18" s="7" t="n">
        <f aca="false">'Building 6'!$D$19</f>
        <v>593.3</v>
      </c>
      <c r="K18" s="7" t="n">
        <f aca="false">'Building 7'!$D$19</f>
        <v>593.3</v>
      </c>
      <c r="L18" s="7" t="n">
        <f aca="false">'Building 8'!$D$19</f>
        <v>389.59</v>
      </c>
      <c r="M18" s="7" t="n">
        <f aca="false">'Building 9'!$D$19</f>
        <v>593.3</v>
      </c>
      <c r="N18" s="7" t="n">
        <f aca="false">'Building 10'!$D$19</f>
        <v>593.3</v>
      </c>
      <c r="O18" s="7" t="n">
        <f aca="false">'Building 11'!$D$19</f>
        <v>524.87</v>
      </c>
      <c r="P18" s="7" t="n">
        <f aca="false">'Building 12'!$D$19</f>
        <v>389.59</v>
      </c>
      <c r="Q18" s="7" t="n">
        <f aca="false">'Building 13'!$D$19</f>
        <v>389.59</v>
      </c>
      <c r="R18" s="7" t="n">
        <f aca="false">'Building 14'!$D$19</f>
        <v>330.58</v>
      </c>
      <c r="S18" s="7" t="n">
        <f aca="false">'Building 15'!$D$19</f>
        <v>252.97</v>
      </c>
      <c r="T18" s="7" t="n">
        <f aca="false">'Building 16'!$D$19</f>
        <v>252.97</v>
      </c>
      <c r="U18" s="7" t="n">
        <f aca="false">'Building 17'!$D$19</f>
        <v>593.3</v>
      </c>
      <c r="V18" s="7" t="n">
        <f aca="false">'Maintenance Building'!$D$19</f>
        <v>10.06</v>
      </c>
      <c r="W18" s="7"/>
    </row>
    <row r="19" customFormat="false" ht="15" hidden="false" customHeight="false" outlineLevel="0" collapsed="false">
      <c r="B19" s="6" t="s">
        <v>41</v>
      </c>
      <c r="C19" s="7" t="n">
        <f aca="false">SUM(D19:W19)</f>
        <v>581688.28</v>
      </c>
      <c r="D19" s="7"/>
      <c r="E19" s="7" t="n">
        <f aca="false">Office!$D$20</f>
        <v>15901.52</v>
      </c>
      <c r="F19" s="7" t="n">
        <f aca="false">'Building 1'!$D$20</f>
        <v>40824.27</v>
      </c>
      <c r="G19" s="7" t="n">
        <f aca="false">'Building 2'!$D$20</f>
        <v>40824.27</v>
      </c>
      <c r="H19" s="7" t="n">
        <f aca="false">'Building 3'!$D$20</f>
        <v>40824.27</v>
      </c>
      <c r="I19" s="7" t="n">
        <f aca="false">'Building 5'!$D$20</f>
        <v>26763.65</v>
      </c>
      <c r="J19" s="7" t="n">
        <f aca="false">'Building 6'!$D$20</f>
        <v>46872.91</v>
      </c>
      <c r="K19" s="7" t="n">
        <f aca="false">'Building 7'!$D$20</f>
        <v>46872.91</v>
      </c>
      <c r="L19" s="7" t="n">
        <f aca="false">'Building 8'!$D$20</f>
        <v>26763.65</v>
      </c>
      <c r="M19" s="7" t="n">
        <f aca="false">'Building 9'!$D$20</f>
        <v>46872.91</v>
      </c>
      <c r="N19" s="7" t="n">
        <f aca="false">'Building 10'!$D$20</f>
        <v>46872.91</v>
      </c>
      <c r="O19" s="7" t="n">
        <f aca="false">'Building 11'!$D$20</f>
        <v>40824.27</v>
      </c>
      <c r="P19" s="7" t="n">
        <f aca="false">'Building 12'!$D$20</f>
        <v>26763.65</v>
      </c>
      <c r="Q19" s="7" t="n">
        <f aca="false">'Building 13'!$D$20</f>
        <v>26763.65</v>
      </c>
      <c r="R19" s="7" t="n">
        <f aca="false">'Building 14'!$D$20</f>
        <v>22974.45</v>
      </c>
      <c r="S19" s="7" t="n">
        <f aca="false">'Building 15'!$D$20</f>
        <v>18845.76</v>
      </c>
      <c r="T19" s="7" t="n">
        <f aca="false">'Building 16'!$D$20</f>
        <v>18845.76</v>
      </c>
      <c r="U19" s="7" t="n">
        <f aca="false">'Building 17'!$D$20</f>
        <v>46872.91</v>
      </c>
      <c r="V19" s="7" t="n">
        <f aca="false">'Maintenance Building'!$D$20</f>
        <v>404.56</v>
      </c>
      <c r="W19" s="7"/>
    </row>
    <row r="20" customFormat="false" ht="15" hidden="false" customHeight="false" outlineLevel="0" collapsed="false">
      <c r="B20" s="6" t="s">
        <v>42</v>
      </c>
      <c r="C20" s="7" t="n">
        <f aca="false">SUM(D20:W20)</f>
        <v>238926.62</v>
      </c>
      <c r="D20" s="7" t="n">
        <f aca="false">Site!$D$20</f>
        <v>238926.62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customFormat="false" ht="15" hidden="false" customHeight="false" outlineLevel="0" collapsed="false">
      <c r="B21" s="6" t="s">
        <v>43</v>
      </c>
      <c r="C21" s="7" t="n">
        <f aca="false">SUM(D21:W21)</f>
        <v>2398515.1</v>
      </c>
      <c r="D21" s="7" t="n">
        <f aca="false">Site!$D$21</f>
        <v>113195.62</v>
      </c>
      <c r="E21" s="7" t="n">
        <f aca="false">Office!$D$21</f>
        <v>62185.11</v>
      </c>
      <c r="F21" s="7" t="n">
        <f aca="false">'Building 1'!$D$21</f>
        <v>156184.98</v>
      </c>
      <c r="G21" s="7" t="n">
        <f aca="false">'Building 2'!$D$21</f>
        <v>156184.98</v>
      </c>
      <c r="H21" s="7" t="n">
        <f aca="false">'Building 3'!$D$21</f>
        <v>156184.98</v>
      </c>
      <c r="I21" s="7" t="n">
        <f aca="false">'Building 5'!$D$21</f>
        <v>115930.65</v>
      </c>
      <c r="J21" s="7" t="n">
        <f aca="false">'Building 6'!$D$21</f>
        <v>176549.89</v>
      </c>
      <c r="K21" s="7" t="n">
        <f aca="false">'Building 7'!$D$21</f>
        <v>176549.89</v>
      </c>
      <c r="L21" s="7" t="n">
        <f aca="false">'Building 8'!$D$21</f>
        <v>115930.65</v>
      </c>
      <c r="M21" s="7" t="n">
        <f aca="false">'Building 9'!$D$21</f>
        <v>176549.89</v>
      </c>
      <c r="N21" s="7" t="n">
        <f aca="false">'Building 10'!$D$21</f>
        <v>176549.89</v>
      </c>
      <c r="O21" s="7" t="n">
        <f aca="false">'Building 11'!$D$21</f>
        <v>156184.98</v>
      </c>
      <c r="P21" s="7" t="n">
        <f aca="false">'Building 12'!$D$21</f>
        <v>115930.65</v>
      </c>
      <c r="Q21" s="7" t="n">
        <f aca="false">'Building 13'!$D$21</f>
        <v>115930.65</v>
      </c>
      <c r="R21" s="7" t="n">
        <f aca="false">'Building 14'!$D$21</f>
        <v>98372.55</v>
      </c>
      <c r="S21" s="7" t="n">
        <f aca="false">'Building 15'!$D$21</f>
        <v>75278.16</v>
      </c>
      <c r="T21" s="7" t="n">
        <f aca="false">'Building 16'!$D$21</f>
        <v>75278.16</v>
      </c>
      <c r="U21" s="7" t="n">
        <f aca="false">'Building 17'!$D$21</f>
        <v>176549.89</v>
      </c>
      <c r="V21" s="7" t="n">
        <f aca="false">'Maintenance Building'!$D$21</f>
        <v>2993.53</v>
      </c>
      <c r="W21" s="7"/>
    </row>
    <row r="22" customFormat="false" ht="15" hidden="false" customHeight="false" outlineLevel="0" collapsed="false">
      <c r="B22" s="6" t="s">
        <v>44</v>
      </c>
      <c r="C22" s="7" t="n">
        <f aca="false">SUM(D22:W22)</f>
        <v>36139.47</v>
      </c>
      <c r="D22" s="7"/>
      <c r="E22" s="7" t="n">
        <f aca="false">Office!$D$22</f>
        <v>987.94</v>
      </c>
      <c r="F22" s="7" t="n">
        <f aca="false">'Building 1'!$D$22</f>
        <v>2536.35</v>
      </c>
      <c r="G22" s="7" t="n">
        <f aca="false">'Building 2'!$D$22</f>
        <v>2536.35</v>
      </c>
      <c r="H22" s="7" t="n">
        <f aca="false">'Building 3'!$D$22</f>
        <v>2536.35</v>
      </c>
      <c r="I22" s="7" t="n">
        <f aca="false">'Building 5'!$D$22</f>
        <v>1662.79</v>
      </c>
      <c r="J22" s="7" t="n">
        <f aca="false">'Building 6'!$D$22</f>
        <v>2912.15</v>
      </c>
      <c r="K22" s="7" t="n">
        <f aca="false">'Building 7'!$D$22</f>
        <v>2912.15</v>
      </c>
      <c r="L22" s="7" t="n">
        <f aca="false">'Building 8'!$D$22</f>
        <v>1662.79</v>
      </c>
      <c r="M22" s="7" t="n">
        <f aca="false">'Building 9'!$D$22</f>
        <v>2912.15</v>
      </c>
      <c r="N22" s="7" t="n">
        <f aca="false">'Building 10'!$D$22</f>
        <v>2912.15</v>
      </c>
      <c r="O22" s="7" t="n">
        <f aca="false">'Building 11'!$D$22</f>
        <v>2536.35</v>
      </c>
      <c r="P22" s="7" t="n">
        <f aca="false">'Building 12'!$D$22</f>
        <v>1662.79</v>
      </c>
      <c r="Q22" s="7" t="n">
        <f aca="false">'Building 13'!$D$22</f>
        <v>1662.79</v>
      </c>
      <c r="R22" s="7" t="n">
        <f aca="false">'Building 14'!$D$22</f>
        <v>1427.37</v>
      </c>
      <c r="S22" s="7" t="n">
        <f aca="false">'Building 15'!$D$22</f>
        <v>1170.86</v>
      </c>
      <c r="T22" s="7" t="n">
        <f aca="false">'Building 16'!$D$22</f>
        <v>1170.86</v>
      </c>
      <c r="U22" s="7" t="n">
        <f aca="false">'Building 17'!$D$22</f>
        <v>2912.15</v>
      </c>
      <c r="V22" s="7" t="n">
        <f aca="false">'Maintenance Building'!$D$22</f>
        <v>25.13</v>
      </c>
      <c r="W22" s="7"/>
    </row>
    <row r="23" customFormat="false" ht="15" hidden="false" customHeight="false" outlineLevel="0" collapsed="false">
      <c r="B23" s="6" t="s">
        <v>45</v>
      </c>
      <c r="C23" s="7" t="n">
        <f aca="false">SUM(D23:W23)</f>
        <v>14844.18</v>
      </c>
      <c r="D23" s="7" t="n">
        <f aca="false">Site!$D$22</f>
        <v>14844.18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customFormat="false" ht="15" hidden="false" customHeight="false" outlineLevel="0" collapsed="false">
      <c r="B24" s="6" t="s">
        <v>46</v>
      </c>
      <c r="C24" s="7" t="n">
        <f aca="false">SUM(D24:W24)</f>
        <v>149016.35</v>
      </c>
      <c r="D24" s="7" t="n">
        <f aca="false">Site!$D$23</f>
        <v>7032.68</v>
      </c>
      <c r="E24" s="7" t="n">
        <f aca="false">Office!$D$23</f>
        <v>3863.47</v>
      </c>
      <c r="F24" s="7" t="n">
        <f aca="false">'Building 1'!$D$23</f>
        <v>9703.56</v>
      </c>
      <c r="G24" s="7" t="n">
        <f aca="false">'Building 2'!$D$23</f>
        <v>9703.56</v>
      </c>
      <c r="H24" s="7" t="n">
        <f aca="false">'Building 3'!$D$23</f>
        <v>9703.56</v>
      </c>
      <c r="I24" s="7" t="n">
        <f aca="false">'Building 5'!$D$23</f>
        <v>7202.61</v>
      </c>
      <c r="J24" s="7" t="n">
        <f aca="false">'Building 6'!$D$23</f>
        <v>10968.79</v>
      </c>
      <c r="K24" s="7" t="n">
        <f aca="false">'Building 7'!$D$23</f>
        <v>10968.79</v>
      </c>
      <c r="L24" s="7" t="n">
        <f aca="false">'Building 8'!$D$23</f>
        <v>7202.61</v>
      </c>
      <c r="M24" s="7" t="n">
        <f aca="false">'Building 9'!$D$23</f>
        <v>10968.79</v>
      </c>
      <c r="N24" s="7" t="n">
        <f aca="false">'Building 10'!$D$23</f>
        <v>10968.79</v>
      </c>
      <c r="O24" s="7" t="n">
        <f aca="false">'Building 11'!$D$23</f>
        <v>9703.56</v>
      </c>
      <c r="P24" s="7" t="n">
        <f aca="false">'Building 12'!$D$23</f>
        <v>7202.61</v>
      </c>
      <c r="Q24" s="7" t="n">
        <f aca="false">'Building 13'!$D$23</f>
        <v>7202.61</v>
      </c>
      <c r="R24" s="7" t="n">
        <f aca="false">'Building 14'!$D$23</f>
        <v>6111.74</v>
      </c>
      <c r="S24" s="7" t="n">
        <f aca="false">'Building 15'!$D$23</f>
        <v>4676.93</v>
      </c>
      <c r="T24" s="7" t="n">
        <f aca="false">'Building 16'!$D$23</f>
        <v>4676.93</v>
      </c>
      <c r="U24" s="7" t="n">
        <f aca="false">'Building 17'!$D$23</f>
        <v>10968.79</v>
      </c>
      <c r="V24" s="7" t="n">
        <f aca="false">'Maintenance Building'!$D$23</f>
        <v>185.97</v>
      </c>
      <c r="W24" s="7"/>
    </row>
    <row r="25" customFormat="false" ht="15" hidden="false" customHeight="false" outlineLevel="0" collapsed="false">
      <c r="B25" s="6" t="s">
        <v>47</v>
      </c>
      <c r="C25" s="7" t="n">
        <f aca="false">SUM(D25:W25)</f>
        <v>72278.9</v>
      </c>
      <c r="D25" s="7"/>
      <c r="E25" s="7" t="n">
        <f aca="false">Office!$D$24</f>
        <v>1975.88</v>
      </c>
      <c r="F25" s="7" t="n">
        <f aca="false">'Building 1'!$D$24</f>
        <v>5072.71</v>
      </c>
      <c r="G25" s="7" t="n">
        <f aca="false">'Building 2'!$D$24</f>
        <v>5072.71</v>
      </c>
      <c r="H25" s="7" t="n">
        <f aca="false">'Building 3'!$D$24</f>
        <v>5072.71</v>
      </c>
      <c r="I25" s="7" t="n">
        <f aca="false">'Building 5'!$D$24</f>
        <v>3325.57</v>
      </c>
      <c r="J25" s="7" t="n">
        <f aca="false">'Building 6'!$D$24</f>
        <v>5824.29</v>
      </c>
      <c r="K25" s="7" t="n">
        <f aca="false">'Building 7'!$D$24</f>
        <v>5824.29</v>
      </c>
      <c r="L25" s="7" t="n">
        <f aca="false">'Building 8'!$D$24</f>
        <v>3325.57</v>
      </c>
      <c r="M25" s="7" t="n">
        <f aca="false">'Building 9'!$D$24</f>
        <v>5824.29</v>
      </c>
      <c r="N25" s="7" t="n">
        <f aca="false">'Building 10'!$D$24</f>
        <v>5824.29</v>
      </c>
      <c r="O25" s="7" t="n">
        <f aca="false">'Building 11'!$D$24</f>
        <v>5072.71</v>
      </c>
      <c r="P25" s="7" t="n">
        <f aca="false">'Building 12'!$D$24</f>
        <v>3325.57</v>
      </c>
      <c r="Q25" s="7" t="n">
        <f aca="false">'Building 13'!$D$24</f>
        <v>3325.57</v>
      </c>
      <c r="R25" s="7" t="n">
        <f aca="false">'Building 14'!$D$24</f>
        <v>2854.74</v>
      </c>
      <c r="S25" s="7" t="n">
        <f aca="false">'Building 15'!$D$24</f>
        <v>2341.72</v>
      </c>
      <c r="T25" s="7" t="n">
        <f aca="false">'Building 16'!$D$24</f>
        <v>2341.72</v>
      </c>
      <c r="U25" s="7" t="n">
        <f aca="false">'Building 17'!$D$24</f>
        <v>5824.29</v>
      </c>
      <c r="V25" s="7" t="n">
        <f aca="false">'Maintenance Building'!$D$24</f>
        <v>50.27</v>
      </c>
      <c r="W25" s="7"/>
    </row>
    <row r="26" customFormat="false" ht="15" hidden="false" customHeight="false" outlineLevel="0" collapsed="false">
      <c r="B26" s="6" t="s">
        <v>48</v>
      </c>
      <c r="C26" s="7" t="n">
        <f aca="false">SUM(D26:W26)</f>
        <v>29688.34</v>
      </c>
      <c r="D26" s="7" t="n">
        <f aca="false">Site!$D$24</f>
        <v>29688.34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customFormat="false" ht="15" hidden="false" customHeight="false" outlineLevel="0" collapsed="false">
      <c r="B27" s="6" t="s">
        <v>49</v>
      </c>
      <c r="C27" s="7" t="n">
        <f aca="false">SUM(D27:W27)</f>
        <v>298032.76</v>
      </c>
      <c r="D27" s="7" t="n">
        <f aca="false">Site!$D$25</f>
        <v>14065.37</v>
      </c>
      <c r="E27" s="7" t="n">
        <f aca="false">Office!$D$25</f>
        <v>7726.95</v>
      </c>
      <c r="F27" s="7" t="n">
        <f aca="false">'Building 1'!$D$25</f>
        <v>19407.1</v>
      </c>
      <c r="G27" s="7" t="n">
        <f aca="false">'Building 2'!$D$25</f>
        <v>19407.1</v>
      </c>
      <c r="H27" s="7" t="n">
        <f aca="false">'Building 3'!$D$25</f>
        <v>19407.1</v>
      </c>
      <c r="I27" s="7" t="n">
        <f aca="false">'Building 5'!$D$25</f>
        <v>14405.22</v>
      </c>
      <c r="J27" s="7" t="n">
        <f aca="false">'Building 6'!$D$25</f>
        <v>21937.6</v>
      </c>
      <c r="K27" s="7" t="n">
        <f aca="false">'Building 7'!$D$25</f>
        <v>21937.6</v>
      </c>
      <c r="L27" s="7" t="n">
        <f aca="false">'Building 8'!$D$25</f>
        <v>14405.22</v>
      </c>
      <c r="M27" s="7" t="n">
        <f aca="false">'Building 9'!$D$25</f>
        <v>21937.6</v>
      </c>
      <c r="N27" s="7" t="n">
        <f aca="false">'Building 10'!$D$25</f>
        <v>21937.6</v>
      </c>
      <c r="O27" s="7" t="n">
        <f aca="false">'Building 11'!$D$25</f>
        <v>19407.1</v>
      </c>
      <c r="P27" s="7" t="n">
        <f aca="false">'Building 12'!$D$25</f>
        <v>14405.22</v>
      </c>
      <c r="Q27" s="7" t="n">
        <f aca="false">'Building 13'!$D$25</f>
        <v>14405.22</v>
      </c>
      <c r="R27" s="7" t="n">
        <f aca="false">'Building 14'!$D$25</f>
        <v>12223.5</v>
      </c>
      <c r="S27" s="7" t="n">
        <f aca="false">'Building 15'!$D$25</f>
        <v>9353.85</v>
      </c>
      <c r="T27" s="7" t="n">
        <f aca="false">'Building 16'!$D$25</f>
        <v>9353.85</v>
      </c>
      <c r="U27" s="7" t="n">
        <f aca="false">'Building 17'!$D$25</f>
        <v>21937.6</v>
      </c>
      <c r="V27" s="7" t="n">
        <f aca="false">'Maintenance Building'!$D$25</f>
        <v>371.96</v>
      </c>
      <c r="W27" s="7"/>
    </row>
    <row r="28" customFormat="false" ht="15" hidden="false" customHeight="false" outlineLevel="0" collapsed="false">
      <c r="B28" s="6" t="s">
        <v>50</v>
      </c>
      <c r="C28" s="7" t="n">
        <f aca="false">SUM(D28:W28)</f>
        <v>25900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 t="n">
        <f aca="false">'Asset #15'!$D$15</f>
        <v>25900</v>
      </c>
    </row>
    <row r="29" customFormat="false" ht="15" hidden="false" customHeight="false" outlineLevel="0" collapsed="false">
      <c r="B29" s="6" t="s">
        <v>51</v>
      </c>
      <c r="C29" s="7" t="n">
        <f aca="false">SUM(D29:W29)</f>
        <v>61640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 t="n">
        <f aca="false">'Asset #15'!$D$16</f>
        <v>61640</v>
      </c>
    </row>
    <row r="30" customFormat="false" ht="15" hidden="false" customHeight="false" outlineLevel="0" collapsed="false">
      <c r="A30" s="8"/>
      <c r="B30" s="9" t="s">
        <v>52</v>
      </c>
      <c r="C30" s="10" t="n">
        <f aca="false">SUM(C16:C29)</f>
        <v>3917488</v>
      </c>
      <c r="D30" s="10" t="n">
        <f aca="false">SUM(D16:D29)</f>
        <v>418936.13</v>
      </c>
      <c r="E30" s="10" t="n">
        <f aca="false">SUM(E16:E29)</f>
        <v>92903.28</v>
      </c>
      <c r="F30" s="10" t="n">
        <f aca="false">SUM(F16:F29)</f>
        <v>234391.03</v>
      </c>
      <c r="G30" s="10" t="n">
        <f aca="false">SUM(G16:G29)</f>
        <v>234391.03</v>
      </c>
      <c r="H30" s="10" t="n">
        <f aca="false">SUM(H16:H29)</f>
        <v>234391.03</v>
      </c>
      <c r="I30" s="10" t="n">
        <f aca="false">SUM(I16:I29)</f>
        <v>169770.02</v>
      </c>
      <c r="J30" s="10" t="n">
        <f aca="false">SUM(J16:J29)</f>
        <v>265816.45</v>
      </c>
      <c r="K30" s="10" t="n">
        <f aca="false">SUM(K16:K29)</f>
        <v>265816.45</v>
      </c>
      <c r="L30" s="10" t="n">
        <f aca="false">SUM(L16:L29)</f>
        <v>169770.02</v>
      </c>
      <c r="M30" s="10" t="n">
        <f aca="false">SUM(M16:M29)</f>
        <v>265816.45</v>
      </c>
      <c r="N30" s="10" t="n">
        <f aca="false">SUM(N16:N29)</f>
        <v>265816.45</v>
      </c>
      <c r="O30" s="10" t="n">
        <f aca="false">SUM(O16:O29)</f>
        <v>234391.03</v>
      </c>
      <c r="P30" s="10" t="n">
        <f aca="false">SUM(P16:P29)</f>
        <v>169770.02</v>
      </c>
      <c r="Q30" s="10" t="n">
        <f aca="false">SUM(Q16:Q29)</f>
        <v>169770.02</v>
      </c>
      <c r="R30" s="10" t="n">
        <f aca="false">SUM(R16:R29)</f>
        <v>144372.14</v>
      </c>
      <c r="S30" s="10" t="n">
        <f aca="false">SUM(S16:S29)</f>
        <v>111983.58</v>
      </c>
      <c r="T30" s="10" t="n">
        <f aca="false">SUM(T16:T29)</f>
        <v>111983.58</v>
      </c>
      <c r="U30" s="10" t="n">
        <f aca="false">SUM(U16:U29)</f>
        <v>265816.45</v>
      </c>
      <c r="V30" s="10" t="n">
        <f aca="false">SUM(V16:V29)</f>
        <v>4042.84</v>
      </c>
      <c r="W30" s="10" t="n">
        <f aca="false">SUM(W16:W29)</f>
        <v>87540</v>
      </c>
    </row>
    <row r="31" customFormat="false" ht="15" hidden="false" customHeight="false" outlineLevel="0" collapsed="false">
      <c r="B31" s="12" t="s">
        <v>53</v>
      </c>
      <c r="C31" s="13" t="n">
        <f aca="false">C13-C30</f>
        <v>0</v>
      </c>
      <c r="D31" s="13" t="n">
        <f aca="false">D13-D30</f>
        <v>0</v>
      </c>
      <c r="E31" s="13" t="n">
        <f aca="false">E13-E30</f>
        <v>0</v>
      </c>
      <c r="F31" s="13" t="n">
        <f aca="false">F13-F30</f>
        <v>0</v>
      </c>
      <c r="G31" s="13" t="n">
        <f aca="false">G13-G30</f>
        <v>0</v>
      </c>
      <c r="H31" s="13" t="n">
        <f aca="false">H13-H30</f>
        <v>0</v>
      </c>
      <c r="I31" s="13" t="n">
        <f aca="false">I13-I30</f>
        <v>0</v>
      </c>
      <c r="J31" s="13" t="n">
        <f aca="false">J13-J30</f>
        <v>0</v>
      </c>
      <c r="K31" s="13" t="n">
        <f aca="false">K13-K30</f>
        <v>0</v>
      </c>
      <c r="L31" s="13" t="n">
        <f aca="false">L13-L30</f>
        <v>0</v>
      </c>
      <c r="M31" s="13" t="n">
        <f aca="false">M13-M30</f>
        <v>0</v>
      </c>
      <c r="N31" s="13" t="n">
        <f aca="false">N13-N30</f>
        <v>0</v>
      </c>
      <c r="O31" s="13" t="n">
        <f aca="false">O13-O30</f>
        <v>0</v>
      </c>
      <c r="P31" s="13" t="n">
        <f aca="false">P13-P30</f>
        <v>0</v>
      </c>
      <c r="Q31" s="13" t="n">
        <f aca="false">Q13-Q30</f>
        <v>0</v>
      </c>
      <c r="R31" s="13" t="n">
        <f aca="false">R13-R30</f>
        <v>0</v>
      </c>
      <c r="S31" s="13" t="n">
        <f aca="false">S13-S30</f>
        <v>0</v>
      </c>
      <c r="T31" s="13" t="n">
        <f aca="false">T13-T30</f>
        <v>0</v>
      </c>
      <c r="U31" s="13" t="n">
        <f aca="false">U13-U30</f>
        <v>0</v>
      </c>
      <c r="V31" s="13" t="n">
        <f aca="false">V13-V30</f>
        <v>0</v>
      </c>
      <c r="W31" s="13" t="n">
        <f aca="false">W13-W30</f>
        <v>0</v>
      </c>
    </row>
    <row r="33" customFormat="false" ht="15" hidden="false" customHeight="false" outlineLevel="0" collapsed="false">
      <c r="B33" s="11" t="s">
        <v>54</v>
      </c>
    </row>
    <row r="34" customFormat="false" ht="15" hidden="false" customHeight="false" outlineLevel="0" collapsed="false">
      <c r="B34" s="12" t="s">
        <v>55</v>
      </c>
      <c r="C34" s="13" t="n">
        <f aca="false">SUM(D34:W34)</f>
        <v>1180668.89</v>
      </c>
      <c r="D34" s="13" t="n">
        <f aca="false">Site!$I$14</f>
        <v>128215.81</v>
      </c>
      <c r="E34" s="13" t="n">
        <f aca="false">Office!$I$14</f>
        <v>28433.18</v>
      </c>
      <c r="F34" s="13" t="n">
        <f aca="false">'Building 1'!$I$14</f>
        <v>71735.7</v>
      </c>
      <c r="G34" s="13" t="n">
        <f aca="false">'Building 2'!$I$14</f>
        <v>71735.7</v>
      </c>
      <c r="H34" s="13" t="n">
        <f aca="false">'Building 3'!$I$14</f>
        <v>71735.7</v>
      </c>
      <c r="I34" s="13" t="n">
        <f aca="false">'Building 5'!$I$14</f>
        <v>51958.37</v>
      </c>
      <c r="J34" s="13" t="n">
        <f aca="false">'Building 6'!$I$14</f>
        <v>81353.51</v>
      </c>
      <c r="K34" s="13" t="n">
        <f aca="false">'Building 7'!$I$14</f>
        <v>81353.51</v>
      </c>
      <c r="L34" s="13" t="n">
        <f aca="false">'Building 8'!$I$14</f>
        <v>51958.37</v>
      </c>
      <c r="M34" s="13" t="n">
        <f aca="false">'Building 9'!$I$14</f>
        <v>81353.51</v>
      </c>
      <c r="N34" s="13" t="n">
        <f aca="false">'Building 10'!$I$14</f>
        <v>81353.51</v>
      </c>
      <c r="O34" s="13" t="n">
        <f aca="false">'Building 11'!$I$14</f>
        <v>71735.7</v>
      </c>
      <c r="P34" s="13" t="n">
        <f aca="false">'Building 12'!$I$14</f>
        <v>51958.37</v>
      </c>
      <c r="Q34" s="13" t="n">
        <f aca="false">'Building 13'!$I$14</f>
        <v>51958.37</v>
      </c>
      <c r="R34" s="13" t="n">
        <f aca="false">'Building 14'!$I$14</f>
        <v>44185.31</v>
      </c>
      <c r="S34" s="13" t="n">
        <f aca="false">'Building 15'!$I$14</f>
        <v>34272.73</v>
      </c>
      <c r="T34" s="13" t="n">
        <f aca="false">'Building 16'!$I$14</f>
        <v>34272.73</v>
      </c>
      <c r="U34" s="13" t="n">
        <f aca="false">'Building 17'!$I$14</f>
        <v>81353.51</v>
      </c>
      <c r="V34" s="13" t="n">
        <f aca="false">'Maintenance Building'!$I$14</f>
        <v>1237.3</v>
      </c>
      <c r="W34" s="13" t="n">
        <f aca="false">'Asset #15'!$I$11</f>
        <v>8508</v>
      </c>
    </row>
    <row r="35" customFormat="false" ht="15" hidden="false" customHeight="false" outlineLevel="0" collapsed="false">
      <c r="B35" s="6" t="s">
        <v>38</v>
      </c>
      <c r="C35" s="7" t="n">
        <f aca="false">SUM(D35:W35)</f>
        <v>1954.79</v>
      </c>
      <c r="D35" s="7"/>
      <c r="E35" s="7" t="n">
        <f aca="false">Office!$I$18</f>
        <v>53.44</v>
      </c>
      <c r="F35" s="7" t="n">
        <f aca="false">'Building 1'!$I$18</f>
        <v>137.19</v>
      </c>
      <c r="G35" s="7" t="n">
        <f aca="false">'Building 2'!$I$18</f>
        <v>137.19</v>
      </c>
      <c r="H35" s="7" t="n">
        <f aca="false">'Building 3'!$I$18</f>
        <v>137.19</v>
      </c>
      <c r="I35" s="7" t="n">
        <f aca="false">'Building 5'!$I$18</f>
        <v>89.94</v>
      </c>
      <c r="J35" s="7" t="n">
        <f aca="false">'Building 6'!$I$18</f>
        <v>157.52</v>
      </c>
      <c r="K35" s="7" t="n">
        <f aca="false">'Building 7'!$I$18</f>
        <v>157.52</v>
      </c>
      <c r="L35" s="7" t="n">
        <f aca="false">'Building 8'!$I$18</f>
        <v>89.94</v>
      </c>
      <c r="M35" s="7" t="n">
        <f aca="false">'Building 9'!$I$18</f>
        <v>157.52</v>
      </c>
      <c r="N35" s="7" t="n">
        <f aca="false">'Building 10'!$I$18</f>
        <v>157.52</v>
      </c>
      <c r="O35" s="7" t="n">
        <f aca="false">'Building 11'!$I$18</f>
        <v>137.19</v>
      </c>
      <c r="P35" s="7" t="n">
        <f aca="false">'Building 12'!$I$18</f>
        <v>89.94</v>
      </c>
      <c r="Q35" s="7" t="n">
        <f aca="false">'Building 13'!$I$18</f>
        <v>89.94</v>
      </c>
      <c r="R35" s="7" t="n">
        <f aca="false">'Building 14'!$I$18</f>
        <v>77.21</v>
      </c>
      <c r="S35" s="7" t="n">
        <f aca="false">'Building 15'!$I$18</f>
        <v>63.33</v>
      </c>
      <c r="T35" s="7" t="n">
        <f aca="false">'Building 16'!$I$18</f>
        <v>63.33</v>
      </c>
      <c r="U35" s="7" t="n">
        <f aca="false">'Building 17'!$I$18</f>
        <v>157.52</v>
      </c>
      <c r="V35" s="7" t="n">
        <f aca="false">'Maintenance Building'!$I$18</f>
        <v>1.36</v>
      </c>
      <c r="W35" s="7"/>
    </row>
    <row r="36" customFormat="false" ht="15" hidden="false" customHeight="false" outlineLevel="0" collapsed="false">
      <c r="B36" s="6" t="s">
        <v>39</v>
      </c>
      <c r="C36" s="7" t="n">
        <f aca="false">SUM(D36:W36)</f>
        <v>802.92</v>
      </c>
      <c r="D36" s="7" t="n">
        <f aca="false">Site!$I$18</f>
        <v>802.92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customFormat="false" ht="15" hidden="false" customHeight="false" outlineLevel="0" collapsed="false">
      <c r="B37" s="6" t="s">
        <v>40</v>
      </c>
      <c r="C37" s="7" t="n">
        <f aca="false">SUM(D37:W37)</f>
        <v>884.56</v>
      </c>
      <c r="D37" s="7" t="n">
        <f aca="false">Site!$I$19</f>
        <v>41.74</v>
      </c>
      <c r="E37" s="7" t="n">
        <f aca="false">Office!$I$19</f>
        <v>22.94</v>
      </c>
      <c r="F37" s="7" t="n">
        <f aca="false">'Building 1'!$I$19</f>
        <v>57.6</v>
      </c>
      <c r="G37" s="7" t="n">
        <f aca="false">'Building 2'!$I$19</f>
        <v>57.6</v>
      </c>
      <c r="H37" s="7" t="n">
        <f aca="false">'Building 3'!$I$19</f>
        <v>57.6</v>
      </c>
      <c r="I37" s="7" t="n">
        <f aca="false">'Building 5'!$I$19</f>
        <v>42.76</v>
      </c>
      <c r="J37" s="7" t="n">
        <f aca="false">'Building 6'!$I$19</f>
        <v>65.11</v>
      </c>
      <c r="K37" s="7" t="n">
        <f aca="false">'Building 7'!$I$19</f>
        <v>65.11</v>
      </c>
      <c r="L37" s="7" t="n">
        <f aca="false">'Building 8'!$I$19</f>
        <v>42.76</v>
      </c>
      <c r="M37" s="7" t="n">
        <f aca="false">'Building 9'!$I$19</f>
        <v>65.11</v>
      </c>
      <c r="N37" s="7" t="n">
        <f aca="false">'Building 10'!$I$19</f>
        <v>65.11</v>
      </c>
      <c r="O37" s="7" t="n">
        <f aca="false">'Building 11'!$I$19</f>
        <v>57.6</v>
      </c>
      <c r="P37" s="7" t="n">
        <f aca="false">'Building 12'!$I$19</f>
        <v>42.76</v>
      </c>
      <c r="Q37" s="7" t="n">
        <f aca="false">'Building 13'!$I$19</f>
        <v>42.76</v>
      </c>
      <c r="R37" s="7" t="n">
        <f aca="false">'Building 14'!$I$19</f>
        <v>36.27</v>
      </c>
      <c r="S37" s="7" t="n">
        <f aca="false">'Building 15'!$I$19</f>
        <v>27.75</v>
      </c>
      <c r="T37" s="7" t="n">
        <f aca="false">'Building 16'!$I$19</f>
        <v>27.75</v>
      </c>
      <c r="U37" s="7" t="n">
        <f aca="false">'Building 17'!$I$19</f>
        <v>65.11</v>
      </c>
      <c r="V37" s="7" t="n">
        <f aca="false">'Maintenance Building'!$I$19</f>
        <v>1.12</v>
      </c>
      <c r="W37" s="7"/>
    </row>
    <row r="38" customFormat="false" ht="15" hidden="false" customHeight="false" outlineLevel="0" collapsed="false">
      <c r="B38" s="6" t="s">
        <v>41</v>
      </c>
      <c r="C38" s="7" t="n">
        <f aca="false">SUM(D38:W38)</f>
        <v>581688.28</v>
      </c>
      <c r="D38" s="7"/>
      <c r="E38" s="7" t="n">
        <f aca="false">Office!$I$20</f>
        <v>15901.52</v>
      </c>
      <c r="F38" s="7" t="n">
        <f aca="false">'Building 1'!$I$20</f>
        <v>40824.27</v>
      </c>
      <c r="G38" s="7" t="n">
        <f aca="false">'Building 2'!$I$20</f>
        <v>40824.27</v>
      </c>
      <c r="H38" s="7" t="n">
        <f aca="false">'Building 3'!$I$20</f>
        <v>40824.27</v>
      </c>
      <c r="I38" s="7" t="n">
        <f aca="false">'Building 5'!$I$20</f>
        <v>26763.65</v>
      </c>
      <c r="J38" s="7" t="n">
        <f aca="false">'Building 6'!$I$20</f>
        <v>46872.91</v>
      </c>
      <c r="K38" s="7" t="n">
        <f aca="false">'Building 7'!$I$20</f>
        <v>46872.91</v>
      </c>
      <c r="L38" s="7" t="n">
        <f aca="false">'Building 8'!$I$20</f>
        <v>26763.65</v>
      </c>
      <c r="M38" s="7" t="n">
        <f aca="false">'Building 9'!$I$20</f>
        <v>46872.91</v>
      </c>
      <c r="N38" s="7" t="n">
        <f aca="false">'Building 10'!$I$20</f>
        <v>46872.91</v>
      </c>
      <c r="O38" s="7" t="n">
        <f aca="false">'Building 11'!$I$20</f>
        <v>40824.27</v>
      </c>
      <c r="P38" s="7" t="n">
        <f aca="false">'Building 12'!$I$20</f>
        <v>26763.65</v>
      </c>
      <c r="Q38" s="7" t="n">
        <f aca="false">'Building 13'!$I$20</f>
        <v>26763.65</v>
      </c>
      <c r="R38" s="7" t="n">
        <f aca="false">'Building 14'!$I$20</f>
        <v>22974.45</v>
      </c>
      <c r="S38" s="7" t="n">
        <f aca="false">'Building 15'!$I$20</f>
        <v>18845.76</v>
      </c>
      <c r="T38" s="7" t="n">
        <f aca="false">'Building 16'!$I$20</f>
        <v>18845.76</v>
      </c>
      <c r="U38" s="7" t="n">
        <f aca="false">'Building 17'!$I$20</f>
        <v>46872.91</v>
      </c>
      <c r="V38" s="7" t="n">
        <f aca="false">'Maintenance Building'!$I$20</f>
        <v>404.56</v>
      </c>
      <c r="W38" s="7"/>
    </row>
    <row r="39" customFormat="false" ht="15" hidden="false" customHeight="false" outlineLevel="0" collapsed="false">
      <c r="B39" s="6" t="s">
        <v>42</v>
      </c>
      <c r="C39" s="7" t="n">
        <f aca="false">SUM(D39:W39)</f>
        <v>133113.79</v>
      </c>
      <c r="D39" s="7" t="n">
        <f aca="false">Site!$I$20</f>
        <v>133113.79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customFormat="false" ht="15" hidden="false" customHeight="false" outlineLevel="0" collapsed="false">
      <c r="B40" s="6" t="s">
        <v>43</v>
      </c>
      <c r="C40" s="7" t="n">
        <f aca="false">SUM(D40:W40)</f>
        <v>609622.68</v>
      </c>
      <c r="D40" s="7" t="n">
        <f aca="false">Site!$I$21</f>
        <v>28770.57</v>
      </c>
      <c r="E40" s="7" t="n">
        <f aca="false">Office!$I$21</f>
        <v>15805.4</v>
      </c>
      <c r="F40" s="7" t="n">
        <f aca="false">'Building 1'!$I$21</f>
        <v>39697.04</v>
      </c>
      <c r="G40" s="7" t="n">
        <f aca="false">'Building 2'!$I$21</f>
        <v>39697.04</v>
      </c>
      <c r="H40" s="7" t="n">
        <f aca="false">'Building 3'!$I$21</f>
        <v>39697.04</v>
      </c>
      <c r="I40" s="7" t="n">
        <f aca="false">'Building 5'!$I$21</f>
        <v>29465.67</v>
      </c>
      <c r="J40" s="7" t="n">
        <f aca="false">'Building 6'!$I$21</f>
        <v>44873.12</v>
      </c>
      <c r="K40" s="7" t="n">
        <f aca="false">'Building 7'!$I$21</f>
        <v>44873.12</v>
      </c>
      <c r="L40" s="7" t="n">
        <f aca="false">'Building 8'!$I$21</f>
        <v>29465.67</v>
      </c>
      <c r="M40" s="7" t="n">
        <f aca="false">'Building 9'!$I$21</f>
        <v>44873.12</v>
      </c>
      <c r="N40" s="7" t="n">
        <f aca="false">'Building 10'!$I$21</f>
        <v>44873.12</v>
      </c>
      <c r="O40" s="7" t="n">
        <f aca="false">'Building 11'!$I$21</f>
        <v>39697.04</v>
      </c>
      <c r="P40" s="7" t="n">
        <f aca="false">'Building 12'!$I$21</f>
        <v>29465.67</v>
      </c>
      <c r="Q40" s="7" t="n">
        <f aca="false">'Building 13'!$I$21</f>
        <v>29465.67</v>
      </c>
      <c r="R40" s="7" t="n">
        <f aca="false">'Building 14'!$I$21</f>
        <v>25003.06</v>
      </c>
      <c r="S40" s="7" t="n">
        <f aca="false">'Building 15'!$I$21</f>
        <v>19133.19</v>
      </c>
      <c r="T40" s="7" t="n">
        <f aca="false">'Building 16'!$I$21</f>
        <v>19133.19</v>
      </c>
      <c r="U40" s="7" t="n">
        <f aca="false">'Building 17'!$I$21</f>
        <v>44873.12</v>
      </c>
      <c r="V40" s="7" t="n">
        <f aca="false">'Maintenance Building'!$I$21</f>
        <v>760.83</v>
      </c>
      <c r="W40" s="7"/>
    </row>
    <row r="41" customFormat="false" ht="15" hidden="false" customHeight="false" outlineLevel="0" collapsed="false">
      <c r="B41" s="6" t="s">
        <v>44</v>
      </c>
      <c r="C41" s="7" t="n">
        <f aca="false">SUM(D41:W41)</f>
        <v>36139.47</v>
      </c>
      <c r="D41" s="7"/>
      <c r="E41" s="7" t="n">
        <f aca="false">Office!$I$22</f>
        <v>987.94</v>
      </c>
      <c r="F41" s="7" t="n">
        <f aca="false">'Building 1'!$I$22</f>
        <v>2536.35</v>
      </c>
      <c r="G41" s="7" t="n">
        <f aca="false">'Building 2'!$I$22</f>
        <v>2536.35</v>
      </c>
      <c r="H41" s="7" t="n">
        <f aca="false">'Building 3'!$I$22</f>
        <v>2536.35</v>
      </c>
      <c r="I41" s="7" t="n">
        <f aca="false">'Building 5'!$I$22</f>
        <v>1662.79</v>
      </c>
      <c r="J41" s="7" t="n">
        <f aca="false">'Building 6'!$I$22</f>
        <v>2912.15</v>
      </c>
      <c r="K41" s="7" t="n">
        <f aca="false">'Building 7'!$I$22</f>
        <v>2912.15</v>
      </c>
      <c r="L41" s="7" t="n">
        <f aca="false">'Building 8'!$I$22</f>
        <v>1662.79</v>
      </c>
      <c r="M41" s="7" t="n">
        <f aca="false">'Building 9'!$I$22</f>
        <v>2912.15</v>
      </c>
      <c r="N41" s="7" t="n">
        <f aca="false">'Building 10'!$I$22</f>
        <v>2912.15</v>
      </c>
      <c r="O41" s="7" t="n">
        <f aca="false">'Building 11'!$I$22</f>
        <v>2536.35</v>
      </c>
      <c r="P41" s="7" t="n">
        <f aca="false">'Building 12'!$I$22</f>
        <v>1662.79</v>
      </c>
      <c r="Q41" s="7" t="n">
        <f aca="false">'Building 13'!$I$22</f>
        <v>1662.79</v>
      </c>
      <c r="R41" s="7" t="n">
        <f aca="false">'Building 14'!$I$22</f>
        <v>1427.37</v>
      </c>
      <c r="S41" s="7" t="n">
        <f aca="false">'Building 15'!$I$22</f>
        <v>1170.86</v>
      </c>
      <c r="T41" s="7" t="n">
        <f aca="false">'Building 16'!$I$22</f>
        <v>1170.86</v>
      </c>
      <c r="U41" s="7" t="n">
        <f aca="false">'Building 17'!$I$22</f>
        <v>2912.15</v>
      </c>
      <c r="V41" s="7" t="n">
        <f aca="false">'Maintenance Building'!$I$22</f>
        <v>25.13</v>
      </c>
      <c r="W41" s="7"/>
    </row>
    <row r="42" customFormat="false" ht="15" hidden="false" customHeight="false" outlineLevel="0" collapsed="false">
      <c r="B42" s="6" t="s">
        <v>45</v>
      </c>
      <c r="C42" s="7" t="n">
        <f aca="false">SUM(D42:W42)</f>
        <v>8270.17</v>
      </c>
      <c r="D42" s="7" t="n">
        <f aca="false">Site!$I$22</f>
        <v>8270.17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customFormat="false" ht="15" hidden="false" customHeight="false" outlineLevel="0" collapsed="false">
      <c r="B43" s="6" t="s">
        <v>46</v>
      </c>
      <c r="C43" s="7" t="n">
        <f aca="false">SUM(D43:W43)</f>
        <v>37875.13</v>
      </c>
      <c r="D43" s="7" t="n">
        <f aca="false">Site!$I$23</f>
        <v>1787.45</v>
      </c>
      <c r="E43" s="7" t="n">
        <f aca="false">Office!$I$23</f>
        <v>981.95</v>
      </c>
      <c r="F43" s="7" t="n">
        <f aca="false">'Building 1'!$I$23</f>
        <v>2466.31</v>
      </c>
      <c r="G43" s="7" t="n">
        <f aca="false">'Building 2'!$I$23</f>
        <v>2466.31</v>
      </c>
      <c r="H43" s="7" t="n">
        <f aca="false">'Building 3'!$I$23</f>
        <v>2466.31</v>
      </c>
      <c r="I43" s="7" t="n">
        <f aca="false">'Building 5'!$I$23</f>
        <v>1830.68</v>
      </c>
      <c r="J43" s="7" t="n">
        <f aca="false">'Building 6'!$I$23</f>
        <v>2787.93</v>
      </c>
      <c r="K43" s="7" t="n">
        <f aca="false">'Building 7'!$I$23</f>
        <v>2787.93</v>
      </c>
      <c r="L43" s="7" t="n">
        <f aca="false">'Building 8'!$I$23</f>
        <v>1830.68</v>
      </c>
      <c r="M43" s="7" t="n">
        <f aca="false">'Building 9'!$I$23</f>
        <v>2787.93</v>
      </c>
      <c r="N43" s="7" t="n">
        <f aca="false">'Building 10'!$I$23</f>
        <v>2787.93</v>
      </c>
      <c r="O43" s="7" t="n">
        <f aca="false">'Building 11'!$I$23</f>
        <v>2466.31</v>
      </c>
      <c r="P43" s="7" t="n">
        <f aca="false">'Building 12'!$I$23</f>
        <v>1830.68</v>
      </c>
      <c r="Q43" s="7" t="n">
        <f aca="false">'Building 13'!$I$23</f>
        <v>1830.68</v>
      </c>
      <c r="R43" s="7" t="n">
        <f aca="false">'Building 14'!$I$23</f>
        <v>1553.37</v>
      </c>
      <c r="S43" s="7" t="n">
        <f aca="false">'Building 15'!$I$23</f>
        <v>1188.74</v>
      </c>
      <c r="T43" s="7" t="n">
        <f aca="false">'Building 16'!$I$23</f>
        <v>1188.74</v>
      </c>
      <c r="U43" s="7" t="n">
        <f aca="false">'Building 17'!$I$23</f>
        <v>2787.93</v>
      </c>
      <c r="V43" s="7" t="n">
        <f aca="false">'Maintenance Building'!$I$23</f>
        <v>47.27</v>
      </c>
      <c r="W43" s="7"/>
    </row>
    <row r="44" customFormat="false" ht="15" hidden="false" customHeight="false" outlineLevel="0" collapsed="false">
      <c r="B44" s="6" t="s">
        <v>47</v>
      </c>
      <c r="C44" s="7" t="n">
        <f aca="false">SUM(D44:W44)</f>
        <v>72278.9</v>
      </c>
      <c r="D44" s="7"/>
      <c r="E44" s="7" t="n">
        <f aca="false">Office!$I$24</f>
        <v>1975.88</v>
      </c>
      <c r="F44" s="7" t="n">
        <f aca="false">'Building 1'!$I$24</f>
        <v>5072.71</v>
      </c>
      <c r="G44" s="7" t="n">
        <f aca="false">'Building 2'!$I$24</f>
        <v>5072.71</v>
      </c>
      <c r="H44" s="7" t="n">
        <f aca="false">'Building 3'!$I$24</f>
        <v>5072.71</v>
      </c>
      <c r="I44" s="7" t="n">
        <f aca="false">'Building 5'!$I$24</f>
        <v>3325.57</v>
      </c>
      <c r="J44" s="7" t="n">
        <f aca="false">'Building 6'!$I$24</f>
        <v>5824.29</v>
      </c>
      <c r="K44" s="7" t="n">
        <f aca="false">'Building 7'!$I$24</f>
        <v>5824.29</v>
      </c>
      <c r="L44" s="7" t="n">
        <f aca="false">'Building 8'!$I$24</f>
        <v>3325.57</v>
      </c>
      <c r="M44" s="7" t="n">
        <f aca="false">'Building 9'!$I$24</f>
        <v>5824.29</v>
      </c>
      <c r="N44" s="7" t="n">
        <f aca="false">'Building 10'!$I$24</f>
        <v>5824.29</v>
      </c>
      <c r="O44" s="7" t="n">
        <f aca="false">'Building 11'!$I$24</f>
        <v>5072.71</v>
      </c>
      <c r="P44" s="7" t="n">
        <f aca="false">'Building 12'!$I$24</f>
        <v>3325.57</v>
      </c>
      <c r="Q44" s="7" t="n">
        <f aca="false">'Building 13'!$I$24</f>
        <v>3325.57</v>
      </c>
      <c r="R44" s="7" t="n">
        <f aca="false">'Building 14'!$I$24</f>
        <v>2854.74</v>
      </c>
      <c r="S44" s="7" t="n">
        <f aca="false">'Building 15'!$I$24</f>
        <v>2341.72</v>
      </c>
      <c r="T44" s="7" t="n">
        <f aca="false">'Building 16'!$I$24</f>
        <v>2341.72</v>
      </c>
      <c r="U44" s="7" t="n">
        <f aca="false">'Building 17'!$I$24</f>
        <v>5824.29</v>
      </c>
      <c r="V44" s="7" t="n">
        <f aca="false">'Maintenance Building'!$I$24</f>
        <v>50.27</v>
      </c>
      <c r="W44" s="7"/>
    </row>
    <row r="45" customFormat="false" ht="15" hidden="false" customHeight="false" outlineLevel="0" collapsed="false">
      <c r="B45" s="6" t="s">
        <v>48</v>
      </c>
      <c r="C45" s="7" t="n">
        <f aca="false">SUM(D45:W45)</f>
        <v>16540.35</v>
      </c>
      <c r="D45" s="7" t="n">
        <f aca="false">Site!$I$24</f>
        <v>16540.35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customFormat="false" ht="15" hidden="false" customHeight="false" outlineLevel="0" collapsed="false">
      <c r="B46" s="6" t="s">
        <v>49</v>
      </c>
      <c r="C46" s="7" t="n">
        <f aca="false">SUM(D46:W46)</f>
        <v>76032.15</v>
      </c>
      <c r="D46" s="7" t="n">
        <f aca="false">Site!$I$25</f>
        <v>3857.34</v>
      </c>
      <c r="E46" s="7" t="n">
        <f aca="false">Office!$I$25</f>
        <v>1963.97</v>
      </c>
      <c r="F46" s="7" t="n">
        <f aca="false">'Building 1'!$I$25</f>
        <v>4932.61</v>
      </c>
      <c r="G46" s="7" t="n">
        <f aca="false">'Building 2'!$I$25</f>
        <v>4932.61</v>
      </c>
      <c r="H46" s="7" t="n">
        <f aca="false">'Building 3'!$I$25</f>
        <v>4932.61</v>
      </c>
      <c r="I46" s="7" t="n">
        <f aca="false">'Building 5'!$I$25</f>
        <v>3661.3</v>
      </c>
      <c r="J46" s="7" t="n">
        <f aca="false">'Building 6'!$I$25</f>
        <v>5575.78</v>
      </c>
      <c r="K46" s="7" t="n">
        <f aca="false">'Building 7'!$I$25</f>
        <v>5575.78</v>
      </c>
      <c r="L46" s="7" t="n">
        <f aca="false">'Building 8'!$I$25</f>
        <v>3661.3</v>
      </c>
      <c r="M46" s="7" t="n">
        <f aca="false">'Building 9'!$I$25</f>
        <v>5575.78</v>
      </c>
      <c r="N46" s="7" t="n">
        <f aca="false">'Building 10'!$I$25</f>
        <v>5575.78</v>
      </c>
      <c r="O46" s="7" t="n">
        <f aca="false">'Building 11'!$I$25</f>
        <v>4932.61</v>
      </c>
      <c r="P46" s="7" t="n">
        <f aca="false">'Building 12'!$I$25</f>
        <v>3661.3</v>
      </c>
      <c r="Q46" s="7" t="n">
        <f aca="false">'Building 13'!$I$25</f>
        <v>3661.3</v>
      </c>
      <c r="R46" s="7" t="n">
        <f aca="false">'Building 14'!$I$25</f>
        <v>3106.81</v>
      </c>
      <c r="S46" s="7" t="n">
        <f aca="false">'Building 15'!$I$25</f>
        <v>2377.47</v>
      </c>
      <c r="T46" s="7" t="n">
        <f aca="false">'Building 16'!$I$25</f>
        <v>2377.47</v>
      </c>
      <c r="U46" s="7" t="n">
        <f aca="false">'Building 17'!$I$25</f>
        <v>5575.78</v>
      </c>
      <c r="V46" s="7" t="n">
        <f aca="false">'Maintenance Building'!$I$25</f>
        <v>94.55</v>
      </c>
      <c r="W46" s="7"/>
    </row>
    <row r="47" customFormat="false" ht="15" hidden="false" customHeight="false" outlineLevel="0" collapsed="false">
      <c r="B47" s="6" t="s">
        <v>50</v>
      </c>
      <c r="C47" s="7" t="n">
        <f aca="false">SUM(D47:W47)</f>
        <v>25900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 t="n">
        <f aca="false">'Asset #15'!$I$15</f>
        <v>25900</v>
      </c>
    </row>
    <row r="48" customFormat="false" ht="15" hidden="false" customHeight="false" outlineLevel="0" collapsed="false">
      <c r="B48" s="6" t="s">
        <v>51</v>
      </c>
      <c r="C48" s="7" t="n">
        <f aca="false">SUM(D48:W48)</f>
        <v>7448.18</v>
      </c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 t="n">
        <f aca="false">'Asset #15'!$I$16</f>
        <v>7448.18</v>
      </c>
    </row>
    <row r="49" customFormat="false" ht="15" hidden="false" customHeight="false" outlineLevel="0" collapsed="false">
      <c r="A49" s="8"/>
      <c r="B49" s="9" t="s">
        <v>56</v>
      </c>
      <c r="C49" s="10" t="n">
        <f aca="false">SUM(C35:C48)</f>
        <v>1608551.37</v>
      </c>
      <c r="D49" s="10" t="n">
        <f aca="false">SUM(D35:D48)</f>
        <v>193184.33</v>
      </c>
      <c r="E49" s="10" t="n">
        <f aca="false">SUM(E35:E48)</f>
        <v>37693.04</v>
      </c>
      <c r="F49" s="10" t="n">
        <f aca="false">SUM(F35:F48)</f>
        <v>95724.08</v>
      </c>
      <c r="G49" s="10" t="n">
        <f aca="false">SUM(G35:G48)</f>
        <v>95724.08</v>
      </c>
      <c r="H49" s="10" t="n">
        <f aca="false">SUM(H35:H48)</f>
        <v>95724.08</v>
      </c>
      <c r="I49" s="10" t="n">
        <f aca="false">SUM(I35:I48)</f>
        <v>66842.36</v>
      </c>
      <c r="J49" s="10" t="n">
        <f aca="false">SUM(J35:J48)</f>
        <v>109068.81</v>
      </c>
      <c r="K49" s="10" t="n">
        <f aca="false">SUM(K35:K48)</f>
        <v>109068.81</v>
      </c>
      <c r="L49" s="10" t="n">
        <f aca="false">SUM(L35:L48)</f>
        <v>66842.36</v>
      </c>
      <c r="M49" s="10" t="n">
        <f aca="false">SUM(M35:M48)</f>
        <v>109068.81</v>
      </c>
      <c r="N49" s="10" t="n">
        <f aca="false">SUM(N35:N48)</f>
        <v>109068.81</v>
      </c>
      <c r="O49" s="10" t="n">
        <f aca="false">SUM(O35:O48)</f>
        <v>95724.08</v>
      </c>
      <c r="P49" s="10" t="n">
        <f aca="false">SUM(P35:P48)</f>
        <v>66842.36</v>
      </c>
      <c r="Q49" s="10" t="n">
        <f aca="false">SUM(Q35:Q48)</f>
        <v>66842.36</v>
      </c>
      <c r="R49" s="10" t="n">
        <f aca="false">SUM(R35:R48)</f>
        <v>57033.28</v>
      </c>
      <c r="S49" s="10" t="n">
        <f aca="false">SUM(S35:S48)</f>
        <v>45148.82</v>
      </c>
      <c r="T49" s="10" t="n">
        <f aca="false">SUM(T35:T48)</f>
        <v>45148.82</v>
      </c>
      <c r="U49" s="10" t="n">
        <f aca="false">SUM(U35:U48)</f>
        <v>109068.81</v>
      </c>
      <c r="V49" s="10" t="n">
        <f aca="false">SUM(V35:V48)</f>
        <v>1385.09</v>
      </c>
      <c r="W49" s="10" t="n">
        <f aca="false">SUM(W35:W48)</f>
        <v>33348.18</v>
      </c>
    </row>
    <row r="50" customFormat="false" ht="15" hidden="false" customHeight="false" outlineLevel="0" collapsed="false">
      <c r="A50" s="14"/>
      <c r="B50" s="15" t="s">
        <v>57</v>
      </c>
      <c r="C50" s="16" t="n">
        <f aca="false">C34-C49</f>
        <v>-427882.48</v>
      </c>
      <c r="D50" s="16" t="n">
        <f aca="false">D34-D49</f>
        <v>-64968.52</v>
      </c>
      <c r="E50" s="16" t="n">
        <f aca="false">E34-E49</f>
        <v>-9259.86</v>
      </c>
      <c r="F50" s="16" t="n">
        <f aca="false">F34-F49</f>
        <v>-23988.38</v>
      </c>
      <c r="G50" s="16" t="n">
        <f aca="false">G34-G49</f>
        <v>-23988.38</v>
      </c>
      <c r="H50" s="16" t="n">
        <f aca="false">H34-H49</f>
        <v>-23988.38</v>
      </c>
      <c r="I50" s="16" t="n">
        <f aca="false">I34-I49</f>
        <v>-14883.99</v>
      </c>
      <c r="J50" s="16" t="n">
        <f aca="false">J34-J49</f>
        <v>-27715.3</v>
      </c>
      <c r="K50" s="16" t="n">
        <f aca="false">K34-K49</f>
        <v>-27715.3</v>
      </c>
      <c r="L50" s="16" t="n">
        <f aca="false">L34-L49</f>
        <v>-14883.99</v>
      </c>
      <c r="M50" s="16" t="n">
        <f aca="false">M34-M49</f>
        <v>-27715.3</v>
      </c>
      <c r="N50" s="16" t="n">
        <f aca="false">N34-N49</f>
        <v>-27715.3</v>
      </c>
      <c r="O50" s="16" t="n">
        <f aca="false">O34-O49</f>
        <v>-23988.38</v>
      </c>
      <c r="P50" s="16" t="n">
        <f aca="false">P34-P49</f>
        <v>-14883.99</v>
      </c>
      <c r="Q50" s="16" t="n">
        <f aca="false">Q34-Q49</f>
        <v>-14883.99</v>
      </c>
      <c r="R50" s="16" t="n">
        <f aca="false">R34-R49</f>
        <v>-12847.97</v>
      </c>
      <c r="S50" s="16" t="n">
        <f aca="false">S34-S49</f>
        <v>-10876.09</v>
      </c>
      <c r="T50" s="16" t="n">
        <f aca="false">T34-T49</f>
        <v>-10876.09</v>
      </c>
      <c r="U50" s="16" t="n">
        <f aca="false">U34-U49</f>
        <v>-27715.3</v>
      </c>
      <c r="V50" s="16" t="n">
        <f aca="false">V34-V49</f>
        <v>-147.79</v>
      </c>
      <c r="W50" s="16" t="n">
        <f aca="false">W34-W49</f>
        <v>-24840.18</v>
      </c>
    </row>
    <row r="51" customFormat="false" ht="15" hidden="false" customHeight="false" outlineLevel="0" collapsed="false">
      <c r="B51" s="4" t="s">
        <v>58</v>
      </c>
      <c r="C51" s="17" t="n">
        <f aca="false">C50-(-427882.48)</f>
        <v>0</v>
      </c>
      <c r="D51" s="17" t="n">
        <f aca="false">D50-(Site!$D$31)</f>
        <v>0</v>
      </c>
      <c r="E51" s="17" t="n">
        <f aca="false">E50-(Office!$D$31)</f>
        <v>0</v>
      </c>
      <c r="F51" s="17" t="n">
        <f aca="false">F50-('Building 1'!$D$31)</f>
        <v>0</v>
      </c>
      <c r="G51" s="17" t="n">
        <f aca="false">G50-('Building 2'!$D$31)</f>
        <v>0</v>
      </c>
      <c r="H51" s="17" t="n">
        <f aca="false">H50-('Building 3'!$D$31)</f>
        <v>0</v>
      </c>
      <c r="I51" s="17" t="n">
        <f aca="false">I50-('Building 5'!$D$31)</f>
        <v>0</v>
      </c>
      <c r="J51" s="17" t="n">
        <f aca="false">J50-('Building 6'!$D$31)</f>
        <v>0</v>
      </c>
      <c r="K51" s="17" t="n">
        <f aca="false">K50-('Building 7'!$D$31)</f>
        <v>0</v>
      </c>
      <c r="L51" s="17" t="n">
        <f aca="false">L50-('Building 8'!$D$31)</f>
        <v>0</v>
      </c>
      <c r="M51" s="17" t="n">
        <f aca="false">M50-('Building 9'!$D$31)</f>
        <v>0</v>
      </c>
      <c r="N51" s="17" t="n">
        <f aca="false">N50-('Building 10'!$D$31)</f>
        <v>0</v>
      </c>
      <c r="O51" s="17" t="n">
        <f aca="false">O50-('Building 11'!$D$31)</f>
        <v>0</v>
      </c>
      <c r="P51" s="17" t="n">
        <f aca="false">P50-('Building 12'!$D$31)</f>
        <v>0</v>
      </c>
      <c r="Q51" s="17" t="n">
        <f aca="false">Q50-('Building 13'!$D$31)</f>
        <v>0</v>
      </c>
      <c r="R51" s="17" t="n">
        <f aca="false">R50-('Building 14'!$D$31)</f>
        <v>0</v>
      </c>
      <c r="S51" s="17" t="n">
        <f aca="false">S50-('Building 15'!$D$31)</f>
        <v>0</v>
      </c>
      <c r="T51" s="17" t="n">
        <f aca="false">T50-('Building 16'!$D$31)</f>
        <v>0</v>
      </c>
      <c r="U51" s="17" t="n">
        <f aca="false">U50-('Building 17'!$D$31)</f>
        <v>0</v>
      </c>
      <c r="V51" s="17" t="n">
        <f aca="false">V50-('Maintenance Building'!$D$31)</f>
        <v>0</v>
      </c>
      <c r="W51" s="17" t="n">
        <f aca="false">W50-('Asset #15'!$D$22)</f>
        <v>0</v>
      </c>
    </row>
    <row r="53" customFormat="false" ht="15" hidden="false" customHeight="false" outlineLevel="0" collapsed="false">
      <c r="B53" s="18" t="s">
        <v>59</v>
      </c>
    </row>
    <row r="54" customFormat="false" ht="15" hidden="false" customHeight="false" outlineLevel="0" collapsed="false">
      <c r="B54" s="19" t="s">
        <v>60</v>
      </c>
    </row>
    <row r="55" customFormat="false" ht="15" hidden="false" customHeight="false" outlineLevel="0" collapsed="false">
      <c r="B55" s="19" t="s">
        <v>61</v>
      </c>
    </row>
    <row r="56" customFormat="false" ht="15" hidden="false" customHeight="false" outlineLevel="0" collapsed="false">
      <c r="B56" s="19" t="s">
        <v>62</v>
      </c>
    </row>
    <row r="57" customFormat="false" ht="15" hidden="false" customHeight="false" outlineLevel="0" collapsed="false">
      <c r="B57" s="19" t="s">
        <v>63</v>
      </c>
    </row>
    <row r="58" customFormat="false" ht="15" hidden="false" customHeight="false" outlineLevel="0" collapsed="false">
      <c r="B58" s="19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65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1183.32</v>
      </c>
      <c r="E10" s="24" t="n">
        <v>0</v>
      </c>
      <c r="F10" s="24" t="n">
        <v>0</v>
      </c>
      <c r="G10" s="24" t="n">
        <v>71.65</v>
      </c>
      <c r="H10" s="24" t="n">
        <v>29.43</v>
      </c>
      <c r="I10" s="24" t="n">
        <f aca="false">G10+H10</f>
        <v>101.08</v>
      </c>
      <c r="J10" s="24" t="n">
        <f aca="false">D10-I10</f>
        <v>1082.24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352122.24</v>
      </c>
      <c r="E11" s="24" t="n">
        <v>0</v>
      </c>
      <c r="F11" s="24" t="n">
        <v>0</v>
      </c>
      <c r="G11" s="24" t="n">
        <v>75780.32</v>
      </c>
      <c r="H11" s="24" t="n">
        <v>8280.01</v>
      </c>
      <c r="I11" s="24" t="n">
        <f aca="false">G11+H11</f>
        <v>84060.33</v>
      </c>
      <c r="J11" s="24" t="n">
        <f aca="false">D11-I11</f>
        <v>268061.91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21876.86</v>
      </c>
      <c r="E12" s="24" t="n">
        <v>0</v>
      </c>
      <c r="F12" s="24" t="n">
        <v>0</v>
      </c>
      <c r="G12" s="24" t="n">
        <v>20418.39</v>
      </c>
      <c r="H12" s="24" t="n">
        <v>0</v>
      </c>
      <c r="I12" s="24" t="n">
        <f aca="false">G12+H12</f>
        <v>20418.39</v>
      </c>
      <c r="J12" s="24" t="n">
        <f aca="false">D12-I12</f>
        <v>1458.47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43753.71</v>
      </c>
      <c r="E13" s="24" t="n">
        <v>0</v>
      </c>
      <c r="F13" s="24" t="n">
        <v>0</v>
      </c>
      <c r="G13" s="24" t="n">
        <v>21054.54</v>
      </c>
      <c r="H13" s="24" t="n">
        <v>2581.47</v>
      </c>
      <c r="I13" s="24" t="n">
        <f aca="false">G13+H13</f>
        <v>23636.01</v>
      </c>
      <c r="J13" s="24" t="n">
        <f aca="false">D13-I13</f>
        <v>20117.7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418936.13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117324.9</v>
      </c>
      <c r="H14" s="28" t="n">
        <f aca="false">SUM(H10:H13)</f>
        <v>10890.91</v>
      </c>
      <c r="I14" s="28" t="n">
        <f aca="false">SUM(I10:I13)</f>
        <v>128215.81</v>
      </c>
      <c r="J14" s="28" t="n">
        <f aca="false">SUM(J10:J13)</f>
        <v>290720.32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88</v>
      </c>
      <c r="C18" s="23" t="s">
        <v>28</v>
      </c>
      <c r="D18" s="24" t="n">
        <v>802.92</v>
      </c>
      <c r="E18" s="24" t="n">
        <v>0</v>
      </c>
      <c r="F18" s="24" t="n">
        <v>802.92</v>
      </c>
      <c r="G18" s="24" t="n">
        <v>802.92</v>
      </c>
      <c r="H18" s="24" t="n">
        <v>0</v>
      </c>
      <c r="I18" s="24" t="n">
        <f aca="false">G18+H18</f>
        <v>802.92</v>
      </c>
      <c r="J18" s="24" t="n">
        <f aca="false">D18-I18</f>
        <v>0</v>
      </c>
      <c r="K18" s="25" t="s">
        <v>89</v>
      </c>
      <c r="L18" s="25" t="s">
        <v>90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380.4</v>
      </c>
      <c r="E19" s="24" t="n">
        <v>0</v>
      </c>
      <c r="F19" s="24" t="n">
        <v>0</v>
      </c>
      <c r="G19" s="24" t="n">
        <v>29.06</v>
      </c>
      <c r="H19" s="24" t="n">
        <v>12.68</v>
      </c>
      <c r="I19" s="24" t="n">
        <f aca="false">G19+H19</f>
        <v>41.74</v>
      </c>
      <c r="J19" s="24" t="n">
        <f aca="false">D19-I19</f>
        <v>338.66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93</v>
      </c>
      <c r="C20" s="23" t="s">
        <v>30</v>
      </c>
      <c r="D20" s="24" t="n">
        <v>238926.62</v>
      </c>
      <c r="E20" s="24" t="n">
        <v>0</v>
      </c>
      <c r="F20" s="24" t="n">
        <v>0</v>
      </c>
      <c r="G20" s="24" t="n">
        <v>119005.41</v>
      </c>
      <c r="H20" s="24" t="n">
        <v>14108.38</v>
      </c>
      <c r="I20" s="24" t="n">
        <f aca="false">G20+H20</f>
        <v>133113.79</v>
      </c>
      <c r="J20" s="24" t="n">
        <f aca="false">D20-I20</f>
        <v>105812.83</v>
      </c>
      <c r="K20" s="25" t="s">
        <v>89</v>
      </c>
      <c r="L20" s="25" t="s">
        <v>90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113195.62</v>
      </c>
      <c r="E21" s="24" t="n">
        <v>0</v>
      </c>
      <c r="F21" s="24" t="n">
        <v>0</v>
      </c>
      <c r="G21" s="24" t="n">
        <v>24997.38</v>
      </c>
      <c r="H21" s="24" t="n">
        <v>3773.19</v>
      </c>
      <c r="I21" s="24" t="n">
        <f aca="false">G21+H21</f>
        <v>28770.57</v>
      </c>
      <c r="J21" s="24" t="n">
        <f aca="false">D21-I21</f>
        <v>84425.05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95</v>
      </c>
      <c r="C22" s="23" t="s">
        <v>30</v>
      </c>
      <c r="D22" s="24" t="n">
        <v>14844.18</v>
      </c>
      <c r="E22" s="24" t="n">
        <v>0</v>
      </c>
      <c r="F22" s="24" t="n">
        <v>0</v>
      </c>
      <c r="G22" s="24" t="n">
        <v>7393.64</v>
      </c>
      <c r="H22" s="24" t="n">
        <v>876.53</v>
      </c>
      <c r="I22" s="24" t="n">
        <f aca="false">G22+H22</f>
        <v>8270.17</v>
      </c>
      <c r="J22" s="24" t="n">
        <f aca="false">D22-I22</f>
        <v>6574.01</v>
      </c>
      <c r="K22" s="25" t="s">
        <v>89</v>
      </c>
      <c r="L22" s="25" t="s">
        <v>90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7032.68</v>
      </c>
      <c r="E23" s="24" t="n">
        <v>0</v>
      </c>
      <c r="F23" s="24" t="n">
        <v>0</v>
      </c>
      <c r="G23" s="24" t="n">
        <v>1553.03</v>
      </c>
      <c r="H23" s="24" t="n">
        <v>234.42</v>
      </c>
      <c r="I23" s="24" t="n">
        <f aca="false">G23+H23</f>
        <v>1787.45</v>
      </c>
      <c r="J23" s="24" t="n">
        <f aca="false">D23-I23</f>
        <v>5245.23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97</v>
      </c>
      <c r="C24" s="23" t="s">
        <v>30</v>
      </c>
      <c r="D24" s="24" t="n">
        <v>29688.34</v>
      </c>
      <c r="E24" s="24" t="n">
        <v>0</v>
      </c>
      <c r="F24" s="24" t="n">
        <v>0</v>
      </c>
      <c r="G24" s="24" t="n">
        <v>14787.28</v>
      </c>
      <c r="H24" s="24" t="n">
        <v>1753.07</v>
      </c>
      <c r="I24" s="24" t="n">
        <f aca="false">G24+H24</f>
        <v>16540.35</v>
      </c>
      <c r="J24" s="24" t="n">
        <f aca="false">D24-I24</f>
        <v>13147.99</v>
      </c>
      <c r="K24" s="25" t="s">
        <v>89</v>
      </c>
      <c r="L24" s="25" t="s">
        <v>90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14065.37</v>
      </c>
      <c r="E25" s="24" t="n">
        <v>0</v>
      </c>
      <c r="F25" s="24" t="n">
        <v>0</v>
      </c>
      <c r="G25" s="24" t="n">
        <v>3388.49</v>
      </c>
      <c r="H25" s="24" t="n">
        <v>468.85</v>
      </c>
      <c r="I25" s="24" t="n">
        <f aca="false">G25+H25</f>
        <v>3857.34</v>
      </c>
      <c r="J25" s="24" t="n">
        <f aca="false">D25-I25</f>
        <v>10208.03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418936.13</v>
      </c>
      <c r="E26" s="28" t="n">
        <f aca="false">SUM(E18:E25)</f>
        <v>0</v>
      </c>
      <c r="F26" s="28" t="n">
        <f aca="false">SUM(F18:F25)</f>
        <v>802.92</v>
      </c>
      <c r="G26" s="28" t="n">
        <f aca="false">SUM(G18:G25)</f>
        <v>171957.21</v>
      </c>
      <c r="H26" s="28" t="n">
        <f aca="false">SUM(H18:H25)</f>
        <v>21227.12</v>
      </c>
      <c r="I26" s="28" t="n">
        <f aca="false">SUM(I18:I25)</f>
        <v>193184.33</v>
      </c>
      <c r="J26" s="28" t="n">
        <f aca="false">SUM(J18:J25)</f>
        <v>225751.8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128215.81</v>
      </c>
    </row>
    <row r="30" customFormat="false" ht="15" hidden="false" customHeight="false" outlineLevel="0" collapsed="false">
      <c r="B30" s="6" t="s">
        <v>101</v>
      </c>
      <c r="D30" s="7" t="n">
        <f aca="false">I26</f>
        <v>193184.33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-64968.52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1183.32</v>
      </c>
      <c r="E36" s="24" t="n">
        <v>0</v>
      </c>
      <c r="F36" s="24" t="n">
        <v>0</v>
      </c>
      <c r="G36" s="24" t="n">
        <v>71.65</v>
      </c>
      <c r="H36" s="24" t="n">
        <v>29.43</v>
      </c>
      <c r="I36" s="24" t="n">
        <f aca="false">G36+H36</f>
        <v>101.08</v>
      </c>
      <c r="J36" s="24" t="n">
        <f aca="false">D36-I36</f>
        <v>1082.24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352122.24</v>
      </c>
      <c r="E37" s="24" t="n">
        <v>0</v>
      </c>
      <c r="F37" s="24" t="n">
        <v>0</v>
      </c>
      <c r="G37" s="24" t="n">
        <v>75780.32</v>
      </c>
      <c r="H37" s="24" t="n">
        <v>8280.01</v>
      </c>
      <c r="I37" s="24" t="n">
        <f aca="false">G37+H37</f>
        <v>84060.33</v>
      </c>
      <c r="J37" s="24" t="n">
        <f aca="false">D37-I37</f>
        <v>268061.91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21876.86</v>
      </c>
      <c r="E38" s="24" t="n">
        <v>0</v>
      </c>
      <c r="F38" s="24" t="n">
        <v>0</v>
      </c>
      <c r="G38" s="24" t="n">
        <v>20418.39</v>
      </c>
      <c r="H38" s="24" t="n">
        <v>0</v>
      </c>
      <c r="I38" s="24" t="n">
        <f aca="false">G38+H38</f>
        <v>20418.39</v>
      </c>
      <c r="J38" s="24" t="n">
        <f aca="false">D38-I38</f>
        <v>1458.47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43753.71</v>
      </c>
      <c r="E39" s="24" t="n">
        <v>0</v>
      </c>
      <c r="F39" s="24" t="n">
        <v>0</v>
      </c>
      <c r="G39" s="24" t="n">
        <v>21054.54</v>
      </c>
      <c r="H39" s="24" t="n">
        <v>2581.47</v>
      </c>
      <c r="I39" s="24" t="n">
        <f aca="false">G39+H39</f>
        <v>23636.01</v>
      </c>
      <c r="J39" s="24" t="n">
        <f aca="false">D39-I39</f>
        <v>20117.7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418936.13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117324.9</v>
      </c>
      <c r="H40" s="28" t="n">
        <f aca="false">SUM(H36:H39)</f>
        <v>10890.91</v>
      </c>
      <c r="I40" s="28" t="n">
        <f aca="false">SUM(I36:I39)</f>
        <v>128215.81</v>
      </c>
      <c r="J40" s="28" t="n">
        <f aca="false">SUM(J36:J39)</f>
        <v>290720.32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88</v>
      </c>
      <c r="C44" s="23" t="s">
        <v>28</v>
      </c>
      <c r="D44" s="24" t="n">
        <v>802.92</v>
      </c>
      <c r="E44" s="24" t="n">
        <v>0</v>
      </c>
      <c r="F44" s="24" t="n">
        <v>802.92</v>
      </c>
      <c r="G44" s="24" t="n">
        <v>802.92</v>
      </c>
      <c r="H44" s="24" t="n">
        <v>0</v>
      </c>
      <c r="I44" s="24" t="n">
        <f aca="false">G44+H44</f>
        <v>802.92</v>
      </c>
      <c r="J44" s="24" t="n">
        <f aca="false">D44-I44</f>
        <v>0</v>
      </c>
      <c r="K44" s="25" t="s">
        <v>89</v>
      </c>
      <c r="L44" s="25" t="s">
        <v>90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380.4</v>
      </c>
      <c r="E45" s="24" t="n">
        <v>0</v>
      </c>
      <c r="F45" s="24" t="n">
        <v>0</v>
      </c>
      <c r="G45" s="24" t="n">
        <v>29.06</v>
      </c>
      <c r="H45" s="24" t="n">
        <v>12.68</v>
      </c>
      <c r="I45" s="24" t="n">
        <f aca="false">G45+H45</f>
        <v>41.74</v>
      </c>
      <c r="J45" s="24" t="n">
        <f aca="false">D45-I45</f>
        <v>338.66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93</v>
      </c>
      <c r="C46" s="23" t="s">
        <v>30</v>
      </c>
      <c r="D46" s="24" t="n">
        <v>238926.62</v>
      </c>
      <c r="E46" s="24" t="n">
        <v>0</v>
      </c>
      <c r="F46" s="24" t="n">
        <v>0</v>
      </c>
      <c r="G46" s="24" t="n">
        <v>119005.41</v>
      </c>
      <c r="H46" s="24" t="n">
        <v>14108.38</v>
      </c>
      <c r="I46" s="24" t="n">
        <f aca="false">G46+H46</f>
        <v>133113.79</v>
      </c>
      <c r="J46" s="24" t="n">
        <f aca="false">D46-I46</f>
        <v>105812.83</v>
      </c>
      <c r="K46" s="25" t="s">
        <v>89</v>
      </c>
      <c r="L46" s="25" t="s">
        <v>90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113195.62</v>
      </c>
      <c r="E47" s="24" t="n">
        <v>0</v>
      </c>
      <c r="F47" s="24" t="n">
        <v>0</v>
      </c>
      <c r="G47" s="24" t="n">
        <v>24997.38</v>
      </c>
      <c r="H47" s="24" t="n">
        <v>3773.19</v>
      </c>
      <c r="I47" s="24" t="n">
        <f aca="false">G47+H47</f>
        <v>28770.57</v>
      </c>
      <c r="J47" s="24" t="n">
        <f aca="false">D47-I47</f>
        <v>84425.05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95</v>
      </c>
      <c r="C48" s="23" t="s">
        <v>30</v>
      </c>
      <c r="D48" s="24" t="n">
        <v>14844.18</v>
      </c>
      <c r="E48" s="24" t="n">
        <v>0</v>
      </c>
      <c r="F48" s="24" t="n">
        <v>0</v>
      </c>
      <c r="G48" s="24" t="n">
        <v>7393.64</v>
      </c>
      <c r="H48" s="24" t="n">
        <v>876.53</v>
      </c>
      <c r="I48" s="24" t="n">
        <f aca="false">G48+H48</f>
        <v>8270.17</v>
      </c>
      <c r="J48" s="24" t="n">
        <f aca="false">D48-I48</f>
        <v>6574.01</v>
      </c>
      <c r="K48" s="25" t="s">
        <v>89</v>
      </c>
      <c r="L48" s="25" t="s">
        <v>90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7032.68</v>
      </c>
      <c r="E49" s="24" t="n">
        <v>0</v>
      </c>
      <c r="F49" s="24" t="n">
        <v>0</v>
      </c>
      <c r="G49" s="24" t="n">
        <v>1553.03</v>
      </c>
      <c r="H49" s="24" t="n">
        <v>234.42</v>
      </c>
      <c r="I49" s="24" t="n">
        <f aca="false">G49+H49</f>
        <v>1787.45</v>
      </c>
      <c r="J49" s="24" t="n">
        <f aca="false">D49-I49</f>
        <v>5245.23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97</v>
      </c>
      <c r="C50" s="23" t="s">
        <v>30</v>
      </c>
      <c r="D50" s="24" t="n">
        <v>29688.34</v>
      </c>
      <c r="E50" s="24" t="n">
        <v>0</v>
      </c>
      <c r="F50" s="24" t="n">
        <v>0</v>
      </c>
      <c r="G50" s="24" t="n">
        <v>14787.28</v>
      </c>
      <c r="H50" s="24" t="n">
        <v>1753.07</v>
      </c>
      <c r="I50" s="24" t="n">
        <f aca="false">G50+H50</f>
        <v>16540.35</v>
      </c>
      <c r="J50" s="24" t="n">
        <f aca="false">D50-I50</f>
        <v>13147.99</v>
      </c>
      <c r="K50" s="25" t="s">
        <v>89</v>
      </c>
      <c r="L50" s="25" t="s">
        <v>90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14065.37</v>
      </c>
      <c r="E51" s="24" t="n">
        <v>0</v>
      </c>
      <c r="F51" s="24" t="n">
        <v>0</v>
      </c>
      <c r="G51" s="24" t="n">
        <v>3388.49</v>
      </c>
      <c r="H51" s="24" t="n">
        <v>468.85</v>
      </c>
      <c r="I51" s="24" t="n">
        <f aca="false">G51+H51</f>
        <v>3857.34</v>
      </c>
      <c r="J51" s="24" t="n">
        <f aca="false">D51-I51</f>
        <v>10208.03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418936.13</v>
      </c>
      <c r="E52" s="28" t="n">
        <f aca="false">SUM(E44:E51)</f>
        <v>0</v>
      </c>
      <c r="F52" s="28" t="n">
        <f aca="false">SUM(F44:F51)</f>
        <v>802.92</v>
      </c>
      <c r="G52" s="28" t="n">
        <f aca="false">SUM(G44:G51)</f>
        <v>171957.21</v>
      </c>
      <c r="H52" s="28" t="n">
        <f aca="false">SUM(H44:H51)</f>
        <v>21227.12</v>
      </c>
      <c r="I52" s="28" t="n">
        <f aca="false">SUM(I44:I51)</f>
        <v>193184.33</v>
      </c>
      <c r="J52" s="28" t="n">
        <f aca="false">SUM(J44:J51)</f>
        <v>225751.8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128215.81</v>
      </c>
    </row>
    <row r="56" customFormat="false" ht="15" hidden="false" customHeight="false" outlineLevel="0" collapsed="false">
      <c r="B56" s="6" t="s">
        <v>101</v>
      </c>
      <c r="D56" s="7" t="n">
        <f aca="false">I52</f>
        <v>193184.33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-64968.52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109</v>
      </c>
      <c r="D60" s="13" t="n">
        <f aca="false">D86</f>
        <v>418936.13</v>
      </c>
    </row>
    <row r="61" customFormat="false" ht="15" hidden="false" customHeight="false" outlineLevel="0" collapsed="false">
      <c r="B61" s="6" t="s">
        <v>110</v>
      </c>
      <c r="D61" s="7" t="n">
        <f aca="false">F86</f>
        <v>284262.06</v>
      </c>
    </row>
    <row r="62" customFormat="false" ht="15" hidden="false" customHeight="false" outlineLevel="0" collapsed="false">
      <c r="B62" s="30" t="s">
        <v>111</v>
      </c>
      <c r="D62" s="31" t="n">
        <f aca="false">F87</f>
        <v>0.678533169244677</v>
      </c>
    </row>
    <row r="63" customFormat="false" ht="15" hidden="false" customHeight="false" outlineLevel="0" collapsed="false">
      <c r="B63" s="6" t="s">
        <v>112</v>
      </c>
      <c r="D63" s="7" t="n">
        <f aca="false">H86</f>
        <v>134674.07</v>
      </c>
    </row>
    <row r="64" customFormat="false" ht="15" hidden="false" customHeight="false" outlineLevel="0" collapsed="false">
      <c r="B64" s="30" t="s">
        <v>111</v>
      </c>
      <c r="D64" s="31" t="n">
        <f aca="false">H87</f>
        <v>0.321466830755323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115</v>
      </c>
      <c r="H67" s="5" t="s">
        <v>116</v>
      </c>
    </row>
    <row r="68" customFormat="false" ht="15" hidden="false" customHeight="false" outlineLevel="0" collapsed="false">
      <c r="B68" s="32" t="s">
        <v>117</v>
      </c>
    </row>
    <row r="69" customFormat="false" ht="15" hidden="false" customHeight="false" outlineLevel="0" collapsed="false">
      <c r="B69" s="6" t="s">
        <v>118</v>
      </c>
      <c r="D69" s="33" t="n">
        <f aca="false">SUM(F69:H69)</f>
        <v>18138.39</v>
      </c>
      <c r="F69" s="33" t="n">
        <v>18138.39</v>
      </c>
    </row>
    <row r="70" customFormat="false" ht="15" hidden="false" customHeight="false" outlineLevel="0" collapsed="false">
      <c r="B70" s="6" t="s">
        <v>119</v>
      </c>
      <c r="D70" s="33" t="n">
        <f aca="false">SUM(F70:H70)</f>
        <v>108041.17</v>
      </c>
      <c r="F70" s="33" t="n">
        <v>108041.17</v>
      </c>
    </row>
    <row r="71" customFormat="false" ht="15" hidden="false" customHeight="false" outlineLevel="0" collapsed="false">
      <c r="B71" s="6" t="s">
        <v>120</v>
      </c>
      <c r="D71" s="33" t="n">
        <f aca="false">SUM(F71:H71)</f>
        <v>1298.37</v>
      </c>
      <c r="F71" s="33" t="n">
        <v>1298.37</v>
      </c>
    </row>
    <row r="72" customFormat="false" ht="15" hidden="false" customHeight="false" outlineLevel="0" collapsed="false">
      <c r="B72" s="6" t="s">
        <v>121</v>
      </c>
      <c r="D72" s="33" t="n">
        <f aca="false">SUM(F72:H72)</f>
        <v>2443.43</v>
      </c>
      <c r="F72" s="33" t="n">
        <v>2443.43</v>
      </c>
    </row>
    <row r="73" customFormat="false" ht="15" hidden="false" customHeight="false" outlineLevel="0" collapsed="false">
      <c r="B73" s="6" t="s">
        <v>122</v>
      </c>
      <c r="D73" s="33" t="n">
        <f aca="false">SUM(F73:H73)</f>
        <v>90363.64</v>
      </c>
      <c r="F73" s="33" t="n">
        <v>90363.64</v>
      </c>
    </row>
    <row r="74" customFormat="false" ht="15" hidden="false" customHeight="false" outlineLevel="0" collapsed="false">
      <c r="B74" s="6" t="s">
        <v>123</v>
      </c>
      <c r="D74" s="33" t="n">
        <f aca="false">SUM(F74:H74)</f>
        <v>8205.48</v>
      </c>
      <c r="F74" s="33" t="n">
        <v>8205.48</v>
      </c>
    </row>
    <row r="75" customFormat="false" ht="15" hidden="false" customHeight="false" outlineLevel="0" collapsed="false">
      <c r="B75" s="6" t="s">
        <v>124</v>
      </c>
      <c r="D75" s="33" t="n">
        <f aca="false">SUM(F75:H75)</f>
        <v>11851.54</v>
      </c>
      <c r="F75" s="33" t="n">
        <v>11851.54</v>
      </c>
    </row>
    <row r="76" customFormat="false" ht="15" hidden="false" customHeight="false" outlineLevel="0" collapsed="false">
      <c r="B76" s="6" t="s">
        <v>125</v>
      </c>
      <c r="D76" s="33" t="n">
        <f aca="false">SUM(F76:H76)</f>
        <v>246.69</v>
      </c>
      <c r="F76" s="33" t="n">
        <v>246.69</v>
      </c>
    </row>
    <row r="77" customFormat="false" ht="15" hidden="false" customHeight="false" outlineLevel="0" collapsed="false">
      <c r="B77" s="6" t="s">
        <v>126</v>
      </c>
      <c r="D77" s="33" t="n">
        <f aca="false">SUM(F77:H77)</f>
        <v>7825.15</v>
      </c>
      <c r="F77" s="33" t="n">
        <v>7825.15</v>
      </c>
    </row>
    <row r="78" customFormat="false" ht="15" hidden="false" customHeight="false" outlineLevel="0" collapsed="false">
      <c r="B78" s="6" t="s">
        <v>127</v>
      </c>
      <c r="D78" s="33" t="n">
        <f aca="false">SUM(F78:H78)</f>
        <v>888.97</v>
      </c>
      <c r="F78" s="33" t="n">
        <v>888.97</v>
      </c>
    </row>
    <row r="79" customFormat="false" ht="15" hidden="false" customHeight="false" outlineLevel="0" collapsed="false">
      <c r="B79" s="6" t="s">
        <v>128</v>
      </c>
      <c r="D79" s="33" t="n">
        <f aca="false">SUM(F79:H79)</f>
        <v>3748.31</v>
      </c>
      <c r="F79" s="33" t="n">
        <v>3748.31</v>
      </c>
    </row>
    <row r="80" customFormat="false" ht="15" hidden="false" customHeight="false" outlineLevel="0" collapsed="false">
      <c r="B80" s="6" t="s">
        <v>129</v>
      </c>
      <c r="D80" s="33" t="n">
        <f aca="false">SUM(F80:H80)</f>
        <v>4557.68</v>
      </c>
      <c r="F80" s="33" t="n">
        <v>4557.68</v>
      </c>
    </row>
    <row r="81" customFormat="false" ht="15" hidden="false" customHeight="false" outlineLevel="0" collapsed="false">
      <c r="B81" s="6" t="s">
        <v>130</v>
      </c>
      <c r="D81" s="33" t="n">
        <f aca="false">SUM(F81:H81)</f>
        <v>5241.45</v>
      </c>
      <c r="F81" s="33" t="n">
        <v>5241.45</v>
      </c>
    </row>
    <row r="82" customFormat="false" ht="15" hidden="false" customHeight="false" outlineLevel="0" collapsed="false">
      <c r="B82" s="6" t="s">
        <v>131</v>
      </c>
      <c r="D82" s="33" t="n">
        <f aca="false">SUM(F82:H82)</f>
        <v>15339.8</v>
      </c>
      <c r="F82" s="33" t="n">
        <v>15339.8</v>
      </c>
    </row>
    <row r="83" customFormat="false" ht="15" hidden="false" customHeight="false" outlineLevel="0" collapsed="false">
      <c r="B83" s="6" t="s">
        <v>132</v>
      </c>
      <c r="D83" s="33" t="n">
        <f aca="false">SUM(F83:H83)</f>
        <v>6071.99</v>
      </c>
      <c r="F83" s="33" t="n">
        <v>6071.99</v>
      </c>
    </row>
    <row r="84" customFormat="false" ht="15" hidden="false" customHeight="false" outlineLevel="0" collapsed="false">
      <c r="B84" s="32" t="s">
        <v>133</v>
      </c>
    </row>
    <row r="85" customFormat="false" ht="15" hidden="false" customHeight="false" outlineLevel="0" collapsed="false">
      <c r="B85" s="6" t="s">
        <v>133</v>
      </c>
      <c r="D85" s="33" t="n">
        <f aca="false">SUM(F85:H85)</f>
        <v>134674.07</v>
      </c>
      <c r="H85" s="33" t="n">
        <v>134674.07</v>
      </c>
    </row>
    <row r="86" customFormat="false" ht="15" hidden="false" customHeight="false" outlineLevel="0" collapsed="false">
      <c r="B86" s="12" t="s">
        <v>109</v>
      </c>
      <c r="D86" s="34" t="n">
        <f aca="false">SUM(D69:D85)</f>
        <v>418936.13</v>
      </c>
      <c r="F86" s="34" t="n">
        <f aca="false">SUM(F69:F83)</f>
        <v>284262.06</v>
      </c>
      <c r="H86" s="34" t="n">
        <f aca="false">SUM(H85:H85)</f>
        <v>134674.07</v>
      </c>
    </row>
    <row r="87" customFormat="false" ht="15" hidden="false" customHeight="false" outlineLevel="0" collapsed="false">
      <c r="B87" s="30" t="s">
        <v>111</v>
      </c>
      <c r="F87" s="31" t="n">
        <f aca="false">F86/D86</f>
        <v>0.678533169244677</v>
      </c>
      <c r="H87" s="31" t="n">
        <f aca="false">H86/D86</f>
        <v>0.321466830755323</v>
      </c>
    </row>
    <row r="89" customFormat="false" ht="15" hidden="false" customHeight="false" outlineLevel="0" collapsed="false">
      <c r="A89" s="11" t="s">
        <v>134</v>
      </c>
    </row>
    <row r="90" customFormat="false" ht="15" hidden="false" customHeight="false" outlineLevel="0" collapsed="false">
      <c r="B90" s="5" t="s">
        <v>69</v>
      </c>
      <c r="D90" s="5" t="s">
        <v>72</v>
      </c>
      <c r="F90" s="5" t="s">
        <v>115</v>
      </c>
      <c r="H90" s="5" t="s">
        <v>116</v>
      </c>
    </row>
    <row r="91" customFormat="false" ht="15" hidden="false" customHeight="false" outlineLevel="0" collapsed="false">
      <c r="B91" s="6" t="s">
        <v>135</v>
      </c>
      <c r="D91" s="33" t="n">
        <f aca="false">F91+H91</f>
        <v>1183.32</v>
      </c>
      <c r="F91" s="33" t="n">
        <v>802.92</v>
      </c>
      <c r="H91" s="33" t="n">
        <v>380.4</v>
      </c>
    </row>
    <row r="92" customFormat="false" ht="15" hidden="false" customHeight="false" outlineLevel="0" collapsed="false">
      <c r="B92" s="6" t="s">
        <v>136</v>
      </c>
      <c r="D92" s="33" t="n">
        <f aca="false">F92+H92</f>
        <v>352122.24</v>
      </c>
      <c r="F92" s="33" t="n">
        <v>238926.62</v>
      </c>
      <c r="H92" s="33" t="n">
        <v>113195.62</v>
      </c>
    </row>
    <row r="93" customFormat="false" ht="15" hidden="false" customHeight="false" outlineLevel="0" collapsed="false">
      <c r="B93" s="6" t="s">
        <v>137</v>
      </c>
      <c r="D93" s="33" t="n">
        <f aca="false">F93+H93</f>
        <v>21876.86</v>
      </c>
      <c r="F93" s="33" t="n">
        <v>14844.18</v>
      </c>
      <c r="H93" s="33" t="n">
        <v>7032.68</v>
      </c>
    </row>
    <row r="94" customFormat="false" ht="15" hidden="false" customHeight="false" outlineLevel="0" collapsed="false">
      <c r="B94" s="6" t="s">
        <v>138</v>
      </c>
      <c r="D94" s="33" t="n">
        <f aca="false">F94+H94</f>
        <v>43753.71</v>
      </c>
      <c r="F94" s="33" t="n">
        <v>29688.34</v>
      </c>
      <c r="H94" s="33" t="n">
        <v>14065.37</v>
      </c>
    </row>
    <row r="95" customFormat="false" ht="15" hidden="false" customHeight="false" outlineLevel="0" collapsed="false">
      <c r="B95" s="12" t="s">
        <v>139</v>
      </c>
      <c r="D95" s="34" t="n">
        <f aca="false">SUM(D91:D94)</f>
        <v>418936.13</v>
      </c>
      <c r="F95" s="34" t="n">
        <f aca="false">SUM(F91:F94)</f>
        <v>284262.06</v>
      </c>
      <c r="H95" s="34" t="n">
        <f aca="false">SUM(H91:H94)</f>
        <v>134674.07</v>
      </c>
    </row>
    <row r="96" customFormat="false" ht="15" hidden="false" customHeight="false" outlineLevel="0" collapsed="false">
      <c r="B96" s="4" t="s">
        <v>140</v>
      </c>
      <c r="D96" s="17" t="n">
        <f aca="false">D95-D86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141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662.06</v>
      </c>
      <c r="E10" s="24" t="n">
        <v>0</v>
      </c>
      <c r="F10" s="24" t="n">
        <v>0</v>
      </c>
      <c r="G10" s="24" t="n">
        <v>40.09</v>
      </c>
      <c r="H10" s="24" t="n">
        <v>16.52</v>
      </c>
      <c r="I10" s="24" t="n">
        <f aca="false">G10+H10</f>
        <v>56.61</v>
      </c>
      <c r="J10" s="24" t="n">
        <f aca="false">D10-I10</f>
        <v>605.45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197009.25</v>
      </c>
      <c r="E11" s="24" t="n">
        <v>0</v>
      </c>
      <c r="F11" s="24" t="n">
        <v>0</v>
      </c>
      <c r="G11" s="24" t="n">
        <v>42398.42</v>
      </c>
      <c r="H11" s="24" t="n">
        <v>4632.55</v>
      </c>
      <c r="I11" s="24" t="n">
        <f aca="false">G11+H11</f>
        <v>47030.97</v>
      </c>
      <c r="J11" s="24" t="n">
        <f aca="false">D11-I11</f>
        <v>149978.28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12239.91</v>
      </c>
      <c r="E12" s="24" t="n">
        <v>0</v>
      </c>
      <c r="F12" s="24" t="n">
        <v>0</v>
      </c>
      <c r="G12" s="24" t="n">
        <v>11423.94</v>
      </c>
      <c r="H12" s="24" t="n">
        <v>0</v>
      </c>
      <c r="I12" s="24" t="n">
        <f aca="false">G12+H12</f>
        <v>11423.94</v>
      </c>
      <c r="J12" s="24" t="n">
        <f aca="false">D12-I12</f>
        <v>815.969999999999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24479.81</v>
      </c>
      <c r="E13" s="24" t="n">
        <v>0</v>
      </c>
      <c r="F13" s="24" t="n">
        <v>0</v>
      </c>
      <c r="G13" s="24" t="n">
        <v>11779.87</v>
      </c>
      <c r="H13" s="24" t="n">
        <v>1444.31</v>
      </c>
      <c r="I13" s="24" t="n">
        <f aca="false">G13+H13</f>
        <v>13224.18</v>
      </c>
      <c r="J13" s="24" t="n">
        <f aca="false">D13-I13</f>
        <v>11255.63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234391.03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65642.32</v>
      </c>
      <c r="H14" s="28" t="n">
        <f aca="false">SUM(H10:H13)</f>
        <v>6093.38</v>
      </c>
      <c r="I14" s="28" t="n">
        <f aca="false">SUM(I10:I13)</f>
        <v>71735.7</v>
      </c>
      <c r="J14" s="28" t="n">
        <f aca="false">SUM(J10:J13)</f>
        <v>162655.33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137.19</v>
      </c>
      <c r="E18" s="24" t="n">
        <v>0</v>
      </c>
      <c r="F18" s="24" t="n">
        <v>137.19</v>
      </c>
      <c r="G18" s="24" t="n">
        <v>137.19</v>
      </c>
      <c r="H18" s="24" t="n">
        <v>0</v>
      </c>
      <c r="I18" s="24" t="n">
        <f aca="false">G18+H18</f>
        <v>137.19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524.87</v>
      </c>
      <c r="E19" s="24" t="n">
        <v>0</v>
      </c>
      <c r="F19" s="24" t="n">
        <v>0</v>
      </c>
      <c r="G19" s="24" t="n">
        <v>40.1</v>
      </c>
      <c r="H19" s="24" t="n">
        <v>17.5</v>
      </c>
      <c r="I19" s="24" t="n">
        <f aca="false">G19+H19</f>
        <v>57.6</v>
      </c>
      <c r="J19" s="24" t="n">
        <f aca="false">D19-I19</f>
        <v>467.27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40824.27</v>
      </c>
      <c r="E20" s="24" t="n">
        <v>0</v>
      </c>
      <c r="F20" s="24" t="n">
        <v>0</v>
      </c>
      <c r="G20" s="24" t="n">
        <v>40824.27</v>
      </c>
      <c r="H20" s="24" t="n">
        <v>0</v>
      </c>
      <c r="I20" s="24" t="n">
        <f aca="false">G20+H20</f>
        <v>40824.27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156184.98</v>
      </c>
      <c r="E21" s="24" t="n">
        <v>0</v>
      </c>
      <c r="F21" s="24" t="n">
        <v>0</v>
      </c>
      <c r="G21" s="24" t="n">
        <v>34490.87</v>
      </c>
      <c r="H21" s="24" t="n">
        <v>5206.17</v>
      </c>
      <c r="I21" s="24" t="n">
        <f aca="false">G21+H21</f>
        <v>39697.04</v>
      </c>
      <c r="J21" s="24" t="n">
        <f aca="false">D21-I21</f>
        <v>116487.94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2536.35</v>
      </c>
      <c r="E22" s="24" t="n">
        <v>0</v>
      </c>
      <c r="F22" s="24" t="n">
        <v>0</v>
      </c>
      <c r="G22" s="24" t="n">
        <v>2536.35</v>
      </c>
      <c r="H22" s="24" t="n">
        <v>0</v>
      </c>
      <c r="I22" s="24" t="n">
        <f aca="false">G22+H22</f>
        <v>2536.35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9703.56</v>
      </c>
      <c r="E23" s="24" t="n">
        <v>0</v>
      </c>
      <c r="F23" s="24" t="n">
        <v>0</v>
      </c>
      <c r="G23" s="24" t="n">
        <v>2142.86</v>
      </c>
      <c r="H23" s="24" t="n">
        <v>323.45</v>
      </c>
      <c r="I23" s="24" t="n">
        <f aca="false">G23+H23</f>
        <v>2466.31</v>
      </c>
      <c r="J23" s="24" t="n">
        <f aca="false">D23-I23</f>
        <v>7237.25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5072.71</v>
      </c>
      <c r="E24" s="24" t="n">
        <v>0</v>
      </c>
      <c r="F24" s="24" t="n">
        <v>0</v>
      </c>
      <c r="G24" s="24" t="n">
        <v>5072.71</v>
      </c>
      <c r="H24" s="24" t="n">
        <v>0</v>
      </c>
      <c r="I24" s="24" t="n">
        <f aca="false">G24+H24</f>
        <v>5072.71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19407.1</v>
      </c>
      <c r="E25" s="24" t="n">
        <v>0</v>
      </c>
      <c r="F25" s="24" t="n">
        <v>0</v>
      </c>
      <c r="G25" s="24" t="n">
        <v>4285.71</v>
      </c>
      <c r="H25" s="24" t="n">
        <v>646.9</v>
      </c>
      <c r="I25" s="24" t="n">
        <f aca="false">G25+H25</f>
        <v>4932.61</v>
      </c>
      <c r="J25" s="24" t="n">
        <f aca="false">D25-I25</f>
        <v>14474.49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234391.03</v>
      </c>
      <c r="E26" s="28" t="n">
        <f aca="false">SUM(E18:E25)</f>
        <v>0</v>
      </c>
      <c r="F26" s="28" t="n">
        <f aca="false">SUM(F18:F25)</f>
        <v>137.19</v>
      </c>
      <c r="G26" s="28" t="n">
        <f aca="false">SUM(G18:G25)</f>
        <v>89530.06</v>
      </c>
      <c r="H26" s="28" t="n">
        <f aca="false">SUM(H18:H25)</f>
        <v>6194.02</v>
      </c>
      <c r="I26" s="28" t="n">
        <f aca="false">SUM(I18:I25)</f>
        <v>95724.08</v>
      </c>
      <c r="J26" s="28" t="n">
        <f aca="false">SUM(J18:J25)</f>
        <v>138666.95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71735.7</v>
      </c>
    </row>
    <row r="30" customFormat="false" ht="15" hidden="false" customHeight="false" outlineLevel="0" collapsed="false">
      <c r="B30" s="6" t="s">
        <v>101</v>
      </c>
      <c r="D30" s="7" t="n">
        <f aca="false">I26</f>
        <v>95724.08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-23988.38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662.06</v>
      </c>
      <c r="E36" s="24" t="n">
        <v>0</v>
      </c>
      <c r="F36" s="24" t="n">
        <v>0</v>
      </c>
      <c r="G36" s="24" t="n">
        <v>40.09</v>
      </c>
      <c r="H36" s="24" t="n">
        <v>16.52</v>
      </c>
      <c r="I36" s="24" t="n">
        <f aca="false">G36+H36</f>
        <v>56.61</v>
      </c>
      <c r="J36" s="24" t="n">
        <f aca="false">D36-I36</f>
        <v>605.45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197009.25</v>
      </c>
      <c r="E37" s="24" t="n">
        <v>0</v>
      </c>
      <c r="F37" s="24" t="n">
        <v>0</v>
      </c>
      <c r="G37" s="24" t="n">
        <v>42398.42</v>
      </c>
      <c r="H37" s="24" t="n">
        <v>4632.55</v>
      </c>
      <c r="I37" s="24" t="n">
        <f aca="false">G37+H37</f>
        <v>47030.97</v>
      </c>
      <c r="J37" s="24" t="n">
        <f aca="false">D37-I37</f>
        <v>149978.28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12239.91</v>
      </c>
      <c r="E38" s="24" t="n">
        <v>0</v>
      </c>
      <c r="F38" s="24" t="n">
        <v>0</v>
      </c>
      <c r="G38" s="24" t="n">
        <v>11423.94</v>
      </c>
      <c r="H38" s="24" t="n">
        <v>0</v>
      </c>
      <c r="I38" s="24" t="n">
        <f aca="false">G38+H38</f>
        <v>11423.94</v>
      </c>
      <c r="J38" s="24" t="n">
        <f aca="false">D38-I38</f>
        <v>815.969999999999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24479.81</v>
      </c>
      <c r="E39" s="24" t="n">
        <v>0</v>
      </c>
      <c r="F39" s="24" t="n">
        <v>0</v>
      </c>
      <c r="G39" s="24" t="n">
        <v>11779.87</v>
      </c>
      <c r="H39" s="24" t="n">
        <v>1444.31</v>
      </c>
      <c r="I39" s="24" t="n">
        <f aca="false">G39+H39</f>
        <v>13224.18</v>
      </c>
      <c r="J39" s="24" t="n">
        <f aca="false">D39-I39</f>
        <v>11255.63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234391.03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65642.32</v>
      </c>
      <c r="H40" s="28" t="n">
        <f aca="false">SUM(H36:H39)</f>
        <v>6093.38</v>
      </c>
      <c r="I40" s="28" t="n">
        <f aca="false">SUM(I36:I39)</f>
        <v>71735.7</v>
      </c>
      <c r="J40" s="28" t="n">
        <f aca="false">SUM(J36:J39)</f>
        <v>162655.33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137.19</v>
      </c>
      <c r="E44" s="24" t="n">
        <v>0</v>
      </c>
      <c r="F44" s="24" t="n">
        <v>137.19</v>
      </c>
      <c r="G44" s="24" t="n">
        <v>137.19</v>
      </c>
      <c r="H44" s="24" t="n">
        <v>0</v>
      </c>
      <c r="I44" s="24" t="n">
        <f aca="false">G44+H44</f>
        <v>137.19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524.87</v>
      </c>
      <c r="E45" s="24" t="n">
        <v>0</v>
      </c>
      <c r="F45" s="24" t="n">
        <v>0</v>
      </c>
      <c r="G45" s="24" t="n">
        <v>40.1</v>
      </c>
      <c r="H45" s="24" t="n">
        <v>17.5</v>
      </c>
      <c r="I45" s="24" t="n">
        <f aca="false">G45+H45</f>
        <v>57.6</v>
      </c>
      <c r="J45" s="24" t="n">
        <f aca="false">D45-I45</f>
        <v>467.27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40824.27</v>
      </c>
      <c r="E46" s="24" t="n">
        <v>0</v>
      </c>
      <c r="F46" s="24" t="n">
        <v>0</v>
      </c>
      <c r="G46" s="24" t="n">
        <v>40824.27</v>
      </c>
      <c r="H46" s="24" t="n">
        <v>0</v>
      </c>
      <c r="I46" s="24" t="n">
        <f aca="false">G46+H46</f>
        <v>40824.27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156184.98</v>
      </c>
      <c r="E47" s="24" t="n">
        <v>0</v>
      </c>
      <c r="F47" s="24" t="n">
        <v>0</v>
      </c>
      <c r="G47" s="24" t="n">
        <v>34490.87</v>
      </c>
      <c r="H47" s="24" t="n">
        <v>5206.17</v>
      </c>
      <c r="I47" s="24" t="n">
        <f aca="false">G47+H47</f>
        <v>39697.04</v>
      </c>
      <c r="J47" s="24" t="n">
        <f aca="false">D47-I47</f>
        <v>116487.94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2536.35</v>
      </c>
      <c r="E48" s="24" t="n">
        <v>0</v>
      </c>
      <c r="F48" s="24" t="n">
        <v>0</v>
      </c>
      <c r="G48" s="24" t="n">
        <v>2536.35</v>
      </c>
      <c r="H48" s="24" t="n">
        <v>0</v>
      </c>
      <c r="I48" s="24" t="n">
        <f aca="false">G48+H48</f>
        <v>2536.35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9703.56</v>
      </c>
      <c r="E49" s="24" t="n">
        <v>0</v>
      </c>
      <c r="F49" s="24" t="n">
        <v>0</v>
      </c>
      <c r="G49" s="24" t="n">
        <v>2142.86</v>
      </c>
      <c r="H49" s="24" t="n">
        <v>323.45</v>
      </c>
      <c r="I49" s="24" t="n">
        <f aca="false">G49+H49</f>
        <v>2466.31</v>
      </c>
      <c r="J49" s="24" t="n">
        <f aca="false">D49-I49</f>
        <v>7237.25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5072.71</v>
      </c>
      <c r="E50" s="24" t="n">
        <v>0</v>
      </c>
      <c r="F50" s="24" t="n">
        <v>0</v>
      </c>
      <c r="G50" s="24" t="n">
        <v>5072.71</v>
      </c>
      <c r="H50" s="24" t="n">
        <v>0</v>
      </c>
      <c r="I50" s="24" t="n">
        <f aca="false">G50+H50</f>
        <v>5072.71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19407.1</v>
      </c>
      <c r="E51" s="24" t="n">
        <v>0</v>
      </c>
      <c r="F51" s="24" t="n">
        <v>0</v>
      </c>
      <c r="G51" s="24" t="n">
        <v>4285.71</v>
      </c>
      <c r="H51" s="24" t="n">
        <v>646.9</v>
      </c>
      <c r="I51" s="24" t="n">
        <f aca="false">G51+H51</f>
        <v>4932.61</v>
      </c>
      <c r="J51" s="24" t="n">
        <f aca="false">D51-I51</f>
        <v>14474.49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234391.03</v>
      </c>
      <c r="E52" s="28" t="n">
        <f aca="false">SUM(E44:E51)</f>
        <v>0</v>
      </c>
      <c r="F52" s="28" t="n">
        <f aca="false">SUM(F44:F51)</f>
        <v>137.19</v>
      </c>
      <c r="G52" s="28" t="n">
        <f aca="false">SUM(G44:G51)</f>
        <v>89530.06</v>
      </c>
      <c r="H52" s="28" t="n">
        <f aca="false">SUM(H44:H51)</f>
        <v>6194.02</v>
      </c>
      <c r="I52" s="28" t="n">
        <f aca="false">SUM(I44:I51)</f>
        <v>95724.08</v>
      </c>
      <c r="J52" s="28" t="n">
        <f aca="false">SUM(J44:J51)</f>
        <v>138666.95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71735.7</v>
      </c>
    </row>
    <row r="56" customFormat="false" ht="15" hidden="false" customHeight="false" outlineLevel="0" collapsed="false">
      <c r="B56" s="6" t="s">
        <v>101</v>
      </c>
      <c r="D56" s="7" t="n">
        <f aca="false">I52</f>
        <v>95724.08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-23988.38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234391.03</v>
      </c>
    </row>
    <row r="61" customFormat="false" ht="15" hidden="false" customHeight="false" outlineLevel="0" collapsed="false">
      <c r="B61" s="6" t="s">
        <v>149</v>
      </c>
      <c r="D61" s="7" t="n">
        <f aca="false">F98</f>
        <v>48570.52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0.207220045920699</v>
      </c>
    </row>
    <row r="63" customFormat="false" ht="15" hidden="false" customHeight="false" outlineLevel="0" collapsed="false">
      <c r="B63" s="6" t="s">
        <v>151</v>
      </c>
      <c r="D63" s="7" t="n">
        <f aca="false">H98</f>
        <v>185820.51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0.792779954079301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11319.08</v>
      </c>
      <c r="F69" s="33" t="n">
        <v>11319.08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4407.51</v>
      </c>
      <c r="F70" s="33" t="n">
        <v>4407.51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17858.88</v>
      </c>
      <c r="F71" s="33" t="n">
        <v>17858.88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1586.91</v>
      </c>
      <c r="F72" s="33" t="n">
        <v>1586.91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1548.16</v>
      </c>
      <c r="F75" s="33" t="n">
        <v>1548.16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7270.82</v>
      </c>
      <c r="H81" s="33" t="n">
        <v>7270.82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12116.84</v>
      </c>
      <c r="H82" s="33" t="n">
        <v>12116.84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17293.33</v>
      </c>
      <c r="H83" s="33" t="n">
        <v>17293.33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16285.45</v>
      </c>
      <c r="H84" s="33" t="n">
        <v>16285.45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15033</v>
      </c>
      <c r="H85" s="33" t="n">
        <v>15033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958.91</v>
      </c>
      <c r="H86" s="33" t="n">
        <v>958.91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26187.51</v>
      </c>
      <c r="H87" s="33" t="n">
        <v>26187.51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11772.85</v>
      </c>
      <c r="H88" s="33" t="n">
        <v>11772.85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6994.46</v>
      </c>
      <c r="H89" s="33" t="n">
        <v>6994.46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7953.64</v>
      </c>
      <c r="H90" s="33" t="n">
        <v>7953.64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19168.95</v>
      </c>
      <c r="H91" s="33" t="n">
        <v>19168.95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7364.73</v>
      </c>
      <c r="H92" s="33" t="n">
        <v>7364.73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1137.92</v>
      </c>
      <c r="H93" s="33" t="n">
        <v>1137.92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28878.51</v>
      </c>
      <c r="H94" s="33" t="n">
        <v>28878.51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234391.03</v>
      </c>
      <c r="F98" s="34" t="n">
        <f aca="false">SUM(F69:F79)</f>
        <v>48570.52</v>
      </c>
      <c r="H98" s="34" t="n">
        <f aca="false">SUM(H81:H97)</f>
        <v>185820.51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0.207220045920699</v>
      </c>
      <c r="H99" s="31" t="n">
        <f aca="false">H98/D98</f>
        <v>0.792779954079301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662.06</v>
      </c>
      <c r="F103" s="33" t="n">
        <v>137.19</v>
      </c>
      <c r="H103" s="33" t="n">
        <v>524.87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197009.25</v>
      </c>
      <c r="F104" s="33" t="n">
        <v>40824.27</v>
      </c>
      <c r="H104" s="33" t="n">
        <v>156184.98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12239.91</v>
      </c>
      <c r="F105" s="33" t="n">
        <v>2536.35</v>
      </c>
      <c r="H105" s="33" t="n">
        <v>9703.56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24479.81</v>
      </c>
      <c r="F106" s="33" t="n">
        <v>5072.71</v>
      </c>
      <c r="H106" s="33" t="n">
        <v>19407.1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234391.03</v>
      </c>
      <c r="F107" s="34" t="n">
        <f aca="false">SUM(F103:F106)</f>
        <v>48570.52</v>
      </c>
      <c r="H107" s="34" t="n">
        <f aca="false">SUM(H103:H106)</f>
        <v>185820.51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183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662.06</v>
      </c>
      <c r="E10" s="24" t="n">
        <v>0</v>
      </c>
      <c r="F10" s="24" t="n">
        <v>0</v>
      </c>
      <c r="G10" s="24" t="n">
        <v>40.09</v>
      </c>
      <c r="H10" s="24" t="n">
        <v>16.52</v>
      </c>
      <c r="I10" s="24" t="n">
        <f aca="false">G10+H10</f>
        <v>56.61</v>
      </c>
      <c r="J10" s="24" t="n">
        <f aca="false">D10-I10</f>
        <v>605.45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197009.25</v>
      </c>
      <c r="E11" s="24" t="n">
        <v>0</v>
      </c>
      <c r="F11" s="24" t="n">
        <v>0</v>
      </c>
      <c r="G11" s="24" t="n">
        <v>42398.42</v>
      </c>
      <c r="H11" s="24" t="n">
        <v>4632.55</v>
      </c>
      <c r="I11" s="24" t="n">
        <f aca="false">G11+H11</f>
        <v>47030.97</v>
      </c>
      <c r="J11" s="24" t="n">
        <f aca="false">D11-I11</f>
        <v>149978.28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12239.91</v>
      </c>
      <c r="E12" s="24" t="n">
        <v>0</v>
      </c>
      <c r="F12" s="24" t="n">
        <v>0</v>
      </c>
      <c r="G12" s="24" t="n">
        <v>11423.94</v>
      </c>
      <c r="H12" s="24" t="n">
        <v>0</v>
      </c>
      <c r="I12" s="24" t="n">
        <f aca="false">G12+H12</f>
        <v>11423.94</v>
      </c>
      <c r="J12" s="24" t="n">
        <f aca="false">D12-I12</f>
        <v>815.969999999999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24479.81</v>
      </c>
      <c r="E13" s="24" t="n">
        <v>0</v>
      </c>
      <c r="F13" s="24" t="n">
        <v>0</v>
      </c>
      <c r="G13" s="24" t="n">
        <v>11779.87</v>
      </c>
      <c r="H13" s="24" t="n">
        <v>1444.31</v>
      </c>
      <c r="I13" s="24" t="n">
        <f aca="false">G13+H13</f>
        <v>13224.18</v>
      </c>
      <c r="J13" s="24" t="n">
        <f aca="false">D13-I13</f>
        <v>11255.63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234391.03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65642.32</v>
      </c>
      <c r="H14" s="28" t="n">
        <f aca="false">SUM(H10:H13)</f>
        <v>6093.38</v>
      </c>
      <c r="I14" s="28" t="n">
        <f aca="false">SUM(I10:I13)</f>
        <v>71735.7</v>
      </c>
      <c r="J14" s="28" t="n">
        <f aca="false">SUM(J10:J13)</f>
        <v>162655.33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137.19</v>
      </c>
      <c r="E18" s="24" t="n">
        <v>0</v>
      </c>
      <c r="F18" s="24" t="n">
        <v>137.19</v>
      </c>
      <c r="G18" s="24" t="n">
        <v>137.19</v>
      </c>
      <c r="H18" s="24" t="n">
        <v>0</v>
      </c>
      <c r="I18" s="24" t="n">
        <f aca="false">G18+H18</f>
        <v>137.19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524.87</v>
      </c>
      <c r="E19" s="24" t="n">
        <v>0</v>
      </c>
      <c r="F19" s="24" t="n">
        <v>0</v>
      </c>
      <c r="G19" s="24" t="n">
        <v>40.1</v>
      </c>
      <c r="H19" s="24" t="n">
        <v>17.5</v>
      </c>
      <c r="I19" s="24" t="n">
        <f aca="false">G19+H19</f>
        <v>57.6</v>
      </c>
      <c r="J19" s="24" t="n">
        <f aca="false">D19-I19</f>
        <v>467.27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40824.27</v>
      </c>
      <c r="E20" s="24" t="n">
        <v>0</v>
      </c>
      <c r="F20" s="24" t="n">
        <v>0</v>
      </c>
      <c r="G20" s="24" t="n">
        <v>40824.27</v>
      </c>
      <c r="H20" s="24" t="n">
        <v>0</v>
      </c>
      <c r="I20" s="24" t="n">
        <f aca="false">G20+H20</f>
        <v>40824.27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156184.98</v>
      </c>
      <c r="E21" s="24" t="n">
        <v>0</v>
      </c>
      <c r="F21" s="24" t="n">
        <v>0</v>
      </c>
      <c r="G21" s="24" t="n">
        <v>34490.87</v>
      </c>
      <c r="H21" s="24" t="n">
        <v>5206.17</v>
      </c>
      <c r="I21" s="24" t="n">
        <f aca="false">G21+H21</f>
        <v>39697.04</v>
      </c>
      <c r="J21" s="24" t="n">
        <f aca="false">D21-I21</f>
        <v>116487.94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2536.35</v>
      </c>
      <c r="E22" s="24" t="n">
        <v>0</v>
      </c>
      <c r="F22" s="24" t="n">
        <v>0</v>
      </c>
      <c r="G22" s="24" t="n">
        <v>2536.35</v>
      </c>
      <c r="H22" s="24" t="n">
        <v>0</v>
      </c>
      <c r="I22" s="24" t="n">
        <f aca="false">G22+H22</f>
        <v>2536.35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9703.56</v>
      </c>
      <c r="E23" s="24" t="n">
        <v>0</v>
      </c>
      <c r="F23" s="24" t="n">
        <v>0</v>
      </c>
      <c r="G23" s="24" t="n">
        <v>2142.86</v>
      </c>
      <c r="H23" s="24" t="n">
        <v>323.45</v>
      </c>
      <c r="I23" s="24" t="n">
        <f aca="false">G23+H23</f>
        <v>2466.31</v>
      </c>
      <c r="J23" s="24" t="n">
        <f aca="false">D23-I23</f>
        <v>7237.25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5072.71</v>
      </c>
      <c r="E24" s="24" t="n">
        <v>0</v>
      </c>
      <c r="F24" s="24" t="n">
        <v>0</v>
      </c>
      <c r="G24" s="24" t="n">
        <v>5072.71</v>
      </c>
      <c r="H24" s="24" t="n">
        <v>0</v>
      </c>
      <c r="I24" s="24" t="n">
        <f aca="false">G24+H24</f>
        <v>5072.71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19407.1</v>
      </c>
      <c r="E25" s="24" t="n">
        <v>0</v>
      </c>
      <c r="F25" s="24" t="n">
        <v>0</v>
      </c>
      <c r="G25" s="24" t="n">
        <v>4285.71</v>
      </c>
      <c r="H25" s="24" t="n">
        <v>646.9</v>
      </c>
      <c r="I25" s="24" t="n">
        <f aca="false">G25+H25</f>
        <v>4932.61</v>
      </c>
      <c r="J25" s="24" t="n">
        <f aca="false">D25-I25</f>
        <v>14474.49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234391.03</v>
      </c>
      <c r="E26" s="28" t="n">
        <f aca="false">SUM(E18:E25)</f>
        <v>0</v>
      </c>
      <c r="F26" s="28" t="n">
        <f aca="false">SUM(F18:F25)</f>
        <v>137.19</v>
      </c>
      <c r="G26" s="28" t="n">
        <f aca="false">SUM(G18:G25)</f>
        <v>89530.06</v>
      </c>
      <c r="H26" s="28" t="n">
        <f aca="false">SUM(H18:H25)</f>
        <v>6194.02</v>
      </c>
      <c r="I26" s="28" t="n">
        <f aca="false">SUM(I18:I25)</f>
        <v>95724.08</v>
      </c>
      <c r="J26" s="28" t="n">
        <f aca="false">SUM(J18:J25)</f>
        <v>138666.95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71735.7</v>
      </c>
    </row>
    <row r="30" customFormat="false" ht="15" hidden="false" customHeight="false" outlineLevel="0" collapsed="false">
      <c r="B30" s="6" t="s">
        <v>101</v>
      </c>
      <c r="D30" s="7" t="n">
        <f aca="false">I26</f>
        <v>95724.08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-23988.38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662.06</v>
      </c>
      <c r="E36" s="24" t="n">
        <v>0</v>
      </c>
      <c r="F36" s="24" t="n">
        <v>0</v>
      </c>
      <c r="G36" s="24" t="n">
        <v>40.09</v>
      </c>
      <c r="H36" s="24" t="n">
        <v>16.52</v>
      </c>
      <c r="I36" s="24" t="n">
        <f aca="false">G36+H36</f>
        <v>56.61</v>
      </c>
      <c r="J36" s="24" t="n">
        <f aca="false">D36-I36</f>
        <v>605.45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197009.25</v>
      </c>
      <c r="E37" s="24" t="n">
        <v>0</v>
      </c>
      <c r="F37" s="24" t="n">
        <v>0</v>
      </c>
      <c r="G37" s="24" t="n">
        <v>42398.42</v>
      </c>
      <c r="H37" s="24" t="n">
        <v>4632.55</v>
      </c>
      <c r="I37" s="24" t="n">
        <f aca="false">G37+H37</f>
        <v>47030.97</v>
      </c>
      <c r="J37" s="24" t="n">
        <f aca="false">D37-I37</f>
        <v>149978.28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12239.91</v>
      </c>
      <c r="E38" s="24" t="n">
        <v>0</v>
      </c>
      <c r="F38" s="24" t="n">
        <v>0</v>
      </c>
      <c r="G38" s="24" t="n">
        <v>11423.94</v>
      </c>
      <c r="H38" s="24" t="n">
        <v>0</v>
      </c>
      <c r="I38" s="24" t="n">
        <f aca="false">G38+H38</f>
        <v>11423.94</v>
      </c>
      <c r="J38" s="24" t="n">
        <f aca="false">D38-I38</f>
        <v>815.969999999999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24479.81</v>
      </c>
      <c r="E39" s="24" t="n">
        <v>0</v>
      </c>
      <c r="F39" s="24" t="n">
        <v>0</v>
      </c>
      <c r="G39" s="24" t="n">
        <v>11779.87</v>
      </c>
      <c r="H39" s="24" t="n">
        <v>1444.31</v>
      </c>
      <c r="I39" s="24" t="n">
        <f aca="false">G39+H39</f>
        <v>13224.18</v>
      </c>
      <c r="J39" s="24" t="n">
        <f aca="false">D39-I39</f>
        <v>11255.63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234391.03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65642.32</v>
      </c>
      <c r="H40" s="28" t="n">
        <f aca="false">SUM(H36:H39)</f>
        <v>6093.38</v>
      </c>
      <c r="I40" s="28" t="n">
        <f aca="false">SUM(I36:I39)</f>
        <v>71735.7</v>
      </c>
      <c r="J40" s="28" t="n">
        <f aca="false">SUM(J36:J39)</f>
        <v>162655.33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137.19</v>
      </c>
      <c r="E44" s="24" t="n">
        <v>0</v>
      </c>
      <c r="F44" s="24" t="n">
        <v>137.19</v>
      </c>
      <c r="G44" s="24" t="n">
        <v>137.19</v>
      </c>
      <c r="H44" s="24" t="n">
        <v>0</v>
      </c>
      <c r="I44" s="24" t="n">
        <f aca="false">G44+H44</f>
        <v>137.19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524.87</v>
      </c>
      <c r="E45" s="24" t="n">
        <v>0</v>
      </c>
      <c r="F45" s="24" t="n">
        <v>0</v>
      </c>
      <c r="G45" s="24" t="n">
        <v>40.1</v>
      </c>
      <c r="H45" s="24" t="n">
        <v>17.5</v>
      </c>
      <c r="I45" s="24" t="n">
        <f aca="false">G45+H45</f>
        <v>57.6</v>
      </c>
      <c r="J45" s="24" t="n">
        <f aca="false">D45-I45</f>
        <v>467.27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40824.27</v>
      </c>
      <c r="E46" s="24" t="n">
        <v>0</v>
      </c>
      <c r="F46" s="24" t="n">
        <v>0</v>
      </c>
      <c r="G46" s="24" t="n">
        <v>40824.27</v>
      </c>
      <c r="H46" s="24" t="n">
        <v>0</v>
      </c>
      <c r="I46" s="24" t="n">
        <f aca="false">G46+H46</f>
        <v>40824.27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156184.98</v>
      </c>
      <c r="E47" s="24" t="n">
        <v>0</v>
      </c>
      <c r="F47" s="24" t="n">
        <v>0</v>
      </c>
      <c r="G47" s="24" t="n">
        <v>34490.87</v>
      </c>
      <c r="H47" s="24" t="n">
        <v>5206.17</v>
      </c>
      <c r="I47" s="24" t="n">
        <f aca="false">G47+H47</f>
        <v>39697.04</v>
      </c>
      <c r="J47" s="24" t="n">
        <f aca="false">D47-I47</f>
        <v>116487.94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2536.35</v>
      </c>
      <c r="E48" s="24" t="n">
        <v>0</v>
      </c>
      <c r="F48" s="24" t="n">
        <v>0</v>
      </c>
      <c r="G48" s="24" t="n">
        <v>2536.35</v>
      </c>
      <c r="H48" s="24" t="n">
        <v>0</v>
      </c>
      <c r="I48" s="24" t="n">
        <f aca="false">G48+H48</f>
        <v>2536.35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9703.56</v>
      </c>
      <c r="E49" s="24" t="n">
        <v>0</v>
      </c>
      <c r="F49" s="24" t="n">
        <v>0</v>
      </c>
      <c r="G49" s="24" t="n">
        <v>2142.86</v>
      </c>
      <c r="H49" s="24" t="n">
        <v>323.45</v>
      </c>
      <c r="I49" s="24" t="n">
        <f aca="false">G49+H49</f>
        <v>2466.31</v>
      </c>
      <c r="J49" s="24" t="n">
        <f aca="false">D49-I49</f>
        <v>7237.25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5072.71</v>
      </c>
      <c r="E50" s="24" t="n">
        <v>0</v>
      </c>
      <c r="F50" s="24" t="n">
        <v>0</v>
      </c>
      <c r="G50" s="24" t="n">
        <v>5072.71</v>
      </c>
      <c r="H50" s="24" t="n">
        <v>0</v>
      </c>
      <c r="I50" s="24" t="n">
        <f aca="false">G50+H50</f>
        <v>5072.71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19407.1</v>
      </c>
      <c r="E51" s="24" t="n">
        <v>0</v>
      </c>
      <c r="F51" s="24" t="n">
        <v>0</v>
      </c>
      <c r="G51" s="24" t="n">
        <v>4285.71</v>
      </c>
      <c r="H51" s="24" t="n">
        <v>646.9</v>
      </c>
      <c r="I51" s="24" t="n">
        <f aca="false">G51+H51</f>
        <v>4932.61</v>
      </c>
      <c r="J51" s="24" t="n">
        <f aca="false">D51-I51</f>
        <v>14474.49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234391.03</v>
      </c>
      <c r="E52" s="28" t="n">
        <f aca="false">SUM(E44:E51)</f>
        <v>0</v>
      </c>
      <c r="F52" s="28" t="n">
        <f aca="false">SUM(F44:F51)</f>
        <v>137.19</v>
      </c>
      <c r="G52" s="28" t="n">
        <f aca="false">SUM(G44:G51)</f>
        <v>89530.06</v>
      </c>
      <c r="H52" s="28" t="n">
        <f aca="false">SUM(H44:H51)</f>
        <v>6194.02</v>
      </c>
      <c r="I52" s="28" t="n">
        <f aca="false">SUM(I44:I51)</f>
        <v>95724.08</v>
      </c>
      <c r="J52" s="28" t="n">
        <f aca="false">SUM(J44:J51)</f>
        <v>138666.95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71735.7</v>
      </c>
    </row>
    <row r="56" customFormat="false" ht="15" hidden="false" customHeight="false" outlineLevel="0" collapsed="false">
      <c r="B56" s="6" t="s">
        <v>101</v>
      </c>
      <c r="D56" s="7" t="n">
        <f aca="false">I52</f>
        <v>95724.08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-23988.38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234391.03</v>
      </c>
    </row>
    <row r="61" customFormat="false" ht="15" hidden="false" customHeight="false" outlineLevel="0" collapsed="false">
      <c r="B61" s="6" t="s">
        <v>149</v>
      </c>
      <c r="D61" s="7" t="n">
        <f aca="false">F98</f>
        <v>48570.52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0.207220045920699</v>
      </c>
    </row>
    <row r="63" customFormat="false" ht="15" hidden="false" customHeight="false" outlineLevel="0" collapsed="false">
      <c r="B63" s="6" t="s">
        <v>151</v>
      </c>
      <c r="D63" s="7" t="n">
        <f aca="false">H98</f>
        <v>185820.51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0.792779954079301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11319.08</v>
      </c>
      <c r="F69" s="33" t="n">
        <v>11319.08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4407.51</v>
      </c>
      <c r="F70" s="33" t="n">
        <v>4407.51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17858.88</v>
      </c>
      <c r="F71" s="33" t="n">
        <v>17858.88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1586.91</v>
      </c>
      <c r="F72" s="33" t="n">
        <v>1586.91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1548.16</v>
      </c>
      <c r="F75" s="33" t="n">
        <v>1548.16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7270.82</v>
      </c>
      <c r="H81" s="33" t="n">
        <v>7270.82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12116.84</v>
      </c>
      <c r="H82" s="33" t="n">
        <v>12116.84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17293.33</v>
      </c>
      <c r="H83" s="33" t="n">
        <v>17293.33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16285.45</v>
      </c>
      <c r="H84" s="33" t="n">
        <v>16285.45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15033</v>
      </c>
      <c r="H85" s="33" t="n">
        <v>15033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958.91</v>
      </c>
      <c r="H86" s="33" t="n">
        <v>958.91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26187.51</v>
      </c>
      <c r="H87" s="33" t="n">
        <v>26187.51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11772.85</v>
      </c>
      <c r="H88" s="33" t="n">
        <v>11772.85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6994.46</v>
      </c>
      <c r="H89" s="33" t="n">
        <v>6994.46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7953.64</v>
      </c>
      <c r="H90" s="33" t="n">
        <v>7953.64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19168.95</v>
      </c>
      <c r="H91" s="33" t="n">
        <v>19168.95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7364.73</v>
      </c>
      <c r="H92" s="33" t="n">
        <v>7364.73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1137.92</v>
      </c>
      <c r="H93" s="33" t="n">
        <v>1137.92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28878.51</v>
      </c>
      <c r="H94" s="33" t="n">
        <v>28878.51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234391.03</v>
      </c>
      <c r="F98" s="34" t="n">
        <f aca="false">SUM(F69:F79)</f>
        <v>48570.52</v>
      </c>
      <c r="H98" s="34" t="n">
        <f aca="false">SUM(H81:H97)</f>
        <v>185820.51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0.207220045920699</v>
      </c>
      <c r="H99" s="31" t="n">
        <f aca="false">H98/D98</f>
        <v>0.792779954079301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662.06</v>
      </c>
      <c r="F103" s="33" t="n">
        <v>137.19</v>
      </c>
      <c r="H103" s="33" t="n">
        <v>524.87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197009.25</v>
      </c>
      <c r="F104" s="33" t="n">
        <v>40824.27</v>
      </c>
      <c r="H104" s="33" t="n">
        <v>156184.98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12239.91</v>
      </c>
      <c r="F105" s="33" t="n">
        <v>2536.35</v>
      </c>
      <c r="H105" s="33" t="n">
        <v>9703.56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24479.81</v>
      </c>
      <c r="F106" s="33" t="n">
        <v>5072.71</v>
      </c>
      <c r="H106" s="33" t="n">
        <v>19407.1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234391.03</v>
      </c>
      <c r="F107" s="34" t="n">
        <f aca="false">SUM(F103:F106)</f>
        <v>48570.52</v>
      </c>
      <c r="H107" s="34" t="n">
        <f aca="false">SUM(H103:H106)</f>
        <v>185820.51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184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662.06</v>
      </c>
      <c r="E10" s="24" t="n">
        <v>0</v>
      </c>
      <c r="F10" s="24" t="n">
        <v>0</v>
      </c>
      <c r="G10" s="24" t="n">
        <v>40.09</v>
      </c>
      <c r="H10" s="24" t="n">
        <v>16.52</v>
      </c>
      <c r="I10" s="24" t="n">
        <f aca="false">G10+H10</f>
        <v>56.61</v>
      </c>
      <c r="J10" s="24" t="n">
        <f aca="false">D10-I10</f>
        <v>605.45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197009.25</v>
      </c>
      <c r="E11" s="24" t="n">
        <v>0</v>
      </c>
      <c r="F11" s="24" t="n">
        <v>0</v>
      </c>
      <c r="G11" s="24" t="n">
        <v>42398.42</v>
      </c>
      <c r="H11" s="24" t="n">
        <v>4632.55</v>
      </c>
      <c r="I11" s="24" t="n">
        <f aca="false">G11+H11</f>
        <v>47030.97</v>
      </c>
      <c r="J11" s="24" t="n">
        <f aca="false">D11-I11</f>
        <v>149978.28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12239.91</v>
      </c>
      <c r="E12" s="24" t="n">
        <v>0</v>
      </c>
      <c r="F12" s="24" t="n">
        <v>0</v>
      </c>
      <c r="G12" s="24" t="n">
        <v>11423.94</v>
      </c>
      <c r="H12" s="24" t="n">
        <v>0</v>
      </c>
      <c r="I12" s="24" t="n">
        <f aca="false">G12+H12</f>
        <v>11423.94</v>
      </c>
      <c r="J12" s="24" t="n">
        <f aca="false">D12-I12</f>
        <v>815.969999999999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24479.81</v>
      </c>
      <c r="E13" s="24" t="n">
        <v>0</v>
      </c>
      <c r="F13" s="24" t="n">
        <v>0</v>
      </c>
      <c r="G13" s="24" t="n">
        <v>11779.87</v>
      </c>
      <c r="H13" s="24" t="n">
        <v>1444.31</v>
      </c>
      <c r="I13" s="24" t="n">
        <f aca="false">G13+H13</f>
        <v>13224.18</v>
      </c>
      <c r="J13" s="24" t="n">
        <f aca="false">D13-I13</f>
        <v>11255.63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234391.03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65642.32</v>
      </c>
      <c r="H14" s="28" t="n">
        <f aca="false">SUM(H10:H13)</f>
        <v>6093.38</v>
      </c>
      <c r="I14" s="28" t="n">
        <f aca="false">SUM(I10:I13)</f>
        <v>71735.7</v>
      </c>
      <c r="J14" s="28" t="n">
        <f aca="false">SUM(J10:J13)</f>
        <v>162655.33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137.19</v>
      </c>
      <c r="E18" s="24" t="n">
        <v>0</v>
      </c>
      <c r="F18" s="24" t="n">
        <v>137.19</v>
      </c>
      <c r="G18" s="24" t="n">
        <v>137.19</v>
      </c>
      <c r="H18" s="24" t="n">
        <v>0</v>
      </c>
      <c r="I18" s="24" t="n">
        <f aca="false">G18+H18</f>
        <v>137.19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524.87</v>
      </c>
      <c r="E19" s="24" t="n">
        <v>0</v>
      </c>
      <c r="F19" s="24" t="n">
        <v>0</v>
      </c>
      <c r="G19" s="24" t="n">
        <v>40.1</v>
      </c>
      <c r="H19" s="24" t="n">
        <v>17.5</v>
      </c>
      <c r="I19" s="24" t="n">
        <f aca="false">G19+H19</f>
        <v>57.6</v>
      </c>
      <c r="J19" s="24" t="n">
        <f aca="false">D19-I19</f>
        <v>467.27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40824.27</v>
      </c>
      <c r="E20" s="24" t="n">
        <v>0</v>
      </c>
      <c r="F20" s="24" t="n">
        <v>0</v>
      </c>
      <c r="G20" s="24" t="n">
        <v>40824.27</v>
      </c>
      <c r="H20" s="24" t="n">
        <v>0</v>
      </c>
      <c r="I20" s="24" t="n">
        <f aca="false">G20+H20</f>
        <v>40824.27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156184.98</v>
      </c>
      <c r="E21" s="24" t="n">
        <v>0</v>
      </c>
      <c r="F21" s="24" t="n">
        <v>0</v>
      </c>
      <c r="G21" s="24" t="n">
        <v>34490.87</v>
      </c>
      <c r="H21" s="24" t="n">
        <v>5206.17</v>
      </c>
      <c r="I21" s="24" t="n">
        <f aca="false">G21+H21</f>
        <v>39697.04</v>
      </c>
      <c r="J21" s="24" t="n">
        <f aca="false">D21-I21</f>
        <v>116487.94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2536.35</v>
      </c>
      <c r="E22" s="24" t="n">
        <v>0</v>
      </c>
      <c r="F22" s="24" t="n">
        <v>0</v>
      </c>
      <c r="G22" s="24" t="n">
        <v>2536.35</v>
      </c>
      <c r="H22" s="24" t="n">
        <v>0</v>
      </c>
      <c r="I22" s="24" t="n">
        <f aca="false">G22+H22</f>
        <v>2536.35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9703.56</v>
      </c>
      <c r="E23" s="24" t="n">
        <v>0</v>
      </c>
      <c r="F23" s="24" t="n">
        <v>0</v>
      </c>
      <c r="G23" s="24" t="n">
        <v>2142.86</v>
      </c>
      <c r="H23" s="24" t="n">
        <v>323.45</v>
      </c>
      <c r="I23" s="24" t="n">
        <f aca="false">G23+H23</f>
        <v>2466.31</v>
      </c>
      <c r="J23" s="24" t="n">
        <f aca="false">D23-I23</f>
        <v>7237.25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5072.71</v>
      </c>
      <c r="E24" s="24" t="n">
        <v>0</v>
      </c>
      <c r="F24" s="24" t="n">
        <v>0</v>
      </c>
      <c r="G24" s="24" t="n">
        <v>5072.71</v>
      </c>
      <c r="H24" s="24" t="n">
        <v>0</v>
      </c>
      <c r="I24" s="24" t="n">
        <f aca="false">G24+H24</f>
        <v>5072.71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19407.1</v>
      </c>
      <c r="E25" s="24" t="n">
        <v>0</v>
      </c>
      <c r="F25" s="24" t="n">
        <v>0</v>
      </c>
      <c r="G25" s="24" t="n">
        <v>4285.71</v>
      </c>
      <c r="H25" s="24" t="n">
        <v>646.9</v>
      </c>
      <c r="I25" s="24" t="n">
        <f aca="false">G25+H25</f>
        <v>4932.61</v>
      </c>
      <c r="J25" s="24" t="n">
        <f aca="false">D25-I25</f>
        <v>14474.49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234391.03</v>
      </c>
      <c r="E26" s="28" t="n">
        <f aca="false">SUM(E18:E25)</f>
        <v>0</v>
      </c>
      <c r="F26" s="28" t="n">
        <f aca="false">SUM(F18:F25)</f>
        <v>137.19</v>
      </c>
      <c r="G26" s="28" t="n">
        <f aca="false">SUM(G18:G25)</f>
        <v>89530.06</v>
      </c>
      <c r="H26" s="28" t="n">
        <f aca="false">SUM(H18:H25)</f>
        <v>6194.02</v>
      </c>
      <c r="I26" s="28" t="n">
        <f aca="false">SUM(I18:I25)</f>
        <v>95724.08</v>
      </c>
      <c r="J26" s="28" t="n">
        <f aca="false">SUM(J18:J25)</f>
        <v>138666.95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71735.7</v>
      </c>
    </row>
    <row r="30" customFormat="false" ht="15" hidden="false" customHeight="false" outlineLevel="0" collapsed="false">
      <c r="B30" s="6" t="s">
        <v>101</v>
      </c>
      <c r="D30" s="7" t="n">
        <f aca="false">I26</f>
        <v>95724.08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-23988.38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662.06</v>
      </c>
      <c r="E36" s="24" t="n">
        <v>0</v>
      </c>
      <c r="F36" s="24" t="n">
        <v>0</v>
      </c>
      <c r="G36" s="24" t="n">
        <v>40.09</v>
      </c>
      <c r="H36" s="24" t="n">
        <v>16.52</v>
      </c>
      <c r="I36" s="24" t="n">
        <f aca="false">G36+H36</f>
        <v>56.61</v>
      </c>
      <c r="J36" s="24" t="n">
        <f aca="false">D36-I36</f>
        <v>605.45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197009.25</v>
      </c>
      <c r="E37" s="24" t="n">
        <v>0</v>
      </c>
      <c r="F37" s="24" t="n">
        <v>0</v>
      </c>
      <c r="G37" s="24" t="n">
        <v>42398.42</v>
      </c>
      <c r="H37" s="24" t="n">
        <v>4632.55</v>
      </c>
      <c r="I37" s="24" t="n">
        <f aca="false">G37+H37</f>
        <v>47030.97</v>
      </c>
      <c r="J37" s="24" t="n">
        <f aca="false">D37-I37</f>
        <v>149978.28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12239.91</v>
      </c>
      <c r="E38" s="24" t="n">
        <v>0</v>
      </c>
      <c r="F38" s="24" t="n">
        <v>0</v>
      </c>
      <c r="G38" s="24" t="n">
        <v>11423.94</v>
      </c>
      <c r="H38" s="24" t="n">
        <v>0</v>
      </c>
      <c r="I38" s="24" t="n">
        <f aca="false">G38+H38</f>
        <v>11423.94</v>
      </c>
      <c r="J38" s="24" t="n">
        <f aca="false">D38-I38</f>
        <v>815.969999999999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24479.81</v>
      </c>
      <c r="E39" s="24" t="n">
        <v>0</v>
      </c>
      <c r="F39" s="24" t="n">
        <v>0</v>
      </c>
      <c r="G39" s="24" t="n">
        <v>11779.87</v>
      </c>
      <c r="H39" s="24" t="n">
        <v>1444.31</v>
      </c>
      <c r="I39" s="24" t="n">
        <f aca="false">G39+H39</f>
        <v>13224.18</v>
      </c>
      <c r="J39" s="24" t="n">
        <f aca="false">D39-I39</f>
        <v>11255.63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234391.03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65642.32</v>
      </c>
      <c r="H40" s="28" t="n">
        <f aca="false">SUM(H36:H39)</f>
        <v>6093.38</v>
      </c>
      <c r="I40" s="28" t="n">
        <f aca="false">SUM(I36:I39)</f>
        <v>71735.7</v>
      </c>
      <c r="J40" s="28" t="n">
        <f aca="false">SUM(J36:J39)</f>
        <v>162655.33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137.19</v>
      </c>
      <c r="E44" s="24" t="n">
        <v>0</v>
      </c>
      <c r="F44" s="24" t="n">
        <v>137.19</v>
      </c>
      <c r="G44" s="24" t="n">
        <v>137.19</v>
      </c>
      <c r="H44" s="24" t="n">
        <v>0</v>
      </c>
      <c r="I44" s="24" t="n">
        <f aca="false">G44+H44</f>
        <v>137.19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524.87</v>
      </c>
      <c r="E45" s="24" t="n">
        <v>0</v>
      </c>
      <c r="F45" s="24" t="n">
        <v>0</v>
      </c>
      <c r="G45" s="24" t="n">
        <v>40.1</v>
      </c>
      <c r="H45" s="24" t="n">
        <v>17.5</v>
      </c>
      <c r="I45" s="24" t="n">
        <f aca="false">G45+H45</f>
        <v>57.6</v>
      </c>
      <c r="J45" s="24" t="n">
        <f aca="false">D45-I45</f>
        <v>467.27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40824.27</v>
      </c>
      <c r="E46" s="24" t="n">
        <v>0</v>
      </c>
      <c r="F46" s="24" t="n">
        <v>0</v>
      </c>
      <c r="G46" s="24" t="n">
        <v>40824.27</v>
      </c>
      <c r="H46" s="24" t="n">
        <v>0</v>
      </c>
      <c r="I46" s="24" t="n">
        <f aca="false">G46+H46</f>
        <v>40824.27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156184.98</v>
      </c>
      <c r="E47" s="24" t="n">
        <v>0</v>
      </c>
      <c r="F47" s="24" t="n">
        <v>0</v>
      </c>
      <c r="G47" s="24" t="n">
        <v>34490.87</v>
      </c>
      <c r="H47" s="24" t="n">
        <v>5206.17</v>
      </c>
      <c r="I47" s="24" t="n">
        <f aca="false">G47+H47</f>
        <v>39697.04</v>
      </c>
      <c r="J47" s="24" t="n">
        <f aca="false">D47-I47</f>
        <v>116487.94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2536.35</v>
      </c>
      <c r="E48" s="24" t="n">
        <v>0</v>
      </c>
      <c r="F48" s="24" t="n">
        <v>0</v>
      </c>
      <c r="G48" s="24" t="n">
        <v>2536.35</v>
      </c>
      <c r="H48" s="24" t="n">
        <v>0</v>
      </c>
      <c r="I48" s="24" t="n">
        <f aca="false">G48+H48</f>
        <v>2536.35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9703.56</v>
      </c>
      <c r="E49" s="24" t="n">
        <v>0</v>
      </c>
      <c r="F49" s="24" t="n">
        <v>0</v>
      </c>
      <c r="G49" s="24" t="n">
        <v>2142.86</v>
      </c>
      <c r="H49" s="24" t="n">
        <v>323.45</v>
      </c>
      <c r="I49" s="24" t="n">
        <f aca="false">G49+H49</f>
        <v>2466.31</v>
      </c>
      <c r="J49" s="24" t="n">
        <f aca="false">D49-I49</f>
        <v>7237.25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5072.71</v>
      </c>
      <c r="E50" s="24" t="n">
        <v>0</v>
      </c>
      <c r="F50" s="24" t="n">
        <v>0</v>
      </c>
      <c r="G50" s="24" t="n">
        <v>5072.71</v>
      </c>
      <c r="H50" s="24" t="n">
        <v>0</v>
      </c>
      <c r="I50" s="24" t="n">
        <f aca="false">G50+H50</f>
        <v>5072.71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19407.1</v>
      </c>
      <c r="E51" s="24" t="n">
        <v>0</v>
      </c>
      <c r="F51" s="24" t="n">
        <v>0</v>
      </c>
      <c r="G51" s="24" t="n">
        <v>4285.71</v>
      </c>
      <c r="H51" s="24" t="n">
        <v>646.9</v>
      </c>
      <c r="I51" s="24" t="n">
        <f aca="false">G51+H51</f>
        <v>4932.61</v>
      </c>
      <c r="J51" s="24" t="n">
        <f aca="false">D51-I51</f>
        <v>14474.49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234391.03</v>
      </c>
      <c r="E52" s="28" t="n">
        <f aca="false">SUM(E44:E51)</f>
        <v>0</v>
      </c>
      <c r="F52" s="28" t="n">
        <f aca="false">SUM(F44:F51)</f>
        <v>137.19</v>
      </c>
      <c r="G52" s="28" t="n">
        <f aca="false">SUM(G44:G51)</f>
        <v>89530.06</v>
      </c>
      <c r="H52" s="28" t="n">
        <f aca="false">SUM(H44:H51)</f>
        <v>6194.02</v>
      </c>
      <c r="I52" s="28" t="n">
        <f aca="false">SUM(I44:I51)</f>
        <v>95724.08</v>
      </c>
      <c r="J52" s="28" t="n">
        <f aca="false">SUM(J44:J51)</f>
        <v>138666.95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71735.7</v>
      </c>
    </row>
    <row r="56" customFormat="false" ht="15" hidden="false" customHeight="false" outlineLevel="0" collapsed="false">
      <c r="B56" s="6" t="s">
        <v>101</v>
      </c>
      <c r="D56" s="7" t="n">
        <f aca="false">I52</f>
        <v>95724.08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-23988.38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234391.03</v>
      </c>
    </row>
    <row r="61" customFormat="false" ht="15" hidden="false" customHeight="false" outlineLevel="0" collapsed="false">
      <c r="B61" s="6" t="s">
        <v>149</v>
      </c>
      <c r="D61" s="7" t="n">
        <f aca="false">F98</f>
        <v>48570.52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0.207220045920699</v>
      </c>
    </row>
    <row r="63" customFormat="false" ht="15" hidden="false" customHeight="false" outlineLevel="0" collapsed="false">
      <c r="B63" s="6" t="s">
        <v>151</v>
      </c>
      <c r="D63" s="7" t="n">
        <f aca="false">H98</f>
        <v>185820.51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0.792779954079301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11319.08</v>
      </c>
      <c r="F69" s="33" t="n">
        <v>11319.08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4407.51</v>
      </c>
      <c r="F70" s="33" t="n">
        <v>4407.51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17858.88</v>
      </c>
      <c r="F71" s="33" t="n">
        <v>17858.88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1586.91</v>
      </c>
      <c r="F72" s="33" t="n">
        <v>1586.91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1548.16</v>
      </c>
      <c r="F75" s="33" t="n">
        <v>1548.16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7270.82</v>
      </c>
      <c r="H81" s="33" t="n">
        <v>7270.82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12116.84</v>
      </c>
      <c r="H82" s="33" t="n">
        <v>12116.84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17293.33</v>
      </c>
      <c r="H83" s="33" t="n">
        <v>17293.33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16285.45</v>
      </c>
      <c r="H84" s="33" t="n">
        <v>16285.45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15033</v>
      </c>
      <c r="H85" s="33" t="n">
        <v>15033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958.91</v>
      </c>
      <c r="H86" s="33" t="n">
        <v>958.91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26187.51</v>
      </c>
      <c r="H87" s="33" t="n">
        <v>26187.51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11772.85</v>
      </c>
      <c r="H88" s="33" t="n">
        <v>11772.85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6994.46</v>
      </c>
      <c r="H89" s="33" t="n">
        <v>6994.46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7953.64</v>
      </c>
      <c r="H90" s="33" t="n">
        <v>7953.64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19168.95</v>
      </c>
      <c r="H91" s="33" t="n">
        <v>19168.95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7364.73</v>
      </c>
      <c r="H92" s="33" t="n">
        <v>7364.73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1137.92</v>
      </c>
      <c r="H93" s="33" t="n">
        <v>1137.92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28878.51</v>
      </c>
      <c r="H94" s="33" t="n">
        <v>28878.51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234391.03</v>
      </c>
      <c r="F98" s="34" t="n">
        <f aca="false">SUM(F69:F79)</f>
        <v>48570.52</v>
      </c>
      <c r="H98" s="34" t="n">
        <f aca="false">SUM(H81:H97)</f>
        <v>185820.51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0.207220045920699</v>
      </c>
      <c r="H99" s="31" t="n">
        <f aca="false">H98/D98</f>
        <v>0.792779954079301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662.06</v>
      </c>
      <c r="F103" s="33" t="n">
        <v>137.19</v>
      </c>
      <c r="H103" s="33" t="n">
        <v>524.87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197009.25</v>
      </c>
      <c r="F104" s="33" t="n">
        <v>40824.27</v>
      </c>
      <c r="H104" s="33" t="n">
        <v>156184.98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12239.91</v>
      </c>
      <c r="F105" s="33" t="n">
        <v>2536.35</v>
      </c>
      <c r="H105" s="33" t="n">
        <v>9703.56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24479.81</v>
      </c>
      <c r="F106" s="33" t="n">
        <v>5072.71</v>
      </c>
      <c r="H106" s="33" t="n">
        <v>19407.1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234391.03</v>
      </c>
      <c r="F107" s="34" t="n">
        <f aca="false">SUM(F103:F106)</f>
        <v>48570.52</v>
      </c>
      <c r="H107" s="34" t="n">
        <f aca="false">SUM(H103:H106)</f>
        <v>185820.51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185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262.41</v>
      </c>
      <c r="E10" s="24" t="n">
        <v>0</v>
      </c>
      <c r="F10" s="24" t="n">
        <v>0</v>
      </c>
      <c r="G10" s="24" t="n">
        <v>15.89</v>
      </c>
      <c r="H10" s="24" t="n">
        <v>6.55</v>
      </c>
      <c r="I10" s="24" t="n">
        <f aca="false">G10+H10</f>
        <v>22.44</v>
      </c>
      <c r="J10" s="24" t="n">
        <f aca="false">D10-I10</f>
        <v>239.97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78086.63</v>
      </c>
      <c r="E11" s="24" t="n">
        <v>0</v>
      </c>
      <c r="F11" s="24" t="n">
        <v>0</v>
      </c>
      <c r="G11" s="24" t="n">
        <v>16805.05</v>
      </c>
      <c r="H11" s="24" t="n">
        <v>1836.16</v>
      </c>
      <c r="I11" s="24" t="n">
        <f aca="false">G11+H11</f>
        <v>18641.21</v>
      </c>
      <c r="J11" s="24" t="n">
        <f aca="false">D11-I11</f>
        <v>59445.42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4851.41</v>
      </c>
      <c r="E12" s="24" t="n">
        <v>0</v>
      </c>
      <c r="F12" s="24" t="n">
        <v>0</v>
      </c>
      <c r="G12" s="24" t="n">
        <v>4527.99</v>
      </c>
      <c r="H12" s="24" t="n">
        <v>0</v>
      </c>
      <c r="I12" s="24" t="n">
        <f aca="false">G12+H12</f>
        <v>4527.99</v>
      </c>
      <c r="J12" s="24" t="n">
        <f aca="false">D12-I12</f>
        <v>323.42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9702.83</v>
      </c>
      <c r="E13" s="24" t="n">
        <v>0</v>
      </c>
      <c r="F13" s="24" t="n">
        <v>0</v>
      </c>
      <c r="G13" s="24" t="n">
        <v>4669.07</v>
      </c>
      <c r="H13" s="24" t="n">
        <v>572.47</v>
      </c>
      <c r="I13" s="24" t="n">
        <f aca="false">G13+H13</f>
        <v>5241.54</v>
      </c>
      <c r="J13" s="24" t="n">
        <f aca="false">D13-I13</f>
        <v>4461.29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92903.28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26018</v>
      </c>
      <c r="H14" s="28" t="n">
        <f aca="false">SUM(H10:H13)</f>
        <v>2415.18</v>
      </c>
      <c r="I14" s="28" t="n">
        <f aca="false">SUM(I10:I13)</f>
        <v>28433.18</v>
      </c>
      <c r="J14" s="28" t="n">
        <f aca="false">SUM(J10:J13)</f>
        <v>64470.1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53.44</v>
      </c>
      <c r="E18" s="24" t="n">
        <v>0</v>
      </c>
      <c r="F18" s="24" t="n">
        <v>53.44</v>
      </c>
      <c r="G18" s="24" t="n">
        <v>53.44</v>
      </c>
      <c r="H18" s="24" t="n">
        <v>0</v>
      </c>
      <c r="I18" s="24" t="n">
        <f aca="false">G18+H18</f>
        <v>53.44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208.97</v>
      </c>
      <c r="E19" s="24" t="n">
        <v>0</v>
      </c>
      <c r="F19" s="24" t="n">
        <v>0</v>
      </c>
      <c r="G19" s="24" t="n">
        <v>15.97</v>
      </c>
      <c r="H19" s="24" t="n">
        <v>6.97</v>
      </c>
      <c r="I19" s="24" t="n">
        <f aca="false">G19+H19</f>
        <v>22.94</v>
      </c>
      <c r="J19" s="24" t="n">
        <f aca="false">D19-I19</f>
        <v>186.03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15901.52</v>
      </c>
      <c r="E20" s="24" t="n">
        <v>0</v>
      </c>
      <c r="F20" s="24" t="n">
        <v>0</v>
      </c>
      <c r="G20" s="24" t="n">
        <v>15901.52</v>
      </c>
      <c r="H20" s="24" t="n">
        <v>0</v>
      </c>
      <c r="I20" s="24" t="n">
        <f aca="false">G20+H20</f>
        <v>15901.52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62185.11</v>
      </c>
      <c r="E21" s="24" t="n">
        <v>0</v>
      </c>
      <c r="F21" s="24" t="n">
        <v>0</v>
      </c>
      <c r="G21" s="24" t="n">
        <v>13732.56</v>
      </c>
      <c r="H21" s="24" t="n">
        <v>2072.84</v>
      </c>
      <c r="I21" s="24" t="n">
        <f aca="false">G21+H21</f>
        <v>15805.4</v>
      </c>
      <c r="J21" s="24" t="n">
        <f aca="false">D21-I21</f>
        <v>46379.71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987.94</v>
      </c>
      <c r="E22" s="24" t="n">
        <v>0</v>
      </c>
      <c r="F22" s="24" t="n">
        <v>0</v>
      </c>
      <c r="G22" s="24" t="n">
        <v>987.94</v>
      </c>
      <c r="H22" s="24" t="n">
        <v>0</v>
      </c>
      <c r="I22" s="24" t="n">
        <f aca="false">G22+H22</f>
        <v>987.94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3863.47</v>
      </c>
      <c r="E23" s="24" t="n">
        <v>0</v>
      </c>
      <c r="F23" s="24" t="n">
        <v>0</v>
      </c>
      <c r="G23" s="24" t="n">
        <v>853.17</v>
      </c>
      <c r="H23" s="24" t="n">
        <v>128.78</v>
      </c>
      <c r="I23" s="24" t="n">
        <f aca="false">G23+H23</f>
        <v>981.95</v>
      </c>
      <c r="J23" s="24" t="n">
        <f aca="false">D23-I23</f>
        <v>2881.52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1975.88</v>
      </c>
      <c r="E24" s="24" t="n">
        <v>0</v>
      </c>
      <c r="F24" s="24" t="n">
        <v>0</v>
      </c>
      <c r="G24" s="24" t="n">
        <v>1975.88</v>
      </c>
      <c r="H24" s="24" t="n">
        <v>0</v>
      </c>
      <c r="I24" s="24" t="n">
        <f aca="false">G24+H24</f>
        <v>1975.88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7726.95</v>
      </c>
      <c r="E25" s="24" t="n">
        <v>0</v>
      </c>
      <c r="F25" s="24" t="n">
        <v>0</v>
      </c>
      <c r="G25" s="24" t="n">
        <v>1706.4</v>
      </c>
      <c r="H25" s="24" t="n">
        <v>257.57</v>
      </c>
      <c r="I25" s="24" t="n">
        <f aca="false">G25+H25</f>
        <v>1963.97</v>
      </c>
      <c r="J25" s="24" t="n">
        <f aca="false">D25-I25</f>
        <v>5762.98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92903.28</v>
      </c>
      <c r="E26" s="28" t="n">
        <f aca="false">SUM(E18:E25)</f>
        <v>0</v>
      </c>
      <c r="F26" s="28" t="n">
        <f aca="false">SUM(F18:F25)</f>
        <v>53.44</v>
      </c>
      <c r="G26" s="28" t="n">
        <f aca="false">SUM(G18:G25)</f>
        <v>35226.88</v>
      </c>
      <c r="H26" s="28" t="n">
        <f aca="false">SUM(H18:H25)</f>
        <v>2466.16</v>
      </c>
      <c r="I26" s="28" t="n">
        <f aca="false">SUM(I18:I25)</f>
        <v>37693.04</v>
      </c>
      <c r="J26" s="28" t="n">
        <f aca="false">SUM(J18:J25)</f>
        <v>55210.24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28433.18</v>
      </c>
    </row>
    <row r="30" customFormat="false" ht="15" hidden="false" customHeight="false" outlineLevel="0" collapsed="false">
      <c r="B30" s="6" t="s">
        <v>101</v>
      </c>
      <c r="D30" s="7" t="n">
        <f aca="false">I26</f>
        <v>37693.04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-9259.86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262.41</v>
      </c>
      <c r="E36" s="24" t="n">
        <v>0</v>
      </c>
      <c r="F36" s="24" t="n">
        <v>0</v>
      </c>
      <c r="G36" s="24" t="n">
        <v>15.89</v>
      </c>
      <c r="H36" s="24" t="n">
        <v>6.55</v>
      </c>
      <c r="I36" s="24" t="n">
        <f aca="false">G36+H36</f>
        <v>22.44</v>
      </c>
      <c r="J36" s="24" t="n">
        <f aca="false">D36-I36</f>
        <v>239.97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78086.63</v>
      </c>
      <c r="E37" s="24" t="n">
        <v>0</v>
      </c>
      <c r="F37" s="24" t="n">
        <v>0</v>
      </c>
      <c r="G37" s="24" t="n">
        <v>16805.05</v>
      </c>
      <c r="H37" s="24" t="n">
        <v>1836.16</v>
      </c>
      <c r="I37" s="24" t="n">
        <f aca="false">G37+H37</f>
        <v>18641.21</v>
      </c>
      <c r="J37" s="24" t="n">
        <f aca="false">D37-I37</f>
        <v>59445.42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4851.41</v>
      </c>
      <c r="E38" s="24" t="n">
        <v>0</v>
      </c>
      <c r="F38" s="24" t="n">
        <v>0</v>
      </c>
      <c r="G38" s="24" t="n">
        <v>4527.99</v>
      </c>
      <c r="H38" s="24" t="n">
        <v>0</v>
      </c>
      <c r="I38" s="24" t="n">
        <f aca="false">G38+H38</f>
        <v>4527.99</v>
      </c>
      <c r="J38" s="24" t="n">
        <f aca="false">D38-I38</f>
        <v>323.42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9702.83</v>
      </c>
      <c r="E39" s="24" t="n">
        <v>0</v>
      </c>
      <c r="F39" s="24" t="n">
        <v>0</v>
      </c>
      <c r="G39" s="24" t="n">
        <v>4669.07</v>
      </c>
      <c r="H39" s="24" t="n">
        <v>572.47</v>
      </c>
      <c r="I39" s="24" t="n">
        <f aca="false">G39+H39</f>
        <v>5241.54</v>
      </c>
      <c r="J39" s="24" t="n">
        <f aca="false">D39-I39</f>
        <v>4461.29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92903.28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26018</v>
      </c>
      <c r="H40" s="28" t="n">
        <f aca="false">SUM(H36:H39)</f>
        <v>2415.18</v>
      </c>
      <c r="I40" s="28" t="n">
        <f aca="false">SUM(I36:I39)</f>
        <v>28433.18</v>
      </c>
      <c r="J40" s="28" t="n">
        <f aca="false">SUM(J36:J39)</f>
        <v>64470.1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53.44</v>
      </c>
      <c r="E44" s="24" t="n">
        <v>0</v>
      </c>
      <c r="F44" s="24" t="n">
        <v>53.44</v>
      </c>
      <c r="G44" s="24" t="n">
        <v>53.44</v>
      </c>
      <c r="H44" s="24" t="n">
        <v>0</v>
      </c>
      <c r="I44" s="24" t="n">
        <f aca="false">G44+H44</f>
        <v>53.44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208.97</v>
      </c>
      <c r="E45" s="24" t="n">
        <v>0</v>
      </c>
      <c r="F45" s="24" t="n">
        <v>0</v>
      </c>
      <c r="G45" s="24" t="n">
        <v>15.97</v>
      </c>
      <c r="H45" s="24" t="n">
        <v>6.97</v>
      </c>
      <c r="I45" s="24" t="n">
        <f aca="false">G45+H45</f>
        <v>22.94</v>
      </c>
      <c r="J45" s="24" t="n">
        <f aca="false">D45-I45</f>
        <v>186.03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15901.52</v>
      </c>
      <c r="E46" s="24" t="n">
        <v>0</v>
      </c>
      <c r="F46" s="24" t="n">
        <v>0</v>
      </c>
      <c r="G46" s="24" t="n">
        <v>15901.52</v>
      </c>
      <c r="H46" s="24" t="n">
        <v>0</v>
      </c>
      <c r="I46" s="24" t="n">
        <f aca="false">G46+H46</f>
        <v>15901.52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62185.11</v>
      </c>
      <c r="E47" s="24" t="n">
        <v>0</v>
      </c>
      <c r="F47" s="24" t="n">
        <v>0</v>
      </c>
      <c r="G47" s="24" t="n">
        <v>13732.56</v>
      </c>
      <c r="H47" s="24" t="n">
        <v>2072.84</v>
      </c>
      <c r="I47" s="24" t="n">
        <f aca="false">G47+H47</f>
        <v>15805.4</v>
      </c>
      <c r="J47" s="24" t="n">
        <f aca="false">D47-I47</f>
        <v>46379.71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987.94</v>
      </c>
      <c r="E48" s="24" t="n">
        <v>0</v>
      </c>
      <c r="F48" s="24" t="n">
        <v>0</v>
      </c>
      <c r="G48" s="24" t="n">
        <v>987.94</v>
      </c>
      <c r="H48" s="24" t="n">
        <v>0</v>
      </c>
      <c r="I48" s="24" t="n">
        <f aca="false">G48+H48</f>
        <v>987.94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3863.47</v>
      </c>
      <c r="E49" s="24" t="n">
        <v>0</v>
      </c>
      <c r="F49" s="24" t="n">
        <v>0</v>
      </c>
      <c r="G49" s="24" t="n">
        <v>853.17</v>
      </c>
      <c r="H49" s="24" t="n">
        <v>128.78</v>
      </c>
      <c r="I49" s="24" t="n">
        <f aca="false">G49+H49</f>
        <v>981.95</v>
      </c>
      <c r="J49" s="24" t="n">
        <f aca="false">D49-I49</f>
        <v>2881.52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1975.88</v>
      </c>
      <c r="E50" s="24" t="n">
        <v>0</v>
      </c>
      <c r="F50" s="24" t="n">
        <v>0</v>
      </c>
      <c r="G50" s="24" t="n">
        <v>1975.88</v>
      </c>
      <c r="H50" s="24" t="n">
        <v>0</v>
      </c>
      <c r="I50" s="24" t="n">
        <f aca="false">G50+H50</f>
        <v>1975.88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7726.95</v>
      </c>
      <c r="E51" s="24" t="n">
        <v>0</v>
      </c>
      <c r="F51" s="24" t="n">
        <v>0</v>
      </c>
      <c r="G51" s="24" t="n">
        <v>1706.4</v>
      </c>
      <c r="H51" s="24" t="n">
        <v>257.57</v>
      </c>
      <c r="I51" s="24" t="n">
        <f aca="false">G51+H51</f>
        <v>1963.97</v>
      </c>
      <c r="J51" s="24" t="n">
        <f aca="false">D51-I51</f>
        <v>5762.98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92903.28</v>
      </c>
      <c r="E52" s="28" t="n">
        <f aca="false">SUM(E44:E51)</f>
        <v>0</v>
      </c>
      <c r="F52" s="28" t="n">
        <f aca="false">SUM(F44:F51)</f>
        <v>53.44</v>
      </c>
      <c r="G52" s="28" t="n">
        <f aca="false">SUM(G44:G51)</f>
        <v>35226.88</v>
      </c>
      <c r="H52" s="28" t="n">
        <f aca="false">SUM(H44:H51)</f>
        <v>2466.16</v>
      </c>
      <c r="I52" s="28" t="n">
        <f aca="false">SUM(I44:I51)</f>
        <v>37693.04</v>
      </c>
      <c r="J52" s="28" t="n">
        <f aca="false">SUM(J44:J51)</f>
        <v>55210.24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28433.18</v>
      </c>
    </row>
    <row r="56" customFormat="false" ht="15" hidden="false" customHeight="false" outlineLevel="0" collapsed="false">
      <c r="B56" s="6" t="s">
        <v>101</v>
      </c>
      <c r="D56" s="7" t="n">
        <f aca="false">I52</f>
        <v>37693.04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-9259.86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D101</f>
        <v>92903.28</v>
      </c>
    </row>
    <row r="61" customFormat="false" ht="15" hidden="false" customHeight="false" outlineLevel="0" collapsed="false">
      <c r="B61" s="6" t="s">
        <v>149</v>
      </c>
      <c r="D61" s="7" t="n">
        <f aca="false">F101</f>
        <v>18918.78</v>
      </c>
    </row>
    <row r="62" customFormat="false" ht="15" hidden="false" customHeight="false" outlineLevel="0" collapsed="false">
      <c r="B62" s="30" t="s">
        <v>150</v>
      </c>
      <c r="D62" s="31" t="n">
        <f aca="false">F102</f>
        <v>0.203639527043609</v>
      </c>
    </row>
    <row r="63" customFormat="false" ht="15" hidden="false" customHeight="false" outlineLevel="0" collapsed="false">
      <c r="B63" s="6" t="s">
        <v>151</v>
      </c>
      <c r="D63" s="7" t="n">
        <f aca="false">H101</f>
        <v>73984.5</v>
      </c>
    </row>
    <row r="64" customFormat="false" ht="15" hidden="false" customHeight="false" outlineLevel="0" collapsed="false">
      <c r="B64" s="30" t="s">
        <v>150</v>
      </c>
      <c r="D64" s="31" t="n">
        <f aca="false">H102</f>
        <v>0.796360472956391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520.44</v>
      </c>
      <c r="F69" s="33" t="n">
        <v>520.44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1317.26</v>
      </c>
      <c r="F70" s="33" t="n">
        <v>1317.26</v>
      </c>
    </row>
    <row r="71" customFormat="false" ht="15" hidden="false" customHeight="false" outlineLevel="0" collapsed="false">
      <c r="B71" s="6" t="s">
        <v>186</v>
      </c>
      <c r="D71" s="33" t="n">
        <f aca="false">SUM(F71:H71)</f>
        <v>3476.89</v>
      </c>
      <c r="F71" s="33" t="n">
        <v>3476.89</v>
      </c>
    </row>
    <row r="72" customFormat="false" ht="15" hidden="false" customHeight="false" outlineLevel="0" collapsed="false">
      <c r="B72" s="6" t="s">
        <v>156</v>
      </c>
      <c r="D72" s="33" t="n">
        <f aca="false">SUM(F72:H72)</f>
        <v>1033.5</v>
      </c>
      <c r="F72" s="33" t="n">
        <v>1033.5</v>
      </c>
    </row>
    <row r="73" customFormat="false" ht="15" hidden="false" customHeight="false" outlineLevel="0" collapsed="false">
      <c r="B73" s="6" t="s">
        <v>187</v>
      </c>
      <c r="D73" s="33" t="n">
        <f aca="false">SUM(F73:H73)</f>
        <v>80.4</v>
      </c>
      <c r="F73" s="33" t="n">
        <v>80.4</v>
      </c>
    </row>
    <row r="74" customFormat="false" ht="15" hidden="false" customHeight="false" outlineLevel="0" collapsed="false">
      <c r="B74" s="6" t="s">
        <v>157</v>
      </c>
      <c r="D74" s="33" t="n">
        <f aca="false">SUM(F74:H74)</f>
        <v>417.88</v>
      </c>
      <c r="F74" s="33" t="n">
        <v>417.88</v>
      </c>
    </row>
    <row r="75" customFormat="false" ht="15" hidden="false" customHeight="false" outlineLevel="0" collapsed="false">
      <c r="B75" s="6" t="s">
        <v>188</v>
      </c>
      <c r="D75" s="33" t="n">
        <f aca="false">SUM(F75:H75)</f>
        <v>318.53</v>
      </c>
      <c r="F75" s="33" t="n">
        <v>318.53</v>
      </c>
    </row>
    <row r="76" customFormat="false" ht="15" hidden="false" customHeight="false" outlineLevel="0" collapsed="false">
      <c r="B76" s="6" t="s">
        <v>159</v>
      </c>
      <c r="D76" s="33" t="n">
        <f aca="false">SUM(F76:H76)</f>
        <v>2056.7</v>
      </c>
      <c r="F76" s="33" t="n">
        <v>2056.7</v>
      </c>
    </row>
    <row r="77" customFormat="false" ht="15" hidden="false" customHeight="false" outlineLevel="0" collapsed="false">
      <c r="B77" s="6" t="s">
        <v>160</v>
      </c>
      <c r="D77" s="33" t="n">
        <f aca="false">SUM(F77:H77)</f>
        <v>2255.5</v>
      </c>
      <c r="F77" s="33" t="n">
        <v>2255.5</v>
      </c>
    </row>
    <row r="78" customFormat="false" ht="15" hidden="false" customHeight="false" outlineLevel="0" collapsed="false">
      <c r="B78" s="6" t="s">
        <v>189</v>
      </c>
      <c r="D78" s="33" t="n">
        <f aca="false">SUM(F78:H78)</f>
        <v>1908.2</v>
      </c>
      <c r="F78" s="33" t="n">
        <v>1908.2</v>
      </c>
    </row>
    <row r="79" customFormat="false" ht="15" hidden="false" customHeight="false" outlineLevel="0" collapsed="false">
      <c r="B79" s="6" t="s">
        <v>162</v>
      </c>
      <c r="D79" s="33" t="n">
        <f aca="false">SUM(F79:H79)</f>
        <v>264.96</v>
      </c>
      <c r="F79" s="33" t="n">
        <v>264.96</v>
      </c>
    </row>
    <row r="80" customFormat="false" ht="15" hidden="false" customHeight="false" outlineLevel="0" collapsed="false">
      <c r="B80" s="6" t="s">
        <v>190</v>
      </c>
      <c r="D80" s="33" t="n">
        <f aca="false">SUM(F80:H80)</f>
        <v>104.91</v>
      </c>
      <c r="F80" s="33" t="n">
        <v>104.91</v>
      </c>
    </row>
    <row r="81" customFormat="false" ht="15" hidden="false" customHeight="false" outlineLevel="0" collapsed="false">
      <c r="B81" s="6" t="s">
        <v>130</v>
      </c>
      <c r="D81" s="33" t="n">
        <f aca="false">SUM(F81:H81)</f>
        <v>31.84</v>
      </c>
      <c r="F81" s="33" t="n">
        <v>31.84</v>
      </c>
    </row>
    <row r="82" customFormat="false" ht="15" hidden="false" customHeight="false" outlineLevel="0" collapsed="false">
      <c r="B82" s="6" t="s">
        <v>164</v>
      </c>
      <c r="D82" s="33" t="n">
        <f aca="false">SUM(F82:H82)</f>
        <v>5131.77</v>
      </c>
      <c r="F82" s="33" t="n">
        <v>5131.77</v>
      </c>
    </row>
    <row r="83" customFormat="false" ht="15" hidden="false" customHeight="false" outlineLevel="0" collapsed="false">
      <c r="B83" s="32" t="s">
        <v>165</v>
      </c>
    </row>
    <row r="84" customFormat="false" ht="15" hidden="false" customHeight="false" outlineLevel="0" collapsed="false">
      <c r="B84" s="6" t="s">
        <v>166</v>
      </c>
      <c r="D84" s="33" t="n">
        <f aca="false">SUM(F84:H84)</f>
        <v>5390.21</v>
      </c>
      <c r="H84" s="33" t="n">
        <v>5390.21</v>
      </c>
    </row>
    <row r="85" customFormat="false" ht="15" hidden="false" customHeight="false" outlineLevel="0" collapsed="false">
      <c r="B85" s="6" t="s">
        <v>167</v>
      </c>
      <c r="D85" s="33" t="n">
        <f aca="false">SUM(F85:H85)</f>
        <v>9199.73</v>
      </c>
      <c r="H85" s="33" t="n">
        <v>9199.73</v>
      </c>
    </row>
    <row r="86" customFormat="false" ht="15" hidden="false" customHeight="false" outlineLevel="0" collapsed="false">
      <c r="B86" s="6" t="s">
        <v>168</v>
      </c>
      <c r="D86" s="33" t="n">
        <f aca="false">SUM(F86:H86)</f>
        <v>6425.49</v>
      </c>
      <c r="H86" s="33" t="n">
        <v>6425.49</v>
      </c>
    </row>
    <row r="87" customFormat="false" ht="15" hidden="false" customHeight="false" outlineLevel="0" collapsed="false">
      <c r="B87" s="6" t="s">
        <v>169</v>
      </c>
      <c r="D87" s="33" t="n">
        <f aca="false">SUM(F87:H87)</f>
        <v>5288.25</v>
      </c>
      <c r="H87" s="33" t="n">
        <v>5288.25</v>
      </c>
    </row>
    <row r="88" customFormat="false" ht="15" hidden="false" customHeight="false" outlineLevel="0" collapsed="false">
      <c r="B88" s="6" t="s">
        <v>170</v>
      </c>
      <c r="D88" s="33" t="n">
        <f aca="false">SUM(F88:H88)</f>
        <v>5862.54</v>
      </c>
      <c r="H88" s="33" t="n">
        <v>5862.54</v>
      </c>
    </row>
    <row r="89" customFormat="false" ht="15" hidden="false" customHeight="false" outlineLevel="0" collapsed="false">
      <c r="B89" s="6" t="s">
        <v>171</v>
      </c>
      <c r="D89" s="33" t="n">
        <f aca="false">SUM(F89:H89)</f>
        <v>31.08</v>
      </c>
      <c r="H89" s="33" t="n">
        <v>31.08</v>
      </c>
    </row>
    <row r="90" customFormat="false" ht="15" hidden="false" customHeight="false" outlineLevel="0" collapsed="false">
      <c r="B90" s="6" t="s">
        <v>172</v>
      </c>
      <c r="D90" s="33" t="n">
        <f aca="false">SUM(F90:H90)</f>
        <v>7191.13</v>
      </c>
      <c r="H90" s="33" t="n">
        <v>7191.13</v>
      </c>
    </row>
    <row r="91" customFormat="false" ht="15" hidden="false" customHeight="false" outlineLevel="0" collapsed="false">
      <c r="B91" s="6" t="s">
        <v>173</v>
      </c>
      <c r="D91" s="33" t="n">
        <f aca="false">SUM(F91:H91)</f>
        <v>3067.26</v>
      </c>
      <c r="H91" s="33" t="n">
        <v>3067.26</v>
      </c>
    </row>
    <row r="92" customFormat="false" ht="15" hidden="false" customHeight="false" outlineLevel="0" collapsed="false">
      <c r="B92" s="6" t="s">
        <v>174</v>
      </c>
      <c r="D92" s="33" t="n">
        <f aca="false">SUM(F92:H92)</f>
        <v>1771.93</v>
      </c>
      <c r="H92" s="33" t="n">
        <v>1771.93</v>
      </c>
    </row>
    <row r="93" customFormat="false" ht="15" hidden="false" customHeight="false" outlineLevel="0" collapsed="false">
      <c r="B93" s="6" t="s">
        <v>175</v>
      </c>
      <c r="D93" s="33" t="n">
        <f aca="false">SUM(F93:H93)</f>
        <v>3101.74</v>
      </c>
      <c r="H93" s="33" t="n">
        <v>3101.74</v>
      </c>
    </row>
    <row r="94" customFormat="false" ht="15" hidden="false" customHeight="false" outlineLevel="0" collapsed="false">
      <c r="B94" s="6" t="s">
        <v>176</v>
      </c>
      <c r="D94" s="33" t="n">
        <f aca="false">SUM(F94:H94)</f>
        <v>10409.1</v>
      </c>
      <c r="H94" s="33" t="n">
        <v>10409.1</v>
      </c>
    </row>
    <row r="95" customFormat="false" ht="15" hidden="false" customHeight="false" outlineLevel="0" collapsed="false">
      <c r="B95" s="6" t="s">
        <v>177</v>
      </c>
      <c r="D95" s="33" t="n">
        <f aca="false">SUM(F95:H95)</f>
        <v>3502.1</v>
      </c>
      <c r="H95" s="33" t="n">
        <v>3502.1</v>
      </c>
    </row>
    <row r="96" customFormat="false" ht="15" hidden="false" customHeight="false" outlineLevel="0" collapsed="false">
      <c r="B96" s="6" t="s">
        <v>178</v>
      </c>
      <c r="D96" s="33" t="n">
        <f aca="false">SUM(F96:H96)</f>
        <v>499.77</v>
      </c>
      <c r="H96" s="33" t="n">
        <v>499.77</v>
      </c>
    </row>
    <row r="97" customFormat="false" ht="15" hidden="false" customHeight="false" outlineLevel="0" collapsed="false">
      <c r="B97" s="6" t="s">
        <v>191</v>
      </c>
      <c r="D97" s="33" t="n">
        <f aca="false">SUM(F97:H97)</f>
        <v>320.27</v>
      </c>
      <c r="H97" s="33" t="n">
        <v>320.27</v>
      </c>
    </row>
    <row r="98" customFormat="false" ht="15" hidden="false" customHeight="false" outlineLevel="0" collapsed="false">
      <c r="B98" s="6" t="s">
        <v>179</v>
      </c>
      <c r="D98" s="33" t="n">
        <f aca="false">SUM(F98:H98)</f>
        <v>11487.8</v>
      </c>
      <c r="H98" s="33" t="n">
        <v>11487.8</v>
      </c>
    </row>
    <row r="99" customFormat="false" ht="15" hidden="false" customHeight="false" outlineLevel="0" collapsed="false">
      <c r="B99" s="6" t="s">
        <v>192</v>
      </c>
      <c r="D99" s="33" t="n">
        <f aca="false">SUM(F99:H99)</f>
        <v>260.1</v>
      </c>
      <c r="H99" s="33" t="n">
        <v>260.1</v>
      </c>
    </row>
    <row r="100" customFormat="false" ht="15" hidden="false" customHeight="false" outlineLevel="0" collapsed="false">
      <c r="B100" s="6" t="s">
        <v>181</v>
      </c>
      <c r="D100" s="33" t="n">
        <f aca="false">SUM(F100:H100)</f>
        <v>176</v>
      </c>
      <c r="H100" s="33" t="n">
        <v>176</v>
      </c>
    </row>
    <row r="101" customFormat="false" ht="15" hidden="false" customHeight="false" outlineLevel="0" collapsed="false">
      <c r="B101" s="12" t="s">
        <v>148</v>
      </c>
      <c r="D101" s="34" t="n">
        <f aca="false">SUM(D69:D100)</f>
        <v>92903.28</v>
      </c>
      <c r="F101" s="34" t="n">
        <f aca="false">SUM(F69:F82)</f>
        <v>18918.78</v>
      </c>
      <c r="H101" s="34" t="n">
        <f aca="false">SUM(H84:H100)</f>
        <v>73984.5</v>
      </c>
    </row>
    <row r="102" customFormat="false" ht="15" hidden="false" customHeight="false" outlineLevel="0" collapsed="false">
      <c r="B102" s="30" t="s">
        <v>150</v>
      </c>
      <c r="F102" s="31" t="n">
        <f aca="false">F101/D101</f>
        <v>0.203639527043609</v>
      </c>
      <c r="H102" s="31" t="n">
        <f aca="false">H101/D101</f>
        <v>0.796360472956391</v>
      </c>
    </row>
    <row r="104" customFormat="false" ht="15" hidden="false" customHeight="false" outlineLevel="0" collapsed="false">
      <c r="A104" s="11" t="s">
        <v>134</v>
      </c>
    </row>
    <row r="105" customFormat="false" ht="15" hidden="false" customHeight="false" outlineLevel="0" collapsed="false">
      <c r="B105" s="5" t="s">
        <v>69</v>
      </c>
      <c r="D105" s="5" t="s">
        <v>72</v>
      </c>
      <c r="F105" s="5" t="s">
        <v>152</v>
      </c>
      <c r="H105" s="5" t="s">
        <v>116</v>
      </c>
    </row>
    <row r="106" customFormat="false" ht="15" hidden="false" customHeight="false" outlineLevel="0" collapsed="false">
      <c r="B106" s="6" t="s">
        <v>135</v>
      </c>
      <c r="D106" s="33" t="n">
        <f aca="false">F106+H106</f>
        <v>262.41</v>
      </c>
      <c r="F106" s="33" t="n">
        <v>53.44</v>
      </c>
      <c r="H106" s="33" t="n">
        <v>208.97</v>
      </c>
    </row>
    <row r="107" customFormat="false" ht="15" hidden="false" customHeight="false" outlineLevel="0" collapsed="false">
      <c r="B107" s="6" t="s">
        <v>136</v>
      </c>
      <c r="D107" s="33" t="n">
        <f aca="false">F107+H107</f>
        <v>78086.63</v>
      </c>
      <c r="F107" s="33" t="n">
        <v>15901.52</v>
      </c>
      <c r="H107" s="33" t="n">
        <v>62185.11</v>
      </c>
    </row>
    <row r="108" customFormat="false" ht="15" hidden="false" customHeight="false" outlineLevel="0" collapsed="false">
      <c r="B108" s="6" t="s">
        <v>137</v>
      </c>
      <c r="D108" s="33" t="n">
        <f aca="false">F108+H108</f>
        <v>4851.41</v>
      </c>
      <c r="F108" s="33" t="n">
        <v>987.94</v>
      </c>
      <c r="H108" s="33" t="n">
        <v>3863.47</v>
      </c>
    </row>
    <row r="109" customFormat="false" ht="15" hidden="false" customHeight="false" outlineLevel="0" collapsed="false">
      <c r="B109" s="6" t="s">
        <v>138</v>
      </c>
      <c r="D109" s="33" t="n">
        <f aca="false">F109+H109</f>
        <v>9702.83</v>
      </c>
      <c r="F109" s="33" t="n">
        <v>1975.88</v>
      </c>
      <c r="H109" s="33" t="n">
        <v>7726.95</v>
      </c>
    </row>
    <row r="110" customFormat="false" ht="15" hidden="false" customHeight="false" outlineLevel="0" collapsed="false">
      <c r="B110" s="12" t="s">
        <v>139</v>
      </c>
      <c r="D110" s="34" t="n">
        <f aca="false">SUM(D106:D109)</f>
        <v>92903.28</v>
      </c>
      <c r="F110" s="34" t="n">
        <f aca="false">SUM(F106:F109)</f>
        <v>18918.78</v>
      </c>
      <c r="H110" s="34" t="n">
        <f aca="false">SUM(H106:H109)</f>
        <v>73984.5</v>
      </c>
    </row>
    <row r="111" customFormat="false" ht="15" hidden="false" customHeight="false" outlineLevel="0" collapsed="false">
      <c r="B111" s="4" t="s">
        <v>140</v>
      </c>
      <c r="D111" s="17" t="n">
        <f aca="false">D110-D101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193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479.53</v>
      </c>
      <c r="E10" s="24" t="n">
        <v>0</v>
      </c>
      <c r="F10" s="24" t="n">
        <v>0</v>
      </c>
      <c r="G10" s="24" t="n">
        <v>29.03</v>
      </c>
      <c r="H10" s="24" t="n">
        <v>11.97</v>
      </c>
      <c r="I10" s="24" t="n">
        <f aca="false">G10+H10</f>
        <v>41</v>
      </c>
      <c r="J10" s="24" t="n">
        <f aca="false">D10-I10</f>
        <v>438.53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142694.3</v>
      </c>
      <c r="E11" s="24" t="n">
        <v>0</v>
      </c>
      <c r="F11" s="24" t="n">
        <v>0</v>
      </c>
      <c r="G11" s="24" t="n">
        <v>30709.29</v>
      </c>
      <c r="H11" s="24" t="n">
        <v>3355.37</v>
      </c>
      <c r="I11" s="24" t="n">
        <f aca="false">G11+H11</f>
        <v>34064.66</v>
      </c>
      <c r="J11" s="24" t="n">
        <f aca="false">D11-I11</f>
        <v>108629.64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8865.4</v>
      </c>
      <c r="E12" s="24" t="n">
        <v>0</v>
      </c>
      <c r="F12" s="24" t="n">
        <v>0</v>
      </c>
      <c r="G12" s="24" t="n">
        <v>8274.39</v>
      </c>
      <c r="H12" s="24" t="n">
        <v>0</v>
      </c>
      <c r="I12" s="24" t="n">
        <f aca="false">G12+H12</f>
        <v>8274.39</v>
      </c>
      <c r="J12" s="24" t="n">
        <f aca="false">D12-I12</f>
        <v>591.01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17730.79</v>
      </c>
      <c r="E13" s="24" t="n">
        <v>0</v>
      </c>
      <c r="F13" s="24" t="n">
        <v>0</v>
      </c>
      <c r="G13" s="24" t="n">
        <v>8532.2</v>
      </c>
      <c r="H13" s="24" t="n">
        <v>1046.12</v>
      </c>
      <c r="I13" s="24" t="n">
        <f aca="false">G13+H13</f>
        <v>9578.32</v>
      </c>
      <c r="J13" s="24" t="n">
        <f aca="false">D13-I13</f>
        <v>8152.47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169770.02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47544.91</v>
      </c>
      <c r="H14" s="28" t="n">
        <f aca="false">SUM(H10:H13)</f>
        <v>4413.46</v>
      </c>
      <c r="I14" s="28" t="n">
        <f aca="false">SUM(I10:I13)</f>
        <v>51958.37</v>
      </c>
      <c r="J14" s="28" t="n">
        <f aca="false">SUM(J10:J13)</f>
        <v>117811.65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89.94</v>
      </c>
      <c r="E18" s="24" t="n">
        <v>0</v>
      </c>
      <c r="F18" s="24" t="n">
        <v>89.94</v>
      </c>
      <c r="G18" s="24" t="n">
        <v>89.94</v>
      </c>
      <c r="H18" s="24" t="n">
        <v>0</v>
      </c>
      <c r="I18" s="24" t="n">
        <f aca="false">G18+H18</f>
        <v>89.94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389.59</v>
      </c>
      <c r="E19" s="24" t="n">
        <v>0</v>
      </c>
      <c r="F19" s="24" t="n">
        <v>0</v>
      </c>
      <c r="G19" s="24" t="n">
        <v>29.77</v>
      </c>
      <c r="H19" s="24" t="n">
        <v>12.99</v>
      </c>
      <c r="I19" s="24" t="n">
        <f aca="false">G19+H19</f>
        <v>42.76</v>
      </c>
      <c r="J19" s="24" t="n">
        <f aca="false">D19-I19</f>
        <v>346.83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26763.65</v>
      </c>
      <c r="E20" s="24" t="n">
        <v>0</v>
      </c>
      <c r="F20" s="24" t="n">
        <v>0</v>
      </c>
      <c r="G20" s="24" t="n">
        <v>26763.65</v>
      </c>
      <c r="H20" s="24" t="n">
        <v>0</v>
      </c>
      <c r="I20" s="24" t="n">
        <f aca="false">G20+H20</f>
        <v>26763.65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115930.65</v>
      </c>
      <c r="E21" s="24" t="n">
        <v>0</v>
      </c>
      <c r="F21" s="24" t="n">
        <v>0</v>
      </c>
      <c r="G21" s="24" t="n">
        <v>25601.32</v>
      </c>
      <c r="H21" s="24" t="n">
        <v>3864.35</v>
      </c>
      <c r="I21" s="24" t="n">
        <f aca="false">G21+H21</f>
        <v>29465.67</v>
      </c>
      <c r="J21" s="24" t="n">
        <f aca="false">D21-I21</f>
        <v>86464.98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1662.79</v>
      </c>
      <c r="E22" s="24" t="n">
        <v>0</v>
      </c>
      <c r="F22" s="24" t="n">
        <v>0</v>
      </c>
      <c r="G22" s="24" t="n">
        <v>1662.79</v>
      </c>
      <c r="H22" s="24" t="n">
        <v>0</v>
      </c>
      <c r="I22" s="24" t="n">
        <f aca="false">G22+H22</f>
        <v>1662.79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7202.61</v>
      </c>
      <c r="E23" s="24" t="n">
        <v>0</v>
      </c>
      <c r="F23" s="24" t="n">
        <v>0</v>
      </c>
      <c r="G23" s="24" t="n">
        <v>1590.59</v>
      </c>
      <c r="H23" s="24" t="n">
        <v>240.09</v>
      </c>
      <c r="I23" s="24" t="n">
        <f aca="false">G23+H23</f>
        <v>1830.68</v>
      </c>
      <c r="J23" s="24" t="n">
        <f aca="false">D23-I23</f>
        <v>5371.93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3325.57</v>
      </c>
      <c r="E24" s="24" t="n">
        <v>0</v>
      </c>
      <c r="F24" s="24" t="n">
        <v>0</v>
      </c>
      <c r="G24" s="24" t="n">
        <v>3325.57</v>
      </c>
      <c r="H24" s="24" t="n">
        <v>0</v>
      </c>
      <c r="I24" s="24" t="n">
        <f aca="false">G24+H24</f>
        <v>3325.57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14405.22</v>
      </c>
      <c r="E25" s="24" t="n">
        <v>0</v>
      </c>
      <c r="F25" s="24" t="n">
        <v>0</v>
      </c>
      <c r="G25" s="24" t="n">
        <v>3181.13</v>
      </c>
      <c r="H25" s="24" t="n">
        <v>480.17</v>
      </c>
      <c r="I25" s="24" t="n">
        <f aca="false">G25+H25</f>
        <v>3661.3</v>
      </c>
      <c r="J25" s="24" t="n">
        <f aca="false">D25-I25</f>
        <v>10743.92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169770.02</v>
      </c>
      <c r="E26" s="28" t="n">
        <f aca="false">SUM(E18:E25)</f>
        <v>0</v>
      </c>
      <c r="F26" s="28" t="n">
        <f aca="false">SUM(F18:F25)</f>
        <v>89.94</v>
      </c>
      <c r="G26" s="28" t="n">
        <f aca="false">SUM(G18:G25)</f>
        <v>62244.76</v>
      </c>
      <c r="H26" s="28" t="n">
        <f aca="false">SUM(H18:H25)</f>
        <v>4597.6</v>
      </c>
      <c r="I26" s="28" t="n">
        <f aca="false">SUM(I18:I25)</f>
        <v>66842.36</v>
      </c>
      <c r="J26" s="28" t="n">
        <f aca="false">SUM(J18:J25)</f>
        <v>102927.66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51958.37</v>
      </c>
    </row>
    <row r="30" customFormat="false" ht="15" hidden="false" customHeight="false" outlineLevel="0" collapsed="false">
      <c r="B30" s="6" t="s">
        <v>101</v>
      </c>
      <c r="D30" s="7" t="n">
        <f aca="false">I26</f>
        <v>66842.36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-14883.99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479.53</v>
      </c>
      <c r="E36" s="24" t="n">
        <v>0</v>
      </c>
      <c r="F36" s="24" t="n">
        <v>0</v>
      </c>
      <c r="G36" s="24" t="n">
        <v>29.03</v>
      </c>
      <c r="H36" s="24" t="n">
        <v>11.97</v>
      </c>
      <c r="I36" s="24" t="n">
        <f aca="false">G36+H36</f>
        <v>41</v>
      </c>
      <c r="J36" s="24" t="n">
        <f aca="false">D36-I36</f>
        <v>438.53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142694.3</v>
      </c>
      <c r="E37" s="24" t="n">
        <v>0</v>
      </c>
      <c r="F37" s="24" t="n">
        <v>0</v>
      </c>
      <c r="G37" s="24" t="n">
        <v>30709.29</v>
      </c>
      <c r="H37" s="24" t="n">
        <v>3355.37</v>
      </c>
      <c r="I37" s="24" t="n">
        <f aca="false">G37+H37</f>
        <v>34064.66</v>
      </c>
      <c r="J37" s="24" t="n">
        <f aca="false">D37-I37</f>
        <v>108629.64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8865.4</v>
      </c>
      <c r="E38" s="24" t="n">
        <v>0</v>
      </c>
      <c r="F38" s="24" t="n">
        <v>0</v>
      </c>
      <c r="G38" s="24" t="n">
        <v>8274.39</v>
      </c>
      <c r="H38" s="24" t="n">
        <v>0</v>
      </c>
      <c r="I38" s="24" t="n">
        <f aca="false">G38+H38</f>
        <v>8274.39</v>
      </c>
      <c r="J38" s="24" t="n">
        <f aca="false">D38-I38</f>
        <v>591.01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17730.79</v>
      </c>
      <c r="E39" s="24" t="n">
        <v>0</v>
      </c>
      <c r="F39" s="24" t="n">
        <v>0</v>
      </c>
      <c r="G39" s="24" t="n">
        <v>8532.2</v>
      </c>
      <c r="H39" s="24" t="n">
        <v>1046.12</v>
      </c>
      <c r="I39" s="24" t="n">
        <f aca="false">G39+H39</f>
        <v>9578.32</v>
      </c>
      <c r="J39" s="24" t="n">
        <f aca="false">D39-I39</f>
        <v>8152.47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169770.02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47544.91</v>
      </c>
      <c r="H40" s="28" t="n">
        <f aca="false">SUM(H36:H39)</f>
        <v>4413.46</v>
      </c>
      <c r="I40" s="28" t="n">
        <f aca="false">SUM(I36:I39)</f>
        <v>51958.37</v>
      </c>
      <c r="J40" s="28" t="n">
        <f aca="false">SUM(J36:J39)</f>
        <v>117811.65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89.94</v>
      </c>
      <c r="E44" s="24" t="n">
        <v>0</v>
      </c>
      <c r="F44" s="24" t="n">
        <v>89.94</v>
      </c>
      <c r="G44" s="24" t="n">
        <v>89.94</v>
      </c>
      <c r="H44" s="24" t="n">
        <v>0</v>
      </c>
      <c r="I44" s="24" t="n">
        <f aca="false">G44+H44</f>
        <v>89.94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389.59</v>
      </c>
      <c r="E45" s="24" t="n">
        <v>0</v>
      </c>
      <c r="F45" s="24" t="n">
        <v>0</v>
      </c>
      <c r="G45" s="24" t="n">
        <v>29.77</v>
      </c>
      <c r="H45" s="24" t="n">
        <v>12.99</v>
      </c>
      <c r="I45" s="24" t="n">
        <f aca="false">G45+H45</f>
        <v>42.76</v>
      </c>
      <c r="J45" s="24" t="n">
        <f aca="false">D45-I45</f>
        <v>346.83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26763.65</v>
      </c>
      <c r="E46" s="24" t="n">
        <v>0</v>
      </c>
      <c r="F46" s="24" t="n">
        <v>0</v>
      </c>
      <c r="G46" s="24" t="n">
        <v>26763.65</v>
      </c>
      <c r="H46" s="24" t="n">
        <v>0</v>
      </c>
      <c r="I46" s="24" t="n">
        <f aca="false">G46+H46</f>
        <v>26763.65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115930.65</v>
      </c>
      <c r="E47" s="24" t="n">
        <v>0</v>
      </c>
      <c r="F47" s="24" t="n">
        <v>0</v>
      </c>
      <c r="G47" s="24" t="n">
        <v>25601.32</v>
      </c>
      <c r="H47" s="24" t="n">
        <v>3864.35</v>
      </c>
      <c r="I47" s="24" t="n">
        <f aca="false">G47+H47</f>
        <v>29465.67</v>
      </c>
      <c r="J47" s="24" t="n">
        <f aca="false">D47-I47</f>
        <v>86464.98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1662.79</v>
      </c>
      <c r="E48" s="24" t="n">
        <v>0</v>
      </c>
      <c r="F48" s="24" t="n">
        <v>0</v>
      </c>
      <c r="G48" s="24" t="n">
        <v>1662.79</v>
      </c>
      <c r="H48" s="24" t="n">
        <v>0</v>
      </c>
      <c r="I48" s="24" t="n">
        <f aca="false">G48+H48</f>
        <v>1662.79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7202.61</v>
      </c>
      <c r="E49" s="24" t="n">
        <v>0</v>
      </c>
      <c r="F49" s="24" t="n">
        <v>0</v>
      </c>
      <c r="G49" s="24" t="n">
        <v>1590.59</v>
      </c>
      <c r="H49" s="24" t="n">
        <v>240.09</v>
      </c>
      <c r="I49" s="24" t="n">
        <f aca="false">G49+H49</f>
        <v>1830.68</v>
      </c>
      <c r="J49" s="24" t="n">
        <f aca="false">D49-I49</f>
        <v>5371.93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3325.57</v>
      </c>
      <c r="E50" s="24" t="n">
        <v>0</v>
      </c>
      <c r="F50" s="24" t="n">
        <v>0</v>
      </c>
      <c r="G50" s="24" t="n">
        <v>3325.57</v>
      </c>
      <c r="H50" s="24" t="n">
        <v>0</v>
      </c>
      <c r="I50" s="24" t="n">
        <f aca="false">G50+H50</f>
        <v>3325.57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14405.22</v>
      </c>
      <c r="E51" s="24" t="n">
        <v>0</v>
      </c>
      <c r="F51" s="24" t="n">
        <v>0</v>
      </c>
      <c r="G51" s="24" t="n">
        <v>3181.13</v>
      </c>
      <c r="H51" s="24" t="n">
        <v>480.17</v>
      </c>
      <c r="I51" s="24" t="n">
        <f aca="false">G51+H51</f>
        <v>3661.3</v>
      </c>
      <c r="J51" s="24" t="n">
        <f aca="false">D51-I51</f>
        <v>10743.92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169770.02</v>
      </c>
      <c r="E52" s="28" t="n">
        <f aca="false">SUM(E44:E51)</f>
        <v>0</v>
      </c>
      <c r="F52" s="28" t="n">
        <f aca="false">SUM(F44:F51)</f>
        <v>89.94</v>
      </c>
      <c r="G52" s="28" t="n">
        <f aca="false">SUM(G44:G51)</f>
        <v>62244.76</v>
      </c>
      <c r="H52" s="28" t="n">
        <f aca="false">SUM(H44:H51)</f>
        <v>4597.6</v>
      </c>
      <c r="I52" s="28" t="n">
        <f aca="false">SUM(I44:I51)</f>
        <v>66842.36</v>
      </c>
      <c r="J52" s="28" t="n">
        <f aca="false">SUM(J44:J51)</f>
        <v>102927.66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51958.37</v>
      </c>
    </row>
    <row r="56" customFormat="false" ht="15" hidden="false" customHeight="false" outlineLevel="0" collapsed="false">
      <c r="B56" s="6" t="s">
        <v>101</v>
      </c>
      <c r="D56" s="7" t="n">
        <f aca="false">I52</f>
        <v>66842.36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-14883.99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169770.02</v>
      </c>
    </row>
    <row r="61" customFormat="false" ht="15" hidden="false" customHeight="false" outlineLevel="0" collapsed="false">
      <c r="B61" s="6" t="s">
        <v>149</v>
      </c>
      <c r="D61" s="7" t="n">
        <f aca="false">F98</f>
        <v>31841.95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0.187559322900474</v>
      </c>
    </row>
    <row r="63" customFormat="false" ht="15" hidden="false" customHeight="false" outlineLevel="0" collapsed="false">
      <c r="B63" s="6" t="s">
        <v>151</v>
      </c>
      <c r="D63" s="7" t="n">
        <f aca="false">H98</f>
        <v>137928.07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0.812440677099526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7800.47</v>
      </c>
      <c r="F69" s="33" t="n">
        <v>7800.47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3748.91</v>
      </c>
      <c r="F70" s="33" t="n">
        <v>3748.91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12139.37</v>
      </c>
      <c r="F71" s="33" t="n">
        <v>12139.37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1142.58</v>
      </c>
      <c r="F72" s="33" t="n">
        <v>1142.58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1052.34</v>
      </c>
      <c r="F75" s="33" t="n">
        <v>1052.34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5090</v>
      </c>
      <c r="H81" s="33" t="n">
        <v>5090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8538.11</v>
      </c>
      <c r="H82" s="33" t="n">
        <v>8538.11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11754.94</v>
      </c>
      <c r="H83" s="33" t="n">
        <v>11754.94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11527.95</v>
      </c>
      <c r="H84" s="33" t="n">
        <v>11527.95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10218.5</v>
      </c>
      <c r="H85" s="33" t="n">
        <v>10218.5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775.83</v>
      </c>
      <c r="H86" s="33" t="n">
        <v>775.83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22829.89</v>
      </c>
      <c r="H87" s="33" t="n">
        <v>22829.89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5886.42</v>
      </c>
      <c r="H88" s="33" t="n">
        <v>5886.42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5036.01</v>
      </c>
      <c r="H89" s="33" t="n">
        <v>5036.01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5406.4</v>
      </c>
      <c r="H90" s="33" t="n">
        <v>5406.4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16464.28</v>
      </c>
      <c r="H91" s="33" t="n">
        <v>16464.28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5938.8</v>
      </c>
      <c r="H92" s="33" t="n">
        <v>5938.8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1234.18</v>
      </c>
      <c r="H93" s="33" t="n">
        <v>1234.18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20850.04</v>
      </c>
      <c r="H94" s="33" t="n">
        <v>20850.04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169770.02</v>
      </c>
      <c r="F98" s="34" t="n">
        <f aca="false">SUM(F69:F79)</f>
        <v>31841.95</v>
      </c>
      <c r="H98" s="34" t="n">
        <f aca="false">SUM(H81:H97)</f>
        <v>137928.07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0.187559322900474</v>
      </c>
      <c r="H99" s="31" t="n">
        <f aca="false">H98/D98</f>
        <v>0.812440677099526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479.53</v>
      </c>
      <c r="F103" s="33" t="n">
        <v>89.94</v>
      </c>
      <c r="H103" s="33" t="n">
        <v>389.59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142694.3</v>
      </c>
      <c r="F104" s="33" t="n">
        <v>26763.65</v>
      </c>
      <c r="H104" s="33" t="n">
        <v>115930.65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8865.4</v>
      </c>
      <c r="F105" s="33" t="n">
        <v>1662.79</v>
      </c>
      <c r="H105" s="33" t="n">
        <v>7202.61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17730.79</v>
      </c>
      <c r="F106" s="33" t="n">
        <v>3325.57</v>
      </c>
      <c r="H106" s="33" t="n">
        <v>14405.22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169770.02</v>
      </c>
      <c r="F107" s="34" t="n">
        <f aca="false">SUM(F103:F106)</f>
        <v>31841.95</v>
      </c>
      <c r="H107" s="34" t="n">
        <f aca="false">SUM(H103:H106)</f>
        <v>137928.07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194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750.82</v>
      </c>
      <c r="E10" s="24" t="n">
        <v>0</v>
      </c>
      <c r="F10" s="24" t="n">
        <v>0</v>
      </c>
      <c r="G10" s="24" t="n">
        <v>45.46</v>
      </c>
      <c r="H10" s="24" t="n">
        <v>18.74</v>
      </c>
      <c r="I10" s="24" t="n">
        <f aca="false">G10+H10</f>
        <v>64.2</v>
      </c>
      <c r="J10" s="24" t="n">
        <f aca="false">D10-I10</f>
        <v>686.62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223422.8</v>
      </c>
      <c r="E11" s="24" t="n">
        <v>0</v>
      </c>
      <c r="F11" s="24" t="n">
        <v>0</v>
      </c>
      <c r="G11" s="24" t="n">
        <v>48082.9</v>
      </c>
      <c r="H11" s="24" t="n">
        <v>5253.66</v>
      </c>
      <c r="I11" s="24" t="n">
        <f aca="false">G11+H11</f>
        <v>53336.56</v>
      </c>
      <c r="J11" s="24" t="n">
        <f aca="false">D11-I11</f>
        <v>170086.24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13880.94</v>
      </c>
      <c r="E12" s="24" t="n">
        <v>0</v>
      </c>
      <c r="F12" s="24" t="n">
        <v>0</v>
      </c>
      <c r="G12" s="24" t="n">
        <v>12955.57</v>
      </c>
      <c r="H12" s="24" t="n">
        <v>0</v>
      </c>
      <c r="I12" s="24" t="n">
        <f aca="false">G12+H12</f>
        <v>12955.57</v>
      </c>
      <c r="J12" s="24" t="n">
        <f aca="false">D12-I12</f>
        <v>925.370000000001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27761.89</v>
      </c>
      <c r="E13" s="24" t="n">
        <v>0</v>
      </c>
      <c r="F13" s="24" t="n">
        <v>0</v>
      </c>
      <c r="G13" s="24" t="n">
        <v>13359.23</v>
      </c>
      <c r="H13" s="24" t="n">
        <v>1637.95</v>
      </c>
      <c r="I13" s="24" t="n">
        <f aca="false">G13+H13</f>
        <v>14997.18</v>
      </c>
      <c r="J13" s="24" t="n">
        <f aca="false">D13-I13</f>
        <v>12764.71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265816.45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74443.16</v>
      </c>
      <c r="H14" s="28" t="n">
        <f aca="false">SUM(H10:H13)</f>
        <v>6910.35</v>
      </c>
      <c r="I14" s="28" t="n">
        <f aca="false">SUM(I10:I13)</f>
        <v>81353.51</v>
      </c>
      <c r="J14" s="28" t="n">
        <f aca="false">SUM(J10:J13)</f>
        <v>184462.94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157.52</v>
      </c>
      <c r="E18" s="24" t="n">
        <v>0</v>
      </c>
      <c r="F18" s="24" t="n">
        <v>157.52</v>
      </c>
      <c r="G18" s="24" t="n">
        <v>157.52</v>
      </c>
      <c r="H18" s="24" t="n">
        <v>0</v>
      </c>
      <c r="I18" s="24" t="n">
        <f aca="false">G18+H18</f>
        <v>157.52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593.3</v>
      </c>
      <c r="E19" s="24" t="n">
        <v>0</v>
      </c>
      <c r="F19" s="24" t="n">
        <v>0</v>
      </c>
      <c r="G19" s="24" t="n">
        <v>45.33</v>
      </c>
      <c r="H19" s="24" t="n">
        <v>19.78</v>
      </c>
      <c r="I19" s="24" t="n">
        <f aca="false">G19+H19</f>
        <v>65.11</v>
      </c>
      <c r="J19" s="24" t="n">
        <f aca="false">D19-I19</f>
        <v>528.19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46872.91</v>
      </c>
      <c r="E20" s="24" t="n">
        <v>0</v>
      </c>
      <c r="F20" s="24" t="n">
        <v>0</v>
      </c>
      <c r="G20" s="24" t="n">
        <v>46872.91</v>
      </c>
      <c r="H20" s="24" t="n">
        <v>0</v>
      </c>
      <c r="I20" s="24" t="n">
        <f aca="false">G20+H20</f>
        <v>46872.91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176549.89</v>
      </c>
      <c r="E21" s="24" t="n">
        <v>0</v>
      </c>
      <c r="F21" s="24" t="n">
        <v>0</v>
      </c>
      <c r="G21" s="24" t="n">
        <v>38988.12</v>
      </c>
      <c r="H21" s="24" t="n">
        <v>5885</v>
      </c>
      <c r="I21" s="24" t="n">
        <f aca="false">G21+H21</f>
        <v>44873.12</v>
      </c>
      <c r="J21" s="24" t="n">
        <f aca="false">D21-I21</f>
        <v>131676.77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2912.15</v>
      </c>
      <c r="E22" s="24" t="n">
        <v>0</v>
      </c>
      <c r="F22" s="24" t="n">
        <v>0</v>
      </c>
      <c r="G22" s="24" t="n">
        <v>2912.15</v>
      </c>
      <c r="H22" s="24" t="n">
        <v>0</v>
      </c>
      <c r="I22" s="24" t="n">
        <f aca="false">G22+H22</f>
        <v>2912.15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10968.79</v>
      </c>
      <c r="E23" s="24" t="n">
        <v>0</v>
      </c>
      <c r="F23" s="24" t="n">
        <v>0</v>
      </c>
      <c r="G23" s="24" t="n">
        <v>2422.3</v>
      </c>
      <c r="H23" s="24" t="n">
        <v>365.63</v>
      </c>
      <c r="I23" s="24" t="n">
        <f aca="false">G23+H23</f>
        <v>2787.93</v>
      </c>
      <c r="J23" s="24" t="n">
        <f aca="false">D23-I23</f>
        <v>8180.86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5824.29</v>
      </c>
      <c r="E24" s="24" t="n">
        <v>0</v>
      </c>
      <c r="F24" s="24" t="n">
        <v>0</v>
      </c>
      <c r="G24" s="24" t="n">
        <v>5824.29</v>
      </c>
      <c r="H24" s="24" t="n">
        <v>0</v>
      </c>
      <c r="I24" s="24" t="n">
        <f aca="false">G24+H24</f>
        <v>5824.29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21937.6</v>
      </c>
      <c r="E25" s="24" t="n">
        <v>0</v>
      </c>
      <c r="F25" s="24" t="n">
        <v>0</v>
      </c>
      <c r="G25" s="24" t="n">
        <v>4844.53</v>
      </c>
      <c r="H25" s="24" t="n">
        <v>731.25</v>
      </c>
      <c r="I25" s="24" t="n">
        <f aca="false">G25+H25</f>
        <v>5575.78</v>
      </c>
      <c r="J25" s="24" t="n">
        <f aca="false">D25-I25</f>
        <v>16361.82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265816.45</v>
      </c>
      <c r="E26" s="28" t="n">
        <f aca="false">SUM(E18:E25)</f>
        <v>0</v>
      </c>
      <c r="F26" s="28" t="n">
        <f aca="false">SUM(F18:F25)</f>
        <v>157.52</v>
      </c>
      <c r="G26" s="28" t="n">
        <f aca="false">SUM(G18:G25)</f>
        <v>102067.15</v>
      </c>
      <c r="H26" s="28" t="n">
        <f aca="false">SUM(H18:H25)</f>
        <v>7001.66</v>
      </c>
      <c r="I26" s="28" t="n">
        <f aca="false">SUM(I18:I25)</f>
        <v>109068.81</v>
      </c>
      <c r="J26" s="28" t="n">
        <f aca="false">SUM(J18:J25)</f>
        <v>156747.64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81353.51</v>
      </c>
    </row>
    <row r="30" customFormat="false" ht="15" hidden="false" customHeight="false" outlineLevel="0" collapsed="false">
      <c r="B30" s="6" t="s">
        <v>101</v>
      </c>
      <c r="D30" s="7" t="n">
        <f aca="false">I26</f>
        <v>109068.81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-27715.3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750.82</v>
      </c>
      <c r="E36" s="24" t="n">
        <v>0</v>
      </c>
      <c r="F36" s="24" t="n">
        <v>0</v>
      </c>
      <c r="G36" s="24" t="n">
        <v>45.46</v>
      </c>
      <c r="H36" s="24" t="n">
        <v>18.74</v>
      </c>
      <c r="I36" s="24" t="n">
        <f aca="false">G36+H36</f>
        <v>64.2</v>
      </c>
      <c r="J36" s="24" t="n">
        <f aca="false">D36-I36</f>
        <v>686.62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223422.8</v>
      </c>
      <c r="E37" s="24" t="n">
        <v>0</v>
      </c>
      <c r="F37" s="24" t="n">
        <v>0</v>
      </c>
      <c r="G37" s="24" t="n">
        <v>48082.9</v>
      </c>
      <c r="H37" s="24" t="n">
        <v>5253.66</v>
      </c>
      <c r="I37" s="24" t="n">
        <f aca="false">G37+H37</f>
        <v>53336.56</v>
      </c>
      <c r="J37" s="24" t="n">
        <f aca="false">D37-I37</f>
        <v>170086.24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13880.94</v>
      </c>
      <c r="E38" s="24" t="n">
        <v>0</v>
      </c>
      <c r="F38" s="24" t="n">
        <v>0</v>
      </c>
      <c r="G38" s="24" t="n">
        <v>12955.57</v>
      </c>
      <c r="H38" s="24" t="n">
        <v>0</v>
      </c>
      <c r="I38" s="24" t="n">
        <f aca="false">G38+H38</f>
        <v>12955.57</v>
      </c>
      <c r="J38" s="24" t="n">
        <f aca="false">D38-I38</f>
        <v>925.370000000001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27761.89</v>
      </c>
      <c r="E39" s="24" t="n">
        <v>0</v>
      </c>
      <c r="F39" s="24" t="n">
        <v>0</v>
      </c>
      <c r="G39" s="24" t="n">
        <v>13359.23</v>
      </c>
      <c r="H39" s="24" t="n">
        <v>1637.95</v>
      </c>
      <c r="I39" s="24" t="n">
        <f aca="false">G39+H39</f>
        <v>14997.18</v>
      </c>
      <c r="J39" s="24" t="n">
        <f aca="false">D39-I39</f>
        <v>12764.71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265816.45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74443.16</v>
      </c>
      <c r="H40" s="28" t="n">
        <f aca="false">SUM(H36:H39)</f>
        <v>6910.35</v>
      </c>
      <c r="I40" s="28" t="n">
        <f aca="false">SUM(I36:I39)</f>
        <v>81353.51</v>
      </c>
      <c r="J40" s="28" t="n">
        <f aca="false">SUM(J36:J39)</f>
        <v>184462.94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157.52</v>
      </c>
      <c r="E44" s="24" t="n">
        <v>0</v>
      </c>
      <c r="F44" s="24" t="n">
        <v>157.52</v>
      </c>
      <c r="G44" s="24" t="n">
        <v>157.52</v>
      </c>
      <c r="H44" s="24" t="n">
        <v>0</v>
      </c>
      <c r="I44" s="24" t="n">
        <f aca="false">G44+H44</f>
        <v>157.52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593.3</v>
      </c>
      <c r="E45" s="24" t="n">
        <v>0</v>
      </c>
      <c r="F45" s="24" t="n">
        <v>0</v>
      </c>
      <c r="G45" s="24" t="n">
        <v>45.33</v>
      </c>
      <c r="H45" s="24" t="n">
        <v>19.78</v>
      </c>
      <c r="I45" s="24" t="n">
        <f aca="false">G45+H45</f>
        <v>65.11</v>
      </c>
      <c r="J45" s="24" t="n">
        <f aca="false">D45-I45</f>
        <v>528.19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46872.91</v>
      </c>
      <c r="E46" s="24" t="n">
        <v>0</v>
      </c>
      <c r="F46" s="24" t="n">
        <v>0</v>
      </c>
      <c r="G46" s="24" t="n">
        <v>46872.91</v>
      </c>
      <c r="H46" s="24" t="n">
        <v>0</v>
      </c>
      <c r="I46" s="24" t="n">
        <f aca="false">G46+H46</f>
        <v>46872.91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176549.89</v>
      </c>
      <c r="E47" s="24" t="n">
        <v>0</v>
      </c>
      <c r="F47" s="24" t="n">
        <v>0</v>
      </c>
      <c r="G47" s="24" t="n">
        <v>38988.12</v>
      </c>
      <c r="H47" s="24" t="n">
        <v>5885</v>
      </c>
      <c r="I47" s="24" t="n">
        <f aca="false">G47+H47</f>
        <v>44873.12</v>
      </c>
      <c r="J47" s="24" t="n">
        <f aca="false">D47-I47</f>
        <v>131676.77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2912.15</v>
      </c>
      <c r="E48" s="24" t="n">
        <v>0</v>
      </c>
      <c r="F48" s="24" t="n">
        <v>0</v>
      </c>
      <c r="G48" s="24" t="n">
        <v>2912.15</v>
      </c>
      <c r="H48" s="24" t="n">
        <v>0</v>
      </c>
      <c r="I48" s="24" t="n">
        <f aca="false">G48+H48</f>
        <v>2912.15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10968.79</v>
      </c>
      <c r="E49" s="24" t="n">
        <v>0</v>
      </c>
      <c r="F49" s="24" t="n">
        <v>0</v>
      </c>
      <c r="G49" s="24" t="n">
        <v>2422.3</v>
      </c>
      <c r="H49" s="24" t="n">
        <v>365.63</v>
      </c>
      <c r="I49" s="24" t="n">
        <f aca="false">G49+H49</f>
        <v>2787.93</v>
      </c>
      <c r="J49" s="24" t="n">
        <f aca="false">D49-I49</f>
        <v>8180.86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5824.29</v>
      </c>
      <c r="E50" s="24" t="n">
        <v>0</v>
      </c>
      <c r="F50" s="24" t="n">
        <v>0</v>
      </c>
      <c r="G50" s="24" t="n">
        <v>5824.29</v>
      </c>
      <c r="H50" s="24" t="n">
        <v>0</v>
      </c>
      <c r="I50" s="24" t="n">
        <f aca="false">G50+H50</f>
        <v>5824.29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21937.6</v>
      </c>
      <c r="E51" s="24" t="n">
        <v>0</v>
      </c>
      <c r="F51" s="24" t="n">
        <v>0</v>
      </c>
      <c r="G51" s="24" t="n">
        <v>4844.53</v>
      </c>
      <c r="H51" s="24" t="n">
        <v>731.25</v>
      </c>
      <c r="I51" s="24" t="n">
        <f aca="false">G51+H51</f>
        <v>5575.78</v>
      </c>
      <c r="J51" s="24" t="n">
        <f aca="false">D51-I51</f>
        <v>16361.82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265816.45</v>
      </c>
      <c r="E52" s="28" t="n">
        <f aca="false">SUM(E44:E51)</f>
        <v>0</v>
      </c>
      <c r="F52" s="28" t="n">
        <f aca="false">SUM(F44:F51)</f>
        <v>157.52</v>
      </c>
      <c r="G52" s="28" t="n">
        <f aca="false">SUM(G44:G51)</f>
        <v>102067.15</v>
      </c>
      <c r="H52" s="28" t="n">
        <f aca="false">SUM(H44:H51)</f>
        <v>7001.66</v>
      </c>
      <c r="I52" s="28" t="n">
        <f aca="false">SUM(I44:I51)</f>
        <v>109068.81</v>
      </c>
      <c r="J52" s="28" t="n">
        <f aca="false">SUM(J44:J51)</f>
        <v>156747.64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81353.51</v>
      </c>
    </row>
    <row r="56" customFormat="false" ht="15" hidden="false" customHeight="false" outlineLevel="0" collapsed="false">
      <c r="B56" s="6" t="s">
        <v>101</v>
      </c>
      <c r="D56" s="7" t="n">
        <f aca="false">I52</f>
        <v>109068.81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-27715.3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265816.45</v>
      </c>
    </row>
    <row r="61" customFormat="false" ht="15" hidden="false" customHeight="false" outlineLevel="0" collapsed="false">
      <c r="B61" s="6" t="s">
        <v>149</v>
      </c>
      <c r="D61" s="7" t="n">
        <f aca="false">F98</f>
        <v>55766.87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0.209794653415919</v>
      </c>
    </row>
    <row r="63" customFormat="false" ht="15" hidden="false" customHeight="false" outlineLevel="0" collapsed="false">
      <c r="B63" s="6" t="s">
        <v>151</v>
      </c>
      <c r="D63" s="7" t="n">
        <f aca="false">H98</f>
        <v>210049.58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0.790205346584081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13932.37</v>
      </c>
      <c r="F69" s="33" t="n">
        <v>13932.37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4762.13</v>
      </c>
      <c r="F70" s="33" t="n">
        <v>4762.13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21399.52</v>
      </c>
      <c r="F71" s="33" t="n">
        <v>21399.52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1967.77</v>
      </c>
      <c r="F72" s="33" t="n">
        <v>1967.77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1855.1</v>
      </c>
      <c r="F75" s="33" t="n">
        <v>1855.1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8726.14</v>
      </c>
      <c r="H81" s="33" t="n">
        <v>8726.14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14310.97</v>
      </c>
      <c r="H82" s="33" t="n">
        <v>14310.97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20721.85</v>
      </c>
      <c r="H83" s="33" t="n">
        <v>20721.85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20019.46</v>
      </c>
      <c r="H84" s="33" t="n">
        <v>20019.46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18013.39</v>
      </c>
      <c r="H85" s="33" t="n">
        <v>18013.39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1255.28</v>
      </c>
      <c r="H86" s="33" t="n">
        <v>1255.28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28034.85</v>
      </c>
      <c r="H87" s="33" t="n">
        <v>28034.85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9209.33</v>
      </c>
      <c r="H88" s="33" t="n">
        <v>9209.33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8673.12</v>
      </c>
      <c r="H89" s="33" t="n">
        <v>8673.12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9530.52</v>
      </c>
      <c r="H90" s="33" t="n">
        <v>9530.52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20615.67</v>
      </c>
      <c r="H91" s="33" t="n">
        <v>20615.67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8186.44</v>
      </c>
      <c r="H92" s="33" t="n">
        <v>8186.44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1433.11</v>
      </c>
      <c r="H93" s="33" t="n">
        <v>1433.11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33915.86</v>
      </c>
      <c r="H94" s="33" t="n">
        <v>33915.86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265816.45</v>
      </c>
      <c r="F98" s="34" t="n">
        <f aca="false">SUM(F69:F79)</f>
        <v>55766.87</v>
      </c>
      <c r="H98" s="34" t="n">
        <f aca="false">SUM(H81:H97)</f>
        <v>210049.58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0.209794653415919</v>
      </c>
      <c r="H99" s="31" t="n">
        <f aca="false">H98/D98</f>
        <v>0.790205346584081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750.82</v>
      </c>
      <c r="F103" s="33" t="n">
        <v>157.52</v>
      </c>
      <c r="H103" s="33" t="n">
        <v>593.3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223422.8</v>
      </c>
      <c r="F104" s="33" t="n">
        <v>46872.91</v>
      </c>
      <c r="H104" s="33" t="n">
        <v>176549.89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13880.94</v>
      </c>
      <c r="F105" s="33" t="n">
        <v>2912.15</v>
      </c>
      <c r="H105" s="33" t="n">
        <v>10968.79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27761.89</v>
      </c>
      <c r="F106" s="33" t="n">
        <v>5824.29</v>
      </c>
      <c r="H106" s="33" t="n">
        <v>21937.6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265816.45</v>
      </c>
      <c r="F107" s="34" t="n">
        <f aca="false">SUM(F103:F106)</f>
        <v>55766.87</v>
      </c>
      <c r="H107" s="34" t="n">
        <f aca="false">SUM(H103:H106)</f>
        <v>210049.58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195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750.82</v>
      </c>
      <c r="E10" s="24" t="n">
        <v>0</v>
      </c>
      <c r="F10" s="24" t="n">
        <v>0</v>
      </c>
      <c r="G10" s="24" t="n">
        <v>45.46</v>
      </c>
      <c r="H10" s="24" t="n">
        <v>18.74</v>
      </c>
      <c r="I10" s="24" t="n">
        <f aca="false">G10+H10</f>
        <v>64.2</v>
      </c>
      <c r="J10" s="24" t="n">
        <f aca="false">D10-I10</f>
        <v>686.62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223422.8</v>
      </c>
      <c r="E11" s="24" t="n">
        <v>0</v>
      </c>
      <c r="F11" s="24" t="n">
        <v>0</v>
      </c>
      <c r="G11" s="24" t="n">
        <v>48082.9</v>
      </c>
      <c r="H11" s="24" t="n">
        <v>5253.66</v>
      </c>
      <c r="I11" s="24" t="n">
        <f aca="false">G11+H11</f>
        <v>53336.56</v>
      </c>
      <c r="J11" s="24" t="n">
        <f aca="false">D11-I11</f>
        <v>170086.24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13880.94</v>
      </c>
      <c r="E12" s="24" t="n">
        <v>0</v>
      </c>
      <c r="F12" s="24" t="n">
        <v>0</v>
      </c>
      <c r="G12" s="24" t="n">
        <v>12955.57</v>
      </c>
      <c r="H12" s="24" t="n">
        <v>0</v>
      </c>
      <c r="I12" s="24" t="n">
        <f aca="false">G12+H12</f>
        <v>12955.57</v>
      </c>
      <c r="J12" s="24" t="n">
        <f aca="false">D12-I12</f>
        <v>925.370000000001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27761.89</v>
      </c>
      <c r="E13" s="24" t="n">
        <v>0</v>
      </c>
      <c r="F13" s="24" t="n">
        <v>0</v>
      </c>
      <c r="G13" s="24" t="n">
        <v>13359.23</v>
      </c>
      <c r="H13" s="24" t="n">
        <v>1637.95</v>
      </c>
      <c r="I13" s="24" t="n">
        <f aca="false">G13+H13</f>
        <v>14997.18</v>
      </c>
      <c r="J13" s="24" t="n">
        <f aca="false">D13-I13</f>
        <v>12764.71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265816.45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74443.16</v>
      </c>
      <c r="H14" s="28" t="n">
        <f aca="false">SUM(H10:H13)</f>
        <v>6910.35</v>
      </c>
      <c r="I14" s="28" t="n">
        <f aca="false">SUM(I10:I13)</f>
        <v>81353.51</v>
      </c>
      <c r="J14" s="28" t="n">
        <f aca="false">SUM(J10:J13)</f>
        <v>184462.94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157.52</v>
      </c>
      <c r="E18" s="24" t="n">
        <v>0</v>
      </c>
      <c r="F18" s="24" t="n">
        <v>157.52</v>
      </c>
      <c r="G18" s="24" t="n">
        <v>157.52</v>
      </c>
      <c r="H18" s="24" t="n">
        <v>0</v>
      </c>
      <c r="I18" s="24" t="n">
        <f aca="false">G18+H18</f>
        <v>157.52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593.3</v>
      </c>
      <c r="E19" s="24" t="n">
        <v>0</v>
      </c>
      <c r="F19" s="24" t="n">
        <v>0</v>
      </c>
      <c r="G19" s="24" t="n">
        <v>45.33</v>
      </c>
      <c r="H19" s="24" t="n">
        <v>19.78</v>
      </c>
      <c r="I19" s="24" t="n">
        <f aca="false">G19+H19</f>
        <v>65.11</v>
      </c>
      <c r="J19" s="24" t="n">
        <f aca="false">D19-I19</f>
        <v>528.19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46872.91</v>
      </c>
      <c r="E20" s="24" t="n">
        <v>0</v>
      </c>
      <c r="F20" s="24" t="n">
        <v>0</v>
      </c>
      <c r="G20" s="24" t="n">
        <v>46872.91</v>
      </c>
      <c r="H20" s="24" t="n">
        <v>0</v>
      </c>
      <c r="I20" s="24" t="n">
        <f aca="false">G20+H20</f>
        <v>46872.91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176549.89</v>
      </c>
      <c r="E21" s="24" t="n">
        <v>0</v>
      </c>
      <c r="F21" s="24" t="n">
        <v>0</v>
      </c>
      <c r="G21" s="24" t="n">
        <v>38988.12</v>
      </c>
      <c r="H21" s="24" t="n">
        <v>5885</v>
      </c>
      <c r="I21" s="24" t="n">
        <f aca="false">G21+H21</f>
        <v>44873.12</v>
      </c>
      <c r="J21" s="24" t="n">
        <f aca="false">D21-I21</f>
        <v>131676.77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2912.15</v>
      </c>
      <c r="E22" s="24" t="n">
        <v>0</v>
      </c>
      <c r="F22" s="24" t="n">
        <v>0</v>
      </c>
      <c r="G22" s="24" t="n">
        <v>2912.15</v>
      </c>
      <c r="H22" s="24" t="n">
        <v>0</v>
      </c>
      <c r="I22" s="24" t="n">
        <f aca="false">G22+H22</f>
        <v>2912.15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10968.79</v>
      </c>
      <c r="E23" s="24" t="n">
        <v>0</v>
      </c>
      <c r="F23" s="24" t="n">
        <v>0</v>
      </c>
      <c r="G23" s="24" t="n">
        <v>2422.3</v>
      </c>
      <c r="H23" s="24" t="n">
        <v>365.63</v>
      </c>
      <c r="I23" s="24" t="n">
        <f aca="false">G23+H23</f>
        <v>2787.93</v>
      </c>
      <c r="J23" s="24" t="n">
        <f aca="false">D23-I23</f>
        <v>8180.86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5824.29</v>
      </c>
      <c r="E24" s="24" t="n">
        <v>0</v>
      </c>
      <c r="F24" s="24" t="n">
        <v>0</v>
      </c>
      <c r="G24" s="24" t="n">
        <v>5824.29</v>
      </c>
      <c r="H24" s="24" t="n">
        <v>0</v>
      </c>
      <c r="I24" s="24" t="n">
        <f aca="false">G24+H24</f>
        <v>5824.29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21937.6</v>
      </c>
      <c r="E25" s="24" t="n">
        <v>0</v>
      </c>
      <c r="F25" s="24" t="n">
        <v>0</v>
      </c>
      <c r="G25" s="24" t="n">
        <v>4844.53</v>
      </c>
      <c r="H25" s="24" t="n">
        <v>731.25</v>
      </c>
      <c r="I25" s="24" t="n">
        <f aca="false">G25+H25</f>
        <v>5575.78</v>
      </c>
      <c r="J25" s="24" t="n">
        <f aca="false">D25-I25</f>
        <v>16361.82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265816.45</v>
      </c>
      <c r="E26" s="28" t="n">
        <f aca="false">SUM(E18:E25)</f>
        <v>0</v>
      </c>
      <c r="F26" s="28" t="n">
        <f aca="false">SUM(F18:F25)</f>
        <v>157.52</v>
      </c>
      <c r="G26" s="28" t="n">
        <f aca="false">SUM(G18:G25)</f>
        <v>102067.15</v>
      </c>
      <c r="H26" s="28" t="n">
        <f aca="false">SUM(H18:H25)</f>
        <v>7001.66</v>
      </c>
      <c r="I26" s="28" t="n">
        <f aca="false">SUM(I18:I25)</f>
        <v>109068.81</v>
      </c>
      <c r="J26" s="28" t="n">
        <f aca="false">SUM(J18:J25)</f>
        <v>156747.64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81353.51</v>
      </c>
    </row>
    <row r="30" customFormat="false" ht="15" hidden="false" customHeight="false" outlineLevel="0" collapsed="false">
      <c r="B30" s="6" t="s">
        <v>101</v>
      </c>
      <c r="D30" s="7" t="n">
        <f aca="false">I26</f>
        <v>109068.81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-27715.3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750.82</v>
      </c>
      <c r="E36" s="24" t="n">
        <v>0</v>
      </c>
      <c r="F36" s="24" t="n">
        <v>0</v>
      </c>
      <c r="G36" s="24" t="n">
        <v>45.46</v>
      </c>
      <c r="H36" s="24" t="n">
        <v>18.74</v>
      </c>
      <c r="I36" s="24" t="n">
        <f aca="false">G36+H36</f>
        <v>64.2</v>
      </c>
      <c r="J36" s="24" t="n">
        <f aca="false">D36-I36</f>
        <v>686.62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223422.8</v>
      </c>
      <c r="E37" s="24" t="n">
        <v>0</v>
      </c>
      <c r="F37" s="24" t="n">
        <v>0</v>
      </c>
      <c r="G37" s="24" t="n">
        <v>48082.9</v>
      </c>
      <c r="H37" s="24" t="n">
        <v>5253.66</v>
      </c>
      <c r="I37" s="24" t="n">
        <f aca="false">G37+H37</f>
        <v>53336.56</v>
      </c>
      <c r="J37" s="24" t="n">
        <f aca="false">D37-I37</f>
        <v>170086.24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13880.94</v>
      </c>
      <c r="E38" s="24" t="n">
        <v>0</v>
      </c>
      <c r="F38" s="24" t="n">
        <v>0</v>
      </c>
      <c r="G38" s="24" t="n">
        <v>12955.57</v>
      </c>
      <c r="H38" s="24" t="n">
        <v>0</v>
      </c>
      <c r="I38" s="24" t="n">
        <f aca="false">G38+H38</f>
        <v>12955.57</v>
      </c>
      <c r="J38" s="24" t="n">
        <f aca="false">D38-I38</f>
        <v>925.370000000001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27761.89</v>
      </c>
      <c r="E39" s="24" t="n">
        <v>0</v>
      </c>
      <c r="F39" s="24" t="n">
        <v>0</v>
      </c>
      <c r="G39" s="24" t="n">
        <v>13359.23</v>
      </c>
      <c r="H39" s="24" t="n">
        <v>1637.95</v>
      </c>
      <c r="I39" s="24" t="n">
        <f aca="false">G39+H39</f>
        <v>14997.18</v>
      </c>
      <c r="J39" s="24" t="n">
        <f aca="false">D39-I39</f>
        <v>12764.71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265816.45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74443.16</v>
      </c>
      <c r="H40" s="28" t="n">
        <f aca="false">SUM(H36:H39)</f>
        <v>6910.35</v>
      </c>
      <c r="I40" s="28" t="n">
        <f aca="false">SUM(I36:I39)</f>
        <v>81353.51</v>
      </c>
      <c r="J40" s="28" t="n">
        <f aca="false">SUM(J36:J39)</f>
        <v>184462.94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157.52</v>
      </c>
      <c r="E44" s="24" t="n">
        <v>0</v>
      </c>
      <c r="F44" s="24" t="n">
        <v>157.52</v>
      </c>
      <c r="G44" s="24" t="n">
        <v>157.52</v>
      </c>
      <c r="H44" s="24" t="n">
        <v>0</v>
      </c>
      <c r="I44" s="24" t="n">
        <f aca="false">G44+H44</f>
        <v>157.52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593.3</v>
      </c>
      <c r="E45" s="24" t="n">
        <v>0</v>
      </c>
      <c r="F45" s="24" t="n">
        <v>0</v>
      </c>
      <c r="G45" s="24" t="n">
        <v>45.33</v>
      </c>
      <c r="H45" s="24" t="n">
        <v>19.78</v>
      </c>
      <c r="I45" s="24" t="n">
        <f aca="false">G45+H45</f>
        <v>65.11</v>
      </c>
      <c r="J45" s="24" t="n">
        <f aca="false">D45-I45</f>
        <v>528.19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46872.91</v>
      </c>
      <c r="E46" s="24" t="n">
        <v>0</v>
      </c>
      <c r="F46" s="24" t="n">
        <v>0</v>
      </c>
      <c r="G46" s="24" t="n">
        <v>46872.91</v>
      </c>
      <c r="H46" s="24" t="n">
        <v>0</v>
      </c>
      <c r="I46" s="24" t="n">
        <f aca="false">G46+H46</f>
        <v>46872.91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176549.89</v>
      </c>
      <c r="E47" s="24" t="n">
        <v>0</v>
      </c>
      <c r="F47" s="24" t="n">
        <v>0</v>
      </c>
      <c r="G47" s="24" t="n">
        <v>38988.12</v>
      </c>
      <c r="H47" s="24" t="n">
        <v>5885</v>
      </c>
      <c r="I47" s="24" t="n">
        <f aca="false">G47+H47</f>
        <v>44873.12</v>
      </c>
      <c r="J47" s="24" t="n">
        <f aca="false">D47-I47</f>
        <v>131676.77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2912.15</v>
      </c>
      <c r="E48" s="24" t="n">
        <v>0</v>
      </c>
      <c r="F48" s="24" t="n">
        <v>0</v>
      </c>
      <c r="G48" s="24" t="n">
        <v>2912.15</v>
      </c>
      <c r="H48" s="24" t="n">
        <v>0</v>
      </c>
      <c r="I48" s="24" t="n">
        <f aca="false">G48+H48</f>
        <v>2912.15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10968.79</v>
      </c>
      <c r="E49" s="24" t="n">
        <v>0</v>
      </c>
      <c r="F49" s="24" t="n">
        <v>0</v>
      </c>
      <c r="G49" s="24" t="n">
        <v>2422.3</v>
      </c>
      <c r="H49" s="24" t="n">
        <v>365.63</v>
      </c>
      <c r="I49" s="24" t="n">
        <f aca="false">G49+H49</f>
        <v>2787.93</v>
      </c>
      <c r="J49" s="24" t="n">
        <f aca="false">D49-I49</f>
        <v>8180.86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5824.29</v>
      </c>
      <c r="E50" s="24" t="n">
        <v>0</v>
      </c>
      <c r="F50" s="24" t="n">
        <v>0</v>
      </c>
      <c r="G50" s="24" t="n">
        <v>5824.29</v>
      </c>
      <c r="H50" s="24" t="n">
        <v>0</v>
      </c>
      <c r="I50" s="24" t="n">
        <f aca="false">G50+H50</f>
        <v>5824.29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21937.6</v>
      </c>
      <c r="E51" s="24" t="n">
        <v>0</v>
      </c>
      <c r="F51" s="24" t="n">
        <v>0</v>
      </c>
      <c r="G51" s="24" t="n">
        <v>4844.53</v>
      </c>
      <c r="H51" s="24" t="n">
        <v>731.25</v>
      </c>
      <c r="I51" s="24" t="n">
        <f aca="false">G51+H51</f>
        <v>5575.78</v>
      </c>
      <c r="J51" s="24" t="n">
        <f aca="false">D51-I51</f>
        <v>16361.82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265816.45</v>
      </c>
      <c r="E52" s="28" t="n">
        <f aca="false">SUM(E44:E51)</f>
        <v>0</v>
      </c>
      <c r="F52" s="28" t="n">
        <f aca="false">SUM(F44:F51)</f>
        <v>157.52</v>
      </c>
      <c r="G52" s="28" t="n">
        <f aca="false">SUM(G44:G51)</f>
        <v>102067.15</v>
      </c>
      <c r="H52" s="28" t="n">
        <f aca="false">SUM(H44:H51)</f>
        <v>7001.66</v>
      </c>
      <c r="I52" s="28" t="n">
        <f aca="false">SUM(I44:I51)</f>
        <v>109068.81</v>
      </c>
      <c r="J52" s="28" t="n">
        <f aca="false">SUM(J44:J51)</f>
        <v>156747.64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81353.51</v>
      </c>
    </row>
    <row r="56" customFormat="false" ht="15" hidden="false" customHeight="false" outlineLevel="0" collapsed="false">
      <c r="B56" s="6" t="s">
        <v>101</v>
      </c>
      <c r="D56" s="7" t="n">
        <f aca="false">I52</f>
        <v>109068.81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-27715.3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265816.45</v>
      </c>
    </row>
    <row r="61" customFormat="false" ht="15" hidden="false" customHeight="false" outlineLevel="0" collapsed="false">
      <c r="B61" s="6" t="s">
        <v>149</v>
      </c>
      <c r="D61" s="7" t="n">
        <f aca="false">F98</f>
        <v>55766.87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0.209794653415919</v>
      </c>
    </row>
    <row r="63" customFormat="false" ht="15" hidden="false" customHeight="false" outlineLevel="0" collapsed="false">
      <c r="B63" s="6" t="s">
        <v>151</v>
      </c>
      <c r="D63" s="7" t="n">
        <f aca="false">H98</f>
        <v>210049.58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0.790205346584081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13932.37</v>
      </c>
      <c r="F69" s="33" t="n">
        <v>13932.37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4762.13</v>
      </c>
      <c r="F70" s="33" t="n">
        <v>4762.13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21399.52</v>
      </c>
      <c r="F71" s="33" t="n">
        <v>21399.52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1967.77</v>
      </c>
      <c r="F72" s="33" t="n">
        <v>1967.77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1855.1</v>
      </c>
      <c r="F75" s="33" t="n">
        <v>1855.1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8726.14</v>
      </c>
      <c r="H81" s="33" t="n">
        <v>8726.14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14310.97</v>
      </c>
      <c r="H82" s="33" t="n">
        <v>14310.97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20721.85</v>
      </c>
      <c r="H83" s="33" t="n">
        <v>20721.85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20019.46</v>
      </c>
      <c r="H84" s="33" t="n">
        <v>20019.46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18013.39</v>
      </c>
      <c r="H85" s="33" t="n">
        <v>18013.39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1255.28</v>
      </c>
      <c r="H86" s="33" t="n">
        <v>1255.28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28034.85</v>
      </c>
      <c r="H87" s="33" t="n">
        <v>28034.85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9209.33</v>
      </c>
      <c r="H88" s="33" t="n">
        <v>9209.33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8673.12</v>
      </c>
      <c r="H89" s="33" t="n">
        <v>8673.12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9530.52</v>
      </c>
      <c r="H90" s="33" t="n">
        <v>9530.52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20615.67</v>
      </c>
      <c r="H91" s="33" t="n">
        <v>20615.67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8186.44</v>
      </c>
      <c r="H92" s="33" t="n">
        <v>8186.44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1433.11</v>
      </c>
      <c r="H93" s="33" t="n">
        <v>1433.11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33915.86</v>
      </c>
      <c r="H94" s="33" t="n">
        <v>33915.86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265816.45</v>
      </c>
      <c r="F98" s="34" t="n">
        <f aca="false">SUM(F69:F79)</f>
        <v>55766.87</v>
      </c>
      <c r="H98" s="34" t="n">
        <f aca="false">SUM(H81:H97)</f>
        <v>210049.58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0.209794653415919</v>
      </c>
      <c r="H99" s="31" t="n">
        <f aca="false">H98/D98</f>
        <v>0.790205346584081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750.82</v>
      </c>
      <c r="F103" s="33" t="n">
        <v>157.52</v>
      </c>
      <c r="H103" s="33" t="n">
        <v>593.3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223422.8</v>
      </c>
      <c r="F104" s="33" t="n">
        <v>46872.91</v>
      </c>
      <c r="H104" s="33" t="n">
        <v>176549.89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13880.94</v>
      </c>
      <c r="F105" s="33" t="n">
        <v>2912.15</v>
      </c>
      <c r="H105" s="33" t="n">
        <v>10968.79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27761.89</v>
      </c>
      <c r="F106" s="33" t="n">
        <v>5824.29</v>
      </c>
      <c r="H106" s="33" t="n">
        <v>21937.6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265816.45</v>
      </c>
      <c r="F107" s="34" t="n">
        <f aca="false">SUM(F103:F106)</f>
        <v>55766.87</v>
      </c>
      <c r="H107" s="34" t="n">
        <f aca="false">SUM(H103:H106)</f>
        <v>210049.58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196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479.53</v>
      </c>
      <c r="E10" s="24" t="n">
        <v>0</v>
      </c>
      <c r="F10" s="24" t="n">
        <v>0</v>
      </c>
      <c r="G10" s="24" t="n">
        <v>29.03</v>
      </c>
      <c r="H10" s="24" t="n">
        <v>11.97</v>
      </c>
      <c r="I10" s="24" t="n">
        <f aca="false">G10+H10</f>
        <v>41</v>
      </c>
      <c r="J10" s="24" t="n">
        <f aca="false">D10-I10</f>
        <v>438.53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142694.3</v>
      </c>
      <c r="E11" s="24" t="n">
        <v>0</v>
      </c>
      <c r="F11" s="24" t="n">
        <v>0</v>
      </c>
      <c r="G11" s="24" t="n">
        <v>30709.29</v>
      </c>
      <c r="H11" s="24" t="n">
        <v>3355.37</v>
      </c>
      <c r="I11" s="24" t="n">
        <f aca="false">G11+H11</f>
        <v>34064.66</v>
      </c>
      <c r="J11" s="24" t="n">
        <f aca="false">D11-I11</f>
        <v>108629.64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8865.4</v>
      </c>
      <c r="E12" s="24" t="n">
        <v>0</v>
      </c>
      <c r="F12" s="24" t="n">
        <v>0</v>
      </c>
      <c r="G12" s="24" t="n">
        <v>8274.39</v>
      </c>
      <c r="H12" s="24" t="n">
        <v>0</v>
      </c>
      <c r="I12" s="24" t="n">
        <f aca="false">G12+H12</f>
        <v>8274.39</v>
      </c>
      <c r="J12" s="24" t="n">
        <f aca="false">D12-I12</f>
        <v>591.01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17730.79</v>
      </c>
      <c r="E13" s="24" t="n">
        <v>0</v>
      </c>
      <c r="F13" s="24" t="n">
        <v>0</v>
      </c>
      <c r="G13" s="24" t="n">
        <v>8532.2</v>
      </c>
      <c r="H13" s="24" t="n">
        <v>1046.12</v>
      </c>
      <c r="I13" s="24" t="n">
        <f aca="false">G13+H13</f>
        <v>9578.32</v>
      </c>
      <c r="J13" s="24" t="n">
        <f aca="false">D13-I13</f>
        <v>8152.47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169770.02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47544.91</v>
      </c>
      <c r="H14" s="28" t="n">
        <f aca="false">SUM(H10:H13)</f>
        <v>4413.46</v>
      </c>
      <c r="I14" s="28" t="n">
        <f aca="false">SUM(I10:I13)</f>
        <v>51958.37</v>
      </c>
      <c r="J14" s="28" t="n">
        <f aca="false">SUM(J10:J13)</f>
        <v>117811.65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89.94</v>
      </c>
      <c r="E18" s="24" t="n">
        <v>0</v>
      </c>
      <c r="F18" s="24" t="n">
        <v>89.94</v>
      </c>
      <c r="G18" s="24" t="n">
        <v>89.94</v>
      </c>
      <c r="H18" s="24" t="n">
        <v>0</v>
      </c>
      <c r="I18" s="24" t="n">
        <f aca="false">G18+H18</f>
        <v>89.94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389.59</v>
      </c>
      <c r="E19" s="24" t="n">
        <v>0</v>
      </c>
      <c r="F19" s="24" t="n">
        <v>0</v>
      </c>
      <c r="G19" s="24" t="n">
        <v>29.77</v>
      </c>
      <c r="H19" s="24" t="n">
        <v>12.99</v>
      </c>
      <c r="I19" s="24" t="n">
        <f aca="false">G19+H19</f>
        <v>42.76</v>
      </c>
      <c r="J19" s="24" t="n">
        <f aca="false">D19-I19</f>
        <v>346.83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26763.65</v>
      </c>
      <c r="E20" s="24" t="n">
        <v>0</v>
      </c>
      <c r="F20" s="24" t="n">
        <v>0</v>
      </c>
      <c r="G20" s="24" t="n">
        <v>26763.65</v>
      </c>
      <c r="H20" s="24" t="n">
        <v>0</v>
      </c>
      <c r="I20" s="24" t="n">
        <f aca="false">G20+H20</f>
        <v>26763.65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115930.65</v>
      </c>
      <c r="E21" s="24" t="n">
        <v>0</v>
      </c>
      <c r="F21" s="24" t="n">
        <v>0</v>
      </c>
      <c r="G21" s="24" t="n">
        <v>25601.32</v>
      </c>
      <c r="H21" s="24" t="n">
        <v>3864.35</v>
      </c>
      <c r="I21" s="24" t="n">
        <f aca="false">G21+H21</f>
        <v>29465.67</v>
      </c>
      <c r="J21" s="24" t="n">
        <f aca="false">D21-I21</f>
        <v>86464.98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1662.79</v>
      </c>
      <c r="E22" s="24" t="n">
        <v>0</v>
      </c>
      <c r="F22" s="24" t="n">
        <v>0</v>
      </c>
      <c r="G22" s="24" t="n">
        <v>1662.79</v>
      </c>
      <c r="H22" s="24" t="n">
        <v>0</v>
      </c>
      <c r="I22" s="24" t="n">
        <f aca="false">G22+H22</f>
        <v>1662.79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7202.61</v>
      </c>
      <c r="E23" s="24" t="n">
        <v>0</v>
      </c>
      <c r="F23" s="24" t="n">
        <v>0</v>
      </c>
      <c r="G23" s="24" t="n">
        <v>1590.59</v>
      </c>
      <c r="H23" s="24" t="n">
        <v>240.09</v>
      </c>
      <c r="I23" s="24" t="n">
        <f aca="false">G23+H23</f>
        <v>1830.68</v>
      </c>
      <c r="J23" s="24" t="n">
        <f aca="false">D23-I23</f>
        <v>5371.93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3325.57</v>
      </c>
      <c r="E24" s="24" t="n">
        <v>0</v>
      </c>
      <c r="F24" s="24" t="n">
        <v>0</v>
      </c>
      <c r="G24" s="24" t="n">
        <v>3325.57</v>
      </c>
      <c r="H24" s="24" t="n">
        <v>0</v>
      </c>
      <c r="I24" s="24" t="n">
        <f aca="false">G24+H24</f>
        <v>3325.57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14405.22</v>
      </c>
      <c r="E25" s="24" t="n">
        <v>0</v>
      </c>
      <c r="F25" s="24" t="n">
        <v>0</v>
      </c>
      <c r="G25" s="24" t="n">
        <v>3181.13</v>
      </c>
      <c r="H25" s="24" t="n">
        <v>480.17</v>
      </c>
      <c r="I25" s="24" t="n">
        <f aca="false">G25+H25</f>
        <v>3661.3</v>
      </c>
      <c r="J25" s="24" t="n">
        <f aca="false">D25-I25</f>
        <v>10743.92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169770.02</v>
      </c>
      <c r="E26" s="28" t="n">
        <f aca="false">SUM(E18:E25)</f>
        <v>0</v>
      </c>
      <c r="F26" s="28" t="n">
        <f aca="false">SUM(F18:F25)</f>
        <v>89.94</v>
      </c>
      <c r="G26" s="28" t="n">
        <f aca="false">SUM(G18:G25)</f>
        <v>62244.76</v>
      </c>
      <c r="H26" s="28" t="n">
        <f aca="false">SUM(H18:H25)</f>
        <v>4597.6</v>
      </c>
      <c r="I26" s="28" t="n">
        <f aca="false">SUM(I18:I25)</f>
        <v>66842.36</v>
      </c>
      <c r="J26" s="28" t="n">
        <f aca="false">SUM(J18:J25)</f>
        <v>102927.66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51958.37</v>
      </c>
    </row>
    <row r="30" customFormat="false" ht="15" hidden="false" customHeight="false" outlineLevel="0" collapsed="false">
      <c r="B30" s="6" t="s">
        <v>101</v>
      </c>
      <c r="D30" s="7" t="n">
        <f aca="false">I26</f>
        <v>66842.36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-14883.99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479.53</v>
      </c>
      <c r="E36" s="24" t="n">
        <v>0</v>
      </c>
      <c r="F36" s="24" t="n">
        <v>0</v>
      </c>
      <c r="G36" s="24" t="n">
        <v>29.03</v>
      </c>
      <c r="H36" s="24" t="n">
        <v>11.97</v>
      </c>
      <c r="I36" s="24" t="n">
        <f aca="false">G36+H36</f>
        <v>41</v>
      </c>
      <c r="J36" s="24" t="n">
        <f aca="false">D36-I36</f>
        <v>438.53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142694.3</v>
      </c>
      <c r="E37" s="24" t="n">
        <v>0</v>
      </c>
      <c r="F37" s="24" t="n">
        <v>0</v>
      </c>
      <c r="G37" s="24" t="n">
        <v>30709.29</v>
      </c>
      <c r="H37" s="24" t="n">
        <v>3355.37</v>
      </c>
      <c r="I37" s="24" t="n">
        <f aca="false">G37+H37</f>
        <v>34064.66</v>
      </c>
      <c r="J37" s="24" t="n">
        <f aca="false">D37-I37</f>
        <v>108629.64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8865.4</v>
      </c>
      <c r="E38" s="24" t="n">
        <v>0</v>
      </c>
      <c r="F38" s="24" t="n">
        <v>0</v>
      </c>
      <c r="G38" s="24" t="n">
        <v>8274.39</v>
      </c>
      <c r="H38" s="24" t="n">
        <v>0</v>
      </c>
      <c r="I38" s="24" t="n">
        <f aca="false">G38+H38</f>
        <v>8274.39</v>
      </c>
      <c r="J38" s="24" t="n">
        <f aca="false">D38-I38</f>
        <v>591.01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17730.79</v>
      </c>
      <c r="E39" s="24" t="n">
        <v>0</v>
      </c>
      <c r="F39" s="24" t="n">
        <v>0</v>
      </c>
      <c r="G39" s="24" t="n">
        <v>8532.2</v>
      </c>
      <c r="H39" s="24" t="n">
        <v>1046.12</v>
      </c>
      <c r="I39" s="24" t="n">
        <f aca="false">G39+H39</f>
        <v>9578.32</v>
      </c>
      <c r="J39" s="24" t="n">
        <f aca="false">D39-I39</f>
        <v>8152.47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169770.02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47544.91</v>
      </c>
      <c r="H40" s="28" t="n">
        <f aca="false">SUM(H36:H39)</f>
        <v>4413.46</v>
      </c>
      <c r="I40" s="28" t="n">
        <f aca="false">SUM(I36:I39)</f>
        <v>51958.37</v>
      </c>
      <c r="J40" s="28" t="n">
        <f aca="false">SUM(J36:J39)</f>
        <v>117811.65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89.94</v>
      </c>
      <c r="E44" s="24" t="n">
        <v>0</v>
      </c>
      <c r="F44" s="24" t="n">
        <v>89.94</v>
      </c>
      <c r="G44" s="24" t="n">
        <v>89.94</v>
      </c>
      <c r="H44" s="24" t="n">
        <v>0</v>
      </c>
      <c r="I44" s="24" t="n">
        <f aca="false">G44+H44</f>
        <v>89.94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389.59</v>
      </c>
      <c r="E45" s="24" t="n">
        <v>0</v>
      </c>
      <c r="F45" s="24" t="n">
        <v>0</v>
      </c>
      <c r="G45" s="24" t="n">
        <v>29.77</v>
      </c>
      <c r="H45" s="24" t="n">
        <v>12.99</v>
      </c>
      <c r="I45" s="24" t="n">
        <f aca="false">G45+H45</f>
        <v>42.76</v>
      </c>
      <c r="J45" s="24" t="n">
        <f aca="false">D45-I45</f>
        <v>346.83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26763.65</v>
      </c>
      <c r="E46" s="24" t="n">
        <v>0</v>
      </c>
      <c r="F46" s="24" t="n">
        <v>0</v>
      </c>
      <c r="G46" s="24" t="n">
        <v>26763.65</v>
      </c>
      <c r="H46" s="24" t="n">
        <v>0</v>
      </c>
      <c r="I46" s="24" t="n">
        <f aca="false">G46+H46</f>
        <v>26763.65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115930.65</v>
      </c>
      <c r="E47" s="24" t="n">
        <v>0</v>
      </c>
      <c r="F47" s="24" t="n">
        <v>0</v>
      </c>
      <c r="G47" s="24" t="n">
        <v>25601.32</v>
      </c>
      <c r="H47" s="24" t="n">
        <v>3864.35</v>
      </c>
      <c r="I47" s="24" t="n">
        <f aca="false">G47+H47</f>
        <v>29465.67</v>
      </c>
      <c r="J47" s="24" t="n">
        <f aca="false">D47-I47</f>
        <v>86464.98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1662.79</v>
      </c>
      <c r="E48" s="24" t="n">
        <v>0</v>
      </c>
      <c r="F48" s="24" t="n">
        <v>0</v>
      </c>
      <c r="G48" s="24" t="n">
        <v>1662.79</v>
      </c>
      <c r="H48" s="24" t="n">
        <v>0</v>
      </c>
      <c r="I48" s="24" t="n">
        <f aca="false">G48+H48</f>
        <v>1662.79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7202.61</v>
      </c>
      <c r="E49" s="24" t="n">
        <v>0</v>
      </c>
      <c r="F49" s="24" t="n">
        <v>0</v>
      </c>
      <c r="G49" s="24" t="n">
        <v>1590.59</v>
      </c>
      <c r="H49" s="24" t="n">
        <v>240.09</v>
      </c>
      <c r="I49" s="24" t="n">
        <f aca="false">G49+H49</f>
        <v>1830.68</v>
      </c>
      <c r="J49" s="24" t="n">
        <f aca="false">D49-I49</f>
        <v>5371.93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3325.57</v>
      </c>
      <c r="E50" s="24" t="n">
        <v>0</v>
      </c>
      <c r="F50" s="24" t="n">
        <v>0</v>
      </c>
      <c r="G50" s="24" t="n">
        <v>3325.57</v>
      </c>
      <c r="H50" s="24" t="n">
        <v>0</v>
      </c>
      <c r="I50" s="24" t="n">
        <f aca="false">G50+H50</f>
        <v>3325.57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14405.22</v>
      </c>
      <c r="E51" s="24" t="n">
        <v>0</v>
      </c>
      <c r="F51" s="24" t="n">
        <v>0</v>
      </c>
      <c r="G51" s="24" t="n">
        <v>3181.13</v>
      </c>
      <c r="H51" s="24" t="n">
        <v>480.17</v>
      </c>
      <c r="I51" s="24" t="n">
        <f aca="false">G51+H51</f>
        <v>3661.3</v>
      </c>
      <c r="J51" s="24" t="n">
        <f aca="false">D51-I51</f>
        <v>10743.92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169770.02</v>
      </c>
      <c r="E52" s="28" t="n">
        <f aca="false">SUM(E44:E51)</f>
        <v>0</v>
      </c>
      <c r="F52" s="28" t="n">
        <f aca="false">SUM(F44:F51)</f>
        <v>89.94</v>
      </c>
      <c r="G52" s="28" t="n">
        <f aca="false">SUM(G44:G51)</f>
        <v>62244.76</v>
      </c>
      <c r="H52" s="28" t="n">
        <f aca="false">SUM(H44:H51)</f>
        <v>4597.6</v>
      </c>
      <c r="I52" s="28" t="n">
        <f aca="false">SUM(I44:I51)</f>
        <v>66842.36</v>
      </c>
      <c r="J52" s="28" t="n">
        <f aca="false">SUM(J44:J51)</f>
        <v>102927.66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51958.37</v>
      </c>
    </row>
    <row r="56" customFormat="false" ht="15" hidden="false" customHeight="false" outlineLevel="0" collapsed="false">
      <c r="B56" s="6" t="s">
        <v>101</v>
      </c>
      <c r="D56" s="7" t="n">
        <f aca="false">I52</f>
        <v>66842.36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-14883.99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169770.02</v>
      </c>
    </row>
    <row r="61" customFormat="false" ht="15" hidden="false" customHeight="false" outlineLevel="0" collapsed="false">
      <c r="B61" s="6" t="s">
        <v>149</v>
      </c>
      <c r="D61" s="7" t="n">
        <f aca="false">F98</f>
        <v>31841.95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0.187559322900474</v>
      </c>
    </row>
    <row r="63" customFormat="false" ht="15" hidden="false" customHeight="false" outlineLevel="0" collapsed="false">
      <c r="B63" s="6" t="s">
        <v>151</v>
      </c>
      <c r="D63" s="7" t="n">
        <f aca="false">H98</f>
        <v>137928.07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0.812440677099526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7800.47</v>
      </c>
      <c r="F69" s="33" t="n">
        <v>7800.47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3748.91</v>
      </c>
      <c r="F70" s="33" t="n">
        <v>3748.91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12139.37</v>
      </c>
      <c r="F71" s="33" t="n">
        <v>12139.37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1142.58</v>
      </c>
      <c r="F72" s="33" t="n">
        <v>1142.58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1052.34</v>
      </c>
      <c r="F75" s="33" t="n">
        <v>1052.34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5090</v>
      </c>
      <c r="H81" s="33" t="n">
        <v>5090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8538.11</v>
      </c>
      <c r="H82" s="33" t="n">
        <v>8538.11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11754.94</v>
      </c>
      <c r="H83" s="33" t="n">
        <v>11754.94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11527.95</v>
      </c>
      <c r="H84" s="33" t="n">
        <v>11527.95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10218.5</v>
      </c>
      <c r="H85" s="33" t="n">
        <v>10218.5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775.83</v>
      </c>
      <c r="H86" s="33" t="n">
        <v>775.83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22829.89</v>
      </c>
      <c r="H87" s="33" t="n">
        <v>22829.89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5886.42</v>
      </c>
      <c r="H88" s="33" t="n">
        <v>5886.42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5036.01</v>
      </c>
      <c r="H89" s="33" t="n">
        <v>5036.01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5406.4</v>
      </c>
      <c r="H90" s="33" t="n">
        <v>5406.4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16464.28</v>
      </c>
      <c r="H91" s="33" t="n">
        <v>16464.28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5938.8</v>
      </c>
      <c r="H92" s="33" t="n">
        <v>5938.8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1234.18</v>
      </c>
      <c r="H93" s="33" t="n">
        <v>1234.18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20850.04</v>
      </c>
      <c r="H94" s="33" t="n">
        <v>20850.04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169770.02</v>
      </c>
      <c r="F98" s="34" t="n">
        <f aca="false">SUM(F69:F79)</f>
        <v>31841.95</v>
      </c>
      <c r="H98" s="34" t="n">
        <f aca="false">SUM(H81:H97)</f>
        <v>137928.07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0.187559322900474</v>
      </c>
      <c r="H99" s="31" t="n">
        <f aca="false">H98/D98</f>
        <v>0.812440677099526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479.53</v>
      </c>
      <c r="F103" s="33" t="n">
        <v>89.94</v>
      </c>
      <c r="H103" s="33" t="n">
        <v>389.59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142694.3</v>
      </c>
      <c r="F104" s="33" t="n">
        <v>26763.65</v>
      </c>
      <c r="H104" s="33" t="n">
        <v>115930.65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8865.4</v>
      </c>
      <c r="F105" s="33" t="n">
        <v>1662.79</v>
      </c>
      <c r="H105" s="33" t="n">
        <v>7202.61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17730.79</v>
      </c>
      <c r="F106" s="33" t="n">
        <v>3325.57</v>
      </c>
      <c r="H106" s="33" t="n">
        <v>14405.22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169770.02</v>
      </c>
      <c r="F107" s="34" t="n">
        <f aca="false">SUM(F103:F106)</f>
        <v>31841.95</v>
      </c>
      <c r="H107" s="34" t="n">
        <f aca="false">SUM(H103:H106)</f>
        <v>137928.07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197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750.82</v>
      </c>
      <c r="E10" s="24" t="n">
        <v>0</v>
      </c>
      <c r="F10" s="24" t="n">
        <v>0</v>
      </c>
      <c r="G10" s="24" t="n">
        <v>45.46</v>
      </c>
      <c r="H10" s="24" t="n">
        <v>18.74</v>
      </c>
      <c r="I10" s="24" t="n">
        <f aca="false">G10+H10</f>
        <v>64.2</v>
      </c>
      <c r="J10" s="24" t="n">
        <f aca="false">D10-I10</f>
        <v>686.62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223422.8</v>
      </c>
      <c r="E11" s="24" t="n">
        <v>0</v>
      </c>
      <c r="F11" s="24" t="n">
        <v>0</v>
      </c>
      <c r="G11" s="24" t="n">
        <v>48082.9</v>
      </c>
      <c r="H11" s="24" t="n">
        <v>5253.66</v>
      </c>
      <c r="I11" s="24" t="n">
        <f aca="false">G11+H11</f>
        <v>53336.56</v>
      </c>
      <c r="J11" s="24" t="n">
        <f aca="false">D11-I11</f>
        <v>170086.24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13880.94</v>
      </c>
      <c r="E12" s="24" t="n">
        <v>0</v>
      </c>
      <c r="F12" s="24" t="n">
        <v>0</v>
      </c>
      <c r="G12" s="24" t="n">
        <v>12955.57</v>
      </c>
      <c r="H12" s="24" t="n">
        <v>0</v>
      </c>
      <c r="I12" s="24" t="n">
        <f aca="false">G12+H12</f>
        <v>12955.57</v>
      </c>
      <c r="J12" s="24" t="n">
        <f aca="false">D12-I12</f>
        <v>925.370000000001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27761.89</v>
      </c>
      <c r="E13" s="24" t="n">
        <v>0</v>
      </c>
      <c r="F13" s="24" t="n">
        <v>0</v>
      </c>
      <c r="G13" s="24" t="n">
        <v>13359.23</v>
      </c>
      <c r="H13" s="24" t="n">
        <v>1637.95</v>
      </c>
      <c r="I13" s="24" t="n">
        <f aca="false">G13+H13</f>
        <v>14997.18</v>
      </c>
      <c r="J13" s="24" t="n">
        <f aca="false">D13-I13</f>
        <v>12764.71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265816.45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74443.16</v>
      </c>
      <c r="H14" s="28" t="n">
        <f aca="false">SUM(H10:H13)</f>
        <v>6910.35</v>
      </c>
      <c r="I14" s="28" t="n">
        <f aca="false">SUM(I10:I13)</f>
        <v>81353.51</v>
      </c>
      <c r="J14" s="28" t="n">
        <f aca="false">SUM(J10:J13)</f>
        <v>184462.94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157.52</v>
      </c>
      <c r="E18" s="24" t="n">
        <v>0</v>
      </c>
      <c r="F18" s="24" t="n">
        <v>157.52</v>
      </c>
      <c r="G18" s="24" t="n">
        <v>157.52</v>
      </c>
      <c r="H18" s="24" t="n">
        <v>0</v>
      </c>
      <c r="I18" s="24" t="n">
        <f aca="false">G18+H18</f>
        <v>157.52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593.3</v>
      </c>
      <c r="E19" s="24" t="n">
        <v>0</v>
      </c>
      <c r="F19" s="24" t="n">
        <v>0</v>
      </c>
      <c r="G19" s="24" t="n">
        <v>45.33</v>
      </c>
      <c r="H19" s="24" t="n">
        <v>19.78</v>
      </c>
      <c r="I19" s="24" t="n">
        <f aca="false">G19+H19</f>
        <v>65.11</v>
      </c>
      <c r="J19" s="24" t="n">
        <f aca="false">D19-I19</f>
        <v>528.19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46872.91</v>
      </c>
      <c r="E20" s="24" t="n">
        <v>0</v>
      </c>
      <c r="F20" s="24" t="n">
        <v>0</v>
      </c>
      <c r="G20" s="24" t="n">
        <v>46872.91</v>
      </c>
      <c r="H20" s="24" t="n">
        <v>0</v>
      </c>
      <c r="I20" s="24" t="n">
        <f aca="false">G20+H20</f>
        <v>46872.91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176549.89</v>
      </c>
      <c r="E21" s="24" t="n">
        <v>0</v>
      </c>
      <c r="F21" s="24" t="n">
        <v>0</v>
      </c>
      <c r="G21" s="24" t="n">
        <v>38988.12</v>
      </c>
      <c r="H21" s="24" t="n">
        <v>5885</v>
      </c>
      <c r="I21" s="24" t="n">
        <f aca="false">G21+H21</f>
        <v>44873.12</v>
      </c>
      <c r="J21" s="24" t="n">
        <f aca="false">D21-I21</f>
        <v>131676.77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2912.15</v>
      </c>
      <c r="E22" s="24" t="n">
        <v>0</v>
      </c>
      <c r="F22" s="24" t="n">
        <v>0</v>
      </c>
      <c r="G22" s="24" t="n">
        <v>2912.15</v>
      </c>
      <c r="H22" s="24" t="n">
        <v>0</v>
      </c>
      <c r="I22" s="24" t="n">
        <f aca="false">G22+H22</f>
        <v>2912.15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10968.79</v>
      </c>
      <c r="E23" s="24" t="n">
        <v>0</v>
      </c>
      <c r="F23" s="24" t="n">
        <v>0</v>
      </c>
      <c r="G23" s="24" t="n">
        <v>2422.3</v>
      </c>
      <c r="H23" s="24" t="n">
        <v>365.63</v>
      </c>
      <c r="I23" s="24" t="n">
        <f aca="false">G23+H23</f>
        <v>2787.93</v>
      </c>
      <c r="J23" s="24" t="n">
        <f aca="false">D23-I23</f>
        <v>8180.86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5824.29</v>
      </c>
      <c r="E24" s="24" t="n">
        <v>0</v>
      </c>
      <c r="F24" s="24" t="n">
        <v>0</v>
      </c>
      <c r="G24" s="24" t="n">
        <v>5824.29</v>
      </c>
      <c r="H24" s="24" t="n">
        <v>0</v>
      </c>
      <c r="I24" s="24" t="n">
        <f aca="false">G24+H24</f>
        <v>5824.29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21937.6</v>
      </c>
      <c r="E25" s="24" t="n">
        <v>0</v>
      </c>
      <c r="F25" s="24" t="n">
        <v>0</v>
      </c>
      <c r="G25" s="24" t="n">
        <v>4844.53</v>
      </c>
      <c r="H25" s="24" t="n">
        <v>731.25</v>
      </c>
      <c r="I25" s="24" t="n">
        <f aca="false">G25+H25</f>
        <v>5575.78</v>
      </c>
      <c r="J25" s="24" t="n">
        <f aca="false">D25-I25</f>
        <v>16361.82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265816.45</v>
      </c>
      <c r="E26" s="28" t="n">
        <f aca="false">SUM(E18:E25)</f>
        <v>0</v>
      </c>
      <c r="F26" s="28" t="n">
        <f aca="false">SUM(F18:F25)</f>
        <v>157.52</v>
      </c>
      <c r="G26" s="28" t="n">
        <f aca="false">SUM(G18:G25)</f>
        <v>102067.15</v>
      </c>
      <c r="H26" s="28" t="n">
        <f aca="false">SUM(H18:H25)</f>
        <v>7001.66</v>
      </c>
      <c r="I26" s="28" t="n">
        <f aca="false">SUM(I18:I25)</f>
        <v>109068.81</v>
      </c>
      <c r="J26" s="28" t="n">
        <f aca="false">SUM(J18:J25)</f>
        <v>156747.64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81353.51</v>
      </c>
    </row>
    <row r="30" customFormat="false" ht="15" hidden="false" customHeight="false" outlineLevel="0" collapsed="false">
      <c r="B30" s="6" t="s">
        <v>101</v>
      </c>
      <c r="D30" s="7" t="n">
        <f aca="false">I26</f>
        <v>109068.81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-27715.3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750.82</v>
      </c>
      <c r="E36" s="24" t="n">
        <v>0</v>
      </c>
      <c r="F36" s="24" t="n">
        <v>0</v>
      </c>
      <c r="G36" s="24" t="n">
        <v>45.46</v>
      </c>
      <c r="H36" s="24" t="n">
        <v>18.74</v>
      </c>
      <c r="I36" s="24" t="n">
        <f aca="false">G36+H36</f>
        <v>64.2</v>
      </c>
      <c r="J36" s="24" t="n">
        <f aca="false">D36-I36</f>
        <v>686.62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223422.8</v>
      </c>
      <c r="E37" s="24" t="n">
        <v>0</v>
      </c>
      <c r="F37" s="24" t="n">
        <v>0</v>
      </c>
      <c r="G37" s="24" t="n">
        <v>48082.9</v>
      </c>
      <c r="H37" s="24" t="n">
        <v>5253.66</v>
      </c>
      <c r="I37" s="24" t="n">
        <f aca="false">G37+H37</f>
        <v>53336.56</v>
      </c>
      <c r="J37" s="24" t="n">
        <f aca="false">D37-I37</f>
        <v>170086.24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13880.94</v>
      </c>
      <c r="E38" s="24" t="n">
        <v>0</v>
      </c>
      <c r="F38" s="24" t="n">
        <v>0</v>
      </c>
      <c r="G38" s="24" t="n">
        <v>12955.57</v>
      </c>
      <c r="H38" s="24" t="n">
        <v>0</v>
      </c>
      <c r="I38" s="24" t="n">
        <f aca="false">G38+H38</f>
        <v>12955.57</v>
      </c>
      <c r="J38" s="24" t="n">
        <f aca="false">D38-I38</f>
        <v>925.370000000001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27761.89</v>
      </c>
      <c r="E39" s="24" t="n">
        <v>0</v>
      </c>
      <c r="F39" s="24" t="n">
        <v>0</v>
      </c>
      <c r="G39" s="24" t="n">
        <v>13359.23</v>
      </c>
      <c r="H39" s="24" t="n">
        <v>1637.95</v>
      </c>
      <c r="I39" s="24" t="n">
        <f aca="false">G39+H39</f>
        <v>14997.18</v>
      </c>
      <c r="J39" s="24" t="n">
        <f aca="false">D39-I39</f>
        <v>12764.71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265816.45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74443.16</v>
      </c>
      <c r="H40" s="28" t="n">
        <f aca="false">SUM(H36:H39)</f>
        <v>6910.35</v>
      </c>
      <c r="I40" s="28" t="n">
        <f aca="false">SUM(I36:I39)</f>
        <v>81353.51</v>
      </c>
      <c r="J40" s="28" t="n">
        <f aca="false">SUM(J36:J39)</f>
        <v>184462.94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157.52</v>
      </c>
      <c r="E44" s="24" t="n">
        <v>0</v>
      </c>
      <c r="F44" s="24" t="n">
        <v>157.52</v>
      </c>
      <c r="G44" s="24" t="n">
        <v>157.52</v>
      </c>
      <c r="H44" s="24" t="n">
        <v>0</v>
      </c>
      <c r="I44" s="24" t="n">
        <f aca="false">G44+H44</f>
        <v>157.52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593.3</v>
      </c>
      <c r="E45" s="24" t="n">
        <v>0</v>
      </c>
      <c r="F45" s="24" t="n">
        <v>0</v>
      </c>
      <c r="G45" s="24" t="n">
        <v>45.33</v>
      </c>
      <c r="H45" s="24" t="n">
        <v>19.78</v>
      </c>
      <c r="I45" s="24" t="n">
        <f aca="false">G45+H45</f>
        <v>65.11</v>
      </c>
      <c r="J45" s="24" t="n">
        <f aca="false">D45-I45</f>
        <v>528.19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46872.91</v>
      </c>
      <c r="E46" s="24" t="n">
        <v>0</v>
      </c>
      <c r="F46" s="24" t="n">
        <v>0</v>
      </c>
      <c r="G46" s="24" t="n">
        <v>46872.91</v>
      </c>
      <c r="H46" s="24" t="n">
        <v>0</v>
      </c>
      <c r="I46" s="24" t="n">
        <f aca="false">G46+H46</f>
        <v>46872.91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176549.89</v>
      </c>
      <c r="E47" s="24" t="n">
        <v>0</v>
      </c>
      <c r="F47" s="24" t="n">
        <v>0</v>
      </c>
      <c r="G47" s="24" t="n">
        <v>38988.12</v>
      </c>
      <c r="H47" s="24" t="n">
        <v>5885</v>
      </c>
      <c r="I47" s="24" t="n">
        <f aca="false">G47+H47</f>
        <v>44873.12</v>
      </c>
      <c r="J47" s="24" t="n">
        <f aca="false">D47-I47</f>
        <v>131676.77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2912.15</v>
      </c>
      <c r="E48" s="24" t="n">
        <v>0</v>
      </c>
      <c r="F48" s="24" t="n">
        <v>0</v>
      </c>
      <c r="G48" s="24" t="n">
        <v>2912.15</v>
      </c>
      <c r="H48" s="24" t="n">
        <v>0</v>
      </c>
      <c r="I48" s="24" t="n">
        <f aca="false">G48+H48</f>
        <v>2912.15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10968.79</v>
      </c>
      <c r="E49" s="24" t="n">
        <v>0</v>
      </c>
      <c r="F49" s="24" t="n">
        <v>0</v>
      </c>
      <c r="G49" s="24" t="n">
        <v>2422.3</v>
      </c>
      <c r="H49" s="24" t="n">
        <v>365.63</v>
      </c>
      <c r="I49" s="24" t="n">
        <f aca="false">G49+H49</f>
        <v>2787.93</v>
      </c>
      <c r="J49" s="24" t="n">
        <f aca="false">D49-I49</f>
        <v>8180.86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5824.29</v>
      </c>
      <c r="E50" s="24" t="n">
        <v>0</v>
      </c>
      <c r="F50" s="24" t="n">
        <v>0</v>
      </c>
      <c r="G50" s="24" t="n">
        <v>5824.29</v>
      </c>
      <c r="H50" s="24" t="n">
        <v>0</v>
      </c>
      <c r="I50" s="24" t="n">
        <f aca="false">G50+H50</f>
        <v>5824.29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21937.6</v>
      </c>
      <c r="E51" s="24" t="n">
        <v>0</v>
      </c>
      <c r="F51" s="24" t="n">
        <v>0</v>
      </c>
      <c r="G51" s="24" t="n">
        <v>4844.53</v>
      </c>
      <c r="H51" s="24" t="n">
        <v>731.25</v>
      </c>
      <c r="I51" s="24" t="n">
        <f aca="false">G51+H51</f>
        <v>5575.78</v>
      </c>
      <c r="J51" s="24" t="n">
        <f aca="false">D51-I51</f>
        <v>16361.82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265816.45</v>
      </c>
      <c r="E52" s="28" t="n">
        <f aca="false">SUM(E44:E51)</f>
        <v>0</v>
      </c>
      <c r="F52" s="28" t="n">
        <f aca="false">SUM(F44:F51)</f>
        <v>157.52</v>
      </c>
      <c r="G52" s="28" t="n">
        <f aca="false">SUM(G44:G51)</f>
        <v>102067.15</v>
      </c>
      <c r="H52" s="28" t="n">
        <f aca="false">SUM(H44:H51)</f>
        <v>7001.66</v>
      </c>
      <c r="I52" s="28" t="n">
        <f aca="false">SUM(I44:I51)</f>
        <v>109068.81</v>
      </c>
      <c r="J52" s="28" t="n">
        <f aca="false">SUM(J44:J51)</f>
        <v>156747.64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81353.51</v>
      </c>
    </row>
    <row r="56" customFormat="false" ht="15" hidden="false" customHeight="false" outlineLevel="0" collapsed="false">
      <c r="B56" s="6" t="s">
        <v>101</v>
      </c>
      <c r="D56" s="7" t="n">
        <f aca="false">I52</f>
        <v>109068.81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-27715.3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265816.45</v>
      </c>
    </row>
    <row r="61" customFormat="false" ht="15" hidden="false" customHeight="false" outlineLevel="0" collapsed="false">
      <c r="B61" s="6" t="s">
        <v>149</v>
      </c>
      <c r="D61" s="7" t="n">
        <f aca="false">F98</f>
        <v>55766.87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0.209794653415919</v>
      </c>
    </row>
    <row r="63" customFormat="false" ht="15" hidden="false" customHeight="false" outlineLevel="0" collapsed="false">
      <c r="B63" s="6" t="s">
        <v>151</v>
      </c>
      <c r="D63" s="7" t="n">
        <f aca="false">H98</f>
        <v>210049.58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0.790205346584081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13932.37</v>
      </c>
      <c r="F69" s="33" t="n">
        <v>13932.37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4762.13</v>
      </c>
      <c r="F70" s="33" t="n">
        <v>4762.13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21399.52</v>
      </c>
      <c r="F71" s="33" t="n">
        <v>21399.52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1967.77</v>
      </c>
      <c r="F72" s="33" t="n">
        <v>1967.77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1855.1</v>
      </c>
      <c r="F75" s="33" t="n">
        <v>1855.1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8726.14</v>
      </c>
      <c r="H81" s="33" t="n">
        <v>8726.14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14310.97</v>
      </c>
      <c r="H82" s="33" t="n">
        <v>14310.97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20721.85</v>
      </c>
      <c r="H83" s="33" t="n">
        <v>20721.85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20019.46</v>
      </c>
      <c r="H84" s="33" t="n">
        <v>20019.46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18013.39</v>
      </c>
      <c r="H85" s="33" t="n">
        <v>18013.39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1255.28</v>
      </c>
      <c r="H86" s="33" t="n">
        <v>1255.28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28034.85</v>
      </c>
      <c r="H87" s="33" t="n">
        <v>28034.85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9209.33</v>
      </c>
      <c r="H88" s="33" t="n">
        <v>9209.33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8673.12</v>
      </c>
      <c r="H89" s="33" t="n">
        <v>8673.12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9530.52</v>
      </c>
      <c r="H90" s="33" t="n">
        <v>9530.52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20615.67</v>
      </c>
      <c r="H91" s="33" t="n">
        <v>20615.67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8186.44</v>
      </c>
      <c r="H92" s="33" t="n">
        <v>8186.44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1433.11</v>
      </c>
      <c r="H93" s="33" t="n">
        <v>1433.11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33915.86</v>
      </c>
      <c r="H94" s="33" t="n">
        <v>33915.86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265816.45</v>
      </c>
      <c r="F98" s="34" t="n">
        <f aca="false">SUM(F69:F79)</f>
        <v>55766.87</v>
      </c>
      <c r="H98" s="34" t="n">
        <f aca="false">SUM(H81:H97)</f>
        <v>210049.58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0.209794653415919</v>
      </c>
      <c r="H99" s="31" t="n">
        <f aca="false">H98/D98</f>
        <v>0.790205346584081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750.82</v>
      </c>
      <c r="F103" s="33" t="n">
        <v>157.52</v>
      </c>
      <c r="H103" s="33" t="n">
        <v>593.3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223422.8</v>
      </c>
      <c r="F104" s="33" t="n">
        <v>46872.91</v>
      </c>
      <c r="H104" s="33" t="n">
        <v>176549.89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13880.94</v>
      </c>
      <c r="F105" s="33" t="n">
        <v>2912.15</v>
      </c>
      <c r="H105" s="33" t="n">
        <v>10968.79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27761.89</v>
      </c>
      <c r="F106" s="33" t="n">
        <v>5824.29</v>
      </c>
      <c r="H106" s="33" t="n">
        <v>21937.6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265816.45</v>
      </c>
      <c r="F107" s="34" t="n">
        <f aca="false">SUM(F103:F106)</f>
        <v>55766.87</v>
      </c>
      <c r="H107" s="34" t="n">
        <f aca="false">SUM(H103:H106)</f>
        <v>210049.58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198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750.82</v>
      </c>
      <c r="E10" s="24" t="n">
        <v>0</v>
      </c>
      <c r="F10" s="24" t="n">
        <v>0</v>
      </c>
      <c r="G10" s="24" t="n">
        <v>45.46</v>
      </c>
      <c r="H10" s="24" t="n">
        <v>18.74</v>
      </c>
      <c r="I10" s="24" t="n">
        <f aca="false">G10+H10</f>
        <v>64.2</v>
      </c>
      <c r="J10" s="24" t="n">
        <f aca="false">D10-I10</f>
        <v>686.62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223422.8</v>
      </c>
      <c r="E11" s="24" t="n">
        <v>0</v>
      </c>
      <c r="F11" s="24" t="n">
        <v>0</v>
      </c>
      <c r="G11" s="24" t="n">
        <v>48082.9</v>
      </c>
      <c r="H11" s="24" t="n">
        <v>5253.66</v>
      </c>
      <c r="I11" s="24" t="n">
        <f aca="false">G11+H11</f>
        <v>53336.56</v>
      </c>
      <c r="J11" s="24" t="n">
        <f aca="false">D11-I11</f>
        <v>170086.24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13880.94</v>
      </c>
      <c r="E12" s="24" t="n">
        <v>0</v>
      </c>
      <c r="F12" s="24" t="n">
        <v>0</v>
      </c>
      <c r="G12" s="24" t="n">
        <v>12955.57</v>
      </c>
      <c r="H12" s="24" t="n">
        <v>0</v>
      </c>
      <c r="I12" s="24" t="n">
        <f aca="false">G12+H12</f>
        <v>12955.57</v>
      </c>
      <c r="J12" s="24" t="n">
        <f aca="false">D12-I12</f>
        <v>925.370000000001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27761.89</v>
      </c>
      <c r="E13" s="24" t="n">
        <v>0</v>
      </c>
      <c r="F13" s="24" t="n">
        <v>0</v>
      </c>
      <c r="G13" s="24" t="n">
        <v>13359.23</v>
      </c>
      <c r="H13" s="24" t="n">
        <v>1637.95</v>
      </c>
      <c r="I13" s="24" t="n">
        <f aca="false">G13+H13</f>
        <v>14997.18</v>
      </c>
      <c r="J13" s="24" t="n">
        <f aca="false">D13-I13</f>
        <v>12764.71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265816.45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74443.16</v>
      </c>
      <c r="H14" s="28" t="n">
        <f aca="false">SUM(H10:H13)</f>
        <v>6910.35</v>
      </c>
      <c r="I14" s="28" t="n">
        <f aca="false">SUM(I10:I13)</f>
        <v>81353.51</v>
      </c>
      <c r="J14" s="28" t="n">
        <f aca="false">SUM(J10:J13)</f>
        <v>184462.94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157.52</v>
      </c>
      <c r="E18" s="24" t="n">
        <v>0</v>
      </c>
      <c r="F18" s="24" t="n">
        <v>157.52</v>
      </c>
      <c r="G18" s="24" t="n">
        <v>157.52</v>
      </c>
      <c r="H18" s="24" t="n">
        <v>0</v>
      </c>
      <c r="I18" s="24" t="n">
        <f aca="false">G18+H18</f>
        <v>157.52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593.3</v>
      </c>
      <c r="E19" s="24" t="n">
        <v>0</v>
      </c>
      <c r="F19" s="24" t="n">
        <v>0</v>
      </c>
      <c r="G19" s="24" t="n">
        <v>45.33</v>
      </c>
      <c r="H19" s="24" t="n">
        <v>19.78</v>
      </c>
      <c r="I19" s="24" t="n">
        <f aca="false">G19+H19</f>
        <v>65.11</v>
      </c>
      <c r="J19" s="24" t="n">
        <f aca="false">D19-I19</f>
        <v>528.19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46872.91</v>
      </c>
      <c r="E20" s="24" t="n">
        <v>0</v>
      </c>
      <c r="F20" s="24" t="n">
        <v>0</v>
      </c>
      <c r="G20" s="24" t="n">
        <v>46872.91</v>
      </c>
      <c r="H20" s="24" t="n">
        <v>0</v>
      </c>
      <c r="I20" s="24" t="n">
        <f aca="false">G20+H20</f>
        <v>46872.91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176549.89</v>
      </c>
      <c r="E21" s="24" t="n">
        <v>0</v>
      </c>
      <c r="F21" s="24" t="n">
        <v>0</v>
      </c>
      <c r="G21" s="24" t="n">
        <v>38988.12</v>
      </c>
      <c r="H21" s="24" t="n">
        <v>5885</v>
      </c>
      <c r="I21" s="24" t="n">
        <f aca="false">G21+H21</f>
        <v>44873.12</v>
      </c>
      <c r="J21" s="24" t="n">
        <f aca="false">D21-I21</f>
        <v>131676.77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2912.15</v>
      </c>
      <c r="E22" s="24" t="n">
        <v>0</v>
      </c>
      <c r="F22" s="24" t="n">
        <v>0</v>
      </c>
      <c r="G22" s="24" t="n">
        <v>2912.15</v>
      </c>
      <c r="H22" s="24" t="n">
        <v>0</v>
      </c>
      <c r="I22" s="24" t="n">
        <f aca="false">G22+H22</f>
        <v>2912.15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10968.79</v>
      </c>
      <c r="E23" s="24" t="n">
        <v>0</v>
      </c>
      <c r="F23" s="24" t="n">
        <v>0</v>
      </c>
      <c r="G23" s="24" t="n">
        <v>2422.3</v>
      </c>
      <c r="H23" s="24" t="n">
        <v>365.63</v>
      </c>
      <c r="I23" s="24" t="n">
        <f aca="false">G23+H23</f>
        <v>2787.93</v>
      </c>
      <c r="J23" s="24" t="n">
        <f aca="false">D23-I23</f>
        <v>8180.86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5824.29</v>
      </c>
      <c r="E24" s="24" t="n">
        <v>0</v>
      </c>
      <c r="F24" s="24" t="n">
        <v>0</v>
      </c>
      <c r="G24" s="24" t="n">
        <v>5824.29</v>
      </c>
      <c r="H24" s="24" t="n">
        <v>0</v>
      </c>
      <c r="I24" s="24" t="n">
        <f aca="false">G24+H24</f>
        <v>5824.29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21937.6</v>
      </c>
      <c r="E25" s="24" t="n">
        <v>0</v>
      </c>
      <c r="F25" s="24" t="n">
        <v>0</v>
      </c>
      <c r="G25" s="24" t="n">
        <v>4844.53</v>
      </c>
      <c r="H25" s="24" t="n">
        <v>731.25</v>
      </c>
      <c r="I25" s="24" t="n">
        <f aca="false">G25+H25</f>
        <v>5575.78</v>
      </c>
      <c r="J25" s="24" t="n">
        <f aca="false">D25-I25</f>
        <v>16361.82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265816.45</v>
      </c>
      <c r="E26" s="28" t="n">
        <f aca="false">SUM(E18:E25)</f>
        <v>0</v>
      </c>
      <c r="F26" s="28" t="n">
        <f aca="false">SUM(F18:F25)</f>
        <v>157.52</v>
      </c>
      <c r="G26" s="28" t="n">
        <f aca="false">SUM(G18:G25)</f>
        <v>102067.15</v>
      </c>
      <c r="H26" s="28" t="n">
        <f aca="false">SUM(H18:H25)</f>
        <v>7001.66</v>
      </c>
      <c r="I26" s="28" t="n">
        <f aca="false">SUM(I18:I25)</f>
        <v>109068.81</v>
      </c>
      <c r="J26" s="28" t="n">
        <f aca="false">SUM(J18:J25)</f>
        <v>156747.64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81353.51</v>
      </c>
    </row>
    <row r="30" customFormat="false" ht="15" hidden="false" customHeight="false" outlineLevel="0" collapsed="false">
      <c r="B30" s="6" t="s">
        <v>101</v>
      </c>
      <c r="D30" s="7" t="n">
        <f aca="false">I26</f>
        <v>109068.81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-27715.3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750.82</v>
      </c>
      <c r="E36" s="24" t="n">
        <v>0</v>
      </c>
      <c r="F36" s="24" t="n">
        <v>0</v>
      </c>
      <c r="G36" s="24" t="n">
        <v>45.46</v>
      </c>
      <c r="H36" s="24" t="n">
        <v>18.74</v>
      </c>
      <c r="I36" s="24" t="n">
        <f aca="false">G36+H36</f>
        <v>64.2</v>
      </c>
      <c r="J36" s="24" t="n">
        <f aca="false">D36-I36</f>
        <v>686.62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223422.8</v>
      </c>
      <c r="E37" s="24" t="n">
        <v>0</v>
      </c>
      <c r="F37" s="24" t="n">
        <v>0</v>
      </c>
      <c r="G37" s="24" t="n">
        <v>48082.9</v>
      </c>
      <c r="H37" s="24" t="n">
        <v>5253.66</v>
      </c>
      <c r="I37" s="24" t="n">
        <f aca="false">G37+H37</f>
        <v>53336.56</v>
      </c>
      <c r="J37" s="24" t="n">
        <f aca="false">D37-I37</f>
        <v>170086.24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13880.94</v>
      </c>
      <c r="E38" s="24" t="n">
        <v>0</v>
      </c>
      <c r="F38" s="24" t="n">
        <v>0</v>
      </c>
      <c r="G38" s="24" t="n">
        <v>12955.57</v>
      </c>
      <c r="H38" s="24" t="n">
        <v>0</v>
      </c>
      <c r="I38" s="24" t="n">
        <f aca="false">G38+H38</f>
        <v>12955.57</v>
      </c>
      <c r="J38" s="24" t="n">
        <f aca="false">D38-I38</f>
        <v>925.370000000001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27761.89</v>
      </c>
      <c r="E39" s="24" t="n">
        <v>0</v>
      </c>
      <c r="F39" s="24" t="n">
        <v>0</v>
      </c>
      <c r="G39" s="24" t="n">
        <v>13359.23</v>
      </c>
      <c r="H39" s="24" t="n">
        <v>1637.95</v>
      </c>
      <c r="I39" s="24" t="n">
        <f aca="false">G39+H39</f>
        <v>14997.18</v>
      </c>
      <c r="J39" s="24" t="n">
        <f aca="false">D39-I39</f>
        <v>12764.71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265816.45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74443.16</v>
      </c>
      <c r="H40" s="28" t="n">
        <f aca="false">SUM(H36:H39)</f>
        <v>6910.35</v>
      </c>
      <c r="I40" s="28" t="n">
        <f aca="false">SUM(I36:I39)</f>
        <v>81353.51</v>
      </c>
      <c r="J40" s="28" t="n">
        <f aca="false">SUM(J36:J39)</f>
        <v>184462.94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157.52</v>
      </c>
      <c r="E44" s="24" t="n">
        <v>0</v>
      </c>
      <c r="F44" s="24" t="n">
        <v>157.52</v>
      </c>
      <c r="G44" s="24" t="n">
        <v>157.52</v>
      </c>
      <c r="H44" s="24" t="n">
        <v>0</v>
      </c>
      <c r="I44" s="24" t="n">
        <f aca="false">G44+H44</f>
        <v>157.52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593.3</v>
      </c>
      <c r="E45" s="24" t="n">
        <v>0</v>
      </c>
      <c r="F45" s="24" t="n">
        <v>0</v>
      </c>
      <c r="G45" s="24" t="n">
        <v>45.33</v>
      </c>
      <c r="H45" s="24" t="n">
        <v>19.78</v>
      </c>
      <c r="I45" s="24" t="n">
        <f aca="false">G45+H45</f>
        <v>65.11</v>
      </c>
      <c r="J45" s="24" t="n">
        <f aca="false">D45-I45</f>
        <v>528.19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46872.91</v>
      </c>
      <c r="E46" s="24" t="n">
        <v>0</v>
      </c>
      <c r="F46" s="24" t="n">
        <v>0</v>
      </c>
      <c r="G46" s="24" t="n">
        <v>46872.91</v>
      </c>
      <c r="H46" s="24" t="n">
        <v>0</v>
      </c>
      <c r="I46" s="24" t="n">
        <f aca="false">G46+H46</f>
        <v>46872.91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176549.89</v>
      </c>
      <c r="E47" s="24" t="n">
        <v>0</v>
      </c>
      <c r="F47" s="24" t="n">
        <v>0</v>
      </c>
      <c r="G47" s="24" t="n">
        <v>38988.12</v>
      </c>
      <c r="H47" s="24" t="n">
        <v>5885</v>
      </c>
      <c r="I47" s="24" t="n">
        <f aca="false">G47+H47</f>
        <v>44873.12</v>
      </c>
      <c r="J47" s="24" t="n">
        <f aca="false">D47-I47</f>
        <v>131676.77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2912.15</v>
      </c>
      <c r="E48" s="24" t="n">
        <v>0</v>
      </c>
      <c r="F48" s="24" t="n">
        <v>0</v>
      </c>
      <c r="G48" s="24" t="n">
        <v>2912.15</v>
      </c>
      <c r="H48" s="24" t="n">
        <v>0</v>
      </c>
      <c r="I48" s="24" t="n">
        <f aca="false">G48+H48</f>
        <v>2912.15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10968.79</v>
      </c>
      <c r="E49" s="24" t="n">
        <v>0</v>
      </c>
      <c r="F49" s="24" t="n">
        <v>0</v>
      </c>
      <c r="G49" s="24" t="n">
        <v>2422.3</v>
      </c>
      <c r="H49" s="24" t="n">
        <v>365.63</v>
      </c>
      <c r="I49" s="24" t="n">
        <f aca="false">G49+H49</f>
        <v>2787.93</v>
      </c>
      <c r="J49" s="24" t="n">
        <f aca="false">D49-I49</f>
        <v>8180.86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5824.29</v>
      </c>
      <c r="E50" s="24" t="n">
        <v>0</v>
      </c>
      <c r="F50" s="24" t="n">
        <v>0</v>
      </c>
      <c r="G50" s="24" t="n">
        <v>5824.29</v>
      </c>
      <c r="H50" s="24" t="n">
        <v>0</v>
      </c>
      <c r="I50" s="24" t="n">
        <f aca="false">G50+H50</f>
        <v>5824.29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21937.6</v>
      </c>
      <c r="E51" s="24" t="n">
        <v>0</v>
      </c>
      <c r="F51" s="24" t="n">
        <v>0</v>
      </c>
      <c r="G51" s="24" t="n">
        <v>4844.53</v>
      </c>
      <c r="H51" s="24" t="n">
        <v>731.25</v>
      </c>
      <c r="I51" s="24" t="n">
        <f aca="false">G51+H51</f>
        <v>5575.78</v>
      </c>
      <c r="J51" s="24" t="n">
        <f aca="false">D51-I51</f>
        <v>16361.82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265816.45</v>
      </c>
      <c r="E52" s="28" t="n">
        <f aca="false">SUM(E44:E51)</f>
        <v>0</v>
      </c>
      <c r="F52" s="28" t="n">
        <f aca="false">SUM(F44:F51)</f>
        <v>157.52</v>
      </c>
      <c r="G52" s="28" t="n">
        <f aca="false">SUM(G44:G51)</f>
        <v>102067.15</v>
      </c>
      <c r="H52" s="28" t="n">
        <f aca="false">SUM(H44:H51)</f>
        <v>7001.66</v>
      </c>
      <c r="I52" s="28" t="n">
        <f aca="false">SUM(I44:I51)</f>
        <v>109068.81</v>
      </c>
      <c r="J52" s="28" t="n">
        <f aca="false">SUM(J44:J51)</f>
        <v>156747.64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81353.51</v>
      </c>
    </row>
    <row r="56" customFormat="false" ht="15" hidden="false" customHeight="false" outlineLevel="0" collapsed="false">
      <c r="B56" s="6" t="s">
        <v>101</v>
      </c>
      <c r="D56" s="7" t="n">
        <f aca="false">I52</f>
        <v>109068.81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-27715.3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265816.45</v>
      </c>
    </row>
    <row r="61" customFormat="false" ht="15" hidden="false" customHeight="false" outlineLevel="0" collapsed="false">
      <c r="B61" s="6" t="s">
        <v>149</v>
      </c>
      <c r="D61" s="7" t="n">
        <f aca="false">F98</f>
        <v>55766.87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0.209794653415919</v>
      </c>
    </row>
    <row r="63" customFormat="false" ht="15" hidden="false" customHeight="false" outlineLevel="0" collapsed="false">
      <c r="B63" s="6" t="s">
        <v>151</v>
      </c>
      <c r="D63" s="7" t="n">
        <f aca="false">H98</f>
        <v>210049.58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0.790205346584081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13932.37</v>
      </c>
      <c r="F69" s="33" t="n">
        <v>13932.37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4762.13</v>
      </c>
      <c r="F70" s="33" t="n">
        <v>4762.13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21399.52</v>
      </c>
      <c r="F71" s="33" t="n">
        <v>21399.52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1967.77</v>
      </c>
      <c r="F72" s="33" t="n">
        <v>1967.77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1855.1</v>
      </c>
      <c r="F75" s="33" t="n">
        <v>1855.1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8726.14</v>
      </c>
      <c r="H81" s="33" t="n">
        <v>8726.14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14310.97</v>
      </c>
      <c r="H82" s="33" t="n">
        <v>14310.97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20721.85</v>
      </c>
      <c r="H83" s="33" t="n">
        <v>20721.85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20019.46</v>
      </c>
      <c r="H84" s="33" t="n">
        <v>20019.46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18013.39</v>
      </c>
      <c r="H85" s="33" t="n">
        <v>18013.39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1255.28</v>
      </c>
      <c r="H86" s="33" t="n">
        <v>1255.28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28034.85</v>
      </c>
      <c r="H87" s="33" t="n">
        <v>28034.85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9209.33</v>
      </c>
      <c r="H88" s="33" t="n">
        <v>9209.33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8673.12</v>
      </c>
      <c r="H89" s="33" t="n">
        <v>8673.12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9530.52</v>
      </c>
      <c r="H90" s="33" t="n">
        <v>9530.52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20615.67</v>
      </c>
      <c r="H91" s="33" t="n">
        <v>20615.67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8186.44</v>
      </c>
      <c r="H92" s="33" t="n">
        <v>8186.44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1433.11</v>
      </c>
      <c r="H93" s="33" t="n">
        <v>1433.11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33915.86</v>
      </c>
      <c r="H94" s="33" t="n">
        <v>33915.86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265816.45</v>
      </c>
      <c r="F98" s="34" t="n">
        <f aca="false">SUM(F69:F79)</f>
        <v>55766.87</v>
      </c>
      <c r="H98" s="34" t="n">
        <f aca="false">SUM(H81:H97)</f>
        <v>210049.58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0.209794653415919</v>
      </c>
      <c r="H99" s="31" t="n">
        <f aca="false">H98/D98</f>
        <v>0.790205346584081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750.82</v>
      </c>
      <c r="F103" s="33" t="n">
        <v>157.52</v>
      </c>
      <c r="H103" s="33" t="n">
        <v>593.3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223422.8</v>
      </c>
      <c r="F104" s="33" t="n">
        <v>46872.91</v>
      </c>
      <c r="H104" s="33" t="n">
        <v>176549.89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13880.94</v>
      </c>
      <c r="F105" s="33" t="n">
        <v>2912.15</v>
      </c>
      <c r="H105" s="33" t="n">
        <v>10968.79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27761.89</v>
      </c>
      <c r="F106" s="33" t="n">
        <v>5824.29</v>
      </c>
      <c r="H106" s="33" t="n">
        <v>21937.6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265816.45</v>
      </c>
      <c r="F107" s="34" t="n">
        <f aca="false">SUM(F103:F106)</f>
        <v>55766.87</v>
      </c>
      <c r="H107" s="34" t="n">
        <f aca="false">SUM(H103:H106)</f>
        <v>210049.58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199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662.06</v>
      </c>
      <c r="E10" s="24" t="n">
        <v>0</v>
      </c>
      <c r="F10" s="24" t="n">
        <v>0</v>
      </c>
      <c r="G10" s="24" t="n">
        <v>40.09</v>
      </c>
      <c r="H10" s="24" t="n">
        <v>16.52</v>
      </c>
      <c r="I10" s="24" t="n">
        <f aca="false">G10+H10</f>
        <v>56.61</v>
      </c>
      <c r="J10" s="24" t="n">
        <f aca="false">D10-I10</f>
        <v>605.45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197009.25</v>
      </c>
      <c r="E11" s="24" t="n">
        <v>0</v>
      </c>
      <c r="F11" s="24" t="n">
        <v>0</v>
      </c>
      <c r="G11" s="24" t="n">
        <v>42398.42</v>
      </c>
      <c r="H11" s="24" t="n">
        <v>4632.55</v>
      </c>
      <c r="I11" s="24" t="n">
        <f aca="false">G11+H11</f>
        <v>47030.97</v>
      </c>
      <c r="J11" s="24" t="n">
        <f aca="false">D11-I11</f>
        <v>149978.28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12239.91</v>
      </c>
      <c r="E12" s="24" t="n">
        <v>0</v>
      </c>
      <c r="F12" s="24" t="n">
        <v>0</v>
      </c>
      <c r="G12" s="24" t="n">
        <v>11423.94</v>
      </c>
      <c r="H12" s="24" t="n">
        <v>0</v>
      </c>
      <c r="I12" s="24" t="n">
        <f aca="false">G12+H12</f>
        <v>11423.94</v>
      </c>
      <c r="J12" s="24" t="n">
        <f aca="false">D12-I12</f>
        <v>815.969999999999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24479.81</v>
      </c>
      <c r="E13" s="24" t="n">
        <v>0</v>
      </c>
      <c r="F13" s="24" t="n">
        <v>0</v>
      </c>
      <c r="G13" s="24" t="n">
        <v>11779.87</v>
      </c>
      <c r="H13" s="24" t="n">
        <v>1444.31</v>
      </c>
      <c r="I13" s="24" t="n">
        <f aca="false">G13+H13</f>
        <v>13224.18</v>
      </c>
      <c r="J13" s="24" t="n">
        <f aca="false">D13-I13</f>
        <v>11255.63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234391.03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65642.32</v>
      </c>
      <c r="H14" s="28" t="n">
        <f aca="false">SUM(H10:H13)</f>
        <v>6093.38</v>
      </c>
      <c r="I14" s="28" t="n">
        <f aca="false">SUM(I10:I13)</f>
        <v>71735.7</v>
      </c>
      <c r="J14" s="28" t="n">
        <f aca="false">SUM(J10:J13)</f>
        <v>162655.33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137.19</v>
      </c>
      <c r="E18" s="24" t="n">
        <v>0</v>
      </c>
      <c r="F18" s="24" t="n">
        <v>137.19</v>
      </c>
      <c r="G18" s="24" t="n">
        <v>137.19</v>
      </c>
      <c r="H18" s="24" t="n">
        <v>0</v>
      </c>
      <c r="I18" s="24" t="n">
        <f aca="false">G18+H18</f>
        <v>137.19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524.87</v>
      </c>
      <c r="E19" s="24" t="n">
        <v>0</v>
      </c>
      <c r="F19" s="24" t="n">
        <v>0</v>
      </c>
      <c r="G19" s="24" t="n">
        <v>40.1</v>
      </c>
      <c r="H19" s="24" t="n">
        <v>17.5</v>
      </c>
      <c r="I19" s="24" t="n">
        <f aca="false">G19+H19</f>
        <v>57.6</v>
      </c>
      <c r="J19" s="24" t="n">
        <f aca="false">D19-I19</f>
        <v>467.27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40824.27</v>
      </c>
      <c r="E20" s="24" t="n">
        <v>0</v>
      </c>
      <c r="F20" s="24" t="n">
        <v>0</v>
      </c>
      <c r="G20" s="24" t="n">
        <v>40824.27</v>
      </c>
      <c r="H20" s="24" t="n">
        <v>0</v>
      </c>
      <c r="I20" s="24" t="n">
        <f aca="false">G20+H20</f>
        <v>40824.27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156184.98</v>
      </c>
      <c r="E21" s="24" t="n">
        <v>0</v>
      </c>
      <c r="F21" s="24" t="n">
        <v>0</v>
      </c>
      <c r="G21" s="24" t="n">
        <v>34490.87</v>
      </c>
      <c r="H21" s="24" t="n">
        <v>5206.17</v>
      </c>
      <c r="I21" s="24" t="n">
        <f aca="false">G21+H21</f>
        <v>39697.04</v>
      </c>
      <c r="J21" s="24" t="n">
        <f aca="false">D21-I21</f>
        <v>116487.94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2536.35</v>
      </c>
      <c r="E22" s="24" t="n">
        <v>0</v>
      </c>
      <c r="F22" s="24" t="n">
        <v>0</v>
      </c>
      <c r="G22" s="24" t="n">
        <v>2536.35</v>
      </c>
      <c r="H22" s="24" t="n">
        <v>0</v>
      </c>
      <c r="I22" s="24" t="n">
        <f aca="false">G22+H22</f>
        <v>2536.35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9703.56</v>
      </c>
      <c r="E23" s="24" t="n">
        <v>0</v>
      </c>
      <c r="F23" s="24" t="n">
        <v>0</v>
      </c>
      <c r="G23" s="24" t="n">
        <v>2142.86</v>
      </c>
      <c r="H23" s="24" t="n">
        <v>323.45</v>
      </c>
      <c r="I23" s="24" t="n">
        <f aca="false">G23+H23</f>
        <v>2466.31</v>
      </c>
      <c r="J23" s="24" t="n">
        <f aca="false">D23-I23</f>
        <v>7237.25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5072.71</v>
      </c>
      <c r="E24" s="24" t="n">
        <v>0</v>
      </c>
      <c r="F24" s="24" t="n">
        <v>0</v>
      </c>
      <c r="G24" s="24" t="n">
        <v>5072.71</v>
      </c>
      <c r="H24" s="24" t="n">
        <v>0</v>
      </c>
      <c r="I24" s="24" t="n">
        <f aca="false">G24+H24</f>
        <v>5072.71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19407.1</v>
      </c>
      <c r="E25" s="24" t="n">
        <v>0</v>
      </c>
      <c r="F25" s="24" t="n">
        <v>0</v>
      </c>
      <c r="G25" s="24" t="n">
        <v>4285.71</v>
      </c>
      <c r="H25" s="24" t="n">
        <v>646.9</v>
      </c>
      <c r="I25" s="24" t="n">
        <f aca="false">G25+H25</f>
        <v>4932.61</v>
      </c>
      <c r="J25" s="24" t="n">
        <f aca="false">D25-I25</f>
        <v>14474.49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234391.03</v>
      </c>
      <c r="E26" s="28" t="n">
        <f aca="false">SUM(E18:E25)</f>
        <v>0</v>
      </c>
      <c r="F26" s="28" t="n">
        <f aca="false">SUM(F18:F25)</f>
        <v>137.19</v>
      </c>
      <c r="G26" s="28" t="n">
        <f aca="false">SUM(G18:G25)</f>
        <v>89530.06</v>
      </c>
      <c r="H26" s="28" t="n">
        <f aca="false">SUM(H18:H25)</f>
        <v>6194.02</v>
      </c>
      <c r="I26" s="28" t="n">
        <f aca="false">SUM(I18:I25)</f>
        <v>95724.08</v>
      </c>
      <c r="J26" s="28" t="n">
        <f aca="false">SUM(J18:J25)</f>
        <v>138666.95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71735.7</v>
      </c>
    </row>
    <row r="30" customFormat="false" ht="15" hidden="false" customHeight="false" outlineLevel="0" collapsed="false">
      <c r="B30" s="6" t="s">
        <v>101</v>
      </c>
      <c r="D30" s="7" t="n">
        <f aca="false">I26</f>
        <v>95724.08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-23988.38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662.06</v>
      </c>
      <c r="E36" s="24" t="n">
        <v>0</v>
      </c>
      <c r="F36" s="24" t="n">
        <v>0</v>
      </c>
      <c r="G36" s="24" t="n">
        <v>40.09</v>
      </c>
      <c r="H36" s="24" t="n">
        <v>16.52</v>
      </c>
      <c r="I36" s="24" t="n">
        <f aca="false">G36+H36</f>
        <v>56.61</v>
      </c>
      <c r="J36" s="24" t="n">
        <f aca="false">D36-I36</f>
        <v>605.45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197009.25</v>
      </c>
      <c r="E37" s="24" t="n">
        <v>0</v>
      </c>
      <c r="F37" s="24" t="n">
        <v>0</v>
      </c>
      <c r="G37" s="24" t="n">
        <v>42398.42</v>
      </c>
      <c r="H37" s="24" t="n">
        <v>4632.55</v>
      </c>
      <c r="I37" s="24" t="n">
        <f aca="false">G37+H37</f>
        <v>47030.97</v>
      </c>
      <c r="J37" s="24" t="n">
        <f aca="false">D37-I37</f>
        <v>149978.28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12239.91</v>
      </c>
      <c r="E38" s="24" t="n">
        <v>0</v>
      </c>
      <c r="F38" s="24" t="n">
        <v>0</v>
      </c>
      <c r="G38" s="24" t="n">
        <v>11423.94</v>
      </c>
      <c r="H38" s="24" t="n">
        <v>0</v>
      </c>
      <c r="I38" s="24" t="n">
        <f aca="false">G38+H38</f>
        <v>11423.94</v>
      </c>
      <c r="J38" s="24" t="n">
        <f aca="false">D38-I38</f>
        <v>815.969999999999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24479.81</v>
      </c>
      <c r="E39" s="24" t="n">
        <v>0</v>
      </c>
      <c r="F39" s="24" t="n">
        <v>0</v>
      </c>
      <c r="G39" s="24" t="n">
        <v>11779.87</v>
      </c>
      <c r="H39" s="24" t="n">
        <v>1444.31</v>
      </c>
      <c r="I39" s="24" t="n">
        <f aca="false">G39+H39</f>
        <v>13224.18</v>
      </c>
      <c r="J39" s="24" t="n">
        <f aca="false">D39-I39</f>
        <v>11255.63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234391.03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65642.32</v>
      </c>
      <c r="H40" s="28" t="n">
        <f aca="false">SUM(H36:H39)</f>
        <v>6093.38</v>
      </c>
      <c r="I40" s="28" t="n">
        <f aca="false">SUM(I36:I39)</f>
        <v>71735.7</v>
      </c>
      <c r="J40" s="28" t="n">
        <f aca="false">SUM(J36:J39)</f>
        <v>162655.33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137.19</v>
      </c>
      <c r="E44" s="24" t="n">
        <v>0</v>
      </c>
      <c r="F44" s="24" t="n">
        <v>137.19</v>
      </c>
      <c r="G44" s="24" t="n">
        <v>137.19</v>
      </c>
      <c r="H44" s="24" t="n">
        <v>0</v>
      </c>
      <c r="I44" s="24" t="n">
        <f aca="false">G44+H44</f>
        <v>137.19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524.87</v>
      </c>
      <c r="E45" s="24" t="n">
        <v>0</v>
      </c>
      <c r="F45" s="24" t="n">
        <v>0</v>
      </c>
      <c r="G45" s="24" t="n">
        <v>40.1</v>
      </c>
      <c r="H45" s="24" t="n">
        <v>17.5</v>
      </c>
      <c r="I45" s="24" t="n">
        <f aca="false">G45+H45</f>
        <v>57.6</v>
      </c>
      <c r="J45" s="24" t="n">
        <f aca="false">D45-I45</f>
        <v>467.27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40824.27</v>
      </c>
      <c r="E46" s="24" t="n">
        <v>0</v>
      </c>
      <c r="F46" s="24" t="n">
        <v>0</v>
      </c>
      <c r="G46" s="24" t="n">
        <v>40824.27</v>
      </c>
      <c r="H46" s="24" t="n">
        <v>0</v>
      </c>
      <c r="I46" s="24" t="n">
        <f aca="false">G46+H46</f>
        <v>40824.27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156184.98</v>
      </c>
      <c r="E47" s="24" t="n">
        <v>0</v>
      </c>
      <c r="F47" s="24" t="n">
        <v>0</v>
      </c>
      <c r="G47" s="24" t="n">
        <v>34490.87</v>
      </c>
      <c r="H47" s="24" t="n">
        <v>5206.17</v>
      </c>
      <c r="I47" s="24" t="n">
        <f aca="false">G47+H47</f>
        <v>39697.04</v>
      </c>
      <c r="J47" s="24" t="n">
        <f aca="false">D47-I47</f>
        <v>116487.94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2536.35</v>
      </c>
      <c r="E48" s="24" t="n">
        <v>0</v>
      </c>
      <c r="F48" s="24" t="n">
        <v>0</v>
      </c>
      <c r="G48" s="24" t="n">
        <v>2536.35</v>
      </c>
      <c r="H48" s="24" t="n">
        <v>0</v>
      </c>
      <c r="I48" s="24" t="n">
        <f aca="false">G48+H48</f>
        <v>2536.35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9703.56</v>
      </c>
      <c r="E49" s="24" t="n">
        <v>0</v>
      </c>
      <c r="F49" s="24" t="n">
        <v>0</v>
      </c>
      <c r="G49" s="24" t="n">
        <v>2142.86</v>
      </c>
      <c r="H49" s="24" t="n">
        <v>323.45</v>
      </c>
      <c r="I49" s="24" t="n">
        <f aca="false">G49+H49</f>
        <v>2466.31</v>
      </c>
      <c r="J49" s="24" t="n">
        <f aca="false">D49-I49</f>
        <v>7237.25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5072.71</v>
      </c>
      <c r="E50" s="24" t="n">
        <v>0</v>
      </c>
      <c r="F50" s="24" t="n">
        <v>0</v>
      </c>
      <c r="G50" s="24" t="n">
        <v>5072.71</v>
      </c>
      <c r="H50" s="24" t="n">
        <v>0</v>
      </c>
      <c r="I50" s="24" t="n">
        <f aca="false">G50+H50</f>
        <v>5072.71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19407.1</v>
      </c>
      <c r="E51" s="24" t="n">
        <v>0</v>
      </c>
      <c r="F51" s="24" t="n">
        <v>0</v>
      </c>
      <c r="G51" s="24" t="n">
        <v>4285.71</v>
      </c>
      <c r="H51" s="24" t="n">
        <v>646.9</v>
      </c>
      <c r="I51" s="24" t="n">
        <f aca="false">G51+H51</f>
        <v>4932.61</v>
      </c>
      <c r="J51" s="24" t="n">
        <f aca="false">D51-I51</f>
        <v>14474.49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234391.03</v>
      </c>
      <c r="E52" s="28" t="n">
        <f aca="false">SUM(E44:E51)</f>
        <v>0</v>
      </c>
      <c r="F52" s="28" t="n">
        <f aca="false">SUM(F44:F51)</f>
        <v>137.19</v>
      </c>
      <c r="G52" s="28" t="n">
        <f aca="false">SUM(G44:G51)</f>
        <v>89530.06</v>
      </c>
      <c r="H52" s="28" t="n">
        <f aca="false">SUM(H44:H51)</f>
        <v>6194.02</v>
      </c>
      <c r="I52" s="28" t="n">
        <f aca="false">SUM(I44:I51)</f>
        <v>95724.08</v>
      </c>
      <c r="J52" s="28" t="n">
        <f aca="false">SUM(J44:J51)</f>
        <v>138666.95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71735.7</v>
      </c>
    </row>
    <row r="56" customFormat="false" ht="15" hidden="false" customHeight="false" outlineLevel="0" collapsed="false">
      <c r="B56" s="6" t="s">
        <v>101</v>
      </c>
      <c r="D56" s="7" t="n">
        <f aca="false">I52</f>
        <v>95724.08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-23988.38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234391.03</v>
      </c>
    </row>
    <row r="61" customFormat="false" ht="15" hidden="false" customHeight="false" outlineLevel="0" collapsed="false">
      <c r="B61" s="6" t="s">
        <v>149</v>
      </c>
      <c r="D61" s="7" t="n">
        <f aca="false">F98</f>
        <v>48570.52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0.207220045920699</v>
      </c>
    </row>
    <row r="63" customFormat="false" ht="15" hidden="false" customHeight="false" outlineLevel="0" collapsed="false">
      <c r="B63" s="6" t="s">
        <v>151</v>
      </c>
      <c r="D63" s="7" t="n">
        <f aca="false">H98</f>
        <v>185820.51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0.792779954079301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11319.08</v>
      </c>
      <c r="F69" s="33" t="n">
        <v>11319.08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4407.51</v>
      </c>
      <c r="F70" s="33" t="n">
        <v>4407.51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17858.88</v>
      </c>
      <c r="F71" s="33" t="n">
        <v>17858.88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1586.91</v>
      </c>
      <c r="F72" s="33" t="n">
        <v>1586.91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1548.16</v>
      </c>
      <c r="F75" s="33" t="n">
        <v>1548.16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7270.82</v>
      </c>
      <c r="H81" s="33" t="n">
        <v>7270.82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12116.84</v>
      </c>
      <c r="H82" s="33" t="n">
        <v>12116.84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17293.33</v>
      </c>
      <c r="H83" s="33" t="n">
        <v>17293.33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16285.45</v>
      </c>
      <c r="H84" s="33" t="n">
        <v>16285.45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15033</v>
      </c>
      <c r="H85" s="33" t="n">
        <v>15033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958.91</v>
      </c>
      <c r="H86" s="33" t="n">
        <v>958.91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26187.51</v>
      </c>
      <c r="H87" s="33" t="n">
        <v>26187.51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11772.85</v>
      </c>
      <c r="H88" s="33" t="n">
        <v>11772.85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6994.46</v>
      </c>
      <c r="H89" s="33" t="n">
        <v>6994.46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7953.64</v>
      </c>
      <c r="H90" s="33" t="n">
        <v>7953.64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19168.95</v>
      </c>
      <c r="H91" s="33" t="n">
        <v>19168.95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7364.73</v>
      </c>
      <c r="H92" s="33" t="n">
        <v>7364.73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1137.92</v>
      </c>
      <c r="H93" s="33" t="n">
        <v>1137.92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28878.51</v>
      </c>
      <c r="H94" s="33" t="n">
        <v>28878.51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234391.03</v>
      </c>
      <c r="F98" s="34" t="n">
        <f aca="false">SUM(F69:F79)</f>
        <v>48570.52</v>
      </c>
      <c r="H98" s="34" t="n">
        <f aca="false">SUM(H81:H97)</f>
        <v>185820.51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0.207220045920699</v>
      </c>
      <c r="H99" s="31" t="n">
        <f aca="false">H98/D98</f>
        <v>0.792779954079301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662.06</v>
      </c>
      <c r="F103" s="33" t="n">
        <v>137.19</v>
      </c>
      <c r="H103" s="33" t="n">
        <v>524.87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197009.25</v>
      </c>
      <c r="F104" s="33" t="n">
        <v>40824.27</v>
      </c>
      <c r="H104" s="33" t="n">
        <v>156184.98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12239.91</v>
      </c>
      <c r="F105" s="33" t="n">
        <v>2536.35</v>
      </c>
      <c r="H105" s="33" t="n">
        <v>9703.56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24479.81</v>
      </c>
      <c r="F106" s="33" t="n">
        <v>5072.71</v>
      </c>
      <c r="H106" s="33" t="n">
        <v>19407.1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234391.03</v>
      </c>
      <c r="F107" s="34" t="n">
        <f aca="false">SUM(F103:F106)</f>
        <v>48570.52</v>
      </c>
      <c r="H107" s="34" t="n">
        <f aca="false">SUM(H103:H106)</f>
        <v>185820.51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200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479.53</v>
      </c>
      <c r="E10" s="24" t="n">
        <v>0</v>
      </c>
      <c r="F10" s="24" t="n">
        <v>0</v>
      </c>
      <c r="G10" s="24" t="n">
        <v>29.03</v>
      </c>
      <c r="H10" s="24" t="n">
        <v>11.97</v>
      </c>
      <c r="I10" s="24" t="n">
        <f aca="false">G10+H10</f>
        <v>41</v>
      </c>
      <c r="J10" s="24" t="n">
        <f aca="false">D10-I10</f>
        <v>438.53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142694.3</v>
      </c>
      <c r="E11" s="24" t="n">
        <v>0</v>
      </c>
      <c r="F11" s="24" t="n">
        <v>0</v>
      </c>
      <c r="G11" s="24" t="n">
        <v>30709.29</v>
      </c>
      <c r="H11" s="24" t="n">
        <v>3355.37</v>
      </c>
      <c r="I11" s="24" t="n">
        <f aca="false">G11+H11</f>
        <v>34064.66</v>
      </c>
      <c r="J11" s="24" t="n">
        <f aca="false">D11-I11</f>
        <v>108629.64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8865.4</v>
      </c>
      <c r="E12" s="24" t="n">
        <v>0</v>
      </c>
      <c r="F12" s="24" t="n">
        <v>0</v>
      </c>
      <c r="G12" s="24" t="n">
        <v>8274.39</v>
      </c>
      <c r="H12" s="24" t="n">
        <v>0</v>
      </c>
      <c r="I12" s="24" t="n">
        <f aca="false">G12+H12</f>
        <v>8274.39</v>
      </c>
      <c r="J12" s="24" t="n">
        <f aca="false">D12-I12</f>
        <v>591.01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17730.79</v>
      </c>
      <c r="E13" s="24" t="n">
        <v>0</v>
      </c>
      <c r="F13" s="24" t="n">
        <v>0</v>
      </c>
      <c r="G13" s="24" t="n">
        <v>8532.2</v>
      </c>
      <c r="H13" s="24" t="n">
        <v>1046.12</v>
      </c>
      <c r="I13" s="24" t="n">
        <f aca="false">G13+H13</f>
        <v>9578.32</v>
      </c>
      <c r="J13" s="24" t="n">
        <f aca="false">D13-I13</f>
        <v>8152.47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169770.02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47544.91</v>
      </c>
      <c r="H14" s="28" t="n">
        <f aca="false">SUM(H10:H13)</f>
        <v>4413.46</v>
      </c>
      <c r="I14" s="28" t="n">
        <f aca="false">SUM(I10:I13)</f>
        <v>51958.37</v>
      </c>
      <c r="J14" s="28" t="n">
        <f aca="false">SUM(J10:J13)</f>
        <v>117811.65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89.94</v>
      </c>
      <c r="E18" s="24" t="n">
        <v>0</v>
      </c>
      <c r="F18" s="24" t="n">
        <v>89.94</v>
      </c>
      <c r="G18" s="24" t="n">
        <v>89.94</v>
      </c>
      <c r="H18" s="24" t="n">
        <v>0</v>
      </c>
      <c r="I18" s="24" t="n">
        <f aca="false">G18+H18</f>
        <v>89.94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389.59</v>
      </c>
      <c r="E19" s="24" t="n">
        <v>0</v>
      </c>
      <c r="F19" s="24" t="n">
        <v>0</v>
      </c>
      <c r="G19" s="24" t="n">
        <v>29.77</v>
      </c>
      <c r="H19" s="24" t="n">
        <v>12.99</v>
      </c>
      <c r="I19" s="24" t="n">
        <f aca="false">G19+H19</f>
        <v>42.76</v>
      </c>
      <c r="J19" s="24" t="n">
        <f aca="false">D19-I19</f>
        <v>346.83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26763.65</v>
      </c>
      <c r="E20" s="24" t="n">
        <v>0</v>
      </c>
      <c r="F20" s="24" t="n">
        <v>0</v>
      </c>
      <c r="G20" s="24" t="n">
        <v>26763.65</v>
      </c>
      <c r="H20" s="24" t="n">
        <v>0</v>
      </c>
      <c r="I20" s="24" t="n">
        <f aca="false">G20+H20</f>
        <v>26763.65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115930.65</v>
      </c>
      <c r="E21" s="24" t="n">
        <v>0</v>
      </c>
      <c r="F21" s="24" t="n">
        <v>0</v>
      </c>
      <c r="G21" s="24" t="n">
        <v>25601.32</v>
      </c>
      <c r="H21" s="24" t="n">
        <v>3864.35</v>
      </c>
      <c r="I21" s="24" t="n">
        <f aca="false">G21+H21</f>
        <v>29465.67</v>
      </c>
      <c r="J21" s="24" t="n">
        <f aca="false">D21-I21</f>
        <v>86464.98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1662.79</v>
      </c>
      <c r="E22" s="24" t="n">
        <v>0</v>
      </c>
      <c r="F22" s="24" t="n">
        <v>0</v>
      </c>
      <c r="G22" s="24" t="n">
        <v>1662.79</v>
      </c>
      <c r="H22" s="24" t="n">
        <v>0</v>
      </c>
      <c r="I22" s="24" t="n">
        <f aca="false">G22+H22</f>
        <v>1662.79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7202.61</v>
      </c>
      <c r="E23" s="24" t="n">
        <v>0</v>
      </c>
      <c r="F23" s="24" t="n">
        <v>0</v>
      </c>
      <c r="G23" s="24" t="n">
        <v>1590.59</v>
      </c>
      <c r="H23" s="24" t="n">
        <v>240.09</v>
      </c>
      <c r="I23" s="24" t="n">
        <f aca="false">G23+H23</f>
        <v>1830.68</v>
      </c>
      <c r="J23" s="24" t="n">
        <f aca="false">D23-I23</f>
        <v>5371.93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3325.57</v>
      </c>
      <c r="E24" s="24" t="n">
        <v>0</v>
      </c>
      <c r="F24" s="24" t="n">
        <v>0</v>
      </c>
      <c r="G24" s="24" t="n">
        <v>3325.57</v>
      </c>
      <c r="H24" s="24" t="n">
        <v>0</v>
      </c>
      <c r="I24" s="24" t="n">
        <f aca="false">G24+H24</f>
        <v>3325.57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14405.22</v>
      </c>
      <c r="E25" s="24" t="n">
        <v>0</v>
      </c>
      <c r="F25" s="24" t="n">
        <v>0</v>
      </c>
      <c r="G25" s="24" t="n">
        <v>3181.13</v>
      </c>
      <c r="H25" s="24" t="n">
        <v>480.17</v>
      </c>
      <c r="I25" s="24" t="n">
        <f aca="false">G25+H25</f>
        <v>3661.3</v>
      </c>
      <c r="J25" s="24" t="n">
        <f aca="false">D25-I25</f>
        <v>10743.92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169770.02</v>
      </c>
      <c r="E26" s="28" t="n">
        <f aca="false">SUM(E18:E25)</f>
        <v>0</v>
      </c>
      <c r="F26" s="28" t="n">
        <f aca="false">SUM(F18:F25)</f>
        <v>89.94</v>
      </c>
      <c r="G26" s="28" t="n">
        <f aca="false">SUM(G18:G25)</f>
        <v>62244.76</v>
      </c>
      <c r="H26" s="28" t="n">
        <f aca="false">SUM(H18:H25)</f>
        <v>4597.6</v>
      </c>
      <c r="I26" s="28" t="n">
        <f aca="false">SUM(I18:I25)</f>
        <v>66842.36</v>
      </c>
      <c r="J26" s="28" t="n">
        <f aca="false">SUM(J18:J25)</f>
        <v>102927.66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51958.37</v>
      </c>
    </row>
    <row r="30" customFormat="false" ht="15" hidden="false" customHeight="false" outlineLevel="0" collapsed="false">
      <c r="B30" s="6" t="s">
        <v>101</v>
      </c>
      <c r="D30" s="7" t="n">
        <f aca="false">I26</f>
        <v>66842.36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-14883.99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479.53</v>
      </c>
      <c r="E36" s="24" t="n">
        <v>0</v>
      </c>
      <c r="F36" s="24" t="n">
        <v>0</v>
      </c>
      <c r="G36" s="24" t="n">
        <v>29.03</v>
      </c>
      <c r="H36" s="24" t="n">
        <v>11.97</v>
      </c>
      <c r="I36" s="24" t="n">
        <f aca="false">G36+H36</f>
        <v>41</v>
      </c>
      <c r="J36" s="24" t="n">
        <f aca="false">D36-I36</f>
        <v>438.53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142694.3</v>
      </c>
      <c r="E37" s="24" t="n">
        <v>0</v>
      </c>
      <c r="F37" s="24" t="n">
        <v>0</v>
      </c>
      <c r="G37" s="24" t="n">
        <v>30709.29</v>
      </c>
      <c r="H37" s="24" t="n">
        <v>3355.37</v>
      </c>
      <c r="I37" s="24" t="n">
        <f aca="false">G37+H37</f>
        <v>34064.66</v>
      </c>
      <c r="J37" s="24" t="n">
        <f aca="false">D37-I37</f>
        <v>108629.64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8865.4</v>
      </c>
      <c r="E38" s="24" t="n">
        <v>0</v>
      </c>
      <c r="F38" s="24" t="n">
        <v>0</v>
      </c>
      <c r="G38" s="24" t="n">
        <v>8274.39</v>
      </c>
      <c r="H38" s="24" t="n">
        <v>0</v>
      </c>
      <c r="I38" s="24" t="n">
        <f aca="false">G38+H38</f>
        <v>8274.39</v>
      </c>
      <c r="J38" s="24" t="n">
        <f aca="false">D38-I38</f>
        <v>591.01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17730.79</v>
      </c>
      <c r="E39" s="24" t="n">
        <v>0</v>
      </c>
      <c r="F39" s="24" t="n">
        <v>0</v>
      </c>
      <c r="G39" s="24" t="n">
        <v>8532.2</v>
      </c>
      <c r="H39" s="24" t="n">
        <v>1046.12</v>
      </c>
      <c r="I39" s="24" t="n">
        <f aca="false">G39+H39</f>
        <v>9578.32</v>
      </c>
      <c r="J39" s="24" t="n">
        <f aca="false">D39-I39</f>
        <v>8152.47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169770.02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47544.91</v>
      </c>
      <c r="H40" s="28" t="n">
        <f aca="false">SUM(H36:H39)</f>
        <v>4413.46</v>
      </c>
      <c r="I40" s="28" t="n">
        <f aca="false">SUM(I36:I39)</f>
        <v>51958.37</v>
      </c>
      <c r="J40" s="28" t="n">
        <f aca="false">SUM(J36:J39)</f>
        <v>117811.65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89.94</v>
      </c>
      <c r="E44" s="24" t="n">
        <v>0</v>
      </c>
      <c r="F44" s="24" t="n">
        <v>89.94</v>
      </c>
      <c r="G44" s="24" t="n">
        <v>89.94</v>
      </c>
      <c r="H44" s="24" t="n">
        <v>0</v>
      </c>
      <c r="I44" s="24" t="n">
        <f aca="false">G44+H44</f>
        <v>89.94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389.59</v>
      </c>
      <c r="E45" s="24" t="n">
        <v>0</v>
      </c>
      <c r="F45" s="24" t="n">
        <v>0</v>
      </c>
      <c r="G45" s="24" t="n">
        <v>29.77</v>
      </c>
      <c r="H45" s="24" t="n">
        <v>12.99</v>
      </c>
      <c r="I45" s="24" t="n">
        <f aca="false">G45+H45</f>
        <v>42.76</v>
      </c>
      <c r="J45" s="24" t="n">
        <f aca="false">D45-I45</f>
        <v>346.83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26763.65</v>
      </c>
      <c r="E46" s="24" t="n">
        <v>0</v>
      </c>
      <c r="F46" s="24" t="n">
        <v>0</v>
      </c>
      <c r="G46" s="24" t="n">
        <v>26763.65</v>
      </c>
      <c r="H46" s="24" t="n">
        <v>0</v>
      </c>
      <c r="I46" s="24" t="n">
        <f aca="false">G46+H46</f>
        <v>26763.65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115930.65</v>
      </c>
      <c r="E47" s="24" t="n">
        <v>0</v>
      </c>
      <c r="F47" s="24" t="n">
        <v>0</v>
      </c>
      <c r="G47" s="24" t="n">
        <v>25601.32</v>
      </c>
      <c r="H47" s="24" t="n">
        <v>3864.35</v>
      </c>
      <c r="I47" s="24" t="n">
        <f aca="false">G47+H47</f>
        <v>29465.67</v>
      </c>
      <c r="J47" s="24" t="n">
        <f aca="false">D47-I47</f>
        <v>86464.98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1662.79</v>
      </c>
      <c r="E48" s="24" t="n">
        <v>0</v>
      </c>
      <c r="F48" s="24" t="n">
        <v>0</v>
      </c>
      <c r="G48" s="24" t="n">
        <v>1662.79</v>
      </c>
      <c r="H48" s="24" t="n">
        <v>0</v>
      </c>
      <c r="I48" s="24" t="n">
        <f aca="false">G48+H48</f>
        <v>1662.79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7202.61</v>
      </c>
      <c r="E49" s="24" t="n">
        <v>0</v>
      </c>
      <c r="F49" s="24" t="n">
        <v>0</v>
      </c>
      <c r="G49" s="24" t="n">
        <v>1590.59</v>
      </c>
      <c r="H49" s="24" t="n">
        <v>240.09</v>
      </c>
      <c r="I49" s="24" t="n">
        <f aca="false">G49+H49</f>
        <v>1830.68</v>
      </c>
      <c r="J49" s="24" t="n">
        <f aca="false">D49-I49</f>
        <v>5371.93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3325.57</v>
      </c>
      <c r="E50" s="24" t="n">
        <v>0</v>
      </c>
      <c r="F50" s="24" t="n">
        <v>0</v>
      </c>
      <c r="G50" s="24" t="n">
        <v>3325.57</v>
      </c>
      <c r="H50" s="24" t="n">
        <v>0</v>
      </c>
      <c r="I50" s="24" t="n">
        <f aca="false">G50+H50</f>
        <v>3325.57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14405.22</v>
      </c>
      <c r="E51" s="24" t="n">
        <v>0</v>
      </c>
      <c r="F51" s="24" t="n">
        <v>0</v>
      </c>
      <c r="G51" s="24" t="n">
        <v>3181.13</v>
      </c>
      <c r="H51" s="24" t="n">
        <v>480.17</v>
      </c>
      <c r="I51" s="24" t="n">
        <f aca="false">G51+H51</f>
        <v>3661.3</v>
      </c>
      <c r="J51" s="24" t="n">
        <f aca="false">D51-I51</f>
        <v>10743.92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169770.02</v>
      </c>
      <c r="E52" s="28" t="n">
        <f aca="false">SUM(E44:E51)</f>
        <v>0</v>
      </c>
      <c r="F52" s="28" t="n">
        <f aca="false">SUM(F44:F51)</f>
        <v>89.94</v>
      </c>
      <c r="G52" s="28" t="n">
        <f aca="false">SUM(G44:G51)</f>
        <v>62244.76</v>
      </c>
      <c r="H52" s="28" t="n">
        <f aca="false">SUM(H44:H51)</f>
        <v>4597.6</v>
      </c>
      <c r="I52" s="28" t="n">
        <f aca="false">SUM(I44:I51)</f>
        <v>66842.36</v>
      </c>
      <c r="J52" s="28" t="n">
        <f aca="false">SUM(J44:J51)</f>
        <v>102927.66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51958.37</v>
      </c>
    </row>
    <row r="56" customFormat="false" ht="15" hidden="false" customHeight="false" outlineLevel="0" collapsed="false">
      <c r="B56" s="6" t="s">
        <v>101</v>
      </c>
      <c r="D56" s="7" t="n">
        <f aca="false">I52</f>
        <v>66842.36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-14883.99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169770.02</v>
      </c>
    </row>
    <row r="61" customFormat="false" ht="15" hidden="false" customHeight="false" outlineLevel="0" collapsed="false">
      <c r="B61" s="6" t="s">
        <v>149</v>
      </c>
      <c r="D61" s="7" t="n">
        <f aca="false">F98</f>
        <v>31841.95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0.187559322900474</v>
      </c>
    </row>
    <row r="63" customFormat="false" ht="15" hidden="false" customHeight="false" outlineLevel="0" collapsed="false">
      <c r="B63" s="6" t="s">
        <v>151</v>
      </c>
      <c r="D63" s="7" t="n">
        <f aca="false">H98</f>
        <v>137928.07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0.812440677099526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7800.47</v>
      </c>
      <c r="F69" s="33" t="n">
        <v>7800.47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3748.91</v>
      </c>
      <c r="F70" s="33" t="n">
        <v>3748.91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12139.37</v>
      </c>
      <c r="F71" s="33" t="n">
        <v>12139.37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1142.58</v>
      </c>
      <c r="F72" s="33" t="n">
        <v>1142.58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1052.34</v>
      </c>
      <c r="F75" s="33" t="n">
        <v>1052.34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5090</v>
      </c>
      <c r="H81" s="33" t="n">
        <v>5090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8538.11</v>
      </c>
      <c r="H82" s="33" t="n">
        <v>8538.11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11754.94</v>
      </c>
      <c r="H83" s="33" t="n">
        <v>11754.94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11527.95</v>
      </c>
      <c r="H84" s="33" t="n">
        <v>11527.95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10218.5</v>
      </c>
      <c r="H85" s="33" t="n">
        <v>10218.5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775.83</v>
      </c>
      <c r="H86" s="33" t="n">
        <v>775.83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22829.89</v>
      </c>
      <c r="H87" s="33" t="n">
        <v>22829.89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5886.42</v>
      </c>
      <c r="H88" s="33" t="n">
        <v>5886.42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5036.01</v>
      </c>
      <c r="H89" s="33" t="n">
        <v>5036.01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5406.4</v>
      </c>
      <c r="H90" s="33" t="n">
        <v>5406.4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16464.28</v>
      </c>
      <c r="H91" s="33" t="n">
        <v>16464.28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5938.8</v>
      </c>
      <c r="H92" s="33" t="n">
        <v>5938.8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1234.18</v>
      </c>
      <c r="H93" s="33" t="n">
        <v>1234.18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20850.04</v>
      </c>
      <c r="H94" s="33" t="n">
        <v>20850.04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169770.02</v>
      </c>
      <c r="F98" s="34" t="n">
        <f aca="false">SUM(F69:F79)</f>
        <v>31841.95</v>
      </c>
      <c r="H98" s="34" t="n">
        <f aca="false">SUM(H81:H97)</f>
        <v>137928.07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0.187559322900474</v>
      </c>
      <c r="H99" s="31" t="n">
        <f aca="false">H98/D98</f>
        <v>0.812440677099526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479.53</v>
      </c>
      <c r="F103" s="33" t="n">
        <v>89.94</v>
      </c>
      <c r="H103" s="33" t="n">
        <v>389.59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142694.3</v>
      </c>
      <c r="F104" s="33" t="n">
        <v>26763.65</v>
      </c>
      <c r="H104" s="33" t="n">
        <v>115930.65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8865.4</v>
      </c>
      <c r="F105" s="33" t="n">
        <v>1662.79</v>
      </c>
      <c r="H105" s="33" t="n">
        <v>7202.61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17730.79</v>
      </c>
      <c r="F106" s="33" t="n">
        <v>3325.57</v>
      </c>
      <c r="H106" s="33" t="n">
        <v>14405.22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169770.02</v>
      </c>
      <c r="F107" s="34" t="n">
        <f aca="false">SUM(F103:F106)</f>
        <v>31841.95</v>
      </c>
      <c r="H107" s="34" t="n">
        <f aca="false">SUM(H103:H106)</f>
        <v>137928.07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201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479.53</v>
      </c>
      <c r="E10" s="24" t="n">
        <v>0</v>
      </c>
      <c r="F10" s="24" t="n">
        <v>0</v>
      </c>
      <c r="G10" s="24" t="n">
        <v>29.03</v>
      </c>
      <c r="H10" s="24" t="n">
        <v>11.97</v>
      </c>
      <c r="I10" s="24" t="n">
        <f aca="false">G10+H10</f>
        <v>41</v>
      </c>
      <c r="J10" s="24" t="n">
        <f aca="false">D10-I10</f>
        <v>438.53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142694.3</v>
      </c>
      <c r="E11" s="24" t="n">
        <v>0</v>
      </c>
      <c r="F11" s="24" t="n">
        <v>0</v>
      </c>
      <c r="G11" s="24" t="n">
        <v>30709.29</v>
      </c>
      <c r="H11" s="24" t="n">
        <v>3355.37</v>
      </c>
      <c r="I11" s="24" t="n">
        <f aca="false">G11+H11</f>
        <v>34064.66</v>
      </c>
      <c r="J11" s="24" t="n">
        <f aca="false">D11-I11</f>
        <v>108629.64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8865.4</v>
      </c>
      <c r="E12" s="24" t="n">
        <v>0</v>
      </c>
      <c r="F12" s="24" t="n">
        <v>0</v>
      </c>
      <c r="G12" s="24" t="n">
        <v>8274.39</v>
      </c>
      <c r="H12" s="24" t="n">
        <v>0</v>
      </c>
      <c r="I12" s="24" t="n">
        <f aca="false">G12+H12</f>
        <v>8274.39</v>
      </c>
      <c r="J12" s="24" t="n">
        <f aca="false">D12-I12</f>
        <v>591.01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17730.79</v>
      </c>
      <c r="E13" s="24" t="n">
        <v>0</v>
      </c>
      <c r="F13" s="24" t="n">
        <v>0</v>
      </c>
      <c r="G13" s="24" t="n">
        <v>8532.2</v>
      </c>
      <c r="H13" s="24" t="n">
        <v>1046.12</v>
      </c>
      <c r="I13" s="24" t="n">
        <f aca="false">G13+H13</f>
        <v>9578.32</v>
      </c>
      <c r="J13" s="24" t="n">
        <f aca="false">D13-I13</f>
        <v>8152.47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169770.02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47544.91</v>
      </c>
      <c r="H14" s="28" t="n">
        <f aca="false">SUM(H10:H13)</f>
        <v>4413.46</v>
      </c>
      <c r="I14" s="28" t="n">
        <f aca="false">SUM(I10:I13)</f>
        <v>51958.37</v>
      </c>
      <c r="J14" s="28" t="n">
        <f aca="false">SUM(J10:J13)</f>
        <v>117811.65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89.94</v>
      </c>
      <c r="E18" s="24" t="n">
        <v>0</v>
      </c>
      <c r="F18" s="24" t="n">
        <v>89.94</v>
      </c>
      <c r="G18" s="24" t="n">
        <v>89.94</v>
      </c>
      <c r="H18" s="24" t="n">
        <v>0</v>
      </c>
      <c r="I18" s="24" t="n">
        <f aca="false">G18+H18</f>
        <v>89.94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389.59</v>
      </c>
      <c r="E19" s="24" t="n">
        <v>0</v>
      </c>
      <c r="F19" s="24" t="n">
        <v>0</v>
      </c>
      <c r="G19" s="24" t="n">
        <v>29.77</v>
      </c>
      <c r="H19" s="24" t="n">
        <v>12.99</v>
      </c>
      <c r="I19" s="24" t="n">
        <f aca="false">G19+H19</f>
        <v>42.76</v>
      </c>
      <c r="J19" s="24" t="n">
        <f aca="false">D19-I19</f>
        <v>346.83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26763.65</v>
      </c>
      <c r="E20" s="24" t="n">
        <v>0</v>
      </c>
      <c r="F20" s="24" t="n">
        <v>0</v>
      </c>
      <c r="G20" s="24" t="n">
        <v>26763.65</v>
      </c>
      <c r="H20" s="24" t="n">
        <v>0</v>
      </c>
      <c r="I20" s="24" t="n">
        <f aca="false">G20+H20</f>
        <v>26763.65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115930.65</v>
      </c>
      <c r="E21" s="24" t="n">
        <v>0</v>
      </c>
      <c r="F21" s="24" t="n">
        <v>0</v>
      </c>
      <c r="G21" s="24" t="n">
        <v>25601.32</v>
      </c>
      <c r="H21" s="24" t="n">
        <v>3864.35</v>
      </c>
      <c r="I21" s="24" t="n">
        <f aca="false">G21+H21</f>
        <v>29465.67</v>
      </c>
      <c r="J21" s="24" t="n">
        <f aca="false">D21-I21</f>
        <v>86464.98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1662.79</v>
      </c>
      <c r="E22" s="24" t="n">
        <v>0</v>
      </c>
      <c r="F22" s="24" t="n">
        <v>0</v>
      </c>
      <c r="G22" s="24" t="n">
        <v>1662.79</v>
      </c>
      <c r="H22" s="24" t="n">
        <v>0</v>
      </c>
      <c r="I22" s="24" t="n">
        <f aca="false">G22+H22</f>
        <v>1662.79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7202.61</v>
      </c>
      <c r="E23" s="24" t="n">
        <v>0</v>
      </c>
      <c r="F23" s="24" t="n">
        <v>0</v>
      </c>
      <c r="G23" s="24" t="n">
        <v>1590.59</v>
      </c>
      <c r="H23" s="24" t="n">
        <v>240.09</v>
      </c>
      <c r="I23" s="24" t="n">
        <f aca="false">G23+H23</f>
        <v>1830.68</v>
      </c>
      <c r="J23" s="24" t="n">
        <f aca="false">D23-I23</f>
        <v>5371.93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3325.57</v>
      </c>
      <c r="E24" s="24" t="n">
        <v>0</v>
      </c>
      <c r="F24" s="24" t="n">
        <v>0</v>
      </c>
      <c r="G24" s="24" t="n">
        <v>3325.57</v>
      </c>
      <c r="H24" s="24" t="n">
        <v>0</v>
      </c>
      <c r="I24" s="24" t="n">
        <f aca="false">G24+H24</f>
        <v>3325.57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14405.22</v>
      </c>
      <c r="E25" s="24" t="n">
        <v>0</v>
      </c>
      <c r="F25" s="24" t="n">
        <v>0</v>
      </c>
      <c r="G25" s="24" t="n">
        <v>3181.13</v>
      </c>
      <c r="H25" s="24" t="n">
        <v>480.17</v>
      </c>
      <c r="I25" s="24" t="n">
        <f aca="false">G25+H25</f>
        <v>3661.3</v>
      </c>
      <c r="J25" s="24" t="n">
        <f aca="false">D25-I25</f>
        <v>10743.92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169770.02</v>
      </c>
      <c r="E26" s="28" t="n">
        <f aca="false">SUM(E18:E25)</f>
        <v>0</v>
      </c>
      <c r="F26" s="28" t="n">
        <f aca="false">SUM(F18:F25)</f>
        <v>89.94</v>
      </c>
      <c r="G26" s="28" t="n">
        <f aca="false">SUM(G18:G25)</f>
        <v>62244.76</v>
      </c>
      <c r="H26" s="28" t="n">
        <f aca="false">SUM(H18:H25)</f>
        <v>4597.6</v>
      </c>
      <c r="I26" s="28" t="n">
        <f aca="false">SUM(I18:I25)</f>
        <v>66842.36</v>
      </c>
      <c r="J26" s="28" t="n">
        <f aca="false">SUM(J18:J25)</f>
        <v>102927.66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51958.37</v>
      </c>
    </row>
    <row r="30" customFormat="false" ht="15" hidden="false" customHeight="false" outlineLevel="0" collapsed="false">
      <c r="B30" s="6" t="s">
        <v>101</v>
      </c>
      <c r="D30" s="7" t="n">
        <f aca="false">I26</f>
        <v>66842.36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-14883.99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479.53</v>
      </c>
      <c r="E36" s="24" t="n">
        <v>0</v>
      </c>
      <c r="F36" s="24" t="n">
        <v>0</v>
      </c>
      <c r="G36" s="24" t="n">
        <v>29.03</v>
      </c>
      <c r="H36" s="24" t="n">
        <v>11.97</v>
      </c>
      <c r="I36" s="24" t="n">
        <f aca="false">G36+H36</f>
        <v>41</v>
      </c>
      <c r="J36" s="24" t="n">
        <f aca="false">D36-I36</f>
        <v>438.53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142694.3</v>
      </c>
      <c r="E37" s="24" t="n">
        <v>0</v>
      </c>
      <c r="F37" s="24" t="n">
        <v>0</v>
      </c>
      <c r="G37" s="24" t="n">
        <v>30709.29</v>
      </c>
      <c r="H37" s="24" t="n">
        <v>3355.37</v>
      </c>
      <c r="I37" s="24" t="n">
        <f aca="false">G37+H37</f>
        <v>34064.66</v>
      </c>
      <c r="J37" s="24" t="n">
        <f aca="false">D37-I37</f>
        <v>108629.64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8865.4</v>
      </c>
      <c r="E38" s="24" t="n">
        <v>0</v>
      </c>
      <c r="F38" s="24" t="n">
        <v>0</v>
      </c>
      <c r="G38" s="24" t="n">
        <v>8274.39</v>
      </c>
      <c r="H38" s="24" t="n">
        <v>0</v>
      </c>
      <c r="I38" s="24" t="n">
        <f aca="false">G38+H38</f>
        <v>8274.39</v>
      </c>
      <c r="J38" s="24" t="n">
        <f aca="false">D38-I38</f>
        <v>591.01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17730.79</v>
      </c>
      <c r="E39" s="24" t="n">
        <v>0</v>
      </c>
      <c r="F39" s="24" t="n">
        <v>0</v>
      </c>
      <c r="G39" s="24" t="n">
        <v>8532.2</v>
      </c>
      <c r="H39" s="24" t="n">
        <v>1046.12</v>
      </c>
      <c r="I39" s="24" t="n">
        <f aca="false">G39+H39</f>
        <v>9578.32</v>
      </c>
      <c r="J39" s="24" t="n">
        <f aca="false">D39-I39</f>
        <v>8152.47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169770.02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47544.91</v>
      </c>
      <c r="H40" s="28" t="n">
        <f aca="false">SUM(H36:H39)</f>
        <v>4413.46</v>
      </c>
      <c r="I40" s="28" t="n">
        <f aca="false">SUM(I36:I39)</f>
        <v>51958.37</v>
      </c>
      <c r="J40" s="28" t="n">
        <f aca="false">SUM(J36:J39)</f>
        <v>117811.65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89.94</v>
      </c>
      <c r="E44" s="24" t="n">
        <v>0</v>
      </c>
      <c r="F44" s="24" t="n">
        <v>89.94</v>
      </c>
      <c r="G44" s="24" t="n">
        <v>89.94</v>
      </c>
      <c r="H44" s="24" t="n">
        <v>0</v>
      </c>
      <c r="I44" s="24" t="n">
        <f aca="false">G44+H44</f>
        <v>89.94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389.59</v>
      </c>
      <c r="E45" s="24" t="n">
        <v>0</v>
      </c>
      <c r="F45" s="24" t="n">
        <v>0</v>
      </c>
      <c r="G45" s="24" t="n">
        <v>29.77</v>
      </c>
      <c r="H45" s="24" t="n">
        <v>12.99</v>
      </c>
      <c r="I45" s="24" t="n">
        <f aca="false">G45+H45</f>
        <v>42.76</v>
      </c>
      <c r="J45" s="24" t="n">
        <f aca="false">D45-I45</f>
        <v>346.83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26763.65</v>
      </c>
      <c r="E46" s="24" t="n">
        <v>0</v>
      </c>
      <c r="F46" s="24" t="n">
        <v>0</v>
      </c>
      <c r="G46" s="24" t="n">
        <v>26763.65</v>
      </c>
      <c r="H46" s="24" t="n">
        <v>0</v>
      </c>
      <c r="I46" s="24" t="n">
        <f aca="false">G46+H46</f>
        <v>26763.65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115930.65</v>
      </c>
      <c r="E47" s="24" t="n">
        <v>0</v>
      </c>
      <c r="F47" s="24" t="n">
        <v>0</v>
      </c>
      <c r="G47" s="24" t="n">
        <v>25601.32</v>
      </c>
      <c r="H47" s="24" t="n">
        <v>3864.35</v>
      </c>
      <c r="I47" s="24" t="n">
        <f aca="false">G47+H47</f>
        <v>29465.67</v>
      </c>
      <c r="J47" s="24" t="n">
        <f aca="false">D47-I47</f>
        <v>86464.98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1662.79</v>
      </c>
      <c r="E48" s="24" t="n">
        <v>0</v>
      </c>
      <c r="F48" s="24" t="n">
        <v>0</v>
      </c>
      <c r="G48" s="24" t="n">
        <v>1662.79</v>
      </c>
      <c r="H48" s="24" t="n">
        <v>0</v>
      </c>
      <c r="I48" s="24" t="n">
        <f aca="false">G48+H48</f>
        <v>1662.79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7202.61</v>
      </c>
      <c r="E49" s="24" t="n">
        <v>0</v>
      </c>
      <c r="F49" s="24" t="n">
        <v>0</v>
      </c>
      <c r="G49" s="24" t="n">
        <v>1590.59</v>
      </c>
      <c r="H49" s="24" t="n">
        <v>240.09</v>
      </c>
      <c r="I49" s="24" t="n">
        <f aca="false">G49+H49</f>
        <v>1830.68</v>
      </c>
      <c r="J49" s="24" t="n">
        <f aca="false">D49-I49</f>
        <v>5371.93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3325.57</v>
      </c>
      <c r="E50" s="24" t="n">
        <v>0</v>
      </c>
      <c r="F50" s="24" t="n">
        <v>0</v>
      </c>
      <c r="G50" s="24" t="n">
        <v>3325.57</v>
      </c>
      <c r="H50" s="24" t="n">
        <v>0</v>
      </c>
      <c r="I50" s="24" t="n">
        <f aca="false">G50+H50</f>
        <v>3325.57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14405.22</v>
      </c>
      <c r="E51" s="24" t="n">
        <v>0</v>
      </c>
      <c r="F51" s="24" t="n">
        <v>0</v>
      </c>
      <c r="G51" s="24" t="n">
        <v>3181.13</v>
      </c>
      <c r="H51" s="24" t="n">
        <v>480.17</v>
      </c>
      <c r="I51" s="24" t="n">
        <f aca="false">G51+H51</f>
        <v>3661.3</v>
      </c>
      <c r="J51" s="24" t="n">
        <f aca="false">D51-I51</f>
        <v>10743.92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169770.02</v>
      </c>
      <c r="E52" s="28" t="n">
        <f aca="false">SUM(E44:E51)</f>
        <v>0</v>
      </c>
      <c r="F52" s="28" t="n">
        <f aca="false">SUM(F44:F51)</f>
        <v>89.94</v>
      </c>
      <c r="G52" s="28" t="n">
        <f aca="false">SUM(G44:G51)</f>
        <v>62244.76</v>
      </c>
      <c r="H52" s="28" t="n">
        <f aca="false">SUM(H44:H51)</f>
        <v>4597.6</v>
      </c>
      <c r="I52" s="28" t="n">
        <f aca="false">SUM(I44:I51)</f>
        <v>66842.36</v>
      </c>
      <c r="J52" s="28" t="n">
        <f aca="false">SUM(J44:J51)</f>
        <v>102927.66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51958.37</v>
      </c>
    </row>
    <row r="56" customFormat="false" ht="15" hidden="false" customHeight="false" outlineLevel="0" collapsed="false">
      <c r="B56" s="6" t="s">
        <v>101</v>
      </c>
      <c r="D56" s="7" t="n">
        <f aca="false">I52</f>
        <v>66842.36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-14883.99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169770.02</v>
      </c>
    </row>
    <row r="61" customFormat="false" ht="15" hidden="false" customHeight="false" outlineLevel="0" collapsed="false">
      <c r="B61" s="6" t="s">
        <v>149</v>
      </c>
      <c r="D61" s="7" t="n">
        <f aca="false">F98</f>
        <v>31841.95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0.187559322900474</v>
      </c>
    </row>
    <row r="63" customFormat="false" ht="15" hidden="false" customHeight="false" outlineLevel="0" collapsed="false">
      <c r="B63" s="6" t="s">
        <v>151</v>
      </c>
      <c r="D63" s="7" t="n">
        <f aca="false">H98</f>
        <v>137928.07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0.812440677099526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7800.47</v>
      </c>
      <c r="F69" s="33" t="n">
        <v>7800.47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3748.91</v>
      </c>
      <c r="F70" s="33" t="n">
        <v>3748.91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12139.37</v>
      </c>
      <c r="F71" s="33" t="n">
        <v>12139.37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1142.58</v>
      </c>
      <c r="F72" s="33" t="n">
        <v>1142.58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1052.34</v>
      </c>
      <c r="F75" s="33" t="n">
        <v>1052.34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5090</v>
      </c>
      <c r="H81" s="33" t="n">
        <v>5090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8538.11</v>
      </c>
      <c r="H82" s="33" t="n">
        <v>8538.11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11754.94</v>
      </c>
      <c r="H83" s="33" t="n">
        <v>11754.94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11527.95</v>
      </c>
      <c r="H84" s="33" t="n">
        <v>11527.95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10218.5</v>
      </c>
      <c r="H85" s="33" t="n">
        <v>10218.5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775.83</v>
      </c>
      <c r="H86" s="33" t="n">
        <v>775.83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22829.89</v>
      </c>
      <c r="H87" s="33" t="n">
        <v>22829.89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5886.42</v>
      </c>
      <c r="H88" s="33" t="n">
        <v>5886.42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5036.01</v>
      </c>
      <c r="H89" s="33" t="n">
        <v>5036.01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5406.4</v>
      </c>
      <c r="H90" s="33" t="n">
        <v>5406.4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16464.28</v>
      </c>
      <c r="H91" s="33" t="n">
        <v>16464.28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5938.8</v>
      </c>
      <c r="H92" s="33" t="n">
        <v>5938.8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1234.18</v>
      </c>
      <c r="H93" s="33" t="n">
        <v>1234.18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20850.04</v>
      </c>
      <c r="H94" s="33" t="n">
        <v>20850.04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169770.02</v>
      </c>
      <c r="F98" s="34" t="n">
        <f aca="false">SUM(F69:F79)</f>
        <v>31841.95</v>
      </c>
      <c r="H98" s="34" t="n">
        <f aca="false">SUM(H81:H97)</f>
        <v>137928.07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0.187559322900474</v>
      </c>
      <c r="H99" s="31" t="n">
        <f aca="false">H98/D98</f>
        <v>0.812440677099526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479.53</v>
      </c>
      <c r="F103" s="33" t="n">
        <v>89.94</v>
      </c>
      <c r="H103" s="33" t="n">
        <v>389.59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142694.3</v>
      </c>
      <c r="F104" s="33" t="n">
        <v>26763.65</v>
      </c>
      <c r="H104" s="33" t="n">
        <v>115930.65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8865.4</v>
      </c>
      <c r="F105" s="33" t="n">
        <v>1662.79</v>
      </c>
      <c r="H105" s="33" t="n">
        <v>7202.61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17730.79</v>
      </c>
      <c r="F106" s="33" t="n">
        <v>3325.57</v>
      </c>
      <c r="H106" s="33" t="n">
        <v>14405.22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169770.02</v>
      </c>
      <c r="F107" s="34" t="n">
        <f aca="false">SUM(F103:F106)</f>
        <v>31841.95</v>
      </c>
      <c r="H107" s="34" t="n">
        <f aca="false">SUM(H103:H106)</f>
        <v>137928.07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202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407.79</v>
      </c>
      <c r="E10" s="24" t="n">
        <v>0</v>
      </c>
      <c r="F10" s="24" t="n">
        <v>0</v>
      </c>
      <c r="G10" s="24" t="n">
        <v>24.69</v>
      </c>
      <c r="H10" s="24" t="n">
        <v>10.18</v>
      </c>
      <c r="I10" s="24" t="n">
        <f aca="false">G10+H10</f>
        <v>34.87</v>
      </c>
      <c r="J10" s="24" t="n">
        <f aca="false">D10-I10</f>
        <v>372.92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121347</v>
      </c>
      <c r="E11" s="24" t="n">
        <v>0</v>
      </c>
      <c r="F11" s="24" t="n">
        <v>0</v>
      </c>
      <c r="G11" s="24" t="n">
        <v>26115.13</v>
      </c>
      <c r="H11" s="24" t="n">
        <v>2853.41</v>
      </c>
      <c r="I11" s="24" t="n">
        <f aca="false">G11+H11</f>
        <v>28968.54</v>
      </c>
      <c r="J11" s="24" t="n">
        <f aca="false">D11-I11</f>
        <v>92378.46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7539.11</v>
      </c>
      <c r="E12" s="24" t="n">
        <v>0</v>
      </c>
      <c r="F12" s="24" t="n">
        <v>0</v>
      </c>
      <c r="G12" s="24" t="n">
        <v>7036.52</v>
      </c>
      <c r="H12" s="24" t="n">
        <v>0</v>
      </c>
      <c r="I12" s="24" t="n">
        <f aca="false">G12+H12</f>
        <v>7036.52</v>
      </c>
      <c r="J12" s="24" t="n">
        <f aca="false">D12-I12</f>
        <v>502.589999999999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15078.24</v>
      </c>
      <c r="E13" s="24" t="n">
        <v>0</v>
      </c>
      <c r="F13" s="24" t="n">
        <v>0</v>
      </c>
      <c r="G13" s="24" t="n">
        <v>7255.76</v>
      </c>
      <c r="H13" s="24" t="n">
        <v>889.62</v>
      </c>
      <c r="I13" s="24" t="n">
        <f aca="false">G13+H13</f>
        <v>8145.38</v>
      </c>
      <c r="J13" s="24" t="n">
        <f aca="false">D13-I13</f>
        <v>6932.86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144372.14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40432.1</v>
      </c>
      <c r="H14" s="28" t="n">
        <f aca="false">SUM(H10:H13)</f>
        <v>3753.21</v>
      </c>
      <c r="I14" s="28" t="n">
        <f aca="false">SUM(I10:I13)</f>
        <v>44185.31</v>
      </c>
      <c r="J14" s="28" t="n">
        <f aca="false">SUM(J10:J13)</f>
        <v>100186.83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77.21</v>
      </c>
      <c r="E18" s="24" t="n">
        <v>0</v>
      </c>
      <c r="F18" s="24" t="n">
        <v>77.21</v>
      </c>
      <c r="G18" s="24" t="n">
        <v>77.21</v>
      </c>
      <c r="H18" s="24" t="n">
        <v>0</v>
      </c>
      <c r="I18" s="24" t="n">
        <f aca="false">G18+H18</f>
        <v>77.21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330.58</v>
      </c>
      <c r="E19" s="24" t="n">
        <v>0</v>
      </c>
      <c r="F19" s="24" t="n">
        <v>0</v>
      </c>
      <c r="G19" s="24" t="n">
        <v>25.25</v>
      </c>
      <c r="H19" s="24" t="n">
        <v>11.02</v>
      </c>
      <c r="I19" s="24" t="n">
        <f aca="false">G19+H19</f>
        <v>36.27</v>
      </c>
      <c r="J19" s="24" t="n">
        <f aca="false">D19-I19</f>
        <v>294.31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22974.45</v>
      </c>
      <c r="E20" s="24" t="n">
        <v>0</v>
      </c>
      <c r="F20" s="24" t="n">
        <v>0</v>
      </c>
      <c r="G20" s="24" t="n">
        <v>22974.45</v>
      </c>
      <c r="H20" s="24" t="n">
        <v>0</v>
      </c>
      <c r="I20" s="24" t="n">
        <f aca="false">G20+H20</f>
        <v>22974.45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98372.55</v>
      </c>
      <c r="E21" s="24" t="n">
        <v>0</v>
      </c>
      <c r="F21" s="24" t="n">
        <v>0</v>
      </c>
      <c r="G21" s="24" t="n">
        <v>21723.97</v>
      </c>
      <c r="H21" s="24" t="n">
        <v>3279.09</v>
      </c>
      <c r="I21" s="24" t="n">
        <f aca="false">G21+H21</f>
        <v>25003.06</v>
      </c>
      <c r="J21" s="24" t="n">
        <f aca="false">D21-I21</f>
        <v>73369.49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1427.37</v>
      </c>
      <c r="E22" s="24" t="n">
        <v>0</v>
      </c>
      <c r="F22" s="24" t="n">
        <v>0</v>
      </c>
      <c r="G22" s="24" t="n">
        <v>1427.37</v>
      </c>
      <c r="H22" s="24" t="n">
        <v>0</v>
      </c>
      <c r="I22" s="24" t="n">
        <f aca="false">G22+H22</f>
        <v>1427.37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6111.74</v>
      </c>
      <c r="E23" s="24" t="n">
        <v>0</v>
      </c>
      <c r="F23" s="24" t="n">
        <v>0</v>
      </c>
      <c r="G23" s="24" t="n">
        <v>1349.65</v>
      </c>
      <c r="H23" s="24" t="n">
        <v>203.72</v>
      </c>
      <c r="I23" s="24" t="n">
        <f aca="false">G23+H23</f>
        <v>1553.37</v>
      </c>
      <c r="J23" s="24" t="n">
        <f aca="false">D23-I23</f>
        <v>4558.37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2854.74</v>
      </c>
      <c r="E24" s="24" t="n">
        <v>0</v>
      </c>
      <c r="F24" s="24" t="n">
        <v>0</v>
      </c>
      <c r="G24" s="24" t="n">
        <v>2854.74</v>
      </c>
      <c r="H24" s="24" t="n">
        <v>0</v>
      </c>
      <c r="I24" s="24" t="n">
        <f aca="false">G24+H24</f>
        <v>2854.74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12223.5</v>
      </c>
      <c r="E25" s="24" t="n">
        <v>0</v>
      </c>
      <c r="F25" s="24" t="n">
        <v>0</v>
      </c>
      <c r="G25" s="24" t="n">
        <v>2699.36</v>
      </c>
      <c r="H25" s="24" t="n">
        <v>407.45</v>
      </c>
      <c r="I25" s="24" t="n">
        <f aca="false">G25+H25</f>
        <v>3106.81</v>
      </c>
      <c r="J25" s="24" t="n">
        <f aca="false">D25-I25</f>
        <v>9116.69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144372.14</v>
      </c>
      <c r="E26" s="28" t="n">
        <f aca="false">SUM(E18:E25)</f>
        <v>0</v>
      </c>
      <c r="F26" s="28" t="n">
        <f aca="false">SUM(F18:F25)</f>
        <v>77.21</v>
      </c>
      <c r="G26" s="28" t="n">
        <f aca="false">SUM(G18:G25)</f>
        <v>53132</v>
      </c>
      <c r="H26" s="28" t="n">
        <f aca="false">SUM(H18:H25)</f>
        <v>3901.28</v>
      </c>
      <c r="I26" s="28" t="n">
        <f aca="false">SUM(I18:I25)</f>
        <v>57033.28</v>
      </c>
      <c r="J26" s="28" t="n">
        <f aca="false">SUM(J18:J25)</f>
        <v>87338.86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44185.31</v>
      </c>
    </row>
    <row r="30" customFormat="false" ht="15" hidden="false" customHeight="false" outlineLevel="0" collapsed="false">
      <c r="B30" s="6" t="s">
        <v>101</v>
      </c>
      <c r="D30" s="7" t="n">
        <f aca="false">I26</f>
        <v>57033.28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-12847.97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407.79</v>
      </c>
      <c r="E36" s="24" t="n">
        <v>0</v>
      </c>
      <c r="F36" s="24" t="n">
        <v>0</v>
      </c>
      <c r="G36" s="24" t="n">
        <v>24.69</v>
      </c>
      <c r="H36" s="24" t="n">
        <v>10.18</v>
      </c>
      <c r="I36" s="24" t="n">
        <f aca="false">G36+H36</f>
        <v>34.87</v>
      </c>
      <c r="J36" s="24" t="n">
        <f aca="false">D36-I36</f>
        <v>372.92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121347</v>
      </c>
      <c r="E37" s="24" t="n">
        <v>0</v>
      </c>
      <c r="F37" s="24" t="n">
        <v>0</v>
      </c>
      <c r="G37" s="24" t="n">
        <v>26115.13</v>
      </c>
      <c r="H37" s="24" t="n">
        <v>2853.41</v>
      </c>
      <c r="I37" s="24" t="n">
        <f aca="false">G37+H37</f>
        <v>28968.54</v>
      </c>
      <c r="J37" s="24" t="n">
        <f aca="false">D37-I37</f>
        <v>92378.46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7539.11</v>
      </c>
      <c r="E38" s="24" t="n">
        <v>0</v>
      </c>
      <c r="F38" s="24" t="n">
        <v>0</v>
      </c>
      <c r="G38" s="24" t="n">
        <v>7036.52</v>
      </c>
      <c r="H38" s="24" t="n">
        <v>0</v>
      </c>
      <c r="I38" s="24" t="n">
        <f aca="false">G38+H38</f>
        <v>7036.52</v>
      </c>
      <c r="J38" s="24" t="n">
        <f aca="false">D38-I38</f>
        <v>502.589999999999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15078.24</v>
      </c>
      <c r="E39" s="24" t="n">
        <v>0</v>
      </c>
      <c r="F39" s="24" t="n">
        <v>0</v>
      </c>
      <c r="G39" s="24" t="n">
        <v>7255.76</v>
      </c>
      <c r="H39" s="24" t="n">
        <v>889.62</v>
      </c>
      <c r="I39" s="24" t="n">
        <f aca="false">G39+H39</f>
        <v>8145.38</v>
      </c>
      <c r="J39" s="24" t="n">
        <f aca="false">D39-I39</f>
        <v>6932.86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144372.14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40432.1</v>
      </c>
      <c r="H40" s="28" t="n">
        <f aca="false">SUM(H36:H39)</f>
        <v>3753.21</v>
      </c>
      <c r="I40" s="28" t="n">
        <f aca="false">SUM(I36:I39)</f>
        <v>44185.31</v>
      </c>
      <c r="J40" s="28" t="n">
        <f aca="false">SUM(J36:J39)</f>
        <v>100186.83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77.21</v>
      </c>
      <c r="E44" s="24" t="n">
        <v>0</v>
      </c>
      <c r="F44" s="24" t="n">
        <v>77.21</v>
      </c>
      <c r="G44" s="24" t="n">
        <v>77.21</v>
      </c>
      <c r="H44" s="24" t="n">
        <v>0</v>
      </c>
      <c r="I44" s="24" t="n">
        <f aca="false">G44+H44</f>
        <v>77.21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330.58</v>
      </c>
      <c r="E45" s="24" t="n">
        <v>0</v>
      </c>
      <c r="F45" s="24" t="n">
        <v>0</v>
      </c>
      <c r="G45" s="24" t="n">
        <v>25.25</v>
      </c>
      <c r="H45" s="24" t="n">
        <v>11.02</v>
      </c>
      <c r="I45" s="24" t="n">
        <f aca="false">G45+H45</f>
        <v>36.27</v>
      </c>
      <c r="J45" s="24" t="n">
        <f aca="false">D45-I45</f>
        <v>294.31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22974.45</v>
      </c>
      <c r="E46" s="24" t="n">
        <v>0</v>
      </c>
      <c r="F46" s="24" t="n">
        <v>0</v>
      </c>
      <c r="G46" s="24" t="n">
        <v>22974.45</v>
      </c>
      <c r="H46" s="24" t="n">
        <v>0</v>
      </c>
      <c r="I46" s="24" t="n">
        <f aca="false">G46+H46</f>
        <v>22974.45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98372.55</v>
      </c>
      <c r="E47" s="24" t="n">
        <v>0</v>
      </c>
      <c r="F47" s="24" t="n">
        <v>0</v>
      </c>
      <c r="G47" s="24" t="n">
        <v>21723.97</v>
      </c>
      <c r="H47" s="24" t="n">
        <v>3279.09</v>
      </c>
      <c r="I47" s="24" t="n">
        <f aca="false">G47+H47</f>
        <v>25003.06</v>
      </c>
      <c r="J47" s="24" t="n">
        <f aca="false">D47-I47</f>
        <v>73369.49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1427.37</v>
      </c>
      <c r="E48" s="24" t="n">
        <v>0</v>
      </c>
      <c r="F48" s="24" t="n">
        <v>0</v>
      </c>
      <c r="G48" s="24" t="n">
        <v>1427.37</v>
      </c>
      <c r="H48" s="24" t="n">
        <v>0</v>
      </c>
      <c r="I48" s="24" t="n">
        <f aca="false">G48+H48</f>
        <v>1427.37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6111.74</v>
      </c>
      <c r="E49" s="24" t="n">
        <v>0</v>
      </c>
      <c r="F49" s="24" t="n">
        <v>0</v>
      </c>
      <c r="G49" s="24" t="n">
        <v>1349.65</v>
      </c>
      <c r="H49" s="24" t="n">
        <v>203.72</v>
      </c>
      <c r="I49" s="24" t="n">
        <f aca="false">G49+H49</f>
        <v>1553.37</v>
      </c>
      <c r="J49" s="24" t="n">
        <f aca="false">D49-I49</f>
        <v>4558.37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2854.74</v>
      </c>
      <c r="E50" s="24" t="n">
        <v>0</v>
      </c>
      <c r="F50" s="24" t="n">
        <v>0</v>
      </c>
      <c r="G50" s="24" t="n">
        <v>2854.74</v>
      </c>
      <c r="H50" s="24" t="n">
        <v>0</v>
      </c>
      <c r="I50" s="24" t="n">
        <f aca="false">G50+H50</f>
        <v>2854.74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12223.5</v>
      </c>
      <c r="E51" s="24" t="n">
        <v>0</v>
      </c>
      <c r="F51" s="24" t="n">
        <v>0</v>
      </c>
      <c r="G51" s="24" t="n">
        <v>2699.36</v>
      </c>
      <c r="H51" s="24" t="n">
        <v>407.45</v>
      </c>
      <c r="I51" s="24" t="n">
        <f aca="false">G51+H51</f>
        <v>3106.81</v>
      </c>
      <c r="J51" s="24" t="n">
        <f aca="false">D51-I51</f>
        <v>9116.69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144372.14</v>
      </c>
      <c r="E52" s="28" t="n">
        <f aca="false">SUM(E44:E51)</f>
        <v>0</v>
      </c>
      <c r="F52" s="28" t="n">
        <f aca="false">SUM(F44:F51)</f>
        <v>77.21</v>
      </c>
      <c r="G52" s="28" t="n">
        <f aca="false">SUM(G44:G51)</f>
        <v>53132</v>
      </c>
      <c r="H52" s="28" t="n">
        <f aca="false">SUM(H44:H51)</f>
        <v>3901.28</v>
      </c>
      <c r="I52" s="28" t="n">
        <f aca="false">SUM(I44:I51)</f>
        <v>57033.28</v>
      </c>
      <c r="J52" s="28" t="n">
        <f aca="false">SUM(J44:J51)</f>
        <v>87338.86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44185.31</v>
      </c>
    </row>
    <row r="56" customFormat="false" ht="15" hidden="false" customHeight="false" outlineLevel="0" collapsed="false">
      <c r="B56" s="6" t="s">
        <v>101</v>
      </c>
      <c r="D56" s="7" t="n">
        <f aca="false">I52</f>
        <v>57033.28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-12847.97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144372.14</v>
      </c>
    </row>
    <row r="61" customFormat="false" ht="15" hidden="false" customHeight="false" outlineLevel="0" collapsed="false">
      <c r="B61" s="6" t="s">
        <v>149</v>
      </c>
      <c r="D61" s="7" t="n">
        <f aca="false">F98</f>
        <v>27333.77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0.189328564361517</v>
      </c>
    </row>
    <row r="63" customFormat="false" ht="15" hidden="false" customHeight="false" outlineLevel="0" collapsed="false">
      <c r="B63" s="6" t="s">
        <v>151</v>
      </c>
      <c r="D63" s="7" t="n">
        <f aca="false">H98</f>
        <v>117038.37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0.810671435638483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6312.84</v>
      </c>
      <c r="F69" s="33" t="n">
        <v>6312.84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3318.29</v>
      </c>
      <c r="F70" s="33" t="n">
        <v>3318.29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9989.69</v>
      </c>
      <c r="F71" s="33" t="n">
        <v>9989.69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888.68</v>
      </c>
      <c r="F72" s="33" t="n">
        <v>888.68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865.99</v>
      </c>
      <c r="F75" s="33" t="n">
        <v>865.99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4400.88</v>
      </c>
      <c r="H81" s="33" t="n">
        <v>4400.88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7119.64</v>
      </c>
      <c r="H82" s="33" t="n">
        <v>7119.64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9673.34</v>
      </c>
      <c r="H83" s="33" t="n">
        <v>9673.34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9260.86</v>
      </c>
      <c r="H84" s="33" t="n">
        <v>9260.86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8408.98</v>
      </c>
      <c r="H85" s="33" t="n">
        <v>8408.98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553.55</v>
      </c>
      <c r="H86" s="33" t="n">
        <v>553.55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20503.5</v>
      </c>
      <c r="H87" s="33" t="n">
        <v>20503.5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5245.53</v>
      </c>
      <c r="H88" s="33" t="n">
        <v>5245.53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3916.9</v>
      </c>
      <c r="H89" s="33" t="n">
        <v>3916.9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4449.02</v>
      </c>
      <c r="H90" s="33" t="n">
        <v>4449.02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14615.82</v>
      </c>
      <c r="H91" s="33" t="n">
        <v>14615.82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5177.37</v>
      </c>
      <c r="H92" s="33" t="n">
        <v>5177.37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1147.32</v>
      </c>
      <c r="H93" s="33" t="n">
        <v>1147.32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17881.13</v>
      </c>
      <c r="H94" s="33" t="n">
        <v>17881.13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1241.45</v>
      </c>
      <c r="H96" s="33" t="n">
        <v>1241.45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450.76</v>
      </c>
      <c r="H97" s="33" t="n">
        <v>450.76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144372.14</v>
      </c>
      <c r="F98" s="34" t="n">
        <f aca="false">SUM(F69:F79)</f>
        <v>27333.77</v>
      </c>
      <c r="H98" s="34" t="n">
        <f aca="false">SUM(H81:H97)</f>
        <v>117038.37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0.189328564361517</v>
      </c>
      <c r="H99" s="31" t="n">
        <f aca="false">H98/D98</f>
        <v>0.810671435638483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407.79</v>
      </c>
      <c r="F103" s="33" t="n">
        <v>77.21</v>
      </c>
      <c r="H103" s="33" t="n">
        <v>330.58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121347</v>
      </c>
      <c r="F104" s="33" t="n">
        <v>22974.45</v>
      </c>
      <c r="H104" s="33" t="n">
        <v>98372.55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7539.11</v>
      </c>
      <c r="F105" s="33" t="n">
        <v>1427.37</v>
      </c>
      <c r="H105" s="33" t="n">
        <v>6111.74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15078.24</v>
      </c>
      <c r="F106" s="33" t="n">
        <v>2854.74</v>
      </c>
      <c r="H106" s="33" t="n">
        <v>12223.5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144372.14</v>
      </c>
      <c r="F107" s="34" t="n">
        <f aca="false">SUM(F103:F106)</f>
        <v>27333.77</v>
      </c>
      <c r="H107" s="34" t="n">
        <f aca="false">SUM(H103:H106)</f>
        <v>117038.37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203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316.3</v>
      </c>
      <c r="E10" s="24" t="n">
        <v>0</v>
      </c>
      <c r="F10" s="24" t="n">
        <v>0</v>
      </c>
      <c r="G10" s="24" t="n">
        <v>19.15</v>
      </c>
      <c r="H10" s="24" t="n">
        <v>7.89</v>
      </c>
      <c r="I10" s="24" t="n">
        <f aca="false">G10+H10</f>
        <v>27.04</v>
      </c>
      <c r="J10" s="24" t="n">
        <f aca="false">D10-I10</f>
        <v>289.26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94123.92</v>
      </c>
      <c r="E11" s="24" t="n">
        <v>0</v>
      </c>
      <c r="F11" s="24" t="n">
        <v>0</v>
      </c>
      <c r="G11" s="24" t="n">
        <v>20256.43</v>
      </c>
      <c r="H11" s="24" t="n">
        <v>2213.27</v>
      </c>
      <c r="I11" s="24" t="n">
        <f aca="false">G11+H11</f>
        <v>22469.7</v>
      </c>
      <c r="J11" s="24" t="n">
        <f aca="false">D11-I11</f>
        <v>71654.22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5847.79</v>
      </c>
      <c r="E12" s="24" t="n">
        <v>0</v>
      </c>
      <c r="F12" s="24" t="n">
        <v>0</v>
      </c>
      <c r="G12" s="24" t="n">
        <v>5457.95</v>
      </c>
      <c r="H12" s="24" t="n">
        <v>0</v>
      </c>
      <c r="I12" s="24" t="n">
        <f aca="false">G12+H12</f>
        <v>5457.95</v>
      </c>
      <c r="J12" s="24" t="n">
        <f aca="false">D12-I12</f>
        <v>389.84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11695.57</v>
      </c>
      <c r="E13" s="24" t="n">
        <v>0</v>
      </c>
      <c r="F13" s="24" t="n">
        <v>0</v>
      </c>
      <c r="G13" s="24" t="n">
        <v>5628.01</v>
      </c>
      <c r="H13" s="24" t="n">
        <v>690.03</v>
      </c>
      <c r="I13" s="24" t="n">
        <f aca="false">G13+H13</f>
        <v>6318.04</v>
      </c>
      <c r="J13" s="24" t="n">
        <f aca="false">D13-I13</f>
        <v>5377.53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111983.58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31361.54</v>
      </c>
      <c r="H14" s="28" t="n">
        <f aca="false">SUM(H10:H13)</f>
        <v>2911.19</v>
      </c>
      <c r="I14" s="28" t="n">
        <f aca="false">SUM(I10:I13)</f>
        <v>34272.73</v>
      </c>
      <c r="J14" s="28" t="n">
        <f aca="false">SUM(J10:J13)</f>
        <v>77710.85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63.33</v>
      </c>
      <c r="E18" s="24" t="n">
        <v>0</v>
      </c>
      <c r="F18" s="24" t="n">
        <v>63.33</v>
      </c>
      <c r="G18" s="24" t="n">
        <v>63.33</v>
      </c>
      <c r="H18" s="24" t="n">
        <v>0</v>
      </c>
      <c r="I18" s="24" t="n">
        <f aca="false">G18+H18</f>
        <v>63.33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252.97</v>
      </c>
      <c r="E19" s="24" t="n">
        <v>0</v>
      </c>
      <c r="F19" s="24" t="n">
        <v>0</v>
      </c>
      <c r="G19" s="24" t="n">
        <v>19.32</v>
      </c>
      <c r="H19" s="24" t="n">
        <v>8.43</v>
      </c>
      <c r="I19" s="24" t="n">
        <f aca="false">G19+H19</f>
        <v>27.75</v>
      </c>
      <c r="J19" s="24" t="n">
        <f aca="false">D19-I19</f>
        <v>225.22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18845.76</v>
      </c>
      <c r="E20" s="24" t="n">
        <v>0</v>
      </c>
      <c r="F20" s="24" t="n">
        <v>0</v>
      </c>
      <c r="G20" s="24" t="n">
        <v>18845.76</v>
      </c>
      <c r="H20" s="24" t="n">
        <v>0</v>
      </c>
      <c r="I20" s="24" t="n">
        <f aca="false">G20+H20</f>
        <v>18845.76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75278.16</v>
      </c>
      <c r="E21" s="24" t="n">
        <v>0</v>
      </c>
      <c r="F21" s="24" t="n">
        <v>0</v>
      </c>
      <c r="G21" s="24" t="n">
        <v>16623.92</v>
      </c>
      <c r="H21" s="24" t="n">
        <v>2509.27</v>
      </c>
      <c r="I21" s="24" t="n">
        <f aca="false">G21+H21</f>
        <v>19133.19</v>
      </c>
      <c r="J21" s="24" t="n">
        <f aca="false">D21-I21</f>
        <v>56144.97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1170.86</v>
      </c>
      <c r="E22" s="24" t="n">
        <v>0</v>
      </c>
      <c r="F22" s="24" t="n">
        <v>0</v>
      </c>
      <c r="G22" s="24" t="n">
        <v>1170.86</v>
      </c>
      <c r="H22" s="24" t="n">
        <v>0</v>
      </c>
      <c r="I22" s="24" t="n">
        <f aca="false">G22+H22</f>
        <v>1170.86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4676.93</v>
      </c>
      <c r="E23" s="24" t="n">
        <v>0</v>
      </c>
      <c r="F23" s="24" t="n">
        <v>0</v>
      </c>
      <c r="G23" s="24" t="n">
        <v>1032.84</v>
      </c>
      <c r="H23" s="24" t="n">
        <v>155.9</v>
      </c>
      <c r="I23" s="24" t="n">
        <f aca="false">G23+H23</f>
        <v>1188.74</v>
      </c>
      <c r="J23" s="24" t="n">
        <f aca="false">D23-I23</f>
        <v>3488.19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2341.72</v>
      </c>
      <c r="E24" s="24" t="n">
        <v>0</v>
      </c>
      <c r="F24" s="24" t="n">
        <v>0</v>
      </c>
      <c r="G24" s="24" t="n">
        <v>2341.72</v>
      </c>
      <c r="H24" s="24" t="n">
        <v>0</v>
      </c>
      <c r="I24" s="24" t="n">
        <f aca="false">G24+H24</f>
        <v>2341.72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9353.85</v>
      </c>
      <c r="E25" s="24" t="n">
        <v>0</v>
      </c>
      <c r="F25" s="24" t="n">
        <v>0</v>
      </c>
      <c r="G25" s="24" t="n">
        <v>2065.67</v>
      </c>
      <c r="H25" s="24" t="n">
        <v>311.8</v>
      </c>
      <c r="I25" s="24" t="n">
        <f aca="false">G25+H25</f>
        <v>2377.47</v>
      </c>
      <c r="J25" s="24" t="n">
        <f aca="false">D25-I25</f>
        <v>6976.38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111983.58</v>
      </c>
      <c r="E26" s="28" t="n">
        <f aca="false">SUM(E18:E25)</f>
        <v>0</v>
      </c>
      <c r="F26" s="28" t="n">
        <f aca="false">SUM(F18:F25)</f>
        <v>63.33</v>
      </c>
      <c r="G26" s="28" t="n">
        <f aca="false">SUM(G18:G25)</f>
        <v>42163.42</v>
      </c>
      <c r="H26" s="28" t="n">
        <f aca="false">SUM(H18:H25)</f>
        <v>2985.4</v>
      </c>
      <c r="I26" s="28" t="n">
        <f aca="false">SUM(I18:I25)</f>
        <v>45148.82</v>
      </c>
      <c r="J26" s="28" t="n">
        <f aca="false">SUM(J18:J25)</f>
        <v>66834.76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34272.73</v>
      </c>
    </row>
    <row r="30" customFormat="false" ht="15" hidden="false" customHeight="false" outlineLevel="0" collapsed="false">
      <c r="B30" s="6" t="s">
        <v>101</v>
      </c>
      <c r="D30" s="7" t="n">
        <f aca="false">I26</f>
        <v>45148.82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-10876.09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316.3</v>
      </c>
      <c r="E36" s="24" t="n">
        <v>0</v>
      </c>
      <c r="F36" s="24" t="n">
        <v>0</v>
      </c>
      <c r="G36" s="24" t="n">
        <v>19.15</v>
      </c>
      <c r="H36" s="24" t="n">
        <v>7.89</v>
      </c>
      <c r="I36" s="24" t="n">
        <f aca="false">G36+H36</f>
        <v>27.04</v>
      </c>
      <c r="J36" s="24" t="n">
        <f aca="false">D36-I36</f>
        <v>289.26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94123.92</v>
      </c>
      <c r="E37" s="24" t="n">
        <v>0</v>
      </c>
      <c r="F37" s="24" t="n">
        <v>0</v>
      </c>
      <c r="G37" s="24" t="n">
        <v>20256.43</v>
      </c>
      <c r="H37" s="24" t="n">
        <v>2213.27</v>
      </c>
      <c r="I37" s="24" t="n">
        <f aca="false">G37+H37</f>
        <v>22469.7</v>
      </c>
      <c r="J37" s="24" t="n">
        <f aca="false">D37-I37</f>
        <v>71654.22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5847.79</v>
      </c>
      <c r="E38" s="24" t="n">
        <v>0</v>
      </c>
      <c r="F38" s="24" t="n">
        <v>0</v>
      </c>
      <c r="G38" s="24" t="n">
        <v>5457.95</v>
      </c>
      <c r="H38" s="24" t="n">
        <v>0</v>
      </c>
      <c r="I38" s="24" t="n">
        <f aca="false">G38+H38</f>
        <v>5457.95</v>
      </c>
      <c r="J38" s="24" t="n">
        <f aca="false">D38-I38</f>
        <v>389.84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11695.57</v>
      </c>
      <c r="E39" s="24" t="n">
        <v>0</v>
      </c>
      <c r="F39" s="24" t="n">
        <v>0</v>
      </c>
      <c r="G39" s="24" t="n">
        <v>5628.01</v>
      </c>
      <c r="H39" s="24" t="n">
        <v>690.03</v>
      </c>
      <c r="I39" s="24" t="n">
        <f aca="false">G39+H39</f>
        <v>6318.04</v>
      </c>
      <c r="J39" s="24" t="n">
        <f aca="false">D39-I39</f>
        <v>5377.53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111983.58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31361.54</v>
      </c>
      <c r="H40" s="28" t="n">
        <f aca="false">SUM(H36:H39)</f>
        <v>2911.19</v>
      </c>
      <c r="I40" s="28" t="n">
        <f aca="false">SUM(I36:I39)</f>
        <v>34272.73</v>
      </c>
      <c r="J40" s="28" t="n">
        <f aca="false">SUM(J36:J39)</f>
        <v>77710.85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63.33</v>
      </c>
      <c r="E44" s="24" t="n">
        <v>0</v>
      </c>
      <c r="F44" s="24" t="n">
        <v>63.33</v>
      </c>
      <c r="G44" s="24" t="n">
        <v>63.33</v>
      </c>
      <c r="H44" s="24" t="n">
        <v>0</v>
      </c>
      <c r="I44" s="24" t="n">
        <f aca="false">G44+H44</f>
        <v>63.33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252.97</v>
      </c>
      <c r="E45" s="24" t="n">
        <v>0</v>
      </c>
      <c r="F45" s="24" t="n">
        <v>0</v>
      </c>
      <c r="G45" s="24" t="n">
        <v>19.32</v>
      </c>
      <c r="H45" s="24" t="n">
        <v>8.43</v>
      </c>
      <c r="I45" s="24" t="n">
        <f aca="false">G45+H45</f>
        <v>27.75</v>
      </c>
      <c r="J45" s="24" t="n">
        <f aca="false">D45-I45</f>
        <v>225.22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18845.76</v>
      </c>
      <c r="E46" s="24" t="n">
        <v>0</v>
      </c>
      <c r="F46" s="24" t="n">
        <v>0</v>
      </c>
      <c r="G46" s="24" t="n">
        <v>18845.76</v>
      </c>
      <c r="H46" s="24" t="n">
        <v>0</v>
      </c>
      <c r="I46" s="24" t="n">
        <f aca="false">G46+H46</f>
        <v>18845.76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75278.16</v>
      </c>
      <c r="E47" s="24" t="n">
        <v>0</v>
      </c>
      <c r="F47" s="24" t="n">
        <v>0</v>
      </c>
      <c r="G47" s="24" t="n">
        <v>16623.92</v>
      </c>
      <c r="H47" s="24" t="n">
        <v>2509.27</v>
      </c>
      <c r="I47" s="24" t="n">
        <f aca="false">G47+H47</f>
        <v>19133.19</v>
      </c>
      <c r="J47" s="24" t="n">
        <f aca="false">D47-I47</f>
        <v>56144.97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1170.86</v>
      </c>
      <c r="E48" s="24" t="n">
        <v>0</v>
      </c>
      <c r="F48" s="24" t="n">
        <v>0</v>
      </c>
      <c r="G48" s="24" t="n">
        <v>1170.86</v>
      </c>
      <c r="H48" s="24" t="n">
        <v>0</v>
      </c>
      <c r="I48" s="24" t="n">
        <f aca="false">G48+H48</f>
        <v>1170.86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4676.93</v>
      </c>
      <c r="E49" s="24" t="n">
        <v>0</v>
      </c>
      <c r="F49" s="24" t="n">
        <v>0</v>
      </c>
      <c r="G49" s="24" t="n">
        <v>1032.84</v>
      </c>
      <c r="H49" s="24" t="n">
        <v>155.9</v>
      </c>
      <c r="I49" s="24" t="n">
        <f aca="false">G49+H49</f>
        <v>1188.74</v>
      </c>
      <c r="J49" s="24" t="n">
        <f aca="false">D49-I49</f>
        <v>3488.19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2341.72</v>
      </c>
      <c r="E50" s="24" t="n">
        <v>0</v>
      </c>
      <c r="F50" s="24" t="n">
        <v>0</v>
      </c>
      <c r="G50" s="24" t="n">
        <v>2341.72</v>
      </c>
      <c r="H50" s="24" t="n">
        <v>0</v>
      </c>
      <c r="I50" s="24" t="n">
        <f aca="false">G50+H50</f>
        <v>2341.72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9353.85</v>
      </c>
      <c r="E51" s="24" t="n">
        <v>0</v>
      </c>
      <c r="F51" s="24" t="n">
        <v>0</v>
      </c>
      <c r="G51" s="24" t="n">
        <v>2065.67</v>
      </c>
      <c r="H51" s="24" t="n">
        <v>311.8</v>
      </c>
      <c r="I51" s="24" t="n">
        <f aca="false">G51+H51</f>
        <v>2377.47</v>
      </c>
      <c r="J51" s="24" t="n">
        <f aca="false">D51-I51</f>
        <v>6976.38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111983.58</v>
      </c>
      <c r="E52" s="28" t="n">
        <f aca="false">SUM(E44:E51)</f>
        <v>0</v>
      </c>
      <c r="F52" s="28" t="n">
        <f aca="false">SUM(F44:F51)</f>
        <v>63.33</v>
      </c>
      <c r="G52" s="28" t="n">
        <f aca="false">SUM(G44:G51)</f>
        <v>42163.42</v>
      </c>
      <c r="H52" s="28" t="n">
        <f aca="false">SUM(H44:H51)</f>
        <v>2985.4</v>
      </c>
      <c r="I52" s="28" t="n">
        <f aca="false">SUM(I44:I51)</f>
        <v>45148.82</v>
      </c>
      <c r="J52" s="28" t="n">
        <f aca="false">SUM(J44:J51)</f>
        <v>66834.76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34272.73</v>
      </c>
    </row>
    <row r="56" customFormat="false" ht="15" hidden="false" customHeight="false" outlineLevel="0" collapsed="false">
      <c r="B56" s="6" t="s">
        <v>101</v>
      </c>
      <c r="D56" s="7" t="n">
        <f aca="false">I52</f>
        <v>45148.82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-10876.09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111983.58</v>
      </c>
    </row>
    <row r="61" customFormat="false" ht="15" hidden="false" customHeight="false" outlineLevel="0" collapsed="false">
      <c r="B61" s="6" t="s">
        <v>149</v>
      </c>
      <c r="D61" s="7" t="n">
        <f aca="false">F98</f>
        <v>22421.67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0.200222836240813</v>
      </c>
    </row>
    <row r="63" customFormat="false" ht="15" hidden="false" customHeight="false" outlineLevel="0" collapsed="false">
      <c r="B63" s="6" t="s">
        <v>151</v>
      </c>
      <c r="D63" s="7" t="n">
        <f aca="false">H98</f>
        <v>89561.91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0.799777163759187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5461.24</v>
      </c>
      <c r="F69" s="33" t="n">
        <v>5461.24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2735.7</v>
      </c>
      <c r="F70" s="33" t="n">
        <v>2735.7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7081.3</v>
      </c>
      <c r="F71" s="33" t="n">
        <v>7081.3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571.28</v>
      </c>
      <c r="F72" s="33" t="n">
        <v>571.28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613.87</v>
      </c>
      <c r="F75" s="33" t="n">
        <v>613.87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3371.24</v>
      </c>
      <c r="H81" s="33" t="n">
        <v>3371.24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5200.56</v>
      </c>
      <c r="H82" s="33" t="n">
        <v>5200.56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6857.05</v>
      </c>
      <c r="H83" s="33" t="n">
        <v>6857.05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6193.63</v>
      </c>
      <c r="H84" s="33" t="n">
        <v>6193.63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5960.79</v>
      </c>
      <c r="H85" s="33" t="n">
        <v>5960.79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331.27</v>
      </c>
      <c r="H86" s="33" t="n">
        <v>331.27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17225.23</v>
      </c>
      <c r="H87" s="33" t="n">
        <v>17225.23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3322.88</v>
      </c>
      <c r="H88" s="33" t="n">
        <v>3322.88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2518.01</v>
      </c>
      <c r="H89" s="33" t="n">
        <v>2518.01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3153.72</v>
      </c>
      <c r="H90" s="33" t="n">
        <v>3153.72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12103.51</v>
      </c>
      <c r="H91" s="33" t="n">
        <v>12103.51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4143.45</v>
      </c>
      <c r="H92" s="33" t="n">
        <v>4143.45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831.06</v>
      </c>
      <c r="H93" s="33" t="n">
        <v>831.06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13664.98</v>
      </c>
      <c r="H94" s="33" t="n">
        <v>13664.98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1241.45</v>
      </c>
      <c r="H96" s="33" t="n">
        <v>1241.45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450.76</v>
      </c>
      <c r="H97" s="33" t="n">
        <v>450.76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111983.58</v>
      </c>
      <c r="F98" s="34" t="n">
        <f aca="false">SUM(F69:F79)</f>
        <v>22421.67</v>
      </c>
      <c r="H98" s="34" t="n">
        <f aca="false">SUM(H81:H97)</f>
        <v>89561.91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0.200222836240813</v>
      </c>
      <c r="H99" s="31" t="n">
        <f aca="false">H98/D98</f>
        <v>0.799777163759187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316.3</v>
      </c>
      <c r="F103" s="33" t="n">
        <v>63.33</v>
      </c>
      <c r="H103" s="33" t="n">
        <v>252.97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94123.92</v>
      </c>
      <c r="F104" s="33" t="n">
        <v>18845.76</v>
      </c>
      <c r="H104" s="33" t="n">
        <v>75278.16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5847.79</v>
      </c>
      <c r="F105" s="33" t="n">
        <v>1170.86</v>
      </c>
      <c r="H105" s="33" t="n">
        <v>4676.93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11695.57</v>
      </c>
      <c r="F106" s="33" t="n">
        <v>2341.72</v>
      </c>
      <c r="H106" s="33" t="n">
        <v>9353.85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111983.58</v>
      </c>
      <c r="F107" s="34" t="n">
        <f aca="false">SUM(F103:F106)</f>
        <v>22421.67</v>
      </c>
      <c r="H107" s="34" t="n">
        <f aca="false">SUM(H103:H106)</f>
        <v>89561.91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204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316.3</v>
      </c>
      <c r="E10" s="24" t="n">
        <v>0</v>
      </c>
      <c r="F10" s="24" t="n">
        <v>0</v>
      </c>
      <c r="G10" s="24" t="n">
        <v>19.15</v>
      </c>
      <c r="H10" s="24" t="n">
        <v>7.89</v>
      </c>
      <c r="I10" s="24" t="n">
        <f aca="false">G10+H10</f>
        <v>27.04</v>
      </c>
      <c r="J10" s="24" t="n">
        <f aca="false">D10-I10</f>
        <v>289.26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94123.92</v>
      </c>
      <c r="E11" s="24" t="n">
        <v>0</v>
      </c>
      <c r="F11" s="24" t="n">
        <v>0</v>
      </c>
      <c r="G11" s="24" t="n">
        <v>20256.43</v>
      </c>
      <c r="H11" s="24" t="n">
        <v>2213.27</v>
      </c>
      <c r="I11" s="24" t="n">
        <f aca="false">G11+H11</f>
        <v>22469.7</v>
      </c>
      <c r="J11" s="24" t="n">
        <f aca="false">D11-I11</f>
        <v>71654.22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5847.79</v>
      </c>
      <c r="E12" s="24" t="n">
        <v>0</v>
      </c>
      <c r="F12" s="24" t="n">
        <v>0</v>
      </c>
      <c r="G12" s="24" t="n">
        <v>5457.95</v>
      </c>
      <c r="H12" s="24" t="n">
        <v>0</v>
      </c>
      <c r="I12" s="24" t="n">
        <f aca="false">G12+H12</f>
        <v>5457.95</v>
      </c>
      <c r="J12" s="24" t="n">
        <f aca="false">D12-I12</f>
        <v>389.84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11695.57</v>
      </c>
      <c r="E13" s="24" t="n">
        <v>0</v>
      </c>
      <c r="F13" s="24" t="n">
        <v>0</v>
      </c>
      <c r="G13" s="24" t="n">
        <v>5628.01</v>
      </c>
      <c r="H13" s="24" t="n">
        <v>690.03</v>
      </c>
      <c r="I13" s="24" t="n">
        <f aca="false">G13+H13</f>
        <v>6318.04</v>
      </c>
      <c r="J13" s="24" t="n">
        <f aca="false">D13-I13</f>
        <v>5377.53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111983.58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31361.54</v>
      </c>
      <c r="H14" s="28" t="n">
        <f aca="false">SUM(H10:H13)</f>
        <v>2911.19</v>
      </c>
      <c r="I14" s="28" t="n">
        <f aca="false">SUM(I10:I13)</f>
        <v>34272.73</v>
      </c>
      <c r="J14" s="28" t="n">
        <f aca="false">SUM(J10:J13)</f>
        <v>77710.85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63.33</v>
      </c>
      <c r="E18" s="24" t="n">
        <v>0</v>
      </c>
      <c r="F18" s="24" t="n">
        <v>63.33</v>
      </c>
      <c r="G18" s="24" t="n">
        <v>63.33</v>
      </c>
      <c r="H18" s="24" t="n">
        <v>0</v>
      </c>
      <c r="I18" s="24" t="n">
        <f aca="false">G18+H18</f>
        <v>63.33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252.97</v>
      </c>
      <c r="E19" s="24" t="n">
        <v>0</v>
      </c>
      <c r="F19" s="24" t="n">
        <v>0</v>
      </c>
      <c r="G19" s="24" t="n">
        <v>19.32</v>
      </c>
      <c r="H19" s="24" t="n">
        <v>8.43</v>
      </c>
      <c r="I19" s="24" t="n">
        <f aca="false">G19+H19</f>
        <v>27.75</v>
      </c>
      <c r="J19" s="24" t="n">
        <f aca="false">D19-I19</f>
        <v>225.22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18845.76</v>
      </c>
      <c r="E20" s="24" t="n">
        <v>0</v>
      </c>
      <c r="F20" s="24" t="n">
        <v>0</v>
      </c>
      <c r="G20" s="24" t="n">
        <v>18845.76</v>
      </c>
      <c r="H20" s="24" t="n">
        <v>0</v>
      </c>
      <c r="I20" s="24" t="n">
        <f aca="false">G20+H20</f>
        <v>18845.76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75278.16</v>
      </c>
      <c r="E21" s="24" t="n">
        <v>0</v>
      </c>
      <c r="F21" s="24" t="n">
        <v>0</v>
      </c>
      <c r="G21" s="24" t="n">
        <v>16623.92</v>
      </c>
      <c r="H21" s="24" t="n">
        <v>2509.27</v>
      </c>
      <c r="I21" s="24" t="n">
        <f aca="false">G21+H21</f>
        <v>19133.19</v>
      </c>
      <c r="J21" s="24" t="n">
        <f aca="false">D21-I21</f>
        <v>56144.97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1170.86</v>
      </c>
      <c r="E22" s="24" t="n">
        <v>0</v>
      </c>
      <c r="F22" s="24" t="n">
        <v>0</v>
      </c>
      <c r="G22" s="24" t="n">
        <v>1170.86</v>
      </c>
      <c r="H22" s="24" t="n">
        <v>0</v>
      </c>
      <c r="I22" s="24" t="n">
        <f aca="false">G22+H22</f>
        <v>1170.86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4676.93</v>
      </c>
      <c r="E23" s="24" t="n">
        <v>0</v>
      </c>
      <c r="F23" s="24" t="n">
        <v>0</v>
      </c>
      <c r="G23" s="24" t="n">
        <v>1032.84</v>
      </c>
      <c r="H23" s="24" t="n">
        <v>155.9</v>
      </c>
      <c r="I23" s="24" t="n">
        <f aca="false">G23+H23</f>
        <v>1188.74</v>
      </c>
      <c r="J23" s="24" t="n">
        <f aca="false">D23-I23</f>
        <v>3488.19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2341.72</v>
      </c>
      <c r="E24" s="24" t="n">
        <v>0</v>
      </c>
      <c r="F24" s="24" t="n">
        <v>0</v>
      </c>
      <c r="G24" s="24" t="n">
        <v>2341.72</v>
      </c>
      <c r="H24" s="24" t="n">
        <v>0</v>
      </c>
      <c r="I24" s="24" t="n">
        <f aca="false">G24+H24</f>
        <v>2341.72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9353.85</v>
      </c>
      <c r="E25" s="24" t="n">
        <v>0</v>
      </c>
      <c r="F25" s="24" t="n">
        <v>0</v>
      </c>
      <c r="G25" s="24" t="n">
        <v>2065.67</v>
      </c>
      <c r="H25" s="24" t="n">
        <v>311.8</v>
      </c>
      <c r="I25" s="24" t="n">
        <f aca="false">G25+H25</f>
        <v>2377.47</v>
      </c>
      <c r="J25" s="24" t="n">
        <f aca="false">D25-I25</f>
        <v>6976.38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111983.58</v>
      </c>
      <c r="E26" s="28" t="n">
        <f aca="false">SUM(E18:E25)</f>
        <v>0</v>
      </c>
      <c r="F26" s="28" t="n">
        <f aca="false">SUM(F18:F25)</f>
        <v>63.33</v>
      </c>
      <c r="G26" s="28" t="n">
        <f aca="false">SUM(G18:G25)</f>
        <v>42163.42</v>
      </c>
      <c r="H26" s="28" t="n">
        <f aca="false">SUM(H18:H25)</f>
        <v>2985.4</v>
      </c>
      <c r="I26" s="28" t="n">
        <f aca="false">SUM(I18:I25)</f>
        <v>45148.82</v>
      </c>
      <c r="J26" s="28" t="n">
        <f aca="false">SUM(J18:J25)</f>
        <v>66834.76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34272.73</v>
      </c>
    </row>
    <row r="30" customFormat="false" ht="15" hidden="false" customHeight="false" outlineLevel="0" collapsed="false">
      <c r="B30" s="6" t="s">
        <v>101</v>
      </c>
      <c r="D30" s="7" t="n">
        <f aca="false">I26</f>
        <v>45148.82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-10876.09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316.3</v>
      </c>
      <c r="E36" s="24" t="n">
        <v>0</v>
      </c>
      <c r="F36" s="24" t="n">
        <v>0</v>
      </c>
      <c r="G36" s="24" t="n">
        <v>19.15</v>
      </c>
      <c r="H36" s="24" t="n">
        <v>7.89</v>
      </c>
      <c r="I36" s="24" t="n">
        <f aca="false">G36+H36</f>
        <v>27.04</v>
      </c>
      <c r="J36" s="24" t="n">
        <f aca="false">D36-I36</f>
        <v>289.26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94123.92</v>
      </c>
      <c r="E37" s="24" t="n">
        <v>0</v>
      </c>
      <c r="F37" s="24" t="n">
        <v>0</v>
      </c>
      <c r="G37" s="24" t="n">
        <v>20256.43</v>
      </c>
      <c r="H37" s="24" t="n">
        <v>2213.27</v>
      </c>
      <c r="I37" s="24" t="n">
        <f aca="false">G37+H37</f>
        <v>22469.7</v>
      </c>
      <c r="J37" s="24" t="n">
        <f aca="false">D37-I37</f>
        <v>71654.22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5847.79</v>
      </c>
      <c r="E38" s="24" t="n">
        <v>0</v>
      </c>
      <c r="F38" s="24" t="n">
        <v>0</v>
      </c>
      <c r="G38" s="24" t="n">
        <v>5457.95</v>
      </c>
      <c r="H38" s="24" t="n">
        <v>0</v>
      </c>
      <c r="I38" s="24" t="n">
        <f aca="false">G38+H38</f>
        <v>5457.95</v>
      </c>
      <c r="J38" s="24" t="n">
        <f aca="false">D38-I38</f>
        <v>389.84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11695.57</v>
      </c>
      <c r="E39" s="24" t="n">
        <v>0</v>
      </c>
      <c r="F39" s="24" t="n">
        <v>0</v>
      </c>
      <c r="G39" s="24" t="n">
        <v>5628.01</v>
      </c>
      <c r="H39" s="24" t="n">
        <v>690.03</v>
      </c>
      <c r="I39" s="24" t="n">
        <f aca="false">G39+H39</f>
        <v>6318.04</v>
      </c>
      <c r="J39" s="24" t="n">
        <f aca="false">D39-I39</f>
        <v>5377.53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111983.58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31361.54</v>
      </c>
      <c r="H40" s="28" t="n">
        <f aca="false">SUM(H36:H39)</f>
        <v>2911.19</v>
      </c>
      <c r="I40" s="28" t="n">
        <f aca="false">SUM(I36:I39)</f>
        <v>34272.73</v>
      </c>
      <c r="J40" s="28" t="n">
        <f aca="false">SUM(J36:J39)</f>
        <v>77710.85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63.33</v>
      </c>
      <c r="E44" s="24" t="n">
        <v>0</v>
      </c>
      <c r="F44" s="24" t="n">
        <v>63.33</v>
      </c>
      <c r="G44" s="24" t="n">
        <v>63.33</v>
      </c>
      <c r="H44" s="24" t="n">
        <v>0</v>
      </c>
      <c r="I44" s="24" t="n">
        <f aca="false">G44+H44</f>
        <v>63.33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252.97</v>
      </c>
      <c r="E45" s="24" t="n">
        <v>0</v>
      </c>
      <c r="F45" s="24" t="n">
        <v>0</v>
      </c>
      <c r="G45" s="24" t="n">
        <v>19.32</v>
      </c>
      <c r="H45" s="24" t="n">
        <v>8.43</v>
      </c>
      <c r="I45" s="24" t="n">
        <f aca="false">G45+H45</f>
        <v>27.75</v>
      </c>
      <c r="J45" s="24" t="n">
        <f aca="false">D45-I45</f>
        <v>225.22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18845.76</v>
      </c>
      <c r="E46" s="24" t="n">
        <v>0</v>
      </c>
      <c r="F46" s="24" t="n">
        <v>0</v>
      </c>
      <c r="G46" s="24" t="n">
        <v>18845.76</v>
      </c>
      <c r="H46" s="24" t="n">
        <v>0</v>
      </c>
      <c r="I46" s="24" t="n">
        <f aca="false">G46+H46</f>
        <v>18845.76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75278.16</v>
      </c>
      <c r="E47" s="24" t="n">
        <v>0</v>
      </c>
      <c r="F47" s="24" t="n">
        <v>0</v>
      </c>
      <c r="G47" s="24" t="n">
        <v>16623.92</v>
      </c>
      <c r="H47" s="24" t="n">
        <v>2509.27</v>
      </c>
      <c r="I47" s="24" t="n">
        <f aca="false">G47+H47</f>
        <v>19133.19</v>
      </c>
      <c r="J47" s="24" t="n">
        <f aca="false">D47-I47</f>
        <v>56144.97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1170.86</v>
      </c>
      <c r="E48" s="24" t="n">
        <v>0</v>
      </c>
      <c r="F48" s="24" t="n">
        <v>0</v>
      </c>
      <c r="G48" s="24" t="n">
        <v>1170.86</v>
      </c>
      <c r="H48" s="24" t="n">
        <v>0</v>
      </c>
      <c r="I48" s="24" t="n">
        <f aca="false">G48+H48</f>
        <v>1170.86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4676.93</v>
      </c>
      <c r="E49" s="24" t="n">
        <v>0</v>
      </c>
      <c r="F49" s="24" t="n">
        <v>0</v>
      </c>
      <c r="G49" s="24" t="n">
        <v>1032.84</v>
      </c>
      <c r="H49" s="24" t="n">
        <v>155.9</v>
      </c>
      <c r="I49" s="24" t="n">
        <f aca="false">G49+H49</f>
        <v>1188.74</v>
      </c>
      <c r="J49" s="24" t="n">
        <f aca="false">D49-I49</f>
        <v>3488.19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2341.72</v>
      </c>
      <c r="E50" s="24" t="n">
        <v>0</v>
      </c>
      <c r="F50" s="24" t="n">
        <v>0</v>
      </c>
      <c r="G50" s="24" t="n">
        <v>2341.72</v>
      </c>
      <c r="H50" s="24" t="n">
        <v>0</v>
      </c>
      <c r="I50" s="24" t="n">
        <f aca="false">G50+H50</f>
        <v>2341.72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9353.85</v>
      </c>
      <c r="E51" s="24" t="n">
        <v>0</v>
      </c>
      <c r="F51" s="24" t="n">
        <v>0</v>
      </c>
      <c r="G51" s="24" t="n">
        <v>2065.67</v>
      </c>
      <c r="H51" s="24" t="n">
        <v>311.8</v>
      </c>
      <c r="I51" s="24" t="n">
        <f aca="false">G51+H51</f>
        <v>2377.47</v>
      </c>
      <c r="J51" s="24" t="n">
        <f aca="false">D51-I51</f>
        <v>6976.38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111983.58</v>
      </c>
      <c r="E52" s="28" t="n">
        <f aca="false">SUM(E44:E51)</f>
        <v>0</v>
      </c>
      <c r="F52" s="28" t="n">
        <f aca="false">SUM(F44:F51)</f>
        <v>63.33</v>
      </c>
      <c r="G52" s="28" t="n">
        <f aca="false">SUM(G44:G51)</f>
        <v>42163.42</v>
      </c>
      <c r="H52" s="28" t="n">
        <f aca="false">SUM(H44:H51)</f>
        <v>2985.4</v>
      </c>
      <c r="I52" s="28" t="n">
        <f aca="false">SUM(I44:I51)</f>
        <v>45148.82</v>
      </c>
      <c r="J52" s="28" t="n">
        <f aca="false">SUM(J44:J51)</f>
        <v>66834.76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34272.73</v>
      </c>
    </row>
    <row r="56" customFormat="false" ht="15" hidden="false" customHeight="false" outlineLevel="0" collapsed="false">
      <c r="B56" s="6" t="s">
        <v>101</v>
      </c>
      <c r="D56" s="7" t="n">
        <f aca="false">I52</f>
        <v>45148.82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-10876.09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111983.58</v>
      </c>
    </row>
    <row r="61" customFormat="false" ht="15" hidden="false" customHeight="false" outlineLevel="0" collapsed="false">
      <c r="B61" s="6" t="s">
        <v>149</v>
      </c>
      <c r="D61" s="7" t="n">
        <f aca="false">F98</f>
        <v>22421.67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0.200222836240813</v>
      </c>
    </row>
    <row r="63" customFormat="false" ht="15" hidden="false" customHeight="false" outlineLevel="0" collapsed="false">
      <c r="B63" s="6" t="s">
        <v>151</v>
      </c>
      <c r="D63" s="7" t="n">
        <f aca="false">H98</f>
        <v>89561.91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0.799777163759187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5461.24</v>
      </c>
      <c r="F69" s="33" t="n">
        <v>5461.24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2735.7</v>
      </c>
      <c r="F70" s="33" t="n">
        <v>2735.7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7081.3</v>
      </c>
      <c r="F71" s="33" t="n">
        <v>7081.3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571.28</v>
      </c>
      <c r="F72" s="33" t="n">
        <v>571.28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85.24</v>
      </c>
      <c r="F73" s="33" t="n">
        <v>85.24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1274.42</v>
      </c>
      <c r="F74" s="33" t="n">
        <v>1274.42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613.87</v>
      </c>
      <c r="F75" s="33" t="n">
        <v>613.87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2313.24</v>
      </c>
      <c r="F76" s="33" t="n">
        <v>2313.24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252.07</v>
      </c>
      <c r="F77" s="33" t="n">
        <v>252.07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37.76</v>
      </c>
      <c r="F78" s="33" t="n">
        <v>37.76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1995.55</v>
      </c>
      <c r="F79" s="33" t="n">
        <v>1995.55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3371.24</v>
      </c>
      <c r="H81" s="33" t="n">
        <v>3371.24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5200.56</v>
      </c>
      <c r="H82" s="33" t="n">
        <v>5200.56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6857.05</v>
      </c>
      <c r="H83" s="33" t="n">
        <v>6857.05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6193.63</v>
      </c>
      <c r="H84" s="33" t="n">
        <v>6193.63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5960.79</v>
      </c>
      <c r="H85" s="33" t="n">
        <v>5960.79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331.27</v>
      </c>
      <c r="H86" s="33" t="n">
        <v>331.27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17225.23</v>
      </c>
      <c r="H87" s="33" t="n">
        <v>17225.23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3322.88</v>
      </c>
      <c r="H88" s="33" t="n">
        <v>3322.88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2518.01</v>
      </c>
      <c r="H89" s="33" t="n">
        <v>2518.01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3153.72</v>
      </c>
      <c r="H90" s="33" t="n">
        <v>3153.72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12103.51</v>
      </c>
      <c r="H91" s="33" t="n">
        <v>12103.51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4143.45</v>
      </c>
      <c r="H92" s="33" t="n">
        <v>4143.45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831.06</v>
      </c>
      <c r="H93" s="33" t="n">
        <v>831.06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13664.98</v>
      </c>
      <c r="H94" s="33" t="n">
        <v>13664.98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2992.32</v>
      </c>
      <c r="H95" s="33" t="n">
        <v>2992.32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1241.45</v>
      </c>
      <c r="H96" s="33" t="n">
        <v>1241.45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450.76</v>
      </c>
      <c r="H97" s="33" t="n">
        <v>450.76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111983.58</v>
      </c>
      <c r="F98" s="34" t="n">
        <f aca="false">SUM(F69:F79)</f>
        <v>22421.67</v>
      </c>
      <c r="H98" s="34" t="n">
        <f aca="false">SUM(H81:H97)</f>
        <v>89561.91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0.200222836240813</v>
      </c>
      <c r="H99" s="31" t="n">
        <f aca="false">H98/D98</f>
        <v>0.799777163759187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316.3</v>
      </c>
      <c r="F103" s="33" t="n">
        <v>63.33</v>
      </c>
      <c r="H103" s="33" t="n">
        <v>252.97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94123.92</v>
      </c>
      <c r="F104" s="33" t="n">
        <v>18845.76</v>
      </c>
      <c r="H104" s="33" t="n">
        <v>75278.16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5847.79</v>
      </c>
      <c r="F105" s="33" t="n">
        <v>1170.86</v>
      </c>
      <c r="H105" s="33" t="n">
        <v>4676.93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11695.57</v>
      </c>
      <c r="F106" s="33" t="n">
        <v>2341.72</v>
      </c>
      <c r="H106" s="33" t="n">
        <v>9353.85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111983.58</v>
      </c>
      <c r="F107" s="34" t="n">
        <f aca="false">SUM(F103:F106)</f>
        <v>22421.67</v>
      </c>
      <c r="H107" s="34" t="n">
        <f aca="false">SUM(H103:H106)</f>
        <v>89561.91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205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750.82</v>
      </c>
      <c r="E10" s="24" t="n">
        <v>0</v>
      </c>
      <c r="F10" s="24" t="n">
        <v>0</v>
      </c>
      <c r="G10" s="24" t="n">
        <v>45.46</v>
      </c>
      <c r="H10" s="24" t="n">
        <v>18.74</v>
      </c>
      <c r="I10" s="24" t="n">
        <f aca="false">G10+H10</f>
        <v>64.2</v>
      </c>
      <c r="J10" s="24" t="n">
        <f aca="false">D10-I10</f>
        <v>686.62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223422.8</v>
      </c>
      <c r="E11" s="24" t="n">
        <v>0</v>
      </c>
      <c r="F11" s="24" t="n">
        <v>0</v>
      </c>
      <c r="G11" s="24" t="n">
        <v>48082.9</v>
      </c>
      <c r="H11" s="24" t="n">
        <v>5253.66</v>
      </c>
      <c r="I11" s="24" t="n">
        <f aca="false">G11+H11</f>
        <v>53336.56</v>
      </c>
      <c r="J11" s="24" t="n">
        <f aca="false">D11-I11</f>
        <v>170086.24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13880.94</v>
      </c>
      <c r="E12" s="24" t="n">
        <v>0</v>
      </c>
      <c r="F12" s="24" t="n">
        <v>0</v>
      </c>
      <c r="G12" s="24" t="n">
        <v>12955.57</v>
      </c>
      <c r="H12" s="24" t="n">
        <v>0</v>
      </c>
      <c r="I12" s="24" t="n">
        <f aca="false">G12+H12</f>
        <v>12955.57</v>
      </c>
      <c r="J12" s="24" t="n">
        <f aca="false">D12-I12</f>
        <v>925.370000000001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27761.89</v>
      </c>
      <c r="E13" s="24" t="n">
        <v>0</v>
      </c>
      <c r="F13" s="24" t="n">
        <v>0</v>
      </c>
      <c r="G13" s="24" t="n">
        <v>13359.23</v>
      </c>
      <c r="H13" s="24" t="n">
        <v>1637.95</v>
      </c>
      <c r="I13" s="24" t="n">
        <f aca="false">G13+H13</f>
        <v>14997.18</v>
      </c>
      <c r="J13" s="24" t="n">
        <f aca="false">D13-I13</f>
        <v>12764.71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265816.45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74443.16</v>
      </c>
      <c r="H14" s="28" t="n">
        <f aca="false">SUM(H10:H13)</f>
        <v>6910.35</v>
      </c>
      <c r="I14" s="28" t="n">
        <f aca="false">SUM(I10:I13)</f>
        <v>81353.51</v>
      </c>
      <c r="J14" s="28" t="n">
        <f aca="false">SUM(J10:J13)</f>
        <v>184462.94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157.52</v>
      </c>
      <c r="E18" s="24" t="n">
        <v>0</v>
      </c>
      <c r="F18" s="24" t="n">
        <v>157.52</v>
      </c>
      <c r="G18" s="24" t="n">
        <v>157.52</v>
      </c>
      <c r="H18" s="24" t="n">
        <v>0</v>
      </c>
      <c r="I18" s="24" t="n">
        <f aca="false">G18+H18</f>
        <v>157.52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593.3</v>
      </c>
      <c r="E19" s="24" t="n">
        <v>0</v>
      </c>
      <c r="F19" s="24" t="n">
        <v>0</v>
      </c>
      <c r="G19" s="24" t="n">
        <v>45.33</v>
      </c>
      <c r="H19" s="24" t="n">
        <v>19.78</v>
      </c>
      <c r="I19" s="24" t="n">
        <f aca="false">G19+H19</f>
        <v>65.11</v>
      </c>
      <c r="J19" s="24" t="n">
        <f aca="false">D19-I19</f>
        <v>528.19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46872.91</v>
      </c>
      <c r="E20" s="24" t="n">
        <v>0</v>
      </c>
      <c r="F20" s="24" t="n">
        <v>0</v>
      </c>
      <c r="G20" s="24" t="n">
        <v>46872.91</v>
      </c>
      <c r="H20" s="24" t="n">
        <v>0</v>
      </c>
      <c r="I20" s="24" t="n">
        <f aca="false">G20+H20</f>
        <v>46872.91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176549.89</v>
      </c>
      <c r="E21" s="24" t="n">
        <v>0</v>
      </c>
      <c r="F21" s="24" t="n">
        <v>0</v>
      </c>
      <c r="G21" s="24" t="n">
        <v>38988.12</v>
      </c>
      <c r="H21" s="24" t="n">
        <v>5885</v>
      </c>
      <c r="I21" s="24" t="n">
        <f aca="false">G21+H21</f>
        <v>44873.12</v>
      </c>
      <c r="J21" s="24" t="n">
        <f aca="false">D21-I21</f>
        <v>131676.77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2912.15</v>
      </c>
      <c r="E22" s="24" t="n">
        <v>0</v>
      </c>
      <c r="F22" s="24" t="n">
        <v>0</v>
      </c>
      <c r="G22" s="24" t="n">
        <v>2912.15</v>
      </c>
      <c r="H22" s="24" t="n">
        <v>0</v>
      </c>
      <c r="I22" s="24" t="n">
        <f aca="false">G22+H22</f>
        <v>2912.15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10968.79</v>
      </c>
      <c r="E23" s="24" t="n">
        <v>0</v>
      </c>
      <c r="F23" s="24" t="n">
        <v>0</v>
      </c>
      <c r="G23" s="24" t="n">
        <v>2422.3</v>
      </c>
      <c r="H23" s="24" t="n">
        <v>365.63</v>
      </c>
      <c r="I23" s="24" t="n">
        <f aca="false">G23+H23</f>
        <v>2787.93</v>
      </c>
      <c r="J23" s="24" t="n">
        <f aca="false">D23-I23</f>
        <v>8180.86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5824.29</v>
      </c>
      <c r="E24" s="24" t="n">
        <v>0</v>
      </c>
      <c r="F24" s="24" t="n">
        <v>0</v>
      </c>
      <c r="G24" s="24" t="n">
        <v>5824.29</v>
      </c>
      <c r="H24" s="24" t="n">
        <v>0</v>
      </c>
      <c r="I24" s="24" t="n">
        <f aca="false">G24+H24</f>
        <v>5824.29</v>
      </c>
      <c r="J24" s="24" t="n">
        <f aca="false">D24-I24</f>
        <v>0</v>
      </c>
      <c r="K24" s="25" t="s">
        <v>143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21937.6</v>
      </c>
      <c r="E25" s="24" t="n">
        <v>0</v>
      </c>
      <c r="F25" s="24" t="n">
        <v>0</v>
      </c>
      <c r="G25" s="24" t="n">
        <v>4844.53</v>
      </c>
      <c r="H25" s="24" t="n">
        <v>731.25</v>
      </c>
      <c r="I25" s="24" t="n">
        <f aca="false">G25+H25</f>
        <v>5575.78</v>
      </c>
      <c r="J25" s="24" t="n">
        <f aca="false">D25-I25</f>
        <v>16361.82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265816.45</v>
      </c>
      <c r="E26" s="28" t="n">
        <f aca="false">SUM(E18:E25)</f>
        <v>0</v>
      </c>
      <c r="F26" s="28" t="n">
        <f aca="false">SUM(F18:F25)</f>
        <v>157.52</v>
      </c>
      <c r="G26" s="28" t="n">
        <f aca="false">SUM(G18:G25)</f>
        <v>102067.15</v>
      </c>
      <c r="H26" s="28" t="n">
        <f aca="false">SUM(H18:H25)</f>
        <v>7001.66</v>
      </c>
      <c r="I26" s="28" t="n">
        <f aca="false">SUM(I18:I25)</f>
        <v>109068.81</v>
      </c>
      <c r="J26" s="28" t="n">
        <f aca="false">SUM(J18:J25)</f>
        <v>156747.64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81353.51</v>
      </c>
    </row>
    <row r="30" customFormat="false" ht="15" hidden="false" customHeight="false" outlineLevel="0" collapsed="false">
      <c r="B30" s="6" t="s">
        <v>101</v>
      </c>
      <c r="D30" s="7" t="n">
        <f aca="false">I26</f>
        <v>109068.81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-27715.3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750.82</v>
      </c>
      <c r="E36" s="24" t="n">
        <v>0</v>
      </c>
      <c r="F36" s="24" t="n">
        <v>0</v>
      </c>
      <c r="G36" s="24" t="n">
        <v>45.46</v>
      </c>
      <c r="H36" s="24" t="n">
        <v>18.74</v>
      </c>
      <c r="I36" s="24" t="n">
        <f aca="false">G36+H36</f>
        <v>64.2</v>
      </c>
      <c r="J36" s="24" t="n">
        <f aca="false">D36-I36</f>
        <v>686.62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223422.8</v>
      </c>
      <c r="E37" s="24" t="n">
        <v>0</v>
      </c>
      <c r="F37" s="24" t="n">
        <v>0</v>
      </c>
      <c r="G37" s="24" t="n">
        <v>48082.9</v>
      </c>
      <c r="H37" s="24" t="n">
        <v>5253.66</v>
      </c>
      <c r="I37" s="24" t="n">
        <f aca="false">G37+H37</f>
        <v>53336.56</v>
      </c>
      <c r="J37" s="24" t="n">
        <f aca="false">D37-I37</f>
        <v>170086.24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13880.94</v>
      </c>
      <c r="E38" s="24" t="n">
        <v>0</v>
      </c>
      <c r="F38" s="24" t="n">
        <v>0</v>
      </c>
      <c r="G38" s="24" t="n">
        <v>12955.57</v>
      </c>
      <c r="H38" s="24" t="n">
        <v>0</v>
      </c>
      <c r="I38" s="24" t="n">
        <f aca="false">G38+H38</f>
        <v>12955.57</v>
      </c>
      <c r="J38" s="24" t="n">
        <f aca="false">D38-I38</f>
        <v>925.370000000001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27761.89</v>
      </c>
      <c r="E39" s="24" t="n">
        <v>0</v>
      </c>
      <c r="F39" s="24" t="n">
        <v>0</v>
      </c>
      <c r="G39" s="24" t="n">
        <v>13359.23</v>
      </c>
      <c r="H39" s="24" t="n">
        <v>1637.95</v>
      </c>
      <c r="I39" s="24" t="n">
        <f aca="false">G39+H39</f>
        <v>14997.18</v>
      </c>
      <c r="J39" s="24" t="n">
        <f aca="false">D39-I39</f>
        <v>12764.71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265816.45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74443.16</v>
      </c>
      <c r="H40" s="28" t="n">
        <f aca="false">SUM(H36:H39)</f>
        <v>6910.35</v>
      </c>
      <c r="I40" s="28" t="n">
        <f aca="false">SUM(I36:I39)</f>
        <v>81353.51</v>
      </c>
      <c r="J40" s="28" t="n">
        <f aca="false">SUM(J36:J39)</f>
        <v>184462.94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157.52</v>
      </c>
      <c r="E44" s="24" t="n">
        <v>0</v>
      </c>
      <c r="F44" s="24" t="n">
        <v>157.52</v>
      </c>
      <c r="G44" s="24" t="n">
        <v>157.52</v>
      </c>
      <c r="H44" s="24" t="n">
        <v>0</v>
      </c>
      <c r="I44" s="24" t="n">
        <f aca="false">G44+H44</f>
        <v>157.52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593.3</v>
      </c>
      <c r="E45" s="24" t="n">
        <v>0</v>
      </c>
      <c r="F45" s="24" t="n">
        <v>0</v>
      </c>
      <c r="G45" s="24" t="n">
        <v>45.33</v>
      </c>
      <c r="H45" s="24" t="n">
        <v>19.78</v>
      </c>
      <c r="I45" s="24" t="n">
        <f aca="false">G45+H45</f>
        <v>65.11</v>
      </c>
      <c r="J45" s="24" t="n">
        <f aca="false">D45-I45</f>
        <v>528.19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46872.91</v>
      </c>
      <c r="E46" s="24" t="n">
        <v>0</v>
      </c>
      <c r="F46" s="24" t="n">
        <v>0</v>
      </c>
      <c r="G46" s="24" t="n">
        <v>46872.91</v>
      </c>
      <c r="H46" s="24" t="n">
        <v>0</v>
      </c>
      <c r="I46" s="24" t="n">
        <f aca="false">G46+H46</f>
        <v>46872.91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176549.89</v>
      </c>
      <c r="E47" s="24" t="n">
        <v>0</v>
      </c>
      <c r="F47" s="24" t="n">
        <v>0</v>
      </c>
      <c r="G47" s="24" t="n">
        <v>38988.12</v>
      </c>
      <c r="H47" s="24" t="n">
        <v>5885</v>
      </c>
      <c r="I47" s="24" t="n">
        <f aca="false">G47+H47</f>
        <v>44873.12</v>
      </c>
      <c r="J47" s="24" t="n">
        <f aca="false">D47-I47</f>
        <v>131676.77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2912.15</v>
      </c>
      <c r="E48" s="24" t="n">
        <v>0</v>
      </c>
      <c r="F48" s="24" t="n">
        <v>0</v>
      </c>
      <c r="G48" s="24" t="n">
        <v>2912.15</v>
      </c>
      <c r="H48" s="24" t="n">
        <v>0</v>
      </c>
      <c r="I48" s="24" t="n">
        <f aca="false">G48+H48</f>
        <v>2912.15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10968.79</v>
      </c>
      <c r="E49" s="24" t="n">
        <v>0</v>
      </c>
      <c r="F49" s="24" t="n">
        <v>0</v>
      </c>
      <c r="G49" s="24" t="n">
        <v>2422.3</v>
      </c>
      <c r="H49" s="24" t="n">
        <v>365.63</v>
      </c>
      <c r="I49" s="24" t="n">
        <f aca="false">G49+H49</f>
        <v>2787.93</v>
      </c>
      <c r="J49" s="24" t="n">
        <f aca="false">D49-I49</f>
        <v>8180.86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5824.29</v>
      </c>
      <c r="E50" s="24" t="n">
        <v>0</v>
      </c>
      <c r="F50" s="24" t="n">
        <v>0</v>
      </c>
      <c r="G50" s="24" t="n">
        <v>5824.29</v>
      </c>
      <c r="H50" s="24" t="n">
        <v>0</v>
      </c>
      <c r="I50" s="24" t="n">
        <f aca="false">G50+H50</f>
        <v>5824.29</v>
      </c>
      <c r="J50" s="24" t="n">
        <f aca="false">D50-I50</f>
        <v>0</v>
      </c>
      <c r="K50" s="25" t="s">
        <v>143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21937.6</v>
      </c>
      <c r="E51" s="24" t="n">
        <v>0</v>
      </c>
      <c r="F51" s="24" t="n">
        <v>0</v>
      </c>
      <c r="G51" s="24" t="n">
        <v>4844.53</v>
      </c>
      <c r="H51" s="24" t="n">
        <v>731.25</v>
      </c>
      <c r="I51" s="24" t="n">
        <f aca="false">G51+H51</f>
        <v>5575.78</v>
      </c>
      <c r="J51" s="24" t="n">
        <f aca="false">D51-I51</f>
        <v>16361.82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265816.45</v>
      </c>
      <c r="E52" s="28" t="n">
        <f aca="false">SUM(E44:E51)</f>
        <v>0</v>
      </c>
      <c r="F52" s="28" t="n">
        <f aca="false">SUM(F44:F51)</f>
        <v>157.52</v>
      </c>
      <c r="G52" s="28" t="n">
        <f aca="false">SUM(G44:G51)</f>
        <v>102067.15</v>
      </c>
      <c r="H52" s="28" t="n">
        <f aca="false">SUM(H44:H51)</f>
        <v>7001.66</v>
      </c>
      <c r="I52" s="28" t="n">
        <f aca="false">SUM(I44:I51)</f>
        <v>109068.81</v>
      </c>
      <c r="J52" s="28" t="n">
        <f aca="false">SUM(J44:J51)</f>
        <v>156747.64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81353.51</v>
      </c>
    </row>
    <row r="56" customFormat="false" ht="15" hidden="false" customHeight="false" outlineLevel="0" collapsed="false">
      <c r="B56" s="6" t="s">
        <v>101</v>
      </c>
      <c r="D56" s="7" t="n">
        <f aca="false">I52</f>
        <v>109068.81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-27715.3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D98</f>
        <v>265816.45</v>
      </c>
    </row>
    <row r="61" customFormat="false" ht="15" hidden="false" customHeight="false" outlineLevel="0" collapsed="false">
      <c r="B61" s="6" t="s">
        <v>149</v>
      </c>
      <c r="D61" s="7" t="n">
        <f aca="false">F98</f>
        <v>55766.87</v>
      </c>
    </row>
    <row r="62" customFormat="false" ht="15" hidden="false" customHeight="false" outlineLevel="0" collapsed="false">
      <c r="B62" s="30" t="s">
        <v>150</v>
      </c>
      <c r="D62" s="31" t="n">
        <f aca="false">F99</f>
        <v>0.209794653415919</v>
      </c>
    </row>
    <row r="63" customFormat="false" ht="15" hidden="false" customHeight="false" outlineLevel="0" collapsed="false">
      <c r="B63" s="6" t="s">
        <v>151</v>
      </c>
      <c r="D63" s="7" t="n">
        <f aca="false">H98</f>
        <v>210049.58</v>
      </c>
    </row>
    <row r="64" customFormat="false" ht="15" hidden="false" customHeight="false" outlineLevel="0" collapsed="false">
      <c r="B64" s="30" t="s">
        <v>150</v>
      </c>
      <c r="D64" s="31" t="n">
        <f aca="false">H99</f>
        <v>0.790205346584081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13932.37</v>
      </c>
      <c r="F69" s="33" t="n">
        <v>13932.37</v>
      </c>
    </row>
    <row r="70" customFormat="false" ht="15" hidden="false" customHeight="false" outlineLevel="0" collapsed="false">
      <c r="B70" s="6" t="s">
        <v>155</v>
      </c>
      <c r="D70" s="33" t="n">
        <f aca="false">SUM(F70:H70)</f>
        <v>4762.13</v>
      </c>
      <c r="F70" s="33" t="n">
        <v>4762.13</v>
      </c>
    </row>
    <row r="71" customFormat="false" ht="15" hidden="false" customHeight="false" outlineLevel="0" collapsed="false">
      <c r="B71" s="6" t="s">
        <v>156</v>
      </c>
      <c r="D71" s="33" t="n">
        <f aca="false">SUM(F71:H71)</f>
        <v>21399.52</v>
      </c>
      <c r="F71" s="33" t="n">
        <v>21399.52</v>
      </c>
    </row>
    <row r="72" customFormat="false" ht="15" hidden="false" customHeight="false" outlineLevel="0" collapsed="false">
      <c r="B72" s="6" t="s">
        <v>157</v>
      </c>
      <c r="D72" s="33" t="n">
        <f aca="false">SUM(F72:H72)</f>
        <v>1967.77</v>
      </c>
      <c r="F72" s="33" t="n">
        <v>1967.77</v>
      </c>
    </row>
    <row r="73" customFormat="false" ht="15" hidden="false" customHeight="false" outlineLevel="0" collapsed="false">
      <c r="B73" s="6" t="s">
        <v>158</v>
      </c>
      <c r="D73" s="33" t="n">
        <f aca="false">SUM(F73:H73)</f>
        <v>127.35</v>
      </c>
      <c r="F73" s="33" t="n">
        <v>127.35</v>
      </c>
    </row>
    <row r="74" customFormat="false" ht="15" hidden="false" customHeight="false" outlineLevel="0" collapsed="false">
      <c r="B74" s="6" t="s">
        <v>159</v>
      </c>
      <c r="D74" s="33" t="n">
        <f aca="false">SUM(F74:H74)</f>
        <v>2548.79</v>
      </c>
      <c r="F74" s="33" t="n">
        <v>2548.79</v>
      </c>
    </row>
    <row r="75" customFormat="false" ht="15" hidden="false" customHeight="false" outlineLevel="0" collapsed="false">
      <c r="B75" s="6" t="s">
        <v>160</v>
      </c>
      <c r="D75" s="33" t="n">
        <f aca="false">SUM(F75:H75)</f>
        <v>1855.1</v>
      </c>
      <c r="F75" s="33" t="n">
        <v>1855.1</v>
      </c>
    </row>
    <row r="76" customFormat="false" ht="15" hidden="false" customHeight="false" outlineLevel="0" collapsed="false">
      <c r="B76" s="6" t="s">
        <v>161</v>
      </c>
      <c r="D76" s="33" t="n">
        <f aca="false">SUM(F76:H76)</f>
        <v>4626.46</v>
      </c>
      <c r="F76" s="33" t="n">
        <v>4626.46</v>
      </c>
    </row>
    <row r="77" customFormat="false" ht="15" hidden="false" customHeight="false" outlineLevel="0" collapsed="false">
      <c r="B77" s="6" t="s">
        <v>162</v>
      </c>
      <c r="D77" s="33" t="n">
        <f aca="false">SUM(F77:H77)</f>
        <v>480.75</v>
      </c>
      <c r="F77" s="33" t="n">
        <v>480.75</v>
      </c>
    </row>
    <row r="78" customFormat="false" ht="15" hidden="false" customHeight="false" outlineLevel="0" collapsed="false">
      <c r="B78" s="6" t="s">
        <v>163</v>
      </c>
      <c r="D78" s="33" t="n">
        <f aca="false">SUM(F78:H78)</f>
        <v>75.53</v>
      </c>
      <c r="F78" s="33" t="n">
        <v>75.53</v>
      </c>
    </row>
    <row r="79" customFormat="false" ht="15" hidden="false" customHeight="false" outlineLevel="0" collapsed="false">
      <c r="B79" s="6" t="s">
        <v>164</v>
      </c>
      <c r="D79" s="33" t="n">
        <f aca="false">SUM(F79:H79)</f>
        <v>3991.1</v>
      </c>
      <c r="F79" s="33" t="n">
        <v>3991.1</v>
      </c>
    </row>
    <row r="80" customFormat="false" ht="15" hidden="false" customHeight="false" outlineLevel="0" collapsed="false">
      <c r="B80" s="32" t="s">
        <v>165</v>
      </c>
    </row>
    <row r="81" customFormat="false" ht="15" hidden="false" customHeight="false" outlineLevel="0" collapsed="false">
      <c r="B81" s="6" t="s">
        <v>166</v>
      </c>
      <c r="D81" s="33" t="n">
        <f aca="false">SUM(F81:H81)</f>
        <v>8726.14</v>
      </c>
      <c r="H81" s="33" t="n">
        <v>8726.14</v>
      </c>
    </row>
    <row r="82" customFormat="false" ht="15" hidden="false" customHeight="false" outlineLevel="0" collapsed="false">
      <c r="B82" s="6" t="s">
        <v>167</v>
      </c>
      <c r="D82" s="33" t="n">
        <f aca="false">SUM(F82:H82)</f>
        <v>14310.97</v>
      </c>
      <c r="H82" s="33" t="n">
        <v>14310.97</v>
      </c>
    </row>
    <row r="83" customFormat="false" ht="15" hidden="false" customHeight="false" outlineLevel="0" collapsed="false">
      <c r="B83" s="6" t="s">
        <v>168</v>
      </c>
      <c r="D83" s="33" t="n">
        <f aca="false">SUM(F83:H83)</f>
        <v>20721.85</v>
      </c>
      <c r="H83" s="33" t="n">
        <v>20721.85</v>
      </c>
    </row>
    <row r="84" customFormat="false" ht="15" hidden="false" customHeight="false" outlineLevel="0" collapsed="false">
      <c r="B84" s="6" t="s">
        <v>169</v>
      </c>
      <c r="D84" s="33" t="n">
        <f aca="false">SUM(F84:H84)</f>
        <v>20019.46</v>
      </c>
      <c r="H84" s="33" t="n">
        <v>20019.46</v>
      </c>
    </row>
    <row r="85" customFormat="false" ht="15" hidden="false" customHeight="false" outlineLevel="0" collapsed="false">
      <c r="B85" s="6" t="s">
        <v>170</v>
      </c>
      <c r="D85" s="33" t="n">
        <f aca="false">SUM(F85:H85)</f>
        <v>18013.39</v>
      </c>
      <c r="H85" s="33" t="n">
        <v>18013.39</v>
      </c>
    </row>
    <row r="86" customFormat="false" ht="15" hidden="false" customHeight="false" outlineLevel="0" collapsed="false">
      <c r="B86" s="6" t="s">
        <v>171</v>
      </c>
      <c r="D86" s="33" t="n">
        <f aca="false">SUM(F86:H86)</f>
        <v>1255.28</v>
      </c>
      <c r="H86" s="33" t="n">
        <v>1255.28</v>
      </c>
    </row>
    <row r="87" customFormat="false" ht="15" hidden="false" customHeight="false" outlineLevel="0" collapsed="false">
      <c r="B87" s="6" t="s">
        <v>172</v>
      </c>
      <c r="D87" s="33" t="n">
        <f aca="false">SUM(F87:H87)</f>
        <v>28034.85</v>
      </c>
      <c r="H87" s="33" t="n">
        <v>28034.85</v>
      </c>
    </row>
    <row r="88" customFormat="false" ht="15" hidden="false" customHeight="false" outlineLevel="0" collapsed="false">
      <c r="B88" s="6" t="s">
        <v>173</v>
      </c>
      <c r="D88" s="33" t="n">
        <f aca="false">SUM(F88:H88)</f>
        <v>9209.33</v>
      </c>
      <c r="H88" s="33" t="n">
        <v>9209.33</v>
      </c>
    </row>
    <row r="89" customFormat="false" ht="15" hidden="false" customHeight="false" outlineLevel="0" collapsed="false">
      <c r="B89" s="6" t="s">
        <v>174</v>
      </c>
      <c r="D89" s="33" t="n">
        <f aca="false">SUM(F89:H89)</f>
        <v>8673.12</v>
      </c>
      <c r="H89" s="33" t="n">
        <v>8673.12</v>
      </c>
    </row>
    <row r="90" customFormat="false" ht="15" hidden="false" customHeight="false" outlineLevel="0" collapsed="false">
      <c r="B90" s="6" t="s">
        <v>175</v>
      </c>
      <c r="D90" s="33" t="n">
        <f aca="false">SUM(F90:H90)</f>
        <v>9530.52</v>
      </c>
      <c r="H90" s="33" t="n">
        <v>9530.52</v>
      </c>
    </row>
    <row r="91" customFormat="false" ht="15" hidden="false" customHeight="false" outlineLevel="0" collapsed="false">
      <c r="B91" s="6" t="s">
        <v>176</v>
      </c>
      <c r="D91" s="33" t="n">
        <f aca="false">SUM(F91:H91)</f>
        <v>20615.67</v>
      </c>
      <c r="H91" s="33" t="n">
        <v>20615.67</v>
      </c>
    </row>
    <row r="92" customFormat="false" ht="15" hidden="false" customHeight="false" outlineLevel="0" collapsed="false">
      <c r="B92" s="6" t="s">
        <v>177</v>
      </c>
      <c r="D92" s="33" t="n">
        <f aca="false">SUM(F92:H92)</f>
        <v>8186.44</v>
      </c>
      <c r="H92" s="33" t="n">
        <v>8186.44</v>
      </c>
    </row>
    <row r="93" customFormat="false" ht="15" hidden="false" customHeight="false" outlineLevel="0" collapsed="false">
      <c r="B93" s="6" t="s">
        <v>178</v>
      </c>
      <c r="D93" s="33" t="n">
        <f aca="false">SUM(F93:H93)</f>
        <v>1433.11</v>
      </c>
      <c r="H93" s="33" t="n">
        <v>1433.11</v>
      </c>
    </row>
    <row r="94" customFormat="false" ht="15" hidden="false" customHeight="false" outlineLevel="0" collapsed="false">
      <c r="B94" s="6" t="s">
        <v>179</v>
      </c>
      <c r="D94" s="33" t="n">
        <f aca="false">SUM(F94:H94)</f>
        <v>33915.86</v>
      </c>
      <c r="H94" s="33" t="n">
        <v>33915.86</v>
      </c>
    </row>
    <row r="95" customFormat="false" ht="15" hidden="false" customHeight="false" outlineLevel="0" collapsed="false">
      <c r="B95" s="6" t="s">
        <v>180</v>
      </c>
      <c r="D95" s="33" t="n">
        <f aca="false">SUM(F95:H95)</f>
        <v>4019.19</v>
      </c>
      <c r="H95" s="33" t="n">
        <v>4019.19</v>
      </c>
    </row>
    <row r="96" customFormat="false" ht="15" hidden="false" customHeight="false" outlineLevel="0" collapsed="false">
      <c r="B96" s="6" t="s">
        <v>181</v>
      </c>
      <c r="D96" s="33" t="n">
        <f aca="false">SUM(F96:H96)</f>
        <v>2482.89</v>
      </c>
      <c r="H96" s="33" t="n">
        <v>2482.89</v>
      </c>
    </row>
    <row r="97" customFormat="false" ht="15" hidden="false" customHeight="false" outlineLevel="0" collapsed="false">
      <c r="B97" s="6" t="s">
        <v>182</v>
      </c>
      <c r="D97" s="33" t="n">
        <f aca="false">SUM(F97:H97)</f>
        <v>901.51</v>
      </c>
      <c r="H97" s="33" t="n">
        <v>901.51</v>
      </c>
    </row>
    <row r="98" customFormat="false" ht="15" hidden="false" customHeight="false" outlineLevel="0" collapsed="false">
      <c r="B98" s="12" t="s">
        <v>148</v>
      </c>
      <c r="D98" s="34" t="n">
        <f aca="false">SUM(D69:D97)</f>
        <v>265816.45</v>
      </c>
      <c r="F98" s="34" t="n">
        <f aca="false">SUM(F69:F79)</f>
        <v>55766.87</v>
      </c>
      <c r="H98" s="34" t="n">
        <f aca="false">SUM(H81:H97)</f>
        <v>210049.58</v>
      </c>
    </row>
    <row r="99" customFormat="false" ht="15" hidden="false" customHeight="false" outlineLevel="0" collapsed="false">
      <c r="B99" s="30" t="s">
        <v>150</v>
      </c>
      <c r="F99" s="31" t="n">
        <f aca="false">F98/D98</f>
        <v>0.209794653415919</v>
      </c>
      <c r="H99" s="31" t="n">
        <f aca="false">H98/D98</f>
        <v>0.790205346584081</v>
      </c>
    </row>
    <row r="101" customFormat="false" ht="15" hidden="false" customHeight="false" outlineLevel="0" collapsed="false">
      <c r="A101" s="11" t="s">
        <v>134</v>
      </c>
    </row>
    <row r="102" customFormat="false" ht="15" hidden="false" customHeight="false" outlineLevel="0" collapsed="false">
      <c r="B102" s="5" t="s">
        <v>69</v>
      </c>
      <c r="D102" s="5" t="s">
        <v>72</v>
      </c>
      <c r="F102" s="5" t="s">
        <v>152</v>
      </c>
      <c r="H102" s="5" t="s">
        <v>116</v>
      </c>
    </row>
    <row r="103" customFormat="false" ht="15" hidden="false" customHeight="false" outlineLevel="0" collapsed="false">
      <c r="B103" s="6" t="s">
        <v>135</v>
      </c>
      <c r="D103" s="33" t="n">
        <f aca="false">F103+H103</f>
        <v>750.82</v>
      </c>
      <c r="F103" s="33" t="n">
        <v>157.52</v>
      </c>
      <c r="H103" s="33" t="n">
        <v>593.3</v>
      </c>
    </row>
    <row r="104" customFormat="false" ht="15" hidden="false" customHeight="false" outlineLevel="0" collapsed="false">
      <c r="B104" s="6" t="s">
        <v>136</v>
      </c>
      <c r="D104" s="33" t="n">
        <f aca="false">F104+H104</f>
        <v>223422.8</v>
      </c>
      <c r="F104" s="33" t="n">
        <v>46872.91</v>
      </c>
      <c r="H104" s="33" t="n">
        <v>176549.89</v>
      </c>
    </row>
    <row r="105" customFormat="false" ht="15" hidden="false" customHeight="false" outlineLevel="0" collapsed="false">
      <c r="B105" s="6" t="s">
        <v>137</v>
      </c>
      <c r="D105" s="33" t="n">
        <f aca="false">F105+H105</f>
        <v>13880.94</v>
      </c>
      <c r="F105" s="33" t="n">
        <v>2912.15</v>
      </c>
      <c r="H105" s="33" t="n">
        <v>10968.79</v>
      </c>
    </row>
    <row r="106" customFormat="false" ht="15" hidden="false" customHeight="false" outlineLevel="0" collapsed="false">
      <c r="B106" s="6" t="s">
        <v>138</v>
      </c>
      <c r="D106" s="33" t="n">
        <f aca="false">F106+H106</f>
        <v>27761.89</v>
      </c>
      <c r="F106" s="33" t="n">
        <v>5824.29</v>
      </c>
      <c r="H106" s="33" t="n">
        <v>21937.6</v>
      </c>
    </row>
    <row r="107" customFormat="false" ht="15" hidden="false" customHeight="false" outlineLevel="0" collapsed="false">
      <c r="B107" s="12" t="s">
        <v>139</v>
      </c>
      <c r="D107" s="34" t="n">
        <f aca="false">SUM(D103:D106)</f>
        <v>265816.45</v>
      </c>
      <c r="F107" s="34" t="n">
        <f aca="false">SUM(F103:F106)</f>
        <v>55766.87</v>
      </c>
      <c r="H107" s="34" t="n">
        <f aca="false">SUM(H103:H106)</f>
        <v>210049.58</v>
      </c>
    </row>
    <row r="108" customFormat="false" ht="15" hidden="false" customHeight="false" outlineLevel="0" collapsed="false">
      <c r="B108" s="4" t="s">
        <v>140</v>
      </c>
      <c r="D108" s="17" t="n">
        <f aca="false">D107-D98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206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81</v>
      </c>
      <c r="C10" s="23" t="s">
        <v>28</v>
      </c>
      <c r="D10" s="24" t="n">
        <v>11.42</v>
      </c>
      <c r="E10" s="24" t="n">
        <v>0</v>
      </c>
      <c r="F10" s="24" t="n">
        <v>0</v>
      </c>
      <c r="G10" s="24" t="n">
        <v>0.69</v>
      </c>
      <c r="H10" s="24" t="n">
        <v>0.29</v>
      </c>
      <c r="I10" s="24" t="n">
        <f aca="false">G10+H10</f>
        <v>0.98</v>
      </c>
      <c r="J10" s="24" t="n">
        <f aca="false">D10-I10</f>
        <v>10.44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3" t="n">
        <v>2</v>
      </c>
      <c r="B11" s="23" t="s">
        <v>84</v>
      </c>
      <c r="C11" s="23" t="s">
        <v>30</v>
      </c>
      <c r="D11" s="24" t="n">
        <v>3398.09</v>
      </c>
      <c r="E11" s="24" t="n">
        <v>0</v>
      </c>
      <c r="F11" s="24" t="n">
        <v>0</v>
      </c>
      <c r="G11" s="24" t="n">
        <v>731.3</v>
      </c>
      <c r="H11" s="24" t="n">
        <v>79.9</v>
      </c>
      <c r="I11" s="24" t="n">
        <f aca="false">G11+H11</f>
        <v>811.2</v>
      </c>
      <c r="J11" s="24" t="n">
        <f aca="false">D11-I11</f>
        <v>2586.89</v>
      </c>
      <c r="K11" s="25" t="s">
        <v>82</v>
      </c>
      <c r="L11" s="25" t="s">
        <v>83</v>
      </c>
    </row>
    <row r="12" customFormat="false" ht="15" hidden="false" customHeight="false" outlineLevel="0" collapsed="false">
      <c r="A12" s="23" t="n">
        <v>3</v>
      </c>
      <c r="B12" s="23" t="s">
        <v>85</v>
      </c>
      <c r="C12" s="23" t="s">
        <v>30</v>
      </c>
      <c r="D12" s="24" t="n">
        <v>211.1</v>
      </c>
      <c r="E12" s="24" t="n">
        <v>0</v>
      </c>
      <c r="F12" s="24" t="n">
        <v>0</v>
      </c>
      <c r="G12" s="24" t="n">
        <v>197.03</v>
      </c>
      <c r="H12" s="24" t="n">
        <v>0</v>
      </c>
      <c r="I12" s="24" t="n">
        <f aca="false">G12+H12</f>
        <v>197.03</v>
      </c>
      <c r="J12" s="24" t="n">
        <f aca="false">D12-I12</f>
        <v>14.07</v>
      </c>
      <c r="K12" s="25" t="s">
        <v>82</v>
      </c>
      <c r="L12" s="25" t="s">
        <v>83</v>
      </c>
    </row>
    <row r="13" customFormat="false" ht="15" hidden="false" customHeight="false" outlineLevel="0" collapsed="false">
      <c r="A13" s="23" t="n">
        <v>4</v>
      </c>
      <c r="B13" s="23" t="s">
        <v>86</v>
      </c>
      <c r="C13" s="23" t="s">
        <v>30</v>
      </c>
      <c r="D13" s="24" t="n">
        <v>422.23</v>
      </c>
      <c r="E13" s="24" t="n">
        <v>0</v>
      </c>
      <c r="F13" s="24" t="n">
        <v>0</v>
      </c>
      <c r="G13" s="24" t="n">
        <v>203.18</v>
      </c>
      <c r="H13" s="24" t="n">
        <v>24.91</v>
      </c>
      <c r="I13" s="24" t="n">
        <f aca="false">G13+H13</f>
        <v>228.09</v>
      </c>
      <c r="J13" s="24" t="n">
        <f aca="false">D13-I13</f>
        <v>194.14</v>
      </c>
      <c r="K13" s="25" t="s">
        <v>82</v>
      </c>
      <c r="L13" s="25" t="s">
        <v>83</v>
      </c>
    </row>
    <row r="14" customFormat="false" ht="15" hidden="false" customHeight="false" outlineLevel="0" collapsed="false">
      <c r="A14" s="26"/>
      <c r="B14" s="27" t="s">
        <v>36</v>
      </c>
      <c r="C14" s="26"/>
      <c r="D14" s="28" t="n">
        <f aca="false">SUM(D10:D13)</f>
        <v>4042.84</v>
      </c>
      <c r="E14" s="28" t="n">
        <f aca="false">SUM(E10:E13)</f>
        <v>0</v>
      </c>
      <c r="F14" s="28" t="n">
        <f aca="false">SUM(F10:F13)</f>
        <v>0</v>
      </c>
      <c r="G14" s="28" t="n">
        <f aca="false">SUM(G10:G13)</f>
        <v>1132.2</v>
      </c>
      <c r="H14" s="28" t="n">
        <f aca="false">SUM(H10:H13)</f>
        <v>105.1</v>
      </c>
      <c r="I14" s="28" t="n">
        <f aca="false">SUM(I10:I13)</f>
        <v>1237.3</v>
      </c>
      <c r="J14" s="28" t="n">
        <f aca="false">SUM(J10:J13)</f>
        <v>2805.54</v>
      </c>
      <c r="K14" s="26"/>
      <c r="L14" s="26"/>
    </row>
    <row r="16" customFormat="false" ht="15" hidden="false" customHeight="false" outlineLevel="0" collapsed="false">
      <c r="A16" s="21" t="s">
        <v>87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</row>
    <row r="17" customFormat="false" ht="22.35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72</v>
      </c>
      <c r="E17" s="5" t="s">
        <v>73</v>
      </c>
      <c r="F17" s="5" t="s">
        <v>74</v>
      </c>
      <c r="G17" s="5" t="s">
        <v>75</v>
      </c>
      <c r="H17" s="5" t="s">
        <v>76</v>
      </c>
      <c r="I17" s="5" t="s">
        <v>77</v>
      </c>
      <c r="J17" s="5" t="s">
        <v>78</v>
      </c>
      <c r="K17" s="5" t="s">
        <v>79</v>
      </c>
      <c r="L17" s="5" t="s">
        <v>80</v>
      </c>
    </row>
    <row r="18" customFormat="false" ht="15" hidden="false" customHeight="false" outlineLevel="0" collapsed="false">
      <c r="A18" s="23" t="n">
        <v>1</v>
      </c>
      <c r="B18" s="23" t="s">
        <v>142</v>
      </c>
      <c r="C18" s="23" t="s">
        <v>28</v>
      </c>
      <c r="D18" s="24" t="n">
        <v>1.36</v>
      </c>
      <c r="E18" s="24" t="n">
        <v>0</v>
      </c>
      <c r="F18" s="24" t="n">
        <v>1.36</v>
      </c>
      <c r="G18" s="24" t="n">
        <v>1.36</v>
      </c>
      <c r="H18" s="24" t="n">
        <v>0</v>
      </c>
      <c r="I18" s="24" t="n">
        <f aca="false">G18+H18</f>
        <v>1.36</v>
      </c>
      <c r="J18" s="24" t="n">
        <f aca="false">D18-I18</f>
        <v>0</v>
      </c>
      <c r="K18" s="25" t="s">
        <v>143</v>
      </c>
      <c r="L18" s="25" t="s">
        <v>144</v>
      </c>
    </row>
    <row r="19" customFormat="false" ht="15" hidden="false" customHeight="false" outlineLevel="0" collapsed="false">
      <c r="A19" s="23" t="n">
        <v>2</v>
      </c>
      <c r="B19" s="23" t="s">
        <v>91</v>
      </c>
      <c r="C19" s="23" t="s">
        <v>28</v>
      </c>
      <c r="D19" s="24" t="n">
        <v>10.06</v>
      </c>
      <c r="E19" s="24" t="n">
        <v>0</v>
      </c>
      <c r="F19" s="24" t="n">
        <v>0</v>
      </c>
      <c r="G19" s="24" t="n">
        <v>0.78</v>
      </c>
      <c r="H19" s="24" t="n">
        <v>0.34</v>
      </c>
      <c r="I19" s="24" t="n">
        <f aca="false">G19+H19</f>
        <v>1.12</v>
      </c>
      <c r="J19" s="24" t="n">
        <f aca="false">D19-I19</f>
        <v>8.94</v>
      </c>
      <c r="K19" s="25" t="s">
        <v>82</v>
      </c>
      <c r="L19" s="25" t="s">
        <v>92</v>
      </c>
    </row>
    <row r="20" customFormat="false" ht="15" hidden="false" customHeight="false" outlineLevel="0" collapsed="false">
      <c r="A20" s="23" t="n">
        <v>3</v>
      </c>
      <c r="B20" s="23" t="s">
        <v>145</v>
      </c>
      <c r="C20" s="23" t="s">
        <v>30</v>
      </c>
      <c r="D20" s="24" t="n">
        <v>404.56</v>
      </c>
      <c r="E20" s="24" t="n">
        <v>0</v>
      </c>
      <c r="F20" s="24" t="n">
        <v>0</v>
      </c>
      <c r="G20" s="24" t="n">
        <v>404.56</v>
      </c>
      <c r="H20" s="24" t="n">
        <v>0</v>
      </c>
      <c r="I20" s="24" t="n">
        <f aca="false">G20+H20</f>
        <v>404.56</v>
      </c>
      <c r="J20" s="24" t="n">
        <f aca="false">D20-I20</f>
        <v>0</v>
      </c>
      <c r="K20" s="25" t="s">
        <v>143</v>
      </c>
      <c r="L20" s="25" t="s">
        <v>144</v>
      </c>
    </row>
    <row r="21" customFormat="false" ht="15" hidden="false" customHeight="false" outlineLevel="0" collapsed="false">
      <c r="A21" s="23" t="n">
        <v>4</v>
      </c>
      <c r="B21" s="23" t="s">
        <v>94</v>
      </c>
      <c r="C21" s="23" t="s">
        <v>30</v>
      </c>
      <c r="D21" s="24" t="n">
        <v>2993.53</v>
      </c>
      <c r="E21" s="24" t="n">
        <v>0</v>
      </c>
      <c r="F21" s="24" t="n">
        <v>0</v>
      </c>
      <c r="G21" s="24" t="n">
        <v>661.05</v>
      </c>
      <c r="H21" s="24" t="n">
        <v>99.78</v>
      </c>
      <c r="I21" s="24" t="n">
        <f aca="false">G21+H21</f>
        <v>760.83</v>
      </c>
      <c r="J21" s="24" t="n">
        <f aca="false">D21-I21</f>
        <v>2232.7</v>
      </c>
      <c r="K21" s="25" t="s">
        <v>82</v>
      </c>
      <c r="L21" s="25" t="s">
        <v>92</v>
      </c>
    </row>
    <row r="22" customFormat="false" ht="15" hidden="false" customHeight="false" outlineLevel="0" collapsed="false">
      <c r="A22" s="23" t="n">
        <v>5</v>
      </c>
      <c r="B22" s="23" t="s">
        <v>146</v>
      </c>
      <c r="C22" s="23" t="s">
        <v>30</v>
      </c>
      <c r="D22" s="24" t="n">
        <v>25.13</v>
      </c>
      <c r="E22" s="24" t="n">
        <v>0</v>
      </c>
      <c r="F22" s="24" t="n">
        <v>0</v>
      </c>
      <c r="G22" s="24" t="n">
        <v>25.13</v>
      </c>
      <c r="H22" s="24" t="n">
        <v>0</v>
      </c>
      <c r="I22" s="24" t="n">
        <f aca="false">G22+H22</f>
        <v>25.13</v>
      </c>
      <c r="J22" s="24" t="n">
        <f aca="false">D22-I22</f>
        <v>0</v>
      </c>
      <c r="K22" s="25" t="s">
        <v>143</v>
      </c>
      <c r="L22" s="25" t="s">
        <v>144</v>
      </c>
    </row>
    <row r="23" customFormat="false" ht="15" hidden="false" customHeight="false" outlineLevel="0" collapsed="false">
      <c r="A23" s="23" t="n">
        <v>6</v>
      </c>
      <c r="B23" s="23" t="s">
        <v>96</v>
      </c>
      <c r="C23" s="23" t="s">
        <v>30</v>
      </c>
      <c r="D23" s="24" t="n">
        <v>185.97</v>
      </c>
      <c r="E23" s="24" t="n">
        <v>0</v>
      </c>
      <c r="F23" s="24" t="n">
        <v>0</v>
      </c>
      <c r="G23" s="24" t="n">
        <v>41.07</v>
      </c>
      <c r="H23" s="24" t="n">
        <v>6.2</v>
      </c>
      <c r="I23" s="24" t="n">
        <f aca="false">G23+H23</f>
        <v>47.27</v>
      </c>
      <c r="J23" s="24" t="n">
        <f aca="false">D23-I23</f>
        <v>138.7</v>
      </c>
      <c r="K23" s="25" t="s">
        <v>82</v>
      </c>
      <c r="L23" s="25" t="s">
        <v>92</v>
      </c>
    </row>
    <row r="24" customFormat="false" ht="15" hidden="false" customHeight="false" outlineLevel="0" collapsed="false">
      <c r="A24" s="23" t="n">
        <v>7</v>
      </c>
      <c r="B24" s="23" t="s">
        <v>147</v>
      </c>
      <c r="C24" s="23" t="s">
        <v>30</v>
      </c>
      <c r="D24" s="24" t="n">
        <v>50.27</v>
      </c>
      <c r="E24" s="24" t="n">
        <v>0</v>
      </c>
      <c r="F24" s="24" t="n">
        <v>0</v>
      </c>
      <c r="G24" s="24" t="n">
        <v>50.27</v>
      </c>
      <c r="H24" s="24" t="n">
        <v>0</v>
      </c>
      <c r="I24" s="24" t="n">
        <f aca="false">G24+H24</f>
        <v>50.27</v>
      </c>
      <c r="J24" s="24" t="n">
        <f aca="false">D24-I24</f>
        <v>0</v>
      </c>
      <c r="K24" s="25" t="s">
        <v>89</v>
      </c>
      <c r="L24" s="25" t="s">
        <v>144</v>
      </c>
    </row>
    <row r="25" customFormat="false" ht="15" hidden="false" customHeight="false" outlineLevel="0" collapsed="false">
      <c r="A25" s="23" t="n">
        <v>8</v>
      </c>
      <c r="B25" s="23" t="s">
        <v>98</v>
      </c>
      <c r="C25" s="23" t="s">
        <v>30</v>
      </c>
      <c r="D25" s="24" t="n">
        <v>371.96</v>
      </c>
      <c r="E25" s="24" t="n">
        <v>0</v>
      </c>
      <c r="F25" s="24" t="n">
        <v>0</v>
      </c>
      <c r="G25" s="24" t="n">
        <v>82.15</v>
      </c>
      <c r="H25" s="24" t="n">
        <v>12.4</v>
      </c>
      <c r="I25" s="24" t="n">
        <f aca="false">G25+H25</f>
        <v>94.55</v>
      </c>
      <c r="J25" s="24" t="n">
        <f aca="false">D25-I25</f>
        <v>277.41</v>
      </c>
      <c r="K25" s="25" t="s">
        <v>82</v>
      </c>
      <c r="L25" s="25" t="s">
        <v>92</v>
      </c>
    </row>
    <row r="26" customFormat="false" ht="15" hidden="false" customHeight="false" outlineLevel="0" collapsed="false">
      <c r="A26" s="26"/>
      <c r="B26" s="27" t="s">
        <v>36</v>
      </c>
      <c r="C26" s="26"/>
      <c r="D26" s="28" t="n">
        <f aca="false">SUM(D18:D25)</f>
        <v>4042.84</v>
      </c>
      <c r="E26" s="28" t="n">
        <f aca="false">SUM(E18:E25)</f>
        <v>0</v>
      </c>
      <c r="F26" s="28" t="n">
        <f aca="false">SUM(F18:F25)</f>
        <v>1.36</v>
      </c>
      <c r="G26" s="28" t="n">
        <f aca="false">SUM(G18:G25)</f>
        <v>1266.37</v>
      </c>
      <c r="H26" s="28" t="n">
        <f aca="false">SUM(H18:H25)</f>
        <v>118.72</v>
      </c>
      <c r="I26" s="28" t="n">
        <f aca="false">SUM(I18:I25)</f>
        <v>1385.09</v>
      </c>
      <c r="J26" s="28" t="n">
        <f aca="false">SUM(J18:J25)</f>
        <v>2657.75</v>
      </c>
      <c r="K26" s="26"/>
      <c r="L26" s="26"/>
    </row>
    <row r="28" customFormat="false" ht="15" hidden="false" customHeight="false" outlineLevel="0" collapsed="false">
      <c r="B28" s="18" t="s">
        <v>99</v>
      </c>
    </row>
    <row r="29" customFormat="false" ht="15" hidden="false" customHeight="false" outlineLevel="0" collapsed="false">
      <c r="B29" s="6" t="s">
        <v>100</v>
      </c>
      <c r="D29" s="7" t="n">
        <f aca="false">I14</f>
        <v>1237.3</v>
      </c>
    </row>
    <row r="30" customFormat="false" ht="15" hidden="false" customHeight="false" outlineLevel="0" collapsed="false">
      <c r="B30" s="6" t="s">
        <v>101</v>
      </c>
      <c r="D30" s="7" t="n">
        <f aca="false">I26</f>
        <v>1385.09</v>
      </c>
    </row>
    <row r="31" customFormat="false" ht="15" hidden="false" customHeight="false" outlineLevel="0" collapsed="false">
      <c r="B31" s="12" t="s">
        <v>99</v>
      </c>
      <c r="D31" s="29" t="n">
        <f aca="false">D29-D30</f>
        <v>-147.79</v>
      </c>
    </row>
    <row r="33" customFormat="false" ht="15" hidden="false" customHeight="false" outlineLevel="0" collapsed="false">
      <c r="A33" s="11" t="s">
        <v>102</v>
      </c>
    </row>
    <row r="34" customFormat="false" ht="15" hidden="false" customHeight="false" outlineLevel="0" collapsed="false">
      <c r="A34" s="21" t="s">
        <v>103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</row>
    <row r="35" customFormat="false" ht="22.35" hidden="false" customHeight="false" outlineLevel="0" collapsed="false">
      <c r="A35" s="5" t="s">
        <v>69</v>
      </c>
      <c r="B35" s="5" t="s">
        <v>70</v>
      </c>
      <c r="C35" s="5" t="s">
        <v>71</v>
      </c>
      <c r="D35" s="5" t="s">
        <v>72</v>
      </c>
      <c r="E35" s="5" t="s">
        <v>73</v>
      </c>
      <c r="F35" s="5" t="s">
        <v>74</v>
      </c>
      <c r="G35" s="5" t="s">
        <v>104</v>
      </c>
      <c r="H35" s="5" t="s">
        <v>105</v>
      </c>
      <c r="I35" s="5" t="s">
        <v>77</v>
      </c>
      <c r="J35" s="5" t="s">
        <v>78</v>
      </c>
      <c r="K35" s="5" t="s">
        <v>79</v>
      </c>
      <c r="L35" s="5" t="s">
        <v>80</v>
      </c>
    </row>
    <row r="36" customFormat="false" ht="15" hidden="false" customHeight="false" outlineLevel="0" collapsed="false">
      <c r="A36" s="23" t="n">
        <v>1</v>
      </c>
      <c r="B36" s="23" t="s">
        <v>81</v>
      </c>
      <c r="C36" s="23" t="s">
        <v>28</v>
      </c>
      <c r="D36" s="24" t="n">
        <v>11.42</v>
      </c>
      <c r="E36" s="24" t="n">
        <v>0</v>
      </c>
      <c r="F36" s="24" t="n">
        <v>0</v>
      </c>
      <c r="G36" s="24" t="n">
        <v>0.69</v>
      </c>
      <c r="H36" s="24" t="n">
        <v>0.29</v>
      </c>
      <c r="I36" s="24" t="n">
        <f aca="false">G36+H36</f>
        <v>0.98</v>
      </c>
      <c r="J36" s="24" t="n">
        <f aca="false">D36-I36</f>
        <v>10.44</v>
      </c>
      <c r="K36" s="25" t="s">
        <v>82</v>
      </c>
      <c r="L36" s="25" t="s">
        <v>83</v>
      </c>
    </row>
    <row r="37" customFormat="false" ht="15" hidden="false" customHeight="false" outlineLevel="0" collapsed="false">
      <c r="A37" s="23" t="n">
        <v>2</v>
      </c>
      <c r="B37" s="23" t="s">
        <v>84</v>
      </c>
      <c r="C37" s="23" t="s">
        <v>30</v>
      </c>
      <c r="D37" s="24" t="n">
        <v>3398.09</v>
      </c>
      <c r="E37" s="24" t="n">
        <v>0</v>
      </c>
      <c r="F37" s="24" t="n">
        <v>0</v>
      </c>
      <c r="G37" s="24" t="n">
        <v>731.3</v>
      </c>
      <c r="H37" s="24" t="n">
        <v>79.9</v>
      </c>
      <c r="I37" s="24" t="n">
        <f aca="false">G37+H37</f>
        <v>811.2</v>
      </c>
      <c r="J37" s="24" t="n">
        <f aca="false">D37-I37</f>
        <v>2586.89</v>
      </c>
      <c r="K37" s="25" t="s">
        <v>82</v>
      </c>
      <c r="L37" s="25" t="s">
        <v>83</v>
      </c>
    </row>
    <row r="38" customFormat="false" ht="15" hidden="false" customHeight="false" outlineLevel="0" collapsed="false">
      <c r="A38" s="23" t="n">
        <v>3</v>
      </c>
      <c r="B38" s="23" t="s">
        <v>85</v>
      </c>
      <c r="C38" s="23" t="s">
        <v>30</v>
      </c>
      <c r="D38" s="24" t="n">
        <v>211.1</v>
      </c>
      <c r="E38" s="24" t="n">
        <v>0</v>
      </c>
      <c r="F38" s="24" t="n">
        <v>0</v>
      </c>
      <c r="G38" s="24" t="n">
        <v>197.03</v>
      </c>
      <c r="H38" s="24" t="n">
        <v>0</v>
      </c>
      <c r="I38" s="24" t="n">
        <f aca="false">G38+H38</f>
        <v>197.03</v>
      </c>
      <c r="J38" s="24" t="n">
        <f aca="false">D38-I38</f>
        <v>14.07</v>
      </c>
      <c r="K38" s="25" t="s">
        <v>82</v>
      </c>
      <c r="L38" s="25" t="s">
        <v>83</v>
      </c>
    </row>
    <row r="39" customFormat="false" ht="15" hidden="false" customHeight="false" outlineLevel="0" collapsed="false">
      <c r="A39" s="23" t="n">
        <v>4</v>
      </c>
      <c r="B39" s="23" t="s">
        <v>86</v>
      </c>
      <c r="C39" s="23" t="s">
        <v>30</v>
      </c>
      <c r="D39" s="24" t="n">
        <v>422.23</v>
      </c>
      <c r="E39" s="24" t="n">
        <v>0</v>
      </c>
      <c r="F39" s="24" t="n">
        <v>0</v>
      </c>
      <c r="G39" s="24" t="n">
        <v>203.18</v>
      </c>
      <c r="H39" s="24" t="n">
        <v>24.91</v>
      </c>
      <c r="I39" s="24" t="n">
        <f aca="false">G39+H39</f>
        <v>228.09</v>
      </c>
      <c r="J39" s="24" t="n">
        <f aca="false">D39-I39</f>
        <v>194.14</v>
      </c>
      <c r="K39" s="25" t="s">
        <v>82</v>
      </c>
      <c r="L39" s="25" t="s">
        <v>83</v>
      </c>
    </row>
    <row r="40" customFormat="false" ht="15" hidden="false" customHeight="false" outlineLevel="0" collapsed="false">
      <c r="A40" s="26"/>
      <c r="B40" s="27" t="s">
        <v>36</v>
      </c>
      <c r="C40" s="26"/>
      <c r="D40" s="28" t="n">
        <f aca="false">SUM(D36:D39)</f>
        <v>4042.84</v>
      </c>
      <c r="E40" s="28" t="n">
        <f aca="false">SUM(E36:E39)</f>
        <v>0</v>
      </c>
      <c r="F40" s="28" t="n">
        <f aca="false">SUM(F36:F39)</f>
        <v>0</v>
      </c>
      <c r="G40" s="28" t="n">
        <f aca="false">SUM(G36:G39)</f>
        <v>1132.2</v>
      </c>
      <c r="H40" s="28" t="n">
        <f aca="false">SUM(H36:H39)</f>
        <v>105.1</v>
      </c>
      <c r="I40" s="28" t="n">
        <f aca="false">SUM(I36:I39)</f>
        <v>1237.3</v>
      </c>
      <c r="J40" s="28" t="n">
        <f aca="false">SUM(J36:J39)</f>
        <v>2805.54</v>
      </c>
      <c r="K40" s="26"/>
      <c r="L40" s="26"/>
    </row>
    <row r="42" customFormat="false" ht="15" hidden="false" customHeight="false" outlineLevel="0" collapsed="false">
      <c r="A42" s="21" t="s">
        <v>106</v>
      </c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</row>
    <row r="43" customFormat="false" ht="22.35" hidden="false" customHeight="false" outlineLevel="0" collapsed="false">
      <c r="A43" s="5" t="s">
        <v>69</v>
      </c>
      <c r="B43" s="5" t="s">
        <v>70</v>
      </c>
      <c r="C43" s="5" t="s">
        <v>71</v>
      </c>
      <c r="D43" s="5" t="s">
        <v>72</v>
      </c>
      <c r="E43" s="5" t="s">
        <v>73</v>
      </c>
      <c r="F43" s="5" t="s">
        <v>74</v>
      </c>
      <c r="G43" s="5" t="s">
        <v>104</v>
      </c>
      <c r="H43" s="5" t="s">
        <v>105</v>
      </c>
      <c r="I43" s="5" t="s">
        <v>77</v>
      </c>
      <c r="J43" s="5" t="s">
        <v>78</v>
      </c>
      <c r="K43" s="5" t="s">
        <v>79</v>
      </c>
      <c r="L43" s="5" t="s">
        <v>80</v>
      </c>
    </row>
    <row r="44" customFormat="false" ht="15" hidden="false" customHeight="false" outlineLevel="0" collapsed="false">
      <c r="A44" s="23" t="n">
        <v>1</v>
      </c>
      <c r="B44" s="23" t="s">
        <v>142</v>
      </c>
      <c r="C44" s="23" t="s">
        <v>28</v>
      </c>
      <c r="D44" s="24" t="n">
        <v>1.36</v>
      </c>
      <c r="E44" s="24" t="n">
        <v>0</v>
      </c>
      <c r="F44" s="24" t="n">
        <v>1.36</v>
      </c>
      <c r="G44" s="24" t="n">
        <v>1.36</v>
      </c>
      <c r="H44" s="24" t="n">
        <v>0</v>
      </c>
      <c r="I44" s="24" t="n">
        <f aca="false">G44+H44</f>
        <v>1.36</v>
      </c>
      <c r="J44" s="24" t="n">
        <f aca="false">D44-I44</f>
        <v>0</v>
      </c>
      <c r="K44" s="25" t="s">
        <v>143</v>
      </c>
      <c r="L44" s="25" t="s">
        <v>144</v>
      </c>
    </row>
    <row r="45" customFormat="false" ht="15" hidden="false" customHeight="false" outlineLevel="0" collapsed="false">
      <c r="A45" s="23" t="n">
        <v>2</v>
      </c>
      <c r="B45" s="23" t="s">
        <v>91</v>
      </c>
      <c r="C45" s="23" t="s">
        <v>28</v>
      </c>
      <c r="D45" s="24" t="n">
        <v>10.06</v>
      </c>
      <c r="E45" s="24" t="n">
        <v>0</v>
      </c>
      <c r="F45" s="24" t="n">
        <v>0</v>
      </c>
      <c r="G45" s="24" t="n">
        <v>0.78</v>
      </c>
      <c r="H45" s="24" t="n">
        <v>0.34</v>
      </c>
      <c r="I45" s="24" t="n">
        <f aca="false">G45+H45</f>
        <v>1.12</v>
      </c>
      <c r="J45" s="24" t="n">
        <f aca="false">D45-I45</f>
        <v>8.94</v>
      </c>
      <c r="K45" s="25" t="s">
        <v>82</v>
      </c>
      <c r="L45" s="25" t="s">
        <v>92</v>
      </c>
    </row>
    <row r="46" customFormat="false" ht="15" hidden="false" customHeight="false" outlineLevel="0" collapsed="false">
      <c r="A46" s="23" t="n">
        <v>3</v>
      </c>
      <c r="B46" s="23" t="s">
        <v>145</v>
      </c>
      <c r="C46" s="23" t="s">
        <v>30</v>
      </c>
      <c r="D46" s="24" t="n">
        <v>404.56</v>
      </c>
      <c r="E46" s="24" t="n">
        <v>0</v>
      </c>
      <c r="F46" s="24" t="n">
        <v>0</v>
      </c>
      <c r="G46" s="24" t="n">
        <v>404.56</v>
      </c>
      <c r="H46" s="24" t="n">
        <v>0</v>
      </c>
      <c r="I46" s="24" t="n">
        <f aca="false">G46+H46</f>
        <v>404.56</v>
      </c>
      <c r="J46" s="24" t="n">
        <f aca="false">D46-I46</f>
        <v>0</v>
      </c>
      <c r="K46" s="25" t="s">
        <v>143</v>
      </c>
      <c r="L46" s="25" t="s">
        <v>144</v>
      </c>
    </row>
    <row r="47" customFormat="false" ht="15" hidden="false" customHeight="false" outlineLevel="0" collapsed="false">
      <c r="A47" s="23" t="n">
        <v>4</v>
      </c>
      <c r="B47" s="23" t="s">
        <v>94</v>
      </c>
      <c r="C47" s="23" t="s">
        <v>30</v>
      </c>
      <c r="D47" s="24" t="n">
        <v>2993.53</v>
      </c>
      <c r="E47" s="24" t="n">
        <v>0</v>
      </c>
      <c r="F47" s="24" t="n">
        <v>0</v>
      </c>
      <c r="G47" s="24" t="n">
        <v>661.05</v>
      </c>
      <c r="H47" s="24" t="n">
        <v>99.78</v>
      </c>
      <c r="I47" s="24" t="n">
        <f aca="false">G47+H47</f>
        <v>760.83</v>
      </c>
      <c r="J47" s="24" t="n">
        <f aca="false">D47-I47</f>
        <v>2232.7</v>
      </c>
      <c r="K47" s="25" t="s">
        <v>82</v>
      </c>
      <c r="L47" s="25" t="s">
        <v>92</v>
      </c>
    </row>
    <row r="48" customFormat="false" ht="15" hidden="false" customHeight="false" outlineLevel="0" collapsed="false">
      <c r="A48" s="23" t="n">
        <v>5</v>
      </c>
      <c r="B48" s="23" t="s">
        <v>146</v>
      </c>
      <c r="C48" s="23" t="s">
        <v>30</v>
      </c>
      <c r="D48" s="24" t="n">
        <v>25.13</v>
      </c>
      <c r="E48" s="24" t="n">
        <v>0</v>
      </c>
      <c r="F48" s="24" t="n">
        <v>0</v>
      </c>
      <c r="G48" s="24" t="n">
        <v>25.13</v>
      </c>
      <c r="H48" s="24" t="n">
        <v>0</v>
      </c>
      <c r="I48" s="24" t="n">
        <f aca="false">G48+H48</f>
        <v>25.13</v>
      </c>
      <c r="J48" s="24" t="n">
        <f aca="false">D48-I48</f>
        <v>0</v>
      </c>
      <c r="K48" s="25" t="s">
        <v>143</v>
      </c>
      <c r="L48" s="25" t="s">
        <v>144</v>
      </c>
    </row>
    <row r="49" customFormat="false" ht="15" hidden="false" customHeight="false" outlineLevel="0" collapsed="false">
      <c r="A49" s="23" t="n">
        <v>6</v>
      </c>
      <c r="B49" s="23" t="s">
        <v>96</v>
      </c>
      <c r="C49" s="23" t="s">
        <v>30</v>
      </c>
      <c r="D49" s="24" t="n">
        <v>185.97</v>
      </c>
      <c r="E49" s="24" t="n">
        <v>0</v>
      </c>
      <c r="F49" s="24" t="n">
        <v>0</v>
      </c>
      <c r="G49" s="24" t="n">
        <v>41.07</v>
      </c>
      <c r="H49" s="24" t="n">
        <v>6.2</v>
      </c>
      <c r="I49" s="24" t="n">
        <f aca="false">G49+H49</f>
        <v>47.27</v>
      </c>
      <c r="J49" s="24" t="n">
        <f aca="false">D49-I49</f>
        <v>138.7</v>
      </c>
      <c r="K49" s="25" t="s">
        <v>82</v>
      </c>
      <c r="L49" s="25" t="s">
        <v>92</v>
      </c>
    </row>
    <row r="50" customFormat="false" ht="15" hidden="false" customHeight="false" outlineLevel="0" collapsed="false">
      <c r="A50" s="23" t="n">
        <v>7</v>
      </c>
      <c r="B50" s="23" t="s">
        <v>147</v>
      </c>
      <c r="C50" s="23" t="s">
        <v>30</v>
      </c>
      <c r="D50" s="24" t="n">
        <v>50.27</v>
      </c>
      <c r="E50" s="24" t="n">
        <v>0</v>
      </c>
      <c r="F50" s="24" t="n">
        <v>0</v>
      </c>
      <c r="G50" s="24" t="n">
        <v>50.27</v>
      </c>
      <c r="H50" s="24" t="n">
        <v>0</v>
      </c>
      <c r="I50" s="24" t="n">
        <f aca="false">G50+H50</f>
        <v>50.27</v>
      </c>
      <c r="J50" s="24" t="n">
        <f aca="false">D50-I50</f>
        <v>0</v>
      </c>
      <c r="K50" s="25" t="s">
        <v>89</v>
      </c>
      <c r="L50" s="25" t="s">
        <v>144</v>
      </c>
    </row>
    <row r="51" customFormat="false" ht="15" hidden="false" customHeight="false" outlineLevel="0" collapsed="false">
      <c r="A51" s="23" t="n">
        <v>8</v>
      </c>
      <c r="B51" s="23" t="s">
        <v>98</v>
      </c>
      <c r="C51" s="23" t="s">
        <v>30</v>
      </c>
      <c r="D51" s="24" t="n">
        <v>371.96</v>
      </c>
      <c r="E51" s="24" t="n">
        <v>0</v>
      </c>
      <c r="F51" s="24" t="n">
        <v>0</v>
      </c>
      <c r="G51" s="24" t="n">
        <v>82.15</v>
      </c>
      <c r="H51" s="24" t="n">
        <v>12.4</v>
      </c>
      <c r="I51" s="24" t="n">
        <f aca="false">G51+H51</f>
        <v>94.55</v>
      </c>
      <c r="J51" s="24" t="n">
        <f aca="false">D51-I51</f>
        <v>277.41</v>
      </c>
      <c r="K51" s="25" t="s">
        <v>82</v>
      </c>
      <c r="L51" s="25" t="s">
        <v>92</v>
      </c>
    </row>
    <row r="52" customFormat="false" ht="15" hidden="false" customHeight="false" outlineLevel="0" collapsed="false">
      <c r="A52" s="26"/>
      <c r="B52" s="27" t="s">
        <v>36</v>
      </c>
      <c r="C52" s="26"/>
      <c r="D52" s="28" t="n">
        <f aca="false">SUM(D44:D51)</f>
        <v>4042.84</v>
      </c>
      <c r="E52" s="28" t="n">
        <f aca="false">SUM(E44:E51)</f>
        <v>0</v>
      </c>
      <c r="F52" s="28" t="n">
        <f aca="false">SUM(F44:F51)</f>
        <v>1.36</v>
      </c>
      <c r="G52" s="28" t="n">
        <f aca="false">SUM(G44:G51)</f>
        <v>1266.37</v>
      </c>
      <c r="H52" s="28" t="n">
        <f aca="false">SUM(H44:H51)</f>
        <v>118.72</v>
      </c>
      <c r="I52" s="28" t="n">
        <f aca="false">SUM(I44:I51)</f>
        <v>1385.09</v>
      </c>
      <c r="J52" s="28" t="n">
        <f aca="false">SUM(J44:J51)</f>
        <v>2657.75</v>
      </c>
      <c r="K52" s="26"/>
      <c r="L52" s="26"/>
    </row>
    <row r="54" customFormat="false" ht="15" hidden="false" customHeight="false" outlineLevel="0" collapsed="false">
      <c r="B54" s="18" t="s">
        <v>107</v>
      </c>
    </row>
    <row r="55" customFormat="false" ht="15" hidden="false" customHeight="false" outlineLevel="0" collapsed="false">
      <c r="B55" s="6" t="s">
        <v>100</v>
      </c>
      <c r="D55" s="7" t="n">
        <f aca="false">I40</f>
        <v>1237.3</v>
      </c>
    </row>
    <row r="56" customFormat="false" ht="15" hidden="false" customHeight="false" outlineLevel="0" collapsed="false">
      <c r="B56" s="6" t="s">
        <v>101</v>
      </c>
      <c r="D56" s="7" t="n">
        <f aca="false">I52</f>
        <v>1385.09</v>
      </c>
    </row>
    <row r="57" customFormat="false" ht="15" hidden="false" customHeight="false" outlineLevel="0" collapsed="false">
      <c r="B57" s="12" t="s">
        <v>107</v>
      </c>
      <c r="D57" s="29" t="n">
        <f aca="false">D55-D56</f>
        <v>-147.79</v>
      </c>
    </row>
    <row r="59" customFormat="false" ht="15" hidden="false" customHeight="false" outlineLevel="0" collapsed="false">
      <c r="A59" s="11" t="s">
        <v>108</v>
      </c>
    </row>
    <row r="60" customFormat="false" ht="15" hidden="false" customHeight="false" outlineLevel="0" collapsed="false">
      <c r="B60" s="12" t="s">
        <v>148</v>
      </c>
      <c r="D60" s="13" t="n">
        <f aca="false">D82</f>
        <v>4042.84</v>
      </c>
    </row>
    <row r="61" customFormat="false" ht="15" hidden="false" customHeight="false" outlineLevel="0" collapsed="false">
      <c r="B61" s="6" t="s">
        <v>149</v>
      </c>
      <c r="D61" s="7" t="n">
        <f aca="false">F82</f>
        <v>481.32</v>
      </c>
    </row>
    <row r="62" customFormat="false" ht="15" hidden="false" customHeight="false" outlineLevel="0" collapsed="false">
      <c r="B62" s="30" t="s">
        <v>150</v>
      </c>
      <c r="D62" s="31" t="n">
        <f aca="false">F83</f>
        <v>0.119054921787654</v>
      </c>
    </row>
    <row r="63" customFormat="false" ht="15" hidden="false" customHeight="false" outlineLevel="0" collapsed="false">
      <c r="B63" s="6" t="s">
        <v>151</v>
      </c>
      <c r="D63" s="7" t="n">
        <f aca="false">H82</f>
        <v>3561.52</v>
      </c>
    </row>
    <row r="64" customFormat="false" ht="15" hidden="false" customHeight="false" outlineLevel="0" collapsed="false">
      <c r="B64" s="30" t="s">
        <v>150</v>
      </c>
      <c r="D64" s="31" t="n">
        <f aca="false">H83</f>
        <v>0.880945078212346</v>
      </c>
    </row>
    <row r="66" customFormat="false" ht="15" hidden="false" customHeight="false" outlineLevel="0" collapsed="false">
      <c r="A66" s="11" t="s">
        <v>113</v>
      </c>
    </row>
    <row r="67" customFormat="false" ht="15" hidden="false" customHeight="false" outlineLevel="0" collapsed="false">
      <c r="B67" s="5" t="s">
        <v>114</v>
      </c>
      <c r="D67" s="5" t="s">
        <v>72</v>
      </c>
      <c r="F67" s="5" t="s">
        <v>152</v>
      </c>
      <c r="H67" s="5" t="s">
        <v>116</v>
      </c>
    </row>
    <row r="68" customFormat="false" ht="15" hidden="false" customHeight="false" outlineLevel="0" collapsed="false">
      <c r="B68" s="32" t="s">
        <v>153</v>
      </c>
    </row>
    <row r="69" customFormat="false" ht="15" hidden="false" customHeight="false" outlineLevel="0" collapsed="false">
      <c r="B69" s="6" t="s">
        <v>154</v>
      </c>
      <c r="D69" s="33" t="n">
        <f aca="false">SUM(F69:H69)</f>
        <v>348.82</v>
      </c>
      <c r="F69" s="33" t="n">
        <v>348.82</v>
      </c>
    </row>
    <row r="70" customFormat="false" ht="15" hidden="false" customHeight="false" outlineLevel="0" collapsed="false">
      <c r="B70" s="6" t="s">
        <v>207</v>
      </c>
      <c r="D70" s="33" t="n">
        <f aca="false">SUM(F70:H70)</f>
        <v>45.38</v>
      </c>
      <c r="F70" s="33" t="n">
        <v>45.38</v>
      </c>
    </row>
    <row r="71" customFormat="false" ht="15" hidden="false" customHeight="false" outlineLevel="0" collapsed="false">
      <c r="B71" s="6" t="s">
        <v>208</v>
      </c>
      <c r="D71" s="33" t="n">
        <f aca="false">SUM(F71:H71)</f>
        <v>87.12</v>
      </c>
      <c r="F71" s="33" t="n">
        <v>87.12</v>
      </c>
    </row>
    <row r="72" customFormat="false" ht="15" hidden="false" customHeight="false" outlineLevel="0" collapsed="false">
      <c r="B72" s="32" t="s">
        <v>165</v>
      </c>
    </row>
    <row r="73" customFormat="false" ht="15" hidden="false" customHeight="false" outlineLevel="0" collapsed="false">
      <c r="B73" s="6" t="s">
        <v>166</v>
      </c>
      <c r="D73" s="33" t="n">
        <f aca="false">SUM(F73:H73)</f>
        <v>224.44</v>
      </c>
      <c r="H73" s="33" t="n">
        <v>224.44</v>
      </c>
    </row>
    <row r="74" customFormat="false" ht="15" hidden="false" customHeight="false" outlineLevel="0" collapsed="false">
      <c r="B74" s="6" t="s">
        <v>167</v>
      </c>
      <c r="D74" s="33" t="n">
        <f aca="false">SUM(F74:H74)</f>
        <v>482.1</v>
      </c>
      <c r="H74" s="33" t="n">
        <v>482.1</v>
      </c>
    </row>
    <row r="75" customFormat="false" ht="15" hidden="false" customHeight="false" outlineLevel="0" collapsed="false">
      <c r="B75" s="6" t="s">
        <v>169</v>
      </c>
      <c r="D75" s="33" t="n">
        <f aca="false">SUM(F75:H75)</f>
        <v>118.55</v>
      </c>
      <c r="H75" s="33" t="n">
        <v>118.55</v>
      </c>
    </row>
    <row r="76" customFormat="false" ht="15" hidden="false" customHeight="false" outlineLevel="0" collapsed="false">
      <c r="B76" s="6" t="s">
        <v>173</v>
      </c>
      <c r="D76" s="33" t="n">
        <f aca="false">SUM(F76:H76)</f>
        <v>350.07</v>
      </c>
      <c r="H76" s="33" t="n">
        <v>350.07</v>
      </c>
    </row>
    <row r="77" customFormat="false" ht="15" hidden="false" customHeight="false" outlineLevel="0" collapsed="false">
      <c r="B77" s="6" t="s">
        <v>174</v>
      </c>
      <c r="D77" s="33" t="n">
        <f aca="false">SUM(F77:H77)</f>
        <v>69.95</v>
      </c>
      <c r="H77" s="33" t="n">
        <v>69.95</v>
      </c>
    </row>
    <row r="78" customFormat="false" ht="15" hidden="false" customHeight="false" outlineLevel="0" collapsed="false">
      <c r="B78" s="6" t="s">
        <v>175</v>
      </c>
      <c r="D78" s="33" t="n">
        <f aca="false">SUM(F78:H78)</f>
        <v>107.21</v>
      </c>
      <c r="H78" s="33" t="n">
        <v>107.21</v>
      </c>
    </row>
    <row r="79" customFormat="false" ht="15" hidden="false" customHeight="false" outlineLevel="0" collapsed="false">
      <c r="B79" s="6" t="s">
        <v>176</v>
      </c>
      <c r="D79" s="33" t="n">
        <f aca="false">SUM(F79:H79)</f>
        <v>398.31</v>
      </c>
      <c r="H79" s="33" t="n">
        <v>398.31</v>
      </c>
    </row>
    <row r="80" customFormat="false" ht="15" hidden="false" customHeight="false" outlineLevel="0" collapsed="false">
      <c r="B80" s="6" t="s">
        <v>177</v>
      </c>
      <c r="D80" s="33" t="n">
        <f aca="false">SUM(F80:H80)</f>
        <v>179.51</v>
      </c>
      <c r="H80" s="33" t="n">
        <v>179.51</v>
      </c>
    </row>
    <row r="81" customFormat="false" ht="15" hidden="false" customHeight="false" outlineLevel="0" collapsed="false">
      <c r="B81" s="6" t="s">
        <v>179</v>
      </c>
      <c r="D81" s="33" t="n">
        <f aca="false">SUM(F81:H81)</f>
        <v>1631.38</v>
      </c>
      <c r="H81" s="33" t="n">
        <v>1631.38</v>
      </c>
    </row>
    <row r="82" customFormat="false" ht="15" hidden="false" customHeight="false" outlineLevel="0" collapsed="false">
      <c r="B82" s="12" t="s">
        <v>148</v>
      </c>
      <c r="D82" s="34" t="n">
        <f aca="false">SUM(D69:D81)</f>
        <v>4042.84</v>
      </c>
      <c r="F82" s="34" t="n">
        <f aca="false">SUM(F69:F71)</f>
        <v>481.32</v>
      </c>
      <c r="H82" s="34" t="n">
        <f aca="false">SUM(H73:H81)</f>
        <v>3561.52</v>
      </c>
    </row>
    <row r="83" customFormat="false" ht="15" hidden="false" customHeight="false" outlineLevel="0" collapsed="false">
      <c r="B83" s="30" t="s">
        <v>150</v>
      </c>
      <c r="F83" s="31" t="n">
        <f aca="false">F82/D82</f>
        <v>0.119054921787654</v>
      </c>
      <c r="H83" s="31" t="n">
        <f aca="false">H82/D82</f>
        <v>0.880945078212346</v>
      </c>
    </row>
    <row r="85" customFormat="false" ht="15" hidden="false" customHeight="false" outlineLevel="0" collapsed="false">
      <c r="A85" s="11" t="s">
        <v>134</v>
      </c>
    </row>
    <row r="86" customFormat="false" ht="15" hidden="false" customHeight="false" outlineLevel="0" collapsed="false">
      <c r="B86" s="5" t="s">
        <v>69</v>
      </c>
      <c r="D86" s="5" t="s">
        <v>72</v>
      </c>
      <c r="F86" s="5" t="s">
        <v>152</v>
      </c>
      <c r="H86" s="5" t="s">
        <v>116</v>
      </c>
    </row>
    <row r="87" customFormat="false" ht="15" hidden="false" customHeight="false" outlineLevel="0" collapsed="false">
      <c r="B87" s="6" t="s">
        <v>135</v>
      </c>
      <c r="D87" s="33" t="n">
        <f aca="false">F87+H87</f>
        <v>11.42</v>
      </c>
      <c r="F87" s="33" t="n">
        <v>1.36</v>
      </c>
      <c r="H87" s="33" t="n">
        <v>10.06</v>
      </c>
    </row>
    <row r="88" customFormat="false" ht="15" hidden="false" customHeight="false" outlineLevel="0" collapsed="false">
      <c r="B88" s="6" t="s">
        <v>136</v>
      </c>
      <c r="D88" s="33" t="n">
        <f aca="false">F88+H88</f>
        <v>3398.09</v>
      </c>
      <c r="F88" s="33" t="n">
        <v>404.56</v>
      </c>
      <c r="H88" s="33" t="n">
        <v>2993.53</v>
      </c>
    </row>
    <row r="89" customFormat="false" ht="15" hidden="false" customHeight="false" outlineLevel="0" collapsed="false">
      <c r="B89" s="6" t="s">
        <v>137</v>
      </c>
      <c r="D89" s="33" t="n">
        <f aca="false">F89+H89</f>
        <v>211.1</v>
      </c>
      <c r="F89" s="33" t="n">
        <v>25.13</v>
      </c>
      <c r="H89" s="33" t="n">
        <v>185.97</v>
      </c>
    </row>
    <row r="90" customFormat="false" ht="15" hidden="false" customHeight="false" outlineLevel="0" collapsed="false">
      <c r="B90" s="6" t="s">
        <v>138</v>
      </c>
      <c r="D90" s="33" t="n">
        <f aca="false">F90+H90</f>
        <v>422.23</v>
      </c>
      <c r="F90" s="33" t="n">
        <v>50.27</v>
      </c>
      <c r="H90" s="33" t="n">
        <v>371.96</v>
      </c>
    </row>
    <row r="91" customFormat="false" ht="15" hidden="false" customHeight="false" outlineLevel="0" collapsed="false">
      <c r="B91" s="12" t="s">
        <v>139</v>
      </c>
      <c r="D91" s="34" t="n">
        <f aca="false">SUM(D87:D90)</f>
        <v>4042.84</v>
      </c>
      <c r="F91" s="34" t="n">
        <f aca="false">SUM(F87:F90)</f>
        <v>481.32</v>
      </c>
      <c r="H91" s="34" t="n">
        <f aca="false">SUM(H87:H90)</f>
        <v>3561.52</v>
      </c>
    </row>
    <row r="92" customFormat="false" ht="15" hidden="false" customHeight="false" outlineLevel="0" collapsed="false">
      <c r="B92" s="4" t="s">
        <v>140</v>
      </c>
      <c r="D92" s="17" t="n">
        <f aca="false">D91-D82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6" min="5" style="0" width="11"/>
    <col collapsed="false" customWidth="true" hidden="false" outlineLevel="0" max="10" min="7" style="0" width="13"/>
    <col collapsed="false" customWidth="true" hidden="false" outlineLevel="0" max="11" min="11" style="0" width="9"/>
    <col collapsed="false" customWidth="true" hidden="false" outlineLevel="0" max="12" min="12" style="0" width="8"/>
  </cols>
  <sheetData>
    <row r="1" customFormat="false" ht="17.35" hidden="false" customHeight="false" outlineLevel="0" collapsed="false">
      <c r="A1" s="20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3" t="s">
        <v>209</v>
      </c>
    </row>
    <row r="5" customFormat="false" ht="15" hidden="false" customHeight="false" outlineLevel="0" collapsed="false">
      <c r="A5" s="4" t="s">
        <v>66</v>
      </c>
    </row>
    <row r="7" customFormat="false" ht="15" hidden="false" customHeight="false" outlineLevel="0" collapsed="false">
      <c r="A7" s="11" t="s">
        <v>67</v>
      </c>
    </row>
    <row r="8" customFormat="false" ht="15" hidden="false" customHeight="false" outlineLevel="0" collapsed="false">
      <c r="A8" s="21" t="s">
        <v>68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customFormat="false" ht="22.35" hidden="false" customHeight="false" outlineLevel="0" collapsed="false">
      <c r="A9" s="5" t="s">
        <v>69</v>
      </c>
      <c r="B9" s="5" t="s">
        <v>70</v>
      </c>
      <c r="C9" s="5" t="s">
        <v>71</v>
      </c>
      <c r="D9" s="5" t="s">
        <v>72</v>
      </c>
      <c r="E9" s="5" t="s">
        <v>73</v>
      </c>
      <c r="F9" s="5" t="s">
        <v>74</v>
      </c>
      <c r="G9" s="5" t="s">
        <v>75</v>
      </c>
      <c r="H9" s="5" t="s">
        <v>76</v>
      </c>
      <c r="I9" s="5" t="s">
        <v>77</v>
      </c>
      <c r="J9" s="5" t="s">
        <v>78</v>
      </c>
      <c r="K9" s="5" t="s">
        <v>79</v>
      </c>
      <c r="L9" s="5" t="s">
        <v>80</v>
      </c>
    </row>
    <row r="10" customFormat="false" ht="15" hidden="false" customHeight="false" outlineLevel="0" collapsed="false">
      <c r="A10" s="23" t="n">
        <v>1</v>
      </c>
      <c r="B10" s="23" t="s">
        <v>210</v>
      </c>
      <c r="C10" s="23" t="s">
        <v>34</v>
      </c>
      <c r="D10" s="24" t="n">
        <v>87540</v>
      </c>
      <c r="E10" s="24" t="n">
        <v>0</v>
      </c>
      <c r="F10" s="24" t="n">
        <v>0</v>
      </c>
      <c r="G10" s="24" t="n">
        <v>6335</v>
      </c>
      <c r="H10" s="24" t="n">
        <v>2173</v>
      </c>
      <c r="I10" s="24" t="n">
        <f aca="false">G10+H10</f>
        <v>8508</v>
      </c>
      <c r="J10" s="24" t="n">
        <f aca="false">D10-I10</f>
        <v>79032</v>
      </c>
      <c r="K10" s="25" t="s">
        <v>82</v>
      </c>
      <c r="L10" s="25" t="s">
        <v>83</v>
      </c>
    </row>
    <row r="11" customFormat="false" ht="15" hidden="false" customHeight="false" outlineLevel="0" collapsed="false">
      <c r="A11" s="26"/>
      <c r="B11" s="27" t="s">
        <v>36</v>
      </c>
      <c r="C11" s="26"/>
      <c r="D11" s="28" t="n">
        <f aca="false">SUM(D10:D10)</f>
        <v>87540</v>
      </c>
      <c r="E11" s="28" t="n">
        <f aca="false">SUM(E10:E10)</f>
        <v>0</v>
      </c>
      <c r="F11" s="28" t="n">
        <f aca="false">SUM(F10:F10)</f>
        <v>0</v>
      </c>
      <c r="G11" s="28" t="n">
        <f aca="false">SUM(G10:G10)</f>
        <v>6335</v>
      </c>
      <c r="H11" s="28" t="n">
        <f aca="false">SUM(H10:H10)</f>
        <v>2173</v>
      </c>
      <c r="I11" s="28" t="n">
        <f aca="false">SUM(I10:I10)</f>
        <v>8508</v>
      </c>
      <c r="J11" s="28" t="n">
        <f aca="false">SUM(J10:J10)</f>
        <v>79032</v>
      </c>
      <c r="K11" s="26"/>
      <c r="L11" s="26"/>
    </row>
    <row r="13" customFormat="false" ht="15" hidden="false" customHeight="false" outlineLevel="0" collapsed="false">
      <c r="A13" s="21" t="s">
        <v>87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customFormat="false" ht="22.35" hidden="false" customHeight="false" outlineLevel="0" collapsed="false">
      <c r="A14" s="5" t="s">
        <v>69</v>
      </c>
      <c r="B14" s="5" t="s">
        <v>70</v>
      </c>
      <c r="C14" s="5" t="s">
        <v>71</v>
      </c>
      <c r="D14" s="5" t="s">
        <v>72</v>
      </c>
      <c r="E14" s="5" t="s">
        <v>73</v>
      </c>
      <c r="F14" s="5" t="s">
        <v>74</v>
      </c>
      <c r="G14" s="5" t="s">
        <v>75</v>
      </c>
      <c r="H14" s="5" t="s">
        <v>76</v>
      </c>
      <c r="I14" s="5" t="s">
        <v>77</v>
      </c>
      <c r="J14" s="5" t="s">
        <v>78</v>
      </c>
      <c r="K14" s="5" t="s">
        <v>79</v>
      </c>
      <c r="L14" s="5" t="s">
        <v>80</v>
      </c>
    </row>
    <row r="15" customFormat="false" ht="15" hidden="false" customHeight="false" outlineLevel="0" collapsed="false">
      <c r="A15" s="23" t="n">
        <v>1</v>
      </c>
      <c r="B15" s="23" t="s">
        <v>211</v>
      </c>
      <c r="C15" s="23" t="s">
        <v>34</v>
      </c>
      <c r="D15" s="24" t="n">
        <v>25900</v>
      </c>
      <c r="E15" s="24" t="n">
        <v>0</v>
      </c>
      <c r="F15" s="24" t="n">
        <v>25900</v>
      </c>
      <c r="G15" s="24" t="n">
        <v>25900</v>
      </c>
      <c r="H15" s="24" t="n">
        <v>0</v>
      </c>
      <c r="I15" s="24" t="n">
        <f aca="false">G15+H15</f>
        <v>25900</v>
      </c>
      <c r="J15" s="24" t="n">
        <f aca="false">D15-I15</f>
        <v>0</v>
      </c>
      <c r="K15" s="25" t="s">
        <v>143</v>
      </c>
      <c r="L15" s="25" t="s">
        <v>144</v>
      </c>
    </row>
    <row r="16" customFormat="false" ht="15" hidden="false" customHeight="false" outlineLevel="0" collapsed="false">
      <c r="A16" s="23" t="n">
        <v>2</v>
      </c>
      <c r="B16" s="23" t="s">
        <v>212</v>
      </c>
      <c r="C16" s="23" t="s">
        <v>34</v>
      </c>
      <c r="D16" s="24" t="n">
        <v>61640</v>
      </c>
      <c r="E16" s="24" t="n">
        <v>0</v>
      </c>
      <c r="F16" s="24" t="n">
        <v>0</v>
      </c>
      <c r="G16" s="24" t="n">
        <v>5393.51</v>
      </c>
      <c r="H16" s="24" t="n">
        <v>2054.67</v>
      </c>
      <c r="I16" s="24" t="n">
        <f aca="false">G16+H16</f>
        <v>7448.18</v>
      </c>
      <c r="J16" s="24" t="n">
        <f aca="false">D16-I16</f>
        <v>54191.82</v>
      </c>
      <c r="K16" s="25" t="s">
        <v>82</v>
      </c>
      <c r="L16" s="25" t="s">
        <v>92</v>
      </c>
    </row>
    <row r="17" customFormat="false" ht="15" hidden="false" customHeight="false" outlineLevel="0" collapsed="false">
      <c r="A17" s="26"/>
      <c r="B17" s="27" t="s">
        <v>36</v>
      </c>
      <c r="C17" s="26"/>
      <c r="D17" s="28" t="n">
        <f aca="false">SUM(D15:D16)</f>
        <v>87540</v>
      </c>
      <c r="E17" s="28" t="n">
        <f aca="false">SUM(E15:E16)</f>
        <v>0</v>
      </c>
      <c r="F17" s="28" t="n">
        <f aca="false">SUM(F15:F16)</f>
        <v>25900</v>
      </c>
      <c r="G17" s="28" t="n">
        <f aca="false">SUM(G15:G16)</f>
        <v>31293.51</v>
      </c>
      <c r="H17" s="28" t="n">
        <f aca="false">SUM(H15:H16)</f>
        <v>2054.67</v>
      </c>
      <c r="I17" s="28" t="n">
        <f aca="false">SUM(I15:I16)</f>
        <v>33348.18</v>
      </c>
      <c r="J17" s="28" t="n">
        <f aca="false">SUM(J15:J16)</f>
        <v>54191.82</v>
      </c>
      <c r="K17" s="26"/>
      <c r="L17" s="26"/>
    </row>
    <row r="19" customFormat="false" ht="15" hidden="false" customHeight="false" outlineLevel="0" collapsed="false">
      <c r="B19" s="18" t="s">
        <v>99</v>
      </c>
    </row>
    <row r="20" customFormat="false" ht="15" hidden="false" customHeight="false" outlineLevel="0" collapsed="false">
      <c r="B20" s="6" t="s">
        <v>100</v>
      </c>
      <c r="D20" s="7" t="n">
        <f aca="false">I11</f>
        <v>8508</v>
      </c>
    </row>
    <row r="21" customFormat="false" ht="15" hidden="false" customHeight="false" outlineLevel="0" collapsed="false">
      <c r="B21" s="6" t="s">
        <v>101</v>
      </c>
      <c r="D21" s="7" t="n">
        <f aca="false">I17</f>
        <v>33348.18</v>
      </c>
    </row>
    <row r="22" customFormat="false" ht="15" hidden="false" customHeight="false" outlineLevel="0" collapsed="false">
      <c r="B22" s="12" t="s">
        <v>99</v>
      </c>
      <c r="D22" s="29" t="n">
        <f aca="false">D20-D21</f>
        <v>-24840.18</v>
      </c>
    </row>
    <row r="24" customFormat="false" ht="15" hidden="false" customHeight="false" outlineLevel="0" collapsed="false">
      <c r="A24" s="11" t="s">
        <v>102</v>
      </c>
    </row>
    <row r="25" customFormat="false" ht="15" hidden="false" customHeight="false" outlineLevel="0" collapsed="false">
      <c r="A25" s="21" t="s">
        <v>103</v>
      </c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</row>
    <row r="26" customFormat="false" ht="22.35" hidden="false" customHeight="false" outlineLevel="0" collapsed="false">
      <c r="A26" s="5" t="s">
        <v>69</v>
      </c>
      <c r="B26" s="5" t="s">
        <v>70</v>
      </c>
      <c r="C26" s="5" t="s">
        <v>71</v>
      </c>
      <c r="D26" s="5" t="s">
        <v>72</v>
      </c>
      <c r="E26" s="5" t="s">
        <v>73</v>
      </c>
      <c r="F26" s="5" t="s">
        <v>74</v>
      </c>
      <c r="G26" s="5" t="s">
        <v>104</v>
      </c>
      <c r="H26" s="5" t="s">
        <v>105</v>
      </c>
      <c r="I26" s="5" t="s">
        <v>77</v>
      </c>
      <c r="J26" s="5" t="s">
        <v>78</v>
      </c>
      <c r="K26" s="5" t="s">
        <v>79</v>
      </c>
      <c r="L26" s="5" t="s">
        <v>80</v>
      </c>
    </row>
    <row r="27" customFormat="false" ht="15" hidden="false" customHeight="false" outlineLevel="0" collapsed="false">
      <c r="A27" s="23" t="n">
        <v>1</v>
      </c>
      <c r="B27" s="23" t="s">
        <v>210</v>
      </c>
      <c r="C27" s="23" t="s">
        <v>34</v>
      </c>
      <c r="D27" s="24" t="n">
        <v>87540</v>
      </c>
      <c r="E27" s="24" t="n">
        <v>0</v>
      </c>
      <c r="F27" s="24" t="n">
        <v>0</v>
      </c>
      <c r="G27" s="24" t="n">
        <v>6335</v>
      </c>
      <c r="H27" s="24" t="n">
        <v>2173</v>
      </c>
      <c r="I27" s="24" t="n">
        <f aca="false">G27+H27</f>
        <v>8508</v>
      </c>
      <c r="J27" s="24" t="n">
        <f aca="false">D27-I27</f>
        <v>79032</v>
      </c>
      <c r="K27" s="25" t="s">
        <v>82</v>
      </c>
      <c r="L27" s="25" t="s">
        <v>83</v>
      </c>
    </row>
    <row r="28" customFormat="false" ht="15" hidden="false" customHeight="false" outlineLevel="0" collapsed="false">
      <c r="A28" s="26"/>
      <c r="B28" s="27" t="s">
        <v>36</v>
      </c>
      <c r="C28" s="26"/>
      <c r="D28" s="28" t="n">
        <f aca="false">SUM(D27:D27)</f>
        <v>87540</v>
      </c>
      <c r="E28" s="28" t="n">
        <f aca="false">SUM(E27:E27)</f>
        <v>0</v>
      </c>
      <c r="F28" s="28" t="n">
        <f aca="false">SUM(F27:F27)</f>
        <v>0</v>
      </c>
      <c r="G28" s="28" t="n">
        <f aca="false">SUM(G27:G27)</f>
        <v>6335</v>
      </c>
      <c r="H28" s="28" t="n">
        <f aca="false">SUM(H27:H27)</f>
        <v>2173</v>
      </c>
      <c r="I28" s="28" t="n">
        <f aca="false">SUM(I27:I27)</f>
        <v>8508</v>
      </c>
      <c r="J28" s="28" t="n">
        <f aca="false">SUM(J27:J27)</f>
        <v>79032</v>
      </c>
      <c r="K28" s="26"/>
      <c r="L28" s="26"/>
    </row>
    <row r="30" customFormat="false" ht="15" hidden="false" customHeight="false" outlineLevel="0" collapsed="false">
      <c r="A30" s="21" t="s">
        <v>106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</row>
    <row r="31" customFormat="false" ht="22.35" hidden="false" customHeight="false" outlineLevel="0" collapsed="false">
      <c r="A31" s="5" t="s">
        <v>69</v>
      </c>
      <c r="B31" s="5" t="s">
        <v>70</v>
      </c>
      <c r="C31" s="5" t="s">
        <v>71</v>
      </c>
      <c r="D31" s="5" t="s">
        <v>72</v>
      </c>
      <c r="E31" s="5" t="s">
        <v>73</v>
      </c>
      <c r="F31" s="5" t="s">
        <v>74</v>
      </c>
      <c r="G31" s="5" t="s">
        <v>104</v>
      </c>
      <c r="H31" s="5" t="s">
        <v>105</v>
      </c>
      <c r="I31" s="5" t="s">
        <v>77</v>
      </c>
      <c r="J31" s="5" t="s">
        <v>78</v>
      </c>
      <c r="K31" s="5" t="s">
        <v>79</v>
      </c>
      <c r="L31" s="5" t="s">
        <v>80</v>
      </c>
    </row>
    <row r="32" customFormat="false" ht="15" hidden="false" customHeight="false" outlineLevel="0" collapsed="false">
      <c r="A32" s="23" t="n">
        <v>1</v>
      </c>
      <c r="B32" s="23" t="s">
        <v>211</v>
      </c>
      <c r="C32" s="23" t="s">
        <v>34</v>
      </c>
      <c r="D32" s="24" t="n">
        <v>25900</v>
      </c>
      <c r="E32" s="24" t="n">
        <v>0</v>
      </c>
      <c r="F32" s="24" t="n">
        <v>25900</v>
      </c>
      <c r="G32" s="24" t="n">
        <v>25900</v>
      </c>
      <c r="H32" s="24" t="n">
        <v>0</v>
      </c>
      <c r="I32" s="24" t="n">
        <f aca="false">G32+H32</f>
        <v>25900</v>
      </c>
      <c r="J32" s="24" t="n">
        <f aca="false">D32-I32</f>
        <v>0</v>
      </c>
      <c r="K32" s="25" t="s">
        <v>143</v>
      </c>
      <c r="L32" s="25" t="s">
        <v>144</v>
      </c>
    </row>
    <row r="33" customFormat="false" ht="15" hidden="false" customHeight="false" outlineLevel="0" collapsed="false">
      <c r="A33" s="23" t="n">
        <v>2</v>
      </c>
      <c r="B33" s="23" t="s">
        <v>212</v>
      </c>
      <c r="C33" s="23" t="s">
        <v>34</v>
      </c>
      <c r="D33" s="24" t="n">
        <v>61640</v>
      </c>
      <c r="E33" s="24" t="n">
        <v>0</v>
      </c>
      <c r="F33" s="24" t="n">
        <v>0</v>
      </c>
      <c r="G33" s="24" t="n">
        <v>5393.51</v>
      </c>
      <c r="H33" s="24" t="n">
        <v>2054.67</v>
      </c>
      <c r="I33" s="24" t="n">
        <f aca="false">G33+H33</f>
        <v>7448.18</v>
      </c>
      <c r="J33" s="24" t="n">
        <f aca="false">D33-I33</f>
        <v>54191.82</v>
      </c>
      <c r="K33" s="25" t="s">
        <v>82</v>
      </c>
      <c r="L33" s="25" t="s">
        <v>92</v>
      </c>
    </row>
    <row r="34" customFormat="false" ht="15" hidden="false" customHeight="false" outlineLevel="0" collapsed="false">
      <c r="A34" s="26"/>
      <c r="B34" s="27" t="s">
        <v>36</v>
      </c>
      <c r="C34" s="26"/>
      <c r="D34" s="28" t="n">
        <f aca="false">SUM(D32:D33)</f>
        <v>87540</v>
      </c>
      <c r="E34" s="28" t="n">
        <f aca="false">SUM(E32:E33)</f>
        <v>0</v>
      </c>
      <c r="F34" s="28" t="n">
        <f aca="false">SUM(F32:F33)</f>
        <v>25900</v>
      </c>
      <c r="G34" s="28" t="n">
        <f aca="false">SUM(G32:G33)</f>
        <v>31293.51</v>
      </c>
      <c r="H34" s="28" t="n">
        <f aca="false">SUM(H32:H33)</f>
        <v>2054.67</v>
      </c>
      <c r="I34" s="28" t="n">
        <f aca="false">SUM(I32:I33)</f>
        <v>33348.18</v>
      </c>
      <c r="J34" s="28" t="n">
        <f aca="false">SUM(J32:J33)</f>
        <v>54191.82</v>
      </c>
      <c r="K34" s="26"/>
      <c r="L34" s="26"/>
    </row>
    <row r="36" customFormat="false" ht="15" hidden="false" customHeight="false" outlineLevel="0" collapsed="false">
      <c r="B36" s="18" t="s">
        <v>107</v>
      </c>
    </row>
    <row r="37" customFormat="false" ht="15" hidden="false" customHeight="false" outlineLevel="0" collapsed="false">
      <c r="B37" s="6" t="s">
        <v>100</v>
      </c>
      <c r="D37" s="7" t="n">
        <f aca="false">I28</f>
        <v>8508</v>
      </c>
    </row>
    <row r="38" customFormat="false" ht="15" hidden="false" customHeight="false" outlineLevel="0" collapsed="false">
      <c r="B38" s="6" t="s">
        <v>101</v>
      </c>
      <c r="D38" s="7" t="n">
        <f aca="false">I34</f>
        <v>33348.18</v>
      </c>
    </row>
    <row r="39" customFormat="false" ht="15" hidden="false" customHeight="false" outlineLevel="0" collapsed="false">
      <c r="B39" s="12" t="s">
        <v>107</v>
      </c>
      <c r="D39" s="29" t="n">
        <f aca="false">D37-D38</f>
        <v>-24840.18</v>
      </c>
    </row>
    <row r="41" customFormat="false" ht="15" hidden="false" customHeight="false" outlineLevel="0" collapsed="false">
      <c r="A41" s="11" t="s">
        <v>108</v>
      </c>
    </row>
    <row r="42" customFormat="false" ht="15" hidden="false" customHeight="false" outlineLevel="0" collapsed="false">
      <c r="B42" s="12" t="s">
        <v>148</v>
      </c>
      <c r="D42" s="13" t="n">
        <f aca="false">D54</f>
        <v>87540</v>
      </c>
    </row>
    <row r="43" customFormat="false" ht="15" hidden="false" customHeight="false" outlineLevel="0" collapsed="false">
      <c r="B43" s="6" t="s">
        <v>149</v>
      </c>
      <c r="D43" s="7" t="n">
        <f aca="false">F54</f>
        <v>25900</v>
      </c>
    </row>
    <row r="44" customFormat="false" ht="15" hidden="false" customHeight="false" outlineLevel="0" collapsed="false">
      <c r="B44" s="30" t="s">
        <v>150</v>
      </c>
      <c r="D44" s="31" t="n">
        <f aca="false">F55</f>
        <v>0.29586474754398</v>
      </c>
    </row>
    <row r="45" customFormat="false" ht="15" hidden="false" customHeight="false" outlineLevel="0" collapsed="false">
      <c r="B45" s="6" t="s">
        <v>151</v>
      </c>
      <c r="D45" s="7" t="n">
        <f aca="false">H54</f>
        <v>61640</v>
      </c>
    </row>
    <row r="46" customFormat="false" ht="15" hidden="false" customHeight="false" outlineLevel="0" collapsed="false">
      <c r="B46" s="30" t="s">
        <v>150</v>
      </c>
      <c r="D46" s="31" t="n">
        <f aca="false">H55</f>
        <v>0.70413525245602</v>
      </c>
    </row>
    <row r="48" customFormat="false" ht="15" hidden="false" customHeight="false" outlineLevel="0" collapsed="false">
      <c r="A48" s="11" t="s">
        <v>113</v>
      </c>
    </row>
    <row r="49" customFormat="false" ht="15" hidden="false" customHeight="false" outlineLevel="0" collapsed="false">
      <c r="B49" s="5" t="s">
        <v>114</v>
      </c>
      <c r="D49" s="5" t="s">
        <v>72</v>
      </c>
      <c r="F49" s="5" t="s">
        <v>152</v>
      </c>
      <c r="H49" s="5" t="s">
        <v>116</v>
      </c>
    </row>
    <row r="50" customFormat="false" ht="15" hidden="false" customHeight="false" outlineLevel="0" collapsed="false">
      <c r="B50" s="32" t="s">
        <v>153</v>
      </c>
    </row>
    <row r="51" customFormat="false" ht="15" hidden="false" customHeight="false" outlineLevel="0" collapsed="false">
      <c r="B51" s="6" t="s">
        <v>213</v>
      </c>
      <c r="D51" s="33" t="n">
        <f aca="false">SUM(F51:H51)</f>
        <v>25900</v>
      </c>
      <c r="F51" s="33" t="n">
        <v>25900</v>
      </c>
    </row>
    <row r="52" customFormat="false" ht="15" hidden="false" customHeight="false" outlineLevel="0" collapsed="false">
      <c r="B52" s="32" t="s">
        <v>165</v>
      </c>
    </row>
    <row r="53" customFormat="false" ht="15" hidden="false" customHeight="false" outlineLevel="0" collapsed="false">
      <c r="B53" s="6" t="s">
        <v>214</v>
      </c>
      <c r="D53" s="33" t="n">
        <f aca="false">SUM(F53:H53)</f>
        <v>61640</v>
      </c>
      <c r="H53" s="33" t="n">
        <v>61640</v>
      </c>
    </row>
    <row r="54" customFormat="false" ht="15" hidden="false" customHeight="false" outlineLevel="0" collapsed="false">
      <c r="B54" s="12" t="s">
        <v>148</v>
      </c>
      <c r="D54" s="34" t="n">
        <f aca="false">SUM(D51:D53)</f>
        <v>87540</v>
      </c>
      <c r="F54" s="34" t="n">
        <f aca="false">SUM(F51:F51)</f>
        <v>25900</v>
      </c>
      <c r="H54" s="34" t="n">
        <f aca="false">SUM(H53:H53)</f>
        <v>61640</v>
      </c>
    </row>
    <row r="55" customFormat="false" ht="15" hidden="false" customHeight="false" outlineLevel="0" collapsed="false">
      <c r="B55" s="30" t="s">
        <v>150</v>
      </c>
      <c r="F55" s="31" t="n">
        <f aca="false">F54/D54</f>
        <v>0.29586474754398</v>
      </c>
      <c r="H55" s="31" t="n">
        <f aca="false">H54/D54</f>
        <v>0.70413525245602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2026-07-17T18:41:42Z</dcterms:created>
  <dc:creator>openpyxl</dc:creator>
  <dc:description/>
  <dc:language>en-US</dc:language>
  <cp:lastModifiedBy/>
  <dcterms:modified xsi:type="dcterms:W3CDTF">2026-07-17T18:41:42Z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