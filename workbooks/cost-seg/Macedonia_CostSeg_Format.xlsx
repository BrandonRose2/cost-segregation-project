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A" sheetId="3" state="visible" r:id="rId3"/>
    <sheet xmlns:r="http://schemas.openxmlformats.org/officeDocument/2006/relationships" name="Bldg B" sheetId="4" state="visible" r:id="rId4"/>
    <sheet xmlns:r="http://schemas.openxmlformats.org/officeDocument/2006/relationships" name="Bldg C" sheetId="5" state="visible" r:id="rId5"/>
    <sheet xmlns:r="http://schemas.openxmlformats.org/officeDocument/2006/relationships" name="Bldg D" sheetId="6" state="visible" r:id="rId6"/>
    <sheet xmlns:r="http://schemas.openxmlformats.org/officeDocument/2006/relationships" name="Bldg E" sheetId="7" state="visible" r:id="rId7"/>
    <sheet xmlns:r="http://schemas.openxmlformats.org/officeDocument/2006/relationships" name="Bldg F" sheetId="8" state="visible" r:id="rId8"/>
    <sheet xmlns:r="http://schemas.openxmlformats.org/officeDocument/2006/relationships" name="Bldg G" sheetId="9" state="visible" r:id="rId9"/>
    <sheet xmlns:r="http://schemas.openxmlformats.org/officeDocument/2006/relationships" name="Bldg H" sheetId="10" state="visible" r:id="rId10"/>
    <sheet xmlns:r="http://schemas.openxmlformats.org/officeDocument/2006/relationships" name="Bldg I" sheetId="11" state="visible" r:id="rId11"/>
    <sheet xmlns:r="http://schemas.openxmlformats.org/officeDocument/2006/relationships" name="Bldg J" sheetId="12" state="visible" r:id="rId12"/>
    <sheet xmlns:r="http://schemas.openxmlformats.org/officeDocument/2006/relationships" name="Bldg K" sheetId="13" state="visible" r:id="rId13"/>
    <sheet xmlns:r="http://schemas.openxmlformats.org/officeDocument/2006/relationships" name="Bldg L" sheetId="14" state="visible" r:id="rId14"/>
    <sheet xmlns:r="http://schemas.openxmlformats.org/officeDocument/2006/relationships" name="Bldg M" sheetId="15" state="visible" r:id="rId15"/>
    <sheet xmlns:r="http://schemas.openxmlformats.org/officeDocument/2006/relationships" name="Office" sheetId="16" state="visible" r:id="rId16"/>
    <sheet xmlns:r="http://schemas.openxmlformats.org/officeDocument/2006/relationships" name="Improvem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4" fontId="5" fillId="0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2">
      <c r="A2" s="1" t="inlineStr">
        <is>
          <t>Macedonia Apartments, LLC</t>
        </is>
      </c>
    </row>
    <row r="3">
      <c r="A3" s="2" t="inlineStr">
        <is>
          <t>Summary of Cost Seg Adjustments</t>
        </is>
      </c>
    </row>
    <row r="4">
      <c r="A4" s="3" t="inlineStr">
        <is>
          <t>As of December 31, 2024</t>
        </is>
      </c>
    </row>
    <row r="6">
      <c r="B6" s="4" t="inlineStr">
        <is>
          <t>Acq Date</t>
        </is>
      </c>
      <c r="C6" s="4" t="inlineStr">
        <is>
          <t>Asset Description</t>
        </is>
      </c>
      <c r="D6" s="4" t="inlineStr">
        <is>
          <t>Total</t>
        </is>
      </c>
      <c r="E6" s="4" t="inlineStr">
        <is>
          <t>Site</t>
        </is>
      </c>
      <c r="F6" s="4" t="inlineStr">
        <is>
          <t>Bldg A</t>
        </is>
      </c>
      <c r="G6" s="4" t="inlineStr">
        <is>
          <t>Bldg B</t>
        </is>
      </c>
      <c r="H6" s="4" t="inlineStr">
        <is>
          <t>Bldg C</t>
        </is>
      </c>
      <c r="I6" s="4" t="inlineStr">
        <is>
          <t>Bldg D</t>
        </is>
      </c>
      <c r="J6" s="4" t="inlineStr">
        <is>
          <t>Bldg E</t>
        </is>
      </c>
      <c r="K6" s="4" t="inlineStr">
        <is>
          <t>Bldg F</t>
        </is>
      </c>
      <c r="L6" s="4" t="inlineStr">
        <is>
          <t>Bldg G</t>
        </is>
      </c>
      <c r="M6" s="4" t="inlineStr">
        <is>
          <t>Bldg H</t>
        </is>
      </c>
      <c r="N6" s="4" t="inlineStr">
        <is>
          <t>Bldg I</t>
        </is>
      </c>
      <c r="O6" s="4" t="inlineStr">
        <is>
          <t>Bldg J</t>
        </is>
      </c>
      <c r="P6" s="4" t="inlineStr">
        <is>
          <t>Bldg K</t>
        </is>
      </c>
      <c r="Q6" s="4" t="inlineStr">
        <is>
          <t>Bldg L</t>
        </is>
      </c>
      <c r="R6" s="4" t="inlineStr">
        <is>
          <t>Bldg M</t>
        </is>
      </c>
      <c r="S6" s="4" t="inlineStr">
        <is>
          <t>Office</t>
        </is>
      </c>
      <c r="T6" s="4" t="inlineStr">
        <is>
          <t>Improvements</t>
        </is>
      </c>
      <c r="U6" s="4" t="inlineStr">
        <is>
          <t>Grand Total</t>
        </is>
      </c>
    </row>
    <row r="7">
      <c r="A7" s="5" t="n"/>
      <c r="B7" s="6" t="inlineStr">
        <is>
          <t>Property Cost Summary</t>
        </is>
      </c>
    </row>
    <row r="8">
      <c r="B8" s="7" t="inlineStr">
        <is>
          <t>5/23/25</t>
        </is>
      </c>
      <c r="C8" s="8" t="inlineStr">
        <is>
          <t>Site</t>
        </is>
      </c>
      <c r="D8" s="9" t="n">
        <v>799032.97</v>
      </c>
      <c r="F8" s="9" t="n">
        <v>514446.59</v>
      </c>
      <c r="G8" s="9" t="n">
        <v>284586.38</v>
      </c>
    </row>
    <row r="9">
      <c r="B9" s="7" t="inlineStr">
        <is>
          <t>5/23/25</t>
        </is>
      </c>
      <c r="C9" s="8" t="inlineStr">
        <is>
          <t>Bldg A</t>
        </is>
      </c>
      <c r="D9" s="9" t="n">
        <v>515841.05</v>
      </c>
      <c r="E9" s="9" t="n">
        <v>104747.69</v>
      </c>
      <c r="G9" s="9" t="n">
        <v>411093.36</v>
      </c>
    </row>
    <row r="10">
      <c r="B10" s="7" t="inlineStr">
        <is>
          <t>5/23/25</t>
        </is>
      </c>
      <c r="C10" s="8" t="inlineStr">
        <is>
          <t>Bldg B</t>
        </is>
      </c>
      <c r="D10" s="9" t="n">
        <v>515841.05</v>
      </c>
      <c r="E10" s="9" t="n">
        <v>104747.69</v>
      </c>
      <c r="G10" s="9" t="n">
        <v>411093.36</v>
      </c>
    </row>
    <row r="11">
      <c r="B11" s="7" t="inlineStr">
        <is>
          <t>5/23/25</t>
        </is>
      </c>
      <c r="C11" s="8" t="inlineStr">
        <is>
          <t>Bldg C</t>
        </is>
      </c>
      <c r="D11" s="9" t="n">
        <v>515841.05</v>
      </c>
      <c r="E11" s="9" t="n">
        <v>104747.69</v>
      </c>
      <c r="G11" s="9" t="n">
        <v>411093.36</v>
      </c>
    </row>
    <row r="12">
      <c r="B12" s="7" t="inlineStr">
        <is>
          <t>5/23/25</t>
        </is>
      </c>
      <c r="C12" s="8" t="inlineStr">
        <is>
          <t>Bldg D</t>
        </is>
      </c>
      <c r="D12" s="9" t="n">
        <v>515841.05</v>
      </c>
      <c r="E12" s="9" t="n">
        <v>104747.69</v>
      </c>
      <c r="G12" s="9" t="n">
        <v>411093.36</v>
      </c>
    </row>
    <row r="13">
      <c r="B13" s="7" t="inlineStr">
        <is>
          <t>5/23/25</t>
        </is>
      </c>
      <c r="C13" s="8" t="inlineStr">
        <is>
          <t>Bldg E</t>
        </is>
      </c>
      <c r="D13" s="9" t="n">
        <v>515841.05</v>
      </c>
      <c r="E13" s="9" t="n">
        <v>104747.69</v>
      </c>
      <c r="G13" s="9" t="n">
        <v>411093.36</v>
      </c>
    </row>
    <row r="14">
      <c r="B14" s="7" t="inlineStr">
        <is>
          <t>5/23/25</t>
        </is>
      </c>
      <c r="C14" s="8" t="inlineStr">
        <is>
          <t>Bldg F</t>
        </is>
      </c>
      <c r="D14" s="9" t="n">
        <v>515841.05</v>
      </c>
      <c r="E14" s="9" t="n">
        <v>104747.69</v>
      </c>
      <c r="G14" s="9" t="n">
        <v>411093.36</v>
      </c>
    </row>
    <row r="15">
      <c r="B15" s="7" t="inlineStr">
        <is>
          <t>5/23/25</t>
        </is>
      </c>
      <c r="C15" s="8" t="inlineStr">
        <is>
          <t>Bldg G</t>
        </is>
      </c>
      <c r="D15" s="9" t="n">
        <v>515841.05</v>
      </c>
      <c r="E15" s="9" t="n">
        <v>104747.69</v>
      </c>
      <c r="G15" s="9" t="n">
        <v>411093.36</v>
      </c>
    </row>
    <row r="16">
      <c r="B16" s="7" t="inlineStr">
        <is>
          <t>5/23/25</t>
        </is>
      </c>
      <c r="C16" s="8" t="inlineStr">
        <is>
          <t>Bldg H</t>
        </is>
      </c>
      <c r="D16" s="9" t="n">
        <v>515841.05</v>
      </c>
      <c r="E16" s="9" t="n">
        <v>104747.69</v>
      </c>
      <c r="G16" s="9" t="n">
        <v>411093.36</v>
      </c>
    </row>
    <row r="17">
      <c r="B17" s="7" t="inlineStr">
        <is>
          <t>5/23/25</t>
        </is>
      </c>
      <c r="C17" s="8" t="inlineStr">
        <is>
          <t>Bldg I</t>
        </is>
      </c>
      <c r="D17" s="9" t="n">
        <v>515841.05</v>
      </c>
      <c r="E17" s="9" t="n">
        <v>104747.69</v>
      </c>
      <c r="G17" s="9" t="n">
        <v>411093.36</v>
      </c>
    </row>
    <row r="18">
      <c r="B18" s="7" t="inlineStr">
        <is>
          <t>5/23/25</t>
        </is>
      </c>
      <c r="C18" s="8" t="inlineStr">
        <is>
          <t>Bldg J</t>
        </is>
      </c>
      <c r="D18" s="9" t="n">
        <v>440367.63</v>
      </c>
      <c r="E18" s="9" t="n">
        <v>91523.64999999999</v>
      </c>
      <c r="G18" s="9" t="n">
        <v>348843.98</v>
      </c>
    </row>
    <row r="19">
      <c r="B19" s="7" t="inlineStr">
        <is>
          <t>5/23/25</t>
        </is>
      </c>
      <c r="C19" s="8" t="inlineStr">
        <is>
          <t>Bldg K</t>
        </is>
      </c>
      <c r="D19" s="9" t="n">
        <v>440367.63</v>
      </c>
      <c r="E19" s="9" t="n">
        <v>91523.64999999999</v>
      </c>
      <c r="G19" s="9" t="n">
        <v>348843.98</v>
      </c>
    </row>
    <row r="20">
      <c r="B20" s="7" t="inlineStr">
        <is>
          <t>5/23/25</t>
        </is>
      </c>
      <c r="C20" s="8" t="inlineStr">
        <is>
          <t>Bldg L</t>
        </is>
      </c>
      <c r="D20" s="9" t="n">
        <v>440367.63</v>
      </c>
      <c r="E20" s="9" t="n">
        <v>91523.64999999999</v>
      </c>
      <c r="G20" s="9" t="n">
        <v>348843.98</v>
      </c>
    </row>
    <row r="21">
      <c r="B21" s="7" t="inlineStr">
        <is>
          <t>5/23/25</t>
        </is>
      </c>
      <c r="C21" s="8" t="inlineStr">
        <is>
          <t>Bldg M</t>
        </is>
      </c>
      <c r="D21" s="9" t="n">
        <v>440367.63</v>
      </c>
      <c r="E21" s="9" t="n">
        <v>91523.64999999999</v>
      </c>
      <c r="G21" s="9" t="n">
        <v>348843.98</v>
      </c>
    </row>
    <row r="22">
      <c r="B22" s="7" t="inlineStr">
        <is>
          <t>5/23/25</t>
        </is>
      </c>
      <c r="C22" s="8" t="inlineStr">
        <is>
          <t>Office</t>
        </is>
      </c>
      <c r="D22" s="9" t="n">
        <v>164863.06</v>
      </c>
      <c r="E22" s="9" t="n">
        <v>24083.25</v>
      </c>
      <c r="G22" s="9" t="n">
        <v>140779.81</v>
      </c>
    </row>
    <row r="23">
      <c r="B23" s="7" t="inlineStr">
        <is>
          <t>5/23/25</t>
        </is>
      </c>
      <c r="C23" s="8" t="inlineStr">
        <is>
          <t>Improvements</t>
        </is>
      </c>
      <c r="D23" s="9" t="n">
        <v>192737</v>
      </c>
      <c r="E23" s="9" t="n">
        <v>74564</v>
      </c>
      <c r="F23" s="9" t="n">
        <v>77000</v>
      </c>
      <c r="G23" s="9" t="n">
        <v>41173</v>
      </c>
    </row>
    <row r="24">
      <c r="A24" s="10" t="n"/>
      <c r="B24" s="11" t="inlineStr">
        <is>
          <t>Grand Total</t>
        </is>
      </c>
      <c r="C24" s="10" t="n"/>
      <c r="D24" s="12">
        <f>SUM(D8:D23)</f>
        <v/>
      </c>
      <c r="E24" s="12">
        <f>SUM(E8:E23)</f>
        <v/>
      </c>
      <c r="F24" s="12">
        <f>SUM(F8:F23)</f>
        <v/>
      </c>
      <c r="G24" s="12">
        <f>SUM(G8:G23)</f>
        <v/>
      </c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</row>
  </sheetData>
  <mergeCells count="4">
    <mergeCell ref="B7:U7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Site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Site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Site Work / Improvements</t>
        </is>
      </c>
    </row>
    <row r="11">
      <c r="B11" s="8" t="inlineStr">
        <is>
          <t>Parking Lot</t>
        </is>
      </c>
      <c r="C11" s="18" t="n">
        <v>164940.99</v>
      </c>
      <c r="F11" s="18" t="n">
        <v>164940.99</v>
      </c>
    </row>
    <row r="12">
      <c r="B12" s="8" t="inlineStr">
        <is>
          <t>Exterior Signage</t>
        </is>
      </c>
      <c r="C12" s="18" t="n">
        <v>4143.78</v>
      </c>
      <c r="F12" s="18" t="n">
        <v>4143.78</v>
      </c>
    </row>
    <row r="13">
      <c r="B13" s="8" t="inlineStr">
        <is>
          <t>Parking Lot Striping / Barriers</t>
        </is>
      </c>
      <c r="C13" s="18" t="n">
        <v>5521.24</v>
      </c>
      <c r="F13" s="18" t="n">
        <v>5521.24</v>
      </c>
    </row>
    <row r="14">
      <c r="B14" s="8" t="inlineStr">
        <is>
          <t>Sidewalks / Curbs</t>
        </is>
      </c>
      <c r="C14" s="18" t="n">
        <v>186309.99</v>
      </c>
      <c r="F14" s="18" t="n">
        <v>186309.99</v>
      </c>
    </row>
    <row r="15">
      <c r="B15" s="8" t="inlineStr">
        <is>
          <t>Landscaping &amp; Flagpole</t>
        </is>
      </c>
      <c r="C15" s="18" t="n">
        <v>1745.22</v>
      </c>
      <c r="F15" s="18" t="n">
        <v>1745.22</v>
      </c>
    </row>
    <row r="16">
      <c r="B16" s="8" t="inlineStr">
        <is>
          <t>Security Lighting Poles</t>
        </is>
      </c>
      <c r="C16" s="18" t="n">
        <v>4914.87</v>
      </c>
      <c r="F16" s="18" t="n">
        <v>4914.87</v>
      </c>
    </row>
    <row r="17">
      <c r="B17" s="8" t="inlineStr">
        <is>
          <t>Exterior Fencing</t>
        </is>
      </c>
      <c r="C17" s="18" t="n">
        <v>103840.57</v>
      </c>
      <c r="F17" s="18" t="n">
        <v>103840.57</v>
      </c>
    </row>
    <row r="18">
      <c r="B18" s="8" t="inlineStr">
        <is>
          <t>Dumpster Pads</t>
        </is>
      </c>
      <c r="C18" s="18" t="n">
        <v>2527.13</v>
      </c>
      <c r="F18" s="18" t="n">
        <v>2527.13</v>
      </c>
    </row>
    <row r="19">
      <c r="B19" s="8" t="inlineStr">
        <is>
          <t>Retaining Walls</t>
        </is>
      </c>
      <c r="C19" s="18" t="n">
        <v>16871.66</v>
      </c>
      <c r="F19" s="18" t="n">
        <v>16871.66</v>
      </c>
    </row>
    <row r="20">
      <c r="B20" s="8" t="inlineStr">
        <is>
          <t>Exterior Equipment Concrete Pads</t>
        </is>
      </c>
      <c r="C20" s="18" t="n">
        <v>11284.92</v>
      </c>
      <c r="F20" s="18" t="n">
        <v>11284.92</v>
      </c>
    </row>
    <row r="21">
      <c r="B21" s="8" t="inlineStr">
        <is>
          <t>Mailboxes</t>
        </is>
      </c>
      <c r="C21" s="18" t="n">
        <v>12346.22</v>
      </c>
      <c r="F21" s="18" t="n">
        <v>12346.22</v>
      </c>
    </row>
    <row r="22">
      <c r="A22" s="5" t="n"/>
      <c r="B22" s="6" t="inlineStr">
        <is>
          <t>Site Utilities</t>
        </is>
      </c>
    </row>
    <row r="23">
      <c r="B23" s="8" t="inlineStr">
        <is>
          <t>Site Utilities</t>
        </is>
      </c>
      <c r="C23" s="18" t="n">
        <v>284586.38</v>
      </c>
      <c r="G23" s="18" t="n">
        <v>284586.38</v>
      </c>
    </row>
    <row r="24">
      <c r="A24" s="19" t="n"/>
      <c r="B24" s="20" t="inlineStr">
        <is>
          <t>Total Cost</t>
        </is>
      </c>
      <c r="C24" s="21">
        <f>SUM(C10:C23)</f>
        <v/>
      </c>
      <c r="D24" s="21">
        <f>SUM(D10:D23)</f>
        <v/>
      </c>
      <c r="E24" s="21">
        <f>SUM(E10:E23)</f>
        <v/>
      </c>
      <c r="F24" s="21">
        <f>SUM(F10:F23)</f>
        <v/>
      </c>
      <c r="G24" s="21">
        <f>SUM(G10:G23)</f>
        <v/>
      </c>
      <c r="H24" s="19" t="n"/>
      <c r="I24" s="19" t="n"/>
      <c r="J24" s="19" t="n"/>
    </row>
    <row r="26">
      <c r="A26" s="5" t="n"/>
      <c r="B26" s="6" t="inlineStr">
        <is>
          <t>Asset Allocation:</t>
        </is>
      </c>
    </row>
    <row r="27">
      <c r="B27" s="8" t="inlineStr">
        <is>
          <t>Asset - Building</t>
        </is>
      </c>
      <c r="C27" s="18" t="n">
        <v>142802.44</v>
      </c>
      <c r="F27" s="18" t="n">
        <v>91941.42</v>
      </c>
      <c r="G27" s="18" t="n">
        <v>50861.02</v>
      </c>
    </row>
    <row r="28">
      <c r="B28" s="8" t="inlineStr">
        <is>
          <t>Asset - Building Improvement</t>
        </is>
      </c>
      <c r="C28" s="18" t="n">
        <v>440052.61</v>
      </c>
      <c r="F28" s="18" t="n">
        <v>283321.93</v>
      </c>
      <c r="G28" s="18" t="n">
        <v>156730.68</v>
      </c>
    </row>
    <row r="29">
      <c r="B29" s="8" t="inlineStr">
        <is>
          <t>Asset - Building Improvement</t>
        </is>
      </c>
      <c r="C29" s="18" t="n">
        <v>2396.64</v>
      </c>
      <c r="F29" s="18" t="n">
        <v>1543.04</v>
      </c>
      <c r="G29" s="18" t="n">
        <v>853.6</v>
      </c>
    </row>
    <row r="30">
      <c r="B30" s="8" t="inlineStr">
        <is>
          <t>Asset - Land Improvements</t>
        </is>
      </c>
      <c r="C30" s="18" t="n">
        <v>34976.58</v>
      </c>
      <c r="F30" s="18" t="n">
        <v>22519.2</v>
      </c>
      <c r="G30" s="18" t="n">
        <v>12457.38</v>
      </c>
    </row>
    <row r="31">
      <c r="B31" s="8" t="inlineStr">
        <is>
          <t>Asset - Land Improvements</t>
        </is>
      </c>
      <c r="C31" s="18" t="n">
        <v>70357.38</v>
      </c>
      <c r="F31" s="18" t="n">
        <v>45298.65</v>
      </c>
      <c r="G31" s="18" t="n">
        <v>25058.73</v>
      </c>
    </row>
    <row r="32">
      <c r="B32" s="8" t="inlineStr">
        <is>
          <t>Asset - Equipment</t>
        </is>
      </c>
      <c r="C32" s="18" t="n">
        <v>108447.32</v>
      </c>
      <c r="F32" s="18" t="n">
        <v>69822.35000000001</v>
      </c>
      <c r="G32" s="18" t="n">
        <v>38624.97</v>
      </c>
    </row>
    <row r="33">
      <c r="A33" s="19" t="n"/>
      <c r="B33" s="20" t="inlineStr">
        <is>
          <t>Total Allocation:</t>
        </is>
      </c>
      <c r="C33" s="21">
        <f>SUM(C27:C32)</f>
        <v/>
      </c>
      <c r="D33" s="21">
        <f>SUM(D27:D32)</f>
        <v/>
      </c>
      <c r="E33" s="21">
        <f>SUM(E27:E32)</f>
        <v/>
      </c>
      <c r="F33" s="21">
        <f>SUM(F27:F32)</f>
        <v/>
      </c>
      <c r="G33" s="21">
        <f>SUM(G27:G32)</f>
        <v/>
      </c>
      <c r="H33" s="19" t="n"/>
      <c r="I33" s="19" t="n"/>
      <c r="J33" s="19" t="n"/>
    </row>
  </sheetData>
  <mergeCells count="7">
    <mergeCell ref="A8:J8"/>
    <mergeCell ref="B10:J10"/>
    <mergeCell ref="B22:J22"/>
    <mergeCell ref="A3:J3"/>
    <mergeCell ref="B26:J26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A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A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B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B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C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C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D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D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E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F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F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G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G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H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H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I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I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14924.28</v>
      </c>
      <c r="D11" s="18" t="n">
        <v>14924.28</v>
      </c>
    </row>
    <row r="12">
      <c r="B12" s="8" t="inlineStr">
        <is>
          <t>Moldings</t>
        </is>
      </c>
      <c r="C12" s="18" t="n">
        <v>10497.34</v>
      </c>
      <c r="D12" s="18" t="n">
        <v>10497.34</v>
      </c>
    </row>
    <row r="13">
      <c r="B13" s="8" t="inlineStr">
        <is>
          <t>Flooring - Vinyl Plank</t>
        </is>
      </c>
      <c r="C13" s="18" t="n">
        <v>42163.82</v>
      </c>
      <c r="D13" s="18" t="n">
        <v>42163.82</v>
      </c>
    </row>
    <row r="14">
      <c r="B14" s="8" t="inlineStr">
        <is>
          <t>Window Treatments</t>
        </is>
      </c>
      <c r="C14" s="18" t="n">
        <v>5291.37</v>
      </c>
      <c r="D14" s="18" t="n">
        <v>5291.37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3335.96</v>
      </c>
      <c r="D17" s="18" t="n">
        <v>3335.96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1722.5</v>
      </c>
      <c r="D19" s="18" t="n">
        <v>1722.5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23533.09</v>
      </c>
      <c r="G22" s="18" t="n">
        <v>23533.09</v>
      </c>
    </row>
    <row r="23">
      <c r="B23" s="8" t="inlineStr">
        <is>
          <t>Foundations</t>
        </is>
      </c>
      <c r="C23" s="18" t="n">
        <v>28643.92</v>
      </c>
      <c r="G23" s="18" t="n">
        <v>28643.92</v>
      </c>
    </row>
    <row r="24">
      <c r="B24" s="8" t="inlineStr">
        <is>
          <t>HVAC</t>
        </is>
      </c>
      <c r="C24" s="18" t="n">
        <v>42496.69</v>
      </c>
      <c r="G24" s="18" t="n">
        <v>42496.69</v>
      </c>
    </row>
    <row r="25">
      <c r="B25" s="8" t="inlineStr">
        <is>
          <t>Electrical</t>
        </is>
      </c>
      <c r="C25" s="18" t="n">
        <v>35043.34</v>
      </c>
      <c r="G25" s="18" t="n">
        <v>35043.34</v>
      </c>
    </row>
    <row r="26">
      <c r="B26" s="8" t="inlineStr">
        <is>
          <t>Plumbing</t>
        </is>
      </c>
      <c r="C26" s="18" t="n">
        <v>36942.14</v>
      </c>
      <c r="G26" s="18" t="n">
        <v>36942.14</v>
      </c>
    </row>
    <row r="27">
      <c r="B27" s="8" t="inlineStr">
        <is>
          <t>Fire Protection &amp; Alarm</t>
        </is>
      </c>
      <c r="C27" s="18" t="n">
        <v>1288.46</v>
      </c>
      <c r="G27" s="18" t="n">
        <v>1288.46</v>
      </c>
    </row>
    <row r="28">
      <c r="B28" s="8" t="inlineStr">
        <is>
          <t>Exterior Façade / Building Skin</t>
        </is>
      </c>
      <c r="C28" s="18" t="n">
        <v>22726.22</v>
      </c>
      <c r="G28" s="18" t="n">
        <v>22726.22</v>
      </c>
    </row>
    <row r="29">
      <c r="B29" s="8" t="inlineStr">
        <is>
          <t>Doors &amp; Frames</t>
        </is>
      </c>
      <c r="C29" s="18" t="n">
        <v>21445.66</v>
      </c>
      <c r="G29" s="18" t="n">
        <v>21445.66</v>
      </c>
    </row>
    <row r="30">
      <c r="B30" s="8" t="inlineStr">
        <is>
          <t>Windows</t>
        </is>
      </c>
      <c r="C30" s="18" t="n">
        <v>23322.18</v>
      </c>
      <c r="G30" s="18" t="n">
        <v>23322.18</v>
      </c>
    </row>
    <row r="31">
      <c r="B31" s="8" t="inlineStr">
        <is>
          <t>Ceiling Systems</t>
        </is>
      </c>
      <c r="C31" s="18" t="n">
        <v>18778.11</v>
      </c>
      <c r="G31" s="18" t="n">
        <v>18778.11</v>
      </c>
    </row>
    <row r="32">
      <c r="B32" s="8" t="inlineStr">
        <is>
          <t>Interior Framing / Partitions</t>
        </is>
      </c>
      <c r="C32" s="18" t="n">
        <v>45770.64</v>
      </c>
      <c r="G32" s="18" t="n">
        <v>45770.64</v>
      </c>
    </row>
    <row r="33">
      <c r="B33" s="8" t="inlineStr">
        <is>
          <t>Painting</t>
        </is>
      </c>
      <c r="C33" s="18" t="n">
        <v>19814.11</v>
      </c>
      <c r="G33" s="18" t="n">
        <v>19814.11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66220.75</v>
      </c>
      <c r="G35" s="18" t="n">
        <v>66220.75</v>
      </c>
    </row>
    <row r="36">
      <c r="B36" s="8" t="inlineStr">
        <is>
          <t>Stairs / Balconies</t>
        </is>
      </c>
      <c r="C36" s="18" t="n">
        <v>14527.19</v>
      </c>
      <c r="G36" s="18" t="n">
        <v>14527.19</v>
      </c>
    </row>
    <row r="37">
      <c r="B37" s="8" t="inlineStr">
        <is>
          <t>Bathroom Accessories</t>
        </is>
      </c>
      <c r="C37" s="18" t="n">
        <v>5049.22</v>
      </c>
      <c r="G37" s="18" t="n">
        <v>5049.22</v>
      </c>
    </row>
    <row r="38">
      <c r="B38" s="8" t="inlineStr">
        <is>
          <t>Cabinets / Millwork - Restrooms</t>
        </is>
      </c>
      <c r="C38" s="18" t="n">
        <v>3006.53</v>
      </c>
      <c r="G38" s="18" t="n">
        <v>3006.53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92190.66</v>
      </c>
      <c r="D42" s="18" t="n">
        <v>18720.42</v>
      </c>
      <c r="G42" s="18" t="n">
        <v>73470.24000000001</v>
      </c>
    </row>
    <row r="43">
      <c r="B43" s="8" t="inlineStr">
        <is>
          <t>Asset - Building Improvement</t>
        </is>
      </c>
      <c r="C43" s="18" t="n">
        <v>284089.88</v>
      </c>
      <c r="D43" s="18" t="n">
        <v>57687.85</v>
      </c>
      <c r="G43" s="18" t="n">
        <v>226402.03</v>
      </c>
    </row>
    <row r="44">
      <c r="B44" s="8" t="inlineStr">
        <is>
          <t>Asset - Building Improvement</t>
        </is>
      </c>
      <c r="C44" s="18" t="n">
        <v>1547.26</v>
      </c>
      <c r="D44" s="18" t="n">
        <v>314.19</v>
      </c>
      <c r="G44" s="18" t="n">
        <v>1233.07</v>
      </c>
    </row>
    <row r="45">
      <c r="B45" s="8" t="inlineStr">
        <is>
          <t>Asset - Land Improvements</t>
        </is>
      </c>
      <c r="C45" s="18" t="n">
        <v>22580.21</v>
      </c>
      <c r="D45" s="18" t="n">
        <v>4585.18</v>
      </c>
      <c r="G45" s="18" t="n">
        <v>17995.03</v>
      </c>
    </row>
    <row r="46">
      <c r="B46" s="8" t="inlineStr">
        <is>
          <t>Asset - Land Improvements</t>
        </is>
      </c>
      <c r="C46" s="18" t="n">
        <v>45421.43</v>
      </c>
      <c r="D46" s="18" t="n">
        <v>9223.360000000001</v>
      </c>
      <c r="G46" s="18" t="n">
        <v>36198.07</v>
      </c>
    </row>
    <row r="47">
      <c r="B47" s="8" t="inlineStr">
        <is>
          <t>Asset - Equipment</t>
        </is>
      </c>
      <c r="C47" s="18" t="n">
        <v>70011.61</v>
      </c>
      <c r="D47" s="18" t="n">
        <v>14216.69</v>
      </c>
      <c r="G47" s="18" t="n">
        <v>55794.92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J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J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14219.24</v>
      </c>
      <c r="D11" s="18" t="n">
        <v>14219.24</v>
      </c>
    </row>
    <row r="12">
      <c r="B12" s="8" t="inlineStr">
        <is>
          <t>Moldings</t>
        </is>
      </c>
      <c r="C12" s="18" t="n">
        <v>9652.73</v>
      </c>
      <c r="D12" s="18" t="n">
        <v>9652.73</v>
      </c>
    </row>
    <row r="13">
      <c r="B13" s="8" t="inlineStr">
        <is>
          <t>Flooring - Vinyl Plank</t>
        </is>
      </c>
      <c r="C13" s="18" t="n">
        <v>33731.06</v>
      </c>
      <c r="D13" s="18" t="n">
        <v>33731.06</v>
      </c>
    </row>
    <row r="14">
      <c r="B14" s="8" t="inlineStr">
        <is>
          <t>Window Treatments</t>
        </is>
      </c>
      <c r="C14" s="18" t="n">
        <v>3552.78</v>
      </c>
      <c r="D14" s="18" t="n">
        <v>3552.78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2668.77</v>
      </c>
      <c r="D17" s="18" t="n">
        <v>2668.77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886.65</v>
      </c>
      <c r="D19" s="18" t="n">
        <v>886.65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19629.66</v>
      </c>
      <c r="G22" s="18" t="n">
        <v>19629.66</v>
      </c>
    </row>
    <row r="23">
      <c r="B23" s="8" t="inlineStr">
        <is>
          <t>Foundations</t>
        </is>
      </c>
      <c r="C23" s="18" t="n">
        <v>23418.11</v>
      </c>
      <c r="G23" s="18" t="n">
        <v>23418.11</v>
      </c>
    </row>
    <row r="24">
      <c r="B24" s="8" t="inlineStr">
        <is>
          <t>HVAC</t>
        </is>
      </c>
      <c r="C24" s="18" t="n">
        <v>33997.34</v>
      </c>
      <c r="G24" s="18" t="n">
        <v>33997.34</v>
      </c>
    </row>
    <row r="25">
      <c r="B25" s="8" t="inlineStr">
        <is>
          <t>Electrical</t>
        </is>
      </c>
      <c r="C25" s="18" t="n">
        <v>26926.59</v>
      </c>
      <c r="G25" s="18" t="n">
        <v>26926.59</v>
      </c>
    </row>
    <row r="26">
      <c r="B26" s="8" t="inlineStr">
        <is>
          <t>Plumbing</t>
        </is>
      </c>
      <c r="C26" s="18" t="n">
        <v>29553.7</v>
      </c>
      <c r="G26" s="18" t="n">
        <v>29553.7</v>
      </c>
    </row>
    <row r="27">
      <c r="B27" s="8" t="inlineStr">
        <is>
          <t>Fire Protection &amp; Alarm</t>
        </is>
      </c>
      <c r="C27" s="18" t="n">
        <v>1932.7</v>
      </c>
      <c r="G27" s="18" t="n">
        <v>1932.7</v>
      </c>
    </row>
    <row r="28">
      <c r="B28" s="8" t="inlineStr">
        <is>
          <t>Exterior Façade / Building Skin</t>
        </is>
      </c>
      <c r="C28" s="18" t="n">
        <v>21649.45</v>
      </c>
      <c r="G28" s="18" t="n">
        <v>21649.45</v>
      </c>
    </row>
    <row r="29">
      <c r="B29" s="8" t="inlineStr">
        <is>
          <t>Doors &amp; Frames</t>
        </is>
      </c>
      <c r="C29" s="18" t="n">
        <v>18392.87</v>
      </c>
      <c r="G29" s="18" t="n">
        <v>18392.87</v>
      </c>
    </row>
    <row r="30">
      <c r="B30" s="8" t="inlineStr">
        <is>
          <t>Windows</t>
        </is>
      </c>
      <c r="C30" s="18" t="n">
        <v>15659.18</v>
      </c>
      <c r="G30" s="18" t="n">
        <v>15659.18</v>
      </c>
    </row>
    <row r="31">
      <c r="B31" s="8" t="inlineStr">
        <is>
          <t>Ceiling Systems</t>
        </is>
      </c>
      <c r="C31" s="18" t="n">
        <v>15022.49</v>
      </c>
      <c r="G31" s="18" t="n">
        <v>15022.49</v>
      </c>
    </row>
    <row r="32">
      <c r="B32" s="8" t="inlineStr">
        <is>
          <t>Interior Framing / Partitions</t>
        </is>
      </c>
      <c r="C32" s="18" t="n">
        <v>42580.32</v>
      </c>
      <c r="G32" s="18" t="n">
        <v>42580.32</v>
      </c>
    </row>
    <row r="33">
      <c r="B33" s="8" t="inlineStr">
        <is>
          <t>Painting</t>
        </is>
      </c>
      <c r="C33" s="18" t="n">
        <v>17847.95</v>
      </c>
      <c r="G33" s="18" t="n">
        <v>17847.95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56386.47</v>
      </c>
      <c r="G35" s="18" t="n">
        <v>56386.47</v>
      </c>
    </row>
    <row r="36">
      <c r="B36" s="8" t="inlineStr">
        <is>
          <t>Stairs / Balconies</t>
        </is>
      </c>
      <c r="C36" s="18" t="n">
        <v>12218.89</v>
      </c>
      <c r="G36" s="18" t="n">
        <v>12218.89</v>
      </c>
    </row>
    <row r="37">
      <c r="B37" s="8" t="inlineStr">
        <is>
          <t>Bathroom Accessories</t>
        </is>
      </c>
      <c r="C37" s="18" t="n">
        <v>4195.26</v>
      </c>
      <c r="G37" s="18" t="n">
        <v>4195.26</v>
      </c>
    </row>
    <row r="38">
      <c r="B38" s="8" t="inlineStr">
        <is>
          <t>Cabinets / Millwork - Restrooms</t>
        </is>
      </c>
      <c r="C38" s="18" t="n">
        <v>2297.2</v>
      </c>
      <c r="G38" s="18" t="n">
        <v>2297.2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78702.11</v>
      </c>
      <c r="D42" s="18" t="n">
        <v>16357.03</v>
      </c>
      <c r="G42" s="18" t="n">
        <v>62345.08</v>
      </c>
    </row>
    <row r="43">
      <c r="B43" s="8" t="inlineStr">
        <is>
          <t>Asset - Building Improvement</t>
        </is>
      </c>
      <c r="C43" s="18" t="n">
        <v>242524.3</v>
      </c>
      <c r="D43" s="18" t="n">
        <v>50404.95</v>
      </c>
      <c r="G43" s="18" t="n">
        <v>192119.35</v>
      </c>
    </row>
    <row r="44">
      <c r="B44" s="8" t="inlineStr">
        <is>
          <t>Asset - Building Improvement</t>
        </is>
      </c>
      <c r="C44" s="18" t="n">
        <v>1320.88</v>
      </c>
      <c r="D44" s="18" t="n">
        <v>274.52</v>
      </c>
      <c r="G44" s="18" t="n">
        <v>1046.36</v>
      </c>
    </row>
    <row r="45">
      <c r="B45" s="8" t="inlineStr">
        <is>
          <t>Asset - Land Improvements</t>
        </is>
      </c>
      <c r="C45" s="18" t="n">
        <v>19276.47</v>
      </c>
      <c r="D45" s="18" t="n">
        <v>4006.32</v>
      </c>
      <c r="G45" s="18" t="n">
        <v>15270.15</v>
      </c>
    </row>
    <row r="46">
      <c r="B46" s="8" t="inlineStr">
        <is>
          <t>Asset - Land Improvements</t>
        </is>
      </c>
      <c r="C46" s="18" t="n">
        <v>38775.76</v>
      </c>
      <c r="D46" s="18" t="n">
        <v>8058.95</v>
      </c>
      <c r="G46" s="18" t="n">
        <v>30716.81</v>
      </c>
    </row>
    <row r="47">
      <c r="B47" s="8" t="inlineStr">
        <is>
          <t>Asset - Equipment</t>
        </is>
      </c>
      <c r="C47" s="18" t="n">
        <v>59768.11</v>
      </c>
      <c r="D47" s="18" t="n">
        <v>12421.88</v>
      </c>
      <c r="G47" s="18" t="n">
        <v>47346.23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K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K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14219.24</v>
      </c>
      <c r="D11" s="18" t="n">
        <v>14219.24</v>
      </c>
    </row>
    <row r="12">
      <c r="B12" s="8" t="inlineStr">
        <is>
          <t>Moldings</t>
        </is>
      </c>
      <c r="C12" s="18" t="n">
        <v>9652.73</v>
      </c>
      <c r="D12" s="18" t="n">
        <v>9652.73</v>
      </c>
    </row>
    <row r="13">
      <c r="B13" s="8" t="inlineStr">
        <is>
          <t>Flooring - Vinyl Plank</t>
        </is>
      </c>
      <c r="C13" s="18" t="n">
        <v>33731.06</v>
      </c>
      <c r="D13" s="18" t="n">
        <v>33731.06</v>
      </c>
    </row>
    <row r="14">
      <c r="B14" s="8" t="inlineStr">
        <is>
          <t>Window Treatments</t>
        </is>
      </c>
      <c r="C14" s="18" t="n">
        <v>3552.78</v>
      </c>
      <c r="D14" s="18" t="n">
        <v>3552.78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2668.77</v>
      </c>
      <c r="D17" s="18" t="n">
        <v>2668.77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886.65</v>
      </c>
      <c r="D19" s="18" t="n">
        <v>886.65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19629.66</v>
      </c>
      <c r="G22" s="18" t="n">
        <v>19629.66</v>
      </c>
    </row>
    <row r="23">
      <c r="B23" s="8" t="inlineStr">
        <is>
          <t>Foundations</t>
        </is>
      </c>
      <c r="C23" s="18" t="n">
        <v>23418.11</v>
      </c>
      <c r="G23" s="18" t="n">
        <v>23418.11</v>
      </c>
    </row>
    <row r="24">
      <c r="B24" s="8" t="inlineStr">
        <is>
          <t>HVAC</t>
        </is>
      </c>
      <c r="C24" s="18" t="n">
        <v>33997.34</v>
      </c>
      <c r="G24" s="18" t="n">
        <v>33997.34</v>
      </c>
    </row>
    <row r="25">
      <c r="B25" s="8" t="inlineStr">
        <is>
          <t>Electrical</t>
        </is>
      </c>
      <c r="C25" s="18" t="n">
        <v>26926.59</v>
      </c>
      <c r="G25" s="18" t="n">
        <v>26926.59</v>
      </c>
    </row>
    <row r="26">
      <c r="B26" s="8" t="inlineStr">
        <is>
          <t>Plumbing</t>
        </is>
      </c>
      <c r="C26" s="18" t="n">
        <v>29553.7</v>
      </c>
      <c r="G26" s="18" t="n">
        <v>29553.7</v>
      </c>
    </row>
    <row r="27">
      <c r="B27" s="8" t="inlineStr">
        <is>
          <t>Fire Protection &amp; Alarm</t>
        </is>
      </c>
      <c r="C27" s="18" t="n">
        <v>1932.7</v>
      </c>
      <c r="G27" s="18" t="n">
        <v>1932.7</v>
      </c>
    </row>
    <row r="28">
      <c r="B28" s="8" t="inlineStr">
        <is>
          <t>Exterior Façade / Building Skin</t>
        </is>
      </c>
      <c r="C28" s="18" t="n">
        <v>21649.45</v>
      </c>
      <c r="G28" s="18" t="n">
        <v>21649.45</v>
      </c>
    </row>
    <row r="29">
      <c r="B29" s="8" t="inlineStr">
        <is>
          <t>Doors &amp; Frames</t>
        </is>
      </c>
      <c r="C29" s="18" t="n">
        <v>18392.87</v>
      </c>
      <c r="G29" s="18" t="n">
        <v>18392.87</v>
      </c>
    </row>
    <row r="30">
      <c r="B30" s="8" t="inlineStr">
        <is>
          <t>Windows</t>
        </is>
      </c>
      <c r="C30" s="18" t="n">
        <v>15659.18</v>
      </c>
      <c r="G30" s="18" t="n">
        <v>15659.18</v>
      </c>
    </row>
    <row r="31">
      <c r="B31" s="8" t="inlineStr">
        <is>
          <t>Ceiling Systems</t>
        </is>
      </c>
      <c r="C31" s="18" t="n">
        <v>15022.49</v>
      </c>
      <c r="G31" s="18" t="n">
        <v>15022.49</v>
      </c>
    </row>
    <row r="32">
      <c r="B32" s="8" t="inlineStr">
        <is>
          <t>Interior Framing / Partitions</t>
        </is>
      </c>
      <c r="C32" s="18" t="n">
        <v>42580.32</v>
      </c>
      <c r="G32" s="18" t="n">
        <v>42580.32</v>
      </c>
    </row>
    <row r="33">
      <c r="B33" s="8" t="inlineStr">
        <is>
          <t>Painting</t>
        </is>
      </c>
      <c r="C33" s="18" t="n">
        <v>17847.95</v>
      </c>
      <c r="G33" s="18" t="n">
        <v>17847.95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56386.47</v>
      </c>
      <c r="G35" s="18" t="n">
        <v>56386.47</v>
      </c>
    </row>
    <row r="36">
      <c r="B36" s="8" t="inlineStr">
        <is>
          <t>Stairs / Balconies</t>
        </is>
      </c>
      <c r="C36" s="18" t="n">
        <v>12218.89</v>
      </c>
      <c r="G36" s="18" t="n">
        <v>12218.89</v>
      </c>
    </row>
    <row r="37">
      <c r="B37" s="8" t="inlineStr">
        <is>
          <t>Bathroom Accessories</t>
        </is>
      </c>
      <c r="C37" s="18" t="n">
        <v>4195.26</v>
      </c>
      <c r="G37" s="18" t="n">
        <v>4195.26</v>
      </c>
    </row>
    <row r="38">
      <c r="B38" s="8" t="inlineStr">
        <is>
          <t>Cabinets / Millwork - Restrooms</t>
        </is>
      </c>
      <c r="C38" s="18" t="n">
        <v>2297.2</v>
      </c>
      <c r="G38" s="18" t="n">
        <v>2297.2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78702.11</v>
      </c>
      <c r="D42" s="18" t="n">
        <v>16357.03</v>
      </c>
      <c r="G42" s="18" t="n">
        <v>62345.08</v>
      </c>
    </row>
    <row r="43">
      <c r="B43" s="8" t="inlineStr">
        <is>
          <t>Asset - Building Improvement</t>
        </is>
      </c>
      <c r="C43" s="18" t="n">
        <v>242524.3</v>
      </c>
      <c r="D43" s="18" t="n">
        <v>50404.95</v>
      </c>
      <c r="G43" s="18" t="n">
        <v>192119.35</v>
      </c>
    </row>
    <row r="44">
      <c r="B44" s="8" t="inlineStr">
        <is>
          <t>Asset - Building Improvement</t>
        </is>
      </c>
      <c r="C44" s="18" t="n">
        <v>1320.88</v>
      </c>
      <c r="D44" s="18" t="n">
        <v>274.52</v>
      </c>
      <c r="G44" s="18" t="n">
        <v>1046.36</v>
      </c>
    </row>
    <row r="45">
      <c r="B45" s="8" t="inlineStr">
        <is>
          <t>Asset - Land Improvements</t>
        </is>
      </c>
      <c r="C45" s="18" t="n">
        <v>19276.47</v>
      </c>
      <c r="D45" s="18" t="n">
        <v>4006.32</v>
      </c>
      <c r="G45" s="18" t="n">
        <v>15270.15</v>
      </c>
    </row>
    <row r="46">
      <c r="B46" s="8" t="inlineStr">
        <is>
          <t>Asset - Land Improvements</t>
        </is>
      </c>
      <c r="C46" s="18" t="n">
        <v>38775.76</v>
      </c>
      <c r="D46" s="18" t="n">
        <v>8058.95</v>
      </c>
      <c r="G46" s="18" t="n">
        <v>30716.81</v>
      </c>
    </row>
    <row r="47">
      <c r="B47" s="8" t="inlineStr">
        <is>
          <t>Asset - Equipment</t>
        </is>
      </c>
      <c r="C47" s="18" t="n">
        <v>59768.11</v>
      </c>
      <c r="D47" s="18" t="n">
        <v>12421.88</v>
      </c>
      <c r="G47" s="18" t="n">
        <v>47346.23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L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L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14219.24</v>
      </c>
      <c r="D11" s="18" t="n">
        <v>14219.24</v>
      </c>
    </row>
    <row r="12">
      <c r="B12" s="8" t="inlineStr">
        <is>
          <t>Moldings</t>
        </is>
      </c>
      <c r="C12" s="18" t="n">
        <v>9652.73</v>
      </c>
      <c r="D12" s="18" t="n">
        <v>9652.73</v>
      </c>
    </row>
    <row r="13">
      <c r="B13" s="8" t="inlineStr">
        <is>
          <t>Flooring - Vinyl Plank</t>
        </is>
      </c>
      <c r="C13" s="18" t="n">
        <v>33731.06</v>
      </c>
      <c r="D13" s="18" t="n">
        <v>33731.06</v>
      </c>
    </row>
    <row r="14">
      <c r="B14" s="8" t="inlineStr">
        <is>
          <t>Window Treatments</t>
        </is>
      </c>
      <c r="C14" s="18" t="n">
        <v>3552.78</v>
      </c>
      <c r="D14" s="18" t="n">
        <v>3552.78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2668.77</v>
      </c>
      <c r="D17" s="18" t="n">
        <v>2668.77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886.65</v>
      </c>
      <c r="D19" s="18" t="n">
        <v>886.65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19629.66</v>
      </c>
      <c r="G22" s="18" t="n">
        <v>19629.66</v>
      </c>
    </row>
    <row r="23">
      <c r="B23" s="8" t="inlineStr">
        <is>
          <t>Foundations</t>
        </is>
      </c>
      <c r="C23" s="18" t="n">
        <v>23418.11</v>
      </c>
      <c r="G23" s="18" t="n">
        <v>23418.11</v>
      </c>
    </row>
    <row r="24">
      <c r="B24" s="8" t="inlineStr">
        <is>
          <t>HVAC</t>
        </is>
      </c>
      <c r="C24" s="18" t="n">
        <v>33997.34</v>
      </c>
      <c r="G24" s="18" t="n">
        <v>33997.34</v>
      </c>
    </row>
    <row r="25">
      <c r="B25" s="8" t="inlineStr">
        <is>
          <t>Electrical</t>
        </is>
      </c>
      <c r="C25" s="18" t="n">
        <v>26926.59</v>
      </c>
      <c r="G25" s="18" t="n">
        <v>26926.59</v>
      </c>
    </row>
    <row r="26">
      <c r="B26" s="8" t="inlineStr">
        <is>
          <t>Plumbing</t>
        </is>
      </c>
      <c r="C26" s="18" t="n">
        <v>29553.7</v>
      </c>
      <c r="G26" s="18" t="n">
        <v>29553.7</v>
      </c>
    </row>
    <row r="27">
      <c r="B27" s="8" t="inlineStr">
        <is>
          <t>Fire Protection &amp; Alarm</t>
        </is>
      </c>
      <c r="C27" s="18" t="n">
        <v>1932.7</v>
      </c>
      <c r="G27" s="18" t="n">
        <v>1932.7</v>
      </c>
    </row>
    <row r="28">
      <c r="B28" s="8" t="inlineStr">
        <is>
          <t>Exterior Façade / Building Skin</t>
        </is>
      </c>
      <c r="C28" s="18" t="n">
        <v>21649.45</v>
      </c>
      <c r="G28" s="18" t="n">
        <v>21649.45</v>
      </c>
    </row>
    <row r="29">
      <c r="B29" s="8" t="inlineStr">
        <is>
          <t>Doors &amp; Frames</t>
        </is>
      </c>
      <c r="C29" s="18" t="n">
        <v>18392.87</v>
      </c>
      <c r="G29" s="18" t="n">
        <v>18392.87</v>
      </c>
    </row>
    <row r="30">
      <c r="B30" s="8" t="inlineStr">
        <is>
          <t>Windows</t>
        </is>
      </c>
      <c r="C30" s="18" t="n">
        <v>15659.18</v>
      </c>
      <c r="G30" s="18" t="n">
        <v>15659.18</v>
      </c>
    </row>
    <row r="31">
      <c r="B31" s="8" t="inlineStr">
        <is>
          <t>Ceiling Systems</t>
        </is>
      </c>
      <c r="C31" s="18" t="n">
        <v>15022.49</v>
      </c>
      <c r="G31" s="18" t="n">
        <v>15022.49</v>
      </c>
    </row>
    <row r="32">
      <c r="B32" s="8" t="inlineStr">
        <is>
          <t>Interior Framing / Partitions</t>
        </is>
      </c>
      <c r="C32" s="18" t="n">
        <v>42580.32</v>
      </c>
      <c r="G32" s="18" t="n">
        <v>42580.32</v>
      </c>
    </row>
    <row r="33">
      <c r="B33" s="8" t="inlineStr">
        <is>
          <t>Painting</t>
        </is>
      </c>
      <c r="C33" s="18" t="n">
        <v>17847.95</v>
      </c>
      <c r="G33" s="18" t="n">
        <v>17847.95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56386.47</v>
      </c>
      <c r="G35" s="18" t="n">
        <v>56386.47</v>
      </c>
    </row>
    <row r="36">
      <c r="B36" s="8" t="inlineStr">
        <is>
          <t>Stairs / Balconies</t>
        </is>
      </c>
      <c r="C36" s="18" t="n">
        <v>12218.89</v>
      </c>
      <c r="G36" s="18" t="n">
        <v>12218.89</v>
      </c>
    </row>
    <row r="37">
      <c r="B37" s="8" t="inlineStr">
        <is>
          <t>Bathroom Accessories</t>
        </is>
      </c>
      <c r="C37" s="18" t="n">
        <v>4195.26</v>
      </c>
      <c r="G37" s="18" t="n">
        <v>4195.26</v>
      </c>
    </row>
    <row r="38">
      <c r="B38" s="8" t="inlineStr">
        <is>
          <t>Cabinets / Millwork - Restrooms</t>
        </is>
      </c>
      <c r="C38" s="18" t="n">
        <v>2297.2</v>
      </c>
      <c r="G38" s="18" t="n">
        <v>2297.2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78702.11</v>
      </c>
      <c r="D42" s="18" t="n">
        <v>16357.03</v>
      </c>
      <c r="G42" s="18" t="n">
        <v>62345.08</v>
      </c>
    </row>
    <row r="43">
      <c r="B43" s="8" t="inlineStr">
        <is>
          <t>Asset - Building Improvement</t>
        </is>
      </c>
      <c r="C43" s="18" t="n">
        <v>242524.3</v>
      </c>
      <c r="D43" s="18" t="n">
        <v>50404.95</v>
      </c>
      <c r="G43" s="18" t="n">
        <v>192119.35</v>
      </c>
    </row>
    <row r="44">
      <c r="B44" s="8" t="inlineStr">
        <is>
          <t>Asset - Building Improvement</t>
        </is>
      </c>
      <c r="C44" s="18" t="n">
        <v>1320.88</v>
      </c>
      <c r="D44" s="18" t="n">
        <v>274.52</v>
      </c>
      <c r="G44" s="18" t="n">
        <v>1046.36</v>
      </c>
    </row>
    <row r="45">
      <c r="B45" s="8" t="inlineStr">
        <is>
          <t>Asset - Land Improvements</t>
        </is>
      </c>
      <c r="C45" s="18" t="n">
        <v>19276.47</v>
      </c>
      <c r="D45" s="18" t="n">
        <v>4006.32</v>
      </c>
      <c r="G45" s="18" t="n">
        <v>15270.15</v>
      </c>
    </row>
    <row r="46">
      <c r="B46" s="8" t="inlineStr">
        <is>
          <t>Asset - Land Improvements</t>
        </is>
      </c>
      <c r="C46" s="18" t="n">
        <v>38775.76</v>
      </c>
      <c r="D46" s="18" t="n">
        <v>8058.95</v>
      </c>
      <c r="G46" s="18" t="n">
        <v>30716.81</v>
      </c>
    </row>
    <row r="47">
      <c r="B47" s="8" t="inlineStr">
        <is>
          <t>Asset - Equipment</t>
        </is>
      </c>
      <c r="C47" s="18" t="n">
        <v>59768.11</v>
      </c>
      <c r="D47" s="18" t="n">
        <v>12421.88</v>
      </c>
      <c r="G47" s="18" t="n">
        <v>47346.23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Building M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Building M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14219.24</v>
      </c>
      <c r="D11" s="18" t="n">
        <v>14219.24</v>
      </c>
    </row>
    <row r="12">
      <c r="B12" s="8" t="inlineStr">
        <is>
          <t>Moldings</t>
        </is>
      </c>
      <c r="C12" s="18" t="n">
        <v>9652.73</v>
      </c>
      <c r="D12" s="18" t="n">
        <v>9652.73</v>
      </c>
    </row>
    <row r="13">
      <c r="B13" s="8" t="inlineStr">
        <is>
          <t>Flooring - Vinyl Plank</t>
        </is>
      </c>
      <c r="C13" s="18" t="n">
        <v>33731.06</v>
      </c>
      <c r="D13" s="18" t="n">
        <v>33731.06</v>
      </c>
    </row>
    <row r="14">
      <c r="B14" s="8" t="inlineStr">
        <is>
          <t>Window Treatments</t>
        </is>
      </c>
      <c r="C14" s="18" t="n">
        <v>3552.78</v>
      </c>
      <c r="D14" s="18" t="n">
        <v>3552.78</v>
      </c>
    </row>
    <row r="15">
      <c r="B15" s="8" t="inlineStr">
        <is>
          <t>Building Signage</t>
        </is>
      </c>
      <c r="C15" s="18" t="n">
        <v>297.35</v>
      </c>
      <c r="D15" s="18" t="n">
        <v>297.35</v>
      </c>
    </row>
    <row r="16">
      <c r="B16" s="8" t="inlineStr">
        <is>
          <t>Specialty Electrical - Appliances</t>
        </is>
      </c>
      <c r="C16" s="18" t="n">
        <v>5540.41</v>
      </c>
      <c r="D16" s="18" t="n">
        <v>5540.41</v>
      </c>
    </row>
    <row r="17">
      <c r="B17" s="8" t="inlineStr">
        <is>
          <t>Communication / Data</t>
        </is>
      </c>
      <c r="C17" s="18" t="n">
        <v>2668.77</v>
      </c>
      <c r="D17" s="18" t="n">
        <v>2668.77</v>
      </c>
    </row>
    <row r="18">
      <c r="B18" s="8" t="inlineStr">
        <is>
          <t>Specialty Plumbing - Kitchen Sinks</t>
        </is>
      </c>
      <c r="C18" s="18" t="n">
        <v>11469.05</v>
      </c>
      <c r="D18" s="18" t="n">
        <v>11469.05</v>
      </c>
    </row>
    <row r="19">
      <c r="B19" s="8" t="inlineStr">
        <is>
          <t>Security / Exterior Lighting</t>
        </is>
      </c>
      <c r="C19" s="18" t="n">
        <v>886.65</v>
      </c>
      <c r="D19" s="18" t="n">
        <v>886.65</v>
      </c>
    </row>
    <row r="20">
      <c r="B20" s="8" t="inlineStr">
        <is>
          <t>Appliances</t>
        </is>
      </c>
      <c r="C20" s="18" t="n">
        <v>9505.610000000001</v>
      </c>
      <c r="D20" s="18" t="n">
        <v>9505.610000000001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19629.66</v>
      </c>
      <c r="G22" s="18" t="n">
        <v>19629.66</v>
      </c>
    </row>
    <row r="23">
      <c r="B23" s="8" t="inlineStr">
        <is>
          <t>Foundations</t>
        </is>
      </c>
      <c r="C23" s="18" t="n">
        <v>23418.11</v>
      </c>
      <c r="G23" s="18" t="n">
        <v>23418.11</v>
      </c>
    </row>
    <row r="24">
      <c r="B24" s="8" t="inlineStr">
        <is>
          <t>HVAC</t>
        </is>
      </c>
      <c r="C24" s="18" t="n">
        <v>33997.34</v>
      </c>
      <c r="G24" s="18" t="n">
        <v>33997.34</v>
      </c>
    </row>
    <row r="25">
      <c r="B25" s="8" t="inlineStr">
        <is>
          <t>Electrical</t>
        </is>
      </c>
      <c r="C25" s="18" t="n">
        <v>26926.59</v>
      </c>
      <c r="G25" s="18" t="n">
        <v>26926.59</v>
      </c>
    </row>
    <row r="26">
      <c r="B26" s="8" t="inlineStr">
        <is>
          <t>Plumbing</t>
        </is>
      </c>
      <c r="C26" s="18" t="n">
        <v>29553.7</v>
      </c>
      <c r="G26" s="18" t="n">
        <v>29553.7</v>
      </c>
    </row>
    <row r="27">
      <c r="B27" s="8" t="inlineStr">
        <is>
          <t>Fire Protection &amp; Alarm</t>
        </is>
      </c>
      <c r="C27" s="18" t="n">
        <v>1932.7</v>
      </c>
      <c r="G27" s="18" t="n">
        <v>1932.7</v>
      </c>
    </row>
    <row r="28">
      <c r="B28" s="8" t="inlineStr">
        <is>
          <t>Exterior Façade / Building Skin</t>
        </is>
      </c>
      <c r="C28" s="18" t="n">
        <v>21649.45</v>
      </c>
      <c r="G28" s="18" t="n">
        <v>21649.45</v>
      </c>
    </row>
    <row r="29">
      <c r="B29" s="8" t="inlineStr">
        <is>
          <t>Doors &amp; Frames</t>
        </is>
      </c>
      <c r="C29" s="18" t="n">
        <v>18392.87</v>
      </c>
      <c r="G29" s="18" t="n">
        <v>18392.87</v>
      </c>
    </row>
    <row r="30">
      <c r="B30" s="8" t="inlineStr">
        <is>
          <t>Windows</t>
        </is>
      </c>
      <c r="C30" s="18" t="n">
        <v>15659.18</v>
      </c>
      <c r="G30" s="18" t="n">
        <v>15659.18</v>
      </c>
    </row>
    <row r="31">
      <c r="B31" s="8" t="inlineStr">
        <is>
          <t>Ceiling Systems</t>
        </is>
      </c>
      <c r="C31" s="18" t="n">
        <v>15022.49</v>
      </c>
      <c r="G31" s="18" t="n">
        <v>15022.49</v>
      </c>
    </row>
    <row r="32">
      <c r="B32" s="8" t="inlineStr">
        <is>
          <t>Interior Framing / Partitions</t>
        </is>
      </c>
      <c r="C32" s="18" t="n">
        <v>42580.32</v>
      </c>
      <c r="G32" s="18" t="n">
        <v>42580.32</v>
      </c>
    </row>
    <row r="33">
      <c r="B33" s="8" t="inlineStr">
        <is>
          <t>Painting</t>
        </is>
      </c>
      <c r="C33" s="18" t="n">
        <v>17847.95</v>
      </c>
      <c r="G33" s="18" t="n">
        <v>17847.95</v>
      </c>
    </row>
    <row r="34">
      <c r="B34" s="8" t="inlineStr">
        <is>
          <t>Gutter Systems</t>
        </is>
      </c>
      <c r="C34" s="18" t="n">
        <v>1064</v>
      </c>
      <c r="G34" s="18" t="n">
        <v>1064</v>
      </c>
    </row>
    <row r="35">
      <c r="B35" s="8" t="inlineStr">
        <is>
          <t>Structural Framing</t>
        </is>
      </c>
      <c r="C35" s="18" t="n">
        <v>56386.47</v>
      </c>
      <c r="G35" s="18" t="n">
        <v>56386.47</v>
      </c>
    </row>
    <row r="36">
      <c r="B36" s="8" t="inlineStr">
        <is>
          <t>Stairs / Balconies</t>
        </is>
      </c>
      <c r="C36" s="18" t="n">
        <v>12218.89</v>
      </c>
      <c r="G36" s="18" t="n">
        <v>12218.89</v>
      </c>
    </row>
    <row r="37">
      <c r="B37" s="8" t="inlineStr">
        <is>
          <t>Bathroom Accessories</t>
        </is>
      </c>
      <c r="C37" s="18" t="n">
        <v>4195.26</v>
      </c>
      <c r="G37" s="18" t="n">
        <v>4195.26</v>
      </c>
    </row>
    <row r="38">
      <c r="B38" s="8" t="inlineStr">
        <is>
          <t>Cabinets / Millwork - Restrooms</t>
        </is>
      </c>
      <c r="C38" s="18" t="n">
        <v>2297.2</v>
      </c>
      <c r="G38" s="18" t="n">
        <v>2297.2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- Building</t>
        </is>
      </c>
      <c r="C42" s="18" t="n">
        <v>78702.11</v>
      </c>
      <c r="D42" s="18" t="n">
        <v>16357.03</v>
      </c>
      <c r="G42" s="18" t="n">
        <v>62345.08</v>
      </c>
    </row>
    <row r="43">
      <c r="B43" s="8" t="inlineStr">
        <is>
          <t>Asset - Building Improvement</t>
        </is>
      </c>
      <c r="C43" s="18" t="n">
        <v>242524.3</v>
      </c>
      <c r="D43" s="18" t="n">
        <v>50404.95</v>
      </c>
      <c r="G43" s="18" t="n">
        <v>192119.35</v>
      </c>
    </row>
    <row r="44">
      <c r="B44" s="8" t="inlineStr">
        <is>
          <t>Asset - Building Improvement</t>
        </is>
      </c>
      <c r="C44" s="18" t="n">
        <v>1320.88</v>
      </c>
      <c r="D44" s="18" t="n">
        <v>274.52</v>
      </c>
      <c r="G44" s="18" t="n">
        <v>1046.36</v>
      </c>
    </row>
    <row r="45">
      <c r="B45" s="8" t="inlineStr">
        <is>
          <t>Asset - Land Improvements</t>
        </is>
      </c>
      <c r="C45" s="18" t="n">
        <v>19276.47</v>
      </c>
      <c r="D45" s="18" t="n">
        <v>4006.32</v>
      </c>
      <c r="G45" s="18" t="n">
        <v>15270.15</v>
      </c>
    </row>
    <row r="46">
      <c r="B46" s="8" t="inlineStr">
        <is>
          <t>Asset - Land Improvements</t>
        </is>
      </c>
      <c r="C46" s="18" t="n">
        <v>38775.76</v>
      </c>
      <c r="D46" s="18" t="n">
        <v>8058.95</v>
      </c>
      <c r="G46" s="18" t="n">
        <v>30716.81</v>
      </c>
    </row>
    <row r="47">
      <c r="B47" s="8" t="inlineStr">
        <is>
          <t>Asset - Equipment</t>
        </is>
      </c>
      <c r="C47" s="18" t="n">
        <v>59768.11</v>
      </c>
      <c r="D47" s="18" t="n">
        <v>12421.88</v>
      </c>
      <c r="G47" s="18" t="n">
        <v>47346.23</v>
      </c>
    </row>
    <row r="48">
      <c r="A48" s="19" t="n"/>
      <c r="B48" s="20" t="inlineStr">
        <is>
          <t>Total Allocation:</t>
        </is>
      </c>
      <c r="C48" s="21">
        <f>SUM(C42:C47)</f>
        <v/>
      </c>
      <c r="D48" s="21">
        <f>SUM(D42:D47)</f>
        <v/>
      </c>
      <c r="E48" s="21">
        <f>SUM(E42:E47)</f>
        <v/>
      </c>
      <c r="F48" s="21">
        <f>SUM(F42:F47)</f>
        <v/>
      </c>
      <c r="G48" s="21">
        <f>SUM(G42:G47)</f>
        <v/>
      </c>
      <c r="H48" s="19" t="n"/>
      <c r="I48" s="19" t="n"/>
      <c r="J48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J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Office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Office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Moldings</t>
        </is>
      </c>
      <c r="C11" s="18" t="n">
        <v>2971.24</v>
      </c>
      <c r="D11" s="18" t="n">
        <v>2971.24</v>
      </c>
    </row>
    <row r="12">
      <c r="B12" s="8" t="inlineStr">
        <is>
          <t>Flooring - Vinyl Plank</t>
        </is>
      </c>
      <c r="C12" s="18" t="n">
        <v>11681.93</v>
      </c>
      <c r="D12" s="18" t="n">
        <v>11681.93</v>
      </c>
    </row>
    <row r="13">
      <c r="B13" s="8" t="inlineStr">
        <is>
          <t>Specialty HVAC - Dryer Vents</t>
        </is>
      </c>
      <c r="C13" s="18" t="n">
        <v>197.41</v>
      </c>
      <c r="D13" s="18" t="n">
        <v>197.41</v>
      </c>
    </row>
    <row r="14">
      <c r="B14" s="8" t="inlineStr">
        <is>
          <t>Specialty Electrical - Appliances</t>
        </is>
      </c>
      <c r="C14" s="18" t="n">
        <v>944.53</v>
      </c>
      <c r="D14" s="18" t="n">
        <v>944.53</v>
      </c>
    </row>
    <row r="15">
      <c r="B15" s="8" t="inlineStr">
        <is>
          <t>Communication / Data</t>
        </is>
      </c>
      <c r="C15" s="18" t="n">
        <v>3452.88</v>
      </c>
      <c r="D15" s="18" t="n">
        <v>3452.88</v>
      </c>
    </row>
    <row r="16">
      <c r="B16" s="8" t="inlineStr">
        <is>
          <t>Specialty Plumbing - Laundry</t>
        </is>
      </c>
      <c r="C16" s="18" t="n">
        <v>824.22</v>
      </c>
      <c r="D16" s="18" t="n">
        <v>824.22</v>
      </c>
    </row>
    <row r="17">
      <c r="B17" s="8" t="inlineStr">
        <is>
          <t>Security / Exterior Lighting</t>
        </is>
      </c>
      <c r="C17" s="18" t="n">
        <v>796.45</v>
      </c>
      <c r="D17" s="18" t="n">
        <v>796.45</v>
      </c>
    </row>
    <row r="18">
      <c r="B18" s="8" t="inlineStr">
        <is>
          <t>Canopies</t>
        </is>
      </c>
      <c r="C18" s="18" t="n">
        <v>456.05</v>
      </c>
      <c r="D18" s="18" t="n">
        <v>456.05</v>
      </c>
    </row>
    <row r="19">
      <c r="B19" s="8" t="inlineStr">
        <is>
          <t>Appliances</t>
        </is>
      </c>
      <c r="C19" s="18" t="n">
        <v>2758.54</v>
      </c>
      <c r="D19" s="18" t="n">
        <v>2758.54</v>
      </c>
    </row>
    <row r="20">
      <c r="A20" s="5" t="n"/>
      <c r="B20" s="6" t="inlineStr">
        <is>
          <t>Building Structure</t>
        </is>
      </c>
    </row>
    <row r="21">
      <c r="B21" s="8" t="inlineStr">
        <is>
          <t>Roofing Systems</t>
        </is>
      </c>
      <c r="C21" s="18" t="n">
        <v>16214.15</v>
      </c>
      <c r="G21" s="18" t="n">
        <v>16214.15</v>
      </c>
    </row>
    <row r="22">
      <c r="B22" s="8" t="inlineStr">
        <is>
          <t>Foundations</t>
        </is>
      </c>
      <c r="C22" s="18" t="n">
        <v>22421.29</v>
      </c>
      <c r="G22" s="18" t="n">
        <v>22421.29</v>
      </c>
    </row>
    <row r="23">
      <c r="B23" s="8" t="inlineStr">
        <is>
          <t>HVAC</t>
        </is>
      </c>
      <c r="C23" s="18" t="n">
        <v>11576.74</v>
      </c>
      <c r="G23" s="18" t="n">
        <v>11576.74</v>
      </c>
    </row>
    <row r="24">
      <c r="B24" s="8" t="inlineStr">
        <is>
          <t>Electrical</t>
        </is>
      </c>
      <c r="C24" s="18" t="n">
        <v>12631.83</v>
      </c>
      <c r="G24" s="18" t="n">
        <v>12631.83</v>
      </c>
    </row>
    <row r="25">
      <c r="B25" s="8" t="inlineStr">
        <is>
          <t>Plumbing</t>
        </is>
      </c>
      <c r="C25" s="18" t="n">
        <v>9410.98</v>
      </c>
      <c r="G25" s="18" t="n">
        <v>9410.98</v>
      </c>
    </row>
    <row r="26">
      <c r="B26" s="8" t="inlineStr">
        <is>
          <t>Fire Protection &amp; Alarm</t>
        </is>
      </c>
      <c r="C26" s="18" t="n">
        <v>74.04000000000001</v>
      </c>
      <c r="G26" s="18" t="n">
        <v>74.04000000000001</v>
      </c>
    </row>
    <row r="27">
      <c r="B27" s="8" t="inlineStr">
        <is>
          <t>Exterior Façade / Building Skin</t>
        </is>
      </c>
      <c r="C27" s="18" t="n">
        <v>10563.11</v>
      </c>
      <c r="G27" s="18" t="n">
        <v>10563.11</v>
      </c>
    </row>
    <row r="28">
      <c r="B28" s="8" t="inlineStr">
        <is>
          <t>Doors &amp; Frames</t>
        </is>
      </c>
      <c r="C28" s="18" t="n">
        <v>4305.7</v>
      </c>
      <c r="G28" s="18" t="n">
        <v>4305.7</v>
      </c>
    </row>
    <row r="29">
      <c r="B29" s="8" t="inlineStr">
        <is>
          <t>Windows</t>
        </is>
      </c>
      <c r="C29" s="18" t="n">
        <v>3720.44</v>
      </c>
      <c r="G29" s="18" t="n">
        <v>3720.44</v>
      </c>
    </row>
    <row r="30">
      <c r="B30" s="8" t="inlineStr">
        <is>
          <t>Ceiling Systems</t>
        </is>
      </c>
      <c r="C30" s="18" t="n">
        <v>5202.67</v>
      </c>
      <c r="G30" s="18" t="n">
        <v>5202.67</v>
      </c>
    </row>
    <row r="31">
      <c r="B31" s="8" t="inlineStr">
        <is>
          <t>Interior Framing / Partitions</t>
        </is>
      </c>
      <c r="C31" s="18" t="n">
        <v>18937.43</v>
      </c>
      <c r="G31" s="18" t="n">
        <v>18937.43</v>
      </c>
    </row>
    <row r="32">
      <c r="B32" s="8" t="inlineStr">
        <is>
          <t>Painting</t>
        </is>
      </c>
      <c r="C32" s="18" t="n">
        <v>6328.16</v>
      </c>
      <c r="G32" s="18" t="n">
        <v>6328.16</v>
      </c>
    </row>
    <row r="33">
      <c r="B33" s="8" t="inlineStr">
        <is>
          <t>Gutter Systems</t>
        </is>
      </c>
      <c r="C33" s="18" t="n">
        <v>834.12</v>
      </c>
      <c r="G33" s="18" t="n">
        <v>834.12</v>
      </c>
    </row>
    <row r="34">
      <c r="B34" s="8" t="inlineStr">
        <is>
          <t>Structural Framing</t>
        </is>
      </c>
      <c r="C34" s="18" t="n">
        <v>25095.81</v>
      </c>
      <c r="G34" s="18" t="n">
        <v>25095.81</v>
      </c>
    </row>
    <row r="35">
      <c r="B35" s="8" t="inlineStr">
        <is>
          <t>Bathroom Accessories</t>
        </is>
      </c>
      <c r="C35" s="18" t="n">
        <v>2279.14</v>
      </c>
      <c r="G35" s="18" t="n">
        <v>2279.14</v>
      </c>
    </row>
    <row r="36">
      <c r="B36" s="8" t="inlineStr">
        <is>
          <t>Ceramic Tile Flooring</t>
        </is>
      </c>
      <c r="C36" s="18" t="n">
        <v>975.99</v>
      </c>
      <c r="G36" s="18" t="n">
        <v>975.99</v>
      </c>
    </row>
    <row r="37">
      <c r="A37" s="19" t="n"/>
      <c r="B37" s="20" t="inlineStr">
        <is>
          <t>Total Cost</t>
        </is>
      </c>
      <c r="C37" s="21">
        <f>SUM(C10:C36)</f>
        <v/>
      </c>
      <c r="D37" s="21">
        <f>SUM(D10:D36)</f>
        <v/>
      </c>
      <c r="E37" s="21">
        <f>SUM(E10:E36)</f>
        <v/>
      </c>
      <c r="F37" s="21">
        <f>SUM(F10:F36)</f>
        <v/>
      </c>
      <c r="G37" s="21">
        <f>SUM(G10:G36)</f>
        <v/>
      </c>
      <c r="H37" s="19" t="n"/>
      <c r="I37" s="19" t="n"/>
      <c r="J37" s="19" t="n"/>
    </row>
    <row r="39">
      <c r="A39" s="5" t="n"/>
      <c r="B39" s="6" t="inlineStr">
        <is>
          <t>Asset Allocation:</t>
        </is>
      </c>
    </row>
    <row r="40">
      <c r="B40" s="8" t="inlineStr">
        <is>
          <t>Asset - Building</t>
        </is>
      </c>
      <c r="C40" s="18" t="n">
        <v>29464.18</v>
      </c>
      <c r="D40" s="18" t="n">
        <v>4304.14</v>
      </c>
      <c r="G40" s="18" t="n">
        <v>25160.04</v>
      </c>
    </row>
    <row r="41">
      <c r="B41" s="8" t="inlineStr">
        <is>
          <t>Asset - Building Improvement</t>
        </is>
      </c>
      <c r="C41" s="18" t="n">
        <v>90795.27</v>
      </c>
      <c r="D41" s="18" t="n">
        <v>13263.4</v>
      </c>
      <c r="G41" s="18" t="n">
        <v>77531.87</v>
      </c>
    </row>
    <row r="42">
      <c r="B42" s="8" t="inlineStr">
        <is>
          <t>Asset - Building Improvement</t>
        </is>
      </c>
      <c r="C42" s="18" t="n">
        <v>494.5</v>
      </c>
      <c r="D42" s="18" t="n">
        <v>72.23999999999999</v>
      </c>
      <c r="G42" s="18" t="n">
        <v>422.26</v>
      </c>
    </row>
    <row r="43">
      <c r="B43" s="8" t="inlineStr">
        <is>
          <t>Asset - Land Improvements</t>
        </is>
      </c>
      <c r="C43" s="18" t="n">
        <v>7216.65</v>
      </c>
      <c r="D43" s="18" t="n">
        <v>1054.21</v>
      </c>
      <c r="G43" s="18" t="n">
        <v>6162.44</v>
      </c>
    </row>
    <row r="44">
      <c r="B44" s="8" t="inlineStr">
        <is>
          <t>Asset - Land Improvements</t>
        </is>
      </c>
      <c r="C44" s="18" t="n">
        <v>14516.71</v>
      </c>
      <c r="D44" s="18" t="n">
        <v>2120.61</v>
      </c>
      <c r="G44" s="18" t="n">
        <v>12396.1</v>
      </c>
    </row>
    <row r="45">
      <c r="B45" s="8" t="inlineStr">
        <is>
          <t>Asset - Equipment</t>
        </is>
      </c>
      <c r="C45" s="18" t="n">
        <v>22375.75</v>
      </c>
      <c r="D45" s="18" t="n">
        <v>3268.65</v>
      </c>
      <c r="G45" s="18" t="n">
        <v>19107.1</v>
      </c>
    </row>
    <row r="46">
      <c r="A46" s="19" t="n"/>
      <c r="B46" s="20" t="inlineStr">
        <is>
          <t>Total Allocation:</t>
        </is>
      </c>
      <c r="C46" s="21">
        <f>SUM(C40:C45)</f>
        <v/>
      </c>
      <c r="D46" s="21">
        <f>SUM(D40:D45)</f>
        <v/>
      </c>
      <c r="E46" s="21">
        <f>SUM(E40:E45)</f>
        <v/>
      </c>
      <c r="F46" s="21">
        <f>SUM(F40:F45)</f>
        <v/>
      </c>
      <c r="G46" s="21">
        <f>SUM(G40:G45)</f>
        <v/>
      </c>
      <c r="H46" s="19" t="n"/>
      <c r="I46" s="19" t="n"/>
      <c r="J46" s="19" t="n"/>
    </row>
  </sheetData>
  <mergeCells count="7">
    <mergeCell ref="A8:J8"/>
    <mergeCell ref="B20:J20"/>
    <mergeCell ref="B10:J10"/>
    <mergeCell ref="A3:J3"/>
    <mergeCell ref="A4:J4"/>
    <mergeCell ref="A2:J2"/>
    <mergeCell ref="B39:J3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Macedonia Apartments, LLC</t>
        </is>
      </c>
    </row>
    <row r="3">
      <c r="A3" s="2" t="inlineStr">
        <is>
          <t>Cost Segregation Study - Improvements</t>
        </is>
      </c>
    </row>
    <row r="4">
      <c r="A4" s="3" t="inlineStr">
        <is>
          <t>Report #107752-05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Macedonia Apartments, LLC - Improvements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Security System</t>
        </is>
      </c>
      <c r="C11" s="18" t="n">
        <v>74564</v>
      </c>
      <c r="D11" s="18" t="n">
        <v>74564</v>
      </c>
    </row>
    <row r="12">
      <c r="A12" s="5" t="n"/>
      <c r="B12" s="6" t="inlineStr">
        <is>
          <t>Site Work / Improvements</t>
        </is>
      </c>
    </row>
    <row r="13">
      <c r="B13" s="8" t="inlineStr">
        <is>
          <t>Parking Lot</t>
        </is>
      </c>
      <c r="C13" s="18" t="n">
        <v>77000</v>
      </c>
      <c r="F13" s="18" t="n">
        <v>77000</v>
      </c>
    </row>
    <row r="14">
      <c r="A14" s="5" t="n"/>
      <c r="B14" s="6" t="inlineStr">
        <is>
          <t>Building Structure</t>
        </is>
      </c>
    </row>
    <row r="15">
      <c r="B15" s="8" t="inlineStr">
        <is>
          <t>Fire Protection &amp; Alarm</t>
        </is>
      </c>
      <c r="C15" s="18" t="n">
        <v>8471</v>
      </c>
      <c r="G15" s="18" t="n">
        <v>8471</v>
      </c>
    </row>
    <row r="16">
      <c r="B16" s="8" t="inlineStr">
        <is>
          <t>Site Utilities</t>
        </is>
      </c>
      <c r="C16" s="18" t="n">
        <v>32702</v>
      </c>
      <c r="G16" s="18" t="n">
        <v>32702</v>
      </c>
    </row>
    <row r="17">
      <c r="A17" s="19" t="n"/>
      <c r="B17" s="20" t="inlineStr">
        <is>
          <t>Total Cost</t>
        </is>
      </c>
      <c r="C17" s="21">
        <f>SUM(C10:C16)</f>
        <v/>
      </c>
      <c r="D17" s="21">
        <f>SUM(D10:D16)</f>
        <v/>
      </c>
      <c r="E17" s="21">
        <f>SUM(E10:E16)</f>
        <v/>
      </c>
      <c r="F17" s="21">
        <f>SUM(F10:F16)</f>
        <v/>
      </c>
      <c r="G17" s="21">
        <f>SUM(G10:G16)</f>
        <v/>
      </c>
      <c r="H17" s="19" t="n"/>
      <c r="I17" s="19" t="n"/>
      <c r="J17" s="19" t="n"/>
    </row>
    <row r="19">
      <c r="A19" s="5" t="n"/>
      <c r="B19" s="6" t="inlineStr">
        <is>
          <t>Asset Allocation:</t>
        </is>
      </c>
    </row>
    <row r="20">
      <c r="B20" s="8" t="inlineStr">
        <is>
          <t>Asset - Building Improvement (5yr)</t>
        </is>
      </c>
      <c r="C20" s="18" t="n">
        <v>68710</v>
      </c>
      <c r="D20" s="18" t="n">
        <v>68710</v>
      </c>
    </row>
    <row r="21">
      <c r="B21" s="8" t="inlineStr">
        <is>
          <t>Asset - Building Improvement (5yr)</t>
        </is>
      </c>
      <c r="C21" s="18" t="n">
        <v>5854</v>
      </c>
      <c r="D21" s="18" t="n">
        <v>5854</v>
      </c>
    </row>
    <row r="22">
      <c r="B22" s="8" t="inlineStr">
        <is>
          <t>Asset - Building Improvement</t>
        </is>
      </c>
      <c r="C22" s="18" t="n">
        <v>118173</v>
      </c>
      <c r="F22" s="18" t="n">
        <v>77000</v>
      </c>
      <c r="G22" s="18" t="n">
        <v>41173</v>
      </c>
    </row>
    <row r="23">
      <c r="A23" s="19" t="n"/>
      <c r="B23" s="20" t="inlineStr">
        <is>
          <t>Total Allocation:</t>
        </is>
      </c>
      <c r="C23" s="21">
        <f>SUM(C20:C22)</f>
        <v/>
      </c>
      <c r="D23" s="21">
        <f>SUM(D20:D22)</f>
        <v/>
      </c>
      <c r="E23" s="21">
        <f>SUM(E20:E22)</f>
        <v/>
      </c>
      <c r="F23" s="21">
        <f>SUM(F20:F22)</f>
        <v/>
      </c>
      <c r="G23" s="21">
        <f>SUM(G20:G22)</f>
        <v/>
      </c>
      <c r="H23" s="19" t="n"/>
      <c r="I23" s="19" t="n"/>
      <c r="J23" s="19" t="n"/>
    </row>
  </sheetData>
  <mergeCells count="8">
    <mergeCell ref="B19:J19"/>
    <mergeCell ref="A8:J8"/>
    <mergeCell ref="B10:J10"/>
    <mergeCell ref="B14:J14"/>
    <mergeCell ref="A3:J3"/>
    <mergeCell ref="A4:J4"/>
    <mergeCell ref="A2:J2"/>
    <mergeCell ref="B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2026-07-08T22:05:11Z</dcterms:created>
  <dcterms:modified xmlns:dcterms="http://purl.org/dc/terms/" xmlns:xsi="http://www.w3.org/2001/XMLSchema-instance" xsi:type="dcterms:W3CDTF">2026-07-08T22:05:11Z</dcterms:modified>
</cp:coreProperties>
</file>