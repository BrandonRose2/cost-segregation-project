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Bldg 10" sheetId="12" state="visible" r:id="rId12"/>
    <sheet xmlns:r="http://schemas.openxmlformats.org/officeDocument/2006/relationships" name="Bldg 11" sheetId="13" state="visible" r:id="rId13"/>
    <sheet xmlns:r="http://schemas.openxmlformats.org/officeDocument/2006/relationships" name="Bldg 12" sheetId="14" state="visible" r:id="rId14"/>
    <sheet xmlns:r="http://schemas.openxmlformats.org/officeDocument/2006/relationships" name="Bldg 13" sheetId="15" state="visible" r:id="rId15"/>
    <sheet xmlns:r="http://schemas.openxmlformats.org/officeDocument/2006/relationships" name="Bldg 14" sheetId="16" state="visible" r:id="rId16"/>
    <sheet xmlns:r="http://schemas.openxmlformats.org/officeDocument/2006/relationships" name="Bldg 15" sheetId="17" state="visible" r:id="rId17"/>
    <sheet xmlns:r="http://schemas.openxmlformats.org/officeDocument/2006/relationships" name="Bldg 16" sheetId="18" state="visible" r:id="rId18"/>
    <sheet xmlns:r="http://schemas.openxmlformats.org/officeDocument/2006/relationships" name="Off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4" fontId="5" fillId="0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2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2">
      <c r="A2" s="1" t="inlineStr">
        <is>
          <t>St. Charles Housing, LP</t>
        </is>
      </c>
    </row>
    <row r="3">
      <c r="A3" s="2" t="inlineStr">
        <is>
          <t>Summary of Cost Seg Adjustments</t>
        </is>
      </c>
    </row>
    <row r="4">
      <c r="A4" s="3" t="inlineStr">
        <is>
          <t>As of December 31, 2024</t>
        </is>
      </c>
    </row>
    <row r="6">
      <c r="B6" s="4" t="inlineStr">
        <is>
          <t>Acq Date</t>
        </is>
      </c>
      <c r="C6" s="4" t="inlineStr">
        <is>
          <t>Asset Description</t>
        </is>
      </c>
      <c r="D6" s="4" t="inlineStr">
        <is>
          <t>Total</t>
        </is>
      </c>
      <c r="E6" s="4" t="inlineStr">
        <is>
          <t>Site</t>
        </is>
      </c>
      <c r="F6" s="4" t="inlineStr">
        <is>
          <t>Bldg 1</t>
        </is>
      </c>
      <c r="G6" s="4" t="inlineStr">
        <is>
          <t>Bldg 2</t>
        </is>
      </c>
      <c r="H6" s="4" t="inlineStr">
        <is>
          <t>Bldg 3</t>
        </is>
      </c>
      <c r="I6" s="4" t="inlineStr">
        <is>
          <t>Bldg 4</t>
        </is>
      </c>
      <c r="J6" s="4" t="inlineStr">
        <is>
          <t>Bldg 5</t>
        </is>
      </c>
      <c r="K6" s="4" t="inlineStr">
        <is>
          <t>Bldg 6</t>
        </is>
      </c>
      <c r="L6" s="4" t="inlineStr">
        <is>
          <t>Bldg 7</t>
        </is>
      </c>
      <c r="M6" s="4" t="inlineStr">
        <is>
          <t>Bldg 8</t>
        </is>
      </c>
      <c r="N6" s="4" t="inlineStr">
        <is>
          <t>Bldg 9</t>
        </is>
      </c>
      <c r="O6" s="4" t="inlineStr">
        <is>
          <t>Bldg 10</t>
        </is>
      </c>
      <c r="P6" s="4" t="inlineStr">
        <is>
          <t>Bldg 11</t>
        </is>
      </c>
      <c r="Q6" s="4" t="inlineStr">
        <is>
          <t>Bldg 12</t>
        </is>
      </c>
      <c r="R6" s="4" t="inlineStr">
        <is>
          <t>Bldg 13</t>
        </is>
      </c>
      <c r="S6" s="4" t="inlineStr">
        <is>
          <t>Bldg 14</t>
        </is>
      </c>
      <c r="T6" s="4" t="inlineStr">
        <is>
          <t>Bldg 15</t>
        </is>
      </c>
      <c r="U6" s="4" t="inlineStr">
        <is>
          <t>Bldg 16</t>
        </is>
      </c>
      <c r="V6" s="4" t="inlineStr">
        <is>
          <t>Office</t>
        </is>
      </c>
      <c r="W6" s="4" t="inlineStr">
        <is>
          <t>Grand Total</t>
        </is>
      </c>
    </row>
    <row r="7">
      <c r="A7" s="5" t="n"/>
      <c r="B7" s="6" t="inlineStr">
        <is>
          <t>Property Cost Summary</t>
        </is>
      </c>
    </row>
    <row r="8">
      <c r="B8" s="7" t="inlineStr">
        <is>
          <t>3/24/26</t>
        </is>
      </c>
      <c r="C8" s="8" t="inlineStr">
        <is>
          <t>Site</t>
        </is>
      </c>
      <c r="D8" s="9" t="n">
        <v>719744.4</v>
      </c>
      <c r="E8" s="9" t="n">
        <v>403555.53</v>
      </c>
      <c r="G8" s="9" t="n">
        <v>316188.87</v>
      </c>
    </row>
    <row r="9">
      <c r="B9" s="7" t="inlineStr">
        <is>
          <t>3/24/26</t>
        </is>
      </c>
      <c r="C9" s="8" t="inlineStr">
        <is>
          <t>Bldg 1</t>
        </is>
      </c>
      <c r="D9" s="9" t="n">
        <v>398386.46</v>
      </c>
      <c r="E9" s="9" t="n">
        <v>104561.48</v>
      </c>
      <c r="G9" s="9" t="n">
        <v>293824.98</v>
      </c>
    </row>
    <row r="10">
      <c r="B10" s="7" t="inlineStr">
        <is>
          <t>3/24/26</t>
        </is>
      </c>
      <c r="C10" s="8" t="inlineStr">
        <is>
          <t>Bldg 2</t>
        </is>
      </c>
      <c r="D10" s="9" t="n">
        <v>398480.3</v>
      </c>
      <c r="E10" s="9" t="n">
        <v>104655.32</v>
      </c>
      <c r="G10" s="9" t="n">
        <v>293824.98</v>
      </c>
    </row>
    <row r="11">
      <c r="B11" s="7" t="inlineStr">
        <is>
          <t>3/24/26</t>
        </is>
      </c>
      <c r="C11" s="8" t="inlineStr">
        <is>
          <t>Bldg 3</t>
        </is>
      </c>
      <c r="D11" s="9" t="n">
        <v>398493.7</v>
      </c>
      <c r="E11" s="9" t="n">
        <v>104668.72</v>
      </c>
      <c r="G11" s="9" t="n">
        <v>293824.98</v>
      </c>
    </row>
    <row r="12">
      <c r="B12" s="7" t="inlineStr">
        <is>
          <t>3/24/26</t>
        </is>
      </c>
      <c r="C12" s="8" t="inlineStr">
        <is>
          <t>Bldg 4</t>
        </is>
      </c>
      <c r="D12" s="9" t="n">
        <v>396654.71</v>
      </c>
      <c r="E12" s="9" t="n">
        <v>104668.72</v>
      </c>
      <c r="G12" s="9" t="n">
        <v>291985.99</v>
      </c>
    </row>
    <row r="13">
      <c r="B13" s="7" t="inlineStr">
        <is>
          <t>3/24/26</t>
        </is>
      </c>
      <c r="C13" s="8" t="inlineStr">
        <is>
          <t>Bldg 5</t>
        </is>
      </c>
      <c r="D13" s="9" t="n">
        <v>446298.06</v>
      </c>
      <c r="E13" s="9" t="n">
        <v>111858.03</v>
      </c>
      <c r="G13" s="9" t="n">
        <v>334440.03</v>
      </c>
    </row>
    <row r="14">
      <c r="B14" s="7" t="inlineStr">
        <is>
          <t>3/24/26</t>
        </is>
      </c>
      <c r="C14" s="8" t="inlineStr">
        <is>
          <t>Bldg 6</t>
        </is>
      </c>
      <c r="D14" s="9" t="n">
        <v>398758.21</v>
      </c>
      <c r="E14" s="9" t="n">
        <v>104668.73</v>
      </c>
      <c r="G14" s="9" t="n">
        <v>294089.48</v>
      </c>
    </row>
    <row r="15">
      <c r="B15" s="7" t="inlineStr">
        <is>
          <t>3/24/26</t>
        </is>
      </c>
      <c r="C15" s="8" t="inlineStr">
        <is>
          <t>Bldg 7</t>
        </is>
      </c>
      <c r="D15" s="9" t="n">
        <v>448401.53</v>
      </c>
      <c r="E15" s="9" t="n">
        <v>111858.03</v>
      </c>
      <c r="G15" s="9" t="n">
        <v>336543.5</v>
      </c>
    </row>
    <row r="16">
      <c r="B16" s="7" t="inlineStr">
        <is>
          <t>3/24/26</t>
        </is>
      </c>
      <c r="C16" s="8" t="inlineStr">
        <is>
          <t>Bldg 8</t>
        </is>
      </c>
      <c r="D16" s="9" t="n">
        <v>398758.21</v>
      </c>
      <c r="E16" s="9" t="n">
        <v>104668.73</v>
      </c>
      <c r="G16" s="9" t="n">
        <v>294089.48</v>
      </c>
    </row>
    <row r="17">
      <c r="B17" s="7" t="inlineStr">
        <is>
          <t>3/24/26</t>
        </is>
      </c>
      <c r="C17" s="8" t="inlineStr">
        <is>
          <t>Bldg 9</t>
        </is>
      </c>
      <c r="D17" s="9" t="n">
        <v>177549.53</v>
      </c>
      <c r="E17" s="9" t="n">
        <v>50846.41</v>
      </c>
      <c r="G17" s="9" t="n">
        <v>126703.12</v>
      </c>
    </row>
    <row r="18">
      <c r="B18" s="7" t="inlineStr">
        <is>
          <t>3/24/26</t>
        </is>
      </c>
      <c r="C18" s="8" t="inlineStr">
        <is>
          <t>Bldg 10</t>
        </is>
      </c>
      <c r="D18" s="9" t="n">
        <v>448137.03</v>
      </c>
      <c r="E18" s="9" t="n">
        <v>111858.03</v>
      </c>
      <c r="G18" s="9" t="n">
        <v>336279</v>
      </c>
    </row>
    <row r="19">
      <c r="B19" s="7" t="inlineStr">
        <is>
          <t>3/24/26</t>
        </is>
      </c>
      <c r="C19" s="8" t="inlineStr">
        <is>
          <t>Bldg 11</t>
        </is>
      </c>
      <c r="D19" s="9" t="n">
        <v>398758.21</v>
      </c>
      <c r="E19" s="9" t="n">
        <v>104668.73</v>
      </c>
      <c r="G19" s="9" t="n">
        <v>294089.48</v>
      </c>
    </row>
    <row r="20">
      <c r="B20" s="7" t="inlineStr">
        <is>
          <t>3/24/26</t>
        </is>
      </c>
      <c r="C20" s="8" t="inlineStr">
        <is>
          <t>Bldg 12</t>
        </is>
      </c>
      <c r="D20" s="9" t="n">
        <v>448401.53</v>
      </c>
      <c r="E20" s="9" t="n">
        <v>111858.03</v>
      </c>
      <c r="G20" s="9" t="n">
        <v>336543.5</v>
      </c>
    </row>
    <row r="21">
      <c r="B21" s="7" t="inlineStr">
        <is>
          <t>3/24/26</t>
        </is>
      </c>
      <c r="C21" s="8" t="inlineStr">
        <is>
          <t>Bldg 13</t>
        </is>
      </c>
      <c r="D21" s="9" t="n">
        <v>398758.21</v>
      </c>
      <c r="E21" s="9" t="n">
        <v>104668.73</v>
      </c>
      <c r="G21" s="9" t="n">
        <v>294089.48</v>
      </c>
    </row>
    <row r="22">
      <c r="B22" s="7" t="inlineStr">
        <is>
          <t>3/24/26</t>
        </is>
      </c>
      <c r="C22" s="8" t="inlineStr">
        <is>
          <t>Bldg 14</t>
        </is>
      </c>
      <c r="D22" s="9" t="n">
        <v>448137.03</v>
      </c>
      <c r="E22" s="9" t="n">
        <v>111858.03</v>
      </c>
      <c r="G22" s="9" t="n">
        <v>336279</v>
      </c>
    </row>
    <row r="23">
      <c r="B23" s="7" t="inlineStr">
        <is>
          <t>3/24/26</t>
        </is>
      </c>
      <c r="C23" s="8" t="inlineStr">
        <is>
          <t>Bldg 15</t>
        </is>
      </c>
      <c r="D23" s="9" t="n">
        <v>396654.71</v>
      </c>
      <c r="E23" s="9" t="n">
        <v>104668.72</v>
      </c>
      <c r="G23" s="9" t="n">
        <v>291985.99</v>
      </c>
    </row>
    <row r="24">
      <c r="B24" s="7" t="inlineStr">
        <is>
          <t>3/24/26</t>
        </is>
      </c>
      <c r="C24" s="8" t="inlineStr">
        <is>
          <t>Bldg 16</t>
        </is>
      </c>
      <c r="D24" s="9" t="n">
        <v>398758.21</v>
      </c>
      <c r="E24" s="9" t="n">
        <v>104668.73</v>
      </c>
      <c r="G24" s="9" t="n">
        <v>294089.48</v>
      </c>
    </row>
    <row r="25">
      <c r="B25" s="7" t="inlineStr">
        <is>
          <t>3/24/26</t>
        </is>
      </c>
      <c r="C25" s="8" t="inlineStr">
        <is>
          <t>Office</t>
        </is>
      </c>
      <c r="D25" s="9" t="n">
        <v>134343.96</v>
      </c>
      <c r="E25" s="9" t="n">
        <v>12270.06</v>
      </c>
      <c r="G25" s="9" t="n">
        <v>122073.9</v>
      </c>
    </row>
    <row r="26">
      <c r="A26" s="10" t="n"/>
      <c r="B26" s="11" t="inlineStr">
        <is>
          <t>Grand Total</t>
        </is>
      </c>
      <c r="C26" s="10" t="n"/>
      <c r="D26" s="12">
        <f>SUM(D8:D25)</f>
        <v/>
      </c>
      <c r="E26" s="12">
        <f>SUM(E8:E25)</f>
        <v/>
      </c>
      <c r="F26" s="12">
        <f>SUM(F8:F25)</f>
        <v/>
      </c>
      <c r="G26" s="12">
        <f>SUM(G8:G25)</f>
        <v/>
      </c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</row>
  </sheetData>
  <mergeCells count="4">
    <mergeCell ref="A3:W3"/>
    <mergeCell ref="A2:W2"/>
    <mergeCell ref="B7:W7"/>
    <mergeCell ref="A4:W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Site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Site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Site Work / Improvements</t>
        </is>
      </c>
    </row>
    <row r="11">
      <c r="B11" s="8" t="inlineStr">
        <is>
          <t>Parking Lot</t>
        </is>
      </c>
      <c r="C11" s="18" t="n">
        <v>195356.18</v>
      </c>
      <c r="F11" s="18" t="n">
        <v>195356.18</v>
      </c>
    </row>
    <row r="12">
      <c r="B12" s="8" t="inlineStr">
        <is>
          <t>Parking Lot Striping / Barriers</t>
        </is>
      </c>
      <c r="C12" s="18" t="n">
        <v>4120.58</v>
      </c>
      <c r="F12" s="18" t="n">
        <v>4120.58</v>
      </c>
    </row>
    <row r="13">
      <c r="B13" s="8" t="inlineStr">
        <is>
          <t>Sidewalks / Curbs</t>
        </is>
      </c>
      <c r="C13" s="18" t="n">
        <v>136600.91</v>
      </c>
      <c r="F13" s="18" t="n">
        <v>136600.91</v>
      </c>
    </row>
    <row r="14">
      <c r="B14" s="8" t="inlineStr">
        <is>
          <t>Landscaping</t>
        </is>
      </c>
      <c r="C14" s="18" t="n">
        <v>4236.31</v>
      </c>
      <c r="F14" s="18" t="n">
        <v>4236.31</v>
      </c>
    </row>
    <row r="15">
      <c r="B15" s="8" t="inlineStr">
        <is>
          <t>Exterior Fencing</t>
        </is>
      </c>
      <c r="C15" s="18" t="n">
        <v>53960.1</v>
      </c>
      <c r="F15" s="18" t="n">
        <v>53960.1</v>
      </c>
    </row>
    <row r="16">
      <c r="B16" s="8" t="inlineStr">
        <is>
          <t>Exterior Equipment Concrete Pads</t>
        </is>
      </c>
      <c r="C16" s="18" t="n">
        <v>6941.9</v>
      </c>
      <c r="F16" s="18" t="n">
        <v>6941.9</v>
      </c>
    </row>
    <row r="17">
      <c r="B17" s="8" t="inlineStr">
        <is>
          <t>Playground</t>
        </is>
      </c>
      <c r="C17" s="18" t="n">
        <v>2339.55</v>
      </c>
      <c r="F17" s="18" t="n">
        <v>2339.55</v>
      </c>
    </row>
    <row r="18">
      <c r="A18" s="5" t="n"/>
      <c r="B18" s="6" t="inlineStr">
        <is>
          <t>Site Utilities</t>
        </is>
      </c>
    </row>
    <row r="19">
      <c r="B19" s="8" t="inlineStr">
        <is>
          <t>Site Utilities</t>
        </is>
      </c>
      <c r="C19" s="18" t="n">
        <v>316188.87</v>
      </c>
      <c r="G19" s="18" t="n">
        <v>316188.87</v>
      </c>
    </row>
    <row r="20">
      <c r="A20" s="19" t="n"/>
      <c r="B20" s="20" t="inlineStr">
        <is>
          <t>Total Cost</t>
        </is>
      </c>
      <c r="C20" s="21">
        <f>SUM(C10:C19)</f>
        <v/>
      </c>
      <c r="D20" s="21">
        <f>SUM(D10:D19)</f>
        <v/>
      </c>
      <c r="E20" s="21">
        <f>SUM(E10:E19)</f>
        <v/>
      </c>
      <c r="F20" s="21">
        <f>SUM(F10:F19)</f>
        <v/>
      </c>
      <c r="G20" s="21">
        <f>SUM(G10:G19)</f>
        <v/>
      </c>
      <c r="H20" s="19" t="n"/>
      <c r="I20" s="19" t="n"/>
      <c r="J20" s="19" t="n"/>
    </row>
    <row r="22">
      <c r="A22" s="5" t="n"/>
      <c r="B22" s="6" t="inlineStr">
        <is>
          <t>Asset Allocation:</t>
        </is>
      </c>
    </row>
    <row r="23">
      <c r="B23" s="8" t="inlineStr">
        <is>
          <t>Asset - Building</t>
        </is>
      </c>
      <c r="C23" s="18" t="n">
        <v>116091.65</v>
      </c>
      <c r="F23" s="18" t="n">
        <v>65091.76</v>
      </c>
      <c r="G23" s="18" t="n">
        <v>50999.89</v>
      </c>
    </row>
    <row r="24">
      <c r="B24" s="8" t="inlineStr">
        <is>
          <t>Asset - New Building (16 Units)</t>
        </is>
      </c>
      <c r="C24" s="18" t="n">
        <v>62263.6</v>
      </c>
      <c r="F24" s="18" t="n">
        <v>34910.75</v>
      </c>
      <c r="G24" s="18" t="n">
        <v>27352.85</v>
      </c>
    </row>
    <row r="25">
      <c r="B25" s="8" t="inlineStr">
        <is>
          <t>Asset - New Buildings (105 Units)</t>
        </is>
      </c>
      <c r="C25" s="18" t="n">
        <v>417320.48</v>
      </c>
      <c r="F25" s="18" t="n">
        <v>233988.6</v>
      </c>
      <c r="G25" s="18" t="n">
        <v>183331.88</v>
      </c>
    </row>
    <row r="26">
      <c r="B26" s="8" t="inlineStr">
        <is>
          <t>Asset - Building Improvement</t>
        </is>
      </c>
      <c r="C26" s="18" t="n">
        <v>2917.69</v>
      </c>
      <c r="F26" s="18" t="n">
        <v>1635.93</v>
      </c>
      <c r="G26" s="18" t="n">
        <v>1281.76</v>
      </c>
    </row>
    <row r="27">
      <c r="B27" s="8" t="inlineStr">
        <is>
          <t>Asset - Land Improvements</t>
        </is>
      </c>
      <c r="C27" s="18" t="n">
        <v>15876.41</v>
      </c>
      <c r="F27" s="18" t="n">
        <v>8901.790000000001</v>
      </c>
      <c r="G27" s="18" t="n">
        <v>6974.62</v>
      </c>
    </row>
    <row r="28">
      <c r="B28" s="8" t="inlineStr">
        <is>
          <t>Asset - New Equipment (16 Units)</t>
        </is>
      </c>
      <c r="C28" s="18" t="n">
        <v>13667.6</v>
      </c>
      <c r="F28" s="18" t="n">
        <v>7663.33</v>
      </c>
      <c r="G28" s="18" t="n">
        <v>6004.27</v>
      </c>
    </row>
    <row r="29">
      <c r="B29" s="8" t="inlineStr">
        <is>
          <t>Asset - New Equipment (105 Units)</t>
        </is>
      </c>
      <c r="C29" s="18" t="n">
        <v>91606.97</v>
      </c>
      <c r="F29" s="18" t="n">
        <v>51363.37</v>
      </c>
      <c r="G29" s="18" t="n">
        <v>40243.6</v>
      </c>
    </row>
    <row r="30">
      <c r="A30" s="19" t="n"/>
      <c r="B30" s="20" t="inlineStr">
        <is>
          <t>Total Allocation:</t>
        </is>
      </c>
      <c r="C30" s="21">
        <f>SUM(C23:C29)</f>
        <v/>
      </c>
      <c r="D30" s="21">
        <f>SUM(D23:D29)</f>
        <v/>
      </c>
      <c r="E30" s="21">
        <f>SUM(E23:E29)</f>
        <v/>
      </c>
      <c r="F30" s="21">
        <f>SUM(F23:F29)</f>
        <v/>
      </c>
      <c r="G30" s="21">
        <f>SUM(G23:G29)</f>
        <v/>
      </c>
      <c r="H30" s="19" t="n"/>
      <c r="I30" s="19" t="n"/>
      <c r="J30" s="19" t="n"/>
    </row>
  </sheetData>
  <mergeCells count="7">
    <mergeCell ref="A8:J8"/>
    <mergeCell ref="B10:J10"/>
    <mergeCell ref="B22:J22"/>
    <mergeCell ref="A3:J3"/>
    <mergeCell ref="B18:J18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64140.22006000001</v>
      </c>
      <c r="D43" s="18" t="n">
        <v>16834.39828</v>
      </c>
      <c r="G43" s="18" t="n">
        <v>47305.82178</v>
      </c>
    </row>
    <row r="44">
      <c r="B44" s="8" t="inlineStr">
        <is>
          <t>Asset #12 - New Building (16 Units)</t>
        </is>
      </c>
      <c r="C44" s="18" t="n">
        <v>34420.590144</v>
      </c>
      <c r="D44" s="18" t="n">
        <v>9034.111871999999</v>
      </c>
      <c r="G44" s="18" t="n">
        <v>25386.478272</v>
      </c>
    </row>
    <row r="45">
      <c r="B45" s="8" t="inlineStr">
        <is>
          <t>Asset #14 - New Buildings (105 Units)</t>
        </is>
      </c>
      <c r="C45" s="18" t="n">
        <v>231462.53326</v>
      </c>
      <c r="D45" s="18" t="n">
        <v>60750.21988</v>
      </c>
      <c r="G45" s="18" t="n">
        <v>170712.31338</v>
      </c>
    </row>
    <row r="46">
      <c r="B46" s="8" t="inlineStr">
        <is>
          <t>Asset #111 - Building Improvement</t>
        </is>
      </c>
      <c r="C46" s="18" t="n">
        <v>1617.4490276</v>
      </c>
      <c r="D46" s="18" t="n">
        <v>424.5196088</v>
      </c>
      <c r="G46" s="18" t="n">
        <v>1192.9294188</v>
      </c>
    </row>
    <row r="47">
      <c r="B47" s="8" t="inlineStr">
        <is>
          <t>Asset #2 - Land Improvements</t>
        </is>
      </c>
      <c r="C47" s="18" t="n">
        <v>8804.340766000001</v>
      </c>
      <c r="D47" s="18" t="n">
        <v>2310.808708</v>
      </c>
      <c r="G47" s="18" t="n">
        <v>6493.532058</v>
      </c>
    </row>
    <row r="48">
      <c r="B48" s="8" t="inlineStr">
        <is>
          <t>Asset #13 - New Equipment (16 Units)</t>
        </is>
      </c>
      <c r="C48" s="18" t="n">
        <v>7569.34274</v>
      </c>
      <c r="D48" s="18" t="n">
        <v>1986.66812</v>
      </c>
      <c r="G48" s="18" t="n">
        <v>5582.67462</v>
      </c>
    </row>
    <row r="49">
      <c r="B49" s="8" t="inlineStr">
        <is>
          <t>Asset #15 - New Equipment (105 Units)</t>
        </is>
      </c>
      <c r="C49" s="18" t="n">
        <v>50595.08042000001</v>
      </c>
      <c r="D49" s="18" t="n">
        <v>13279.30796</v>
      </c>
      <c r="G49" s="18" t="n">
        <v>37315.77246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2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2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64155.3283</v>
      </c>
      <c r="D43" s="18" t="n">
        <v>16849.50652</v>
      </c>
      <c r="G43" s="18" t="n">
        <v>47305.82178</v>
      </c>
    </row>
    <row r="44">
      <c r="B44" s="8" t="inlineStr">
        <is>
          <t>Asset #12 - New Building (16 Units)</t>
        </is>
      </c>
      <c r="C44" s="18" t="n">
        <v>34428.69792</v>
      </c>
      <c r="D44" s="18" t="n">
        <v>9042.219648</v>
      </c>
      <c r="G44" s="18" t="n">
        <v>25386.478272</v>
      </c>
    </row>
    <row r="45">
      <c r="B45" s="8" t="inlineStr">
        <is>
          <t>Asset #14 - New Buildings (105 Units)</t>
        </is>
      </c>
      <c r="C45" s="18" t="n">
        <v>231517.0543</v>
      </c>
      <c r="D45" s="18" t="n">
        <v>60804.74092</v>
      </c>
      <c r="G45" s="18" t="n">
        <v>170712.31338</v>
      </c>
    </row>
    <row r="46">
      <c r="B46" s="8" t="inlineStr">
        <is>
          <t>Asset #111 - Building Improvement</t>
        </is>
      </c>
      <c r="C46" s="18" t="n">
        <v>1617.830018</v>
      </c>
      <c r="D46" s="18" t="n">
        <v>424.9005992</v>
      </c>
      <c r="G46" s="18" t="n">
        <v>1192.9294188</v>
      </c>
    </row>
    <row r="47">
      <c r="B47" s="8" t="inlineStr">
        <is>
          <t>Asset #2 - Land Improvements</t>
        </is>
      </c>
      <c r="C47" s="18" t="n">
        <v>8806.414630000001</v>
      </c>
      <c r="D47" s="18" t="n">
        <v>2312.882572</v>
      </c>
      <c r="G47" s="18" t="n">
        <v>6493.532058</v>
      </c>
    </row>
    <row r="48">
      <c r="B48" s="8" t="inlineStr">
        <is>
          <t>Asset #13 - New Equipment (16 Units)</t>
        </is>
      </c>
      <c r="C48" s="18" t="n">
        <v>7571.1257</v>
      </c>
      <c r="D48" s="18" t="n">
        <v>1988.45108</v>
      </c>
      <c r="G48" s="18" t="n">
        <v>5582.67462</v>
      </c>
    </row>
    <row r="49">
      <c r="B49" s="8" t="inlineStr">
        <is>
          <t>Asset #15 - New Equipment (105 Units)</t>
        </is>
      </c>
      <c r="C49" s="18" t="n">
        <v>50606.9981</v>
      </c>
      <c r="D49" s="18" t="n">
        <v>13291.22564</v>
      </c>
      <c r="G49" s="18" t="n">
        <v>37315.77246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3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3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64157.4857</v>
      </c>
      <c r="D43" s="18" t="n">
        <v>16851.66392</v>
      </c>
      <c r="G43" s="18" t="n">
        <v>47305.82178</v>
      </c>
    </row>
    <row r="44">
      <c r="B44" s="8" t="inlineStr">
        <is>
          <t>Asset #12 - New Building (16 Units)</t>
        </is>
      </c>
      <c r="C44" s="18" t="n">
        <v>34429.85568</v>
      </c>
      <c r="D44" s="18" t="n">
        <v>9043.377408</v>
      </c>
      <c r="G44" s="18" t="n">
        <v>25386.478272</v>
      </c>
    </row>
    <row r="45">
      <c r="B45" s="8" t="inlineStr">
        <is>
          <t>Asset #14 - New Buildings (105 Units)</t>
        </is>
      </c>
      <c r="C45" s="18" t="n">
        <v>231524.8397</v>
      </c>
      <c r="D45" s="18" t="n">
        <v>60812.52632</v>
      </c>
      <c r="G45" s="18" t="n">
        <v>170712.31338</v>
      </c>
    </row>
    <row r="46">
      <c r="B46" s="8" t="inlineStr">
        <is>
          <t>Asset #111 - Building Improvement</t>
        </is>
      </c>
      <c r="C46" s="18" t="n">
        <v>1617.884422</v>
      </c>
      <c r="D46" s="18" t="n">
        <v>424.9550032</v>
      </c>
      <c r="G46" s="18" t="n">
        <v>1192.9294188</v>
      </c>
    </row>
    <row r="47">
      <c r="B47" s="8" t="inlineStr">
        <is>
          <t>Asset #2 - Land Improvements</t>
        </is>
      </c>
      <c r="C47" s="18" t="n">
        <v>8806.710770000002</v>
      </c>
      <c r="D47" s="18" t="n">
        <v>2313.178712</v>
      </c>
      <c r="G47" s="18" t="n">
        <v>6493.532058</v>
      </c>
    </row>
    <row r="48">
      <c r="B48" s="8" t="inlineStr">
        <is>
          <t>Asset #13 - New Equipment (16 Units)</t>
        </is>
      </c>
      <c r="C48" s="18" t="n">
        <v>7571.3803</v>
      </c>
      <c r="D48" s="18" t="n">
        <v>1988.70568</v>
      </c>
      <c r="G48" s="18" t="n">
        <v>5582.67462</v>
      </c>
    </row>
    <row r="49">
      <c r="B49" s="8" t="inlineStr">
        <is>
          <t>Asset #15 - New Equipment (105 Units)</t>
        </is>
      </c>
      <c r="C49" s="18" t="n">
        <v>50608.6999</v>
      </c>
      <c r="D49" s="18" t="n">
        <v>13292.92744</v>
      </c>
      <c r="G49" s="18" t="n">
        <v>37315.77246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4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4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63861.40831000001</v>
      </c>
      <c r="D43" s="18" t="n">
        <v>16851.66392</v>
      </c>
      <c r="G43" s="18" t="n">
        <v>47009.74439</v>
      </c>
    </row>
    <row r="44">
      <c r="B44" s="8" t="inlineStr">
        <is>
          <t>Asset #12 - New Building (16 Units)</t>
        </is>
      </c>
      <c r="C44" s="18" t="n">
        <v>34270.96694400001</v>
      </c>
      <c r="D44" s="18" t="n">
        <v>9043.377408</v>
      </c>
      <c r="G44" s="18" t="n">
        <v>25227.589536</v>
      </c>
    </row>
    <row r="45">
      <c r="B45" s="8" t="inlineStr">
        <is>
          <t>Asset #14 - New Buildings (105 Units)</t>
        </is>
      </c>
      <c r="C45" s="18" t="n">
        <v>230456.38651</v>
      </c>
      <c r="D45" s="18" t="n">
        <v>60812.52632</v>
      </c>
      <c r="G45" s="18" t="n">
        <v>169643.86019</v>
      </c>
    </row>
    <row r="46">
      <c r="B46" s="8" t="inlineStr">
        <is>
          <t>Asset #111 - Building Improvement</t>
        </is>
      </c>
      <c r="C46" s="18" t="n">
        <v>1610.4181226</v>
      </c>
      <c r="D46" s="18" t="n">
        <v>424.9550032</v>
      </c>
      <c r="G46" s="18" t="n">
        <v>1185.4631194</v>
      </c>
    </row>
    <row r="47">
      <c r="B47" s="8" t="inlineStr">
        <is>
          <t>Asset #2 - Land Improvements</t>
        </is>
      </c>
      <c r="C47" s="18" t="n">
        <v>8766.069091000001</v>
      </c>
      <c r="D47" s="18" t="n">
        <v>2313.178712</v>
      </c>
      <c r="G47" s="18" t="n">
        <v>6452.890379</v>
      </c>
    </row>
    <row r="48">
      <c r="B48" s="8" t="inlineStr">
        <is>
          <t>Asset #13 - New Equipment (16 Units)</t>
        </is>
      </c>
      <c r="C48" s="18" t="n">
        <v>7536.439490000001</v>
      </c>
      <c r="D48" s="18" t="n">
        <v>1988.70568</v>
      </c>
      <c r="G48" s="18" t="n">
        <v>5547.73381</v>
      </c>
    </row>
    <row r="49">
      <c r="B49" s="8" t="inlineStr">
        <is>
          <t>Asset #15 - New Equipment (105 Units)</t>
        </is>
      </c>
      <c r="C49" s="18" t="n">
        <v>50375.14817</v>
      </c>
      <c r="D49" s="18" t="n">
        <v>13292.92744</v>
      </c>
      <c r="G49" s="18" t="n">
        <v>37082.22073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5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5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71853.98766</v>
      </c>
      <c r="D43" s="18" t="n">
        <v>18009.14283</v>
      </c>
      <c r="G43" s="18" t="n">
        <v>53844.84483000001</v>
      </c>
    </row>
    <row r="44">
      <c r="B44" s="8" t="inlineStr">
        <is>
          <t>Asset #12 - New Building (16 Units)</t>
        </is>
      </c>
      <c r="C44" s="18" t="n">
        <v>38560.152384</v>
      </c>
      <c r="D44" s="18" t="n">
        <v>9664.533792</v>
      </c>
      <c r="G44" s="18" t="n">
        <v>28895.618592</v>
      </c>
    </row>
    <row r="45">
      <c r="B45" s="8" t="inlineStr">
        <is>
          <t>Asset #14 - New Buildings (105 Units)</t>
        </is>
      </c>
      <c r="C45" s="18" t="n">
        <v>259299.17286</v>
      </c>
      <c r="D45" s="18" t="n">
        <v>64989.51542999999</v>
      </c>
      <c r="G45" s="18" t="n">
        <v>194309.65743</v>
      </c>
    </row>
    <row r="46">
      <c r="B46" s="8" t="inlineStr">
        <is>
          <t>Asset #111 - Building Improvement</t>
        </is>
      </c>
      <c r="C46" s="18" t="n">
        <v>1811.9701236</v>
      </c>
      <c r="D46" s="18" t="n">
        <v>454.1436018</v>
      </c>
      <c r="G46" s="18" t="n">
        <v>1357.8265218</v>
      </c>
    </row>
    <row r="47">
      <c r="B47" s="8" t="inlineStr">
        <is>
          <t>Asset #2 - Land Improvements</t>
        </is>
      </c>
      <c r="C47" s="18" t="n">
        <v>9863.187126000001</v>
      </c>
      <c r="D47" s="18" t="n">
        <v>2472.062463</v>
      </c>
      <c r="G47" s="18" t="n">
        <v>7391.124663000001</v>
      </c>
    </row>
    <row r="48">
      <c r="B48" s="8" t="inlineStr">
        <is>
          <t>Asset #13 - New Equipment (16 Units)</t>
        </is>
      </c>
      <c r="C48" s="18" t="n">
        <v>8479.663140000001</v>
      </c>
      <c r="D48" s="18" t="n">
        <v>2125.30257</v>
      </c>
      <c r="G48" s="18" t="n">
        <v>6354.360570000001</v>
      </c>
    </row>
    <row r="49">
      <c r="B49" s="8" t="inlineStr">
        <is>
          <t>Asset #15 - New Equipment (105 Units)</t>
        </is>
      </c>
      <c r="C49" s="18" t="n">
        <v>56679.85362</v>
      </c>
      <c r="D49" s="18" t="n">
        <v>14205.96981</v>
      </c>
      <c r="G49" s="18" t="n">
        <v>42473.88381000001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6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6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64200.07181000001</v>
      </c>
      <c r="D43" s="18" t="n">
        <v>16851.66553</v>
      </c>
      <c r="G43" s="18" t="n">
        <v>47348.40628</v>
      </c>
    </row>
    <row r="44">
      <c r="B44" s="8" t="inlineStr">
        <is>
          <t>Asset #12 - New Building (16 Units)</t>
        </is>
      </c>
      <c r="C44" s="18" t="n">
        <v>34452.709344</v>
      </c>
      <c r="D44" s="18" t="n">
        <v>9043.378272</v>
      </c>
      <c r="G44" s="18" t="n">
        <v>25409.331072</v>
      </c>
    </row>
    <row r="45">
      <c r="B45" s="8" t="inlineStr">
        <is>
          <t>Asset #14 - New Buildings (105 Units)</t>
        </is>
      </c>
      <c r="C45" s="18" t="n">
        <v>231678.52001</v>
      </c>
      <c r="D45" s="18" t="n">
        <v>60812.53212999999</v>
      </c>
      <c r="G45" s="18" t="n">
        <v>170865.98788</v>
      </c>
    </row>
    <row r="46">
      <c r="B46" s="8" t="inlineStr">
        <is>
          <t>Asset #111 - Building Improvement</t>
        </is>
      </c>
      <c r="C46" s="18" t="n">
        <v>1618.9583326</v>
      </c>
      <c r="D46" s="18" t="n">
        <v>424.9550438</v>
      </c>
      <c r="G46" s="18" t="n">
        <v>1194.0032888</v>
      </c>
    </row>
    <row r="47">
      <c r="B47" s="8" t="inlineStr">
        <is>
          <t>Asset #2 - Land Improvements</t>
        </is>
      </c>
      <c r="C47" s="18" t="n">
        <v>8812.556441000001</v>
      </c>
      <c r="D47" s="18" t="n">
        <v>2313.178933</v>
      </c>
      <c r="G47" s="18" t="n">
        <v>6499.377508</v>
      </c>
    </row>
    <row r="48">
      <c r="B48" s="8" t="inlineStr">
        <is>
          <t>Asset #13 - New Equipment (16 Units)</t>
        </is>
      </c>
      <c r="C48" s="18" t="n">
        <v>7576.40599</v>
      </c>
      <c r="D48" s="18" t="n">
        <v>1988.70587</v>
      </c>
      <c r="G48" s="18" t="n">
        <v>5587.70012</v>
      </c>
    </row>
    <row r="49">
      <c r="B49" s="8" t="inlineStr">
        <is>
          <t>Asset #15 - New Equipment (105 Units)</t>
        </is>
      </c>
      <c r="C49" s="18" t="n">
        <v>50642.29267</v>
      </c>
      <c r="D49" s="18" t="n">
        <v>13292.92871</v>
      </c>
      <c r="G49" s="18" t="n">
        <v>37349.36396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7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7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72192.64633</v>
      </c>
      <c r="D43" s="18" t="n">
        <v>18009.14283</v>
      </c>
      <c r="G43" s="18" t="n">
        <v>54183.5035</v>
      </c>
    </row>
    <row r="44">
      <c r="B44" s="8" t="inlineStr">
        <is>
          <t>Asset #12 - New Building (16 Units)</t>
        </is>
      </c>
      <c r="C44" s="18" t="n">
        <v>38741.89219200001</v>
      </c>
      <c r="D44" s="18" t="n">
        <v>9664.533792</v>
      </c>
      <c r="G44" s="18" t="n">
        <v>29077.3584</v>
      </c>
    </row>
    <row r="45">
      <c r="B45" s="8" t="inlineStr">
        <is>
          <t>Asset #14 - New Buildings (105 Units)</t>
        </is>
      </c>
      <c r="C45" s="18" t="n">
        <v>260521.28893</v>
      </c>
      <c r="D45" s="18" t="n">
        <v>64989.51542999999</v>
      </c>
      <c r="G45" s="18" t="n">
        <v>195531.7735</v>
      </c>
    </row>
    <row r="46">
      <c r="B46" s="8" t="inlineStr">
        <is>
          <t>Asset #111 - Building Improvement</t>
        </is>
      </c>
      <c r="C46" s="18" t="n">
        <v>1820.5102118</v>
      </c>
      <c r="D46" s="18" t="n">
        <v>454.1436018</v>
      </c>
      <c r="G46" s="18" t="n">
        <v>1366.36661</v>
      </c>
    </row>
    <row r="47">
      <c r="B47" s="8" t="inlineStr">
        <is>
          <t>Asset #2 - Land Improvements</t>
        </is>
      </c>
      <c r="C47" s="18" t="n">
        <v>9909.673813000001</v>
      </c>
      <c r="D47" s="18" t="n">
        <v>2472.062463</v>
      </c>
      <c r="G47" s="18" t="n">
        <v>7437.61135</v>
      </c>
    </row>
    <row r="48">
      <c r="B48" s="8" t="inlineStr">
        <is>
          <t>Asset #13 - New Equipment (16 Units)</t>
        </is>
      </c>
      <c r="C48" s="18" t="n">
        <v>8519.629070000001</v>
      </c>
      <c r="D48" s="18" t="n">
        <v>2125.30257</v>
      </c>
      <c r="G48" s="18" t="n">
        <v>6394.3265</v>
      </c>
    </row>
    <row r="49">
      <c r="B49" s="8" t="inlineStr">
        <is>
          <t>Asset #15 - New Equipment (105 Units)</t>
        </is>
      </c>
      <c r="C49" s="18" t="n">
        <v>56946.99431</v>
      </c>
      <c r="D49" s="18" t="n">
        <v>14205.96981</v>
      </c>
      <c r="G49" s="18" t="n">
        <v>42741.0245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8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8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64200.07181000001</v>
      </c>
      <c r="D43" s="18" t="n">
        <v>16851.66553</v>
      </c>
      <c r="G43" s="18" t="n">
        <v>47348.40628</v>
      </c>
    </row>
    <row r="44">
      <c r="B44" s="8" t="inlineStr">
        <is>
          <t>Asset #12 - New Building (16 Units)</t>
        </is>
      </c>
      <c r="C44" s="18" t="n">
        <v>34452.709344</v>
      </c>
      <c r="D44" s="18" t="n">
        <v>9043.378272</v>
      </c>
      <c r="G44" s="18" t="n">
        <v>25409.331072</v>
      </c>
    </row>
    <row r="45">
      <c r="B45" s="8" t="inlineStr">
        <is>
          <t>Asset #14 - New Buildings (105 Units)</t>
        </is>
      </c>
      <c r="C45" s="18" t="n">
        <v>231678.52001</v>
      </c>
      <c r="D45" s="18" t="n">
        <v>60812.53212999999</v>
      </c>
      <c r="G45" s="18" t="n">
        <v>170865.98788</v>
      </c>
    </row>
    <row r="46">
      <c r="B46" s="8" t="inlineStr">
        <is>
          <t>Asset #111 - Building Improvement</t>
        </is>
      </c>
      <c r="C46" s="18" t="n">
        <v>1618.9583326</v>
      </c>
      <c r="D46" s="18" t="n">
        <v>424.9550438</v>
      </c>
      <c r="G46" s="18" t="n">
        <v>1194.0032888</v>
      </c>
    </row>
    <row r="47">
      <c r="B47" s="8" t="inlineStr">
        <is>
          <t>Asset #2 - Land Improvements</t>
        </is>
      </c>
      <c r="C47" s="18" t="n">
        <v>8812.556441000001</v>
      </c>
      <c r="D47" s="18" t="n">
        <v>2313.178933</v>
      </c>
      <c r="G47" s="18" t="n">
        <v>6499.377508</v>
      </c>
    </row>
    <row r="48">
      <c r="B48" s="8" t="inlineStr">
        <is>
          <t>Asset #13 - New Equipment (16 Units)</t>
        </is>
      </c>
      <c r="C48" s="18" t="n">
        <v>7576.40599</v>
      </c>
      <c r="D48" s="18" t="n">
        <v>1988.70587</v>
      </c>
      <c r="G48" s="18" t="n">
        <v>5587.70012</v>
      </c>
    </row>
    <row r="49">
      <c r="B49" s="8" t="inlineStr">
        <is>
          <t>Asset #15 - New Equipment (105 Units)</t>
        </is>
      </c>
      <c r="C49" s="18" t="n">
        <v>50642.29267</v>
      </c>
      <c r="D49" s="18" t="n">
        <v>13292.92871</v>
      </c>
      <c r="G49" s="18" t="n">
        <v>37349.36396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9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9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28585.47433</v>
      </c>
      <c r="D43" s="18" t="n">
        <v>8186.272010000001</v>
      </c>
      <c r="G43" s="18" t="n">
        <v>20399.20232</v>
      </c>
    </row>
    <row r="44">
      <c r="B44" s="8" t="inlineStr">
        <is>
          <t>Asset #12 - New Building (16 Units)</t>
        </is>
      </c>
      <c r="C44" s="18" t="n">
        <v>15340.279392</v>
      </c>
      <c r="D44" s="18" t="n">
        <v>4393.129824000001</v>
      </c>
      <c r="G44" s="18" t="n">
        <v>10947.149568</v>
      </c>
    </row>
    <row r="45">
      <c r="B45" s="8" t="inlineStr">
        <is>
          <t>Asset #14 - New Buildings (105 Units)</t>
        </is>
      </c>
      <c r="C45" s="18" t="n">
        <v>103156.27693</v>
      </c>
      <c r="D45" s="18" t="n">
        <v>29541.76421</v>
      </c>
      <c r="G45" s="18" t="n">
        <v>73614.51272</v>
      </c>
    </row>
    <row r="46">
      <c r="B46" s="8" t="inlineStr">
        <is>
          <t>Asset #111 - Building Improvement</t>
        </is>
      </c>
      <c r="C46" s="18" t="n">
        <v>720.8510918000001</v>
      </c>
      <c r="D46" s="18" t="n">
        <v>206.4364246</v>
      </c>
      <c r="G46" s="18" t="n">
        <v>514.4146672000001</v>
      </c>
    </row>
    <row r="47">
      <c r="B47" s="8" t="inlineStr">
        <is>
          <t>Asset #2 - Land Improvements</t>
        </is>
      </c>
      <c r="C47" s="18" t="n">
        <v>3923.844613</v>
      </c>
      <c r="D47" s="18" t="n">
        <v>1123.705661</v>
      </c>
      <c r="G47" s="18" t="n">
        <v>2800.138952</v>
      </c>
    </row>
    <row r="48">
      <c r="B48" s="8" t="inlineStr">
        <is>
          <t>Asset #13 - New Equipment (16 Units)</t>
        </is>
      </c>
      <c r="C48" s="18" t="n">
        <v>3373.44107</v>
      </c>
      <c r="D48" s="18" t="n">
        <v>966.0817900000001</v>
      </c>
      <c r="G48" s="18" t="n">
        <v>2407.35928</v>
      </c>
    </row>
    <row r="49">
      <c r="B49" s="8" t="inlineStr">
        <is>
          <t>Asset #15 - New Equipment (105 Units)</t>
        </is>
      </c>
      <c r="C49" s="18" t="n">
        <v>22548.79031</v>
      </c>
      <c r="D49" s="18" t="n">
        <v>6457.494070000001</v>
      </c>
      <c r="G49" s="18" t="n">
        <v>16091.29624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10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10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72150.06183000001</v>
      </c>
      <c r="D43" s="18" t="n">
        <v>18009.14283</v>
      </c>
      <c r="G43" s="18" t="n">
        <v>54140.919</v>
      </c>
    </row>
    <row r="44">
      <c r="B44" s="8" t="inlineStr">
        <is>
          <t>Asset #12 - New Building (16 Units)</t>
        </is>
      </c>
      <c r="C44" s="18" t="n">
        <v>38719.03939200001</v>
      </c>
      <c r="D44" s="18" t="n">
        <v>9664.533792</v>
      </c>
      <c r="G44" s="18" t="n">
        <v>29054.5056</v>
      </c>
    </row>
    <row r="45">
      <c r="B45" s="8" t="inlineStr">
        <is>
          <t>Asset #14 - New Buildings (105 Units)</t>
        </is>
      </c>
      <c r="C45" s="18" t="n">
        <v>260367.61443</v>
      </c>
      <c r="D45" s="18" t="n">
        <v>64989.51542999999</v>
      </c>
      <c r="G45" s="18" t="n">
        <v>195378.099</v>
      </c>
    </row>
    <row r="46">
      <c r="B46" s="8" t="inlineStr">
        <is>
          <t>Asset #111 - Building Improvement</t>
        </is>
      </c>
      <c r="C46" s="18" t="n">
        <v>1819.4363418</v>
      </c>
      <c r="D46" s="18" t="n">
        <v>454.1436018</v>
      </c>
      <c r="G46" s="18" t="n">
        <v>1365.29274</v>
      </c>
    </row>
    <row r="47">
      <c r="B47" s="8" t="inlineStr">
        <is>
          <t>Asset #2 - Land Improvements</t>
        </is>
      </c>
      <c r="C47" s="18" t="n">
        <v>9903.828363000001</v>
      </c>
      <c r="D47" s="18" t="n">
        <v>2472.062463</v>
      </c>
      <c r="G47" s="18" t="n">
        <v>7431.7659</v>
      </c>
    </row>
    <row r="48">
      <c r="B48" s="8" t="inlineStr">
        <is>
          <t>Asset #13 - New Equipment (16 Units)</t>
        </is>
      </c>
      <c r="C48" s="18" t="n">
        <v>8514.603570000001</v>
      </c>
      <c r="D48" s="18" t="n">
        <v>2125.30257</v>
      </c>
      <c r="G48" s="18" t="n">
        <v>6389.300999999999</v>
      </c>
    </row>
    <row r="49">
      <c r="B49" s="8" t="inlineStr">
        <is>
          <t>Asset #15 - New Equipment (105 Units)</t>
        </is>
      </c>
      <c r="C49" s="18" t="n">
        <v>56913.40281000001</v>
      </c>
      <c r="D49" s="18" t="n">
        <v>14205.96981</v>
      </c>
      <c r="G49" s="18" t="n">
        <v>42707.433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11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11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64200.07181000001</v>
      </c>
      <c r="D43" s="18" t="n">
        <v>16851.66553</v>
      </c>
      <c r="G43" s="18" t="n">
        <v>47348.40628</v>
      </c>
    </row>
    <row r="44">
      <c r="B44" s="8" t="inlineStr">
        <is>
          <t>Asset #12 - New Building (16 Units)</t>
        </is>
      </c>
      <c r="C44" s="18" t="n">
        <v>34452.709344</v>
      </c>
      <c r="D44" s="18" t="n">
        <v>9043.378272</v>
      </c>
      <c r="G44" s="18" t="n">
        <v>25409.331072</v>
      </c>
    </row>
    <row r="45">
      <c r="B45" s="8" t="inlineStr">
        <is>
          <t>Asset #14 - New Buildings (105 Units)</t>
        </is>
      </c>
      <c r="C45" s="18" t="n">
        <v>231678.52001</v>
      </c>
      <c r="D45" s="18" t="n">
        <v>60812.53212999999</v>
      </c>
      <c r="G45" s="18" t="n">
        <v>170865.98788</v>
      </c>
    </row>
    <row r="46">
      <c r="B46" s="8" t="inlineStr">
        <is>
          <t>Asset #111 - Building Improvement</t>
        </is>
      </c>
      <c r="C46" s="18" t="n">
        <v>1618.9583326</v>
      </c>
      <c r="D46" s="18" t="n">
        <v>424.9550438</v>
      </c>
      <c r="G46" s="18" t="n">
        <v>1194.0032888</v>
      </c>
    </row>
    <row r="47">
      <c r="B47" s="8" t="inlineStr">
        <is>
          <t>Asset #2 - Land Improvements</t>
        </is>
      </c>
      <c r="C47" s="18" t="n">
        <v>8812.556441000001</v>
      </c>
      <c r="D47" s="18" t="n">
        <v>2313.178933</v>
      </c>
      <c r="G47" s="18" t="n">
        <v>6499.377508</v>
      </c>
    </row>
    <row r="48">
      <c r="B48" s="8" t="inlineStr">
        <is>
          <t>Asset #13 - New Equipment (16 Units)</t>
        </is>
      </c>
      <c r="C48" s="18" t="n">
        <v>7576.40599</v>
      </c>
      <c r="D48" s="18" t="n">
        <v>1988.70587</v>
      </c>
      <c r="G48" s="18" t="n">
        <v>5587.70012</v>
      </c>
    </row>
    <row r="49">
      <c r="B49" s="8" t="inlineStr">
        <is>
          <t>Asset #15 - New Equipment (105 Units)</t>
        </is>
      </c>
      <c r="C49" s="18" t="n">
        <v>50642.29267</v>
      </c>
      <c r="D49" s="18" t="n">
        <v>13292.92871</v>
      </c>
      <c r="G49" s="18" t="n">
        <v>37349.36396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12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12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72192.64633</v>
      </c>
      <c r="D43" s="18" t="n">
        <v>18009.14283</v>
      </c>
      <c r="G43" s="18" t="n">
        <v>54183.5035</v>
      </c>
    </row>
    <row r="44">
      <c r="B44" s="8" t="inlineStr">
        <is>
          <t>Asset #12 - New Building (16 Units)</t>
        </is>
      </c>
      <c r="C44" s="18" t="n">
        <v>38741.89219200001</v>
      </c>
      <c r="D44" s="18" t="n">
        <v>9664.533792</v>
      </c>
      <c r="G44" s="18" t="n">
        <v>29077.3584</v>
      </c>
    </row>
    <row r="45">
      <c r="B45" s="8" t="inlineStr">
        <is>
          <t>Asset #14 - New Buildings (105 Units)</t>
        </is>
      </c>
      <c r="C45" s="18" t="n">
        <v>260521.28893</v>
      </c>
      <c r="D45" s="18" t="n">
        <v>64989.51542999999</v>
      </c>
      <c r="G45" s="18" t="n">
        <v>195531.7735</v>
      </c>
    </row>
    <row r="46">
      <c r="B46" s="8" t="inlineStr">
        <is>
          <t>Asset #111 - Building Improvement</t>
        </is>
      </c>
      <c r="C46" s="18" t="n">
        <v>1820.5102118</v>
      </c>
      <c r="D46" s="18" t="n">
        <v>454.1436018</v>
      </c>
      <c r="G46" s="18" t="n">
        <v>1366.36661</v>
      </c>
    </row>
    <row r="47">
      <c r="B47" s="8" t="inlineStr">
        <is>
          <t>Asset #2 - Land Improvements</t>
        </is>
      </c>
      <c r="C47" s="18" t="n">
        <v>9909.673813000001</v>
      </c>
      <c r="D47" s="18" t="n">
        <v>2472.062463</v>
      </c>
      <c r="G47" s="18" t="n">
        <v>7437.61135</v>
      </c>
    </row>
    <row r="48">
      <c r="B48" s="8" t="inlineStr">
        <is>
          <t>Asset #13 - New Equipment (16 Units)</t>
        </is>
      </c>
      <c r="C48" s="18" t="n">
        <v>8519.629070000001</v>
      </c>
      <c r="D48" s="18" t="n">
        <v>2125.30257</v>
      </c>
      <c r="G48" s="18" t="n">
        <v>6394.3265</v>
      </c>
    </row>
    <row r="49">
      <c r="B49" s="8" t="inlineStr">
        <is>
          <t>Asset #15 - New Equipment (105 Units)</t>
        </is>
      </c>
      <c r="C49" s="18" t="n">
        <v>56946.99431</v>
      </c>
      <c r="D49" s="18" t="n">
        <v>14205.96981</v>
      </c>
      <c r="G49" s="18" t="n">
        <v>42741.0245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13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13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64200.07181000001</v>
      </c>
      <c r="D43" s="18" t="n">
        <v>16851.66553</v>
      </c>
      <c r="G43" s="18" t="n">
        <v>47348.40628</v>
      </c>
    </row>
    <row r="44">
      <c r="B44" s="8" t="inlineStr">
        <is>
          <t>Asset #12 - New Building (16 Units)</t>
        </is>
      </c>
      <c r="C44" s="18" t="n">
        <v>34452.709344</v>
      </c>
      <c r="D44" s="18" t="n">
        <v>9043.378272</v>
      </c>
      <c r="G44" s="18" t="n">
        <v>25409.331072</v>
      </c>
    </row>
    <row r="45">
      <c r="B45" s="8" t="inlineStr">
        <is>
          <t>Asset #14 - New Buildings (105 Units)</t>
        </is>
      </c>
      <c r="C45" s="18" t="n">
        <v>231678.52001</v>
      </c>
      <c r="D45" s="18" t="n">
        <v>60812.53212999999</v>
      </c>
      <c r="G45" s="18" t="n">
        <v>170865.98788</v>
      </c>
    </row>
    <row r="46">
      <c r="B46" s="8" t="inlineStr">
        <is>
          <t>Asset #111 - Building Improvement</t>
        </is>
      </c>
      <c r="C46" s="18" t="n">
        <v>1618.9583326</v>
      </c>
      <c r="D46" s="18" t="n">
        <v>424.9550438</v>
      </c>
      <c r="G46" s="18" t="n">
        <v>1194.0032888</v>
      </c>
    </row>
    <row r="47">
      <c r="B47" s="8" t="inlineStr">
        <is>
          <t>Asset #2 - Land Improvements</t>
        </is>
      </c>
      <c r="C47" s="18" t="n">
        <v>8812.556441000001</v>
      </c>
      <c r="D47" s="18" t="n">
        <v>2313.178933</v>
      </c>
      <c r="G47" s="18" t="n">
        <v>6499.377508</v>
      </c>
    </row>
    <row r="48">
      <c r="B48" s="8" t="inlineStr">
        <is>
          <t>Asset #13 - New Equipment (16 Units)</t>
        </is>
      </c>
      <c r="C48" s="18" t="n">
        <v>7576.40599</v>
      </c>
      <c r="D48" s="18" t="n">
        <v>1988.70587</v>
      </c>
      <c r="G48" s="18" t="n">
        <v>5587.70012</v>
      </c>
    </row>
    <row r="49">
      <c r="B49" s="8" t="inlineStr">
        <is>
          <t>Asset #15 - New Equipment (105 Units)</t>
        </is>
      </c>
      <c r="C49" s="18" t="n">
        <v>50642.29267</v>
      </c>
      <c r="D49" s="18" t="n">
        <v>13292.92871</v>
      </c>
      <c r="G49" s="18" t="n">
        <v>37349.36396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14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14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72150.06183000001</v>
      </c>
      <c r="D43" s="18" t="n">
        <v>18009.14283</v>
      </c>
      <c r="G43" s="18" t="n">
        <v>54140.919</v>
      </c>
    </row>
    <row r="44">
      <c r="B44" s="8" t="inlineStr">
        <is>
          <t>Asset #12 - New Building (16 Units)</t>
        </is>
      </c>
      <c r="C44" s="18" t="n">
        <v>38719.03939200001</v>
      </c>
      <c r="D44" s="18" t="n">
        <v>9664.533792</v>
      </c>
      <c r="G44" s="18" t="n">
        <v>29054.5056</v>
      </c>
    </row>
    <row r="45">
      <c r="B45" s="8" t="inlineStr">
        <is>
          <t>Asset #14 - New Buildings (105 Units)</t>
        </is>
      </c>
      <c r="C45" s="18" t="n">
        <v>260367.61443</v>
      </c>
      <c r="D45" s="18" t="n">
        <v>64989.51542999999</v>
      </c>
      <c r="G45" s="18" t="n">
        <v>195378.099</v>
      </c>
    </row>
    <row r="46">
      <c r="B46" s="8" t="inlineStr">
        <is>
          <t>Asset #111 - Building Improvement</t>
        </is>
      </c>
      <c r="C46" s="18" t="n">
        <v>1819.4363418</v>
      </c>
      <c r="D46" s="18" t="n">
        <v>454.1436018</v>
      </c>
      <c r="G46" s="18" t="n">
        <v>1365.29274</v>
      </c>
    </row>
    <row r="47">
      <c r="B47" s="8" t="inlineStr">
        <is>
          <t>Asset #2 - Land Improvements</t>
        </is>
      </c>
      <c r="C47" s="18" t="n">
        <v>9903.828363000001</v>
      </c>
      <c r="D47" s="18" t="n">
        <v>2472.062463</v>
      </c>
      <c r="G47" s="18" t="n">
        <v>7431.7659</v>
      </c>
    </row>
    <row r="48">
      <c r="B48" s="8" t="inlineStr">
        <is>
          <t>Asset #13 - New Equipment (16 Units)</t>
        </is>
      </c>
      <c r="C48" s="18" t="n">
        <v>8514.603570000001</v>
      </c>
      <c r="D48" s="18" t="n">
        <v>2125.30257</v>
      </c>
      <c r="G48" s="18" t="n">
        <v>6389.300999999999</v>
      </c>
    </row>
    <row r="49">
      <c r="B49" s="8" t="inlineStr">
        <is>
          <t>Asset #15 - New Equipment (105 Units)</t>
        </is>
      </c>
      <c r="C49" s="18" t="n">
        <v>56913.40281000001</v>
      </c>
      <c r="D49" s="18" t="n">
        <v>14205.96981</v>
      </c>
      <c r="G49" s="18" t="n">
        <v>42707.433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15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15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63861.40831000001</v>
      </c>
      <c r="D43" s="18" t="n">
        <v>16851.66392</v>
      </c>
      <c r="G43" s="18" t="n">
        <v>47009.74439</v>
      </c>
    </row>
    <row r="44">
      <c r="B44" s="8" t="inlineStr">
        <is>
          <t>Asset #12 - New Building (16 Units)</t>
        </is>
      </c>
      <c r="C44" s="18" t="n">
        <v>34270.96694400001</v>
      </c>
      <c r="D44" s="18" t="n">
        <v>9043.377408</v>
      </c>
      <c r="G44" s="18" t="n">
        <v>25227.589536</v>
      </c>
    </row>
    <row r="45">
      <c r="B45" s="8" t="inlineStr">
        <is>
          <t>Asset #14 - New Buildings (105 Units)</t>
        </is>
      </c>
      <c r="C45" s="18" t="n">
        <v>230456.38651</v>
      </c>
      <c r="D45" s="18" t="n">
        <v>60812.52632</v>
      </c>
      <c r="G45" s="18" t="n">
        <v>169643.86019</v>
      </c>
    </row>
    <row r="46">
      <c r="B46" s="8" t="inlineStr">
        <is>
          <t>Asset #111 - Building Improvement</t>
        </is>
      </c>
      <c r="C46" s="18" t="n">
        <v>1610.4181226</v>
      </c>
      <c r="D46" s="18" t="n">
        <v>424.9550032</v>
      </c>
      <c r="G46" s="18" t="n">
        <v>1185.4631194</v>
      </c>
    </row>
    <row r="47">
      <c r="B47" s="8" t="inlineStr">
        <is>
          <t>Asset #2 - Land Improvements</t>
        </is>
      </c>
      <c r="C47" s="18" t="n">
        <v>8766.069091000001</v>
      </c>
      <c r="D47" s="18" t="n">
        <v>2313.178712</v>
      </c>
      <c r="G47" s="18" t="n">
        <v>6452.890379</v>
      </c>
    </row>
    <row r="48">
      <c r="B48" s="8" t="inlineStr">
        <is>
          <t>Asset #13 - New Equipment (16 Units)</t>
        </is>
      </c>
      <c r="C48" s="18" t="n">
        <v>7536.439490000001</v>
      </c>
      <c r="D48" s="18" t="n">
        <v>1988.70568</v>
      </c>
      <c r="G48" s="18" t="n">
        <v>5547.73381</v>
      </c>
    </row>
    <row r="49">
      <c r="B49" s="8" t="inlineStr">
        <is>
          <t>Asset #15 - New Equipment (105 Units)</t>
        </is>
      </c>
      <c r="C49" s="18" t="n">
        <v>50375.14817</v>
      </c>
      <c r="D49" s="18" t="n">
        <v>13292.92744</v>
      </c>
      <c r="G49" s="18" t="n">
        <v>37082.22073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J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Bldg 16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Bldg 16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31452.73</v>
      </c>
      <c r="D11" s="18" t="n">
        <v>31452.73</v>
      </c>
    </row>
    <row r="12">
      <c r="B12" s="8" t="inlineStr">
        <is>
          <t>Moldings</t>
        </is>
      </c>
      <c r="C12" s="18" t="n">
        <v>8394.17</v>
      </c>
      <c r="D12" s="18" t="n">
        <v>8394.17</v>
      </c>
    </row>
    <row r="13">
      <c r="B13" s="8" t="inlineStr">
        <is>
          <t>Flooring - Vinyl Plank</t>
        </is>
      </c>
      <c r="C13" s="18" t="n">
        <v>32815.89</v>
      </c>
      <c r="D13" s="18" t="n">
        <v>32815.89</v>
      </c>
    </row>
    <row r="14">
      <c r="B14" s="8" t="inlineStr">
        <is>
          <t>Window Treatments</t>
        </is>
      </c>
      <c r="C14" s="18" t="n">
        <v>2648.72</v>
      </c>
      <c r="D14" s="18" t="n">
        <v>2648.72</v>
      </c>
    </row>
    <row r="15">
      <c r="B15" s="8" t="inlineStr">
        <is>
          <t>Building Signage</t>
        </is>
      </c>
      <c r="C15" s="18" t="n">
        <v>287.16</v>
      </c>
      <c r="D15" s="18" t="n">
        <v>287.16</v>
      </c>
    </row>
    <row r="16">
      <c r="B16" s="8" t="inlineStr">
        <is>
          <t>Specialty Electrical - Appliances</t>
        </is>
      </c>
      <c r="C16" s="18" t="n">
        <v>5344.3</v>
      </c>
      <c r="D16" s="18" t="n">
        <v>5344.3</v>
      </c>
    </row>
    <row r="17">
      <c r="B17" s="8" t="inlineStr">
        <is>
          <t>Communication / Data</t>
        </is>
      </c>
      <c r="C17" s="18" t="n">
        <v>2858.97</v>
      </c>
      <c r="D17" s="18" t="n">
        <v>2858.97</v>
      </c>
    </row>
    <row r="18">
      <c r="B18" s="8" t="inlineStr">
        <is>
          <t>Specialty Plumbing - Kitchen Sinks</t>
        </is>
      </c>
      <c r="C18" s="18" t="n">
        <v>9687.68</v>
      </c>
      <c r="D18" s="18" t="n">
        <v>9687.68</v>
      </c>
    </row>
    <row r="19">
      <c r="B19" s="8" t="inlineStr">
        <is>
          <t>Security / Exterior Lighting</t>
        </is>
      </c>
      <c r="C19" s="18" t="n">
        <v>2139.23</v>
      </c>
      <c r="D19" s="18" t="n">
        <v>2139.23</v>
      </c>
    </row>
    <row r="20">
      <c r="B20" s="8" t="inlineStr">
        <is>
          <t>Canopies / Awnings</t>
        </is>
      </c>
      <c r="C20" s="18" t="n">
        <v>605.6900000000001</v>
      </c>
      <c r="D20" s="18" t="n">
        <v>605.6900000000001</v>
      </c>
    </row>
    <row r="21">
      <c r="B21" s="8" t="inlineStr">
        <is>
          <t>Appliances</t>
        </is>
      </c>
      <c r="C21" s="18" t="n">
        <v>8326.940000000001</v>
      </c>
      <c r="D21" s="18" t="n">
        <v>8326.940000000001</v>
      </c>
    </row>
    <row r="22">
      <c r="A22" s="5" t="n"/>
      <c r="B22" s="6" t="inlineStr">
        <is>
          <t>Building Structure</t>
        </is>
      </c>
    </row>
    <row r="23">
      <c r="B23" s="8" t="inlineStr">
        <is>
          <t>Roofing Systems</t>
        </is>
      </c>
      <c r="C23" s="18" t="n">
        <v>9800.25</v>
      </c>
      <c r="G23" s="18" t="n">
        <v>9800.25</v>
      </c>
    </row>
    <row r="24">
      <c r="B24" s="8" t="inlineStr">
        <is>
          <t>Foundations</t>
        </is>
      </c>
      <c r="C24" s="18" t="n">
        <v>22000</v>
      </c>
      <c r="G24" s="18" t="n">
        <v>22000</v>
      </c>
    </row>
    <row r="25">
      <c r="B25" s="8" t="inlineStr">
        <is>
          <t>HVAC</t>
        </is>
      </c>
      <c r="C25" s="18" t="n">
        <v>28500</v>
      </c>
      <c r="G25" s="18" t="n">
        <v>28500</v>
      </c>
    </row>
    <row r="26">
      <c r="B26" s="8" t="inlineStr">
        <is>
          <t>Electrical</t>
        </is>
      </c>
      <c r="C26" s="18" t="n">
        <v>29000</v>
      </c>
      <c r="G26" s="18" t="n">
        <v>29000</v>
      </c>
    </row>
    <row r="27">
      <c r="B27" s="8" t="inlineStr">
        <is>
          <t>Plumbing</t>
        </is>
      </c>
      <c r="C27" s="18" t="n">
        <v>24000</v>
      </c>
      <c r="G27" s="18" t="n">
        <v>24000</v>
      </c>
    </row>
    <row r="28">
      <c r="B28" s="8" t="inlineStr">
        <is>
          <t>Fire Protection &amp; Alarm</t>
        </is>
      </c>
      <c r="C28" s="18" t="n">
        <v>1800</v>
      </c>
      <c r="G28" s="18" t="n">
        <v>1800</v>
      </c>
    </row>
    <row r="29">
      <c r="B29" s="8" t="inlineStr">
        <is>
          <t>Exterior Façade / Building Skin</t>
        </is>
      </c>
      <c r="C29" s="18" t="n">
        <v>18000</v>
      </c>
      <c r="G29" s="18" t="n">
        <v>18000</v>
      </c>
    </row>
    <row r="30">
      <c r="B30" s="8" t="inlineStr">
        <is>
          <t>Doors &amp; Frames</t>
        </is>
      </c>
      <c r="C30" s="18" t="n">
        <v>16000</v>
      </c>
      <c r="G30" s="18" t="n">
        <v>16000</v>
      </c>
    </row>
    <row r="31">
      <c r="B31" s="8" t="inlineStr">
        <is>
          <t>Windows</t>
        </is>
      </c>
      <c r="C31" s="18" t="n">
        <v>14000</v>
      </c>
      <c r="G31" s="18" t="n">
        <v>14000</v>
      </c>
    </row>
    <row r="32">
      <c r="B32" s="8" t="inlineStr">
        <is>
          <t>Ceiling Systems</t>
        </is>
      </c>
      <c r="C32" s="18" t="n">
        <v>13000</v>
      </c>
      <c r="G32" s="18" t="n">
        <v>13000</v>
      </c>
    </row>
    <row r="33">
      <c r="B33" s="8" t="inlineStr">
        <is>
          <t>Interior Framing / Partitions</t>
        </is>
      </c>
      <c r="C33" s="18" t="n">
        <v>35000</v>
      </c>
      <c r="G33" s="18" t="n">
        <v>35000</v>
      </c>
    </row>
    <row r="34">
      <c r="B34" s="8" t="inlineStr">
        <is>
          <t>Painting</t>
        </is>
      </c>
      <c r="C34" s="18" t="n">
        <v>15000</v>
      </c>
      <c r="G34" s="18" t="n">
        <v>15000</v>
      </c>
    </row>
    <row r="35">
      <c r="B35" s="8" t="inlineStr">
        <is>
          <t>Gutter Systems</t>
        </is>
      </c>
      <c r="C35" s="18" t="n">
        <v>1200</v>
      </c>
      <c r="G35" s="18" t="n">
        <v>1200</v>
      </c>
    </row>
    <row r="36">
      <c r="B36" s="8" t="inlineStr">
        <is>
          <t>Structural Framing</t>
        </is>
      </c>
      <c r="C36" s="18" t="n">
        <v>38024.98</v>
      </c>
      <c r="G36" s="18" t="n">
        <v>38024.98</v>
      </c>
    </row>
    <row r="37">
      <c r="B37" s="8" t="inlineStr">
        <is>
          <t>Stairs / Balconies</t>
        </is>
      </c>
      <c r="C37" s="18" t="n">
        <v>8000</v>
      </c>
      <c r="G37" s="18" t="n">
        <v>8000</v>
      </c>
    </row>
    <row r="38">
      <c r="B38" s="8" t="inlineStr">
        <is>
          <t>Bathroom Accessories</t>
        </is>
      </c>
      <c r="C38" s="18" t="n">
        <v>3000</v>
      </c>
      <c r="G38" s="18" t="n">
        <v>3000</v>
      </c>
    </row>
    <row r="39">
      <c r="B39" s="8" t="inlineStr">
        <is>
          <t>Cabinets / Millwork - Restrooms</t>
        </is>
      </c>
      <c r="C39" s="18" t="n">
        <v>2000</v>
      </c>
      <c r="G39" s="18" t="n">
        <v>2000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#10 - Building (Post Casualty Loss Basis)</t>
        </is>
      </c>
      <c r="C43" s="18" t="n">
        <v>64200.07181000001</v>
      </c>
      <c r="D43" s="18" t="n">
        <v>16851.66553</v>
      </c>
      <c r="G43" s="18" t="n">
        <v>47348.40628</v>
      </c>
    </row>
    <row r="44">
      <c r="B44" s="8" t="inlineStr">
        <is>
          <t>Asset #12 - New Building (16 Units)</t>
        </is>
      </c>
      <c r="C44" s="18" t="n">
        <v>34452.709344</v>
      </c>
      <c r="D44" s="18" t="n">
        <v>9043.378272</v>
      </c>
      <c r="G44" s="18" t="n">
        <v>25409.331072</v>
      </c>
    </row>
    <row r="45">
      <c r="B45" s="8" t="inlineStr">
        <is>
          <t>Asset #14 - New Buildings (105 Units)</t>
        </is>
      </c>
      <c r="C45" s="18" t="n">
        <v>231678.52001</v>
      </c>
      <c r="D45" s="18" t="n">
        <v>60812.53212999999</v>
      </c>
      <c r="G45" s="18" t="n">
        <v>170865.98788</v>
      </c>
    </row>
    <row r="46">
      <c r="B46" s="8" t="inlineStr">
        <is>
          <t>Asset #111 - Building Improvement</t>
        </is>
      </c>
      <c r="C46" s="18" t="n">
        <v>1618.9583326</v>
      </c>
      <c r="D46" s="18" t="n">
        <v>424.9550438</v>
      </c>
      <c r="G46" s="18" t="n">
        <v>1194.0032888</v>
      </c>
    </row>
    <row r="47">
      <c r="B47" s="8" t="inlineStr">
        <is>
          <t>Asset #2 - Land Improvements</t>
        </is>
      </c>
      <c r="C47" s="18" t="n">
        <v>8812.556441000001</v>
      </c>
      <c r="D47" s="18" t="n">
        <v>2313.178933</v>
      </c>
      <c r="G47" s="18" t="n">
        <v>6499.377508</v>
      </c>
    </row>
    <row r="48">
      <c r="B48" s="8" t="inlineStr">
        <is>
          <t>Asset #13 - New Equipment (16 Units)</t>
        </is>
      </c>
      <c r="C48" s="18" t="n">
        <v>7576.40599</v>
      </c>
      <c r="D48" s="18" t="n">
        <v>1988.70587</v>
      </c>
      <c r="G48" s="18" t="n">
        <v>5587.70012</v>
      </c>
    </row>
    <row r="49">
      <c r="B49" s="8" t="inlineStr">
        <is>
          <t>Asset #15 - New Equipment (105 Units)</t>
        </is>
      </c>
      <c r="C49" s="18" t="n">
        <v>50642.29267</v>
      </c>
      <c r="D49" s="18" t="n">
        <v>13292.92871</v>
      </c>
      <c r="G49" s="18" t="n">
        <v>37349.36396</v>
      </c>
    </row>
    <row r="50">
      <c r="A50" s="19" t="n"/>
      <c r="B50" s="20" t="inlineStr">
        <is>
          <t>Total Allocation:</t>
        </is>
      </c>
      <c r="C50" s="21">
        <f>SUM(C43:C49)</f>
        <v/>
      </c>
      <c r="D50" s="21">
        <f>SUM(D43:D49)</f>
        <v/>
      </c>
      <c r="E50" s="21">
        <f>SUM(E43:E49)</f>
        <v/>
      </c>
      <c r="F50" s="21">
        <f>SUM(F43:F49)</f>
        <v/>
      </c>
      <c r="G50" s="21">
        <f>SUM(G43:G49)</f>
        <v/>
      </c>
      <c r="H50" s="19" t="n"/>
      <c r="I50" s="19" t="n"/>
      <c r="J50" s="19" t="n"/>
    </row>
  </sheetData>
  <mergeCells count="7">
    <mergeCell ref="A8:J8"/>
    <mergeCell ref="B10:J10"/>
    <mergeCell ref="B42:J42"/>
    <mergeCell ref="B22:J22"/>
    <mergeCell ref="A3:J3"/>
    <mergeCell ref="A4:J4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J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St. Charles Housing, LP</t>
        </is>
      </c>
    </row>
    <row r="3">
      <c r="A3" s="2" t="inlineStr">
        <is>
          <t>Cost Segregation Study - Office</t>
        </is>
      </c>
    </row>
    <row r="4">
      <c r="A4" s="3" t="inlineStr">
        <is>
          <t>Report #107752-24</t>
        </is>
      </c>
    </row>
    <row r="6">
      <c r="B6" s="14" t="inlineStr">
        <is>
          <t>Acquisition Date:</t>
        </is>
      </c>
      <c r="C6" s="8" t="inlineStr">
        <is>
          <t>3/24/26</t>
        </is>
      </c>
    </row>
    <row r="8">
      <c r="A8" s="15" t="inlineStr">
        <is>
          <t>St. Charles Housing, LP - Office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Moldings</t>
        </is>
      </c>
      <c r="C11" s="18" t="n">
        <v>500</v>
      </c>
      <c r="D11" s="18" t="n">
        <v>500</v>
      </c>
    </row>
    <row r="12">
      <c r="B12" s="8" t="inlineStr">
        <is>
          <t>Flooring - Vinyl Plank</t>
        </is>
      </c>
      <c r="C12" s="18" t="n">
        <v>2000</v>
      </c>
      <c r="D12" s="18" t="n">
        <v>2000</v>
      </c>
    </row>
    <row r="13">
      <c r="B13" s="8" t="inlineStr">
        <is>
          <t>Security System</t>
        </is>
      </c>
      <c r="C13" s="18" t="n">
        <v>300</v>
      </c>
      <c r="D13" s="18" t="n">
        <v>300</v>
      </c>
    </row>
    <row r="14">
      <c r="B14" s="8" t="inlineStr">
        <is>
          <t>Specialty Electrical - Appliances</t>
        </is>
      </c>
      <c r="C14" s="18" t="n">
        <v>1000</v>
      </c>
      <c r="D14" s="18" t="n">
        <v>1000</v>
      </c>
    </row>
    <row r="15">
      <c r="B15" s="8" t="inlineStr">
        <is>
          <t>Communication / Data</t>
        </is>
      </c>
      <c r="C15" s="18" t="n">
        <v>3000</v>
      </c>
      <c r="D15" s="18" t="n">
        <v>3000</v>
      </c>
    </row>
    <row r="16">
      <c r="B16" s="8" t="inlineStr">
        <is>
          <t>Specialty Plumbing</t>
        </is>
      </c>
      <c r="C16" s="18" t="n">
        <v>500</v>
      </c>
      <c r="D16" s="18" t="n">
        <v>500</v>
      </c>
    </row>
    <row r="17">
      <c r="B17" s="8" t="inlineStr">
        <is>
          <t>Security / Exterior Lighting</t>
        </is>
      </c>
      <c r="C17" s="18" t="n">
        <v>400</v>
      </c>
      <c r="D17" s="18" t="n">
        <v>400</v>
      </c>
    </row>
    <row r="18">
      <c r="B18" s="8" t="inlineStr">
        <is>
          <t>Appliances</t>
        </is>
      </c>
      <c r="C18" s="18" t="n">
        <v>4570.06</v>
      </c>
      <c r="D18" s="18" t="n">
        <v>4570.06</v>
      </c>
    </row>
    <row r="19">
      <c r="A19" s="5" t="n"/>
      <c r="B19" s="6" t="inlineStr">
        <is>
          <t>Building Structure</t>
        </is>
      </c>
    </row>
    <row r="20">
      <c r="B20" s="8" t="inlineStr">
        <is>
          <t>Roofing Systems</t>
        </is>
      </c>
      <c r="C20" s="18" t="n">
        <v>5000</v>
      </c>
      <c r="G20" s="18" t="n">
        <v>5000</v>
      </c>
    </row>
    <row r="21">
      <c r="B21" s="8" t="inlineStr">
        <is>
          <t>Foundations</t>
        </is>
      </c>
      <c r="C21" s="18" t="n">
        <v>10000</v>
      </c>
      <c r="G21" s="18" t="n">
        <v>10000</v>
      </c>
    </row>
    <row r="22">
      <c r="B22" s="8" t="inlineStr">
        <is>
          <t>HVAC</t>
        </is>
      </c>
      <c r="C22" s="18" t="n">
        <v>8000</v>
      </c>
      <c r="G22" s="18" t="n">
        <v>8000</v>
      </c>
    </row>
    <row r="23">
      <c r="B23" s="8" t="inlineStr">
        <is>
          <t>Electrical</t>
        </is>
      </c>
      <c r="C23" s="18" t="n">
        <v>9000</v>
      </c>
      <c r="G23" s="18" t="n">
        <v>9000</v>
      </c>
    </row>
    <row r="24">
      <c r="B24" s="8" t="inlineStr">
        <is>
          <t>Plumbing</t>
        </is>
      </c>
      <c r="C24" s="18" t="n">
        <v>7000</v>
      </c>
      <c r="G24" s="18" t="n">
        <v>7000</v>
      </c>
    </row>
    <row r="25">
      <c r="B25" s="8" t="inlineStr">
        <is>
          <t>Fire Protection &amp; Alarm</t>
        </is>
      </c>
      <c r="C25" s="18" t="n">
        <v>250</v>
      </c>
      <c r="G25" s="18" t="n">
        <v>250</v>
      </c>
    </row>
    <row r="26">
      <c r="B26" s="8" t="inlineStr">
        <is>
          <t>Exterior Façade / Building Skin</t>
        </is>
      </c>
      <c r="C26" s="18" t="n">
        <v>6000</v>
      </c>
      <c r="G26" s="18" t="n">
        <v>6000</v>
      </c>
    </row>
    <row r="27">
      <c r="B27" s="8" t="inlineStr">
        <is>
          <t>Doors &amp; Frames</t>
        </is>
      </c>
      <c r="C27" s="18" t="n">
        <v>5000</v>
      </c>
      <c r="G27" s="18" t="n">
        <v>5000</v>
      </c>
    </row>
    <row r="28">
      <c r="B28" s="8" t="inlineStr">
        <is>
          <t>Windows</t>
        </is>
      </c>
      <c r="C28" s="18" t="n">
        <v>4000</v>
      </c>
      <c r="G28" s="18" t="n">
        <v>4000</v>
      </c>
    </row>
    <row r="29">
      <c r="B29" s="8" t="inlineStr">
        <is>
          <t>Ceiling Systems</t>
        </is>
      </c>
      <c r="C29" s="18" t="n">
        <v>3500</v>
      </c>
      <c r="G29" s="18" t="n">
        <v>3500</v>
      </c>
    </row>
    <row r="30">
      <c r="B30" s="8" t="inlineStr">
        <is>
          <t>Interior Framing / Partitions</t>
        </is>
      </c>
      <c r="C30" s="18" t="n">
        <v>15000</v>
      </c>
      <c r="G30" s="18" t="n">
        <v>15000</v>
      </c>
    </row>
    <row r="31">
      <c r="B31" s="8" t="inlineStr">
        <is>
          <t>Painting</t>
        </is>
      </c>
      <c r="C31" s="18" t="n">
        <v>5000</v>
      </c>
      <c r="G31" s="18" t="n">
        <v>5000</v>
      </c>
    </row>
    <row r="32">
      <c r="B32" s="8" t="inlineStr">
        <is>
          <t>Structural Framing</t>
        </is>
      </c>
      <c r="C32" s="18" t="n">
        <v>22873.9</v>
      </c>
      <c r="G32" s="18" t="n">
        <v>22873.9</v>
      </c>
    </row>
    <row r="33">
      <c r="B33" s="8" t="inlineStr">
        <is>
          <t>Bathroom Accessories</t>
        </is>
      </c>
      <c r="C33" s="18" t="n">
        <v>1500</v>
      </c>
      <c r="G33" s="18" t="n">
        <v>1500</v>
      </c>
    </row>
    <row r="34">
      <c r="B34" s="8" t="inlineStr">
        <is>
          <t>Ceramic Tile Flooring</t>
        </is>
      </c>
      <c r="C34" s="18" t="n">
        <v>450</v>
      </c>
      <c r="G34" s="18" t="n">
        <v>450</v>
      </c>
    </row>
    <row r="35">
      <c r="A35" s="19" t="n"/>
      <c r="B35" s="20" t="inlineStr">
        <is>
          <t>Total Cost</t>
        </is>
      </c>
      <c r="C35" s="21">
        <f>SUM(C10:C34)</f>
        <v/>
      </c>
      <c r="D35" s="21">
        <f>SUM(D10:D34)</f>
        <v/>
      </c>
      <c r="E35" s="21">
        <f>SUM(E10:E34)</f>
        <v/>
      </c>
      <c r="F35" s="21">
        <f>SUM(F10:F34)</f>
        <v/>
      </c>
      <c r="G35" s="21">
        <f>SUM(G10:G34)</f>
        <v/>
      </c>
      <c r="H35" s="19" t="n"/>
      <c r="I35" s="19" t="n"/>
      <c r="J35" s="19" t="n"/>
    </row>
    <row r="37">
      <c r="A37" s="5" t="n"/>
      <c r="B37" s="6" t="inlineStr">
        <is>
          <t>Asset Allocation:</t>
        </is>
      </c>
    </row>
    <row r="38">
      <c r="B38" s="8" t="inlineStr">
        <is>
          <t>Asset #10 - Building</t>
        </is>
      </c>
      <c r="C38" s="18" t="n">
        <v>21669.1</v>
      </c>
      <c r="D38" s="18" t="n">
        <v>1979.11</v>
      </c>
      <c r="G38" s="18" t="n">
        <v>19689.99</v>
      </c>
    </row>
    <row r="39">
      <c r="B39" s="8" t="inlineStr">
        <is>
          <t>Asset #12 - New Building</t>
        </is>
      </c>
      <c r="C39" s="18" t="n">
        <v>11621.82</v>
      </c>
      <c r="D39" s="18" t="n">
        <v>1061.46</v>
      </c>
      <c r="G39" s="18" t="n">
        <v>10560.36</v>
      </c>
    </row>
    <row r="40">
      <c r="B40" s="8" t="inlineStr">
        <is>
          <t>Asset #14 - New Buildings</t>
        </is>
      </c>
      <c r="C40" s="18" t="n">
        <v>77895</v>
      </c>
      <c r="D40" s="18" t="n">
        <v>7114.4</v>
      </c>
      <c r="G40" s="18" t="n">
        <v>70780.60000000001</v>
      </c>
    </row>
    <row r="41">
      <c r="B41" s="8" t="inlineStr">
        <is>
          <t>Asset #111 - Building Improvement</t>
        </is>
      </c>
      <c r="C41" s="18" t="n">
        <v>544.6</v>
      </c>
      <c r="D41" s="18" t="n">
        <v>49.74</v>
      </c>
      <c r="G41" s="18" t="n">
        <v>494.86</v>
      </c>
    </row>
    <row r="42">
      <c r="B42" s="8" t="inlineStr">
        <is>
          <t>Asset #2 - Land Improvements</t>
        </is>
      </c>
      <c r="C42" s="18" t="n">
        <v>2963.4</v>
      </c>
      <c r="D42" s="18" t="n">
        <v>270.66</v>
      </c>
      <c r="G42" s="18" t="n">
        <v>2692.74</v>
      </c>
    </row>
    <row r="43">
      <c r="B43" s="8" t="inlineStr">
        <is>
          <t>Asset #13 - New Equipment</t>
        </is>
      </c>
      <c r="C43" s="18" t="n">
        <v>2551.13</v>
      </c>
      <c r="D43" s="18" t="n">
        <v>233</v>
      </c>
      <c r="G43" s="18" t="n">
        <v>2318.13</v>
      </c>
    </row>
    <row r="44">
      <c r="B44" s="8" t="inlineStr">
        <is>
          <t>Asset #15 - New Equipment</t>
        </is>
      </c>
      <c r="C44" s="18" t="n">
        <v>17098.91</v>
      </c>
      <c r="D44" s="18" t="n">
        <v>1561.69</v>
      </c>
      <c r="G44" s="18" t="n">
        <v>15537.22</v>
      </c>
    </row>
    <row r="45">
      <c r="A45" s="19" t="n"/>
      <c r="B45" s="20" t="inlineStr">
        <is>
          <t>Total Allocation:</t>
        </is>
      </c>
      <c r="C45" s="21">
        <f>SUM(C38:C44)</f>
        <v/>
      </c>
      <c r="D45" s="21">
        <f>SUM(D38:D44)</f>
        <v/>
      </c>
      <c r="E45" s="21">
        <f>SUM(E38:E44)</f>
        <v/>
      </c>
      <c r="F45" s="21">
        <f>SUM(F38:F44)</f>
        <v/>
      </c>
      <c r="G45" s="21">
        <f>SUM(G38:G44)</f>
        <v/>
      </c>
      <c r="H45" s="19" t="n"/>
      <c r="I45" s="19" t="n"/>
      <c r="J45" s="19" t="n"/>
    </row>
  </sheetData>
  <mergeCells count="7">
    <mergeCell ref="B19:J19"/>
    <mergeCell ref="A8:J8"/>
    <mergeCell ref="B37:J37"/>
    <mergeCell ref="B10:J10"/>
    <mergeCell ref="A3:J3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2026-07-08T22:05:11Z</dcterms:created>
  <dcterms:modified xmlns:dcterms="http://purl.org/dc/terms/" xmlns:xsi="http://www.w3.org/2001/XMLSchema-instance" xsi:type="dcterms:W3CDTF">2026-07-08T22:05:12Z</dcterms:modified>
</cp:coreProperties>
</file>