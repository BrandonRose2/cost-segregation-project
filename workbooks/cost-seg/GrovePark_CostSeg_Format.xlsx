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uilding 1" sheetId="3" state="visible" r:id="rId3"/>
    <sheet xmlns:r="http://schemas.openxmlformats.org/officeDocument/2006/relationships" name="Building 2" sheetId="4" state="visible" r:id="rId4"/>
    <sheet xmlns:r="http://schemas.openxmlformats.org/officeDocument/2006/relationships" name="Building 3" sheetId="5" state="visible" r:id="rId5"/>
    <sheet xmlns:r="http://schemas.openxmlformats.org/officeDocument/2006/relationships" name="Building 4" sheetId="6" state="visible" r:id="rId6"/>
    <sheet xmlns:r="http://schemas.openxmlformats.org/officeDocument/2006/relationships" name="Building 5" sheetId="7" state="visible" r:id="rId7"/>
    <sheet xmlns:r="http://schemas.openxmlformats.org/officeDocument/2006/relationships" name="Office" sheetId="8" state="visible" r:id="rId8"/>
    <sheet xmlns:r="http://schemas.openxmlformats.org/officeDocument/2006/relationships" name="Asset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3" fontId="7" fillId="5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4" fontId="5" fillId="0" borderId="0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6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A2" s="1" t="inlineStr">
        <is>
          <t>Grove Park Terrace</t>
        </is>
      </c>
    </row>
    <row r="3">
      <c r="A3" s="2" t="inlineStr">
        <is>
          <t>Summary of Cost Seg Adjustments</t>
        </is>
      </c>
    </row>
    <row r="4">
      <c r="A4" s="3" t="inlineStr">
        <is>
          <t>As of December 31, 2024</t>
        </is>
      </c>
    </row>
    <row r="6">
      <c r="B6" s="4" t="inlineStr">
        <is>
          <t>Acq Date</t>
        </is>
      </c>
      <c r="C6" s="4" t="inlineStr">
        <is>
          <t>Asset Description</t>
        </is>
      </c>
      <c r="D6" s="4" t="inlineStr">
        <is>
          <t>Total</t>
        </is>
      </c>
      <c r="E6" s="4" t="inlineStr">
        <is>
          <t>Site</t>
        </is>
      </c>
      <c r="F6" s="4" t="inlineStr">
        <is>
          <t>Building 1</t>
        </is>
      </c>
      <c r="G6" s="4" t="inlineStr">
        <is>
          <t>Building 2</t>
        </is>
      </c>
      <c r="H6" s="4" t="inlineStr">
        <is>
          <t>Building 3</t>
        </is>
      </c>
      <c r="I6" s="4" t="inlineStr">
        <is>
          <t>Building 4</t>
        </is>
      </c>
      <c r="J6" s="4" t="inlineStr">
        <is>
          <t>Building 5</t>
        </is>
      </c>
      <c r="K6" s="4" t="inlineStr">
        <is>
          <t>Office</t>
        </is>
      </c>
      <c r="L6" s="4" t="inlineStr">
        <is>
          <t>Asset 8</t>
        </is>
      </c>
      <c r="M6" s="4" t="inlineStr">
        <is>
          <t>Grand Total</t>
        </is>
      </c>
    </row>
    <row r="7">
      <c r="A7" s="5" t="n"/>
      <c r="B7" s="6" t="inlineStr">
        <is>
          <t>Property Cost Summary</t>
        </is>
      </c>
    </row>
    <row r="8">
      <c r="B8" s="7" t="inlineStr">
        <is>
          <t>5/23/25</t>
        </is>
      </c>
      <c r="C8" s="8" t="inlineStr">
        <is>
          <t>Site</t>
        </is>
      </c>
      <c r="D8" s="9" t="n">
        <v>315110.14</v>
      </c>
      <c r="F8" s="9" t="n">
        <v>218323.1</v>
      </c>
      <c r="G8" s="9" t="n">
        <v>96787.03999999999</v>
      </c>
    </row>
    <row r="9">
      <c r="B9" s="7" t="inlineStr">
        <is>
          <t>5/23/25</t>
        </is>
      </c>
      <c r="C9" s="8" t="inlineStr">
        <is>
          <t>Building 1</t>
        </is>
      </c>
      <c r="D9" s="9" t="n">
        <v>454085.46</v>
      </c>
      <c r="E9" s="9" t="n">
        <v>94192.7</v>
      </c>
      <c r="G9" s="9" t="n">
        <v>359892.76</v>
      </c>
    </row>
    <row r="10">
      <c r="B10" s="7" t="inlineStr">
        <is>
          <t>5/23/25</t>
        </is>
      </c>
      <c r="C10" s="8" t="inlineStr">
        <is>
          <t>Building 2</t>
        </is>
      </c>
      <c r="D10" s="9" t="n">
        <v>418079.19</v>
      </c>
      <c r="E10" s="9" t="n">
        <v>89624.64</v>
      </c>
      <c r="G10" s="9" t="n">
        <v>328454.55</v>
      </c>
    </row>
    <row r="11">
      <c r="B11" s="7" t="inlineStr">
        <is>
          <t>5/23/25</t>
        </is>
      </c>
      <c r="C11" s="8" t="inlineStr">
        <is>
          <t>Building 3</t>
        </is>
      </c>
      <c r="D11" s="9" t="n">
        <v>453971.22</v>
      </c>
      <c r="E11" s="9" t="n">
        <v>92871.67999999999</v>
      </c>
      <c r="G11" s="9" t="n">
        <v>361099.54</v>
      </c>
    </row>
    <row r="12">
      <c r="B12" s="7" t="inlineStr">
        <is>
          <t>5/23/25</t>
        </is>
      </c>
      <c r="C12" s="8" t="inlineStr">
        <is>
          <t>Building 4</t>
        </is>
      </c>
      <c r="D12" s="9" t="n">
        <v>464824.51</v>
      </c>
      <c r="E12" s="9" t="n">
        <v>96701.44</v>
      </c>
      <c r="G12" s="9" t="n">
        <v>368123.07</v>
      </c>
    </row>
    <row r="13">
      <c r="B13" s="7" t="inlineStr">
        <is>
          <t>5/23/25</t>
        </is>
      </c>
      <c r="C13" s="8" t="inlineStr">
        <is>
          <t>Building 5</t>
        </is>
      </c>
      <c r="D13" s="9" t="n">
        <v>473434.84</v>
      </c>
      <c r="E13" s="9" t="n">
        <v>96701.44</v>
      </c>
      <c r="G13" s="9" t="n">
        <v>376733.4</v>
      </c>
    </row>
    <row r="14">
      <c r="B14" s="7" t="inlineStr">
        <is>
          <t>5/23/25</t>
        </is>
      </c>
      <c r="C14" s="8" t="inlineStr">
        <is>
          <t>Office</t>
        </is>
      </c>
      <c r="D14" s="9" t="n">
        <v>204539.64</v>
      </c>
      <c r="E14" s="9" t="n">
        <v>32255.22</v>
      </c>
      <c r="G14" s="9" t="n">
        <v>172284.42</v>
      </c>
    </row>
    <row r="15">
      <c r="B15" s="7" t="inlineStr">
        <is>
          <t>5/23/25</t>
        </is>
      </c>
      <c r="C15" s="8" t="inlineStr">
        <is>
          <t>Asset 8</t>
        </is>
      </c>
      <c r="D15" s="9" t="n">
        <v>86347</v>
      </c>
      <c r="E15" s="9" t="n">
        <v>23596</v>
      </c>
      <c r="G15" s="9" t="n">
        <v>62751</v>
      </c>
    </row>
    <row r="16">
      <c r="A16" s="10" t="n"/>
      <c r="B16" s="11" t="inlineStr">
        <is>
          <t>Grand Total</t>
        </is>
      </c>
      <c r="C16" s="10" t="n"/>
      <c r="D16" s="12">
        <f>SUM(D8:D15)</f>
        <v/>
      </c>
      <c r="E16" s="12">
        <f>SUM(E8:E15)</f>
        <v/>
      </c>
      <c r="F16" s="12">
        <f>SUM(F8:F15)</f>
        <v/>
      </c>
      <c r="G16" s="12">
        <f>SUM(G8:G15)</f>
        <v/>
      </c>
      <c r="H16" s="10" t="n"/>
      <c r="I16" s="10" t="n"/>
      <c r="J16" s="10" t="n"/>
      <c r="K16" s="10" t="n"/>
      <c r="L16" s="10" t="n"/>
      <c r="M16" s="10" t="n"/>
    </row>
  </sheetData>
  <mergeCells count="4">
    <mergeCell ref="A4:M4"/>
    <mergeCell ref="A3:M3"/>
    <mergeCell ref="A2:M2"/>
    <mergeCell ref="B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Site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Site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Site Work / Improvements</t>
        </is>
      </c>
    </row>
    <row r="11">
      <c r="B11" s="8" t="inlineStr">
        <is>
          <t>Site Drainage</t>
        </is>
      </c>
      <c r="C11" s="18" t="n">
        <v>8837.709999999999</v>
      </c>
      <c r="F11" s="18" t="n">
        <v>8837.709999999999</v>
      </c>
    </row>
    <row r="12">
      <c r="B12" s="8" t="inlineStr">
        <is>
          <t>Parking Lot</t>
        </is>
      </c>
      <c r="C12" s="18" t="n">
        <v>95451.19</v>
      </c>
      <c r="F12" s="18" t="n">
        <v>95451.19</v>
      </c>
    </row>
    <row r="13">
      <c r="B13" s="8" t="inlineStr">
        <is>
          <t>Exterior Signage</t>
        </is>
      </c>
      <c r="C13" s="18" t="n">
        <v>1321.09</v>
      </c>
      <c r="F13" s="18" t="n">
        <v>1321.09</v>
      </c>
    </row>
    <row r="14">
      <c r="B14" s="8" t="inlineStr">
        <is>
          <t>Parking Lot Striping / Barriers</t>
        </is>
      </c>
      <c r="C14" s="18" t="n">
        <v>1952.9</v>
      </c>
      <c r="F14" s="18" t="n">
        <v>1952.9</v>
      </c>
    </row>
    <row r="15">
      <c r="B15" s="8" t="inlineStr">
        <is>
          <t>Sidewalks / Curbs</t>
        </is>
      </c>
      <c r="C15" s="18" t="n">
        <v>59245.72</v>
      </c>
      <c r="F15" s="18" t="n">
        <v>59245.72</v>
      </c>
    </row>
    <row r="16">
      <c r="B16" s="8" t="inlineStr">
        <is>
          <t>Landscaping</t>
        </is>
      </c>
      <c r="C16" s="18" t="n">
        <v>618.33</v>
      </c>
      <c r="F16" s="18" t="n">
        <v>618.33</v>
      </c>
    </row>
    <row r="17">
      <c r="B17" s="8" t="inlineStr">
        <is>
          <t>Security Lighting Poles</t>
        </is>
      </c>
      <c r="C17" s="18" t="n">
        <v>12771.52</v>
      </c>
      <c r="F17" s="18" t="n">
        <v>12771.52</v>
      </c>
    </row>
    <row r="18">
      <c r="B18" s="8" t="inlineStr">
        <is>
          <t>Exterior Fencing</t>
        </is>
      </c>
      <c r="C18" s="18" t="n">
        <v>15090.04</v>
      </c>
      <c r="F18" s="18" t="n">
        <v>15090.04</v>
      </c>
    </row>
    <row r="19">
      <c r="B19" s="8" t="inlineStr">
        <is>
          <t>Fire Hydrants</t>
        </is>
      </c>
      <c r="C19" s="18" t="n">
        <v>2157.03</v>
      </c>
      <c r="F19" s="18" t="n">
        <v>2157.03</v>
      </c>
    </row>
    <row r="20">
      <c r="B20" s="8" t="inlineStr">
        <is>
          <t>Exterior Equipment Concrete Pads</t>
        </is>
      </c>
      <c r="C20" s="18" t="n">
        <v>4129.23</v>
      </c>
      <c r="F20" s="18" t="n">
        <v>4129.23</v>
      </c>
    </row>
    <row r="21">
      <c r="B21" s="8" t="inlineStr">
        <is>
          <t>Mailboxes</t>
        </is>
      </c>
      <c r="C21" s="18" t="n">
        <v>5494.17</v>
      </c>
      <c r="F21" s="18" t="n">
        <v>5494.17</v>
      </c>
    </row>
    <row r="22">
      <c r="B22" s="8" t="inlineStr">
        <is>
          <t>Mailbox Canopy</t>
        </is>
      </c>
      <c r="C22" s="18" t="n">
        <v>1151.63</v>
      </c>
      <c r="F22" s="18" t="n">
        <v>1151.63</v>
      </c>
    </row>
    <row r="23">
      <c r="B23" s="8" t="inlineStr">
        <is>
          <t>Playground</t>
        </is>
      </c>
      <c r="C23" s="18" t="n">
        <v>6453.82</v>
      </c>
      <c r="F23" s="18" t="n">
        <v>6453.82</v>
      </c>
    </row>
    <row r="24">
      <c r="B24" s="8" t="inlineStr">
        <is>
          <t>Basketball Court</t>
        </is>
      </c>
      <c r="C24" s="18" t="n">
        <v>3396.28</v>
      </c>
      <c r="F24" s="18" t="n">
        <v>3396.28</v>
      </c>
    </row>
    <row r="25">
      <c r="B25" s="8" t="inlineStr">
        <is>
          <t>Site Seating</t>
        </is>
      </c>
      <c r="C25" s="18" t="n">
        <v>252.44</v>
      </c>
      <c r="F25" s="18" t="n">
        <v>252.44</v>
      </c>
    </row>
    <row r="26">
      <c r="A26" s="5" t="n"/>
      <c r="B26" s="6" t="inlineStr">
        <is>
          <t>Site Utilities</t>
        </is>
      </c>
    </row>
    <row r="27">
      <c r="B27" s="8" t="inlineStr">
        <is>
          <t>Site Utilities</t>
        </is>
      </c>
      <c r="C27" s="18" t="n">
        <v>96787.03999999999</v>
      </c>
      <c r="G27" s="18" t="n">
        <v>96787.03999999999</v>
      </c>
    </row>
    <row r="28">
      <c r="A28" s="19" t="n"/>
      <c r="B28" s="20" t="inlineStr">
        <is>
          <t>Total Cost</t>
        </is>
      </c>
      <c r="C28" s="21">
        <f>SUM(C10:C27)</f>
        <v/>
      </c>
      <c r="D28" s="21">
        <f>SUM(D10:D27)</f>
        <v/>
      </c>
      <c r="E28" s="21">
        <f>SUM(E10:E27)</f>
        <v/>
      </c>
      <c r="F28" s="21">
        <f>SUM(F10:F27)</f>
        <v/>
      </c>
      <c r="G28" s="21">
        <f>SUM(G10:G27)</f>
        <v/>
      </c>
      <c r="H28" s="19" t="n"/>
      <c r="I28" s="19" t="n"/>
      <c r="J28" s="19" t="n"/>
    </row>
    <row r="30">
      <c r="A30" s="5" t="n"/>
      <c r="B30" s="6" t="inlineStr">
        <is>
          <t>Asset Allocation:</t>
        </is>
      </c>
    </row>
    <row r="31">
      <c r="B31" s="8" t="inlineStr">
        <is>
          <t>Asset #3 - Building</t>
        </is>
      </c>
      <c r="C31" s="18" t="n">
        <v>267346.37</v>
      </c>
      <c r="F31" s="18" t="n">
        <v>185230.12</v>
      </c>
      <c r="G31" s="18" t="n">
        <v>82116.25</v>
      </c>
    </row>
    <row r="32">
      <c r="B32" s="8" t="inlineStr">
        <is>
          <t>Asset #2 - Land Improvements</t>
        </is>
      </c>
      <c r="C32" s="18" t="n">
        <v>27390.6</v>
      </c>
      <c r="F32" s="18" t="n">
        <v>18977.49</v>
      </c>
      <c r="G32" s="18" t="n">
        <v>8413.110000000001</v>
      </c>
    </row>
    <row r="33">
      <c r="B33" s="8" t="inlineStr">
        <is>
          <t>Asset #4 - Equipment</t>
        </is>
      </c>
      <c r="C33" s="18" t="n">
        <v>20373.17</v>
      </c>
      <c r="F33" s="18" t="n">
        <v>14115.49</v>
      </c>
      <c r="G33" s="18" t="n">
        <v>6257.68</v>
      </c>
    </row>
    <row r="34">
      <c r="A34" s="19" t="n"/>
      <c r="B34" s="20" t="inlineStr">
        <is>
          <t>Total Allocation:</t>
        </is>
      </c>
      <c r="C34" s="21">
        <f>SUM(C31:C33)</f>
        <v/>
      </c>
      <c r="D34" s="21">
        <f>SUM(D31:D33)</f>
        <v/>
      </c>
      <c r="E34" s="21">
        <f>SUM(E31:E33)</f>
        <v/>
      </c>
      <c r="F34" s="21">
        <f>SUM(F31:F33)</f>
        <v/>
      </c>
      <c r="G34" s="21">
        <f>SUM(G31:G33)</f>
        <v/>
      </c>
      <c r="H34" s="19" t="n"/>
      <c r="I34" s="19" t="n"/>
      <c r="J34" s="19" t="n"/>
    </row>
  </sheetData>
  <mergeCells count="7">
    <mergeCell ref="A8:J8"/>
    <mergeCell ref="B10:J10"/>
    <mergeCell ref="A3:J3"/>
    <mergeCell ref="B26:J26"/>
    <mergeCell ref="A4:J4"/>
    <mergeCell ref="A2:J2"/>
    <mergeCell ref="B30:J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Building 1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Building 1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13460.19</v>
      </c>
      <c r="D11" s="18" t="n">
        <v>13460.19</v>
      </c>
    </row>
    <row r="12">
      <c r="B12" s="8" t="inlineStr">
        <is>
          <t>Moldings</t>
        </is>
      </c>
      <c r="C12" s="18" t="n">
        <v>8863.879999999999</v>
      </c>
      <c r="D12" s="18" t="n">
        <v>8863.879999999999</v>
      </c>
    </row>
    <row r="13">
      <c r="B13" s="8" t="inlineStr">
        <is>
          <t>Flooring - Vinyl Plank</t>
        </is>
      </c>
      <c r="C13" s="18" t="n">
        <v>33857.28</v>
      </c>
      <c r="D13" s="18" t="n">
        <v>33857.28</v>
      </c>
    </row>
    <row r="14">
      <c r="B14" s="8" t="inlineStr">
        <is>
          <t>Window Treatments</t>
        </is>
      </c>
      <c r="C14" s="18" t="n">
        <v>3263.85</v>
      </c>
      <c r="D14" s="18" t="n">
        <v>3263.85</v>
      </c>
    </row>
    <row r="15">
      <c r="B15" s="8" t="inlineStr">
        <is>
          <t>Building Signage</t>
        </is>
      </c>
      <c r="C15" s="18" t="n">
        <v>199.25</v>
      </c>
      <c r="D15" s="18" t="n">
        <v>199.25</v>
      </c>
    </row>
    <row r="16">
      <c r="B16" s="8" t="inlineStr">
        <is>
          <t>Specialty Electrical - Appliances</t>
        </is>
      </c>
      <c r="C16" s="18" t="n">
        <v>7199.04</v>
      </c>
      <c r="D16" s="18" t="n">
        <v>7199.04</v>
      </c>
    </row>
    <row r="17">
      <c r="B17" s="8" t="inlineStr">
        <is>
          <t>Communication / Data</t>
        </is>
      </c>
      <c r="C17" s="18" t="n">
        <v>2957.54</v>
      </c>
      <c r="D17" s="18" t="n">
        <v>2957.54</v>
      </c>
    </row>
    <row r="18">
      <c r="B18" s="8" t="inlineStr">
        <is>
          <t>Specialty Plumbing - Kitchen Sinks / Laundry</t>
        </is>
      </c>
      <c r="C18" s="18" t="n">
        <v>10047.72</v>
      </c>
      <c r="D18" s="18" t="n">
        <v>10047.72</v>
      </c>
    </row>
    <row r="19">
      <c r="B19" s="8" t="inlineStr">
        <is>
          <t>Security / Exterior Lighting</t>
        </is>
      </c>
      <c r="C19" s="18" t="n">
        <v>1797.27</v>
      </c>
      <c r="D19" s="18" t="n">
        <v>1797.27</v>
      </c>
    </row>
    <row r="20">
      <c r="B20" s="8" t="inlineStr">
        <is>
          <t>Appliances</t>
        </is>
      </c>
      <c r="C20" s="18" t="n">
        <v>12546.68</v>
      </c>
      <c r="D20" s="18" t="n">
        <v>12546.68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13938.65</v>
      </c>
      <c r="G22" s="18" t="n">
        <v>13938.65</v>
      </c>
    </row>
    <row r="23">
      <c r="B23" s="8" t="inlineStr">
        <is>
          <t>Foundations</t>
        </is>
      </c>
      <c r="C23" s="18" t="n">
        <v>23175.05</v>
      </c>
      <c r="G23" s="18" t="n">
        <v>23175.05</v>
      </c>
    </row>
    <row r="24">
      <c r="B24" s="8" t="inlineStr">
        <is>
          <t>HVAC</t>
        </is>
      </c>
      <c r="C24" s="18" t="n">
        <v>33234.48</v>
      </c>
      <c r="G24" s="18" t="n">
        <v>33234.48</v>
      </c>
    </row>
    <row r="25">
      <c r="B25" s="8" t="inlineStr">
        <is>
          <t>Electrical</t>
        </is>
      </c>
      <c r="C25" s="18" t="n">
        <v>35980.1</v>
      </c>
      <c r="G25" s="18" t="n">
        <v>35980.1</v>
      </c>
    </row>
    <row r="26">
      <c r="B26" s="8" t="inlineStr">
        <is>
          <t>Plumbing</t>
        </is>
      </c>
      <c r="C26" s="18" t="n">
        <v>28890.57</v>
      </c>
      <c r="G26" s="18" t="n">
        <v>28890.57</v>
      </c>
    </row>
    <row r="27">
      <c r="B27" s="8" t="inlineStr">
        <is>
          <t>Fire Protection &amp; Alarm</t>
        </is>
      </c>
      <c r="C27" s="18" t="n">
        <v>1919.47</v>
      </c>
      <c r="G27" s="18" t="n">
        <v>1919.47</v>
      </c>
    </row>
    <row r="28">
      <c r="B28" s="8" t="inlineStr">
        <is>
          <t>Exterior Façade / Building Skin</t>
        </is>
      </c>
      <c r="C28" s="18" t="n">
        <v>37996.75</v>
      </c>
      <c r="G28" s="18" t="n">
        <v>37996.75</v>
      </c>
    </row>
    <row r="29">
      <c r="B29" s="8" t="inlineStr">
        <is>
          <t>Doors &amp; Frames</t>
        </is>
      </c>
      <c r="C29" s="18" t="n">
        <v>27657.11</v>
      </c>
      <c r="G29" s="18" t="n">
        <v>27657.11</v>
      </c>
    </row>
    <row r="30">
      <c r="B30" s="8" t="inlineStr">
        <is>
          <t>Windows</t>
        </is>
      </c>
      <c r="C30" s="18" t="n">
        <v>23044.39</v>
      </c>
      <c r="G30" s="18" t="n">
        <v>23044.39</v>
      </c>
    </row>
    <row r="31">
      <c r="B31" s="8" t="inlineStr">
        <is>
          <t>Ceiling Systems</t>
        </is>
      </c>
      <c r="C31" s="18" t="n">
        <v>22614.03</v>
      </c>
      <c r="G31" s="18" t="n">
        <v>22614.03</v>
      </c>
    </row>
    <row r="32">
      <c r="B32" s="8" t="inlineStr">
        <is>
          <t>Interior Framing / Partitions</t>
        </is>
      </c>
      <c r="C32" s="18" t="n">
        <v>50011.49</v>
      </c>
      <c r="G32" s="18" t="n">
        <v>50011.49</v>
      </c>
    </row>
    <row r="33">
      <c r="B33" s="8" t="inlineStr">
        <is>
          <t>Painting</t>
        </is>
      </c>
      <c r="C33" s="18" t="n">
        <v>21741.87</v>
      </c>
      <c r="G33" s="18" t="n">
        <v>21741.87</v>
      </c>
    </row>
    <row r="34">
      <c r="B34" s="8" t="inlineStr">
        <is>
          <t>Gutter Systems</t>
        </is>
      </c>
      <c r="C34" s="18" t="n">
        <v>2242.84</v>
      </c>
      <c r="G34" s="18" t="n">
        <v>2242.84</v>
      </c>
    </row>
    <row r="35">
      <c r="B35" s="8" t="inlineStr">
        <is>
          <t>Structural Framing</t>
        </is>
      </c>
      <c r="C35" s="18" t="n">
        <v>53406.11</v>
      </c>
      <c r="G35" s="18" t="n">
        <v>53406.11</v>
      </c>
    </row>
    <row r="36">
      <c r="B36" s="8" t="inlineStr">
        <is>
          <t>Stairs / Balconies</t>
        </is>
      </c>
      <c r="C36" s="18" t="n">
        <v>10699.22</v>
      </c>
      <c r="G36" s="18" t="n">
        <v>10699.22</v>
      </c>
    </row>
    <row r="37">
      <c r="B37" s="8" t="inlineStr">
        <is>
          <t>Bathroom Accessories</t>
        </is>
      </c>
      <c r="C37" s="18" t="n">
        <v>4753.99</v>
      </c>
      <c r="G37" s="18" t="n">
        <v>4753.99</v>
      </c>
    </row>
    <row r="38">
      <c r="B38" s="8" t="inlineStr">
        <is>
          <t>Cabinets / Millwork - Restrooms</t>
        </is>
      </c>
      <c r="C38" s="18" t="n">
        <v>3733.44</v>
      </c>
      <c r="G38" s="18" t="n">
        <v>3733.44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#3 - Building</t>
        </is>
      </c>
      <c r="C42" s="18" t="n">
        <v>385256.09</v>
      </c>
      <c r="D42" s="18" t="n">
        <v>79915.16</v>
      </c>
      <c r="G42" s="18" t="n">
        <v>305340.93</v>
      </c>
    </row>
    <row r="43">
      <c r="B43" s="8" t="inlineStr">
        <is>
          <t>Asset #2 - Land Improvements</t>
        </is>
      </c>
      <c r="C43" s="18" t="n">
        <v>39470.87</v>
      </c>
      <c r="D43" s="18" t="n">
        <v>8187.59</v>
      </c>
      <c r="G43" s="18" t="n">
        <v>31283.28</v>
      </c>
    </row>
    <row r="44">
      <c r="B44" s="8" t="inlineStr">
        <is>
          <t>Asset #4 - Equipment</t>
        </is>
      </c>
      <c r="C44" s="18" t="n">
        <v>29358.5</v>
      </c>
      <c r="D44" s="18" t="n">
        <v>6089.95</v>
      </c>
      <c r="G44" s="18" t="n">
        <v>23268.55</v>
      </c>
    </row>
    <row r="45">
      <c r="A45" s="19" t="n"/>
      <c r="B45" s="20" t="inlineStr">
        <is>
          <t>Total Allocation:</t>
        </is>
      </c>
      <c r="C45" s="21">
        <f>SUM(C42:C44)</f>
        <v/>
      </c>
      <c r="D45" s="21">
        <f>SUM(D42:D44)</f>
        <v/>
      </c>
      <c r="E45" s="21">
        <f>SUM(E42:E44)</f>
        <v/>
      </c>
      <c r="F45" s="21">
        <f>SUM(F42:F44)</f>
        <v/>
      </c>
      <c r="G45" s="21">
        <f>SUM(G42:G44)</f>
        <v/>
      </c>
      <c r="H45" s="19" t="n"/>
      <c r="I45" s="19" t="n"/>
      <c r="J45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Building 2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Building 2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12955.58</v>
      </c>
      <c r="D11" s="18" t="n">
        <v>12955.58</v>
      </c>
    </row>
    <row r="12">
      <c r="B12" s="8" t="inlineStr">
        <is>
          <t>Moldings</t>
        </is>
      </c>
      <c r="C12" s="18" t="n">
        <v>7814.7</v>
      </c>
      <c r="D12" s="18" t="n">
        <v>7814.7</v>
      </c>
    </row>
    <row r="13">
      <c r="B13" s="8" t="inlineStr">
        <is>
          <t>Flooring - Vinyl Plank</t>
        </is>
      </c>
      <c r="C13" s="18" t="n">
        <v>31009.21</v>
      </c>
      <c r="D13" s="18" t="n">
        <v>31009.21</v>
      </c>
    </row>
    <row r="14">
      <c r="B14" s="8" t="inlineStr">
        <is>
          <t>Window Treatments</t>
        </is>
      </c>
      <c r="C14" s="18" t="n">
        <v>3263.85</v>
      </c>
      <c r="D14" s="18" t="n">
        <v>3263.85</v>
      </c>
    </row>
    <row r="15">
      <c r="B15" s="8" t="inlineStr">
        <is>
          <t>Building Signage</t>
        </is>
      </c>
      <c r="C15" s="18" t="n">
        <v>281.84</v>
      </c>
      <c r="D15" s="18" t="n">
        <v>281.84</v>
      </c>
    </row>
    <row r="16">
      <c r="B16" s="8" t="inlineStr">
        <is>
          <t>Specialty Electrical - Appliances</t>
        </is>
      </c>
      <c r="C16" s="18" t="n">
        <v>7199.04</v>
      </c>
      <c r="D16" s="18" t="n">
        <v>7199.04</v>
      </c>
    </row>
    <row r="17">
      <c r="B17" s="8" t="inlineStr">
        <is>
          <t>Communication / Data</t>
        </is>
      </c>
      <c r="C17" s="18" t="n">
        <v>2708.75</v>
      </c>
      <c r="D17" s="18" t="n">
        <v>2708.75</v>
      </c>
    </row>
    <row r="18">
      <c r="B18" s="8" t="inlineStr">
        <is>
          <t>Specialty Plumbing - Kitchen Sinks / Laundry</t>
        </is>
      </c>
      <c r="C18" s="18" t="n">
        <v>10047.72</v>
      </c>
      <c r="D18" s="18" t="n">
        <v>10047.72</v>
      </c>
    </row>
    <row r="19">
      <c r="B19" s="8" t="inlineStr">
        <is>
          <t>Security / Exterior Lighting</t>
        </is>
      </c>
      <c r="C19" s="18" t="n">
        <v>1797.27</v>
      </c>
      <c r="D19" s="18" t="n">
        <v>1797.27</v>
      </c>
    </row>
    <row r="20">
      <c r="B20" s="8" t="inlineStr">
        <is>
          <t>Appliances</t>
        </is>
      </c>
      <c r="C20" s="18" t="n">
        <v>12546.68</v>
      </c>
      <c r="D20" s="18" t="n">
        <v>12546.68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11905.28</v>
      </c>
      <c r="G22" s="18" t="n">
        <v>11905.28</v>
      </c>
    </row>
    <row r="23">
      <c r="B23" s="8" t="inlineStr">
        <is>
          <t>Foundations</t>
        </is>
      </c>
      <c r="C23" s="18" t="n">
        <v>21103.9</v>
      </c>
      <c r="G23" s="18" t="n">
        <v>21103.9</v>
      </c>
    </row>
    <row r="24">
      <c r="B24" s="8" t="inlineStr">
        <is>
          <t>HVAC</t>
        </is>
      </c>
      <c r="C24" s="18" t="n">
        <v>30438.8</v>
      </c>
      <c r="G24" s="18" t="n">
        <v>30438.8</v>
      </c>
    </row>
    <row r="25">
      <c r="B25" s="8" t="inlineStr">
        <is>
          <t>Electrical</t>
        </is>
      </c>
      <c r="C25" s="18" t="n">
        <v>32953.46</v>
      </c>
      <c r="G25" s="18" t="n">
        <v>32953.46</v>
      </c>
    </row>
    <row r="26">
      <c r="B26" s="8" t="inlineStr">
        <is>
          <t>Plumbing</t>
        </is>
      </c>
      <c r="C26" s="18" t="n">
        <v>26460.29</v>
      </c>
      <c r="G26" s="18" t="n">
        <v>26460.29</v>
      </c>
    </row>
    <row r="27">
      <c r="B27" s="8" t="inlineStr">
        <is>
          <t>Fire Protection &amp; Alarm</t>
        </is>
      </c>
      <c r="C27" s="18" t="n">
        <v>1706.2</v>
      </c>
      <c r="G27" s="18" t="n">
        <v>1706.2</v>
      </c>
    </row>
    <row r="28">
      <c r="B28" s="8" t="inlineStr">
        <is>
          <t>Exterior Façade / Building Skin</t>
        </is>
      </c>
      <c r="C28" s="18" t="n">
        <v>32377.72</v>
      </c>
      <c r="G28" s="18" t="n">
        <v>32377.72</v>
      </c>
    </row>
    <row r="29">
      <c r="B29" s="8" t="inlineStr">
        <is>
          <t>Doors &amp; Frames</t>
        </is>
      </c>
      <c r="C29" s="18" t="n">
        <v>24677.65</v>
      </c>
      <c r="G29" s="18" t="n">
        <v>24677.65</v>
      </c>
    </row>
    <row r="30">
      <c r="B30" s="8" t="inlineStr">
        <is>
          <t>Windows</t>
        </is>
      </c>
      <c r="C30" s="18" t="n">
        <v>21285.5</v>
      </c>
      <c r="G30" s="18" t="n">
        <v>21285.5</v>
      </c>
    </row>
    <row r="31">
      <c r="B31" s="8" t="inlineStr">
        <is>
          <t>Ceiling Systems</t>
        </is>
      </c>
      <c r="C31" s="18" t="n">
        <v>19813.61</v>
      </c>
      <c r="G31" s="18" t="n">
        <v>19813.61</v>
      </c>
    </row>
    <row r="32">
      <c r="B32" s="8" t="inlineStr">
        <is>
          <t>Interior Framing / Partitions</t>
        </is>
      </c>
      <c r="C32" s="18" t="n">
        <v>44705.35</v>
      </c>
      <c r="G32" s="18" t="n">
        <v>44705.35</v>
      </c>
    </row>
    <row r="33">
      <c r="B33" s="8" t="inlineStr">
        <is>
          <t>Painting</t>
        </is>
      </c>
      <c r="C33" s="18" t="n">
        <v>19487.57</v>
      </c>
      <c r="G33" s="18" t="n">
        <v>19487.57</v>
      </c>
    </row>
    <row r="34">
      <c r="B34" s="8" t="inlineStr">
        <is>
          <t>Gutter Systems</t>
        </is>
      </c>
      <c r="C34" s="18" t="n">
        <v>1926.79</v>
      </c>
      <c r="G34" s="18" t="n">
        <v>1926.79</v>
      </c>
    </row>
    <row r="35">
      <c r="B35" s="8" t="inlineStr">
        <is>
          <t>Structural Framing</t>
        </is>
      </c>
      <c r="C35" s="18" t="n">
        <v>47929.59</v>
      </c>
      <c r="G35" s="18" t="n">
        <v>47929.59</v>
      </c>
    </row>
    <row r="36">
      <c r="B36" s="8" t="inlineStr">
        <is>
          <t>Stairs / Balconies</t>
        </is>
      </c>
      <c r="C36" s="18" t="n">
        <v>8618.01</v>
      </c>
      <c r="G36" s="18" t="n">
        <v>8618.01</v>
      </c>
    </row>
    <row r="37">
      <c r="B37" s="8" t="inlineStr">
        <is>
          <t>Bathroom Accessories</t>
        </is>
      </c>
      <c r="C37" s="18" t="n">
        <v>4055.88</v>
      </c>
      <c r="G37" s="18" t="n">
        <v>4055.88</v>
      </c>
    </row>
    <row r="38">
      <c r="B38" s="8" t="inlineStr">
        <is>
          <t>Cabinets / Millwork - Restrooms</t>
        </is>
      </c>
      <c r="C38" s="18" t="n">
        <v>3091.94</v>
      </c>
      <c r="G38" s="18" t="n">
        <v>3091.94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#3 - Building</t>
        </is>
      </c>
      <c r="C42" s="18" t="n">
        <v>354707.57</v>
      </c>
      <c r="D42" s="18" t="n">
        <v>76039.50999999999</v>
      </c>
      <c r="G42" s="18" t="n">
        <v>278668.06</v>
      </c>
    </row>
    <row r="43">
      <c r="B43" s="8" t="inlineStr">
        <is>
          <t>Asset #2 - Land Improvements</t>
        </is>
      </c>
      <c r="C43" s="18" t="n">
        <v>36341.07</v>
      </c>
      <c r="D43" s="18" t="n">
        <v>7790.52</v>
      </c>
      <c r="G43" s="18" t="n">
        <v>28550.55</v>
      </c>
    </row>
    <row r="44">
      <c r="B44" s="8" t="inlineStr">
        <is>
          <t>Asset #4 - Equipment</t>
        </is>
      </c>
      <c r="C44" s="18" t="n">
        <v>27030.55</v>
      </c>
      <c r="D44" s="18" t="n">
        <v>5794.61</v>
      </c>
      <c r="G44" s="18" t="n">
        <v>21235.94</v>
      </c>
    </row>
    <row r="45">
      <c r="A45" s="19" t="n"/>
      <c r="B45" s="20" t="inlineStr">
        <is>
          <t>Total Allocation:</t>
        </is>
      </c>
      <c r="C45" s="21">
        <f>SUM(C42:C44)</f>
        <v/>
      </c>
      <c r="D45" s="21">
        <f>SUM(D42:D44)</f>
        <v/>
      </c>
      <c r="E45" s="21">
        <f>SUM(E42:E44)</f>
        <v/>
      </c>
      <c r="F45" s="21">
        <f>SUM(F42:F44)</f>
        <v/>
      </c>
      <c r="G45" s="21">
        <f>SUM(G42:G44)</f>
        <v/>
      </c>
      <c r="H45" s="19" t="n"/>
      <c r="I45" s="19" t="n"/>
      <c r="J45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Building 3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Building 3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13928.67</v>
      </c>
      <c r="D11" s="18" t="n">
        <v>13928.67</v>
      </c>
    </row>
    <row r="12">
      <c r="B12" s="8" t="inlineStr">
        <is>
          <t>Moldings</t>
        </is>
      </c>
      <c r="C12" s="18" t="n">
        <v>9008.6</v>
      </c>
      <c r="D12" s="18" t="n">
        <v>9008.6</v>
      </c>
    </row>
    <row r="13">
      <c r="B13" s="8" t="inlineStr">
        <is>
          <t>Flooring - Vinyl Plank</t>
        </is>
      </c>
      <c r="C13" s="18" t="n">
        <v>32335.99</v>
      </c>
      <c r="D13" s="18" t="n">
        <v>32335.99</v>
      </c>
    </row>
    <row r="14">
      <c r="B14" s="8" t="inlineStr">
        <is>
          <t>Window Treatments</t>
        </is>
      </c>
      <c r="C14" s="18" t="n">
        <v>2901.21</v>
      </c>
      <c r="D14" s="18" t="n">
        <v>2901.21</v>
      </c>
    </row>
    <row r="15">
      <c r="B15" s="8" t="inlineStr">
        <is>
          <t>Building Signage</t>
        </is>
      </c>
      <c r="C15" s="18" t="n">
        <v>281.84</v>
      </c>
      <c r="D15" s="18" t="n">
        <v>281.84</v>
      </c>
    </row>
    <row r="16">
      <c r="B16" s="8" t="inlineStr">
        <is>
          <t>Specialty Electrical - Appliances</t>
        </is>
      </c>
      <c r="C16" s="18" t="n">
        <v>7199.04</v>
      </c>
      <c r="D16" s="18" t="n">
        <v>7199.04</v>
      </c>
    </row>
    <row r="17">
      <c r="B17" s="8" t="inlineStr">
        <is>
          <t>Communication / Data</t>
        </is>
      </c>
      <c r="C17" s="18" t="n">
        <v>2824.66</v>
      </c>
      <c r="D17" s="18" t="n">
        <v>2824.66</v>
      </c>
    </row>
    <row r="18">
      <c r="B18" s="8" t="inlineStr">
        <is>
          <t>Specialty Plumbing - Kitchen Sinks / Laundry</t>
        </is>
      </c>
      <c r="C18" s="18" t="n">
        <v>10047.72</v>
      </c>
      <c r="D18" s="18" t="n">
        <v>10047.72</v>
      </c>
    </row>
    <row r="19">
      <c r="B19" s="8" t="inlineStr">
        <is>
          <t>Security / Exterior Lighting</t>
        </is>
      </c>
      <c r="C19" s="18" t="n">
        <v>1797.27</v>
      </c>
      <c r="D19" s="18" t="n">
        <v>1797.27</v>
      </c>
    </row>
    <row r="20">
      <c r="B20" s="8" t="inlineStr">
        <is>
          <t>Appliances</t>
        </is>
      </c>
      <c r="C20" s="18" t="n">
        <v>12546.68</v>
      </c>
      <c r="D20" s="18" t="n">
        <v>12546.68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13679.1</v>
      </c>
      <c r="G22" s="18" t="n">
        <v>13679.1</v>
      </c>
    </row>
    <row r="23">
      <c r="B23" s="8" t="inlineStr">
        <is>
          <t>Foundations</t>
        </is>
      </c>
      <c r="C23" s="18" t="n">
        <v>22351.4</v>
      </c>
      <c r="G23" s="18" t="n">
        <v>22351.4</v>
      </c>
    </row>
    <row r="24">
      <c r="B24" s="8" t="inlineStr">
        <is>
          <t>HVAC</t>
        </is>
      </c>
      <c r="C24" s="18" t="n">
        <v>31741.18</v>
      </c>
      <c r="G24" s="18" t="n">
        <v>31741.18</v>
      </c>
    </row>
    <row r="25">
      <c r="B25" s="8" t="inlineStr">
        <is>
          <t>Electrical</t>
        </is>
      </c>
      <c r="C25" s="18" t="n">
        <v>34363.44</v>
      </c>
      <c r="G25" s="18" t="n">
        <v>34363.44</v>
      </c>
    </row>
    <row r="26">
      <c r="B26" s="8" t="inlineStr">
        <is>
          <t>Plumbing</t>
        </is>
      </c>
      <c r="C26" s="18" t="n">
        <v>27592.44</v>
      </c>
      <c r="G26" s="18" t="n">
        <v>27592.44</v>
      </c>
    </row>
    <row r="27">
      <c r="B27" s="8" t="inlineStr">
        <is>
          <t>Fire Protection &amp; Alarm</t>
        </is>
      </c>
      <c r="C27" s="18" t="n">
        <v>2132.75</v>
      </c>
      <c r="G27" s="18" t="n">
        <v>2132.75</v>
      </c>
    </row>
    <row r="28">
      <c r="B28" s="8" t="inlineStr">
        <is>
          <t>Exterior Façade / Building Skin</t>
        </is>
      </c>
      <c r="C28" s="18" t="n">
        <v>38791.5</v>
      </c>
      <c r="G28" s="18" t="n">
        <v>38791.5</v>
      </c>
    </row>
    <row r="29">
      <c r="B29" s="8" t="inlineStr">
        <is>
          <t>Doors &amp; Frames</t>
        </is>
      </c>
      <c r="C29" s="18" t="n">
        <v>26505.06</v>
      </c>
      <c r="G29" s="18" t="n">
        <v>26505.06</v>
      </c>
    </row>
    <row r="30">
      <c r="B30" s="8" t="inlineStr">
        <is>
          <t>Windows</t>
        </is>
      </c>
      <c r="C30" s="18" t="n">
        <v>22137.26</v>
      </c>
      <c r="G30" s="18" t="n">
        <v>22137.26</v>
      </c>
    </row>
    <row r="31">
      <c r="B31" s="8" t="inlineStr">
        <is>
          <t>Ceiling Systems</t>
        </is>
      </c>
      <c r="C31" s="18" t="n">
        <v>21109.33</v>
      </c>
      <c r="G31" s="18" t="n">
        <v>21109.33</v>
      </c>
    </row>
    <row r="32">
      <c r="B32" s="8" t="inlineStr">
        <is>
          <t>Interior Framing / Partitions</t>
        </is>
      </c>
      <c r="C32" s="18" t="n">
        <v>47197.59</v>
      </c>
      <c r="G32" s="18" t="n">
        <v>47197.59</v>
      </c>
    </row>
    <row r="33">
      <c r="B33" s="8" t="inlineStr">
        <is>
          <t>Painting</t>
        </is>
      </c>
      <c r="C33" s="18" t="n">
        <v>20593.68</v>
      </c>
      <c r="G33" s="18" t="n">
        <v>20593.68</v>
      </c>
    </row>
    <row r="34">
      <c r="B34" s="8" t="inlineStr">
        <is>
          <t>Gutter Systems</t>
        </is>
      </c>
      <c r="C34" s="18" t="n">
        <v>2141.63</v>
      </c>
      <c r="G34" s="18" t="n">
        <v>2141.63</v>
      </c>
    </row>
    <row r="35">
      <c r="B35" s="8" t="inlineStr">
        <is>
          <t>Structural Framing</t>
        </is>
      </c>
      <c r="C35" s="18" t="n">
        <v>50601.34</v>
      </c>
      <c r="G35" s="18" t="n">
        <v>50601.34</v>
      </c>
    </row>
    <row r="36">
      <c r="B36" s="8" t="inlineStr">
        <is>
          <t>Stairs / Balconies</t>
        </is>
      </c>
      <c r="C36" s="18" t="n">
        <v>9451.559999999999</v>
      </c>
      <c r="G36" s="18" t="n">
        <v>9451.559999999999</v>
      </c>
    </row>
    <row r="37">
      <c r="B37" s="8" t="inlineStr">
        <is>
          <t>Bathroom Accessories</t>
        </is>
      </c>
      <c r="C37" s="18" t="n">
        <v>4356.85</v>
      </c>
      <c r="G37" s="18" t="n">
        <v>4356.85</v>
      </c>
    </row>
    <row r="38">
      <c r="B38" s="8" t="inlineStr">
        <is>
          <t>Cabinets / Millwork - Restrooms</t>
        </is>
      </c>
      <c r="C38" s="18" t="n">
        <v>3401.39</v>
      </c>
      <c r="G38" s="18" t="n">
        <v>3401.39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#3 - Building</t>
        </is>
      </c>
      <c r="C42" s="18" t="n">
        <v>385159.17</v>
      </c>
      <c r="D42" s="18" t="n">
        <v>78794.38</v>
      </c>
      <c r="G42" s="18" t="n">
        <v>306364.79</v>
      </c>
    </row>
    <row r="43">
      <c r="B43" s="8" t="inlineStr">
        <is>
          <t>Asset #2 - Land Improvements</t>
        </is>
      </c>
      <c r="C43" s="18" t="n">
        <v>39460.94</v>
      </c>
      <c r="D43" s="18" t="n">
        <v>8072.77</v>
      </c>
      <c r="G43" s="18" t="n">
        <v>31388.17</v>
      </c>
    </row>
    <row r="44">
      <c r="B44" s="8" t="inlineStr">
        <is>
          <t>Asset #4 - Equipment</t>
        </is>
      </c>
      <c r="C44" s="18" t="n">
        <v>29351.11</v>
      </c>
      <c r="D44" s="18" t="n">
        <v>6004.53</v>
      </c>
      <c r="G44" s="18" t="n">
        <v>23346.58</v>
      </c>
    </row>
    <row r="45">
      <c r="A45" s="19" t="n"/>
      <c r="B45" s="20" t="inlineStr">
        <is>
          <t>Total Allocation:</t>
        </is>
      </c>
      <c r="C45" s="21">
        <f>SUM(C42:C44)</f>
        <v/>
      </c>
      <c r="D45" s="21">
        <f>SUM(D42:D44)</f>
        <v/>
      </c>
      <c r="E45" s="21">
        <f>SUM(E42:E44)</f>
        <v/>
      </c>
      <c r="F45" s="21">
        <f>SUM(F42:F44)</f>
        <v/>
      </c>
      <c r="G45" s="21">
        <f>SUM(G42:G44)</f>
        <v/>
      </c>
      <c r="H45" s="19" t="n"/>
      <c r="I45" s="19" t="n"/>
      <c r="J45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Building 4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Building 4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14397.17</v>
      </c>
      <c r="D11" s="18" t="n">
        <v>14397.17</v>
      </c>
    </row>
    <row r="12">
      <c r="B12" s="8" t="inlineStr">
        <is>
          <t>Moldings</t>
        </is>
      </c>
      <c r="C12" s="18" t="n">
        <v>9008.6</v>
      </c>
      <c r="D12" s="18" t="n">
        <v>9008.6</v>
      </c>
    </row>
    <row r="13">
      <c r="B13" s="8" t="inlineStr">
        <is>
          <t>Flooring - Vinyl Plank</t>
        </is>
      </c>
      <c r="C13" s="18" t="n">
        <v>35260.48</v>
      </c>
      <c r="D13" s="18" t="n">
        <v>35260.48</v>
      </c>
    </row>
    <row r="14">
      <c r="B14" s="8" t="inlineStr">
        <is>
          <t>Window Treatments</t>
        </is>
      </c>
      <c r="C14" s="18" t="n">
        <v>3082.53</v>
      </c>
      <c r="D14" s="18" t="n">
        <v>3082.53</v>
      </c>
    </row>
    <row r="15">
      <c r="B15" s="8" t="inlineStr">
        <is>
          <t>Building Signage</t>
        </is>
      </c>
      <c r="C15" s="18" t="n">
        <v>281.84</v>
      </c>
      <c r="D15" s="18" t="n">
        <v>281.84</v>
      </c>
    </row>
    <row r="16">
      <c r="B16" s="8" t="inlineStr">
        <is>
          <t>Specialty Electrical - Appliances</t>
        </is>
      </c>
      <c r="C16" s="18" t="n">
        <v>7199.04</v>
      </c>
      <c r="D16" s="18" t="n">
        <v>7199.04</v>
      </c>
    </row>
    <row r="17">
      <c r="B17" s="8" t="inlineStr">
        <is>
          <t>Communication / Data</t>
        </is>
      </c>
      <c r="C17" s="18" t="n">
        <v>3080.11</v>
      </c>
      <c r="D17" s="18" t="n">
        <v>3080.11</v>
      </c>
    </row>
    <row r="18">
      <c r="B18" s="8" t="inlineStr">
        <is>
          <t>Specialty Plumbing - Kitchen Sinks / Laundry</t>
        </is>
      </c>
      <c r="C18" s="18" t="n">
        <v>10047.72</v>
      </c>
      <c r="D18" s="18" t="n">
        <v>10047.72</v>
      </c>
    </row>
    <row r="19">
      <c r="B19" s="8" t="inlineStr">
        <is>
          <t>Security / Exterior Lighting</t>
        </is>
      </c>
      <c r="C19" s="18" t="n">
        <v>1797.27</v>
      </c>
      <c r="D19" s="18" t="n">
        <v>1797.27</v>
      </c>
    </row>
    <row r="20">
      <c r="B20" s="8" t="inlineStr">
        <is>
          <t>Appliances</t>
        </is>
      </c>
      <c r="C20" s="18" t="n">
        <v>12546.68</v>
      </c>
      <c r="D20" s="18" t="n">
        <v>12546.68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5968.07</v>
      </c>
      <c r="G22" s="18" t="n">
        <v>5968.07</v>
      </c>
    </row>
    <row r="23">
      <c r="B23" s="8" t="inlineStr">
        <is>
          <t>Foundations</t>
        </is>
      </c>
      <c r="C23" s="18" t="n">
        <v>24046.3</v>
      </c>
      <c r="G23" s="18" t="n">
        <v>24046.3</v>
      </c>
    </row>
    <row r="24">
      <c r="B24" s="8" t="inlineStr">
        <is>
          <t>HVAC</t>
        </is>
      </c>
      <c r="C24" s="18" t="n">
        <v>34611.87</v>
      </c>
      <c r="G24" s="18" t="n">
        <v>34611.87</v>
      </c>
    </row>
    <row r="25">
      <c r="B25" s="8" t="inlineStr">
        <is>
          <t>Electrical</t>
        </is>
      </c>
      <c r="C25" s="18" t="n">
        <v>37471.27</v>
      </c>
      <c r="G25" s="18" t="n">
        <v>37471.27</v>
      </c>
    </row>
    <row r="26">
      <c r="B26" s="8" t="inlineStr">
        <is>
          <t>Plumbing</t>
        </is>
      </c>
      <c r="C26" s="18" t="n">
        <v>30087.91</v>
      </c>
      <c r="G26" s="18" t="n">
        <v>30087.91</v>
      </c>
    </row>
    <row r="27">
      <c r="B27" s="8" t="inlineStr">
        <is>
          <t>Fire Protection &amp; Alarm</t>
        </is>
      </c>
      <c r="C27" s="18" t="n">
        <v>2346.02</v>
      </c>
      <c r="G27" s="18" t="n">
        <v>2346.02</v>
      </c>
    </row>
    <row r="28">
      <c r="B28" s="8" t="inlineStr">
        <is>
          <t>Exterior Façade / Building Skin</t>
        </is>
      </c>
      <c r="C28" s="18" t="n">
        <v>39682.49</v>
      </c>
      <c r="G28" s="18" t="n">
        <v>39682.49</v>
      </c>
    </row>
    <row r="29">
      <c r="B29" s="8" t="inlineStr">
        <is>
          <t>Doors &amp; Frames</t>
        </is>
      </c>
      <c r="C29" s="18" t="n">
        <v>27903.19</v>
      </c>
      <c r="G29" s="18" t="n">
        <v>27903.19</v>
      </c>
    </row>
    <row r="30">
      <c r="B30" s="8" t="inlineStr">
        <is>
          <t>Windows</t>
        </is>
      </c>
      <c r="C30" s="18" t="n">
        <v>23520.52</v>
      </c>
      <c r="G30" s="18" t="n">
        <v>23520.52</v>
      </c>
    </row>
    <row r="31">
      <c r="B31" s="8" t="inlineStr">
        <is>
          <t>Ceiling Systems</t>
        </is>
      </c>
      <c r="C31" s="18" t="n">
        <v>22580.13</v>
      </c>
      <c r="G31" s="18" t="n">
        <v>22580.13</v>
      </c>
    </row>
    <row r="32">
      <c r="B32" s="8" t="inlineStr">
        <is>
          <t>Interior Framing / Partitions</t>
        </is>
      </c>
      <c r="C32" s="18" t="n">
        <v>51098.22</v>
      </c>
      <c r="G32" s="18" t="n">
        <v>51098.22</v>
      </c>
    </row>
    <row r="33">
      <c r="B33" s="8" t="inlineStr">
        <is>
          <t>Painting</t>
        </is>
      </c>
      <c r="C33" s="18" t="n">
        <v>22218.44</v>
      </c>
      <c r="G33" s="18" t="n">
        <v>22218.44</v>
      </c>
    </row>
    <row r="34">
      <c r="B34" s="8" t="inlineStr">
        <is>
          <t>Gutter Systems</t>
        </is>
      </c>
      <c r="C34" s="18" t="n">
        <v>2432.62</v>
      </c>
      <c r="G34" s="18" t="n">
        <v>2432.62</v>
      </c>
    </row>
    <row r="35">
      <c r="B35" s="8" t="inlineStr">
        <is>
          <t>Structural Framing</t>
        </is>
      </c>
      <c r="C35" s="18" t="n">
        <v>54440.97</v>
      </c>
      <c r="G35" s="18" t="n">
        <v>54440.97</v>
      </c>
    </row>
    <row r="36">
      <c r="B36" s="8" t="inlineStr">
        <is>
          <t>Stairs / Balconies</t>
        </is>
      </c>
      <c r="C36" s="18" t="n">
        <v>9451.559999999999</v>
      </c>
      <c r="G36" s="18" t="n">
        <v>9451.559999999999</v>
      </c>
    </row>
    <row r="37">
      <c r="B37" s="8" t="inlineStr">
        <is>
          <t>Bathroom Accessories</t>
        </is>
      </c>
      <c r="C37" s="18" t="n">
        <v>4356.85</v>
      </c>
      <c r="G37" s="18" t="n">
        <v>4356.85</v>
      </c>
    </row>
    <row r="38">
      <c r="B38" s="8" t="inlineStr">
        <is>
          <t>Cabinets / Millwork - Restrooms</t>
        </is>
      </c>
      <c r="C38" s="18" t="n">
        <v>3401.39</v>
      </c>
      <c r="G38" s="18" t="n">
        <v>3401.39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#3 - Building</t>
        </is>
      </c>
      <c r="C42" s="18" t="n">
        <v>394367.34</v>
      </c>
      <c r="D42" s="18" t="n">
        <v>82043.63</v>
      </c>
      <c r="G42" s="18" t="n">
        <v>312323.71</v>
      </c>
    </row>
    <row r="43">
      <c r="B43" s="8" t="inlineStr">
        <is>
          <t>Asset #2 - Land Improvements</t>
        </is>
      </c>
      <c r="C43" s="18" t="n">
        <v>40404.35</v>
      </c>
      <c r="D43" s="18" t="n">
        <v>8405.66</v>
      </c>
      <c r="G43" s="18" t="n">
        <v>31998.69</v>
      </c>
    </row>
    <row r="44">
      <c r="B44" s="8" t="inlineStr">
        <is>
          <t>Asset #4 - Equipment</t>
        </is>
      </c>
      <c r="C44" s="18" t="n">
        <v>30052.82</v>
      </c>
      <c r="D44" s="18" t="n">
        <v>6252.15</v>
      </c>
      <c r="G44" s="18" t="n">
        <v>23800.67</v>
      </c>
    </row>
    <row r="45">
      <c r="A45" s="19" t="n"/>
      <c r="B45" s="20" t="inlineStr">
        <is>
          <t>Total Allocation:</t>
        </is>
      </c>
      <c r="C45" s="21">
        <f>SUM(C42:C44)</f>
        <v/>
      </c>
      <c r="D45" s="21">
        <f>SUM(D42:D44)</f>
        <v/>
      </c>
      <c r="E45" s="21">
        <f>SUM(E42:E44)</f>
        <v/>
      </c>
      <c r="F45" s="21">
        <f>SUM(F42:F44)</f>
        <v/>
      </c>
      <c r="G45" s="21">
        <f>SUM(G42:G44)</f>
        <v/>
      </c>
      <c r="H45" s="19" t="n"/>
      <c r="I45" s="19" t="n"/>
      <c r="J45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Building 5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Building 5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14397.17</v>
      </c>
      <c r="D11" s="18" t="n">
        <v>14397.17</v>
      </c>
    </row>
    <row r="12">
      <c r="B12" s="8" t="inlineStr">
        <is>
          <t>Moldings</t>
        </is>
      </c>
      <c r="C12" s="18" t="n">
        <v>9008.6</v>
      </c>
      <c r="D12" s="18" t="n">
        <v>9008.6</v>
      </c>
    </row>
    <row r="13">
      <c r="B13" s="8" t="inlineStr">
        <is>
          <t>Flooring - Vinyl Plank</t>
        </is>
      </c>
      <c r="C13" s="18" t="n">
        <v>35260.48</v>
      </c>
      <c r="D13" s="18" t="n">
        <v>35260.48</v>
      </c>
    </row>
    <row r="14">
      <c r="B14" s="8" t="inlineStr">
        <is>
          <t>Window Treatments</t>
        </is>
      </c>
      <c r="C14" s="18" t="n">
        <v>3082.53</v>
      </c>
      <c r="D14" s="18" t="n">
        <v>3082.53</v>
      </c>
    </row>
    <row r="15">
      <c r="B15" s="8" t="inlineStr">
        <is>
          <t>Building Signage</t>
        </is>
      </c>
      <c r="C15" s="18" t="n">
        <v>281.84</v>
      </c>
      <c r="D15" s="18" t="n">
        <v>281.84</v>
      </c>
    </row>
    <row r="16">
      <c r="B16" s="8" t="inlineStr">
        <is>
          <t>Specialty Electrical - Appliances</t>
        </is>
      </c>
      <c r="C16" s="18" t="n">
        <v>7199.04</v>
      </c>
      <c r="D16" s="18" t="n">
        <v>7199.04</v>
      </c>
    </row>
    <row r="17">
      <c r="B17" s="8" t="inlineStr">
        <is>
          <t>Communication / Data</t>
        </is>
      </c>
      <c r="C17" s="18" t="n">
        <v>3080.11</v>
      </c>
      <c r="D17" s="18" t="n">
        <v>3080.11</v>
      </c>
    </row>
    <row r="18">
      <c r="B18" s="8" t="inlineStr">
        <is>
          <t>Specialty Plumbing - Kitchen Sinks / Laundry</t>
        </is>
      </c>
      <c r="C18" s="18" t="n">
        <v>10047.72</v>
      </c>
      <c r="D18" s="18" t="n">
        <v>10047.72</v>
      </c>
    </row>
    <row r="19">
      <c r="B19" s="8" t="inlineStr">
        <is>
          <t>Security / Exterior Lighting</t>
        </is>
      </c>
      <c r="C19" s="18" t="n">
        <v>1797.27</v>
      </c>
      <c r="D19" s="18" t="n">
        <v>1797.27</v>
      </c>
    </row>
    <row r="20">
      <c r="B20" s="8" t="inlineStr">
        <is>
          <t>Appliances</t>
        </is>
      </c>
      <c r="C20" s="18" t="n">
        <v>12546.68</v>
      </c>
      <c r="D20" s="18" t="n">
        <v>12546.68</v>
      </c>
    </row>
    <row r="21">
      <c r="A21" s="5" t="n"/>
      <c r="B21" s="6" t="inlineStr">
        <is>
          <t>Building Structure</t>
        </is>
      </c>
    </row>
    <row r="22">
      <c r="B22" s="8" t="inlineStr">
        <is>
          <t>Roofing Systems</t>
        </is>
      </c>
      <c r="C22" s="18" t="n">
        <v>5968.07</v>
      </c>
      <c r="G22" s="18" t="n">
        <v>5968.07</v>
      </c>
    </row>
    <row r="23">
      <c r="B23" s="8" t="inlineStr">
        <is>
          <t>Foundations</t>
        </is>
      </c>
      <c r="C23" s="18" t="n">
        <v>24046.3</v>
      </c>
      <c r="G23" s="18" t="n">
        <v>24046.3</v>
      </c>
    </row>
    <row r="24">
      <c r="B24" s="8" t="inlineStr">
        <is>
          <t>HVAC</t>
        </is>
      </c>
      <c r="C24" s="18" t="n">
        <v>34611.87</v>
      </c>
      <c r="G24" s="18" t="n">
        <v>34611.87</v>
      </c>
    </row>
    <row r="25">
      <c r="B25" s="8" t="inlineStr">
        <is>
          <t>Electrical</t>
        </is>
      </c>
      <c r="C25" s="18" t="n">
        <v>37471.27</v>
      </c>
      <c r="G25" s="18" t="n">
        <v>37471.27</v>
      </c>
    </row>
    <row r="26">
      <c r="B26" s="8" t="inlineStr">
        <is>
          <t>Plumbing</t>
        </is>
      </c>
      <c r="C26" s="18" t="n">
        <v>30087.91</v>
      </c>
      <c r="G26" s="18" t="n">
        <v>30087.91</v>
      </c>
    </row>
    <row r="27">
      <c r="B27" s="8" t="inlineStr">
        <is>
          <t>Fire Protection &amp; Alarm</t>
        </is>
      </c>
      <c r="C27" s="18" t="n">
        <v>2346.02</v>
      </c>
      <c r="G27" s="18" t="n">
        <v>2346.02</v>
      </c>
    </row>
    <row r="28">
      <c r="B28" s="8" t="inlineStr">
        <is>
          <t>Exterior Façade / Building Skin</t>
        </is>
      </c>
      <c r="C28" s="18" t="n">
        <v>39682.49</v>
      </c>
      <c r="G28" s="18" t="n">
        <v>39682.49</v>
      </c>
    </row>
    <row r="29">
      <c r="B29" s="8" t="inlineStr">
        <is>
          <t>Doors &amp; Frames</t>
        </is>
      </c>
      <c r="C29" s="18" t="n">
        <v>27903.19</v>
      </c>
      <c r="G29" s="18" t="n">
        <v>27903.19</v>
      </c>
    </row>
    <row r="30">
      <c r="B30" s="8" t="inlineStr">
        <is>
          <t>Windows</t>
        </is>
      </c>
      <c r="C30" s="18" t="n">
        <v>23520.52</v>
      </c>
      <c r="G30" s="18" t="n">
        <v>23520.52</v>
      </c>
    </row>
    <row r="31">
      <c r="B31" s="8" t="inlineStr">
        <is>
          <t>Ceiling Systems</t>
        </is>
      </c>
      <c r="C31" s="18" t="n">
        <v>22580.13</v>
      </c>
      <c r="G31" s="18" t="n">
        <v>22580.13</v>
      </c>
    </row>
    <row r="32">
      <c r="B32" s="8" t="inlineStr">
        <is>
          <t>Interior Framing / Partitions</t>
        </is>
      </c>
      <c r="C32" s="18" t="n">
        <v>51098.22</v>
      </c>
      <c r="G32" s="18" t="n">
        <v>51098.22</v>
      </c>
    </row>
    <row r="33">
      <c r="B33" s="8" t="inlineStr">
        <is>
          <t>Painting</t>
        </is>
      </c>
      <c r="C33" s="18" t="n">
        <v>22218.44</v>
      </c>
      <c r="G33" s="18" t="n">
        <v>22218.44</v>
      </c>
    </row>
    <row r="34">
      <c r="B34" s="8" t="inlineStr">
        <is>
          <t>Gutter Systems</t>
        </is>
      </c>
      <c r="C34" s="18" t="n">
        <v>2432.62</v>
      </c>
      <c r="G34" s="18" t="n">
        <v>2432.62</v>
      </c>
    </row>
    <row r="35">
      <c r="B35" s="8" t="inlineStr">
        <is>
          <t>Structural Framing</t>
        </is>
      </c>
      <c r="C35" s="18" t="n">
        <v>54440.97</v>
      </c>
      <c r="G35" s="18" t="n">
        <v>54440.97</v>
      </c>
    </row>
    <row r="36">
      <c r="B36" s="8" t="inlineStr">
        <is>
          <t>Stairs / Balconies</t>
        </is>
      </c>
      <c r="C36" s="18" t="n">
        <v>9451.559999999999</v>
      </c>
      <c r="G36" s="18" t="n">
        <v>9451.559999999999</v>
      </c>
    </row>
    <row r="37">
      <c r="B37" s="8" t="inlineStr">
        <is>
          <t>Bathroom Accessories</t>
        </is>
      </c>
      <c r="C37" s="18" t="n">
        <v>4356.85</v>
      </c>
      <c r="G37" s="18" t="n">
        <v>4356.85</v>
      </c>
    </row>
    <row r="38">
      <c r="B38" s="8" t="inlineStr">
        <is>
          <t>Cabinets / Millwork - Restrooms</t>
        </is>
      </c>
      <c r="C38" s="18" t="n">
        <v>3401.39</v>
      </c>
      <c r="G38" s="18" t="n">
        <v>3401.39</v>
      </c>
    </row>
    <row r="39">
      <c r="A39" s="19" t="n"/>
      <c r="B39" s="20" t="inlineStr">
        <is>
          <t>Total Cost</t>
        </is>
      </c>
      <c r="C39" s="21">
        <f>SUM(C10:C38)</f>
        <v/>
      </c>
      <c r="D39" s="21">
        <f>SUM(D10:D38)</f>
        <v/>
      </c>
      <c r="E39" s="21">
        <f>SUM(E10:E38)</f>
        <v/>
      </c>
      <c r="F39" s="21">
        <f>SUM(F10:F38)</f>
        <v/>
      </c>
      <c r="G39" s="21">
        <f>SUM(G10:G38)</f>
        <v/>
      </c>
      <c r="H39" s="19" t="n"/>
      <c r="I39" s="19" t="n"/>
      <c r="J39" s="19" t="n"/>
    </row>
    <row r="41">
      <c r="A41" s="5" t="n"/>
      <c r="B41" s="6" t="inlineStr">
        <is>
          <t>Asset Allocation:</t>
        </is>
      </c>
    </row>
    <row r="42">
      <c r="B42" s="8" t="inlineStr">
        <is>
          <t>Asset #3 - Building</t>
        </is>
      </c>
      <c r="C42" s="18" t="n">
        <v>401672.53</v>
      </c>
      <c r="D42" s="18" t="n">
        <v>82043.63</v>
      </c>
      <c r="G42" s="18" t="n">
        <v>319628.9</v>
      </c>
    </row>
    <row r="43">
      <c r="B43" s="8" t="inlineStr">
        <is>
          <t>Asset #2 - Land Improvements</t>
        </is>
      </c>
      <c r="C43" s="18" t="n">
        <v>41152.79</v>
      </c>
      <c r="D43" s="18" t="n">
        <v>8405.66</v>
      </c>
      <c r="G43" s="18" t="n">
        <v>32747.13</v>
      </c>
    </row>
    <row r="44">
      <c r="B44" s="8" t="inlineStr">
        <is>
          <t>Asset #4 - Equipment</t>
        </is>
      </c>
      <c r="C44" s="18" t="n">
        <v>30609.52</v>
      </c>
      <c r="D44" s="18" t="n">
        <v>6252.15</v>
      </c>
      <c r="G44" s="18" t="n">
        <v>24357.37</v>
      </c>
    </row>
    <row r="45">
      <c r="A45" s="19" t="n"/>
      <c r="B45" s="20" t="inlineStr">
        <is>
          <t>Total Allocation:</t>
        </is>
      </c>
      <c r="C45" s="21">
        <f>SUM(C42:C44)</f>
        <v/>
      </c>
      <c r="D45" s="21">
        <f>SUM(D42:D44)</f>
        <v/>
      </c>
      <c r="E45" s="21">
        <f>SUM(E42:E44)</f>
        <v/>
      </c>
      <c r="F45" s="21">
        <f>SUM(F42:F44)</f>
        <v/>
      </c>
      <c r="G45" s="21">
        <f>SUM(G42:G44)</f>
        <v/>
      </c>
      <c r="H45" s="19" t="n"/>
      <c r="I45" s="19" t="n"/>
      <c r="J45" s="19" t="n"/>
    </row>
  </sheetData>
  <mergeCells count="7">
    <mergeCell ref="A8:J8"/>
    <mergeCell ref="B10:J10"/>
    <mergeCell ref="A3:J3"/>
    <mergeCell ref="B41:J41"/>
    <mergeCell ref="A4:J4"/>
    <mergeCell ref="A2:J2"/>
    <mergeCell ref="B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Office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Office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Cabinets / Millwork</t>
        </is>
      </c>
      <c r="C11" s="18" t="n">
        <v>303.64</v>
      </c>
      <c r="D11" s="18" t="n">
        <v>303.64</v>
      </c>
    </row>
    <row r="12">
      <c r="B12" s="8" t="inlineStr">
        <is>
          <t>Moldings</t>
        </is>
      </c>
      <c r="C12" s="18" t="n">
        <v>2289.4</v>
      </c>
      <c r="D12" s="18" t="n">
        <v>2289.4</v>
      </c>
    </row>
    <row r="13">
      <c r="B13" s="8" t="inlineStr">
        <is>
          <t>Flooring - Vinyl Plank</t>
        </is>
      </c>
      <c r="C13" s="18" t="n">
        <v>16164.52</v>
      </c>
      <c r="D13" s="18" t="n">
        <v>16164.52</v>
      </c>
    </row>
    <row r="14">
      <c r="B14" s="8" t="inlineStr">
        <is>
          <t>Window Treatments</t>
        </is>
      </c>
      <c r="C14" s="18" t="n">
        <v>1679.16</v>
      </c>
      <c r="D14" s="18" t="n">
        <v>1679.16</v>
      </c>
    </row>
    <row r="15">
      <c r="B15" s="8" t="inlineStr">
        <is>
          <t>Specialty HVAC - Dryer Vents</t>
        </is>
      </c>
      <c r="C15" s="18" t="n">
        <v>230.59</v>
      </c>
      <c r="D15" s="18" t="n">
        <v>230.59</v>
      </c>
    </row>
    <row r="16">
      <c r="B16" s="8" t="inlineStr">
        <is>
          <t>Specialty Electrical - Appliances</t>
        </is>
      </c>
      <c r="C16" s="18" t="n">
        <v>1250.74</v>
      </c>
      <c r="D16" s="18" t="n">
        <v>1250.74</v>
      </c>
    </row>
    <row r="17">
      <c r="B17" s="8" t="inlineStr">
        <is>
          <t>Communication / Data</t>
        </is>
      </c>
      <c r="C17" s="18" t="n">
        <v>5275.08</v>
      </c>
      <c r="D17" s="18" t="n">
        <v>5275.08</v>
      </c>
    </row>
    <row r="18">
      <c r="B18" s="8" t="inlineStr">
        <is>
          <t>Specialty Plumbing - Laundry</t>
        </is>
      </c>
      <c r="C18" s="18" t="n">
        <v>962.76</v>
      </c>
      <c r="D18" s="18" t="n">
        <v>962.76</v>
      </c>
    </row>
    <row r="19">
      <c r="B19" s="8" t="inlineStr">
        <is>
          <t>Security / Exterior Lighting</t>
        </is>
      </c>
      <c r="C19" s="18" t="n">
        <v>645.41</v>
      </c>
      <c r="D19" s="18" t="n">
        <v>645.41</v>
      </c>
    </row>
    <row r="20">
      <c r="B20" s="8" t="inlineStr">
        <is>
          <t>Interior Windows</t>
        </is>
      </c>
      <c r="C20" s="18" t="n">
        <v>99.90000000000001</v>
      </c>
      <c r="D20" s="18" t="n">
        <v>99.90000000000001</v>
      </c>
    </row>
    <row r="21">
      <c r="B21" s="8" t="inlineStr">
        <is>
          <t>Mailboxes</t>
        </is>
      </c>
      <c r="C21" s="18" t="n">
        <v>45.48</v>
      </c>
      <c r="D21" s="18" t="n">
        <v>45.48</v>
      </c>
    </row>
    <row r="22">
      <c r="B22" s="8" t="inlineStr">
        <is>
          <t>Appliances</t>
        </is>
      </c>
      <c r="C22" s="18" t="n">
        <v>3308.54</v>
      </c>
      <c r="D22" s="18" t="n">
        <v>3308.54</v>
      </c>
    </row>
    <row r="23">
      <c r="A23" s="5" t="n"/>
      <c r="B23" s="6" t="inlineStr">
        <is>
          <t>Building Structure</t>
        </is>
      </c>
    </row>
    <row r="24">
      <c r="B24" s="8" t="inlineStr">
        <is>
          <t>Roofing Systems</t>
        </is>
      </c>
      <c r="C24" s="18" t="n">
        <v>11830.03</v>
      </c>
      <c r="G24" s="18" t="n">
        <v>11830.03</v>
      </c>
    </row>
    <row r="25">
      <c r="B25" s="8" t="inlineStr">
        <is>
          <t>Foundations</t>
        </is>
      </c>
      <c r="C25" s="18" t="n">
        <v>21317.77</v>
      </c>
      <c r="G25" s="18" t="n">
        <v>21317.77</v>
      </c>
    </row>
    <row r="26">
      <c r="B26" s="8" t="inlineStr">
        <is>
          <t>HVAC</t>
        </is>
      </c>
      <c r="C26" s="18" t="n">
        <v>15636.59</v>
      </c>
      <c r="G26" s="18" t="n">
        <v>15636.59</v>
      </c>
    </row>
    <row r="27">
      <c r="B27" s="8" t="inlineStr">
        <is>
          <t>Electrical</t>
        </is>
      </c>
      <c r="C27" s="18" t="n">
        <v>15927.28</v>
      </c>
      <c r="G27" s="18" t="n">
        <v>15927.28</v>
      </c>
    </row>
    <row r="28">
      <c r="B28" s="8" t="inlineStr">
        <is>
          <t>Plumbing</t>
        </is>
      </c>
      <c r="C28" s="18" t="n">
        <v>12830.5</v>
      </c>
      <c r="G28" s="18" t="n">
        <v>12830.5</v>
      </c>
    </row>
    <row r="29">
      <c r="B29" s="8" t="inlineStr">
        <is>
          <t>Fire Protection &amp; Alarm</t>
        </is>
      </c>
      <c r="C29" s="18" t="n">
        <v>1203.33</v>
      </c>
      <c r="G29" s="18" t="n">
        <v>1203.33</v>
      </c>
    </row>
    <row r="30">
      <c r="B30" s="8" t="inlineStr">
        <is>
          <t>Exterior Façade / Building Skin</t>
        </is>
      </c>
      <c r="C30" s="18" t="n">
        <v>14199.52</v>
      </c>
      <c r="G30" s="18" t="n">
        <v>14199.52</v>
      </c>
    </row>
    <row r="31">
      <c r="B31" s="8" t="inlineStr">
        <is>
          <t>Doors &amp; Frames</t>
        </is>
      </c>
      <c r="C31" s="18" t="n">
        <v>12025.08</v>
      </c>
      <c r="G31" s="18" t="n">
        <v>12025.08</v>
      </c>
    </row>
    <row r="32">
      <c r="B32" s="8" t="inlineStr">
        <is>
          <t>Windows</t>
        </is>
      </c>
      <c r="C32" s="18" t="n">
        <v>7729.84</v>
      </c>
      <c r="G32" s="18" t="n">
        <v>7729.84</v>
      </c>
    </row>
    <row r="33">
      <c r="B33" s="8" t="inlineStr">
        <is>
          <t>Ceiling Systems</t>
        </is>
      </c>
      <c r="C33" s="18" t="n">
        <v>9261.75</v>
      </c>
      <c r="G33" s="18" t="n">
        <v>9261.75</v>
      </c>
    </row>
    <row r="34">
      <c r="B34" s="8" t="inlineStr">
        <is>
          <t>Interior Framing / Partitions</t>
        </is>
      </c>
      <c r="C34" s="18" t="n">
        <v>20618.7</v>
      </c>
      <c r="G34" s="18" t="n">
        <v>20618.7</v>
      </c>
    </row>
    <row r="35">
      <c r="B35" s="8" t="inlineStr">
        <is>
          <t>Painting</t>
        </is>
      </c>
      <c r="C35" s="18" t="n">
        <v>8726.93</v>
      </c>
      <c r="G35" s="18" t="n">
        <v>8726.93</v>
      </c>
    </row>
    <row r="36">
      <c r="B36" s="8" t="inlineStr">
        <is>
          <t>Gutter Systems</t>
        </is>
      </c>
      <c r="C36" s="18" t="n">
        <v>952.55</v>
      </c>
      <c r="G36" s="18" t="n">
        <v>952.55</v>
      </c>
    </row>
    <row r="37">
      <c r="B37" s="8" t="inlineStr">
        <is>
          <t>Structural Framing</t>
        </is>
      </c>
      <c r="C37" s="18" t="n">
        <v>27066.57</v>
      </c>
      <c r="G37" s="18" t="n">
        <v>27066.57</v>
      </c>
    </row>
    <row r="38">
      <c r="B38" s="8" t="inlineStr">
        <is>
          <t>Bathroom Accessories</t>
        </is>
      </c>
      <c r="C38" s="18" t="n">
        <v>3020.87</v>
      </c>
      <c r="G38" s="18" t="n">
        <v>3020.87</v>
      </c>
    </row>
    <row r="39">
      <c r="B39" s="8" t="inlineStr">
        <is>
          <t>Ceramic Tile Flooring</t>
        </is>
      </c>
      <c r="C39" s="18" t="n">
        <v>515.99</v>
      </c>
      <c r="G39" s="18" t="n">
        <v>515.99</v>
      </c>
    </row>
    <row r="40">
      <c r="A40" s="19" t="n"/>
      <c r="B40" s="20" t="inlineStr">
        <is>
          <t>Total Cost</t>
        </is>
      </c>
      <c r="C40" s="21">
        <f>SUM(C10:C39)</f>
        <v/>
      </c>
      <c r="D40" s="21">
        <f>SUM(D10:D39)</f>
        <v/>
      </c>
      <c r="E40" s="21">
        <f>SUM(E10:E39)</f>
        <v/>
      </c>
      <c r="F40" s="21">
        <f>SUM(F10:F39)</f>
        <v/>
      </c>
      <c r="G40" s="21">
        <f>SUM(G10:G39)</f>
        <v/>
      </c>
      <c r="H40" s="19" t="n"/>
      <c r="I40" s="19" t="n"/>
      <c r="J40" s="19" t="n"/>
    </row>
    <row r="42">
      <c r="A42" s="5" t="n"/>
      <c r="B42" s="6" t="inlineStr">
        <is>
          <t>Asset Allocation:</t>
        </is>
      </c>
    </row>
    <row r="43">
      <c r="B43" s="8" t="inlineStr">
        <is>
          <t>Asset #3 - Building</t>
        </is>
      </c>
      <c r="C43" s="18" t="n">
        <v>173535.93</v>
      </c>
      <c r="D43" s="18" t="n">
        <v>27366.04</v>
      </c>
      <c r="G43" s="18" t="n">
        <v>146169.89</v>
      </c>
    </row>
    <row r="44">
      <c r="B44" s="8" t="inlineStr">
        <is>
          <t>Asset #2 - Land Improvements</t>
        </is>
      </c>
      <c r="C44" s="18" t="n">
        <v>17779.38</v>
      </c>
      <c r="D44" s="18" t="n">
        <v>2803.75</v>
      </c>
      <c r="G44" s="18" t="n">
        <v>14975.63</v>
      </c>
    </row>
    <row r="45">
      <c r="B45" s="8" t="inlineStr">
        <is>
          <t>Asset #4 - Equipment</t>
        </is>
      </c>
      <c r="C45" s="18" t="n">
        <v>13224.33</v>
      </c>
      <c r="D45" s="18" t="n">
        <v>2085.43</v>
      </c>
      <c r="G45" s="18" t="n">
        <v>11138.9</v>
      </c>
    </row>
    <row r="46">
      <c r="A46" s="19" t="n"/>
      <c r="B46" s="20" t="inlineStr">
        <is>
          <t>Total Allocation:</t>
        </is>
      </c>
      <c r="C46" s="21">
        <f>SUM(C43:C45)</f>
        <v/>
      </c>
      <c r="D46" s="21">
        <f>SUM(D43:D45)</f>
        <v/>
      </c>
      <c r="E46" s="21">
        <f>SUM(E43:E45)</f>
        <v/>
      </c>
      <c r="F46" s="21">
        <f>SUM(F43:F45)</f>
        <v/>
      </c>
      <c r="G46" s="21">
        <f>SUM(G43:G45)</f>
        <v/>
      </c>
      <c r="H46" s="19" t="n"/>
      <c r="I46" s="19" t="n"/>
      <c r="J46" s="19" t="n"/>
    </row>
  </sheetData>
  <mergeCells count="7">
    <mergeCell ref="A8:J8"/>
    <mergeCell ref="B10:J10"/>
    <mergeCell ref="B42:J42"/>
    <mergeCell ref="A3:J3"/>
    <mergeCell ref="B23:J23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2">
      <c r="A2" s="13" t="inlineStr">
        <is>
          <t>Grove Park Terrace</t>
        </is>
      </c>
    </row>
    <row r="3">
      <c r="A3" s="2" t="inlineStr">
        <is>
          <t>Cost Segregation Study - Asset 8</t>
        </is>
      </c>
    </row>
    <row r="4">
      <c r="A4" s="3" t="inlineStr">
        <is>
          <t>Report #107752-14</t>
        </is>
      </c>
    </row>
    <row r="6">
      <c r="B6" s="14" t="inlineStr">
        <is>
          <t>Acquisition Date:</t>
        </is>
      </c>
      <c r="C6" s="8" t="inlineStr">
        <is>
          <t>5/23/25</t>
        </is>
      </c>
    </row>
    <row r="8">
      <c r="A8" s="15" t="inlineStr">
        <is>
          <t>Grove Park Terrace - Asset 8</t>
        </is>
      </c>
    </row>
    <row r="9">
      <c r="A9" s="16" t="inlineStr"/>
      <c r="B9" s="16" t="inlineStr">
        <is>
          <t>Property Category</t>
        </is>
      </c>
      <c r="C9" s="17" t="inlineStr">
        <is>
          <t>Cost</t>
        </is>
      </c>
      <c r="D9" s="17" t="inlineStr">
        <is>
          <t>5 Year</t>
        </is>
      </c>
      <c r="E9" s="17" t="inlineStr">
        <is>
          <t>7 Year</t>
        </is>
      </c>
      <c r="F9" s="17" t="inlineStr">
        <is>
          <t>15 Year</t>
        </is>
      </c>
      <c r="G9" s="17" t="inlineStr">
        <is>
          <t>27.5 Year</t>
        </is>
      </c>
      <c r="H9" s="17" t="inlineStr">
        <is>
          <t>15 yr QIP</t>
        </is>
      </c>
    </row>
    <row r="10">
      <c r="A10" s="5" t="n"/>
      <c r="B10" s="6" t="inlineStr">
        <is>
          <t>Building Components</t>
        </is>
      </c>
    </row>
    <row r="11">
      <c r="B11" s="8" t="inlineStr">
        <is>
          <t>Window Treatments</t>
        </is>
      </c>
      <c r="C11" s="18" t="n">
        <v>23596</v>
      </c>
      <c r="D11" s="18" t="n">
        <v>23596</v>
      </c>
    </row>
    <row r="12">
      <c r="A12" s="5" t="n"/>
      <c r="B12" s="6" t="inlineStr">
        <is>
          <t>Building Structure</t>
        </is>
      </c>
    </row>
    <row r="13">
      <c r="B13" s="8" t="inlineStr">
        <is>
          <t>Miscellaneous Building Components</t>
        </is>
      </c>
      <c r="C13" s="18" t="n">
        <v>62751</v>
      </c>
      <c r="G13" s="18" t="n">
        <v>62751</v>
      </c>
    </row>
    <row r="14">
      <c r="A14" s="19" t="n"/>
      <c r="B14" s="20" t="inlineStr">
        <is>
          <t>Total Cost</t>
        </is>
      </c>
      <c r="C14" s="21">
        <f>SUM(C10:C13)</f>
        <v/>
      </c>
      <c r="D14" s="21">
        <f>SUM(D10:D13)</f>
        <v/>
      </c>
      <c r="E14" s="21">
        <f>SUM(E10:E13)</f>
        <v/>
      </c>
      <c r="F14" s="21">
        <f>SUM(F10:F13)</f>
        <v/>
      </c>
      <c r="G14" s="21">
        <f>SUM(G10:G13)</f>
        <v/>
      </c>
      <c r="H14" s="19" t="n"/>
      <c r="I14" s="19" t="n"/>
      <c r="J14" s="19" t="n"/>
    </row>
    <row r="16">
      <c r="A16" s="5" t="n"/>
      <c r="B16" s="6" t="inlineStr">
        <is>
          <t>Asset Allocation:</t>
        </is>
      </c>
    </row>
    <row r="17">
      <c r="B17" s="8" t="inlineStr">
        <is>
          <t>Asset #8 - Building Improvement</t>
        </is>
      </c>
      <c r="C17" s="18" t="n">
        <v>86347</v>
      </c>
      <c r="D17" s="18" t="n">
        <v>23596</v>
      </c>
      <c r="G17" s="18" t="n">
        <v>62751</v>
      </c>
    </row>
    <row r="18">
      <c r="A18" s="19" t="n"/>
      <c r="B18" s="20" t="inlineStr">
        <is>
          <t>Total Allocation:</t>
        </is>
      </c>
      <c r="C18" s="21">
        <f>SUM(C17:C17)</f>
        <v/>
      </c>
      <c r="D18" s="21">
        <f>SUM(D17:D17)</f>
        <v/>
      </c>
      <c r="E18" s="21">
        <f>SUM(E17:E17)</f>
        <v/>
      </c>
      <c r="F18" s="21">
        <f>SUM(F17:F17)</f>
        <v/>
      </c>
      <c r="G18" s="21">
        <f>SUM(G17:G17)</f>
        <v/>
      </c>
      <c r="H18" s="19" t="n"/>
      <c r="I18" s="19" t="n"/>
      <c r="J18" s="19" t="n"/>
    </row>
  </sheetData>
  <mergeCells count="7">
    <mergeCell ref="A8:J8"/>
    <mergeCell ref="B10:J10"/>
    <mergeCell ref="A3:J3"/>
    <mergeCell ref="A4:J4"/>
    <mergeCell ref="A2:J2"/>
    <mergeCell ref="B12:J12"/>
    <mergeCell ref="B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2026-07-08T22:05:11Z</dcterms:created>
  <dcterms:modified xmlns:dcterms="http://purl.org/dc/terms/" xmlns:xsi="http://www.w3.org/2001/XMLSchema-instance" xsi:type="dcterms:W3CDTF">2026-07-08T22:05:11Z</dcterms:modified>
</cp:coreProperties>
</file>