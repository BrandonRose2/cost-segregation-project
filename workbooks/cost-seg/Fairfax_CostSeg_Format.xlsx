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ild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<sst xmlns="http://schemas.openxmlformats.org/spreadsheetml/2006/main" count="73" uniqueCount="69">
  <si>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 xml:space="preserve">Fairfax Senior Apartments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</si>
  <si>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</si>
  <si>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</si>
  <si>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</si>
  <si>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</si>
  <si>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</si>
  <si>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Building</t>
  </si>
  <si>
    <t xml:space="preserve">Grand Total</t>
  </si>
  <si>
    <t xml:space="preserve">Property Cost Summary</t>
  </si>
  <si>
    <t xml:space="preserve">3/24/26</t>
  </si>
  <si>
    <t xml:space="preserve">Cost Segregation Study - Fairfax Senior Apartments</t>
  </si>
  <si>
    <t xml:space="preserve">Report #107752-35</t>
  </si>
  <si>
    <t xml:space="preserve">Acquisition Date:</t>
  </si>
  <si>
    <t xml:space="preserve">Fairfax Senior Apartments - Fairfax Senior Apartments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</si>
  <si>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</si>
  <si>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</si>
  <si>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</si>
  <si>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</si>
  <si>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</si>
  <si>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</si>
  <si>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</si>
  <si>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Building Components</t>
  </si>
  <si>
    <t xml:space="preserve">Cabinets / Millwork</t>
  </si>
  <si>
    <t xml:space="preserve">Moldings</t>
  </si>
  <si>
    <t xml:space="preserve">Wood Flooring</t>
  </si>
  <si>
    <t xml:space="preserve">Wall Coverings</t>
  </si>
  <si>
    <t xml:space="preserve">Security System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</si>
  <si>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</si>
  <si>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</si>
  <si>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</si>
  <si>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</si>
  <si>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</si>
  <si>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 / Laundry</t>
  </si>
  <si>
    <t xml:space="preserve">Security / Exterior Lighting</t>
  </si>
  <si>
    <t xml:space="preserve">Access Control</t>
  </si>
  <si>
    <t xml:space="preserve">Interior Windows</t>
  </si>
  <si>
    <t xml:space="preserve">Mailboxes</t>
  </si>
  <si>
    <t xml:space="preserve">Site Work / Improvements</t>
  </si>
  <si>
    <t xml:space="preserve">Driveways &amp; Paved Areas</t>
  </si>
  <si>
    <t xml:space="preserve">Exterior Signage</t>
  </si>
  <si>
    <t xml:space="preserve">Landscaping</t>
  </si>
  <si>
    <t xml:space="preserve">Security Lighting Poles</t>
  </si>
  <si>
    <t xml:space="preserve">Exterior Fencing</t>
  </si>
  <si>
    <t xml:space="preserve">Exterior Equipment Concrete Pads</t>
  </si>
  <si>
    <t xml:space="preserve">Mailbox Canopy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</si>
  <si>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</si>
  <si>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</si>
  <si>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</si>
  <si>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</si>
  <si>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</si>
  <si>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</si>
  <si>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</si>
  <si>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</si>
  <si>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</si>
  <si>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</si>
  <si>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</si>
  <si>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</si>
  <si>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</si>
  <si>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</si>
  <si>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</si>
  <si>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Bathroom Accessories</t>
  </si>
  <si>
    <t xml:space="preserve">Ceramic Tile Flooring</t>
  </si>
  <si>
    <t xml:space="preserve">Total Cost</t>
  </si>
  <si>
    <t xml:space="preserve">Asset Allocation:</t>
  </si>
  <si>
    <t xml:space="preserve">Asset #17 - Building &amp; Improvements</t>
  </si>
  <si>
    <t xml:space="preserve">Asset #21 - Building Step Up 754</t>
  </si>
  <si>
    <t xml:space="preserve">Asset #22 - Building Improvement 754</t>
  </si>
  <si>
    <t xml:space="preserve">Asset #24 - Appliances &amp; Equipment Stepup</t>
  </si>
  <si>
    <t xml:space="preserve">Total Allocation: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</si>
</sst>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7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A7" s="5"/>
      <c r="B7" s="6" t="s">
        <v>8</v>
      </c>
      <c r="C7" s="6"/>
      <c r="D7" s="6"/>
      <c r="E7" s="6"/>
      <c r="F7" s="6"/>
    </row>
    <row r="8" customFormat="false" ht="15" hidden="false" customHeight="false" outlineLevel="0" collapsed="false">
      <c r="B8" s="7" t="s">
        <v>9</v>
      </c>
      <c r="C8" s="8" t="s">
        <v>6</v>
      </c>
      <c r="D8" s="9" t="n">
        <v>824840</v>
      </c>
      <c r="E8" s="9" t="n">
        <v>163089.67</v>
      </c>
      <c r="F8" s="9" t="n">
        <v>20065.85</v>
      </c>
      <c r="G8" s="9" t="n">
        <v>641684.48</v>
      </c>
    </row>
    <row r="9" customFormat="false" ht="15" hidden="false" customHeight="false" outlineLevel="0" collapsed="false">
      <c r="A9" s="10"/>
      <c r="B9" s="11" t="s">
        <v>7</v>
      </c>
      <c r="C9" s="10"/>
      <c r="D9" s="12" t="n">
        <f aca="false">SUM(D8:D8)</f>
        <v>824840</v>
      </c>
      <c r="E9" s="12" t="n">
        <f aca="false">SUM(E8:E8)</f>
        <v>163089.67</v>
      </c>
      <c r="F9" s="12" t="n">
        <f aca="false">SUM(F8:F8)</f>
        <v>20065.85</v>
      </c>
      <c r="G9" s="13" t="n">
        <f aca="false">SUM(G8:G8)</f>
        <v>641684.48</v>
      </c>
    </row>
  </sheetData>
  <mergeCells count="4">
    <mergeCell ref="A2:F2"/>
    <mergeCell ref="A3:F3"/>
    <mergeCell ref="A4:F4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15" hidden="false" customHeight="false" outlineLevel="0" collapsed="false">
      <c r="A3" s="2" t="s">
        <v>10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11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5" t="s">
        <v>12</v>
      </c>
      <c r="C6" s="8" t="s">
        <v>9</v>
      </c>
    </row>
    <row r="8" customFormat="false" ht="15" hidden="false" customHeight="false" outlineLevel="0" collapsed="false">
      <c r="A8" s="16" t="s">
        <v>13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14</v>
      </c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18" t="s">
        <v>20</v>
      </c>
    </row>
    <row r="10" customFormat="false" ht="15" hidden="false" customHeight="false" outlineLevel="0" collapsed="false">
      <c r="A10" s="5"/>
      <c r="B10" s="6" t="s">
        <v>21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22</v>
      </c>
      <c r="C11" s="19" t="n">
        <v>28850.51</v>
      </c>
      <c r="D11" s="19" t="n">
        <v>28850.51</v>
      </c>
    </row>
    <row r="12" customFormat="false" ht="15" hidden="false" customHeight="false" outlineLevel="0" collapsed="false">
      <c r="B12" s="8" t="s">
        <v>23</v>
      </c>
      <c r="C12" s="19" t="n">
        <v>10378.63</v>
      </c>
      <c r="D12" s="19" t="n">
        <v>10378.63</v>
      </c>
    </row>
    <row r="13" customFormat="false" ht="15" hidden="false" customHeight="false" outlineLevel="0" collapsed="false">
      <c r="B13" s="8" t="s">
        <v>24</v>
      </c>
      <c r="C13" s="19" t="n">
        <v>61366.84</v>
      </c>
      <c r="D13" s="19" t="n">
        <v>61366.84</v>
      </c>
    </row>
    <row r="14" customFormat="false" ht="15" hidden="false" customHeight="false" outlineLevel="0" collapsed="false">
      <c r="B14" s="8" t="s">
        <v>25</v>
      </c>
      <c r="C14" s="19" t="n">
        <v>2705.2</v>
      </c>
      <c r="D14" s="19" t="n">
        <v>2705.2</v>
      </c>
    </row>
    <row r="15" customFormat="false" ht="15" hidden="false" customHeight="false" outlineLevel="0" collapsed="false">
      <c r="B15" s="8" t="s">
        <v>26</v>
      </c>
      <c r="C15" s="19" t="n">
        <v>1047.7</v>
      </c>
      <c r="D15" s="19" t="n">
        <v>1047.7</v>
      </c>
    </row>
    <row r="16" customFormat="false" ht="15" hidden="false" customHeight="false" outlineLevel="0" collapsed="false">
      <c r="B16" s="8" t="s">
        <v>27</v>
      </c>
      <c r="C16" s="19" t="n">
        <v>4835.55</v>
      </c>
      <c r="D16" s="19" t="n">
        <v>4835.55</v>
      </c>
    </row>
    <row r="17" customFormat="false" ht="15" hidden="false" customHeight="false" outlineLevel="0" collapsed="false">
      <c r="B17" s="8" t="s">
        <v>28</v>
      </c>
      <c r="C17" s="19" t="n">
        <v>101.65</v>
      </c>
      <c r="D17" s="19" t="n">
        <v>101.65</v>
      </c>
    </row>
    <row r="18" customFormat="false" ht="15" hidden="false" customHeight="false" outlineLevel="0" collapsed="false">
      <c r="B18" s="8" t="s">
        <v>29</v>
      </c>
      <c r="C18" s="19" t="n">
        <v>667.13</v>
      </c>
      <c r="D18" s="19" t="n">
        <v>667.13</v>
      </c>
    </row>
    <row r="19" customFormat="false" ht="15" hidden="false" customHeight="false" outlineLevel="0" collapsed="false">
      <c r="B19" s="8" t="s">
        <v>30</v>
      </c>
      <c r="C19" s="19" t="n">
        <v>10926.3</v>
      </c>
      <c r="D19" s="19" t="n">
        <v>10926.3</v>
      </c>
    </row>
    <row r="20" customFormat="false" ht="15" hidden="false" customHeight="false" outlineLevel="0" collapsed="false">
      <c r="B20" s="8" t="s">
        <v>31</v>
      </c>
      <c r="C20" s="19" t="n">
        <v>5431.06</v>
      </c>
      <c r="D20" s="19" t="n">
        <v>5431.06</v>
      </c>
    </row>
    <row r="21" customFormat="false" ht="15" hidden="false" customHeight="false" outlineLevel="0" collapsed="false">
      <c r="B21" s="8" t="s">
        <v>32</v>
      </c>
      <c r="C21" s="19" t="n">
        <v>17560.96</v>
      </c>
      <c r="D21" s="19" t="n">
        <v>17560.96</v>
      </c>
    </row>
    <row r="22" customFormat="false" ht="15" hidden="false" customHeight="false" outlineLevel="0" collapsed="false">
      <c r="B22" s="8" t="s">
        <v>33</v>
      </c>
      <c r="C22" s="19" t="n">
        <v>242.58</v>
      </c>
      <c r="D22" s="19" t="n">
        <v>242.58</v>
      </c>
    </row>
    <row r="23" customFormat="false" ht="15" hidden="false" customHeight="false" outlineLevel="0" collapsed="false">
      <c r="B23" s="8" t="s">
        <v>34</v>
      </c>
      <c r="C23" s="19" t="n">
        <v>506.41</v>
      </c>
      <c r="D23" s="19" t="n">
        <v>506.41</v>
      </c>
    </row>
    <row r="24" customFormat="false" ht="15" hidden="false" customHeight="false" outlineLevel="0" collapsed="false">
      <c r="B24" s="8" t="s">
        <v>35</v>
      </c>
      <c r="C24" s="19" t="n">
        <v>611.85</v>
      </c>
      <c r="D24" s="19" t="n">
        <v>611.85</v>
      </c>
    </row>
    <row r="25" customFormat="false" ht="15" hidden="false" customHeight="false" outlineLevel="0" collapsed="false">
      <c r="B25" s="8" t="s">
        <v>36</v>
      </c>
      <c r="C25" s="19" t="n">
        <v>2856.3</v>
      </c>
      <c r="D25" s="19" t="n">
        <v>2856.3</v>
      </c>
    </row>
    <row r="26" customFormat="false" ht="15" hidden="false" customHeight="false" outlineLevel="0" collapsed="false">
      <c r="A26" s="5"/>
      <c r="B26" s="6" t="s">
        <v>37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B27" s="8" t="s">
        <v>38</v>
      </c>
      <c r="C27" s="19" t="n">
        <v>5351.04</v>
      </c>
      <c r="F27" s="19" t="n">
        <v>5351.04</v>
      </c>
    </row>
    <row r="28" customFormat="false" ht="15" hidden="false" customHeight="false" outlineLevel="0" collapsed="false">
      <c r="B28" s="8" t="s">
        <v>39</v>
      </c>
      <c r="C28" s="19" t="n">
        <v>1124.67</v>
      </c>
      <c r="F28" s="19" t="n">
        <v>1124.67</v>
      </c>
    </row>
    <row r="29" customFormat="false" ht="15" hidden="false" customHeight="false" outlineLevel="0" collapsed="false">
      <c r="B29" s="8" t="s">
        <v>40</v>
      </c>
      <c r="C29" s="19" t="n">
        <v>2400</v>
      </c>
      <c r="F29" s="19" t="n">
        <v>2400</v>
      </c>
    </row>
    <row r="30" customFormat="false" ht="15" hidden="false" customHeight="false" outlineLevel="0" collapsed="false">
      <c r="B30" s="8" t="s">
        <v>41</v>
      </c>
      <c r="C30" s="19" t="n">
        <v>2000</v>
      </c>
      <c r="F30" s="19" t="n">
        <v>2000</v>
      </c>
    </row>
    <row r="31" customFormat="false" ht="15" hidden="false" customHeight="false" outlineLevel="0" collapsed="false">
      <c r="B31" s="8" t="s">
        <v>42</v>
      </c>
      <c r="C31" s="19" t="n">
        <v>3000</v>
      </c>
      <c r="F31" s="19" t="n">
        <v>3000</v>
      </c>
    </row>
    <row r="32" customFormat="false" ht="15" hidden="false" customHeight="false" outlineLevel="0" collapsed="false">
      <c r="B32" s="8" t="s">
        <v>43</v>
      </c>
      <c r="C32" s="19" t="n">
        <v>1190.14</v>
      </c>
      <c r="F32" s="19" t="n">
        <v>1190.14</v>
      </c>
    </row>
    <row r="33" customFormat="false" ht="15" hidden="false" customHeight="false" outlineLevel="0" collapsed="false">
      <c r="B33" s="8" t="s">
        <v>44</v>
      </c>
      <c r="C33" s="19" t="n">
        <v>1000</v>
      </c>
      <c r="F33" s="19" t="n">
        <v>1000</v>
      </c>
    </row>
    <row r="34" customFormat="false" ht="15" hidden="false" customHeight="false" outlineLevel="0" collapsed="false">
      <c r="A34" s="5"/>
      <c r="B34" s="6" t="s">
        <v>45</v>
      </c>
      <c r="C34" s="6"/>
      <c r="D34" s="6"/>
      <c r="E34" s="6"/>
      <c r="F34" s="6"/>
      <c r="G34" s="6"/>
      <c r="H34" s="6"/>
      <c r="I34" s="6"/>
      <c r="J34" s="6"/>
    </row>
    <row r="35" customFormat="false" ht="15" hidden="false" customHeight="false" outlineLevel="0" collapsed="false">
      <c r="B35" s="8" t="s">
        <v>46</v>
      </c>
      <c r="C35" s="19" t="n">
        <v>35000</v>
      </c>
      <c r="G35" s="19" t="n">
        <v>35000</v>
      </c>
    </row>
    <row r="36" customFormat="false" ht="15" hidden="false" customHeight="false" outlineLevel="0" collapsed="false">
      <c r="B36" s="8" t="s">
        <v>47</v>
      </c>
      <c r="C36" s="19" t="n">
        <v>55000</v>
      </c>
      <c r="G36" s="19" t="n">
        <v>55000</v>
      </c>
    </row>
    <row r="37" customFormat="false" ht="15" hidden="false" customHeight="false" outlineLevel="0" collapsed="false">
      <c r="B37" s="8" t="s">
        <v>48</v>
      </c>
      <c r="C37" s="19" t="n">
        <v>62000</v>
      </c>
      <c r="G37" s="19" t="n">
        <v>62000</v>
      </c>
    </row>
    <row r="38" customFormat="false" ht="15" hidden="false" customHeight="false" outlineLevel="0" collapsed="false">
      <c r="B38" s="8" t="s">
        <v>49</v>
      </c>
      <c r="C38" s="19" t="n">
        <v>58000</v>
      </c>
      <c r="G38" s="19" t="n">
        <v>58000</v>
      </c>
    </row>
    <row r="39" customFormat="false" ht="15" hidden="false" customHeight="false" outlineLevel="0" collapsed="false">
      <c r="B39" s="8" t="s">
        <v>50</v>
      </c>
      <c r="C39" s="19" t="n">
        <v>50000</v>
      </c>
      <c r="G39" s="19" t="n">
        <v>50000</v>
      </c>
    </row>
    <row r="40" customFormat="false" ht="15" hidden="false" customHeight="false" outlineLevel="0" collapsed="false">
      <c r="B40" s="8" t="s">
        <v>51</v>
      </c>
      <c r="C40" s="19" t="n">
        <v>3000</v>
      </c>
      <c r="G40" s="19" t="n">
        <v>3000</v>
      </c>
    </row>
    <row r="41" customFormat="false" ht="15" hidden="false" customHeight="false" outlineLevel="0" collapsed="false">
      <c r="B41" s="8" t="s">
        <v>52</v>
      </c>
      <c r="C41" s="19" t="n">
        <v>45000</v>
      </c>
      <c r="G41" s="19" t="n">
        <v>45000</v>
      </c>
    </row>
    <row r="42" customFormat="false" ht="15" hidden="false" customHeight="false" outlineLevel="0" collapsed="false">
      <c r="B42" s="8" t="s">
        <v>53</v>
      </c>
      <c r="C42" s="19" t="n">
        <v>42000</v>
      </c>
      <c r="G42" s="19" t="n">
        <v>42000</v>
      </c>
    </row>
    <row r="43" customFormat="false" ht="15" hidden="false" customHeight="false" outlineLevel="0" collapsed="false">
      <c r="B43" s="8" t="s">
        <v>54</v>
      </c>
      <c r="C43" s="19" t="n">
        <v>38000</v>
      </c>
      <c r="G43" s="19" t="n">
        <v>38000</v>
      </c>
    </row>
    <row r="44" customFormat="false" ht="15" hidden="false" customHeight="false" outlineLevel="0" collapsed="false">
      <c r="B44" s="8" t="s">
        <v>55</v>
      </c>
      <c r="C44" s="19" t="n">
        <v>35000</v>
      </c>
      <c r="G44" s="19" t="n">
        <v>35000</v>
      </c>
    </row>
    <row r="45" customFormat="false" ht="15" hidden="false" customHeight="false" outlineLevel="0" collapsed="false">
      <c r="B45" s="8" t="s">
        <v>56</v>
      </c>
      <c r="C45" s="19" t="n">
        <v>85000</v>
      </c>
      <c r="G45" s="19" t="n">
        <v>85000</v>
      </c>
    </row>
    <row r="46" customFormat="false" ht="15" hidden="false" customHeight="false" outlineLevel="0" collapsed="false">
      <c r="B46" s="8" t="s">
        <v>57</v>
      </c>
      <c r="C46" s="19" t="n">
        <v>40000</v>
      </c>
      <c r="G46" s="19" t="n">
        <v>40000</v>
      </c>
    </row>
    <row r="47" customFormat="false" ht="15" hidden="false" customHeight="false" outlineLevel="0" collapsed="false">
      <c r="B47" s="8" t="s">
        <v>58</v>
      </c>
      <c r="C47" s="19" t="n">
        <v>3000</v>
      </c>
      <c r="G47" s="19" t="n">
        <v>3000</v>
      </c>
    </row>
    <row r="48" customFormat="false" ht="15" hidden="false" customHeight="false" outlineLevel="0" collapsed="false">
      <c r="B48" s="8" t="s">
        <v>59</v>
      </c>
      <c r="C48" s="19" t="n">
        <v>98684.48</v>
      </c>
      <c r="G48" s="19" t="n">
        <v>98684.48</v>
      </c>
    </row>
    <row r="49" customFormat="false" ht="15" hidden="false" customHeight="false" outlineLevel="0" collapsed="false">
      <c r="B49" s="8" t="s">
        <v>60</v>
      </c>
      <c r="C49" s="19" t="n">
        <v>12000</v>
      </c>
      <c r="G49" s="19" t="n">
        <v>12000</v>
      </c>
    </row>
    <row r="50" customFormat="false" ht="15" hidden="false" customHeight="false" outlineLevel="0" collapsed="false">
      <c r="B50" s="8" t="s">
        <v>61</v>
      </c>
      <c r="C50" s="19" t="n">
        <v>8000</v>
      </c>
      <c r="G50" s="19" t="n">
        <v>8000</v>
      </c>
    </row>
    <row r="51" customFormat="false" ht="15" hidden="false" customHeight="false" outlineLevel="0" collapsed="false">
      <c r="A51" s="20"/>
      <c r="B51" s="21" t="s">
        <v>62</v>
      </c>
      <c r="C51" s="22" t="n">
        <f aca="false">SUM(C10:C50)</f>
        <v>833839</v>
      </c>
      <c r="D51" s="22" t="n">
        <f aca="false">SUM(D10:D50)</f>
        <v>148088.67</v>
      </c>
      <c r="E51" s="22" t="n">
        <f aca="false">SUM(E10:E50)</f>
        <v>0</v>
      </c>
      <c r="F51" s="22" t="n">
        <f aca="false">SUM(F10:F50)</f>
        <v>16065.85</v>
      </c>
      <c r="G51" s="22" t="n">
        <f aca="false">SUM(G10:G50)</f>
        <v>669684.48</v>
      </c>
      <c r="H51" s="20"/>
      <c r="I51" s="20"/>
      <c r="J51" s="20"/>
    </row>
    <row r="53" customFormat="false" ht="15" hidden="false" customHeight="false" outlineLevel="0" collapsed="false">
      <c r="A53" s="5"/>
      <c r="B53" s="6" t="s">
        <v>63</v>
      </c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B54" s="8" t="s">
        <v>64</v>
      </c>
      <c r="C54" s="19" t="n">
        <v>23000</v>
      </c>
      <c r="D54" s="19" t="n">
        <v>4419.59</v>
      </c>
      <c r="E54" s="19" t="n">
        <v>563.4</v>
      </c>
      <c r="G54" s="19" t="n">
        <v>18017.01</v>
      </c>
    </row>
    <row r="55" customFormat="false" ht="15" hidden="false" customHeight="false" outlineLevel="0" collapsed="false">
      <c r="B55" s="8" t="s">
        <v>65</v>
      </c>
      <c r="C55" s="19" t="n">
        <v>726135</v>
      </c>
      <c r="D55" s="19" t="n">
        <v>139531.13</v>
      </c>
      <c r="E55" s="19" t="n">
        <v>17787.23</v>
      </c>
      <c r="G55" s="19" t="n">
        <v>568816.64</v>
      </c>
    </row>
    <row r="56" customFormat="false" ht="15" hidden="false" customHeight="false" outlineLevel="0" collapsed="false">
      <c r="B56" s="8" t="s">
        <v>66</v>
      </c>
      <c r="C56" s="19" t="n">
        <v>70021</v>
      </c>
      <c r="D56" s="19" t="n">
        <v>13454.95</v>
      </c>
      <c r="E56" s="19" t="n">
        <v>1715.22</v>
      </c>
      <c r="G56" s="19" t="n">
        <v>54850.83</v>
      </c>
    </row>
    <row r="57" customFormat="false" ht="15" hidden="false" customHeight="false" outlineLevel="0" collapsed="false">
      <c r="B57" s="8" t="s">
        <v>67</v>
      </c>
      <c r="C57" s="19" t="n">
        <v>5684</v>
      </c>
      <c r="D57" s="19" t="n">
        <v>5684</v>
      </c>
    </row>
    <row r="58" customFormat="false" ht="15" hidden="false" customHeight="false" outlineLevel="0" collapsed="false">
      <c r="A58" s="20"/>
      <c r="B58" s="21" t="s">
        <v>68</v>
      </c>
      <c r="C58" s="22" t="n">
        <f aca="false">SUM(C54:C57)</f>
        <v>824840</v>
      </c>
      <c r="D58" s="22" t="n">
        <f aca="false">SUM(D54:D57)</f>
        <v>163089.67</v>
      </c>
      <c r="E58" s="22" t="n">
        <f aca="false">SUM(E54:E57)</f>
        <v>20065.85</v>
      </c>
      <c r="F58" s="22" t="n">
        <f aca="false">SUM(F54:F57)</f>
        <v>0</v>
      </c>
      <c r="G58" s="22" t="n">
        <f aca="false">SUM(G54:G57)</f>
        <v>641684.48</v>
      </c>
      <c r="H58" s="20"/>
      <c r="I58" s="20"/>
      <c r="J58" s="20"/>
    </row>
  </sheetData>
  <mergeCells count="8">
    <mergeCell ref="A2:J2"/>
    <mergeCell ref="A3:J3"/>
    <mergeCell ref="A4:J4"/>
    <mergeCell ref="A8:J8"/>
    <mergeCell ref="B10:J10"/>
    <mergeCell ref="B26:J26"/>
    <mergeCell ref="B34:J34"/>
    <mergeCell ref="B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2026-07-08T22:05:12Z</dcterms:created>
  <dc:creator>openpyxl</dc:creator>
  <dc:description/>
  <dc:language>en-US</dc:language>
  <cp:lastModifiedBy/>
  <dcterms:modified xsi:type="dcterms:W3CDTF">2026-07-08T22:05:12Z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