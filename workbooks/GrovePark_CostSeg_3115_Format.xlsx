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Office" sheetId="3" state="visible" r:id="rId5"/>
    <sheet name="Building 1" sheetId="4" state="visible" r:id="rId6"/>
    <sheet name="Building 2" sheetId="5" state="visible" r:id="rId7"/>
    <sheet name="Building 3" sheetId="6" state="visible" r:id="rId8"/>
    <sheet name="Building 4" sheetId="7" state="visible" r:id="rId9"/>
    <sheet name="Building 5" sheetId="8" state="visible" r:id="rId10"/>
    <sheet name="Imp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<sst xmlns="http://schemas.openxmlformats.org/spreadsheetml/2006/main" count="1659" uniqueCount="204">
  <si>
    <t xml:space="preserve">Grove Park Housing, LP</t>
  </si>
  <si>
    <t xml:space="preserve">Grove Park — 400 Peters St, Waxahachie, TX 75165</t>
  </si>
  <si>
    <t xml:space="preserve">EIN: 85-1924921    ·    FYE: December 31, 2024    ·    Year of Change: 1/1/2024</t>
  </si>
  <si>
    <t xml:space="preserve">Summary of Cost Segregation Adjustments — CSSI Report #107752-14 (CAM — DCN #7)</t>
  </si>
  <si>
    <t xml:space="preserve">Acq Date</t>
  </si>
  <si>
    <t xml:space="preserve">Asset Description</t>
  </si>
  <si>
    <t xml:space="preserve">Total</t>
  </si>
  <si>
    <t xml:space="preserve">Site</t>
  </si>
  <si>
    <t xml:space="preserve">Office</t>
  </si>
  <si>
    <t xml:space="preserve">Building 1</t>
  </si>
  <si>
    <t xml:space="preserve">Building 2</t>
  </si>
  <si>
    <t xml:space="preserve">Building 3</t>
  </si>
  <si>
    <t xml:space="preserve">Building 4</t>
  </si>
  <si>
    <t xml:space="preserve">Building 5</t>
  </si>
  <si>
    <t xml:space="preserve">Imp</t>
  </si>
  <si>
    <t xml:space="preserve">10/30/20</t>
  </si>
  <si>
    <t xml:space="preserve">2 - Land Imp - Peter St - Site</t>
  </si>
  <si>
    <t xml:space="preserve">3 - Building - Peter St - Site</t>
  </si>
  <si>
    <t xml:space="preserve">4 - Equipment - Peter St - Site</t>
  </si>
  <si>
    <t xml:space="preserve">2 - Land Imp - Peter St - Office</t>
  </si>
  <si>
    <t xml:space="preserve">3 - Building - Peter St - Office</t>
  </si>
  <si>
    <t xml:space="preserve">4 - Equipment - Peter St - Office</t>
  </si>
  <si>
    <t xml:space="preserve">2 - Land Imp - Peter St - 1</t>
  </si>
  <si>
    <t xml:space="preserve">3 - Building - Peter St - 1</t>
  </si>
  <si>
    <t xml:space="preserve">4 - Equipment - Peter St - 1</t>
  </si>
  <si>
    <t xml:space="preserve">2 - Land Imp - Peter St - 2</t>
  </si>
  <si>
    <t xml:space="preserve">3 - Building - Peter St - 2</t>
  </si>
  <si>
    <t xml:space="preserve">4 - Equipment - Peter St - 2</t>
  </si>
  <si>
    <t xml:space="preserve">2 - Land Imp - Peter St - 3</t>
  </si>
  <si>
    <t xml:space="preserve">3 - Building - Peter St - 3</t>
  </si>
  <si>
    <t xml:space="preserve">4 - Equipment - Peter St - 3</t>
  </si>
  <si>
    <t xml:space="preserve">2 - Land Imp - Peter St - 4</t>
  </si>
  <si>
    <t xml:space="preserve">3 - Building - Peter St - 4</t>
  </si>
  <si>
    <t xml:space="preserve">4 - Equipment - Peter St - 4</t>
  </si>
  <si>
    <t xml:space="preserve">2 - Land Imp - Peter St - 5</t>
  </si>
  <si>
    <t xml:space="preserve">3 - Building - Peter St - 5</t>
  </si>
  <si>
    <t xml:space="preserve">4 - Equipment - Peter St - 5</t>
  </si>
  <si>
    <t xml:space="preserve">7/01/21</t>
  </si>
  <si>
    <t xml:space="preserve">8 - Building Improvement - Peter St</t>
  </si>
  <si>
    <t xml:space="preserve">Grand Total</t>
  </si>
  <si>
    <t xml:space="preserve">MACRS Reclassification</t>
  </si>
  <si>
    <t xml:space="preserve">2 - Land Imp - Peter St - Site - 15yr</t>
  </si>
  <si>
    <t xml:space="preserve">2 - Land Imp - Peter St - Site - 27.5yr</t>
  </si>
  <si>
    <t xml:space="preserve">3 - Building - Peter St - Site - 15yr</t>
  </si>
  <si>
    <t xml:space="preserve">3 - Building - Peter St - Site - 27.5yr</t>
  </si>
  <si>
    <t xml:space="preserve">4 - Equipment - Peter St - Site - 15yr</t>
  </si>
  <si>
    <t xml:space="preserve">4 - Equipment - Peter St - Site - 27.5yr</t>
  </si>
  <si>
    <t xml:space="preserve">2 - Land Imp - Peter St - Office - 5yr</t>
  </si>
  <si>
    <t xml:space="preserve">2 - Land Imp - Peter St - Office - 27.5yr</t>
  </si>
  <si>
    <t xml:space="preserve">3 - Building - Peter St - Office - 5yr</t>
  </si>
  <si>
    <t xml:space="preserve">3 - Building - Peter St - Office - 27.5yr</t>
  </si>
  <si>
    <t xml:space="preserve">4 - Equipment - Peter St - Office - 5yr</t>
  </si>
  <si>
    <t xml:space="preserve">4 - Equipment - Peter St - Office - 27.5yr</t>
  </si>
  <si>
    <t xml:space="preserve">2 - Land Imp - Peter St - 1 - 5yr</t>
  </si>
  <si>
    <t xml:space="preserve">2 - Land Imp - Peter St - 1 - 27.5yr</t>
  </si>
  <si>
    <t xml:space="preserve">3 - Building - Peter St - 1 - 5yr</t>
  </si>
  <si>
    <t xml:space="preserve">3 - Building - Peter St - 1 - 27.5yr</t>
  </si>
  <si>
    <t xml:space="preserve">4 - Equipment - Peter St - 1 - 5yr</t>
  </si>
  <si>
    <t xml:space="preserve">4 - Equipment - Peter St - 1 - 27.5yr</t>
  </si>
  <si>
    <t xml:space="preserve">2 - Land Imp - Peter St - 2 - 5yr</t>
  </si>
  <si>
    <t xml:space="preserve">2 - Land Imp - Peter St - 2 - 27.5yr</t>
  </si>
  <si>
    <t xml:space="preserve">3 - Building - Peter St - 2 - 5yr</t>
  </si>
  <si>
    <t xml:space="preserve">3 - Building - Peter St - 2 - 27.5yr</t>
  </si>
  <si>
    <t xml:space="preserve">4 - Equipment - Peter St - 2 - 5yr</t>
  </si>
  <si>
    <t xml:space="preserve">4 - Equipment - Peter St - 2 - 27.5yr</t>
  </si>
  <si>
    <t xml:space="preserve">2 - Land Imp - Peter St - 3 - 5yr</t>
  </si>
  <si>
    <t xml:space="preserve">2 - Land Imp - Peter St - 3 - 27.5yr</t>
  </si>
  <si>
    <t xml:space="preserve">3 - Building - Peter St - 3 - 5yr</t>
  </si>
  <si>
    <t xml:space="preserve">3 - Building - Peter St - 3 - 27.5yr</t>
  </si>
  <si>
    <t xml:space="preserve">4 - Equipment - Peter St - 3 - 5yr</t>
  </si>
  <si>
    <t xml:space="preserve">4 - Equipment - Peter St - 3 - 27.5yr</t>
  </si>
  <si>
    <t xml:space="preserve">2 - Land Imp - Peter St - 4 - 5yr</t>
  </si>
  <si>
    <t xml:space="preserve">2 - Land Imp - Peter St - 4 - 27.5yr</t>
  </si>
  <si>
    <t xml:space="preserve">3 - Building - Peter St - 4 - 5yr</t>
  </si>
  <si>
    <t xml:space="preserve">3 - Building - Peter St - 4 - 27.5yr</t>
  </si>
  <si>
    <t xml:space="preserve">4 - Equipment - Peter St - 4 - 5yr</t>
  </si>
  <si>
    <t xml:space="preserve">4 - Equipment - Peter St - 4 - 27.5yr</t>
  </si>
  <si>
    <t xml:space="preserve">2 - Land Imp - Peter St - 5 - 5yr</t>
  </si>
  <si>
    <t xml:space="preserve">2 - Land Imp - Peter St - 5 - 27.5yr</t>
  </si>
  <si>
    <t xml:space="preserve">3 - Building - Peter St - 5 - 5yr</t>
  </si>
  <si>
    <t xml:space="preserve">3 - Building - Peter St - 5 - 27.5yr</t>
  </si>
  <si>
    <t xml:space="preserve">4 - Equipment - Peter St - 5 - 5yr</t>
  </si>
  <si>
    <t xml:space="preserve">4 - Equipment - Peter St - 5 - 27.5yr</t>
  </si>
  <si>
    <t xml:space="preserve">8 - Building Improvement - Peter St - 5yr</t>
  </si>
  <si>
    <t xml:space="preserve">8 - Building Improvement - Peter St - 27.5yr</t>
  </si>
  <si>
    <t xml:space="preserve">Total MACRS Reclassification</t>
  </si>
  <si>
    <t xml:space="preserve">Difference (should be zero)</t>
  </si>
  <si>
    <t xml:space="preserve">End Depreciation Reconciliation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</si>
  <si>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</si>
  <si>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</si>
  <si>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</si>
  <si>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Check vs. unit-tab 481(a) cells (should be zero)</t>
  </si>
  <si>
    <t xml:space="preserve">Notes</t>
  </si>
  <si>
    <t xml:space="preserve">1. Total footed §481(a) adjustment across all units: -257,873.54 (Regular Tax; AMT equals Regular Tax on every unit in this report).</t>
  </si>
  <si>
    <t xml:space="preserve">2. The Form 3115 face page states a tax year of change beginning 1/1/2025, while the attached statements and all 481(a) schedules use a year of change beginning 1/1/2024 (FYE 12/31/2024). Confirm the intended year of change with the preparer before filing.</t>
  </si>
  <si>
    <t xml:space="preserve">3. All End Depreciation, Net Book Value, totals, and 481(a) cells are live formulas; asset-level inputs are transcribed from the CSSI PDF. The Difference and Check rows must remain zero after any edit.</t>
  </si>
  <si>
    <t xml:space="preserve">Site — Attachment to Form 3115 (DCN #7, Rev. Proc. 2024-23 §6.01)</t>
  </si>
  <si>
    <t xml:space="preserve">Source: CSSI Report #107752-14, "#107752-14_Grove Park Housing LP - 3115 - combined R1.pdf"</t>
  </si>
  <si>
    <t xml:space="preserve">CALCULATION OF §481(a) ADJUSTMENT — REGULAR TAX</t>
  </si>
  <si>
    <t xml:space="preserve">As Previously Filed</t>
  </si>
  <si>
    <t xml:space="preserve">Asset</t>
  </si>
  <si>
    <t xml:space="preserve">Property Description</t>
  </si>
  <si>
    <t xml:space="preserve">Date In Service</t>
  </si>
  <si>
    <t xml:space="preserve">Cost</t>
  </si>
  <si>
    <t xml:space="preserve">Sec 179 Exp</t>
  </si>
  <si>
    <t xml:space="preserve">Bonus Amt</t>
  </si>
  <si>
    <t xml:space="preserve">Tax Prior Depreciation</t>
  </si>
  <si>
    <t xml:space="preserve">Tax Current Depreciation</t>
  </si>
  <si>
    <t xml:space="preserve">End Depreciation</t>
  </si>
  <si>
    <t xml:space="preserve">Net Book Value</t>
  </si>
  <si>
    <t xml:space="preserve">Method</t>
  </si>
  <si>
    <t xml:space="preserve">Period</t>
  </si>
  <si>
    <t xml:space="preserve">150DB</t>
  </si>
  <si>
    <t xml:space="preserve">15.0</t>
  </si>
  <si>
    <t xml:space="preserve">S/L</t>
  </si>
  <si>
    <t xml:space="preserve">27.5</t>
  </si>
  <si>
    <t xml:space="preserve">200DB</t>
  </si>
  <si>
    <t xml:space="preserve">5.0</t>
  </si>
  <si>
    <t xml:space="preserve">After Cost Segregation Correction</t>
  </si>
  <si>
    <t xml:space="preserve">Section 481(a) Adjustment — Regular Tax</t>
  </si>
  <si>
    <t xml:space="preserve">Depreciation reported previously</t>
  </si>
  <si>
    <t xml:space="preserve">Cost Segregation Corrected Depreciation</t>
  </si>
  <si>
    <t xml:space="preserve">CALCULATION OF §481(a) ADJUSTMENT — AMT</t>
  </si>
  <si>
    <t xml:space="preserve">As Previously Filed — AMT</t>
  </si>
  <si>
    <t xml:space="preserve">AMT Prior Depreciation</t>
  </si>
  <si>
    <t xml:space="preserve">AMT Current Depreciation</t>
  </si>
  <si>
    <t xml:space="preserve">After Cost Segregation Correction — AMT</t>
  </si>
  <si>
    <t xml:space="preserve">Section 481(a) Adjustment — AMT</t>
  </si>
  <si>
    <t xml:space="preserve">COST SEGREGATION STUDY — COST SUMMARY</t>
  </si>
  <si>
    <t xml:space="preserve">Total Site Cost</t>
  </si>
  <si>
    <t xml:space="preserve">Site Improvements: 15 Year</t>
  </si>
  <si>
    <t xml:space="preserve">% of Cost</t>
  </si>
  <si>
    <t xml:space="preserve">Site Utilities: 27.5 Year</t>
  </si>
  <si>
    <t xml:space="preserve">COST SEGREGATION STUDY — COST DETAIL</t>
  </si>
  <si>
    <t xml:space="preserve">Property Category</t>
  </si>
  <si>
    <t xml:space="preserve">15 Year</t>
  </si>
  <si>
    <t xml:space="preserve">27.5 Year</t>
  </si>
  <si>
    <t xml:space="preserve">Site Work / Improvements</t>
  </si>
  <si>
    <t xml:space="preserve">Site Drainage</t>
  </si>
  <si>
    <t xml:space="preserve">Parking Lot</t>
  </si>
  <si>
    <t xml:space="preserve">Exterior Signage</t>
  </si>
  <si>
    <t xml:space="preserve">Parking Lot Striping / Barriers</t>
  </si>
  <si>
    <t xml:space="preserve">Sidewalks / Curbs</t>
  </si>
  <si>
    <t xml:space="preserve">Landscaping</t>
  </si>
  <si>
    <t xml:space="preserve">Security Lighting Poles</t>
  </si>
  <si>
    <t xml:space="preserve">Exterior Fencing</t>
  </si>
  <si>
    <t xml:space="preserve">Fire Hydrants</t>
  </si>
  <si>
    <t xml:space="preserve">Exterior Equipment Concrete Pads</t>
  </si>
  <si>
    <t xml:space="preserve">Mailboxes</t>
  </si>
  <si>
    <t xml:space="preserve">Mailbox Canopy</t>
  </si>
  <si>
    <t xml:space="preserve">Playground</t>
  </si>
  <si>
    <t xml:space="preserve">Basketball Court</t>
  </si>
  <si>
    <t xml:space="preserve">Site Seating</t>
  </si>
  <si>
    <t xml:space="preserve">Site Utilities</t>
  </si>
  <si>
    <t xml:space="preserve">ASSET ALLOCATION (per After Cost Segregation schedule)</t>
  </si>
  <si>
    <t xml:space="preserve">Asset (as reclassified)</t>
  </si>
  <si>
    <t xml:space="preserve">Total Allocation</t>
  </si>
  <si>
    <t xml:space="preserve">Check: Allocation vs. Cost Detail (should be zero)</t>
  </si>
  <si>
    <t xml:space="preserve">Office — Attachment to Form 3115 (DCN #7, Rev. Proc. 2024-23 §6.01)</t>
  </si>
  <si>
    <t xml:space="preserve">Total Building Cost</t>
  </si>
  <si>
    <t xml:space="preserve">Building Components: 5 Year</t>
  </si>
  <si>
    <t xml:space="preserve">Building Structure: 27.5 Year</t>
  </si>
  <si>
    <t xml:space="preserve">5 Year</t>
  </si>
  <si>
    <t xml:space="preserve">Building Components</t>
  </si>
  <si>
    <t xml:space="preserve">Cabinets / Millwork</t>
  </si>
  <si>
    <t xml:space="preserve">Moldings</t>
  </si>
  <si>
    <t xml:space="preserve">Flooring - Vinyl Plank</t>
  </si>
  <si>
    <t xml:space="preserve">Window Treatments</t>
  </si>
  <si>
    <t xml:space="preserve">Specialty HVAC - Dryer Vents</t>
  </si>
  <si>
    <t xml:space="preserve">Specialty Electrical - Appliances</t>
  </si>
  <si>
    <t xml:space="preserve">Communication / Data</t>
  </si>
  <si>
    <t xml:space="preserve">Specialty Plumbing - Laundry</t>
  </si>
  <si>
    <t xml:space="preserve">Security / Exterior Lighting</t>
  </si>
  <si>
    <t xml:space="preserve">Interior Windows</t>
  </si>
  <si>
    <t xml:space="preserve">Appliances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</si>
  <si>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</si>
  <si>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</si>
  <si>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</si>
  <si>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</si>
  <si>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</si>
  <si>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</si>
  <si>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</si>
  <si>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</si>
  <si>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</si>
  <si>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</si>
  <si>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</si>
  <si>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</si>
  <si>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</si>
  <si>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</si>
  <si>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Emergency Lighting</t>
  </si>
  <si>
    <t xml:space="preserve">Structural Framing</t>
  </si>
  <si>
    <t xml:space="preserve">Stairs / Balconies</t>
  </si>
  <si>
    <t xml:space="preserve">Flooring - Sealed Concrete</t>
  </si>
  <si>
    <t xml:space="preserve">Bathroom Accessories</t>
  </si>
  <si>
    <t xml:space="preserve">Building 1 — Attachment to Form 3115 (DCN #7, Rev. Proc. 2024-23 §6.01)</t>
  </si>
  <si>
    <t xml:space="preserve">Building Signage</t>
  </si>
  <si>
    <t xml:space="preserve">Specialty Plumbing - Kitchen Sinks / Laundry</t>
  </si>
  <si>
    <t xml:space="preserve">Cabinets / Millwork - Restrooms</t>
  </si>
  <si>
    <t xml:space="preserve">Building 2 — Attachment to Form 3115 (DCN #7, Rev. Proc. 2024-23 §6.01)</t>
  </si>
  <si>
    <t xml:space="preserve">Building 3 — Attachment to Form 3115 (DCN #7, Rev. Proc. 2024-23 §6.01)</t>
  </si>
  <si>
    <t xml:space="preserve">Building 4 — Attachment to Form 3115 (DCN #7, Rev. Proc. 2024-23 §6.01)</t>
  </si>
  <si>
    <t xml:space="preserve">Building 5 — Attachment to Form 3115 (DCN #7, Rev. Proc. 2024-23 §6.01)</t>
  </si>
  <si>
    <t xml:space="preserve">Imp — Attachment to Form 3115 (DCN #7, Rev. Proc. 2024-23 §6.01)</t>
  </si>
  <si>
    <t xml:space="preserve">Miscellaneous Building Components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</si>
</sst>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"/>
    <numFmt numFmtId="166" formatCode="#,##0.00;\(#,##0.00\)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2"/>
        <bgColor rgb="FFF2F2F2"/>
      </patternFill>
    </fill>
    <fill>
      <patternFill patternType="solid">
        <fgColor rgb="FFFCE4C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double"/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double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C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11" min="4" style="0" width="12.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7" customFormat="false" ht="15" hidden="false" customHeight="fals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</row>
    <row r="8" customFormat="false" ht="15" hidden="false" customHeight="false" outlineLevel="0" collapsed="false">
      <c r="A8" s="5" t="s">
        <v>15</v>
      </c>
      <c r="B8" s="5" t="s">
        <v>16</v>
      </c>
      <c r="C8" s="6" t="n">
        <f aca="false">SUM(D8:K8)</f>
        <v>27390.6</v>
      </c>
      <c r="D8" s="6" t="n">
        <f aca="false">Site!$D$10</f>
        <v>27390.6</v>
      </c>
      <c r="E8" s="6"/>
      <c r="F8" s="6"/>
      <c r="G8" s="6"/>
      <c r="H8" s="6"/>
      <c r="I8" s="6"/>
      <c r="J8" s="6"/>
      <c r="K8" s="6"/>
    </row>
    <row r="9" customFormat="false" ht="15" hidden="false" customHeight="false" outlineLevel="0" collapsed="false">
      <c r="A9" s="5" t="s">
        <v>15</v>
      </c>
      <c r="B9" s="5" t="s">
        <v>17</v>
      </c>
      <c r="C9" s="6" t="n">
        <f aca="false">SUM(D9:K9)</f>
        <v>267346.37</v>
      </c>
      <c r="D9" s="6" t="n">
        <f aca="false">Site!$D$11</f>
        <v>267346.37</v>
      </c>
      <c r="E9" s="6"/>
      <c r="F9" s="6"/>
      <c r="G9" s="6"/>
      <c r="H9" s="6"/>
      <c r="I9" s="6"/>
      <c r="J9" s="6"/>
      <c r="K9" s="6"/>
    </row>
    <row r="10" customFormat="false" ht="15" hidden="false" customHeight="false" outlineLevel="0" collapsed="false">
      <c r="A10" s="5" t="s">
        <v>15</v>
      </c>
      <c r="B10" s="5" t="s">
        <v>18</v>
      </c>
      <c r="C10" s="6" t="n">
        <f aca="false">SUM(D10:K10)</f>
        <v>20373.17</v>
      </c>
      <c r="D10" s="6" t="n">
        <f aca="false">Site!$D$12</f>
        <v>20373.17</v>
      </c>
      <c r="E10" s="6"/>
      <c r="F10" s="6"/>
      <c r="G10" s="6"/>
      <c r="H10" s="6"/>
      <c r="I10" s="6"/>
      <c r="J10" s="6"/>
      <c r="K10" s="6"/>
    </row>
    <row r="11" customFormat="false" ht="15" hidden="false" customHeight="false" outlineLevel="0" collapsed="false">
      <c r="A11" s="5" t="s">
        <v>15</v>
      </c>
      <c r="B11" s="5" t="s">
        <v>19</v>
      </c>
      <c r="C11" s="6" t="n">
        <f aca="false">SUM(D11:K11)</f>
        <v>17779.38</v>
      </c>
      <c r="D11" s="6"/>
      <c r="E11" s="6" t="n">
        <f aca="false">Office!$D$10</f>
        <v>17779.38</v>
      </c>
      <c r="F11" s="6"/>
      <c r="G11" s="6"/>
      <c r="H11" s="6"/>
      <c r="I11" s="6"/>
      <c r="J11" s="6"/>
      <c r="K11" s="6"/>
    </row>
    <row r="12" customFormat="false" ht="15" hidden="false" customHeight="false" outlineLevel="0" collapsed="false">
      <c r="A12" s="5" t="s">
        <v>15</v>
      </c>
      <c r="B12" s="5" t="s">
        <v>20</v>
      </c>
      <c r="C12" s="6" t="n">
        <f aca="false">SUM(D12:K12)</f>
        <v>173535.93</v>
      </c>
      <c r="D12" s="6"/>
      <c r="E12" s="6" t="n">
        <f aca="false">Office!$D$11</f>
        <v>173535.93</v>
      </c>
      <c r="F12" s="6"/>
      <c r="G12" s="6"/>
      <c r="H12" s="6"/>
      <c r="I12" s="6"/>
      <c r="J12" s="6"/>
      <c r="K12" s="6"/>
    </row>
    <row r="13" customFormat="false" ht="15" hidden="false" customHeight="false" outlineLevel="0" collapsed="false">
      <c r="A13" s="5" t="s">
        <v>15</v>
      </c>
      <c r="B13" s="5" t="s">
        <v>21</v>
      </c>
      <c r="C13" s="6" t="n">
        <f aca="false">SUM(D13:K13)</f>
        <v>13224.33</v>
      </c>
      <c r="D13" s="6"/>
      <c r="E13" s="6" t="n">
        <f aca="false">Office!$D$12</f>
        <v>13224.33</v>
      </c>
      <c r="F13" s="6"/>
      <c r="G13" s="6"/>
      <c r="H13" s="6"/>
      <c r="I13" s="6"/>
      <c r="J13" s="6"/>
      <c r="K13" s="6"/>
    </row>
    <row r="14" customFormat="false" ht="15" hidden="false" customHeight="false" outlineLevel="0" collapsed="false">
      <c r="A14" s="5" t="s">
        <v>15</v>
      </c>
      <c r="B14" s="5" t="s">
        <v>22</v>
      </c>
      <c r="C14" s="6" t="n">
        <f aca="false">SUM(D14:K14)</f>
        <v>39470.87</v>
      </c>
      <c r="D14" s="6"/>
      <c r="E14" s="6"/>
      <c r="F14" s="6" t="n">
        <f aca="false">'Building 1'!$D$10</f>
        <v>39470.87</v>
      </c>
      <c r="G14" s="6"/>
      <c r="H14" s="6"/>
      <c r="I14" s="6"/>
      <c r="J14" s="6"/>
      <c r="K14" s="6"/>
    </row>
    <row r="15" customFormat="false" ht="15" hidden="false" customHeight="false" outlineLevel="0" collapsed="false">
      <c r="A15" s="5" t="s">
        <v>15</v>
      </c>
      <c r="B15" s="5" t="s">
        <v>23</v>
      </c>
      <c r="C15" s="6" t="n">
        <f aca="false">SUM(D15:K15)</f>
        <v>385256.09</v>
      </c>
      <c r="D15" s="6"/>
      <c r="E15" s="6"/>
      <c r="F15" s="6" t="n">
        <f aca="false">'Building 1'!$D$11</f>
        <v>385256.09</v>
      </c>
      <c r="G15" s="6"/>
      <c r="H15" s="6"/>
      <c r="I15" s="6"/>
      <c r="J15" s="6"/>
      <c r="K15" s="6"/>
    </row>
    <row r="16" customFormat="false" ht="15" hidden="false" customHeight="false" outlineLevel="0" collapsed="false">
      <c r="A16" s="5" t="s">
        <v>15</v>
      </c>
      <c r="B16" s="5" t="s">
        <v>24</v>
      </c>
      <c r="C16" s="6" t="n">
        <f aca="false">SUM(D16:K16)</f>
        <v>29358.5</v>
      </c>
      <c r="D16" s="6"/>
      <c r="E16" s="6"/>
      <c r="F16" s="6" t="n">
        <f aca="false">'Building 1'!$D$12</f>
        <v>29358.5</v>
      </c>
      <c r="G16" s="6"/>
      <c r="H16" s="6"/>
      <c r="I16" s="6"/>
      <c r="J16" s="6"/>
      <c r="K16" s="6"/>
    </row>
    <row r="17" customFormat="false" ht="15" hidden="false" customHeight="false" outlineLevel="0" collapsed="false">
      <c r="A17" s="5" t="s">
        <v>15</v>
      </c>
      <c r="B17" s="5" t="s">
        <v>25</v>
      </c>
      <c r="C17" s="6" t="n">
        <f aca="false">SUM(D17:K17)</f>
        <v>36341.07</v>
      </c>
      <c r="D17" s="6"/>
      <c r="E17" s="6"/>
      <c r="F17" s="6"/>
      <c r="G17" s="6" t="n">
        <f aca="false">'Building 2'!$D$10</f>
        <v>36341.07</v>
      </c>
      <c r="H17" s="6"/>
      <c r="I17" s="6"/>
      <c r="J17" s="6"/>
      <c r="K17" s="6"/>
    </row>
    <row r="18" customFormat="false" ht="15" hidden="false" customHeight="false" outlineLevel="0" collapsed="false">
      <c r="A18" s="5" t="s">
        <v>15</v>
      </c>
      <c r="B18" s="5" t="s">
        <v>26</v>
      </c>
      <c r="C18" s="6" t="n">
        <f aca="false">SUM(D18:K18)</f>
        <v>354707.57</v>
      </c>
      <c r="D18" s="6"/>
      <c r="E18" s="6"/>
      <c r="F18" s="6"/>
      <c r="G18" s="6" t="n">
        <f aca="false">'Building 2'!$D$11</f>
        <v>354707.57</v>
      </c>
      <c r="H18" s="6"/>
      <c r="I18" s="6"/>
      <c r="J18" s="6"/>
      <c r="K18" s="6"/>
    </row>
    <row r="19" customFormat="false" ht="15" hidden="false" customHeight="false" outlineLevel="0" collapsed="false">
      <c r="A19" s="5" t="s">
        <v>15</v>
      </c>
      <c r="B19" s="5" t="s">
        <v>27</v>
      </c>
      <c r="C19" s="6" t="n">
        <f aca="false">SUM(D19:K19)</f>
        <v>27030.55</v>
      </c>
      <c r="D19" s="6"/>
      <c r="E19" s="6"/>
      <c r="F19" s="6"/>
      <c r="G19" s="6" t="n">
        <f aca="false">'Building 2'!$D$12</f>
        <v>27030.55</v>
      </c>
      <c r="H19" s="6"/>
      <c r="I19" s="6"/>
      <c r="J19" s="6"/>
      <c r="K19" s="6"/>
    </row>
    <row r="20" customFormat="false" ht="15" hidden="false" customHeight="false" outlineLevel="0" collapsed="false">
      <c r="A20" s="5" t="s">
        <v>15</v>
      </c>
      <c r="B20" s="5" t="s">
        <v>28</v>
      </c>
      <c r="C20" s="6" t="n">
        <f aca="false">SUM(D20:K20)</f>
        <v>39460.94</v>
      </c>
      <c r="D20" s="6"/>
      <c r="E20" s="6"/>
      <c r="F20" s="6"/>
      <c r="G20" s="6"/>
      <c r="H20" s="6" t="n">
        <f aca="false">'Building 3'!$D$10</f>
        <v>39460.94</v>
      </c>
      <c r="I20" s="6"/>
      <c r="J20" s="6"/>
      <c r="K20" s="6"/>
    </row>
    <row r="21" customFormat="false" ht="15" hidden="false" customHeight="false" outlineLevel="0" collapsed="false">
      <c r="A21" s="5" t="s">
        <v>15</v>
      </c>
      <c r="B21" s="5" t="s">
        <v>29</v>
      </c>
      <c r="C21" s="6" t="n">
        <f aca="false">SUM(D21:K21)</f>
        <v>385159.17</v>
      </c>
      <c r="D21" s="6"/>
      <c r="E21" s="6"/>
      <c r="F21" s="6"/>
      <c r="G21" s="6"/>
      <c r="H21" s="6" t="n">
        <f aca="false">'Building 3'!$D$11</f>
        <v>385159.17</v>
      </c>
      <c r="I21" s="6"/>
      <c r="J21" s="6"/>
      <c r="K21" s="6"/>
    </row>
    <row r="22" customFormat="false" ht="15" hidden="false" customHeight="false" outlineLevel="0" collapsed="false">
      <c r="A22" s="5" t="s">
        <v>15</v>
      </c>
      <c r="B22" s="5" t="s">
        <v>30</v>
      </c>
      <c r="C22" s="6" t="n">
        <f aca="false">SUM(D22:K22)</f>
        <v>29351.11</v>
      </c>
      <c r="D22" s="6"/>
      <c r="E22" s="6"/>
      <c r="F22" s="6"/>
      <c r="G22" s="6"/>
      <c r="H22" s="6" t="n">
        <f aca="false">'Building 3'!$D$12</f>
        <v>29351.11</v>
      </c>
      <c r="I22" s="6"/>
      <c r="J22" s="6"/>
      <c r="K22" s="6"/>
    </row>
    <row r="23" customFormat="false" ht="15" hidden="false" customHeight="false" outlineLevel="0" collapsed="false">
      <c r="A23" s="5" t="s">
        <v>15</v>
      </c>
      <c r="B23" s="5" t="s">
        <v>31</v>
      </c>
      <c r="C23" s="6" t="n">
        <f aca="false">SUM(D23:K23)</f>
        <v>40404.35</v>
      </c>
      <c r="D23" s="6"/>
      <c r="E23" s="6"/>
      <c r="F23" s="6"/>
      <c r="G23" s="6"/>
      <c r="H23" s="6"/>
      <c r="I23" s="6" t="n">
        <f aca="false">'Building 4'!$D$10</f>
        <v>40404.35</v>
      </c>
      <c r="J23" s="6"/>
      <c r="K23" s="6"/>
    </row>
    <row r="24" customFormat="false" ht="15" hidden="false" customHeight="false" outlineLevel="0" collapsed="false">
      <c r="A24" s="5" t="s">
        <v>15</v>
      </c>
      <c r="B24" s="5" t="s">
        <v>32</v>
      </c>
      <c r="C24" s="6" t="n">
        <f aca="false">SUM(D24:K24)</f>
        <v>394367.34</v>
      </c>
      <c r="D24" s="6"/>
      <c r="E24" s="6"/>
      <c r="F24" s="6"/>
      <c r="G24" s="6"/>
      <c r="H24" s="6"/>
      <c r="I24" s="6" t="n">
        <f aca="false">'Building 4'!$D$11</f>
        <v>394367.34</v>
      </c>
      <c r="J24" s="6"/>
      <c r="K24" s="6"/>
    </row>
    <row r="25" customFormat="false" ht="15" hidden="false" customHeight="false" outlineLevel="0" collapsed="false">
      <c r="A25" s="5" t="s">
        <v>15</v>
      </c>
      <c r="B25" s="5" t="s">
        <v>33</v>
      </c>
      <c r="C25" s="6" t="n">
        <f aca="false">SUM(D25:K25)</f>
        <v>30052.82</v>
      </c>
      <c r="D25" s="6"/>
      <c r="E25" s="6"/>
      <c r="F25" s="6"/>
      <c r="G25" s="6"/>
      <c r="H25" s="6"/>
      <c r="I25" s="6" t="n">
        <f aca="false">'Building 4'!$D$12</f>
        <v>30052.82</v>
      </c>
      <c r="J25" s="6"/>
      <c r="K25" s="6"/>
    </row>
    <row r="26" customFormat="false" ht="15" hidden="false" customHeight="false" outlineLevel="0" collapsed="false">
      <c r="A26" s="5" t="s">
        <v>15</v>
      </c>
      <c r="B26" s="5" t="s">
        <v>34</v>
      </c>
      <c r="C26" s="6" t="n">
        <f aca="false">SUM(D26:K26)</f>
        <v>41152.79</v>
      </c>
      <c r="D26" s="6"/>
      <c r="E26" s="6"/>
      <c r="F26" s="6"/>
      <c r="G26" s="6"/>
      <c r="H26" s="6"/>
      <c r="I26" s="6"/>
      <c r="J26" s="6" t="n">
        <f aca="false">'Building 5'!$D$10</f>
        <v>41152.79</v>
      </c>
      <c r="K26" s="6"/>
    </row>
    <row r="27" customFormat="false" ht="15" hidden="false" customHeight="false" outlineLevel="0" collapsed="false">
      <c r="A27" s="5" t="s">
        <v>15</v>
      </c>
      <c r="B27" s="5" t="s">
        <v>35</v>
      </c>
      <c r="C27" s="6" t="n">
        <f aca="false">SUM(D27:K27)</f>
        <v>401672.53</v>
      </c>
      <c r="D27" s="6"/>
      <c r="E27" s="6"/>
      <c r="F27" s="6"/>
      <c r="G27" s="6"/>
      <c r="H27" s="6"/>
      <c r="I27" s="6"/>
      <c r="J27" s="6" t="n">
        <f aca="false">'Building 5'!$D$11</f>
        <v>401672.53</v>
      </c>
      <c r="K27" s="6"/>
    </row>
    <row r="28" customFormat="false" ht="15" hidden="false" customHeight="false" outlineLevel="0" collapsed="false">
      <c r="A28" s="5" t="s">
        <v>15</v>
      </c>
      <c r="B28" s="5" t="s">
        <v>36</v>
      </c>
      <c r="C28" s="6" t="n">
        <f aca="false">SUM(D28:K28)</f>
        <v>30609.52</v>
      </c>
      <c r="D28" s="6"/>
      <c r="E28" s="6"/>
      <c r="F28" s="6"/>
      <c r="G28" s="6"/>
      <c r="H28" s="6"/>
      <c r="I28" s="6"/>
      <c r="J28" s="6" t="n">
        <f aca="false">'Building 5'!$D$12</f>
        <v>30609.52</v>
      </c>
      <c r="K28" s="6"/>
    </row>
    <row r="29" customFormat="false" ht="15" hidden="false" customHeight="false" outlineLevel="0" collapsed="false">
      <c r="A29" s="5" t="s">
        <v>37</v>
      </c>
      <c r="B29" s="5" t="s">
        <v>38</v>
      </c>
      <c r="C29" s="6" t="n">
        <f aca="false">SUM(D29:K29)</f>
        <v>86347</v>
      </c>
      <c r="D29" s="6"/>
      <c r="E29" s="6"/>
      <c r="F29" s="6"/>
      <c r="G29" s="6"/>
      <c r="H29" s="6"/>
      <c r="I29" s="6"/>
      <c r="J29" s="6"/>
      <c r="K29" s="6" t="n">
        <f aca="false">Imp!$D$10</f>
        <v>86347</v>
      </c>
    </row>
    <row r="30" customFormat="false" ht="15" hidden="false" customHeight="false" outlineLevel="0" collapsed="false">
      <c r="A30" s="7"/>
      <c r="B30" s="8" t="s">
        <v>39</v>
      </c>
      <c r="C30" s="9" t="n">
        <f aca="false">SUM(C8:C29)</f>
        <v>2870392</v>
      </c>
      <c r="D30" s="9" t="n">
        <f aca="false">SUM(D8:D29)</f>
        <v>315110.14</v>
      </c>
      <c r="E30" s="9" t="n">
        <f aca="false">SUM(E8:E29)</f>
        <v>204539.64</v>
      </c>
      <c r="F30" s="9" t="n">
        <f aca="false">SUM(F8:F29)</f>
        <v>454085.46</v>
      </c>
      <c r="G30" s="9" t="n">
        <f aca="false">SUM(G8:G29)</f>
        <v>418079.19</v>
      </c>
      <c r="H30" s="9" t="n">
        <f aca="false">SUM(H8:H29)</f>
        <v>453971.22</v>
      </c>
      <c r="I30" s="9" t="n">
        <f aca="false">SUM(I8:I29)</f>
        <v>464824.51</v>
      </c>
      <c r="J30" s="9" t="n">
        <f aca="false">SUM(J8:J29)</f>
        <v>473434.84</v>
      </c>
      <c r="K30" s="9" t="n">
        <f aca="false">SUM(K8:K29)</f>
        <v>86347</v>
      </c>
    </row>
    <row r="32" customFormat="false" ht="15" hidden="false" customHeight="false" outlineLevel="0" collapsed="false">
      <c r="B32" s="10" t="s">
        <v>40</v>
      </c>
    </row>
    <row r="33" customFormat="false" ht="15" hidden="false" customHeight="false" outlineLevel="0" collapsed="false">
      <c r="A33" s="5" t="s">
        <v>15</v>
      </c>
      <c r="B33" s="5" t="s">
        <v>41</v>
      </c>
      <c r="C33" s="6" t="n">
        <f aca="false">SUM(D33:K33)</f>
        <v>18977.49</v>
      </c>
      <c r="D33" s="6" t="n">
        <f aca="false">Site!$D$17</f>
        <v>18977.49</v>
      </c>
      <c r="E33" s="6"/>
      <c r="F33" s="6"/>
      <c r="G33" s="6"/>
      <c r="H33" s="6"/>
      <c r="I33" s="6"/>
      <c r="J33" s="6"/>
      <c r="K33" s="6"/>
    </row>
    <row r="34" customFormat="false" ht="15" hidden="false" customHeight="false" outlineLevel="0" collapsed="false">
      <c r="A34" s="5" t="s">
        <v>15</v>
      </c>
      <c r="B34" s="5" t="s">
        <v>42</v>
      </c>
      <c r="C34" s="6" t="n">
        <f aca="false">SUM(D34:K34)</f>
        <v>8413.11</v>
      </c>
      <c r="D34" s="6" t="n">
        <f aca="false">Site!$D$18</f>
        <v>8413.11</v>
      </c>
      <c r="E34" s="6"/>
      <c r="F34" s="6"/>
      <c r="G34" s="6"/>
      <c r="H34" s="6"/>
      <c r="I34" s="6"/>
      <c r="J34" s="6"/>
      <c r="K34" s="6"/>
    </row>
    <row r="35" customFormat="false" ht="15" hidden="false" customHeight="false" outlineLevel="0" collapsed="false">
      <c r="A35" s="5" t="s">
        <v>15</v>
      </c>
      <c r="B35" s="5" t="s">
        <v>43</v>
      </c>
      <c r="C35" s="6" t="n">
        <f aca="false">SUM(D35:K35)</f>
        <v>185230.12</v>
      </c>
      <c r="D35" s="6" t="n">
        <f aca="false">Site!$D$19</f>
        <v>185230.12</v>
      </c>
      <c r="E35" s="6"/>
      <c r="F35" s="6"/>
      <c r="G35" s="6"/>
      <c r="H35" s="6"/>
      <c r="I35" s="6"/>
      <c r="J35" s="6"/>
      <c r="K35" s="6"/>
    </row>
    <row r="36" customFormat="false" ht="15" hidden="false" customHeight="false" outlineLevel="0" collapsed="false">
      <c r="A36" s="5" t="s">
        <v>15</v>
      </c>
      <c r="B36" s="5" t="s">
        <v>44</v>
      </c>
      <c r="C36" s="6" t="n">
        <f aca="false">SUM(D36:K36)</f>
        <v>82116.25</v>
      </c>
      <c r="D36" s="6" t="n">
        <f aca="false">Site!$D$20</f>
        <v>82116.25</v>
      </c>
      <c r="E36" s="6"/>
      <c r="F36" s="6"/>
      <c r="G36" s="6"/>
      <c r="H36" s="6"/>
      <c r="I36" s="6"/>
      <c r="J36" s="6"/>
      <c r="K36" s="6"/>
    </row>
    <row r="37" customFormat="false" ht="15" hidden="false" customHeight="false" outlineLevel="0" collapsed="false">
      <c r="A37" s="5" t="s">
        <v>15</v>
      </c>
      <c r="B37" s="5" t="s">
        <v>45</v>
      </c>
      <c r="C37" s="6" t="n">
        <f aca="false">SUM(D37:K37)</f>
        <v>14115.49</v>
      </c>
      <c r="D37" s="6" t="n">
        <f aca="false">Site!$D$21</f>
        <v>14115.49</v>
      </c>
      <c r="E37" s="6"/>
      <c r="F37" s="6"/>
      <c r="G37" s="6"/>
      <c r="H37" s="6"/>
      <c r="I37" s="6"/>
      <c r="J37" s="6"/>
      <c r="K37" s="6"/>
    </row>
    <row r="38" customFormat="false" ht="15" hidden="false" customHeight="false" outlineLevel="0" collapsed="false">
      <c r="A38" s="5" t="s">
        <v>15</v>
      </c>
      <c r="B38" s="5" t="s">
        <v>46</v>
      </c>
      <c r="C38" s="6" t="n">
        <f aca="false">SUM(D38:K38)</f>
        <v>6257.68</v>
      </c>
      <c r="D38" s="6" t="n">
        <f aca="false">Site!$D$22</f>
        <v>6257.68</v>
      </c>
      <c r="E38" s="6"/>
      <c r="F38" s="6"/>
      <c r="G38" s="6"/>
      <c r="H38" s="6"/>
      <c r="I38" s="6"/>
      <c r="J38" s="6"/>
      <c r="K38" s="6"/>
    </row>
    <row r="39" customFormat="false" ht="15" hidden="false" customHeight="false" outlineLevel="0" collapsed="false">
      <c r="A39" s="5" t="s">
        <v>15</v>
      </c>
      <c r="B39" s="5" t="s">
        <v>47</v>
      </c>
      <c r="C39" s="6" t="n">
        <f aca="false">SUM(D39:K39)</f>
        <v>2803.75</v>
      </c>
      <c r="D39" s="6"/>
      <c r="E39" s="6" t="n">
        <f aca="false">Office!$D$17</f>
        <v>2803.75</v>
      </c>
      <c r="F39" s="6"/>
      <c r="G39" s="6"/>
      <c r="H39" s="6"/>
      <c r="I39" s="6"/>
      <c r="J39" s="6"/>
      <c r="K39" s="6"/>
    </row>
    <row r="40" customFormat="false" ht="15" hidden="false" customHeight="false" outlineLevel="0" collapsed="false">
      <c r="A40" s="5" t="s">
        <v>15</v>
      </c>
      <c r="B40" s="5" t="s">
        <v>48</v>
      </c>
      <c r="C40" s="6" t="n">
        <f aca="false">SUM(D40:K40)</f>
        <v>14975.63</v>
      </c>
      <c r="D40" s="6"/>
      <c r="E40" s="6" t="n">
        <f aca="false">Office!$D$18</f>
        <v>14975.63</v>
      </c>
      <c r="F40" s="6"/>
      <c r="G40" s="6"/>
      <c r="H40" s="6"/>
      <c r="I40" s="6"/>
      <c r="J40" s="6"/>
      <c r="K40" s="6"/>
    </row>
    <row r="41" customFormat="false" ht="15" hidden="false" customHeight="false" outlineLevel="0" collapsed="false">
      <c r="A41" s="5" t="s">
        <v>15</v>
      </c>
      <c r="B41" s="5" t="s">
        <v>49</v>
      </c>
      <c r="C41" s="6" t="n">
        <f aca="false">SUM(D41:K41)</f>
        <v>27366.04</v>
      </c>
      <c r="D41" s="6"/>
      <c r="E41" s="6" t="n">
        <f aca="false">Office!$D$19</f>
        <v>27366.04</v>
      </c>
      <c r="F41" s="6"/>
      <c r="G41" s="6"/>
      <c r="H41" s="6"/>
      <c r="I41" s="6"/>
      <c r="J41" s="6"/>
      <c r="K41" s="6"/>
    </row>
    <row r="42" customFormat="false" ht="15" hidden="false" customHeight="false" outlineLevel="0" collapsed="false">
      <c r="A42" s="5" t="s">
        <v>15</v>
      </c>
      <c r="B42" s="5" t="s">
        <v>50</v>
      </c>
      <c r="C42" s="6" t="n">
        <f aca="false">SUM(D42:K42)</f>
        <v>146169.89</v>
      </c>
      <c r="D42" s="6"/>
      <c r="E42" s="6" t="n">
        <f aca="false">Office!$D$20</f>
        <v>146169.89</v>
      </c>
      <c r="F42" s="6"/>
      <c r="G42" s="6"/>
      <c r="H42" s="6"/>
      <c r="I42" s="6"/>
      <c r="J42" s="6"/>
      <c r="K42" s="6"/>
    </row>
    <row r="43" customFormat="false" ht="15" hidden="false" customHeight="false" outlineLevel="0" collapsed="false">
      <c r="A43" s="5" t="s">
        <v>15</v>
      </c>
      <c r="B43" s="5" t="s">
        <v>51</v>
      </c>
      <c r="C43" s="6" t="n">
        <f aca="false">SUM(D43:K43)</f>
        <v>2085.43</v>
      </c>
      <c r="D43" s="6"/>
      <c r="E43" s="6" t="n">
        <f aca="false">Office!$D$21</f>
        <v>2085.43</v>
      </c>
      <c r="F43" s="6"/>
      <c r="G43" s="6"/>
      <c r="H43" s="6"/>
      <c r="I43" s="6"/>
      <c r="J43" s="6"/>
      <c r="K43" s="6"/>
    </row>
    <row r="44" customFormat="false" ht="15" hidden="false" customHeight="false" outlineLevel="0" collapsed="false">
      <c r="A44" s="5" t="s">
        <v>15</v>
      </c>
      <c r="B44" s="5" t="s">
        <v>52</v>
      </c>
      <c r="C44" s="6" t="n">
        <f aca="false">SUM(D44:K44)</f>
        <v>11138.9</v>
      </c>
      <c r="D44" s="6"/>
      <c r="E44" s="6" t="n">
        <f aca="false">Office!$D$22</f>
        <v>11138.9</v>
      </c>
      <c r="F44" s="6"/>
      <c r="G44" s="6"/>
      <c r="H44" s="6"/>
      <c r="I44" s="6"/>
      <c r="J44" s="6"/>
      <c r="K44" s="6"/>
    </row>
    <row r="45" customFormat="false" ht="15" hidden="false" customHeight="false" outlineLevel="0" collapsed="false">
      <c r="A45" s="5" t="s">
        <v>15</v>
      </c>
      <c r="B45" s="5" t="s">
        <v>53</v>
      </c>
      <c r="C45" s="6" t="n">
        <f aca="false">SUM(D45:K45)</f>
        <v>8187.59</v>
      </c>
      <c r="D45" s="6"/>
      <c r="E45" s="6"/>
      <c r="F45" s="6" t="n">
        <f aca="false">'Building 1'!$D$17</f>
        <v>8187.59</v>
      </c>
      <c r="G45" s="6"/>
      <c r="H45" s="6"/>
      <c r="I45" s="6"/>
      <c r="J45" s="6"/>
      <c r="K45" s="6"/>
    </row>
    <row r="46" customFormat="false" ht="15" hidden="false" customHeight="false" outlineLevel="0" collapsed="false">
      <c r="A46" s="5" t="s">
        <v>15</v>
      </c>
      <c r="B46" s="5" t="s">
        <v>54</v>
      </c>
      <c r="C46" s="6" t="n">
        <f aca="false">SUM(D46:K46)</f>
        <v>31283.28</v>
      </c>
      <c r="D46" s="6"/>
      <c r="E46" s="6"/>
      <c r="F46" s="6" t="n">
        <f aca="false">'Building 1'!$D$18</f>
        <v>31283.28</v>
      </c>
      <c r="G46" s="6"/>
      <c r="H46" s="6"/>
      <c r="I46" s="6"/>
      <c r="J46" s="6"/>
      <c r="K46" s="6"/>
    </row>
    <row r="47" customFormat="false" ht="15" hidden="false" customHeight="false" outlineLevel="0" collapsed="false">
      <c r="A47" s="5" t="s">
        <v>15</v>
      </c>
      <c r="B47" s="5" t="s">
        <v>55</v>
      </c>
      <c r="C47" s="6" t="n">
        <f aca="false">SUM(D47:K47)</f>
        <v>79915.16</v>
      </c>
      <c r="D47" s="6"/>
      <c r="E47" s="6"/>
      <c r="F47" s="6" t="n">
        <f aca="false">'Building 1'!$D$19</f>
        <v>79915.16</v>
      </c>
      <c r="G47" s="6"/>
      <c r="H47" s="6"/>
      <c r="I47" s="6"/>
      <c r="J47" s="6"/>
      <c r="K47" s="6"/>
    </row>
    <row r="48" customFormat="false" ht="15" hidden="false" customHeight="false" outlineLevel="0" collapsed="false">
      <c r="A48" s="5" t="s">
        <v>15</v>
      </c>
      <c r="B48" s="5" t="s">
        <v>56</v>
      </c>
      <c r="C48" s="6" t="n">
        <f aca="false">SUM(D48:K48)</f>
        <v>305340.93</v>
      </c>
      <c r="D48" s="6"/>
      <c r="E48" s="6"/>
      <c r="F48" s="6" t="n">
        <f aca="false">'Building 1'!$D$20</f>
        <v>305340.93</v>
      </c>
      <c r="G48" s="6"/>
      <c r="H48" s="6"/>
      <c r="I48" s="6"/>
      <c r="J48" s="6"/>
      <c r="K48" s="6"/>
    </row>
    <row r="49" customFormat="false" ht="15" hidden="false" customHeight="false" outlineLevel="0" collapsed="false">
      <c r="A49" s="5" t="s">
        <v>15</v>
      </c>
      <c r="B49" s="5" t="s">
        <v>57</v>
      </c>
      <c r="C49" s="6" t="n">
        <f aca="false">SUM(D49:K49)</f>
        <v>6089.95</v>
      </c>
      <c r="D49" s="6"/>
      <c r="E49" s="6"/>
      <c r="F49" s="6" t="n">
        <f aca="false">'Building 1'!$D$21</f>
        <v>6089.95</v>
      </c>
      <c r="G49" s="6"/>
      <c r="H49" s="6"/>
      <c r="I49" s="6"/>
      <c r="J49" s="6"/>
      <c r="K49" s="6"/>
    </row>
    <row r="50" customFormat="false" ht="15" hidden="false" customHeight="false" outlineLevel="0" collapsed="false">
      <c r="A50" s="5" t="s">
        <v>15</v>
      </c>
      <c r="B50" s="5" t="s">
        <v>58</v>
      </c>
      <c r="C50" s="6" t="n">
        <f aca="false">SUM(D50:K50)</f>
        <v>23268.55</v>
      </c>
      <c r="D50" s="6"/>
      <c r="E50" s="6"/>
      <c r="F50" s="6" t="n">
        <f aca="false">'Building 1'!$D$22</f>
        <v>23268.55</v>
      </c>
      <c r="G50" s="6"/>
      <c r="H50" s="6"/>
      <c r="I50" s="6"/>
      <c r="J50" s="6"/>
      <c r="K50" s="6"/>
    </row>
    <row r="51" customFormat="false" ht="15" hidden="false" customHeight="false" outlineLevel="0" collapsed="false">
      <c r="A51" s="5" t="s">
        <v>15</v>
      </c>
      <c r="B51" s="5" t="s">
        <v>59</v>
      </c>
      <c r="C51" s="6" t="n">
        <f aca="false">SUM(D51:K51)</f>
        <v>7790.52</v>
      </c>
      <c r="D51" s="6"/>
      <c r="E51" s="6"/>
      <c r="F51" s="6"/>
      <c r="G51" s="6" t="n">
        <f aca="false">'Building 2'!$D$17</f>
        <v>7790.52</v>
      </c>
      <c r="H51" s="6"/>
      <c r="I51" s="6"/>
      <c r="J51" s="6"/>
      <c r="K51" s="6"/>
    </row>
    <row r="52" customFormat="false" ht="15" hidden="false" customHeight="false" outlineLevel="0" collapsed="false">
      <c r="A52" s="5" t="s">
        <v>15</v>
      </c>
      <c r="B52" s="5" t="s">
        <v>60</v>
      </c>
      <c r="C52" s="6" t="n">
        <f aca="false">SUM(D52:K52)</f>
        <v>28550.55</v>
      </c>
      <c r="D52" s="6"/>
      <c r="E52" s="6"/>
      <c r="F52" s="6"/>
      <c r="G52" s="6" t="n">
        <f aca="false">'Building 2'!$D$18</f>
        <v>28550.55</v>
      </c>
      <c r="H52" s="6"/>
      <c r="I52" s="6"/>
      <c r="J52" s="6"/>
      <c r="K52" s="6"/>
    </row>
    <row r="53" customFormat="false" ht="15" hidden="false" customHeight="false" outlineLevel="0" collapsed="false">
      <c r="A53" s="5" t="s">
        <v>15</v>
      </c>
      <c r="B53" s="5" t="s">
        <v>61</v>
      </c>
      <c r="C53" s="6" t="n">
        <f aca="false">SUM(D53:K53)</f>
        <v>76039.51</v>
      </c>
      <c r="D53" s="6"/>
      <c r="E53" s="6"/>
      <c r="F53" s="6"/>
      <c r="G53" s="6" t="n">
        <f aca="false">'Building 2'!$D$19</f>
        <v>76039.51</v>
      </c>
      <c r="H53" s="6"/>
      <c r="I53" s="6"/>
      <c r="J53" s="6"/>
      <c r="K53" s="6"/>
    </row>
    <row r="54" customFormat="false" ht="15" hidden="false" customHeight="false" outlineLevel="0" collapsed="false">
      <c r="A54" s="5" t="s">
        <v>15</v>
      </c>
      <c r="B54" s="5" t="s">
        <v>62</v>
      </c>
      <c r="C54" s="6" t="n">
        <f aca="false">SUM(D54:K54)</f>
        <v>278668.06</v>
      </c>
      <c r="D54" s="6"/>
      <c r="E54" s="6"/>
      <c r="F54" s="6"/>
      <c r="G54" s="6" t="n">
        <f aca="false">'Building 2'!$D$20</f>
        <v>278668.06</v>
      </c>
      <c r="H54" s="6"/>
      <c r="I54" s="6"/>
      <c r="J54" s="6"/>
      <c r="K54" s="6"/>
    </row>
    <row r="55" customFormat="false" ht="15" hidden="false" customHeight="false" outlineLevel="0" collapsed="false">
      <c r="A55" s="5" t="s">
        <v>15</v>
      </c>
      <c r="B55" s="5" t="s">
        <v>63</v>
      </c>
      <c r="C55" s="6" t="n">
        <f aca="false">SUM(D55:K55)</f>
        <v>5794.61</v>
      </c>
      <c r="D55" s="6"/>
      <c r="E55" s="6"/>
      <c r="F55" s="6"/>
      <c r="G55" s="6" t="n">
        <f aca="false">'Building 2'!$D$21</f>
        <v>5794.61</v>
      </c>
      <c r="H55" s="6"/>
      <c r="I55" s="6"/>
      <c r="J55" s="6"/>
      <c r="K55" s="6"/>
    </row>
    <row r="56" customFormat="false" ht="15" hidden="false" customHeight="false" outlineLevel="0" collapsed="false">
      <c r="A56" s="5" t="s">
        <v>15</v>
      </c>
      <c r="B56" s="5" t="s">
        <v>64</v>
      </c>
      <c r="C56" s="6" t="n">
        <f aca="false">SUM(D56:K56)</f>
        <v>21235.94</v>
      </c>
      <c r="D56" s="6"/>
      <c r="E56" s="6"/>
      <c r="F56" s="6"/>
      <c r="G56" s="6" t="n">
        <f aca="false">'Building 2'!$D$22</f>
        <v>21235.94</v>
      </c>
      <c r="H56" s="6"/>
      <c r="I56" s="6"/>
      <c r="J56" s="6"/>
      <c r="K56" s="6"/>
    </row>
    <row r="57" customFormat="false" ht="15" hidden="false" customHeight="false" outlineLevel="0" collapsed="false">
      <c r="A57" s="5" t="s">
        <v>15</v>
      </c>
      <c r="B57" s="5" t="s">
        <v>65</v>
      </c>
      <c r="C57" s="6" t="n">
        <f aca="false">SUM(D57:K57)</f>
        <v>8072.77</v>
      </c>
      <c r="D57" s="6"/>
      <c r="E57" s="6"/>
      <c r="F57" s="6"/>
      <c r="G57" s="6"/>
      <c r="H57" s="6" t="n">
        <f aca="false">'Building 3'!$D$17</f>
        <v>8072.77</v>
      </c>
      <c r="I57" s="6"/>
      <c r="J57" s="6"/>
      <c r="K57" s="6"/>
    </row>
    <row r="58" customFormat="false" ht="15" hidden="false" customHeight="false" outlineLevel="0" collapsed="false">
      <c r="A58" s="5" t="s">
        <v>15</v>
      </c>
      <c r="B58" s="5" t="s">
        <v>66</v>
      </c>
      <c r="C58" s="6" t="n">
        <f aca="false">SUM(D58:K58)</f>
        <v>31388.17</v>
      </c>
      <c r="D58" s="6"/>
      <c r="E58" s="6"/>
      <c r="F58" s="6"/>
      <c r="G58" s="6"/>
      <c r="H58" s="6" t="n">
        <f aca="false">'Building 3'!$D$18</f>
        <v>31388.17</v>
      </c>
      <c r="I58" s="6"/>
      <c r="J58" s="6"/>
      <c r="K58" s="6"/>
    </row>
    <row r="59" customFormat="false" ht="15" hidden="false" customHeight="false" outlineLevel="0" collapsed="false">
      <c r="A59" s="5" t="s">
        <v>15</v>
      </c>
      <c r="B59" s="5" t="s">
        <v>67</v>
      </c>
      <c r="C59" s="6" t="n">
        <f aca="false">SUM(D59:K59)</f>
        <v>78794.38</v>
      </c>
      <c r="D59" s="6"/>
      <c r="E59" s="6"/>
      <c r="F59" s="6"/>
      <c r="G59" s="6"/>
      <c r="H59" s="6" t="n">
        <f aca="false">'Building 3'!$D$19</f>
        <v>78794.38</v>
      </c>
      <c r="I59" s="6"/>
      <c r="J59" s="6"/>
      <c r="K59" s="6"/>
    </row>
    <row r="60" customFormat="false" ht="15" hidden="false" customHeight="false" outlineLevel="0" collapsed="false">
      <c r="A60" s="5" t="s">
        <v>15</v>
      </c>
      <c r="B60" s="5" t="s">
        <v>68</v>
      </c>
      <c r="C60" s="6" t="n">
        <f aca="false">SUM(D60:K60)</f>
        <v>306364.79</v>
      </c>
      <c r="D60" s="6"/>
      <c r="E60" s="6"/>
      <c r="F60" s="6"/>
      <c r="G60" s="6"/>
      <c r="H60" s="6" t="n">
        <f aca="false">'Building 3'!$D$20</f>
        <v>306364.79</v>
      </c>
      <c r="I60" s="6"/>
      <c r="J60" s="6"/>
      <c r="K60" s="6"/>
    </row>
    <row r="61" customFormat="false" ht="15" hidden="false" customHeight="false" outlineLevel="0" collapsed="false">
      <c r="A61" s="5" t="s">
        <v>15</v>
      </c>
      <c r="B61" s="5" t="s">
        <v>69</v>
      </c>
      <c r="C61" s="6" t="n">
        <f aca="false">SUM(D61:K61)</f>
        <v>6004.53</v>
      </c>
      <c r="D61" s="6"/>
      <c r="E61" s="6"/>
      <c r="F61" s="6"/>
      <c r="G61" s="6"/>
      <c r="H61" s="6" t="n">
        <f aca="false">'Building 3'!$D$21</f>
        <v>6004.53</v>
      </c>
      <c r="I61" s="6"/>
      <c r="J61" s="6"/>
      <c r="K61" s="6"/>
    </row>
    <row r="62" customFormat="false" ht="15" hidden="false" customHeight="false" outlineLevel="0" collapsed="false">
      <c r="A62" s="5" t="s">
        <v>15</v>
      </c>
      <c r="B62" s="5" t="s">
        <v>70</v>
      </c>
      <c r="C62" s="6" t="n">
        <f aca="false">SUM(D62:K62)</f>
        <v>23346.58</v>
      </c>
      <c r="D62" s="6"/>
      <c r="E62" s="6"/>
      <c r="F62" s="6"/>
      <c r="G62" s="6"/>
      <c r="H62" s="6" t="n">
        <f aca="false">'Building 3'!$D$22</f>
        <v>23346.58</v>
      </c>
      <c r="I62" s="6"/>
      <c r="J62" s="6"/>
      <c r="K62" s="6"/>
    </row>
    <row r="63" customFormat="false" ht="15" hidden="false" customHeight="false" outlineLevel="0" collapsed="false">
      <c r="A63" s="5" t="s">
        <v>15</v>
      </c>
      <c r="B63" s="5" t="s">
        <v>71</v>
      </c>
      <c r="C63" s="6" t="n">
        <f aca="false">SUM(D63:K63)</f>
        <v>8405.66</v>
      </c>
      <c r="D63" s="6"/>
      <c r="E63" s="6"/>
      <c r="F63" s="6"/>
      <c r="G63" s="6"/>
      <c r="H63" s="6"/>
      <c r="I63" s="6" t="n">
        <f aca="false">'Building 4'!$D$17</f>
        <v>8405.66</v>
      </c>
      <c r="J63" s="6"/>
      <c r="K63" s="6"/>
    </row>
    <row r="64" customFormat="false" ht="15" hidden="false" customHeight="false" outlineLevel="0" collapsed="false">
      <c r="A64" s="5" t="s">
        <v>15</v>
      </c>
      <c r="B64" s="5" t="s">
        <v>72</v>
      </c>
      <c r="C64" s="6" t="n">
        <f aca="false">SUM(D64:K64)</f>
        <v>31998.69</v>
      </c>
      <c r="D64" s="6"/>
      <c r="E64" s="6"/>
      <c r="F64" s="6"/>
      <c r="G64" s="6"/>
      <c r="H64" s="6"/>
      <c r="I64" s="6" t="n">
        <f aca="false">'Building 4'!$D$18</f>
        <v>31998.69</v>
      </c>
      <c r="J64" s="6"/>
      <c r="K64" s="6"/>
    </row>
    <row r="65" customFormat="false" ht="15" hidden="false" customHeight="false" outlineLevel="0" collapsed="false">
      <c r="A65" s="5" t="s">
        <v>15</v>
      </c>
      <c r="B65" s="5" t="s">
        <v>73</v>
      </c>
      <c r="C65" s="6" t="n">
        <f aca="false">SUM(D65:K65)</f>
        <v>82043.63</v>
      </c>
      <c r="D65" s="6"/>
      <c r="E65" s="6"/>
      <c r="F65" s="6"/>
      <c r="G65" s="6"/>
      <c r="H65" s="6"/>
      <c r="I65" s="6" t="n">
        <f aca="false">'Building 4'!$D$19</f>
        <v>82043.63</v>
      </c>
      <c r="J65" s="6"/>
      <c r="K65" s="6"/>
    </row>
    <row r="66" customFormat="false" ht="15" hidden="false" customHeight="false" outlineLevel="0" collapsed="false">
      <c r="A66" s="5" t="s">
        <v>15</v>
      </c>
      <c r="B66" s="5" t="s">
        <v>74</v>
      </c>
      <c r="C66" s="6" t="n">
        <f aca="false">SUM(D66:K66)</f>
        <v>312323.71</v>
      </c>
      <c r="D66" s="6"/>
      <c r="E66" s="6"/>
      <c r="F66" s="6"/>
      <c r="G66" s="6"/>
      <c r="H66" s="6"/>
      <c r="I66" s="6" t="n">
        <f aca="false">'Building 4'!$D$20</f>
        <v>312323.71</v>
      </c>
      <c r="J66" s="6"/>
      <c r="K66" s="6"/>
    </row>
    <row r="67" customFormat="false" ht="15" hidden="false" customHeight="false" outlineLevel="0" collapsed="false">
      <c r="A67" s="5" t="s">
        <v>15</v>
      </c>
      <c r="B67" s="5" t="s">
        <v>75</v>
      </c>
      <c r="C67" s="6" t="n">
        <f aca="false">SUM(D67:K67)</f>
        <v>6252.15</v>
      </c>
      <c r="D67" s="6"/>
      <c r="E67" s="6"/>
      <c r="F67" s="6"/>
      <c r="G67" s="6"/>
      <c r="H67" s="6"/>
      <c r="I67" s="6" t="n">
        <f aca="false">'Building 4'!$D$21</f>
        <v>6252.15</v>
      </c>
      <c r="J67" s="6"/>
      <c r="K67" s="6"/>
    </row>
    <row r="68" customFormat="false" ht="15" hidden="false" customHeight="false" outlineLevel="0" collapsed="false">
      <c r="A68" s="5" t="s">
        <v>15</v>
      </c>
      <c r="B68" s="5" t="s">
        <v>76</v>
      </c>
      <c r="C68" s="6" t="n">
        <f aca="false">SUM(D68:K68)</f>
        <v>23800.67</v>
      </c>
      <c r="D68" s="6"/>
      <c r="E68" s="6"/>
      <c r="F68" s="6"/>
      <c r="G68" s="6"/>
      <c r="H68" s="6"/>
      <c r="I68" s="6" t="n">
        <f aca="false">'Building 4'!$D$22</f>
        <v>23800.67</v>
      </c>
      <c r="J68" s="6"/>
      <c r="K68" s="6"/>
    </row>
    <row r="69" customFormat="false" ht="15" hidden="false" customHeight="false" outlineLevel="0" collapsed="false">
      <c r="A69" s="5" t="s">
        <v>15</v>
      </c>
      <c r="B69" s="5" t="s">
        <v>77</v>
      </c>
      <c r="C69" s="6" t="n">
        <f aca="false">SUM(D69:K69)</f>
        <v>8405.66</v>
      </c>
      <c r="D69" s="6"/>
      <c r="E69" s="6"/>
      <c r="F69" s="6"/>
      <c r="G69" s="6"/>
      <c r="H69" s="6"/>
      <c r="I69" s="6"/>
      <c r="J69" s="6" t="n">
        <f aca="false">'Building 5'!$D$17</f>
        <v>8405.66</v>
      </c>
      <c r="K69" s="6"/>
    </row>
    <row r="70" customFormat="false" ht="15" hidden="false" customHeight="false" outlineLevel="0" collapsed="false">
      <c r="A70" s="5" t="s">
        <v>15</v>
      </c>
      <c r="B70" s="5" t="s">
        <v>78</v>
      </c>
      <c r="C70" s="6" t="n">
        <f aca="false">SUM(D70:K70)</f>
        <v>32747.13</v>
      </c>
      <c r="D70" s="6"/>
      <c r="E70" s="6"/>
      <c r="F70" s="6"/>
      <c r="G70" s="6"/>
      <c r="H70" s="6"/>
      <c r="I70" s="6"/>
      <c r="J70" s="6" t="n">
        <f aca="false">'Building 5'!$D$18</f>
        <v>32747.13</v>
      </c>
      <c r="K70" s="6"/>
    </row>
    <row r="71" customFormat="false" ht="15" hidden="false" customHeight="false" outlineLevel="0" collapsed="false">
      <c r="A71" s="5" t="s">
        <v>15</v>
      </c>
      <c r="B71" s="5" t="s">
        <v>79</v>
      </c>
      <c r="C71" s="6" t="n">
        <f aca="false">SUM(D71:K71)</f>
        <v>82043.63</v>
      </c>
      <c r="D71" s="6"/>
      <c r="E71" s="6"/>
      <c r="F71" s="6"/>
      <c r="G71" s="6"/>
      <c r="H71" s="6"/>
      <c r="I71" s="6"/>
      <c r="J71" s="6" t="n">
        <f aca="false">'Building 5'!$D$19</f>
        <v>82043.63</v>
      </c>
      <c r="K71" s="6"/>
    </row>
    <row r="72" customFormat="false" ht="15" hidden="false" customHeight="false" outlineLevel="0" collapsed="false">
      <c r="A72" s="5" t="s">
        <v>15</v>
      </c>
      <c r="B72" s="5" t="s">
        <v>80</v>
      </c>
      <c r="C72" s="6" t="n">
        <f aca="false">SUM(D72:K72)</f>
        <v>319628.9</v>
      </c>
      <c r="D72" s="6"/>
      <c r="E72" s="6"/>
      <c r="F72" s="6"/>
      <c r="G72" s="6"/>
      <c r="H72" s="6"/>
      <c r="I72" s="6"/>
      <c r="J72" s="6" t="n">
        <f aca="false">'Building 5'!$D$20</f>
        <v>319628.9</v>
      </c>
      <c r="K72" s="6"/>
    </row>
    <row r="73" customFormat="false" ht="15" hidden="false" customHeight="false" outlineLevel="0" collapsed="false">
      <c r="A73" s="5" t="s">
        <v>15</v>
      </c>
      <c r="B73" s="5" t="s">
        <v>81</v>
      </c>
      <c r="C73" s="6" t="n">
        <f aca="false">SUM(D73:K73)</f>
        <v>6252.15</v>
      </c>
      <c r="D73" s="6"/>
      <c r="E73" s="6"/>
      <c r="F73" s="6"/>
      <c r="G73" s="6"/>
      <c r="H73" s="6"/>
      <c r="I73" s="6"/>
      <c r="J73" s="6" t="n">
        <f aca="false">'Building 5'!$D$21</f>
        <v>6252.15</v>
      </c>
      <c r="K73" s="6"/>
    </row>
    <row r="74" customFormat="false" ht="15" hidden="false" customHeight="false" outlineLevel="0" collapsed="false">
      <c r="A74" s="5" t="s">
        <v>15</v>
      </c>
      <c r="B74" s="5" t="s">
        <v>82</v>
      </c>
      <c r="C74" s="6" t="n">
        <f aca="false">SUM(D74:K74)</f>
        <v>24357.37</v>
      </c>
      <c r="D74" s="6"/>
      <c r="E74" s="6"/>
      <c r="F74" s="6"/>
      <c r="G74" s="6"/>
      <c r="H74" s="6"/>
      <c r="I74" s="6"/>
      <c r="J74" s="6" t="n">
        <f aca="false">'Building 5'!$D$22</f>
        <v>24357.37</v>
      </c>
      <c r="K74" s="6"/>
    </row>
    <row r="75" customFormat="false" ht="15" hidden="false" customHeight="false" outlineLevel="0" collapsed="false">
      <c r="A75" s="5" t="s">
        <v>37</v>
      </c>
      <c r="B75" s="5" t="s">
        <v>83</v>
      </c>
      <c r="C75" s="6" t="n">
        <f aca="false">SUM(D75:K75)</f>
        <v>23596</v>
      </c>
      <c r="D75" s="6"/>
      <c r="E75" s="6"/>
      <c r="F75" s="6"/>
      <c r="G75" s="6"/>
      <c r="H75" s="6"/>
      <c r="I75" s="6"/>
      <c r="J75" s="6"/>
      <c r="K75" s="6" t="n">
        <f aca="false">Imp!$D$15</f>
        <v>23596</v>
      </c>
    </row>
    <row r="76" customFormat="false" ht="15" hidden="false" customHeight="false" outlineLevel="0" collapsed="false">
      <c r="A76" s="5" t="s">
        <v>37</v>
      </c>
      <c r="B76" s="5" t="s">
        <v>84</v>
      </c>
      <c r="C76" s="6" t="n">
        <f aca="false">SUM(D76:K76)</f>
        <v>62751</v>
      </c>
      <c r="D76" s="6"/>
      <c r="E76" s="6"/>
      <c r="F76" s="6"/>
      <c r="G76" s="6"/>
      <c r="H76" s="6"/>
      <c r="I76" s="6"/>
      <c r="J76" s="6"/>
      <c r="K76" s="6" t="n">
        <f aca="false">Imp!$D$16</f>
        <v>62751</v>
      </c>
    </row>
    <row r="77" customFormat="false" ht="15" hidden="false" customHeight="false" outlineLevel="0" collapsed="false">
      <c r="A77" s="7"/>
      <c r="B77" s="8" t="s">
        <v>85</v>
      </c>
      <c r="C77" s="9" t="n">
        <f aca="false">SUM(C33:C76)</f>
        <v>2870392</v>
      </c>
      <c r="D77" s="9" t="n">
        <f aca="false">SUM(D33:D76)</f>
        <v>315110.14</v>
      </c>
      <c r="E77" s="9" t="n">
        <f aca="false">SUM(E33:E76)</f>
        <v>204539.64</v>
      </c>
      <c r="F77" s="9" t="n">
        <f aca="false">SUM(F33:F76)</f>
        <v>454085.46</v>
      </c>
      <c r="G77" s="9" t="n">
        <f aca="false">SUM(G33:G76)</f>
        <v>418079.19</v>
      </c>
      <c r="H77" s="9" t="n">
        <f aca="false">SUM(H33:H76)</f>
        <v>453971.22</v>
      </c>
      <c r="I77" s="9" t="n">
        <f aca="false">SUM(I33:I76)</f>
        <v>464824.51</v>
      </c>
      <c r="J77" s="9" t="n">
        <f aca="false">SUM(J33:J76)</f>
        <v>473434.84</v>
      </c>
      <c r="K77" s="9" t="n">
        <f aca="false">SUM(K33:K76)</f>
        <v>86347</v>
      </c>
    </row>
    <row r="78" customFormat="false" ht="15" hidden="false" customHeight="false" outlineLevel="0" collapsed="false">
      <c r="B78" s="11" t="s">
        <v>86</v>
      </c>
      <c r="C78" s="12" t="n">
        <f aca="false">C30-C77</f>
        <v>0</v>
      </c>
      <c r="D78" s="12" t="n">
        <f aca="false">D30-D77</f>
        <v>0</v>
      </c>
      <c r="E78" s="12" t="n">
        <f aca="false">E30-E77</f>
        <v>0</v>
      </c>
      <c r="F78" s="12" t="n">
        <f aca="false">F30-F77</f>
        <v>0</v>
      </c>
      <c r="G78" s="12" t="n">
        <f aca="false">G30-G77</f>
        <v>0</v>
      </c>
      <c r="H78" s="12" t="n">
        <f aca="false">H30-H77</f>
        <v>0</v>
      </c>
      <c r="I78" s="12" t="n">
        <f aca="false">I30-I77</f>
        <v>0</v>
      </c>
      <c r="J78" s="12" t="n">
        <f aca="false">J30-J77</f>
        <v>0</v>
      </c>
      <c r="K78" s="12" t="n">
        <f aca="false">K30-K77</f>
        <v>0</v>
      </c>
    </row>
    <row r="80" customFormat="false" ht="15" hidden="false" customHeight="false" outlineLevel="0" collapsed="false">
      <c r="B80" s="10" t="s">
        <v>87</v>
      </c>
    </row>
    <row r="81" customFormat="false" ht="15" hidden="false" customHeight="false" outlineLevel="0" collapsed="false">
      <c r="B81" s="11" t="s">
        <v>88</v>
      </c>
      <c r="C81" s="12" t="n">
        <f aca="false">SUM(D81:K81)</f>
        <v>810043</v>
      </c>
      <c r="D81" s="12" t="n">
        <f aca="false">Site!$I$13</f>
        <v>88679.32</v>
      </c>
      <c r="E81" s="12" t="n">
        <f aca="false">Office!$I$13</f>
        <v>57562.21</v>
      </c>
      <c r="F81" s="12" t="n">
        <f aca="false">'Building 1'!$I$13</f>
        <v>127790.21</v>
      </c>
      <c r="G81" s="12" t="n">
        <f aca="false">'Building 2'!$I$13</f>
        <v>117657.22</v>
      </c>
      <c r="H81" s="12" t="n">
        <f aca="false">'Building 3'!$I$13</f>
        <v>127758.05</v>
      </c>
      <c r="I81" s="12" t="n">
        <f aca="false">'Building 4'!$I$13</f>
        <v>130812.43</v>
      </c>
      <c r="J81" s="12" t="n">
        <f aca="false">'Building 5'!$I$13</f>
        <v>133235.56</v>
      </c>
      <c r="K81" s="12" t="n">
        <f aca="false">Imp!$I$11</f>
        <v>26548</v>
      </c>
    </row>
    <row r="82" customFormat="false" ht="15" hidden="false" customHeight="false" outlineLevel="0" collapsed="false">
      <c r="B82" s="5" t="s">
        <v>41</v>
      </c>
      <c r="C82" s="6" t="n">
        <f aca="false">SUM(D82:K82)</f>
        <v>18977.49</v>
      </c>
      <c r="D82" s="6" t="n">
        <f aca="false">Site!$I$17</f>
        <v>18977.49</v>
      </c>
      <c r="E82" s="6"/>
      <c r="F82" s="6"/>
      <c r="G82" s="6"/>
      <c r="H82" s="6"/>
      <c r="I82" s="6"/>
      <c r="J82" s="6"/>
      <c r="K82" s="6"/>
    </row>
    <row r="83" customFormat="false" ht="15" hidden="false" customHeight="false" outlineLevel="0" collapsed="false">
      <c r="B83" s="5" t="s">
        <v>42</v>
      </c>
      <c r="C83" s="6" t="n">
        <f aca="false">SUM(D83:K83)</f>
        <v>1287.46</v>
      </c>
      <c r="D83" s="6" t="n">
        <f aca="false">Site!$I$18</f>
        <v>1287.46</v>
      </c>
      <c r="E83" s="6"/>
      <c r="F83" s="6"/>
      <c r="G83" s="6"/>
      <c r="H83" s="6"/>
      <c r="I83" s="6"/>
      <c r="J83" s="6"/>
      <c r="K83" s="6"/>
    </row>
    <row r="84" customFormat="false" ht="15" hidden="false" customHeight="false" outlineLevel="0" collapsed="false">
      <c r="B84" s="5" t="s">
        <v>43</v>
      </c>
      <c r="C84" s="6" t="n">
        <f aca="false">SUM(D84:K84)</f>
        <v>185230.12</v>
      </c>
      <c r="D84" s="6" t="n">
        <f aca="false">Site!$I$19</f>
        <v>185230.12</v>
      </c>
      <c r="E84" s="6"/>
      <c r="F84" s="6"/>
      <c r="G84" s="6"/>
      <c r="H84" s="6"/>
      <c r="I84" s="6"/>
      <c r="J84" s="6"/>
      <c r="K84" s="6"/>
    </row>
    <row r="85" customFormat="false" ht="15" hidden="false" customHeight="false" outlineLevel="0" collapsed="false">
      <c r="B85" s="5" t="s">
        <v>44</v>
      </c>
      <c r="C85" s="6" t="n">
        <f aca="false">SUM(D85:K85)</f>
        <v>12566.29</v>
      </c>
      <c r="D85" s="6" t="n">
        <f aca="false">Site!$I$20</f>
        <v>12566.29</v>
      </c>
      <c r="E85" s="6"/>
      <c r="F85" s="6"/>
      <c r="G85" s="6"/>
      <c r="H85" s="6"/>
      <c r="I85" s="6"/>
      <c r="J85" s="6"/>
      <c r="K85" s="6"/>
    </row>
    <row r="86" customFormat="false" ht="15" hidden="false" customHeight="false" outlineLevel="0" collapsed="false">
      <c r="B86" s="5" t="s">
        <v>45</v>
      </c>
      <c r="C86" s="6" t="n">
        <f aca="false">SUM(D86:K86)</f>
        <v>14115.49</v>
      </c>
      <c r="D86" s="6" t="n">
        <f aca="false">Site!$I$21</f>
        <v>14115.49</v>
      </c>
      <c r="E86" s="6"/>
      <c r="F86" s="6"/>
      <c r="G86" s="6"/>
      <c r="H86" s="6"/>
      <c r="I86" s="6"/>
      <c r="J86" s="6"/>
      <c r="K86" s="6"/>
    </row>
    <row r="87" customFormat="false" ht="15" hidden="false" customHeight="false" outlineLevel="0" collapsed="false">
      <c r="B87" s="5" t="s">
        <v>46</v>
      </c>
      <c r="C87" s="6" t="n">
        <f aca="false">SUM(D87:K87)</f>
        <v>957.61</v>
      </c>
      <c r="D87" s="6" t="n">
        <f aca="false">Site!$I$22</f>
        <v>957.61</v>
      </c>
      <c r="E87" s="6"/>
      <c r="F87" s="6"/>
      <c r="G87" s="6"/>
      <c r="H87" s="6"/>
      <c r="I87" s="6"/>
      <c r="J87" s="6"/>
      <c r="K87" s="6"/>
    </row>
    <row r="88" customFormat="false" ht="15" hidden="false" customHeight="false" outlineLevel="0" collapsed="false">
      <c r="B88" s="5" t="s">
        <v>47</v>
      </c>
      <c r="C88" s="6" t="n">
        <f aca="false">SUM(D88:K88)</f>
        <v>2803.75</v>
      </c>
      <c r="D88" s="6"/>
      <c r="E88" s="6" t="n">
        <f aca="false">Office!$I$17</f>
        <v>2803.75</v>
      </c>
      <c r="F88" s="6"/>
      <c r="G88" s="6"/>
      <c r="H88" s="6"/>
      <c r="I88" s="6"/>
      <c r="J88" s="6"/>
      <c r="K88" s="6"/>
    </row>
    <row r="89" customFormat="false" ht="15" hidden="false" customHeight="false" outlineLevel="0" collapsed="false">
      <c r="B89" s="5" t="s">
        <v>48</v>
      </c>
      <c r="C89" s="6" t="n">
        <f aca="false">SUM(D89:K89)</f>
        <v>2291.73</v>
      </c>
      <c r="D89" s="6"/>
      <c r="E89" s="6" t="n">
        <f aca="false">Office!$I$18</f>
        <v>2291.73</v>
      </c>
      <c r="F89" s="6"/>
      <c r="G89" s="6"/>
      <c r="H89" s="6"/>
      <c r="I89" s="6"/>
      <c r="J89" s="6"/>
      <c r="K89" s="6"/>
    </row>
    <row r="90" customFormat="false" ht="15" hidden="false" customHeight="false" outlineLevel="0" collapsed="false">
      <c r="B90" s="5" t="s">
        <v>49</v>
      </c>
      <c r="C90" s="6" t="n">
        <f aca="false">SUM(D90:K90)</f>
        <v>27366.04</v>
      </c>
      <c r="D90" s="6"/>
      <c r="E90" s="6" t="n">
        <f aca="false">Office!$I$19</f>
        <v>27366.04</v>
      </c>
      <c r="F90" s="6"/>
      <c r="G90" s="6"/>
      <c r="H90" s="6"/>
      <c r="I90" s="6"/>
      <c r="J90" s="6"/>
      <c r="K90" s="6"/>
    </row>
    <row r="91" customFormat="false" ht="15" hidden="false" customHeight="false" outlineLevel="0" collapsed="false">
      <c r="B91" s="5" t="s">
        <v>50</v>
      </c>
      <c r="C91" s="6" t="n">
        <f aca="false">SUM(D91:K91)</f>
        <v>22368.43</v>
      </c>
      <c r="D91" s="6"/>
      <c r="E91" s="6" t="n">
        <f aca="false">Office!$I$20</f>
        <v>22368.43</v>
      </c>
      <c r="F91" s="6"/>
      <c r="G91" s="6"/>
      <c r="H91" s="6"/>
      <c r="I91" s="6"/>
      <c r="J91" s="6"/>
      <c r="K91" s="6"/>
    </row>
    <row r="92" customFormat="false" ht="15" hidden="false" customHeight="false" outlineLevel="0" collapsed="false">
      <c r="B92" s="5" t="s">
        <v>51</v>
      </c>
      <c r="C92" s="6" t="n">
        <f aca="false">SUM(D92:K92)</f>
        <v>2085.43</v>
      </c>
      <c r="D92" s="6"/>
      <c r="E92" s="6" t="n">
        <f aca="false">Office!$I$21</f>
        <v>2085.43</v>
      </c>
      <c r="F92" s="6"/>
      <c r="G92" s="6"/>
      <c r="H92" s="6"/>
      <c r="I92" s="6"/>
      <c r="J92" s="6"/>
      <c r="K92" s="6"/>
    </row>
    <row r="93" customFormat="false" ht="15" hidden="false" customHeight="false" outlineLevel="0" collapsed="false">
      <c r="B93" s="5" t="s">
        <v>52</v>
      </c>
      <c r="C93" s="6" t="n">
        <f aca="false">SUM(D93:K93)</f>
        <v>1704.59</v>
      </c>
      <c r="D93" s="6"/>
      <c r="E93" s="6" t="n">
        <f aca="false">Office!$I$22</f>
        <v>1704.59</v>
      </c>
      <c r="F93" s="6"/>
      <c r="G93" s="6"/>
      <c r="H93" s="6"/>
      <c r="I93" s="6"/>
      <c r="J93" s="6"/>
      <c r="K93" s="6"/>
    </row>
    <row r="94" customFormat="false" ht="15" hidden="false" customHeight="false" outlineLevel="0" collapsed="false">
      <c r="B94" s="5" t="s">
        <v>53</v>
      </c>
      <c r="C94" s="6" t="n">
        <f aca="false">SUM(D94:K94)</f>
        <v>8187.59</v>
      </c>
      <c r="D94" s="6"/>
      <c r="E94" s="6"/>
      <c r="F94" s="6" t="n">
        <f aca="false">'Building 1'!$I$17</f>
        <v>8187.59</v>
      </c>
      <c r="G94" s="6"/>
      <c r="H94" s="6"/>
      <c r="I94" s="6"/>
      <c r="J94" s="6"/>
      <c r="K94" s="6"/>
    </row>
    <row r="95" customFormat="false" ht="15" hidden="false" customHeight="false" outlineLevel="0" collapsed="false">
      <c r="B95" s="5" t="s">
        <v>54</v>
      </c>
      <c r="C95" s="6" t="n">
        <f aca="false">SUM(D95:K95)</f>
        <v>4787.27</v>
      </c>
      <c r="D95" s="6"/>
      <c r="E95" s="6"/>
      <c r="F95" s="6" t="n">
        <f aca="false">'Building 1'!$I$18</f>
        <v>4787.27</v>
      </c>
      <c r="G95" s="6"/>
      <c r="H95" s="6"/>
      <c r="I95" s="6"/>
      <c r="J95" s="6"/>
      <c r="K95" s="6"/>
    </row>
    <row r="96" customFormat="false" ht="15" hidden="false" customHeight="false" outlineLevel="0" collapsed="false">
      <c r="B96" s="5" t="s">
        <v>55</v>
      </c>
      <c r="C96" s="6" t="n">
        <f aca="false">SUM(D96:K96)</f>
        <v>79915.16</v>
      </c>
      <c r="D96" s="6"/>
      <c r="E96" s="6"/>
      <c r="F96" s="6" t="n">
        <f aca="false">'Building 1'!$I$19</f>
        <v>79915.16</v>
      </c>
      <c r="G96" s="6"/>
      <c r="H96" s="6"/>
      <c r="I96" s="6"/>
      <c r="J96" s="6"/>
      <c r="K96" s="6"/>
    </row>
    <row r="97" customFormat="false" ht="15" hidden="false" customHeight="false" outlineLevel="0" collapsed="false">
      <c r="B97" s="5" t="s">
        <v>56</v>
      </c>
      <c r="C97" s="6" t="n">
        <f aca="false">SUM(D97:K97)</f>
        <v>46726.43</v>
      </c>
      <c r="D97" s="6"/>
      <c r="E97" s="6"/>
      <c r="F97" s="6" t="n">
        <f aca="false">'Building 1'!$I$20</f>
        <v>46726.43</v>
      </c>
      <c r="G97" s="6"/>
      <c r="H97" s="6"/>
      <c r="I97" s="6"/>
      <c r="J97" s="6"/>
      <c r="K97" s="6"/>
    </row>
    <row r="98" customFormat="false" ht="15" hidden="false" customHeight="false" outlineLevel="0" collapsed="false">
      <c r="B98" s="5" t="s">
        <v>57</v>
      </c>
      <c r="C98" s="6" t="n">
        <f aca="false">SUM(D98:K98)</f>
        <v>6089.95</v>
      </c>
      <c r="D98" s="6"/>
      <c r="E98" s="6"/>
      <c r="F98" s="6" t="n">
        <f aca="false">'Building 1'!$I$21</f>
        <v>6089.95</v>
      </c>
      <c r="G98" s="6"/>
      <c r="H98" s="6"/>
      <c r="I98" s="6"/>
      <c r="J98" s="6"/>
      <c r="K98" s="6"/>
    </row>
    <row r="99" customFormat="false" ht="15" hidden="false" customHeight="false" outlineLevel="0" collapsed="false">
      <c r="B99" s="5" t="s">
        <v>58</v>
      </c>
      <c r="C99" s="6" t="n">
        <f aca="false">SUM(D99:K99)</f>
        <v>3560.8</v>
      </c>
      <c r="D99" s="6"/>
      <c r="E99" s="6"/>
      <c r="F99" s="6" t="n">
        <f aca="false">'Building 1'!$I$22</f>
        <v>3560.8</v>
      </c>
      <c r="G99" s="6"/>
      <c r="H99" s="6"/>
      <c r="I99" s="6"/>
      <c r="J99" s="6"/>
      <c r="K99" s="6"/>
    </row>
    <row r="100" customFormat="false" ht="15" hidden="false" customHeight="false" outlineLevel="0" collapsed="false">
      <c r="B100" s="5" t="s">
        <v>59</v>
      </c>
      <c r="C100" s="6" t="n">
        <f aca="false">SUM(D100:K100)</f>
        <v>7790.52</v>
      </c>
      <c r="D100" s="6"/>
      <c r="E100" s="6"/>
      <c r="F100" s="6"/>
      <c r="G100" s="6" t="n">
        <f aca="false">'Building 2'!$I$17</f>
        <v>7790.52</v>
      </c>
      <c r="H100" s="6"/>
      <c r="I100" s="6"/>
      <c r="J100" s="6"/>
      <c r="K100" s="6"/>
    </row>
    <row r="101" customFormat="false" ht="15" hidden="false" customHeight="false" outlineLevel="0" collapsed="false">
      <c r="B101" s="5" t="s">
        <v>60</v>
      </c>
      <c r="C101" s="6" t="n">
        <f aca="false">SUM(D101:K101)</f>
        <v>4369.09</v>
      </c>
      <c r="D101" s="6"/>
      <c r="E101" s="6"/>
      <c r="F101" s="6"/>
      <c r="G101" s="6" t="n">
        <f aca="false">'Building 2'!$I$18</f>
        <v>4369.09</v>
      </c>
      <c r="H101" s="6"/>
      <c r="I101" s="6"/>
      <c r="J101" s="6"/>
      <c r="K101" s="6"/>
    </row>
    <row r="102" customFormat="false" ht="15" hidden="false" customHeight="false" outlineLevel="0" collapsed="false">
      <c r="B102" s="5" t="s">
        <v>61</v>
      </c>
      <c r="C102" s="6" t="n">
        <f aca="false">SUM(D102:K102)</f>
        <v>76039.51</v>
      </c>
      <c r="D102" s="6"/>
      <c r="E102" s="6"/>
      <c r="F102" s="6"/>
      <c r="G102" s="6" t="n">
        <f aca="false">'Building 2'!$I$19</f>
        <v>76039.51</v>
      </c>
      <c r="H102" s="6"/>
      <c r="I102" s="6"/>
      <c r="J102" s="6"/>
      <c r="K102" s="6"/>
    </row>
    <row r="103" customFormat="false" ht="15" hidden="false" customHeight="false" outlineLevel="0" collapsed="false">
      <c r="B103" s="5" t="s">
        <v>62</v>
      </c>
      <c r="C103" s="6" t="n">
        <f aca="false">SUM(D103:K103)</f>
        <v>42644.64</v>
      </c>
      <c r="D103" s="6"/>
      <c r="E103" s="6"/>
      <c r="F103" s="6"/>
      <c r="G103" s="6" t="n">
        <f aca="false">'Building 2'!$I$20</f>
        <v>42644.64</v>
      </c>
      <c r="H103" s="6"/>
      <c r="I103" s="6"/>
      <c r="J103" s="6"/>
      <c r="K103" s="6"/>
    </row>
    <row r="104" customFormat="false" ht="15" hidden="false" customHeight="false" outlineLevel="0" collapsed="false">
      <c r="B104" s="5" t="s">
        <v>63</v>
      </c>
      <c r="C104" s="6" t="n">
        <f aca="false">SUM(D104:K104)</f>
        <v>5794.61</v>
      </c>
      <c r="D104" s="6"/>
      <c r="E104" s="6"/>
      <c r="F104" s="6"/>
      <c r="G104" s="6" t="n">
        <f aca="false">'Building 2'!$I$21</f>
        <v>5794.61</v>
      </c>
      <c r="H104" s="6"/>
      <c r="I104" s="6"/>
      <c r="J104" s="6"/>
      <c r="K104" s="6"/>
    </row>
    <row r="105" customFormat="false" ht="15" hidden="false" customHeight="false" outlineLevel="0" collapsed="false">
      <c r="B105" s="5" t="s">
        <v>64</v>
      </c>
      <c r="C105" s="6" t="n">
        <f aca="false">SUM(D105:K105)</f>
        <v>3249.76</v>
      </c>
      <c r="D105" s="6"/>
      <c r="E105" s="6"/>
      <c r="F105" s="6"/>
      <c r="G105" s="6" t="n">
        <f aca="false">'Building 2'!$I$22</f>
        <v>3249.76</v>
      </c>
      <c r="H105" s="6"/>
      <c r="I105" s="6"/>
      <c r="J105" s="6"/>
      <c r="K105" s="6"/>
    </row>
    <row r="106" customFormat="false" ht="15" hidden="false" customHeight="false" outlineLevel="0" collapsed="false">
      <c r="B106" s="5" t="s">
        <v>65</v>
      </c>
      <c r="C106" s="6" t="n">
        <f aca="false">SUM(D106:K106)</f>
        <v>8072.77</v>
      </c>
      <c r="D106" s="6"/>
      <c r="E106" s="6"/>
      <c r="F106" s="6"/>
      <c r="G106" s="6"/>
      <c r="H106" s="6" t="n">
        <f aca="false">'Building 3'!$I$17</f>
        <v>8072.77</v>
      </c>
      <c r="I106" s="6"/>
      <c r="J106" s="6"/>
      <c r="K106" s="6"/>
    </row>
    <row r="107" customFormat="false" ht="15" hidden="false" customHeight="false" outlineLevel="0" collapsed="false">
      <c r="B107" s="5" t="s">
        <v>66</v>
      </c>
      <c r="C107" s="6" t="n">
        <f aca="false">SUM(D107:K107)</f>
        <v>4803.35</v>
      </c>
      <c r="D107" s="6"/>
      <c r="E107" s="6"/>
      <c r="F107" s="6"/>
      <c r="G107" s="6"/>
      <c r="H107" s="6" t="n">
        <f aca="false">'Building 3'!$I$18</f>
        <v>4803.35</v>
      </c>
      <c r="I107" s="6"/>
      <c r="J107" s="6"/>
      <c r="K107" s="6"/>
    </row>
    <row r="108" customFormat="false" ht="15" hidden="false" customHeight="false" outlineLevel="0" collapsed="false">
      <c r="B108" s="5" t="s">
        <v>67</v>
      </c>
      <c r="C108" s="6" t="n">
        <f aca="false">SUM(D108:K108)</f>
        <v>78794.38</v>
      </c>
      <c r="D108" s="6"/>
      <c r="E108" s="6"/>
      <c r="F108" s="6"/>
      <c r="G108" s="6"/>
      <c r="H108" s="6" t="n">
        <f aca="false">'Building 3'!$I$19</f>
        <v>78794.38</v>
      </c>
      <c r="I108" s="6"/>
      <c r="J108" s="6"/>
      <c r="K108" s="6"/>
    </row>
    <row r="109" customFormat="false" ht="15" hidden="false" customHeight="false" outlineLevel="0" collapsed="false">
      <c r="B109" s="5" t="s">
        <v>68</v>
      </c>
      <c r="C109" s="6" t="n">
        <f aca="false">SUM(D109:K109)</f>
        <v>46883.11</v>
      </c>
      <c r="D109" s="6"/>
      <c r="E109" s="6"/>
      <c r="F109" s="6"/>
      <c r="G109" s="6"/>
      <c r="H109" s="6" t="n">
        <f aca="false">'Building 3'!$I$20</f>
        <v>46883.11</v>
      </c>
      <c r="I109" s="6"/>
      <c r="J109" s="6"/>
      <c r="K109" s="6"/>
    </row>
    <row r="110" customFormat="false" ht="15" hidden="false" customHeight="false" outlineLevel="0" collapsed="false">
      <c r="B110" s="5" t="s">
        <v>69</v>
      </c>
      <c r="C110" s="6" t="n">
        <f aca="false">SUM(D110:K110)</f>
        <v>6004.53</v>
      </c>
      <c r="D110" s="6"/>
      <c r="E110" s="6"/>
      <c r="F110" s="6"/>
      <c r="G110" s="6"/>
      <c r="H110" s="6" t="n">
        <f aca="false">'Building 3'!$I$21</f>
        <v>6004.53</v>
      </c>
      <c r="I110" s="6"/>
      <c r="J110" s="6"/>
      <c r="K110" s="6"/>
    </row>
    <row r="111" customFormat="false" ht="15" hidden="false" customHeight="false" outlineLevel="0" collapsed="false">
      <c r="B111" s="5" t="s">
        <v>70</v>
      </c>
      <c r="C111" s="6" t="n">
        <f aca="false">SUM(D111:K111)</f>
        <v>3572.75</v>
      </c>
      <c r="D111" s="6"/>
      <c r="E111" s="6"/>
      <c r="F111" s="6"/>
      <c r="G111" s="6"/>
      <c r="H111" s="6" t="n">
        <f aca="false">'Building 3'!$I$22</f>
        <v>3572.75</v>
      </c>
      <c r="I111" s="6"/>
      <c r="J111" s="6"/>
      <c r="K111" s="6"/>
    </row>
    <row r="112" customFormat="false" ht="15" hidden="false" customHeight="false" outlineLevel="0" collapsed="false">
      <c r="B112" s="5" t="s">
        <v>71</v>
      </c>
      <c r="C112" s="6" t="n">
        <f aca="false">SUM(D112:K112)</f>
        <v>8405.66</v>
      </c>
      <c r="D112" s="6"/>
      <c r="E112" s="6"/>
      <c r="F112" s="6"/>
      <c r="G112" s="6"/>
      <c r="H112" s="6"/>
      <c r="I112" s="6" t="n">
        <f aca="false">'Building 4'!$I$17</f>
        <v>8405.66</v>
      </c>
      <c r="J112" s="6"/>
      <c r="K112" s="6"/>
    </row>
    <row r="113" customFormat="false" ht="15" hidden="false" customHeight="false" outlineLevel="0" collapsed="false">
      <c r="B113" s="5" t="s">
        <v>72</v>
      </c>
      <c r="C113" s="6" t="n">
        <f aca="false">SUM(D113:K113)</f>
        <v>4896.77</v>
      </c>
      <c r="D113" s="6"/>
      <c r="E113" s="6"/>
      <c r="F113" s="6"/>
      <c r="G113" s="6"/>
      <c r="H113" s="6"/>
      <c r="I113" s="6" t="n">
        <f aca="false">'Building 4'!$I$18</f>
        <v>4896.77</v>
      </c>
      <c r="J113" s="6"/>
      <c r="K113" s="6"/>
    </row>
    <row r="114" customFormat="false" ht="15" hidden="false" customHeight="false" outlineLevel="0" collapsed="false">
      <c r="B114" s="5" t="s">
        <v>73</v>
      </c>
      <c r="C114" s="6" t="n">
        <f aca="false">SUM(D114:K114)</f>
        <v>82043.63</v>
      </c>
      <c r="D114" s="6"/>
      <c r="E114" s="6"/>
      <c r="F114" s="6"/>
      <c r="G114" s="6"/>
      <c r="H114" s="6"/>
      <c r="I114" s="6" t="n">
        <f aca="false">'Building 4'!$I$19</f>
        <v>82043.63</v>
      </c>
      <c r="J114" s="6"/>
      <c r="K114" s="6"/>
    </row>
    <row r="115" customFormat="false" ht="15" hidden="false" customHeight="false" outlineLevel="0" collapsed="false">
      <c r="B115" s="5" t="s">
        <v>74</v>
      </c>
      <c r="C115" s="6" t="n">
        <f aca="false">SUM(D115:K115)</f>
        <v>47795.01</v>
      </c>
      <c r="D115" s="6"/>
      <c r="E115" s="6"/>
      <c r="F115" s="6"/>
      <c r="G115" s="6"/>
      <c r="H115" s="6"/>
      <c r="I115" s="6" t="n">
        <f aca="false">'Building 4'!$I$20</f>
        <v>47795.01</v>
      </c>
      <c r="J115" s="6"/>
      <c r="K115" s="6"/>
    </row>
    <row r="116" customFormat="false" ht="15" hidden="false" customHeight="false" outlineLevel="0" collapsed="false">
      <c r="B116" s="5" t="s">
        <v>75</v>
      </c>
      <c r="C116" s="6" t="n">
        <f aca="false">SUM(D116:K116)</f>
        <v>6252.15</v>
      </c>
      <c r="D116" s="6"/>
      <c r="E116" s="6"/>
      <c r="F116" s="6"/>
      <c r="G116" s="6"/>
      <c r="H116" s="6"/>
      <c r="I116" s="6" t="n">
        <f aca="false">'Building 4'!$I$21</f>
        <v>6252.15</v>
      </c>
      <c r="J116" s="6"/>
      <c r="K116" s="6"/>
    </row>
    <row r="117" customFormat="false" ht="15" hidden="false" customHeight="false" outlineLevel="0" collapsed="false">
      <c r="B117" s="5" t="s">
        <v>76</v>
      </c>
      <c r="C117" s="6" t="n">
        <f aca="false">SUM(D117:K117)</f>
        <v>3642.23</v>
      </c>
      <c r="D117" s="6"/>
      <c r="E117" s="6"/>
      <c r="F117" s="6"/>
      <c r="G117" s="6"/>
      <c r="H117" s="6"/>
      <c r="I117" s="6" t="n">
        <f aca="false">'Building 4'!$I$22</f>
        <v>3642.23</v>
      </c>
      <c r="J117" s="6"/>
      <c r="K117" s="6"/>
    </row>
    <row r="118" customFormat="false" ht="15" hidden="false" customHeight="false" outlineLevel="0" collapsed="false">
      <c r="B118" s="5" t="s">
        <v>77</v>
      </c>
      <c r="C118" s="6" t="n">
        <f aca="false">SUM(D118:K118)</f>
        <v>8405.66</v>
      </c>
      <c r="D118" s="6"/>
      <c r="E118" s="6"/>
      <c r="F118" s="6"/>
      <c r="G118" s="6"/>
      <c r="H118" s="6"/>
      <c r="I118" s="6"/>
      <c r="J118" s="6" t="n">
        <f aca="false">'Building 5'!$I$17</f>
        <v>8405.66</v>
      </c>
      <c r="K118" s="6"/>
    </row>
    <row r="119" customFormat="false" ht="15" hidden="false" customHeight="false" outlineLevel="0" collapsed="false">
      <c r="B119" s="5" t="s">
        <v>78</v>
      </c>
      <c r="C119" s="6" t="n">
        <f aca="false">SUM(D119:K119)</f>
        <v>5011.28</v>
      </c>
      <c r="D119" s="6"/>
      <c r="E119" s="6"/>
      <c r="F119" s="6"/>
      <c r="G119" s="6"/>
      <c r="H119" s="6"/>
      <c r="I119" s="6"/>
      <c r="J119" s="6" t="n">
        <f aca="false">'Building 5'!$I$18</f>
        <v>5011.28</v>
      </c>
      <c r="K119" s="6"/>
    </row>
    <row r="120" customFormat="false" ht="15" hidden="false" customHeight="false" outlineLevel="0" collapsed="false">
      <c r="B120" s="5" t="s">
        <v>79</v>
      </c>
      <c r="C120" s="6" t="n">
        <f aca="false">SUM(D120:K120)</f>
        <v>82043.63</v>
      </c>
      <c r="D120" s="6"/>
      <c r="E120" s="6"/>
      <c r="F120" s="6"/>
      <c r="G120" s="6"/>
      <c r="H120" s="6"/>
      <c r="I120" s="6"/>
      <c r="J120" s="6" t="n">
        <f aca="false">'Building 5'!$I$19</f>
        <v>82043.63</v>
      </c>
      <c r="K120" s="6"/>
    </row>
    <row r="121" customFormat="false" ht="15" hidden="false" customHeight="false" outlineLevel="0" collapsed="false">
      <c r="B121" s="5" t="s">
        <v>80</v>
      </c>
      <c r="C121" s="6" t="n">
        <f aca="false">SUM(D121:K121)</f>
        <v>48912.91</v>
      </c>
      <c r="D121" s="6"/>
      <c r="E121" s="6"/>
      <c r="F121" s="6"/>
      <c r="G121" s="6"/>
      <c r="H121" s="6"/>
      <c r="I121" s="6"/>
      <c r="J121" s="6" t="n">
        <f aca="false">'Building 5'!$I$20</f>
        <v>48912.91</v>
      </c>
      <c r="K121" s="6"/>
    </row>
    <row r="122" customFormat="false" ht="15" hidden="false" customHeight="false" outlineLevel="0" collapsed="false">
      <c r="B122" s="5" t="s">
        <v>81</v>
      </c>
      <c r="C122" s="6" t="n">
        <f aca="false">SUM(D122:K122)</f>
        <v>6252.15</v>
      </c>
      <c r="D122" s="6"/>
      <c r="E122" s="6"/>
      <c r="F122" s="6"/>
      <c r="G122" s="6"/>
      <c r="H122" s="6"/>
      <c r="I122" s="6"/>
      <c r="J122" s="6" t="n">
        <f aca="false">'Building 5'!$I$21</f>
        <v>6252.15</v>
      </c>
      <c r="K122" s="6"/>
    </row>
    <row r="123" customFormat="false" ht="15" hidden="false" customHeight="false" outlineLevel="0" collapsed="false">
      <c r="B123" s="5" t="s">
        <v>82</v>
      </c>
      <c r="C123" s="6" t="n">
        <f aca="false">SUM(D123:K123)</f>
        <v>3727.41</v>
      </c>
      <c r="D123" s="6"/>
      <c r="E123" s="6"/>
      <c r="F123" s="6"/>
      <c r="G123" s="6"/>
      <c r="H123" s="6"/>
      <c r="I123" s="6"/>
      <c r="J123" s="6" t="n">
        <f aca="false">'Building 5'!$I$22</f>
        <v>3727.41</v>
      </c>
      <c r="K123" s="6"/>
    </row>
    <row r="124" customFormat="false" ht="15" hidden="false" customHeight="false" outlineLevel="0" collapsed="false">
      <c r="B124" s="5" t="s">
        <v>83</v>
      </c>
      <c r="C124" s="6" t="n">
        <f aca="false">SUM(D124:K124)</f>
        <v>23596</v>
      </c>
      <c r="D124" s="6"/>
      <c r="E124" s="6"/>
      <c r="F124" s="6"/>
      <c r="G124" s="6"/>
      <c r="H124" s="6"/>
      <c r="I124" s="6"/>
      <c r="J124" s="6"/>
      <c r="K124" s="6" t="n">
        <f aca="false">Imp!$I$15</f>
        <v>23596</v>
      </c>
    </row>
    <row r="125" customFormat="false" ht="15" hidden="false" customHeight="false" outlineLevel="0" collapsed="false">
      <c r="B125" s="5" t="s">
        <v>84</v>
      </c>
      <c r="C125" s="6" t="n">
        <f aca="false">SUM(D125:K125)</f>
        <v>7891.4</v>
      </c>
      <c r="D125" s="6"/>
      <c r="E125" s="6"/>
      <c r="F125" s="6"/>
      <c r="G125" s="6"/>
      <c r="H125" s="6"/>
      <c r="I125" s="6"/>
      <c r="J125" s="6"/>
      <c r="K125" s="6" t="n">
        <f aca="false">Imp!$I$16</f>
        <v>7891.4</v>
      </c>
    </row>
    <row r="126" customFormat="false" ht="15" hidden="false" customHeight="false" outlineLevel="0" collapsed="false">
      <c r="A126" s="7"/>
      <c r="B126" s="8" t="s">
        <v>89</v>
      </c>
      <c r="C126" s="9" t="n">
        <f aca="false">SUM(C82:C125)</f>
        <v>1067916.54</v>
      </c>
      <c r="D126" s="9" t="n">
        <f aca="false">SUM(D82:D125)</f>
        <v>233134.46</v>
      </c>
      <c r="E126" s="9" t="n">
        <f aca="false">SUM(E82:E125)</f>
        <v>58619.97</v>
      </c>
      <c r="F126" s="9" t="n">
        <f aca="false">SUM(F82:F125)</f>
        <v>149267.2</v>
      </c>
      <c r="G126" s="9" t="n">
        <f aca="false">SUM(G82:G125)</f>
        <v>139888.13</v>
      </c>
      <c r="H126" s="9" t="n">
        <f aca="false">SUM(H82:H125)</f>
        <v>148130.89</v>
      </c>
      <c r="I126" s="9" t="n">
        <f aca="false">SUM(I82:I125)</f>
        <v>153035.45</v>
      </c>
      <c r="J126" s="9" t="n">
        <f aca="false">SUM(J82:J125)</f>
        <v>154353.04</v>
      </c>
      <c r="K126" s="9" t="n">
        <f aca="false">SUM(K82:K125)</f>
        <v>31487.4</v>
      </c>
    </row>
    <row r="127" customFormat="false" ht="15" hidden="false" customHeight="false" outlineLevel="0" collapsed="false">
      <c r="A127" s="13"/>
      <c r="B127" s="14" t="s">
        <v>90</v>
      </c>
      <c r="C127" s="15" t="n">
        <f aca="false">C81-C126</f>
        <v>-257873.54</v>
      </c>
      <c r="D127" s="15" t="n">
        <f aca="false">D81-D126</f>
        <v>-144455.14</v>
      </c>
      <c r="E127" s="15" t="n">
        <f aca="false">E81-E126</f>
        <v>-1057.75999999999</v>
      </c>
      <c r="F127" s="15" t="n">
        <f aca="false">F81-F126</f>
        <v>-21476.99</v>
      </c>
      <c r="G127" s="15" t="n">
        <f aca="false">G81-G126</f>
        <v>-22230.91</v>
      </c>
      <c r="H127" s="15" t="n">
        <f aca="false">H81-H126</f>
        <v>-20372.84</v>
      </c>
      <c r="I127" s="15" t="n">
        <f aca="false">I81-I126</f>
        <v>-22223.02</v>
      </c>
      <c r="J127" s="15" t="n">
        <f aca="false">J81-J126</f>
        <v>-21117.48</v>
      </c>
      <c r="K127" s="15" t="n">
        <f aca="false">K81-K126</f>
        <v>-4939.4</v>
      </c>
    </row>
    <row r="128" customFormat="false" ht="15" hidden="false" customHeight="false" outlineLevel="0" collapsed="false">
      <c r="B128" s="16" t="s">
        <v>91</v>
      </c>
      <c r="C128" s="17" t="n">
        <f aca="false">C127-(-257873.54)</f>
        <v>0</v>
      </c>
      <c r="D128" s="17" t="n">
        <f aca="false">D127-Site!$D$28</f>
        <v>0</v>
      </c>
      <c r="E128" s="17" t="n">
        <f aca="false">E127-Office!$D$28</f>
        <v>0</v>
      </c>
      <c r="F128" s="17" t="n">
        <f aca="false">F127-'Building 1'!$D$28</f>
        <v>0</v>
      </c>
      <c r="G128" s="17" t="n">
        <f aca="false">G127-'Building 2'!$D$28</f>
        <v>0</v>
      </c>
      <c r="H128" s="17" t="n">
        <f aca="false">H127-'Building 3'!$D$28</f>
        <v>0</v>
      </c>
      <c r="I128" s="17" t="n">
        <f aca="false">I127-'Building 4'!$D$28</f>
        <v>0</v>
      </c>
      <c r="J128" s="17" t="n">
        <f aca="false">J127-'Building 5'!$D$28</f>
        <v>0</v>
      </c>
      <c r="K128" s="17" t="n">
        <f aca="false">K127-Imp!$D$22</f>
        <v>0</v>
      </c>
    </row>
    <row r="130" customFormat="false" ht="15" hidden="false" customHeight="false" outlineLevel="0" collapsed="false">
      <c r="B130" s="18" t="s">
        <v>92</v>
      </c>
    </row>
    <row r="131" customFormat="false" ht="15" hidden="false" customHeight="false" outlineLevel="0" collapsed="false">
      <c r="B131" s="19" t="s">
        <v>93</v>
      </c>
    </row>
    <row r="132" customFormat="false" ht="15" hidden="false" customHeight="false" outlineLevel="0" collapsed="false">
      <c r="B132" s="19" t="s">
        <v>94</v>
      </c>
    </row>
    <row r="133" customFormat="false" ht="15" hidden="false" customHeight="false" outlineLevel="0" collapsed="false">
      <c r="B133" s="19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96</v>
      </c>
    </row>
    <row r="5" customFormat="false" ht="15" hidden="false" customHeight="false" outlineLevel="0" collapsed="false">
      <c r="A5" s="16" t="s">
        <v>97</v>
      </c>
    </row>
    <row r="7" customFormat="false" ht="15" hidden="false" customHeight="false" outlineLevel="0" collapsed="false">
      <c r="A7" s="10" t="s">
        <v>98</v>
      </c>
    </row>
    <row r="8" customFormat="false" ht="15" hidden="false" customHeight="false" outlineLevel="0" collapsed="false">
      <c r="A8" s="21" t="s">
        <v>99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100</v>
      </c>
      <c r="B9" s="4" t="s">
        <v>101</v>
      </c>
      <c r="C9" s="4" t="s">
        <v>102</v>
      </c>
      <c r="D9" s="4" t="s">
        <v>103</v>
      </c>
      <c r="E9" s="4" t="s">
        <v>104</v>
      </c>
      <c r="F9" s="4" t="s">
        <v>105</v>
      </c>
      <c r="G9" s="4" t="s">
        <v>106</v>
      </c>
      <c r="H9" s="4" t="s">
        <v>107</v>
      </c>
      <c r="I9" s="4" t="s">
        <v>108</v>
      </c>
      <c r="J9" s="4" t="s">
        <v>109</v>
      </c>
      <c r="K9" s="4" t="s">
        <v>110</v>
      </c>
      <c r="L9" s="4" t="s">
        <v>111</v>
      </c>
    </row>
    <row r="10" customFormat="false" ht="15" hidden="false" customHeight="false" outlineLevel="0" collapsed="false">
      <c r="A10" s="23" t="n">
        <v>1</v>
      </c>
      <c r="B10" s="23" t="s">
        <v>16</v>
      </c>
      <c r="C10" s="23" t="s">
        <v>15</v>
      </c>
      <c r="D10" s="24" t="n">
        <v>27390.6</v>
      </c>
      <c r="E10" s="24" t="n">
        <v>0</v>
      </c>
      <c r="F10" s="24" t="n">
        <v>27390.6</v>
      </c>
      <c r="G10" s="24" t="n">
        <v>27390.6</v>
      </c>
      <c r="H10" s="24" t="n">
        <v>0</v>
      </c>
      <c r="I10" s="24" t="n">
        <f aca="false">G10+H10</f>
        <v>27390.6</v>
      </c>
      <c r="J10" s="24" t="n">
        <f aca="false">D10-I10</f>
        <v>0</v>
      </c>
      <c r="K10" s="25" t="s">
        <v>112</v>
      </c>
      <c r="L10" s="25" t="s">
        <v>113</v>
      </c>
    </row>
    <row r="11" customFormat="false" ht="15" hidden="false" customHeight="false" outlineLevel="0" collapsed="false">
      <c r="A11" s="23" t="n">
        <v>2</v>
      </c>
      <c r="B11" s="23" t="s">
        <v>17</v>
      </c>
      <c r="C11" s="23" t="s">
        <v>15</v>
      </c>
      <c r="D11" s="24" t="n">
        <v>267346.37</v>
      </c>
      <c r="E11" s="24" t="n">
        <v>0</v>
      </c>
      <c r="F11" s="24" t="n">
        <v>0</v>
      </c>
      <c r="G11" s="24" t="n">
        <v>31193.81</v>
      </c>
      <c r="H11" s="24" t="n">
        <v>9721.74</v>
      </c>
      <c r="I11" s="24" t="n">
        <f aca="false">G11+H11</f>
        <v>40915.55</v>
      </c>
      <c r="J11" s="24" t="n">
        <f aca="false">D11-I11</f>
        <v>226430.82</v>
      </c>
      <c r="K11" s="25" t="s">
        <v>114</v>
      </c>
      <c r="L11" s="25" t="s">
        <v>115</v>
      </c>
    </row>
    <row r="12" customFormat="false" ht="15" hidden="false" customHeight="false" outlineLevel="0" collapsed="false">
      <c r="A12" s="23" t="n">
        <v>3</v>
      </c>
      <c r="B12" s="23" t="s">
        <v>18</v>
      </c>
      <c r="C12" s="23" t="s">
        <v>15</v>
      </c>
      <c r="D12" s="24" t="n">
        <v>20373.17</v>
      </c>
      <c r="E12" s="24" t="n">
        <v>0</v>
      </c>
      <c r="F12" s="24" t="n">
        <v>20373.17</v>
      </c>
      <c r="G12" s="24" t="n">
        <v>20373.17</v>
      </c>
      <c r="H12" s="24" t="n">
        <v>0</v>
      </c>
      <c r="I12" s="24" t="n">
        <f aca="false">G12+H12</f>
        <v>20373.17</v>
      </c>
      <c r="J12" s="24" t="n">
        <f aca="false">D12-I12</f>
        <v>0</v>
      </c>
      <c r="K12" s="25" t="s">
        <v>116</v>
      </c>
      <c r="L12" s="25" t="s">
        <v>117</v>
      </c>
    </row>
    <row r="13" customFormat="false" ht="15" hidden="false" customHeight="false" outlineLevel="0" collapsed="false">
      <c r="A13" s="26"/>
      <c r="B13" s="27" t="s">
        <v>39</v>
      </c>
      <c r="C13" s="26"/>
      <c r="D13" s="28" t="n">
        <f aca="false">SUM(D10:D12)</f>
        <v>315110.14</v>
      </c>
      <c r="E13" s="28" t="n">
        <f aca="false">SUM(E10:E12)</f>
        <v>0</v>
      </c>
      <c r="F13" s="28" t="n">
        <f aca="false">SUM(F10:F12)</f>
        <v>47763.77</v>
      </c>
      <c r="G13" s="28" t="n">
        <f aca="false">SUM(G10:G12)</f>
        <v>78957.58</v>
      </c>
      <c r="H13" s="28" t="n">
        <f aca="false">SUM(H10:H12)</f>
        <v>9721.74</v>
      </c>
      <c r="I13" s="28" t="n">
        <f aca="false">SUM(I10:I12)</f>
        <v>88679.32</v>
      </c>
      <c r="J13" s="28" t="n">
        <f aca="false">SUM(J10:J12)</f>
        <v>226430.82</v>
      </c>
      <c r="K13" s="26"/>
      <c r="L13" s="26"/>
    </row>
    <row r="15" customFormat="false" ht="15" hidden="false" customHeight="false" outlineLevel="0" collapsed="false">
      <c r="A15" s="21" t="s">
        <v>118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100</v>
      </c>
      <c r="B16" s="4" t="s">
        <v>101</v>
      </c>
      <c r="C16" s="4" t="s">
        <v>102</v>
      </c>
      <c r="D16" s="4" t="s">
        <v>103</v>
      </c>
      <c r="E16" s="4" t="s">
        <v>104</v>
      </c>
      <c r="F16" s="4" t="s">
        <v>105</v>
      </c>
      <c r="G16" s="4" t="s">
        <v>106</v>
      </c>
      <c r="H16" s="4" t="s">
        <v>107</v>
      </c>
      <c r="I16" s="4" t="s">
        <v>108</v>
      </c>
      <c r="J16" s="4" t="s">
        <v>109</v>
      </c>
      <c r="K16" s="4" t="s">
        <v>110</v>
      </c>
      <c r="L16" s="4" t="s">
        <v>111</v>
      </c>
    </row>
    <row r="17" customFormat="false" ht="15" hidden="false" customHeight="false" outlineLevel="0" collapsed="false">
      <c r="A17" s="23" t="n">
        <v>1</v>
      </c>
      <c r="B17" s="23" t="s">
        <v>41</v>
      </c>
      <c r="C17" s="23" t="s">
        <v>15</v>
      </c>
      <c r="D17" s="24" t="n">
        <v>18977.49</v>
      </c>
      <c r="E17" s="24" t="n">
        <v>0</v>
      </c>
      <c r="F17" s="24" t="n">
        <v>18977.49</v>
      </c>
      <c r="G17" s="24" t="n">
        <v>18977.49</v>
      </c>
      <c r="H17" s="24" t="n">
        <v>0</v>
      </c>
      <c r="I17" s="24" t="n">
        <f aca="false">G17+H17</f>
        <v>18977.49</v>
      </c>
      <c r="J17" s="24" t="n">
        <f aca="false">D17-I17</f>
        <v>0</v>
      </c>
      <c r="K17" s="25" t="s">
        <v>112</v>
      </c>
      <c r="L17" s="25" t="s">
        <v>113</v>
      </c>
    </row>
    <row r="18" customFormat="false" ht="15" hidden="false" customHeight="false" outlineLevel="0" collapsed="false">
      <c r="A18" s="23" t="n">
        <v>2</v>
      </c>
      <c r="B18" s="23" t="s">
        <v>42</v>
      </c>
      <c r="C18" s="23" t="s">
        <v>15</v>
      </c>
      <c r="D18" s="24" t="n">
        <v>8413.11</v>
      </c>
      <c r="E18" s="24" t="n">
        <v>0</v>
      </c>
      <c r="F18" s="24" t="n">
        <v>0</v>
      </c>
      <c r="G18" s="24" t="n">
        <v>981.53</v>
      </c>
      <c r="H18" s="24" t="n">
        <v>305.93</v>
      </c>
      <c r="I18" s="24" t="n">
        <f aca="false">G18+H18</f>
        <v>1287.46</v>
      </c>
      <c r="J18" s="24" t="n">
        <f aca="false">D18-I18</f>
        <v>7125.65</v>
      </c>
      <c r="K18" s="25" t="s">
        <v>114</v>
      </c>
      <c r="L18" s="25" t="s">
        <v>115</v>
      </c>
    </row>
    <row r="19" customFormat="false" ht="15" hidden="false" customHeight="false" outlineLevel="0" collapsed="false">
      <c r="A19" s="23" t="n">
        <v>3</v>
      </c>
      <c r="B19" s="23" t="s">
        <v>43</v>
      </c>
      <c r="C19" s="23" t="s">
        <v>15</v>
      </c>
      <c r="D19" s="24" t="n">
        <v>185230.12</v>
      </c>
      <c r="E19" s="24" t="n">
        <v>0</v>
      </c>
      <c r="F19" s="24" t="n">
        <v>185230.12</v>
      </c>
      <c r="G19" s="24" t="n">
        <v>185230.12</v>
      </c>
      <c r="H19" s="24" t="n">
        <v>0</v>
      </c>
      <c r="I19" s="24" t="n">
        <f aca="false">G19+H19</f>
        <v>185230.12</v>
      </c>
      <c r="J19" s="24" t="n">
        <f aca="false">D19-I19</f>
        <v>0</v>
      </c>
      <c r="K19" s="25" t="s">
        <v>112</v>
      </c>
      <c r="L19" s="25" t="s">
        <v>113</v>
      </c>
    </row>
    <row r="20" customFormat="false" ht="15" hidden="false" customHeight="false" outlineLevel="0" collapsed="false">
      <c r="A20" s="23" t="n">
        <v>4</v>
      </c>
      <c r="B20" s="23" t="s">
        <v>44</v>
      </c>
      <c r="C20" s="23" t="s">
        <v>15</v>
      </c>
      <c r="D20" s="24" t="n">
        <v>82116.25</v>
      </c>
      <c r="E20" s="24" t="n">
        <v>0</v>
      </c>
      <c r="F20" s="24" t="n">
        <v>0</v>
      </c>
      <c r="G20" s="24" t="n">
        <v>9580.24</v>
      </c>
      <c r="H20" s="24" t="n">
        <v>2986.05</v>
      </c>
      <c r="I20" s="24" t="n">
        <f aca="false">G20+H20</f>
        <v>12566.29</v>
      </c>
      <c r="J20" s="24" t="n">
        <f aca="false">D20-I20</f>
        <v>69549.96</v>
      </c>
      <c r="K20" s="25" t="s">
        <v>114</v>
      </c>
      <c r="L20" s="25" t="s">
        <v>115</v>
      </c>
    </row>
    <row r="21" customFormat="false" ht="15" hidden="false" customHeight="false" outlineLevel="0" collapsed="false">
      <c r="A21" s="23" t="n">
        <v>5</v>
      </c>
      <c r="B21" s="23" t="s">
        <v>45</v>
      </c>
      <c r="C21" s="23" t="s">
        <v>15</v>
      </c>
      <c r="D21" s="24" t="n">
        <v>14115.49</v>
      </c>
      <c r="E21" s="24" t="n">
        <v>0</v>
      </c>
      <c r="F21" s="24" t="n">
        <v>14115.49</v>
      </c>
      <c r="G21" s="24" t="n">
        <v>14115.49</v>
      </c>
      <c r="H21" s="24" t="n">
        <v>0</v>
      </c>
      <c r="I21" s="24" t="n">
        <f aca="false">G21+H21</f>
        <v>14115.49</v>
      </c>
      <c r="J21" s="24" t="n">
        <f aca="false">D21-I21</f>
        <v>0</v>
      </c>
      <c r="K21" s="25" t="s">
        <v>112</v>
      </c>
      <c r="L21" s="25" t="s">
        <v>113</v>
      </c>
    </row>
    <row r="22" customFormat="false" ht="15" hidden="false" customHeight="false" outlineLevel="0" collapsed="false">
      <c r="A22" s="23" t="n">
        <v>6</v>
      </c>
      <c r="B22" s="23" t="s">
        <v>46</v>
      </c>
      <c r="C22" s="23" t="s">
        <v>15</v>
      </c>
      <c r="D22" s="24" t="n">
        <v>6257.68</v>
      </c>
      <c r="E22" s="24" t="n">
        <v>0</v>
      </c>
      <c r="F22" s="24" t="n">
        <v>0</v>
      </c>
      <c r="G22" s="24" t="n">
        <v>730.06</v>
      </c>
      <c r="H22" s="24" t="n">
        <v>227.55</v>
      </c>
      <c r="I22" s="24" t="n">
        <f aca="false">G22+H22</f>
        <v>957.61</v>
      </c>
      <c r="J22" s="24" t="n">
        <f aca="false">D22-I22</f>
        <v>5300.07</v>
      </c>
      <c r="K22" s="25" t="s">
        <v>114</v>
      </c>
      <c r="L22" s="25" t="s">
        <v>115</v>
      </c>
    </row>
    <row r="23" customFormat="false" ht="15" hidden="false" customHeight="false" outlineLevel="0" collapsed="false">
      <c r="A23" s="26"/>
      <c r="B23" s="27" t="s">
        <v>39</v>
      </c>
      <c r="C23" s="26"/>
      <c r="D23" s="28" t="n">
        <f aca="false">SUM(D17:D22)</f>
        <v>315110.14</v>
      </c>
      <c r="E23" s="28" t="n">
        <f aca="false">SUM(E17:E22)</f>
        <v>0</v>
      </c>
      <c r="F23" s="28" t="n">
        <f aca="false">SUM(F17:F22)</f>
        <v>218323.1</v>
      </c>
      <c r="G23" s="28" t="n">
        <f aca="false">SUM(G17:G22)</f>
        <v>229614.93</v>
      </c>
      <c r="H23" s="28" t="n">
        <f aca="false">SUM(H17:H22)</f>
        <v>3519.53</v>
      </c>
      <c r="I23" s="28" t="n">
        <f aca="false">SUM(I17:I22)</f>
        <v>233134.46</v>
      </c>
      <c r="J23" s="28" t="n">
        <f aca="false">SUM(J17:J22)</f>
        <v>81975.68</v>
      </c>
      <c r="K23" s="26"/>
      <c r="L23" s="26"/>
    </row>
    <row r="25" customFormat="false" ht="15" hidden="false" customHeight="false" outlineLevel="0" collapsed="false">
      <c r="B25" s="18" t="s">
        <v>119</v>
      </c>
    </row>
    <row r="26" customFormat="false" ht="15" hidden="false" customHeight="false" outlineLevel="0" collapsed="false">
      <c r="B26" s="5" t="s">
        <v>120</v>
      </c>
      <c r="D26" s="6" t="n">
        <f aca="false">I13</f>
        <v>88679.32</v>
      </c>
    </row>
    <row r="27" customFormat="false" ht="15" hidden="false" customHeight="false" outlineLevel="0" collapsed="false">
      <c r="B27" s="5" t="s">
        <v>121</v>
      </c>
      <c r="D27" s="6" t="n">
        <f aca="false">I23</f>
        <v>233134.46</v>
      </c>
    </row>
    <row r="28" customFormat="false" ht="15" hidden="false" customHeight="false" outlineLevel="0" collapsed="false">
      <c r="B28" s="11" t="s">
        <v>119</v>
      </c>
      <c r="D28" s="29" t="n">
        <f aca="false">D26-D27</f>
        <v>-144455.14</v>
      </c>
    </row>
    <row r="30" customFormat="false" ht="15" hidden="false" customHeight="false" outlineLevel="0" collapsed="false">
      <c r="A30" s="10" t="s">
        <v>122</v>
      </c>
    </row>
    <row r="31" customFormat="false" ht="15" hidden="false" customHeight="false" outlineLevel="0" collapsed="false">
      <c r="A31" s="21" t="s">
        <v>123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100</v>
      </c>
      <c r="B32" s="4" t="s">
        <v>101</v>
      </c>
      <c r="C32" s="4" t="s">
        <v>102</v>
      </c>
      <c r="D32" s="4" t="s">
        <v>103</v>
      </c>
      <c r="E32" s="4" t="s">
        <v>104</v>
      </c>
      <c r="F32" s="4" t="s">
        <v>105</v>
      </c>
      <c r="G32" s="4" t="s">
        <v>124</v>
      </c>
      <c r="H32" s="4" t="s">
        <v>125</v>
      </c>
      <c r="I32" s="4" t="s">
        <v>108</v>
      </c>
      <c r="J32" s="4" t="s">
        <v>109</v>
      </c>
      <c r="K32" s="4" t="s">
        <v>110</v>
      </c>
      <c r="L32" s="4" t="s">
        <v>111</v>
      </c>
    </row>
    <row r="33" customFormat="false" ht="15" hidden="false" customHeight="false" outlineLevel="0" collapsed="false">
      <c r="A33" s="23" t="n">
        <v>1</v>
      </c>
      <c r="B33" s="23" t="s">
        <v>16</v>
      </c>
      <c r="C33" s="23" t="s">
        <v>15</v>
      </c>
      <c r="D33" s="24" t="n">
        <v>27390.6</v>
      </c>
      <c r="E33" s="24" t="n">
        <v>0</v>
      </c>
      <c r="F33" s="24" t="n">
        <v>27390.6</v>
      </c>
      <c r="G33" s="24" t="n">
        <v>27390.6</v>
      </c>
      <c r="H33" s="24" t="n">
        <v>0</v>
      </c>
      <c r="I33" s="24" t="n">
        <f aca="false">G33+H33</f>
        <v>27390.6</v>
      </c>
      <c r="J33" s="24" t="n">
        <f aca="false">D33-I33</f>
        <v>0</v>
      </c>
      <c r="K33" s="25" t="s">
        <v>112</v>
      </c>
      <c r="L33" s="25" t="s">
        <v>113</v>
      </c>
    </row>
    <row r="34" customFormat="false" ht="15" hidden="false" customHeight="false" outlineLevel="0" collapsed="false">
      <c r="A34" s="23" t="n">
        <v>2</v>
      </c>
      <c r="B34" s="23" t="s">
        <v>17</v>
      </c>
      <c r="C34" s="23" t="s">
        <v>15</v>
      </c>
      <c r="D34" s="24" t="n">
        <v>267346.37</v>
      </c>
      <c r="E34" s="24" t="n">
        <v>0</v>
      </c>
      <c r="F34" s="24" t="n">
        <v>0</v>
      </c>
      <c r="G34" s="24" t="n">
        <v>31193.81</v>
      </c>
      <c r="H34" s="24" t="n">
        <v>9721.74</v>
      </c>
      <c r="I34" s="24" t="n">
        <f aca="false">G34+H34</f>
        <v>40915.55</v>
      </c>
      <c r="J34" s="24" t="n">
        <f aca="false">D34-I34</f>
        <v>226430.82</v>
      </c>
      <c r="K34" s="25" t="s">
        <v>114</v>
      </c>
      <c r="L34" s="25" t="s">
        <v>115</v>
      </c>
    </row>
    <row r="35" customFormat="false" ht="15" hidden="false" customHeight="false" outlineLevel="0" collapsed="false">
      <c r="A35" s="23" t="n">
        <v>3</v>
      </c>
      <c r="B35" s="23" t="s">
        <v>18</v>
      </c>
      <c r="C35" s="23" t="s">
        <v>15</v>
      </c>
      <c r="D35" s="24" t="n">
        <v>20373.17</v>
      </c>
      <c r="E35" s="24" t="n">
        <v>0</v>
      </c>
      <c r="F35" s="24" t="n">
        <v>20373.17</v>
      </c>
      <c r="G35" s="24" t="n">
        <v>20373.17</v>
      </c>
      <c r="H35" s="24" t="n">
        <v>0</v>
      </c>
      <c r="I35" s="24" t="n">
        <f aca="false">G35+H35</f>
        <v>20373.17</v>
      </c>
      <c r="J35" s="24" t="n">
        <f aca="false">D35-I35</f>
        <v>0</v>
      </c>
      <c r="K35" s="25" t="s">
        <v>116</v>
      </c>
      <c r="L35" s="25" t="s">
        <v>117</v>
      </c>
    </row>
    <row r="36" customFormat="false" ht="15" hidden="false" customHeight="false" outlineLevel="0" collapsed="false">
      <c r="A36" s="26"/>
      <c r="B36" s="27" t="s">
        <v>39</v>
      </c>
      <c r="C36" s="26"/>
      <c r="D36" s="28" t="n">
        <f aca="false">SUM(D33:D35)</f>
        <v>315110.14</v>
      </c>
      <c r="E36" s="28" t="n">
        <f aca="false">SUM(E33:E35)</f>
        <v>0</v>
      </c>
      <c r="F36" s="28" t="n">
        <f aca="false">SUM(F33:F35)</f>
        <v>47763.77</v>
      </c>
      <c r="G36" s="28" t="n">
        <f aca="false">SUM(G33:G35)</f>
        <v>78957.58</v>
      </c>
      <c r="H36" s="28" t="n">
        <f aca="false">SUM(H33:H35)</f>
        <v>9721.74</v>
      </c>
      <c r="I36" s="28" t="n">
        <f aca="false">SUM(I33:I35)</f>
        <v>88679.32</v>
      </c>
      <c r="J36" s="28" t="n">
        <f aca="false">SUM(J33:J35)</f>
        <v>226430.82</v>
      </c>
      <c r="K36" s="26"/>
      <c r="L36" s="26"/>
    </row>
    <row r="38" customFormat="false" ht="15" hidden="false" customHeight="false" outlineLevel="0" collapsed="false">
      <c r="A38" s="21" t="s">
        <v>126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100</v>
      </c>
      <c r="B39" s="4" t="s">
        <v>101</v>
      </c>
      <c r="C39" s="4" t="s">
        <v>102</v>
      </c>
      <c r="D39" s="4" t="s">
        <v>103</v>
      </c>
      <c r="E39" s="4" t="s">
        <v>104</v>
      </c>
      <c r="F39" s="4" t="s">
        <v>105</v>
      </c>
      <c r="G39" s="4" t="s">
        <v>124</v>
      </c>
      <c r="H39" s="4" t="s">
        <v>125</v>
      </c>
      <c r="I39" s="4" t="s">
        <v>108</v>
      </c>
      <c r="J39" s="4" t="s">
        <v>109</v>
      </c>
      <c r="K39" s="4" t="s">
        <v>110</v>
      </c>
      <c r="L39" s="4" t="s">
        <v>111</v>
      </c>
    </row>
    <row r="40" customFormat="false" ht="15" hidden="false" customHeight="false" outlineLevel="0" collapsed="false">
      <c r="A40" s="23" t="n">
        <v>1</v>
      </c>
      <c r="B40" s="23" t="s">
        <v>41</v>
      </c>
      <c r="C40" s="23" t="s">
        <v>15</v>
      </c>
      <c r="D40" s="24" t="n">
        <v>18977.49</v>
      </c>
      <c r="E40" s="24" t="n">
        <v>0</v>
      </c>
      <c r="F40" s="24" t="n">
        <v>18977.49</v>
      </c>
      <c r="G40" s="24" t="n">
        <v>18977.49</v>
      </c>
      <c r="H40" s="24" t="n">
        <v>0</v>
      </c>
      <c r="I40" s="24" t="n">
        <f aca="false">G40+H40</f>
        <v>18977.49</v>
      </c>
      <c r="J40" s="24" t="n">
        <f aca="false">D40-I40</f>
        <v>0</v>
      </c>
      <c r="K40" s="25" t="s">
        <v>112</v>
      </c>
      <c r="L40" s="25" t="s">
        <v>113</v>
      </c>
    </row>
    <row r="41" customFormat="false" ht="15" hidden="false" customHeight="false" outlineLevel="0" collapsed="false">
      <c r="A41" s="23" t="n">
        <v>2</v>
      </c>
      <c r="B41" s="23" t="s">
        <v>42</v>
      </c>
      <c r="C41" s="23" t="s">
        <v>15</v>
      </c>
      <c r="D41" s="24" t="n">
        <v>8413.11</v>
      </c>
      <c r="E41" s="24" t="n">
        <v>0</v>
      </c>
      <c r="F41" s="24" t="n">
        <v>0</v>
      </c>
      <c r="G41" s="24" t="n">
        <v>981.53</v>
      </c>
      <c r="H41" s="24" t="n">
        <v>305.93</v>
      </c>
      <c r="I41" s="24" t="n">
        <f aca="false">G41+H41</f>
        <v>1287.46</v>
      </c>
      <c r="J41" s="24" t="n">
        <f aca="false">D41-I41</f>
        <v>7125.65</v>
      </c>
      <c r="K41" s="25" t="s">
        <v>114</v>
      </c>
      <c r="L41" s="25" t="s">
        <v>115</v>
      </c>
    </row>
    <row r="42" customFormat="false" ht="15" hidden="false" customHeight="false" outlineLevel="0" collapsed="false">
      <c r="A42" s="23" t="n">
        <v>3</v>
      </c>
      <c r="B42" s="23" t="s">
        <v>43</v>
      </c>
      <c r="C42" s="23" t="s">
        <v>15</v>
      </c>
      <c r="D42" s="24" t="n">
        <v>185230.12</v>
      </c>
      <c r="E42" s="24" t="n">
        <v>0</v>
      </c>
      <c r="F42" s="24" t="n">
        <v>185230.12</v>
      </c>
      <c r="G42" s="24" t="n">
        <v>185230.12</v>
      </c>
      <c r="H42" s="24" t="n">
        <v>0</v>
      </c>
      <c r="I42" s="24" t="n">
        <f aca="false">G42+H42</f>
        <v>185230.12</v>
      </c>
      <c r="J42" s="24" t="n">
        <f aca="false">D42-I42</f>
        <v>0</v>
      </c>
      <c r="K42" s="25" t="s">
        <v>112</v>
      </c>
      <c r="L42" s="25" t="s">
        <v>113</v>
      </c>
    </row>
    <row r="43" customFormat="false" ht="15" hidden="false" customHeight="false" outlineLevel="0" collapsed="false">
      <c r="A43" s="23" t="n">
        <v>4</v>
      </c>
      <c r="B43" s="23" t="s">
        <v>44</v>
      </c>
      <c r="C43" s="23" t="s">
        <v>15</v>
      </c>
      <c r="D43" s="24" t="n">
        <v>82116.25</v>
      </c>
      <c r="E43" s="24" t="n">
        <v>0</v>
      </c>
      <c r="F43" s="24" t="n">
        <v>0</v>
      </c>
      <c r="G43" s="24" t="n">
        <v>9580.24</v>
      </c>
      <c r="H43" s="24" t="n">
        <v>2986.05</v>
      </c>
      <c r="I43" s="24" t="n">
        <f aca="false">G43+H43</f>
        <v>12566.29</v>
      </c>
      <c r="J43" s="24" t="n">
        <f aca="false">D43-I43</f>
        <v>69549.96</v>
      </c>
      <c r="K43" s="25" t="s">
        <v>114</v>
      </c>
      <c r="L43" s="25" t="s">
        <v>115</v>
      </c>
    </row>
    <row r="44" customFormat="false" ht="15" hidden="false" customHeight="false" outlineLevel="0" collapsed="false">
      <c r="A44" s="23" t="n">
        <v>5</v>
      </c>
      <c r="B44" s="23" t="s">
        <v>45</v>
      </c>
      <c r="C44" s="23" t="s">
        <v>15</v>
      </c>
      <c r="D44" s="24" t="n">
        <v>14115.49</v>
      </c>
      <c r="E44" s="24" t="n">
        <v>0</v>
      </c>
      <c r="F44" s="24" t="n">
        <v>14115.49</v>
      </c>
      <c r="G44" s="24" t="n">
        <v>14115.49</v>
      </c>
      <c r="H44" s="24" t="n">
        <v>0</v>
      </c>
      <c r="I44" s="24" t="n">
        <f aca="false">G44+H44</f>
        <v>14115.49</v>
      </c>
      <c r="J44" s="24" t="n">
        <f aca="false">D44-I44</f>
        <v>0</v>
      </c>
      <c r="K44" s="25" t="s">
        <v>112</v>
      </c>
      <c r="L44" s="25" t="s">
        <v>113</v>
      </c>
    </row>
    <row r="45" customFormat="false" ht="15" hidden="false" customHeight="false" outlineLevel="0" collapsed="false">
      <c r="A45" s="23" t="n">
        <v>6</v>
      </c>
      <c r="B45" s="23" t="s">
        <v>46</v>
      </c>
      <c r="C45" s="23" t="s">
        <v>15</v>
      </c>
      <c r="D45" s="24" t="n">
        <v>6257.68</v>
      </c>
      <c r="E45" s="24" t="n">
        <v>0</v>
      </c>
      <c r="F45" s="24" t="n">
        <v>0</v>
      </c>
      <c r="G45" s="24" t="n">
        <v>730.06</v>
      </c>
      <c r="H45" s="24" t="n">
        <v>227.55</v>
      </c>
      <c r="I45" s="24" t="n">
        <f aca="false">G45+H45</f>
        <v>957.61</v>
      </c>
      <c r="J45" s="24" t="n">
        <f aca="false">D45-I45</f>
        <v>5300.07</v>
      </c>
      <c r="K45" s="25" t="s">
        <v>114</v>
      </c>
      <c r="L45" s="25" t="s">
        <v>115</v>
      </c>
    </row>
    <row r="46" customFormat="false" ht="15" hidden="false" customHeight="false" outlineLevel="0" collapsed="false">
      <c r="A46" s="26"/>
      <c r="B46" s="27" t="s">
        <v>39</v>
      </c>
      <c r="C46" s="26"/>
      <c r="D46" s="28" t="n">
        <f aca="false">SUM(D40:D45)</f>
        <v>315110.14</v>
      </c>
      <c r="E46" s="28" t="n">
        <f aca="false">SUM(E40:E45)</f>
        <v>0</v>
      </c>
      <c r="F46" s="28" t="n">
        <f aca="false">SUM(F40:F45)</f>
        <v>218323.1</v>
      </c>
      <c r="G46" s="28" t="n">
        <f aca="false">SUM(G40:G45)</f>
        <v>229614.93</v>
      </c>
      <c r="H46" s="28" t="n">
        <f aca="false">SUM(H40:H45)</f>
        <v>3519.53</v>
      </c>
      <c r="I46" s="28" t="n">
        <f aca="false">SUM(I40:I45)</f>
        <v>233134.46</v>
      </c>
      <c r="J46" s="28" t="n">
        <f aca="false">SUM(J40:J45)</f>
        <v>81975.68</v>
      </c>
      <c r="K46" s="26"/>
      <c r="L46" s="26"/>
    </row>
    <row r="48" customFormat="false" ht="15" hidden="false" customHeight="false" outlineLevel="0" collapsed="false">
      <c r="B48" s="18" t="s">
        <v>127</v>
      </c>
    </row>
    <row r="49" customFormat="false" ht="15" hidden="false" customHeight="false" outlineLevel="0" collapsed="false">
      <c r="B49" s="5" t="s">
        <v>120</v>
      </c>
      <c r="D49" s="6" t="n">
        <f aca="false">I36</f>
        <v>88679.32</v>
      </c>
    </row>
    <row r="50" customFormat="false" ht="15" hidden="false" customHeight="false" outlineLevel="0" collapsed="false">
      <c r="B50" s="5" t="s">
        <v>121</v>
      </c>
      <c r="D50" s="6" t="n">
        <f aca="false">I46</f>
        <v>233134.46</v>
      </c>
    </row>
    <row r="51" customFormat="false" ht="15" hidden="false" customHeight="false" outlineLevel="0" collapsed="false">
      <c r="B51" s="11" t="s">
        <v>127</v>
      </c>
      <c r="D51" s="29" t="n">
        <f aca="false">D49-D50</f>
        <v>-144455.14</v>
      </c>
    </row>
    <row r="53" customFormat="false" ht="15" hidden="false" customHeight="false" outlineLevel="0" collapsed="false">
      <c r="A53" s="10" t="s">
        <v>128</v>
      </c>
    </row>
    <row r="54" customFormat="false" ht="15" hidden="false" customHeight="false" outlineLevel="0" collapsed="false">
      <c r="B54" s="11" t="s">
        <v>129</v>
      </c>
      <c r="D54" s="12" t="n">
        <f aca="false">D80</f>
        <v>315110.14</v>
      </c>
    </row>
    <row r="55" customFormat="false" ht="15" hidden="false" customHeight="false" outlineLevel="0" collapsed="false">
      <c r="B55" s="5" t="s">
        <v>130</v>
      </c>
      <c r="D55" s="6" t="n">
        <f aca="false">F80</f>
        <v>218323.1</v>
      </c>
    </row>
    <row r="56" customFormat="false" ht="15" hidden="false" customHeight="false" outlineLevel="0" collapsed="false">
      <c r="B56" s="30" t="s">
        <v>131</v>
      </c>
      <c r="D56" s="31" t="n">
        <f aca="false">F81</f>
        <v>0.692846951862609</v>
      </c>
    </row>
    <row r="57" customFormat="false" ht="15" hidden="false" customHeight="false" outlineLevel="0" collapsed="false">
      <c r="B57" s="5" t="s">
        <v>132</v>
      </c>
      <c r="D57" s="6" t="n">
        <f aca="false">H80</f>
        <v>96787.04</v>
      </c>
    </row>
    <row r="58" customFormat="false" ht="15" hidden="false" customHeight="false" outlineLevel="0" collapsed="false">
      <c r="B58" s="30" t="s">
        <v>131</v>
      </c>
      <c r="D58" s="31" t="n">
        <f aca="false">H81</f>
        <v>0.307153048137391</v>
      </c>
    </row>
    <row r="60" customFormat="false" ht="15" hidden="false" customHeight="false" outlineLevel="0" collapsed="false">
      <c r="A60" s="10" t="s">
        <v>133</v>
      </c>
    </row>
    <row r="61" customFormat="false" ht="15" hidden="false" customHeight="false" outlineLevel="0" collapsed="false">
      <c r="B61" s="4" t="s">
        <v>134</v>
      </c>
      <c r="D61" s="4" t="s">
        <v>103</v>
      </c>
      <c r="F61" s="4" t="s">
        <v>135</v>
      </c>
      <c r="H61" s="4" t="s">
        <v>136</v>
      </c>
    </row>
    <row r="62" customFormat="false" ht="15" hidden="false" customHeight="false" outlineLevel="0" collapsed="false">
      <c r="B62" s="32" t="s">
        <v>137</v>
      </c>
    </row>
    <row r="63" customFormat="false" ht="15" hidden="false" customHeight="false" outlineLevel="0" collapsed="false">
      <c r="B63" s="5" t="s">
        <v>138</v>
      </c>
      <c r="D63" s="33" t="n">
        <f aca="false">SUM(F63:H63)</f>
        <v>8837.71</v>
      </c>
      <c r="F63" s="33" t="n">
        <v>8837.71</v>
      </c>
    </row>
    <row r="64" customFormat="false" ht="15" hidden="false" customHeight="false" outlineLevel="0" collapsed="false">
      <c r="B64" s="5" t="s">
        <v>139</v>
      </c>
      <c r="D64" s="33" t="n">
        <f aca="false">SUM(F64:H64)</f>
        <v>95451.19</v>
      </c>
      <c r="F64" s="33" t="n">
        <v>95451.19</v>
      </c>
    </row>
    <row r="65" customFormat="false" ht="15" hidden="false" customHeight="false" outlineLevel="0" collapsed="false">
      <c r="B65" s="5" t="s">
        <v>140</v>
      </c>
      <c r="D65" s="33" t="n">
        <f aca="false">SUM(F65:H65)</f>
        <v>1321.09</v>
      </c>
      <c r="F65" s="33" t="n">
        <v>1321.09</v>
      </c>
    </row>
    <row r="66" customFormat="false" ht="15" hidden="false" customHeight="false" outlineLevel="0" collapsed="false">
      <c r="B66" s="5" t="s">
        <v>141</v>
      </c>
      <c r="D66" s="33" t="n">
        <f aca="false">SUM(F66:H66)</f>
        <v>1952.9</v>
      </c>
      <c r="F66" s="33" t="n">
        <v>1952.9</v>
      </c>
    </row>
    <row r="67" customFormat="false" ht="15" hidden="false" customHeight="false" outlineLevel="0" collapsed="false">
      <c r="B67" s="5" t="s">
        <v>142</v>
      </c>
      <c r="D67" s="33" t="n">
        <f aca="false">SUM(F67:H67)</f>
        <v>59245.72</v>
      </c>
      <c r="F67" s="33" t="n">
        <v>59245.72</v>
      </c>
    </row>
    <row r="68" customFormat="false" ht="15" hidden="false" customHeight="false" outlineLevel="0" collapsed="false">
      <c r="B68" s="5" t="s">
        <v>143</v>
      </c>
      <c r="D68" s="33" t="n">
        <f aca="false">SUM(F68:H68)</f>
        <v>618.33</v>
      </c>
      <c r="F68" s="33" t="n">
        <v>618.33</v>
      </c>
    </row>
    <row r="69" customFormat="false" ht="15" hidden="false" customHeight="false" outlineLevel="0" collapsed="false">
      <c r="B69" s="5" t="s">
        <v>144</v>
      </c>
      <c r="D69" s="33" t="n">
        <f aca="false">SUM(F69:H69)</f>
        <v>12771.52</v>
      </c>
      <c r="F69" s="33" t="n">
        <v>12771.52</v>
      </c>
    </row>
    <row r="70" customFormat="false" ht="15" hidden="false" customHeight="false" outlineLevel="0" collapsed="false">
      <c r="B70" s="5" t="s">
        <v>145</v>
      </c>
      <c r="D70" s="33" t="n">
        <f aca="false">SUM(F70:H70)</f>
        <v>15090.04</v>
      </c>
      <c r="F70" s="33" t="n">
        <v>15090.04</v>
      </c>
    </row>
    <row r="71" customFormat="false" ht="15" hidden="false" customHeight="false" outlineLevel="0" collapsed="false">
      <c r="B71" s="5" t="s">
        <v>146</v>
      </c>
      <c r="D71" s="33" t="n">
        <f aca="false">SUM(F71:H71)</f>
        <v>2157.03</v>
      </c>
      <c r="F71" s="33" t="n">
        <v>2157.03</v>
      </c>
    </row>
    <row r="72" customFormat="false" ht="15" hidden="false" customHeight="false" outlineLevel="0" collapsed="false">
      <c r="B72" s="5" t="s">
        <v>147</v>
      </c>
      <c r="D72" s="33" t="n">
        <f aca="false">SUM(F72:H72)</f>
        <v>4129.23</v>
      </c>
      <c r="F72" s="33" t="n">
        <v>4129.23</v>
      </c>
    </row>
    <row r="73" customFormat="false" ht="15" hidden="false" customHeight="false" outlineLevel="0" collapsed="false">
      <c r="B73" s="5" t="s">
        <v>148</v>
      </c>
      <c r="D73" s="33" t="n">
        <f aca="false">SUM(F73:H73)</f>
        <v>5494.17</v>
      </c>
      <c r="F73" s="33" t="n">
        <v>5494.17</v>
      </c>
    </row>
    <row r="74" customFormat="false" ht="15" hidden="false" customHeight="false" outlineLevel="0" collapsed="false">
      <c r="B74" s="5" t="s">
        <v>149</v>
      </c>
      <c r="D74" s="33" t="n">
        <f aca="false">SUM(F74:H74)</f>
        <v>1151.63</v>
      </c>
      <c r="F74" s="33" t="n">
        <v>1151.63</v>
      </c>
    </row>
    <row r="75" customFormat="false" ht="15" hidden="false" customHeight="false" outlineLevel="0" collapsed="false">
      <c r="B75" s="5" t="s">
        <v>150</v>
      </c>
      <c r="D75" s="33" t="n">
        <f aca="false">SUM(F75:H75)</f>
        <v>6453.82</v>
      </c>
      <c r="F75" s="33" t="n">
        <v>6453.82</v>
      </c>
    </row>
    <row r="76" customFormat="false" ht="15" hidden="false" customHeight="false" outlineLevel="0" collapsed="false">
      <c r="B76" s="5" t="s">
        <v>151</v>
      </c>
      <c r="D76" s="33" t="n">
        <f aca="false">SUM(F76:H76)</f>
        <v>3396.28</v>
      </c>
      <c r="F76" s="33" t="n">
        <v>3396.28</v>
      </c>
    </row>
    <row r="77" customFormat="false" ht="15" hidden="false" customHeight="false" outlineLevel="0" collapsed="false">
      <c r="B77" s="5" t="s">
        <v>152</v>
      </c>
      <c r="D77" s="33" t="n">
        <f aca="false">SUM(F77:H77)</f>
        <v>252.44</v>
      </c>
      <c r="F77" s="33" t="n">
        <v>252.44</v>
      </c>
    </row>
    <row r="78" customFormat="false" ht="15" hidden="false" customHeight="false" outlineLevel="0" collapsed="false">
      <c r="B78" s="32" t="s">
        <v>153</v>
      </c>
    </row>
    <row r="79" customFormat="false" ht="15" hidden="false" customHeight="false" outlineLevel="0" collapsed="false">
      <c r="B79" s="5" t="s">
        <v>153</v>
      </c>
      <c r="D79" s="33" t="n">
        <f aca="false">SUM(F79:H79)</f>
        <v>96787.04</v>
      </c>
      <c r="H79" s="33" t="n">
        <v>96787.04</v>
      </c>
    </row>
    <row r="80" customFormat="false" ht="15" hidden="false" customHeight="false" outlineLevel="0" collapsed="false">
      <c r="B80" s="11" t="s">
        <v>129</v>
      </c>
      <c r="D80" s="34" t="n">
        <f aca="false">SUM(D62:D79)</f>
        <v>315110.14</v>
      </c>
      <c r="F80" s="34" t="n">
        <f aca="false">SUM(F62:F79)</f>
        <v>218323.1</v>
      </c>
      <c r="H80" s="34" t="n">
        <f aca="false">SUM(H62:H79)</f>
        <v>96787.04</v>
      </c>
    </row>
    <row r="81" customFormat="false" ht="15" hidden="false" customHeight="false" outlineLevel="0" collapsed="false">
      <c r="B81" s="30" t="s">
        <v>131</v>
      </c>
      <c r="F81" s="31" t="n">
        <f aca="false">F80/D80</f>
        <v>0.692846951862609</v>
      </c>
      <c r="H81" s="31" t="n">
        <f aca="false">H80/D80</f>
        <v>0.307153048137391</v>
      </c>
    </row>
    <row r="83" customFormat="false" ht="15" hidden="false" customHeight="false" outlineLevel="0" collapsed="false">
      <c r="A83" s="10" t="s">
        <v>154</v>
      </c>
    </row>
    <row r="84" customFormat="false" ht="15" hidden="false" customHeight="false" outlineLevel="0" collapsed="false">
      <c r="B84" s="4" t="s">
        <v>155</v>
      </c>
      <c r="D84" s="4" t="s">
        <v>103</v>
      </c>
      <c r="F84" s="4" t="s">
        <v>135</v>
      </c>
      <c r="H84" s="4" t="s">
        <v>136</v>
      </c>
    </row>
    <row r="85" customFormat="false" ht="15" hidden="false" customHeight="false" outlineLevel="0" collapsed="false">
      <c r="B85" s="5" t="str">
        <f aca="false">Site!B17</f>
        <v>2 - Land Imp - Peter St - Site - 15yr</v>
      </c>
      <c r="D85" s="33" t="n">
        <f aca="false">SUM(F85:H85)</f>
        <v>18977.49</v>
      </c>
      <c r="F85" s="33" t="n">
        <f aca="false">Site!D17</f>
        <v>18977.49</v>
      </c>
    </row>
    <row r="86" customFormat="false" ht="15" hidden="false" customHeight="false" outlineLevel="0" collapsed="false">
      <c r="B86" s="5" t="str">
        <f aca="false">Site!B18</f>
        <v>2 - Land Imp - Peter St - Site - 27.5yr</v>
      </c>
      <c r="D86" s="33" t="n">
        <f aca="false">SUM(F86:H86)</f>
        <v>8413.11</v>
      </c>
      <c r="H86" s="33" t="n">
        <f aca="false">Site!D18</f>
        <v>8413.11</v>
      </c>
    </row>
    <row r="87" customFormat="false" ht="15" hidden="false" customHeight="false" outlineLevel="0" collapsed="false">
      <c r="B87" s="5" t="str">
        <f aca="false">Site!B19</f>
        <v>3 - Building - Peter St - Site - 15yr</v>
      </c>
      <c r="D87" s="33" t="n">
        <f aca="false">SUM(F87:H87)</f>
        <v>185230.12</v>
      </c>
      <c r="F87" s="33" t="n">
        <f aca="false">Site!D19</f>
        <v>185230.12</v>
      </c>
    </row>
    <row r="88" customFormat="false" ht="15" hidden="false" customHeight="false" outlineLevel="0" collapsed="false">
      <c r="B88" s="5" t="str">
        <f aca="false">Site!B20</f>
        <v>3 - Building - Peter St - Site - 27.5yr</v>
      </c>
      <c r="D88" s="33" t="n">
        <f aca="false">SUM(F88:H88)</f>
        <v>82116.25</v>
      </c>
      <c r="H88" s="33" t="n">
        <f aca="false">Site!D20</f>
        <v>82116.25</v>
      </c>
    </row>
    <row r="89" customFormat="false" ht="15" hidden="false" customHeight="false" outlineLevel="0" collapsed="false">
      <c r="B89" s="5" t="str">
        <f aca="false">Site!B21</f>
        <v>4 - Equipment - Peter St - Site - 15yr</v>
      </c>
      <c r="D89" s="33" t="n">
        <f aca="false">SUM(F89:H89)</f>
        <v>14115.49</v>
      </c>
      <c r="F89" s="33" t="n">
        <f aca="false">Site!D21</f>
        <v>14115.49</v>
      </c>
    </row>
    <row r="90" customFormat="false" ht="15" hidden="false" customHeight="false" outlineLevel="0" collapsed="false">
      <c r="B90" s="5" t="str">
        <f aca="false">Site!B22</f>
        <v>4 - Equipment - Peter St - Site - 27.5yr</v>
      </c>
      <c r="D90" s="33" t="n">
        <f aca="false">SUM(F90:H90)</f>
        <v>6257.68</v>
      </c>
      <c r="H90" s="33" t="n">
        <f aca="false">Site!D22</f>
        <v>6257.68</v>
      </c>
    </row>
    <row r="91" customFormat="false" ht="15" hidden="false" customHeight="false" outlineLevel="0" collapsed="false">
      <c r="B91" s="11" t="s">
        <v>156</v>
      </c>
      <c r="D91" s="34" t="n">
        <f aca="false">SUM(D85:D90)</f>
        <v>315110.14</v>
      </c>
      <c r="F91" s="34" t="n">
        <f aca="false">SUM(F85:F90)</f>
        <v>218323.1</v>
      </c>
      <c r="H91" s="34" t="n">
        <f aca="false">SUM(H85:H90)</f>
        <v>96787.04</v>
      </c>
    </row>
    <row r="92" customFormat="false" ht="15" hidden="false" customHeight="false" outlineLevel="0" collapsed="false">
      <c r="B92" s="16" t="s">
        <v>157</v>
      </c>
      <c r="D92" s="17" t="n">
        <f aca="false">D91-D80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158</v>
      </c>
    </row>
    <row r="5" customFormat="false" ht="15" hidden="false" customHeight="false" outlineLevel="0" collapsed="false">
      <c r="A5" s="16" t="s">
        <v>97</v>
      </c>
    </row>
    <row r="7" customFormat="false" ht="15" hidden="false" customHeight="false" outlineLevel="0" collapsed="false">
      <c r="A7" s="10" t="s">
        <v>98</v>
      </c>
    </row>
    <row r="8" customFormat="false" ht="15" hidden="false" customHeight="false" outlineLevel="0" collapsed="false">
      <c r="A8" s="21" t="s">
        <v>99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100</v>
      </c>
      <c r="B9" s="4" t="s">
        <v>101</v>
      </c>
      <c r="C9" s="4" t="s">
        <v>102</v>
      </c>
      <c r="D9" s="4" t="s">
        <v>103</v>
      </c>
      <c r="E9" s="4" t="s">
        <v>104</v>
      </c>
      <c r="F9" s="4" t="s">
        <v>105</v>
      </c>
      <c r="G9" s="4" t="s">
        <v>106</v>
      </c>
      <c r="H9" s="4" t="s">
        <v>107</v>
      </c>
      <c r="I9" s="4" t="s">
        <v>108</v>
      </c>
      <c r="J9" s="4" t="s">
        <v>109</v>
      </c>
      <c r="K9" s="4" t="s">
        <v>110</v>
      </c>
      <c r="L9" s="4" t="s">
        <v>111</v>
      </c>
    </row>
    <row r="10" customFormat="false" ht="15" hidden="false" customHeight="false" outlineLevel="0" collapsed="false">
      <c r="A10" s="23" t="n">
        <v>1</v>
      </c>
      <c r="B10" s="23" t="s">
        <v>19</v>
      </c>
      <c r="C10" s="23" t="s">
        <v>15</v>
      </c>
      <c r="D10" s="24" t="n">
        <v>17779.38</v>
      </c>
      <c r="E10" s="24" t="n">
        <v>0</v>
      </c>
      <c r="F10" s="24" t="n">
        <v>17779.38</v>
      </c>
      <c r="G10" s="24" t="n">
        <v>17779.38</v>
      </c>
      <c r="H10" s="24" t="n">
        <v>0</v>
      </c>
      <c r="I10" s="24" t="n">
        <f aca="false">G10+H10</f>
        <v>17779.38</v>
      </c>
      <c r="J10" s="24" t="n">
        <f aca="false">D10-I10</f>
        <v>0</v>
      </c>
      <c r="K10" s="25" t="s">
        <v>112</v>
      </c>
      <c r="L10" s="25" t="s">
        <v>113</v>
      </c>
    </row>
    <row r="11" customFormat="false" ht="15" hidden="false" customHeight="false" outlineLevel="0" collapsed="false">
      <c r="A11" s="23" t="n">
        <v>2</v>
      </c>
      <c r="B11" s="23" t="s">
        <v>20</v>
      </c>
      <c r="C11" s="23" t="s">
        <v>15</v>
      </c>
      <c r="D11" s="24" t="n">
        <v>173535.93</v>
      </c>
      <c r="E11" s="24" t="n">
        <v>0</v>
      </c>
      <c r="F11" s="24" t="n">
        <v>0</v>
      </c>
      <c r="G11" s="24" t="n">
        <v>20248.07</v>
      </c>
      <c r="H11" s="24" t="n">
        <v>6310.43</v>
      </c>
      <c r="I11" s="24" t="n">
        <f aca="false">G11+H11</f>
        <v>26558.5</v>
      </c>
      <c r="J11" s="24" t="n">
        <f aca="false">D11-I11</f>
        <v>146977.43</v>
      </c>
      <c r="K11" s="25" t="s">
        <v>114</v>
      </c>
      <c r="L11" s="25" t="s">
        <v>115</v>
      </c>
    </row>
    <row r="12" customFormat="false" ht="15" hidden="false" customHeight="false" outlineLevel="0" collapsed="false">
      <c r="A12" s="23" t="n">
        <v>3</v>
      </c>
      <c r="B12" s="23" t="s">
        <v>21</v>
      </c>
      <c r="C12" s="23" t="s">
        <v>15</v>
      </c>
      <c r="D12" s="24" t="n">
        <v>13224.33</v>
      </c>
      <c r="E12" s="24" t="n">
        <v>0</v>
      </c>
      <c r="F12" s="24" t="n">
        <v>13224.33</v>
      </c>
      <c r="G12" s="24" t="n">
        <v>13224.33</v>
      </c>
      <c r="H12" s="24" t="n">
        <v>0</v>
      </c>
      <c r="I12" s="24" t="n">
        <f aca="false">G12+H12</f>
        <v>13224.33</v>
      </c>
      <c r="J12" s="24" t="n">
        <f aca="false">D12-I12</f>
        <v>0</v>
      </c>
      <c r="K12" s="25" t="s">
        <v>116</v>
      </c>
      <c r="L12" s="25" t="s">
        <v>117</v>
      </c>
    </row>
    <row r="13" customFormat="false" ht="15" hidden="false" customHeight="false" outlineLevel="0" collapsed="false">
      <c r="A13" s="26"/>
      <c r="B13" s="27" t="s">
        <v>39</v>
      </c>
      <c r="C13" s="26"/>
      <c r="D13" s="28" t="n">
        <f aca="false">SUM(D10:D12)</f>
        <v>204539.64</v>
      </c>
      <c r="E13" s="28" t="n">
        <f aca="false">SUM(E10:E12)</f>
        <v>0</v>
      </c>
      <c r="F13" s="28" t="n">
        <f aca="false">SUM(F10:F12)</f>
        <v>31003.71</v>
      </c>
      <c r="G13" s="28" t="n">
        <f aca="false">SUM(G10:G12)</f>
        <v>51251.78</v>
      </c>
      <c r="H13" s="28" t="n">
        <f aca="false">SUM(H10:H12)</f>
        <v>6310.43</v>
      </c>
      <c r="I13" s="28" t="n">
        <f aca="false">SUM(I10:I12)</f>
        <v>57562.21</v>
      </c>
      <c r="J13" s="28" t="n">
        <f aca="false">SUM(J10:J12)</f>
        <v>146977.43</v>
      </c>
      <c r="K13" s="26"/>
      <c r="L13" s="26"/>
    </row>
    <row r="15" customFormat="false" ht="15" hidden="false" customHeight="false" outlineLevel="0" collapsed="false">
      <c r="A15" s="21" t="s">
        <v>118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100</v>
      </c>
      <c r="B16" s="4" t="s">
        <v>101</v>
      </c>
      <c r="C16" s="4" t="s">
        <v>102</v>
      </c>
      <c r="D16" s="4" t="s">
        <v>103</v>
      </c>
      <c r="E16" s="4" t="s">
        <v>104</v>
      </c>
      <c r="F16" s="4" t="s">
        <v>105</v>
      </c>
      <c r="G16" s="4" t="s">
        <v>106</v>
      </c>
      <c r="H16" s="4" t="s">
        <v>107</v>
      </c>
      <c r="I16" s="4" t="s">
        <v>108</v>
      </c>
      <c r="J16" s="4" t="s">
        <v>109</v>
      </c>
      <c r="K16" s="4" t="s">
        <v>110</v>
      </c>
      <c r="L16" s="4" t="s">
        <v>111</v>
      </c>
    </row>
    <row r="17" customFormat="false" ht="15" hidden="false" customHeight="false" outlineLevel="0" collapsed="false">
      <c r="A17" s="23" t="n">
        <v>1</v>
      </c>
      <c r="B17" s="23" t="s">
        <v>47</v>
      </c>
      <c r="C17" s="23" t="s">
        <v>15</v>
      </c>
      <c r="D17" s="24" t="n">
        <v>2803.75</v>
      </c>
      <c r="E17" s="24" t="n">
        <v>0</v>
      </c>
      <c r="F17" s="24" t="n">
        <v>2803.75</v>
      </c>
      <c r="G17" s="24" t="n">
        <v>2803.75</v>
      </c>
      <c r="H17" s="24" t="n">
        <v>0</v>
      </c>
      <c r="I17" s="24" t="n">
        <f aca="false">G17+H17</f>
        <v>2803.75</v>
      </c>
      <c r="J17" s="24" t="n">
        <f aca="false">D17-I17</f>
        <v>0</v>
      </c>
      <c r="K17" s="25" t="s">
        <v>116</v>
      </c>
      <c r="L17" s="25" t="s">
        <v>117</v>
      </c>
    </row>
    <row r="18" customFormat="false" ht="15" hidden="false" customHeight="false" outlineLevel="0" collapsed="false">
      <c r="A18" s="23" t="n">
        <v>2</v>
      </c>
      <c r="B18" s="23" t="s">
        <v>48</v>
      </c>
      <c r="C18" s="23" t="s">
        <v>15</v>
      </c>
      <c r="D18" s="24" t="n">
        <v>14975.63</v>
      </c>
      <c r="E18" s="24" t="n">
        <v>0</v>
      </c>
      <c r="F18" s="24" t="n">
        <v>0</v>
      </c>
      <c r="G18" s="24" t="n">
        <v>1747.16</v>
      </c>
      <c r="H18" s="24" t="n">
        <v>544.57</v>
      </c>
      <c r="I18" s="24" t="n">
        <f aca="false">G18+H18</f>
        <v>2291.73</v>
      </c>
      <c r="J18" s="24" t="n">
        <f aca="false">D18-I18</f>
        <v>12683.9</v>
      </c>
      <c r="K18" s="25" t="s">
        <v>114</v>
      </c>
      <c r="L18" s="25" t="s">
        <v>115</v>
      </c>
    </row>
    <row r="19" customFormat="false" ht="15" hidden="false" customHeight="false" outlineLevel="0" collapsed="false">
      <c r="A19" s="23" t="n">
        <v>3</v>
      </c>
      <c r="B19" s="23" t="s">
        <v>49</v>
      </c>
      <c r="C19" s="23" t="s">
        <v>15</v>
      </c>
      <c r="D19" s="24" t="n">
        <v>27366.04</v>
      </c>
      <c r="E19" s="24" t="n">
        <v>0</v>
      </c>
      <c r="F19" s="24" t="n">
        <v>27366.04</v>
      </c>
      <c r="G19" s="24" t="n">
        <v>27366.04</v>
      </c>
      <c r="H19" s="24" t="n">
        <v>0</v>
      </c>
      <c r="I19" s="24" t="n">
        <f aca="false">G19+H19</f>
        <v>27366.04</v>
      </c>
      <c r="J19" s="24" t="n">
        <f aca="false">D19-I19</f>
        <v>0</v>
      </c>
      <c r="K19" s="25" t="s">
        <v>116</v>
      </c>
      <c r="L19" s="25" t="s">
        <v>117</v>
      </c>
    </row>
    <row r="20" customFormat="false" ht="15" hidden="false" customHeight="false" outlineLevel="0" collapsed="false">
      <c r="A20" s="23" t="n">
        <v>4</v>
      </c>
      <c r="B20" s="23" t="s">
        <v>50</v>
      </c>
      <c r="C20" s="23" t="s">
        <v>15</v>
      </c>
      <c r="D20" s="24" t="n">
        <v>146169.89</v>
      </c>
      <c r="E20" s="24" t="n">
        <v>0</v>
      </c>
      <c r="F20" s="24" t="n">
        <v>0</v>
      </c>
      <c r="G20" s="24" t="n">
        <v>17053.16</v>
      </c>
      <c r="H20" s="24" t="n">
        <v>5315.27</v>
      </c>
      <c r="I20" s="24" t="n">
        <f aca="false">G20+H20</f>
        <v>22368.43</v>
      </c>
      <c r="J20" s="24" t="n">
        <f aca="false">D20-I20</f>
        <v>123801.46</v>
      </c>
      <c r="K20" s="25" t="s">
        <v>114</v>
      </c>
      <c r="L20" s="25" t="s">
        <v>115</v>
      </c>
    </row>
    <row r="21" customFormat="false" ht="15" hidden="false" customHeight="false" outlineLevel="0" collapsed="false">
      <c r="A21" s="23" t="n">
        <v>5</v>
      </c>
      <c r="B21" s="23" t="s">
        <v>51</v>
      </c>
      <c r="C21" s="23" t="s">
        <v>15</v>
      </c>
      <c r="D21" s="24" t="n">
        <v>2085.43</v>
      </c>
      <c r="E21" s="24" t="n">
        <v>0</v>
      </c>
      <c r="F21" s="24" t="n">
        <v>2085.43</v>
      </c>
      <c r="G21" s="24" t="n">
        <v>2085.43</v>
      </c>
      <c r="H21" s="24" t="n">
        <v>0</v>
      </c>
      <c r="I21" s="24" t="n">
        <f aca="false">G21+H21</f>
        <v>2085.43</v>
      </c>
      <c r="J21" s="24" t="n">
        <f aca="false">D21-I21</f>
        <v>0</v>
      </c>
      <c r="K21" s="25" t="s">
        <v>116</v>
      </c>
      <c r="L21" s="25" t="s">
        <v>117</v>
      </c>
    </row>
    <row r="22" customFormat="false" ht="15" hidden="false" customHeight="false" outlineLevel="0" collapsed="false">
      <c r="A22" s="23" t="n">
        <v>6</v>
      </c>
      <c r="B22" s="23" t="s">
        <v>52</v>
      </c>
      <c r="C22" s="23" t="s">
        <v>15</v>
      </c>
      <c r="D22" s="24" t="n">
        <v>11138.9</v>
      </c>
      <c r="E22" s="24" t="n">
        <v>0</v>
      </c>
      <c r="F22" s="24" t="n">
        <v>0</v>
      </c>
      <c r="G22" s="24" t="n">
        <v>1299.54</v>
      </c>
      <c r="H22" s="24" t="n">
        <v>405.05</v>
      </c>
      <c r="I22" s="24" t="n">
        <f aca="false">G22+H22</f>
        <v>1704.59</v>
      </c>
      <c r="J22" s="24" t="n">
        <f aca="false">D22-I22</f>
        <v>9434.31</v>
      </c>
      <c r="K22" s="25" t="s">
        <v>114</v>
      </c>
      <c r="L22" s="25" t="s">
        <v>115</v>
      </c>
    </row>
    <row r="23" customFormat="false" ht="15" hidden="false" customHeight="false" outlineLevel="0" collapsed="false">
      <c r="A23" s="26"/>
      <c r="B23" s="27" t="s">
        <v>39</v>
      </c>
      <c r="C23" s="26"/>
      <c r="D23" s="28" t="n">
        <f aca="false">SUM(D17:D22)</f>
        <v>204539.64</v>
      </c>
      <c r="E23" s="28" t="n">
        <f aca="false">SUM(E17:E22)</f>
        <v>0</v>
      </c>
      <c r="F23" s="28" t="n">
        <f aca="false">SUM(F17:F22)</f>
        <v>32255.22</v>
      </c>
      <c r="G23" s="28" t="n">
        <f aca="false">SUM(G17:G22)</f>
        <v>52355.08</v>
      </c>
      <c r="H23" s="28" t="n">
        <f aca="false">SUM(H17:H22)</f>
        <v>6264.89</v>
      </c>
      <c r="I23" s="28" t="n">
        <f aca="false">SUM(I17:I22)</f>
        <v>58619.97</v>
      </c>
      <c r="J23" s="28" t="n">
        <f aca="false">SUM(J17:J22)</f>
        <v>145919.67</v>
      </c>
      <c r="K23" s="26"/>
      <c r="L23" s="26"/>
    </row>
    <row r="25" customFormat="false" ht="15" hidden="false" customHeight="false" outlineLevel="0" collapsed="false">
      <c r="B25" s="18" t="s">
        <v>119</v>
      </c>
    </row>
    <row r="26" customFormat="false" ht="15" hidden="false" customHeight="false" outlineLevel="0" collapsed="false">
      <c r="B26" s="5" t="s">
        <v>120</v>
      </c>
      <c r="D26" s="6" t="n">
        <f aca="false">I13</f>
        <v>57562.21</v>
      </c>
    </row>
    <row r="27" customFormat="false" ht="15" hidden="false" customHeight="false" outlineLevel="0" collapsed="false">
      <c r="B27" s="5" t="s">
        <v>121</v>
      </c>
      <c r="D27" s="6" t="n">
        <f aca="false">I23</f>
        <v>58619.97</v>
      </c>
    </row>
    <row r="28" customFormat="false" ht="15" hidden="false" customHeight="false" outlineLevel="0" collapsed="false">
      <c r="B28" s="11" t="s">
        <v>119</v>
      </c>
      <c r="D28" s="29" t="n">
        <f aca="false">D26-D27</f>
        <v>-1057.75999999999</v>
      </c>
    </row>
    <row r="30" customFormat="false" ht="15" hidden="false" customHeight="false" outlineLevel="0" collapsed="false">
      <c r="A30" s="10" t="s">
        <v>122</v>
      </c>
    </row>
    <row r="31" customFormat="false" ht="15" hidden="false" customHeight="false" outlineLevel="0" collapsed="false">
      <c r="A31" s="21" t="s">
        <v>123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100</v>
      </c>
      <c r="B32" s="4" t="s">
        <v>101</v>
      </c>
      <c r="C32" s="4" t="s">
        <v>102</v>
      </c>
      <c r="D32" s="4" t="s">
        <v>103</v>
      </c>
      <c r="E32" s="4" t="s">
        <v>104</v>
      </c>
      <c r="F32" s="4" t="s">
        <v>105</v>
      </c>
      <c r="G32" s="4" t="s">
        <v>124</v>
      </c>
      <c r="H32" s="4" t="s">
        <v>125</v>
      </c>
      <c r="I32" s="4" t="s">
        <v>108</v>
      </c>
      <c r="J32" s="4" t="s">
        <v>109</v>
      </c>
      <c r="K32" s="4" t="s">
        <v>110</v>
      </c>
      <c r="L32" s="4" t="s">
        <v>111</v>
      </c>
    </row>
    <row r="33" customFormat="false" ht="15" hidden="false" customHeight="false" outlineLevel="0" collapsed="false">
      <c r="A33" s="23" t="n">
        <v>1</v>
      </c>
      <c r="B33" s="23" t="s">
        <v>19</v>
      </c>
      <c r="C33" s="23" t="s">
        <v>15</v>
      </c>
      <c r="D33" s="24" t="n">
        <v>17779.38</v>
      </c>
      <c r="E33" s="24" t="n">
        <v>0</v>
      </c>
      <c r="F33" s="24" t="n">
        <v>17779.38</v>
      </c>
      <c r="G33" s="24" t="n">
        <v>17779.38</v>
      </c>
      <c r="H33" s="24" t="n">
        <v>0</v>
      </c>
      <c r="I33" s="24" t="n">
        <f aca="false">G33+H33</f>
        <v>17779.38</v>
      </c>
      <c r="J33" s="24" t="n">
        <f aca="false">D33-I33</f>
        <v>0</v>
      </c>
      <c r="K33" s="25" t="s">
        <v>112</v>
      </c>
      <c r="L33" s="25" t="s">
        <v>113</v>
      </c>
    </row>
    <row r="34" customFormat="false" ht="15" hidden="false" customHeight="false" outlineLevel="0" collapsed="false">
      <c r="A34" s="23" t="n">
        <v>2</v>
      </c>
      <c r="B34" s="23" t="s">
        <v>20</v>
      </c>
      <c r="C34" s="23" t="s">
        <v>15</v>
      </c>
      <c r="D34" s="24" t="n">
        <v>173535.93</v>
      </c>
      <c r="E34" s="24" t="n">
        <v>0</v>
      </c>
      <c r="F34" s="24" t="n">
        <v>0</v>
      </c>
      <c r="G34" s="24" t="n">
        <v>20248.07</v>
      </c>
      <c r="H34" s="24" t="n">
        <v>6310.43</v>
      </c>
      <c r="I34" s="24" t="n">
        <f aca="false">G34+H34</f>
        <v>26558.5</v>
      </c>
      <c r="J34" s="24" t="n">
        <f aca="false">D34-I34</f>
        <v>146977.43</v>
      </c>
      <c r="K34" s="25" t="s">
        <v>114</v>
      </c>
      <c r="L34" s="25" t="s">
        <v>115</v>
      </c>
    </row>
    <row r="35" customFormat="false" ht="15" hidden="false" customHeight="false" outlineLevel="0" collapsed="false">
      <c r="A35" s="23" t="n">
        <v>3</v>
      </c>
      <c r="B35" s="23" t="s">
        <v>21</v>
      </c>
      <c r="C35" s="23" t="s">
        <v>15</v>
      </c>
      <c r="D35" s="24" t="n">
        <v>13224.33</v>
      </c>
      <c r="E35" s="24" t="n">
        <v>0</v>
      </c>
      <c r="F35" s="24" t="n">
        <v>13224.33</v>
      </c>
      <c r="G35" s="24" t="n">
        <v>13224.33</v>
      </c>
      <c r="H35" s="24" t="n">
        <v>0</v>
      </c>
      <c r="I35" s="24" t="n">
        <f aca="false">G35+H35</f>
        <v>13224.33</v>
      </c>
      <c r="J35" s="24" t="n">
        <f aca="false">D35-I35</f>
        <v>0</v>
      </c>
      <c r="K35" s="25" t="s">
        <v>116</v>
      </c>
      <c r="L35" s="25" t="s">
        <v>117</v>
      </c>
    </row>
    <row r="36" customFormat="false" ht="15" hidden="false" customHeight="false" outlineLevel="0" collapsed="false">
      <c r="A36" s="26"/>
      <c r="B36" s="27" t="s">
        <v>39</v>
      </c>
      <c r="C36" s="26"/>
      <c r="D36" s="28" t="n">
        <f aca="false">SUM(D33:D35)</f>
        <v>204539.64</v>
      </c>
      <c r="E36" s="28" t="n">
        <f aca="false">SUM(E33:E35)</f>
        <v>0</v>
      </c>
      <c r="F36" s="28" t="n">
        <f aca="false">SUM(F33:F35)</f>
        <v>31003.71</v>
      </c>
      <c r="G36" s="28" t="n">
        <f aca="false">SUM(G33:G35)</f>
        <v>51251.78</v>
      </c>
      <c r="H36" s="28" t="n">
        <f aca="false">SUM(H33:H35)</f>
        <v>6310.43</v>
      </c>
      <c r="I36" s="28" t="n">
        <f aca="false">SUM(I33:I35)</f>
        <v>57562.21</v>
      </c>
      <c r="J36" s="28" t="n">
        <f aca="false">SUM(J33:J35)</f>
        <v>146977.43</v>
      </c>
      <c r="K36" s="26"/>
      <c r="L36" s="26"/>
    </row>
    <row r="38" customFormat="false" ht="15" hidden="false" customHeight="false" outlineLevel="0" collapsed="false">
      <c r="A38" s="21" t="s">
        <v>126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100</v>
      </c>
      <c r="B39" s="4" t="s">
        <v>101</v>
      </c>
      <c r="C39" s="4" t="s">
        <v>102</v>
      </c>
      <c r="D39" s="4" t="s">
        <v>103</v>
      </c>
      <c r="E39" s="4" t="s">
        <v>104</v>
      </c>
      <c r="F39" s="4" t="s">
        <v>105</v>
      </c>
      <c r="G39" s="4" t="s">
        <v>124</v>
      </c>
      <c r="H39" s="4" t="s">
        <v>125</v>
      </c>
      <c r="I39" s="4" t="s">
        <v>108</v>
      </c>
      <c r="J39" s="4" t="s">
        <v>109</v>
      </c>
      <c r="K39" s="4" t="s">
        <v>110</v>
      </c>
      <c r="L39" s="4" t="s">
        <v>111</v>
      </c>
    </row>
    <row r="40" customFormat="false" ht="15" hidden="false" customHeight="false" outlineLevel="0" collapsed="false">
      <c r="A40" s="23" t="n">
        <v>1</v>
      </c>
      <c r="B40" s="23" t="s">
        <v>47</v>
      </c>
      <c r="C40" s="23" t="s">
        <v>15</v>
      </c>
      <c r="D40" s="24" t="n">
        <v>2803.75</v>
      </c>
      <c r="E40" s="24" t="n">
        <v>0</v>
      </c>
      <c r="F40" s="24" t="n">
        <v>2803.75</v>
      </c>
      <c r="G40" s="24" t="n">
        <v>2803.75</v>
      </c>
      <c r="H40" s="24" t="n">
        <v>0</v>
      </c>
      <c r="I40" s="24" t="n">
        <f aca="false">G40+H40</f>
        <v>2803.75</v>
      </c>
      <c r="J40" s="24" t="n">
        <f aca="false">D40-I40</f>
        <v>0</v>
      </c>
      <c r="K40" s="25" t="s">
        <v>116</v>
      </c>
      <c r="L40" s="25" t="s">
        <v>117</v>
      </c>
    </row>
    <row r="41" customFormat="false" ht="15" hidden="false" customHeight="false" outlineLevel="0" collapsed="false">
      <c r="A41" s="23" t="n">
        <v>2</v>
      </c>
      <c r="B41" s="23" t="s">
        <v>48</v>
      </c>
      <c r="C41" s="23" t="s">
        <v>15</v>
      </c>
      <c r="D41" s="24" t="n">
        <v>14975.63</v>
      </c>
      <c r="E41" s="24" t="n">
        <v>0</v>
      </c>
      <c r="F41" s="24" t="n">
        <v>0</v>
      </c>
      <c r="G41" s="24" t="n">
        <v>1747.16</v>
      </c>
      <c r="H41" s="24" t="n">
        <v>544.57</v>
      </c>
      <c r="I41" s="24" t="n">
        <f aca="false">G41+H41</f>
        <v>2291.73</v>
      </c>
      <c r="J41" s="24" t="n">
        <f aca="false">D41-I41</f>
        <v>12683.9</v>
      </c>
      <c r="K41" s="25" t="s">
        <v>114</v>
      </c>
      <c r="L41" s="25" t="s">
        <v>115</v>
      </c>
    </row>
    <row r="42" customFormat="false" ht="15" hidden="false" customHeight="false" outlineLevel="0" collapsed="false">
      <c r="A42" s="23" t="n">
        <v>3</v>
      </c>
      <c r="B42" s="23" t="s">
        <v>49</v>
      </c>
      <c r="C42" s="23" t="s">
        <v>15</v>
      </c>
      <c r="D42" s="24" t="n">
        <v>27366.04</v>
      </c>
      <c r="E42" s="24" t="n">
        <v>0</v>
      </c>
      <c r="F42" s="24" t="n">
        <v>27366.04</v>
      </c>
      <c r="G42" s="24" t="n">
        <v>27366.04</v>
      </c>
      <c r="H42" s="24" t="n">
        <v>0</v>
      </c>
      <c r="I42" s="24" t="n">
        <f aca="false">G42+H42</f>
        <v>27366.04</v>
      </c>
      <c r="J42" s="24" t="n">
        <f aca="false">D42-I42</f>
        <v>0</v>
      </c>
      <c r="K42" s="25" t="s">
        <v>116</v>
      </c>
      <c r="L42" s="25" t="s">
        <v>117</v>
      </c>
    </row>
    <row r="43" customFormat="false" ht="15" hidden="false" customHeight="false" outlineLevel="0" collapsed="false">
      <c r="A43" s="23" t="n">
        <v>4</v>
      </c>
      <c r="B43" s="23" t="s">
        <v>50</v>
      </c>
      <c r="C43" s="23" t="s">
        <v>15</v>
      </c>
      <c r="D43" s="24" t="n">
        <v>146169.89</v>
      </c>
      <c r="E43" s="24" t="n">
        <v>0</v>
      </c>
      <c r="F43" s="24" t="n">
        <v>0</v>
      </c>
      <c r="G43" s="24" t="n">
        <v>17053.16</v>
      </c>
      <c r="H43" s="24" t="n">
        <v>5315.27</v>
      </c>
      <c r="I43" s="24" t="n">
        <f aca="false">G43+H43</f>
        <v>22368.43</v>
      </c>
      <c r="J43" s="24" t="n">
        <f aca="false">D43-I43</f>
        <v>123801.46</v>
      </c>
      <c r="K43" s="25" t="s">
        <v>114</v>
      </c>
      <c r="L43" s="25" t="s">
        <v>115</v>
      </c>
    </row>
    <row r="44" customFormat="false" ht="15" hidden="false" customHeight="false" outlineLevel="0" collapsed="false">
      <c r="A44" s="23" t="n">
        <v>5</v>
      </c>
      <c r="B44" s="23" t="s">
        <v>51</v>
      </c>
      <c r="C44" s="23" t="s">
        <v>15</v>
      </c>
      <c r="D44" s="24" t="n">
        <v>2085.43</v>
      </c>
      <c r="E44" s="24" t="n">
        <v>0</v>
      </c>
      <c r="F44" s="24" t="n">
        <v>2085.43</v>
      </c>
      <c r="G44" s="24" t="n">
        <v>2085.43</v>
      </c>
      <c r="H44" s="24" t="n">
        <v>0</v>
      </c>
      <c r="I44" s="24" t="n">
        <f aca="false">G44+H44</f>
        <v>2085.43</v>
      </c>
      <c r="J44" s="24" t="n">
        <f aca="false">D44-I44</f>
        <v>0</v>
      </c>
      <c r="K44" s="25" t="s">
        <v>116</v>
      </c>
      <c r="L44" s="25" t="s">
        <v>117</v>
      </c>
    </row>
    <row r="45" customFormat="false" ht="15" hidden="false" customHeight="false" outlineLevel="0" collapsed="false">
      <c r="A45" s="23" t="n">
        <v>6</v>
      </c>
      <c r="B45" s="23" t="s">
        <v>52</v>
      </c>
      <c r="C45" s="23" t="s">
        <v>15</v>
      </c>
      <c r="D45" s="24" t="n">
        <v>11138.9</v>
      </c>
      <c r="E45" s="24" t="n">
        <v>0</v>
      </c>
      <c r="F45" s="24" t="n">
        <v>0</v>
      </c>
      <c r="G45" s="24" t="n">
        <v>1299.54</v>
      </c>
      <c r="H45" s="24" t="n">
        <v>405.05</v>
      </c>
      <c r="I45" s="24" t="n">
        <f aca="false">G45+H45</f>
        <v>1704.59</v>
      </c>
      <c r="J45" s="24" t="n">
        <f aca="false">D45-I45</f>
        <v>9434.31</v>
      </c>
      <c r="K45" s="25" t="s">
        <v>114</v>
      </c>
      <c r="L45" s="25" t="s">
        <v>115</v>
      </c>
    </row>
    <row r="46" customFormat="false" ht="15" hidden="false" customHeight="false" outlineLevel="0" collapsed="false">
      <c r="A46" s="26"/>
      <c r="B46" s="27" t="s">
        <v>39</v>
      </c>
      <c r="C46" s="26"/>
      <c r="D46" s="28" t="n">
        <f aca="false">SUM(D40:D45)</f>
        <v>204539.64</v>
      </c>
      <c r="E46" s="28" t="n">
        <f aca="false">SUM(E40:E45)</f>
        <v>0</v>
      </c>
      <c r="F46" s="28" t="n">
        <f aca="false">SUM(F40:F45)</f>
        <v>32255.22</v>
      </c>
      <c r="G46" s="28" t="n">
        <f aca="false">SUM(G40:G45)</f>
        <v>52355.08</v>
      </c>
      <c r="H46" s="28" t="n">
        <f aca="false">SUM(H40:H45)</f>
        <v>6264.89</v>
      </c>
      <c r="I46" s="28" t="n">
        <f aca="false">SUM(I40:I45)</f>
        <v>58619.97</v>
      </c>
      <c r="J46" s="28" t="n">
        <f aca="false">SUM(J40:J45)</f>
        <v>145919.67</v>
      </c>
      <c r="K46" s="26"/>
      <c r="L46" s="26"/>
    </row>
    <row r="48" customFormat="false" ht="15" hidden="false" customHeight="false" outlineLevel="0" collapsed="false">
      <c r="B48" s="18" t="s">
        <v>127</v>
      </c>
    </row>
    <row r="49" customFormat="false" ht="15" hidden="false" customHeight="false" outlineLevel="0" collapsed="false">
      <c r="B49" s="5" t="s">
        <v>120</v>
      </c>
      <c r="D49" s="6" t="n">
        <f aca="false">I36</f>
        <v>57562.21</v>
      </c>
    </row>
    <row r="50" customFormat="false" ht="15" hidden="false" customHeight="false" outlineLevel="0" collapsed="false">
      <c r="B50" s="5" t="s">
        <v>121</v>
      </c>
      <c r="D50" s="6" t="n">
        <f aca="false">I46</f>
        <v>58619.97</v>
      </c>
    </row>
    <row r="51" customFormat="false" ht="15" hidden="false" customHeight="false" outlineLevel="0" collapsed="false">
      <c r="B51" s="11" t="s">
        <v>127</v>
      </c>
      <c r="D51" s="29" t="n">
        <f aca="false">D49-D50</f>
        <v>-1057.75999999999</v>
      </c>
    </row>
    <row r="53" customFormat="false" ht="15" hidden="false" customHeight="false" outlineLevel="0" collapsed="false">
      <c r="A53" s="10" t="s">
        <v>128</v>
      </c>
    </row>
    <row r="54" customFormat="false" ht="15" hidden="false" customHeight="false" outlineLevel="0" collapsed="false">
      <c r="B54" s="11" t="s">
        <v>159</v>
      </c>
      <c r="D54" s="12" t="n">
        <f aca="false">D94</f>
        <v>204539.64</v>
      </c>
    </row>
    <row r="55" customFormat="false" ht="15" hidden="false" customHeight="false" outlineLevel="0" collapsed="false">
      <c r="B55" s="5" t="s">
        <v>160</v>
      </c>
      <c r="D55" s="6" t="n">
        <f aca="false">F94</f>
        <v>32255.22</v>
      </c>
    </row>
    <row r="56" customFormat="false" ht="15" hidden="false" customHeight="false" outlineLevel="0" collapsed="false">
      <c r="B56" s="30" t="s">
        <v>131</v>
      </c>
      <c r="D56" s="31" t="n">
        <f aca="false">F95</f>
        <v>0.157696669457324</v>
      </c>
    </row>
    <row r="57" customFormat="false" ht="15" hidden="false" customHeight="false" outlineLevel="0" collapsed="false">
      <c r="B57" s="5" t="s">
        <v>161</v>
      </c>
      <c r="D57" s="6" t="n">
        <f aca="false">H94</f>
        <v>172284.42</v>
      </c>
    </row>
    <row r="58" customFormat="false" ht="15" hidden="false" customHeight="false" outlineLevel="0" collapsed="false">
      <c r="B58" s="30" t="s">
        <v>131</v>
      </c>
      <c r="D58" s="31" t="n">
        <f aca="false">H95</f>
        <v>0.842303330542676</v>
      </c>
    </row>
    <row r="60" customFormat="false" ht="15" hidden="false" customHeight="false" outlineLevel="0" collapsed="false">
      <c r="A60" s="10" t="s">
        <v>133</v>
      </c>
    </row>
    <row r="61" customFormat="false" ht="15" hidden="false" customHeight="false" outlineLevel="0" collapsed="false">
      <c r="B61" s="4" t="s">
        <v>134</v>
      </c>
      <c r="D61" s="4" t="s">
        <v>103</v>
      </c>
      <c r="F61" s="4" t="s">
        <v>162</v>
      </c>
      <c r="H61" s="4" t="s">
        <v>136</v>
      </c>
    </row>
    <row r="62" customFormat="false" ht="15" hidden="false" customHeight="false" outlineLevel="0" collapsed="false">
      <c r="B62" s="32" t="s">
        <v>163</v>
      </c>
    </row>
    <row r="63" customFormat="false" ht="15" hidden="false" customHeight="false" outlineLevel="0" collapsed="false">
      <c r="B63" s="5" t="s">
        <v>164</v>
      </c>
      <c r="D63" s="33" t="n">
        <f aca="false">SUM(F63:H63)</f>
        <v>303.64</v>
      </c>
      <c r="F63" s="33" t="n">
        <v>303.64</v>
      </c>
    </row>
    <row r="64" customFormat="false" ht="15" hidden="false" customHeight="false" outlineLevel="0" collapsed="false">
      <c r="B64" s="5" t="s">
        <v>165</v>
      </c>
      <c r="D64" s="33" t="n">
        <f aca="false">SUM(F64:H64)</f>
        <v>2289.4</v>
      </c>
      <c r="F64" s="33" t="n">
        <v>2289.4</v>
      </c>
    </row>
    <row r="65" customFormat="false" ht="15" hidden="false" customHeight="false" outlineLevel="0" collapsed="false">
      <c r="B65" s="5" t="s">
        <v>166</v>
      </c>
      <c r="D65" s="33" t="n">
        <f aca="false">SUM(F65:H65)</f>
        <v>16164.52</v>
      </c>
      <c r="F65" s="33" t="n">
        <v>16164.52</v>
      </c>
    </row>
    <row r="66" customFormat="false" ht="15" hidden="false" customHeight="false" outlineLevel="0" collapsed="false">
      <c r="B66" s="5" t="s">
        <v>167</v>
      </c>
      <c r="D66" s="33" t="n">
        <f aca="false">SUM(F66:H66)</f>
        <v>1679.16</v>
      </c>
      <c r="F66" s="33" t="n">
        <v>1679.16</v>
      </c>
    </row>
    <row r="67" customFormat="false" ht="15" hidden="false" customHeight="false" outlineLevel="0" collapsed="false">
      <c r="B67" s="5" t="s">
        <v>168</v>
      </c>
      <c r="D67" s="33" t="n">
        <f aca="false">SUM(F67:H67)</f>
        <v>230.59</v>
      </c>
      <c r="F67" s="33" t="n">
        <v>230.59</v>
      </c>
    </row>
    <row r="68" customFormat="false" ht="15" hidden="false" customHeight="false" outlineLevel="0" collapsed="false">
      <c r="B68" s="5" t="s">
        <v>169</v>
      </c>
      <c r="D68" s="33" t="n">
        <f aca="false">SUM(F68:H68)</f>
        <v>1250.74</v>
      </c>
      <c r="F68" s="33" t="n">
        <v>1250.74</v>
      </c>
    </row>
    <row r="69" customFormat="false" ht="15" hidden="false" customHeight="false" outlineLevel="0" collapsed="false">
      <c r="B69" s="5" t="s">
        <v>170</v>
      </c>
      <c r="D69" s="33" t="n">
        <f aca="false">SUM(F69:H69)</f>
        <v>5275.08</v>
      </c>
      <c r="F69" s="33" t="n">
        <v>5275.08</v>
      </c>
    </row>
    <row r="70" customFormat="false" ht="15" hidden="false" customHeight="false" outlineLevel="0" collapsed="false">
      <c r="B70" s="5" t="s">
        <v>171</v>
      </c>
      <c r="D70" s="33" t="n">
        <f aca="false">SUM(F70:H70)</f>
        <v>962.76</v>
      </c>
      <c r="F70" s="33" t="n">
        <v>962.76</v>
      </c>
    </row>
    <row r="71" customFormat="false" ht="15" hidden="false" customHeight="false" outlineLevel="0" collapsed="false">
      <c r="B71" s="5" t="s">
        <v>172</v>
      </c>
      <c r="D71" s="33" t="n">
        <f aca="false">SUM(F71:H71)</f>
        <v>645.41</v>
      </c>
      <c r="F71" s="33" t="n">
        <v>645.41</v>
      </c>
    </row>
    <row r="72" customFormat="false" ht="15" hidden="false" customHeight="false" outlineLevel="0" collapsed="false">
      <c r="B72" s="5" t="s">
        <v>173</v>
      </c>
      <c r="D72" s="33" t="n">
        <f aca="false">SUM(F72:H72)</f>
        <v>99.9</v>
      </c>
      <c r="F72" s="33" t="n">
        <v>99.9</v>
      </c>
    </row>
    <row r="73" customFormat="false" ht="15" hidden="false" customHeight="false" outlineLevel="0" collapsed="false">
      <c r="B73" s="5" t="s">
        <v>148</v>
      </c>
      <c r="D73" s="33" t="n">
        <f aca="false">SUM(F73:H73)</f>
        <v>45.48</v>
      </c>
      <c r="F73" s="33" t="n">
        <v>45.48</v>
      </c>
    </row>
    <row r="74" customFormat="false" ht="15" hidden="false" customHeight="false" outlineLevel="0" collapsed="false">
      <c r="B74" s="5" t="s">
        <v>174</v>
      </c>
      <c r="D74" s="33" t="n">
        <f aca="false">SUM(F74:H74)</f>
        <v>3308.54</v>
      </c>
      <c r="F74" s="33" t="n">
        <v>3308.54</v>
      </c>
    </row>
    <row r="75" customFormat="false" ht="15" hidden="false" customHeight="false" outlineLevel="0" collapsed="false">
      <c r="B75" s="32" t="s">
        <v>175</v>
      </c>
    </row>
    <row r="76" customFormat="false" ht="15" hidden="false" customHeight="false" outlineLevel="0" collapsed="false">
      <c r="B76" s="5" t="s">
        <v>176</v>
      </c>
      <c r="D76" s="33" t="n">
        <f aca="false">SUM(F76:H76)</f>
        <v>11830.03</v>
      </c>
      <c r="H76" s="33" t="n">
        <v>11830.03</v>
      </c>
    </row>
    <row r="77" customFormat="false" ht="15" hidden="false" customHeight="false" outlineLevel="0" collapsed="false">
      <c r="B77" s="5" t="s">
        <v>177</v>
      </c>
      <c r="D77" s="33" t="n">
        <f aca="false">SUM(F77:H77)</f>
        <v>21317.77</v>
      </c>
      <c r="H77" s="33" t="n">
        <v>21317.77</v>
      </c>
    </row>
    <row r="78" customFormat="false" ht="15" hidden="false" customHeight="false" outlineLevel="0" collapsed="false">
      <c r="B78" s="5" t="s">
        <v>178</v>
      </c>
      <c r="D78" s="33" t="n">
        <f aca="false">SUM(F78:H78)</f>
        <v>15636.59</v>
      </c>
      <c r="H78" s="33" t="n">
        <v>15636.59</v>
      </c>
    </row>
    <row r="79" customFormat="false" ht="15" hidden="false" customHeight="false" outlineLevel="0" collapsed="false">
      <c r="B79" s="5" t="s">
        <v>179</v>
      </c>
      <c r="D79" s="33" t="n">
        <f aca="false">SUM(F79:H79)</f>
        <v>15927.28</v>
      </c>
      <c r="H79" s="33" t="n">
        <v>15927.28</v>
      </c>
    </row>
    <row r="80" customFormat="false" ht="15" hidden="false" customHeight="false" outlineLevel="0" collapsed="false">
      <c r="B80" s="5" t="s">
        <v>180</v>
      </c>
      <c r="D80" s="33" t="n">
        <f aca="false">SUM(F80:H80)</f>
        <v>12830.5</v>
      </c>
      <c r="H80" s="33" t="n">
        <v>12830.5</v>
      </c>
    </row>
    <row r="81" customFormat="false" ht="15" hidden="false" customHeight="false" outlineLevel="0" collapsed="false">
      <c r="B81" s="5" t="s">
        <v>181</v>
      </c>
      <c r="D81" s="33" t="n">
        <f aca="false">SUM(F81:H81)</f>
        <v>1203.33</v>
      </c>
      <c r="H81" s="33" t="n">
        <v>1203.33</v>
      </c>
    </row>
    <row r="82" customFormat="false" ht="15" hidden="false" customHeight="false" outlineLevel="0" collapsed="false">
      <c r="B82" s="5" t="s">
        <v>182</v>
      </c>
      <c r="D82" s="33" t="n">
        <f aca="false">SUM(F82:H82)</f>
        <v>17377.25</v>
      </c>
      <c r="H82" s="33" t="n">
        <v>17377.25</v>
      </c>
    </row>
    <row r="83" customFormat="false" ht="15" hidden="false" customHeight="false" outlineLevel="0" collapsed="false">
      <c r="B83" s="5" t="s">
        <v>183</v>
      </c>
      <c r="D83" s="33" t="n">
        <f aca="false">SUM(F83:H83)</f>
        <v>4999.87</v>
      </c>
      <c r="H83" s="33" t="n">
        <v>4999.87</v>
      </c>
    </row>
    <row r="84" customFormat="false" ht="15" hidden="false" customHeight="false" outlineLevel="0" collapsed="false">
      <c r="B84" s="5" t="s">
        <v>184</v>
      </c>
      <c r="D84" s="33" t="n">
        <f aca="false">SUM(F84:H84)</f>
        <v>8291.76</v>
      </c>
      <c r="H84" s="33" t="n">
        <v>8291.76</v>
      </c>
    </row>
    <row r="85" customFormat="false" ht="15" hidden="false" customHeight="false" outlineLevel="0" collapsed="false">
      <c r="B85" s="5" t="s">
        <v>185</v>
      </c>
      <c r="D85" s="33" t="n">
        <f aca="false">SUM(F85:H85)</f>
        <v>7199.05</v>
      </c>
      <c r="H85" s="33" t="n">
        <v>7199.05</v>
      </c>
    </row>
    <row r="86" customFormat="false" ht="15" hidden="false" customHeight="false" outlineLevel="0" collapsed="false">
      <c r="B86" s="5" t="s">
        <v>186</v>
      </c>
      <c r="D86" s="33" t="n">
        <f aca="false">SUM(F86:H86)</f>
        <v>18442.92</v>
      </c>
      <c r="H86" s="33" t="n">
        <v>18442.92</v>
      </c>
    </row>
    <row r="87" customFormat="false" ht="15" hidden="false" customHeight="false" outlineLevel="0" collapsed="false">
      <c r="B87" s="5" t="s">
        <v>187</v>
      </c>
      <c r="D87" s="33" t="n">
        <f aca="false">SUM(F87:H87)</f>
        <v>7118.71</v>
      </c>
      <c r="H87" s="33" t="n">
        <v>7118.71</v>
      </c>
    </row>
    <row r="88" customFormat="false" ht="15" hidden="false" customHeight="false" outlineLevel="0" collapsed="false">
      <c r="B88" s="5" t="s">
        <v>188</v>
      </c>
      <c r="D88" s="33" t="n">
        <f aca="false">SUM(F88:H88)</f>
        <v>1681.12</v>
      </c>
      <c r="H88" s="33" t="n">
        <v>1681.12</v>
      </c>
    </row>
    <row r="89" customFormat="false" ht="15" hidden="false" customHeight="false" outlineLevel="0" collapsed="false">
      <c r="B89" s="5" t="s">
        <v>189</v>
      </c>
      <c r="D89" s="33" t="n">
        <f aca="false">SUM(F89:H89)</f>
        <v>1496.36</v>
      </c>
      <c r="H89" s="33" t="n">
        <v>1496.36</v>
      </c>
    </row>
    <row r="90" customFormat="false" ht="15" hidden="false" customHeight="false" outlineLevel="0" collapsed="false">
      <c r="B90" s="5" t="s">
        <v>190</v>
      </c>
      <c r="D90" s="33" t="n">
        <f aca="false">SUM(F90:H90)</f>
        <v>22170.89</v>
      </c>
      <c r="H90" s="33" t="n">
        <v>22170.89</v>
      </c>
    </row>
    <row r="91" customFormat="false" ht="15" hidden="false" customHeight="false" outlineLevel="0" collapsed="false">
      <c r="B91" s="5" t="s">
        <v>191</v>
      </c>
      <c r="D91" s="33" t="n">
        <f aca="false">SUM(F91:H91)</f>
        <v>2533.5</v>
      </c>
      <c r="H91" s="33" t="n">
        <v>2533.5</v>
      </c>
    </row>
    <row r="92" customFormat="false" ht="15" hidden="false" customHeight="false" outlineLevel="0" collapsed="false">
      <c r="B92" s="5" t="s">
        <v>192</v>
      </c>
      <c r="D92" s="33" t="n">
        <f aca="false">SUM(F92:H92)</f>
        <v>1724.77</v>
      </c>
      <c r="H92" s="33" t="n">
        <v>1724.77</v>
      </c>
    </row>
    <row r="93" customFormat="false" ht="15" hidden="false" customHeight="false" outlineLevel="0" collapsed="false">
      <c r="B93" s="5" t="s">
        <v>193</v>
      </c>
      <c r="D93" s="33" t="n">
        <f aca="false">SUM(F93:H93)</f>
        <v>502.72</v>
      </c>
      <c r="H93" s="33" t="n">
        <v>502.72</v>
      </c>
    </row>
    <row r="94" customFormat="false" ht="15" hidden="false" customHeight="false" outlineLevel="0" collapsed="false">
      <c r="B94" s="11" t="s">
        <v>159</v>
      </c>
      <c r="D94" s="34" t="n">
        <f aca="false">SUM(D62:D93)</f>
        <v>204539.64</v>
      </c>
      <c r="F94" s="34" t="n">
        <f aca="false">SUM(F62:F93)</f>
        <v>32255.22</v>
      </c>
      <c r="H94" s="34" t="n">
        <f aca="false">SUM(H62:H93)</f>
        <v>172284.42</v>
      </c>
    </row>
    <row r="95" customFormat="false" ht="15" hidden="false" customHeight="false" outlineLevel="0" collapsed="false">
      <c r="B95" s="30" t="s">
        <v>131</v>
      </c>
      <c r="F95" s="31" t="n">
        <f aca="false">F94/D94</f>
        <v>0.157696669457324</v>
      </c>
      <c r="H95" s="31" t="n">
        <f aca="false">H94/D94</f>
        <v>0.842303330542676</v>
      </c>
    </row>
    <row r="97" customFormat="false" ht="15" hidden="false" customHeight="false" outlineLevel="0" collapsed="false">
      <c r="A97" s="10" t="s">
        <v>154</v>
      </c>
    </row>
    <row r="98" customFormat="false" ht="15" hidden="false" customHeight="false" outlineLevel="0" collapsed="false">
      <c r="B98" s="4" t="s">
        <v>155</v>
      </c>
      <c r="D98" s="4" t="s">
        <v>103</v>
      </c>
      <c r="F98" s="4" t="s">
        <v>162</v>
      </c>
      <c r="H98" s="4" t="s">
        <v>136</v>
      </c>
    </row>
    <row r="99" customFormat="false" ht="15" hidden="false" customHeight="false" outlineLevel="0" collapsed="false">
      <c r="B99" s="5" t="str">
        <f aca="false">Office!B17</f>
        <v>2 - Land Imp - Peter St - Office - 5yr</v>
      </c>
      <c r="D99" s="33" t="n">
        <f aca="false">SUM(F99:H99)</f>
        <v>2803.75</v>
      </c>
      <c r="F99" s="33" t="n">
        <f aca="false">Office!D17</f>
        <v>2803.75</v>
      </c>
    </row>
    <row r="100" customFormat="false" ht="15" hidden="false" customHeight="false" outlineLevel="0" collapsed="false">
      <c r="B100" s="5" t="str">
        <f aca="false">Office!B18</f>
        <v>2 - Land Imp - Peter St - Office - 27.5yr</v>
      </c>
      <c r="D100" s="33" t="n">
        <f aca="false">SUM(F100:H100)</f>
        <v>14975.63</v>
      </c>
      <c r="H100" s="33" t="n">
        <f aca="false">Office!D18</f>
        <v>14975.63</v>
      </c>
    </row>
    <row r="101" customFormat="false" ht="15" hidden="false" customHeight="false" outlineLevel="0" collapsed="false">
      <c r="B101" s="5" t="str">
        <f aca="false">Office!B19</f>
        <v>3 - Building - Peter St - Office - 5yr</v>
      </c>
      <c r="D101" s="33" t="n">
        <f aca="false">SUM(F101:H101)</f>
        <v>27366.04</v>
      </c>
      <c r="F101" s="33" t="n">
        <f aca="false">Office!D19</f>
        <v>27366.04</v>
      </c>
    </row>
    <row r="102" customFormat="false" ht="15" hidden="false" customHeight="false" outlineLevel="0" collapsed="false">
      <c r="B102" s="5" t="str">
        <f aca="false">Office!B20</f>
        <v>3 - Building - Peter St - Office - 27.5yr</v>
      </c>
      <c r="D102" s="33" t="n">
        <f aca="false">SUM(F102:H102)</f>
        <v>146169.89</v>
      </c>
      <c r="H102" s="33" t="n">
        <f aca="false">Office!D20</f>
        <v>146169.89</v>
      </c>
    </row>
    <row r="103" customFormat="false" ht="15" hidden="false" customHeight="false" outlineLevel="0" collapsed="false">
      <c r="B103" s="5" t="str">
        <f aca="false">Office!B21</f>
        <v>4 - Equipment - Peter St - Office - 5yr</v>
      </c>
      <c r="D103" s="33" t="n">
        <f aca="false">SUM(F103:H103)</f>
        <v>2085.43</v>
      </c>
      <c r="F103" s="33" t="n">
        <f aca="false">Office!D21</f>
        <v>2085.43</v>
      </c>
    </row>
    <row r="104" customFormat="false" ht="15" hidden="false" customHeight="false" outlineLevel="0" collapsed="false">
      <c r="B104" s="5" t="str">
        <f aca="false">Office!B22</f>
        <v>4 - Equipment - Peter St - Office - 27.5yr</v>
      </c>
      <c r="D104" s="33" t="n">
        <f aca="false">SUM(F104:H104)</f>
        <v>11138.9</v>
      </c>
      <c r="H104" s="33" t="n">
        <f aca="false">Office!D22</f>
        <v>11138.9</v>
      </c>
    </row>
    <row r="105" customFormat="false" ht="15" hidden="false" customHeight="false" outlineLevel="0" collapsed="false">
      <c r="B105" s="11" t="s">
        <v>156</v>
      </c>
      <c r="D105" s="34" t="n">
        <f aca="false">SUM(D99:D104)</f>
        <v>204539.64</v>
      </c>
      <c r="F105" s="34" t="n">
        <f aca="false">SUM(F99:F104)</f>
        <v>32255.22</v>
      </c>
      <c r="H105" s="34" t="n">
        <f aca="false">SUM(H99:H104)</f>
        <v>172284.42</v>
      </c>
    </row>
    <row r="106" customFormat="false" ht="15" hidden="false" customHeight="false" outlineLevel="0" collapsed="false">
      <c r="B106" s="16" t="s">
        <v>157</v>
      </c>
      <c r="D106" s="17" t="n">
        <f aca="false">D105-D94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194</v>
      </c>
    </row>
    <row r="5" customFormat="false" ht="15" hidden="false" customHeight="false" outlineLevel="0" collapsed="false">
      <c r="A5" s="16" t="s">
        <v>97</v>
      </c>
    </row>
    <row r="7" customFormat="false" ht="15" hidden="false" customHeight="false" outlineLevel="0" collapsed="false">
      <c r="A7" s="10" t="s">
        <v>98</v>
      </c>
    </row>
    <row r="8" customFormat="false" ht="15" hidden="false" customHeight="false" outlineLevel="0" collapsed="false">
      <c r="A8" s="21" t="s">
        <v>99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100</v>
      </c>
      <c r="B9" s="4" t="s">
        <v>101</v>
      </c>
      <c r="C9" s="4" t="s">
        <v>102</v>
      </c>
      <c r="D9" s="4" t="s">
        <v>103</v>
      </c>
      <c r="E9" s="4" t="s">
        <v>104</v>
      </c>
      <c r="F9" s="4" t="s">
        <v>105</v>
      </c>
      <c r="G9" s="4" t="s">
        <v>106</v>
      </c>
      <c r="H9" s="4" t="s">
        <v>107</v>
      </c>
      <c r="I9" s="4" t="s">
        <v>108</v>
      </c>
      <c r="J9" s="4" t="s">
        <v>109</v>
      </c>
      <c r="K9" s="4" t="s">
        <v>110</v>
      </c>
      <c r="L9" s="4" t="s">
        <v>111</v>
      </c>
    </row>
    <row r="10" customFormat="false" ht="15" hidden="false" customHeight="false" outlineLevel="0" collapsed="false">
      <c r="A10" s="23" t="n">
        <v>1</v>
      </c>
      <c r="B10" s="23" t="s">
        <v>22</v>
      </c>
      <c r="C10" s="23" t="s">
        <v>15</v>
      </c>
      <c r="D10" s="24" t="n">
        <v>39470.87</v>
      </c>
      <c r="E10" s="24" t="n">
        <v>0</v>
      </c>
      <c r="F10" s="24" t="n">
        <v>39470.87</v>
      </c>
      <c r="G10" s="24" t="n">
        <v>39470.87</v>
      </c>
      <c r="H10" s="24" t="n">
        <v>0</v>
      </c>
      <c r="I10" s="24" t="n">
        <f aca="false">G10+H10</f>
        <v>39470.87</v>
      </c>
      <c r="J10" s="24" t="n">
        <f aca="false">D10-I10</f>
        <v>0</v>
      </c>
      <c r="K10" s="25" t="s">
        <v>112</v>
      </c>
      <c r="L10" s="25" t="s">
        <v>113</v>
      </c>
    </row>
    <row r="11" customFormat="false" ht="15" hidden="false" customHeight="false" outlineLevel="0" collapsed="false">
      <c r="A11" s="23" t="n">
        <v>2</v>
      </c>
      <c r="B11" s="23" t="s">
        <v>23</v>
      </c>
      <c r="C11" s="23" t="s">
        <v>15</v>
      </c>
      <c r="D11" s="24" t="n">
        <v>385256.09</v>
      </c>
      <c r="E11" s="24" t="n">
        <v>0</v>
      </c>
      <c r="F11" s="24" t="n">
        <v>0</v>
      </c>
      <c r="G11" s="24" t="n">
        <v>44951.45</v>
      </c>
      <c r="H11" s="24" t="n">
        <v>14009.39</v>
      </c>
      <c r="I11" s="24" t="n">
        <f aca="false">G11+H11</f>
        <v>58960.84</v>
      </c>
      <c r="J11" s="24" t="n">
        <f aca="false">D11-I11</f>
        <v>326295.25</v>
      </c>
      <c r="K11" s="25" t="s">
        <v>114</v>
      </c>
      <c r="L11" s="25" t="s">
        <v>115</v>
      </c>
    </row>
    <row r="12" customFormat="false" ht="15" hidden="false" customHeight="false" outlineLevel="0" collapsed="false">
      <c r="A12" s="23" t="n">
        <v>3</v>
      </c>
      <c r="B12" s="23" t="s">
        <v>24</v>
      </c>
      <c r="C12" s="23" t="s">
        <v>15</v>
      </c>
      <c r="D12" s="24" t="n">
        <v>29358.5</v>
      </c>
      <c r="E12" s="24" t="n">
        <v>0</v>
      </c>
      <c r="F12" s="24" t="n">
        <v>29358.5</v>
      </c>
      <c r="G12" s="24" t="n">
        <v>29358.5</v>
      </c>
      <c r="H12" s="24" t="n">
        <v>0</v>
      </c>
      <c r="I12" s="24" t="n">
        <f aca="false">G12+H12</f>
        <v>29358.5</v>
      </c>
      <c r="J12" s="24" t="n">
        <f aca="false">D12-I12</f>
        <v>0</v>
      </c>
      <c r="K12" s="25" t="s">
        <v>116</v>
      </c>
      <c r="L12" s="25" t="s">
        <v>117</v>
      </c>
    </row>
    <row r="13" customFormat="false" ht="15" hidden="false" customHeight="false" outlineLevel="0" collapsed="false">
      <c r="A13" s="26"/>
      <c r="B13" s="27" t="s">
        <v>39</v>
      </c>
      <c r="C13" s="26"/>
      <c r="D13" s="28" t="n">
        <f aca="false">SUM(D10:D12)</f>
        <v>454085.46</v>
      </c>
      <c r="E13" s="28" t="n">
        <f aca="false">SUM(E10:E12)</f>
        <v>0</v>
      </c>
      <c r="F13" s="28" t="n">
        <f aca="false">SUM(F10:F12)</f>
        <v>68829.37</v>
      </c>
      <c r="G13" s="28" t="n">
        <f aca="false">SUM(G10:G12)</f>
        <v>113780.82</v>
      </c>
      <c r="H13" s="28" t="n">
        <f aca="false">SUM(H10:H12)</f>
        <v>14009.39</v>
      </c>
      <c r="I13" s="28" t="n">
        <f aca="false">SUM(I10:I12)</f>
        <v>127790.21</v>
      </c>
      <c r="J13" s="28" t="n">
        <f aca="false">SUM(J10:J12)</f>
        <v>326295.25</v>
      </c>
      <c r="K13" s="26"/>
      <c r="L13" s="26"/>
    </row>
    <row r="15" customFormat="false" ht="15" hidden="false" customHeight="false" outlineLevel="0" collapsed="false">
      <c r="A15" s="21" t="s">
        <v>118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100</v>
      </c>
      <c r="B16" s="4" t="s">
        <v>101</v>
      </c>
      <c r="C16" s="4" t="s">
        <v>102</v>
      </c>
      <c r="D16" s="4" t="s">
        <v>103</v>
      </c>
      <c r="E16" s="4" t="s">
        <v>104</v>
      </c>
      <c r="F16" s="4" t="s">
        <v>105</v>
      </c>
      <c r="G16" s="4" t="s">
        <v>106</v>
      </c>
      <c r="H16" s="4" t="s">
        <v>107</v>
      </c>
      <c r="I16" s="4" t="s">
        <v>108</v>
      </c>
      <c r="J16" s="4" t="s">
        <v>109</v>
      </c>
      <c r="K16" s="4" t="s">
        <v>110</v>
      </c>
      <c r="L16" s="4" t="s">
        <v>111</v>
      </c>
    </row>
    <row r="17" customFormat="false" ht="15" hidden="false" customHeight="false" outlineLevel="0" collapsed="false">
      <c r="A17" s="23" t="n">
        <v>1</v>
      </c>
      <c r="B17" s="23" t="s">
        <v>53</v>
      </c>
      <c r="C17" s="23" t="s">
        <v>15</v>
      </c>
      <c r="D17" s="24" t="n">
        <v>8187.59</v>
      </c>
      <c r="E17" s="24" t="n">
        <v>0</v>
      </c>
      <c r="F17" s="24" t="n">
        <v>8187.59</v>
      </c>
      <c r="G17" s="24" t="n">
        <v>8187.59</v>
      </c>
      <c r="H17" s="24" t="n">
        <v>0</v>
      </c>
      <c r="I17" s="24" t="n">
        <f aca="false">G17+H17</f>
        <v>8187.59</v>
      </c>
      <c r="J17" s="24" t="n">
        <f aca="false">D17-I17</f>
        <v>0</v>
      </c>
      <c r="K17" s="25" t="s">
        <v>116</v>
      </c>
      <c r="L17" s="25" t="s">
        <v>117</v>
      </c>
    </row>
    <row r="18" customFormat="false" ht="15" hidden="false" customHeight="false" outlineLevel="0" collapsed="false">
      <c r="A18" s="23" t="n">
        <v>2</v>
      </c>
      <c r="B18" s="23" t="s">
        <v>54</v>
      </c>
      <c r="C18" s="23" t="s">
        <v>15</v>
      </c>
      <c r="D18" s="24" t="n">
        <v>31283.28</v>
      </c>
      <c r="E18" s="24" t="n">
        <v>0</v>
      </c>
      <c r="F18" s="24" t="n">
        <v>0</v>
      </c>
      <c r="G18" s="24" t="n">
        <v>3649.7</v>
      </c>
      <c r="H18" s="24" t="n">
        <v>1137.57</v>
      </c>
      <c r="I18" s="24" t="n">
        <f aca="false">G18+H18</f>
        <v>4787.27</v>
      </c>
      <c r="J18" s="24" t="n">
        <f aca="false">D18-I18</f>
        <v>26496.01</v>
      </c>
      <c r="K18" s="25" t="s">
        <v>114</v>
      </c>
      <c r="L18" s="25" t="s">
        <v>115</v>
      </c>
    </row>
    <row r="19" customFormat="false" ht="15" hidden="false" customHeight="false" outlineLevel="0" collapsed="false">
      <c r="A19" s="23" t="n">
        <v>3</v>
      </c>
      <c r="B19" s="23" t="s">
        <v>55</v>
      </c>
      <c r="C19" s="23" t="s">
        <v>15</v>
      </c>
      <c r="D19" s="24" t="n">
        <v>79915.16</v>
      </c>
      <c r="E19" s="24" t="n">
        <v>0</v>
      </c>
      <c r="F19" s="24" t="n">
        <v>79915.16</v>
      </c>
      <c r="G19" s="24" t="n">
        <v>79915.16</v>
      </c>
      <c r="H19" s="24" t="n">
        <v>0</v>
      </c>
      <c r="I19" s="24" t="n">
        <f aca="false">G19+H19</f>
        <v>79915.16</v>
      </c>
      <c r="J19" s="24" t="n">
        <f aca="false">D19-I19</f>
        <v>0</v>
      </c>
      <c r="K19" s="25" t="s">
        <v>116</v>
      </c>
      <c r="L19" s="25" t="s">
        <v>117</v>
      </c>
    </row>
    <row r="20" customFormat="false" ht="15" hidden="false" customHeight="false" outlineLevel="0" collapsed="false">
      <c r="A20" s="23" t="n">
        <v>4</v>
      </c>
      <c r="B20" s="23" t="s">
        <v>56</v>
      </c>
      <c r="C20" s="23" t="s">
        <v>15</v>
      </c>
      <c r="D20" s="24" t="n">
        <v>305340.93</v>
      </c>
      <c r="E20" s="24" t="n">
        <v>0</v>
      </c>
      <c r="F20" s="24" t="n">
        <v>0</v>
      </c>
      <c r="G20" s="24" t="n">
        <v>35623.12</v>
      </c>
      <c r="H20" s="24" t="n">
        <v>11103.31</v>
      </c>
      <c r="I20" s="24" t="n">
        <f aca="false">G20+H20</f>
        <v>46726.43</v>
      </c>
      <c r="J20" s="24" t="n">
        <f aca="false">D20-I20</f>
        <v>258614.5</v>
      </c>
      <c r="K20" s="25" t="s">
        <v>114</v>
      </c>
      <c r="L20" s="25" t="s">
        <v>115</v>
      </c>
    </row>
    <row r="21" customFormat="false" ht="15" hidden="false" customHeight="false" outlineLevel="0" collapsed="false">
      <c r="A21" s="23" t="n">
        <v>5</v>
      </c>
      <c r="B21" s="23" t="s">
        <v>57</v>
      </c>
      <c r="C21" s="23" t="s">
        <v>15</v>
      </c>
      <c r="D21" s="24" t="n">
        <v>6089.95</v>
      </c>
      <c r="E21" s="24" t="n">
        <v>0</v>
      </c>
      <c r="F21" s="24" t="n">
        <v>6089.95</v>
      </c>
      <c r="G21" s="24" t="n">
        <v>6089.95</v>
      </c>
      <c r="H21" s="24" t="n">
        <v>0</v>
      </c>
      <c r="I21" s="24" t="n">
        <f aca="false">G21+H21</f>
        <v>6089.95</v>
      </c>
      <c r="J21" s="24" t="n">
        <f aca="false">D21-I21</f>
        <v>0</v>
      </c>
      <c r="K21" s="25" t="s">
        <v>116</v>
      </c>
      <c r="L21" s="25" t="s">
        <v>117</v>
      </c>
    </row>
    <row r="22" customFormat="false" ht="15" hidden="false" customHeight="false" outlineLevel="0" collapsed="false">
      <c r="A22" s="23" t="n">
        <v>6</v>
      </c>
      <c r="B22" s="23" t="s">
        <v>58</v>
      </c>
      <c r="C22" s="23" t="s">
        <v>15</v>
      </c>
      <c r="D22" s="24" t="n">
        <v>23268.55</v>
      </c>
      <c r="E22" s="24" t="n">
        <v>0</v>
      </c>
      <c r="F22" s="24" t="n">
        <v>0</v>
      </c>
      <c r="G22" s="24" t="n">
        <v>2714.67</v>
      </c>
      <c r="H22" s="24" t="n">
        <v>846.13</v>
      </c>
      <c r="I22" s="24" t="n">
        <f aca="false">G22+H22</f>
        <v>3560.8</v>
      </c>
      <c r="J22" s="24" t="n">
        <f aca="false">D22-I22</f>
        <v>19707.75</v>
      </c>
      <c r="K22" s="25" t="s">
        <v>114</v>
      </c>
      <c r="L22" s="25" t="s">
        <v>115</v>
      </c>
    </row>
    <row r="23" customFormat="false" ht="15" hidden="false" customHeight="false" outlineLevel="0" collapsed="false">
      <c r="A23" s="26"/>
      <c r="B23" s="27" t="s">
        <v>39</v>
      </c>
      <c r="C23" s="26"/>
      <c r="D23" s="28" t="n">
        <f aca="false">SUM(D17:D22)</f>
        <v>454085.46</v>
      </c>
      <c r="E23" s="28" t="n">
        <f aca="false">SUM(E17:E22)</f>
        <v>0</v>
      </c>
      <c r="F23" s="28" t="n">
        <f aca="false">SUM(F17:F22)</f>
        <v>94192.7</v>
      </c>
      <c r="G23" s="28" t="n">
        <f aca="false">SUM(G17:G22)</f>
        <v>136180.19</v>
      </c>
      <c r="H23" s="28" t="n">
        <f aca="false">SUM(H17:H22)</f>
        <v>13087.01</v>
      </c>
      <c r="I23" s="28" t="n">
        <f aca="false">SUM(I17:I22)</f>
        <v>149267.2</v>
      </c>
      <c r="J23" s="28" t="n">
        <f aca="false">SUM(J17:J22)</f>
        <v>304818.26</v>
      </c>
      <c r="K23" s="26"/>
      <c r="L23" s="26"/>
    </row>
    <row r="25" customFormat="false" ht="15" hidden="false" customHeight="false" outlineLevel="0" collapsed="false">
      <c r="B25" s="18" t="s">
        <v>119</v>
      </c>
    </row>
    <row r="26" customFormat="false" ht="15" hidden="false" customHeight="false" outlineLevel="0" collapsed="false">
      <c r="B26" s="5" t="s">
        <v>120</v>
      </c>
      <c r="D26" s="6" t="n">
        <f aca="false">I13</f>
        <v>127790.21</v>
      </c>
    </row>
    <row r="27" customFormat="false" ht="15" hidden="false" customHeight="false" outlineLevel="0" collapsed="false">
      <c r="B27" s="5" t="s">
        <v>121</v>
      </c>
      <c r="D27" s="6" t="n">
        <f aca="false">I23</f>
        <v>149267.2</v>
      </c>
    </row>
    <row r="28" customFormat="false" ht="15" hidden="false" customHeight="false" outlineLevel="0" collapsed="false">
      <c r="B28" s="11" t="s">
        <v>119</v>
      </c>
      <c r="D28" s="29" t="n">
        <f aca="false">D26-D27</f>
        <v>-21476.99</v>
      </c>
    </row>
    <row r="30" customFormat="false" ht="15" hidden="false" customHeight="false" outlineLevel="0" collapsed="false">
      <c r="A30" s="10" t="s">
        <v>122</v>
      </c>
    </row>
    <row r="31" customFormat="false" ht="15" hidden="false" customHeight="false" outlineLevel="0" collapsed="false">
      <c r="A31" s="21" t="s">
        <v>123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100</v>
      </c>
      <c r="B32" s="4" t="s">
        <v>101</v>
      </c>
      <c r="C32" s="4" t="s">
        <v>102</v>
      </c>
      <c r="D32" s="4" t="s">
        <v>103</v>
      </c>
      <c r="E32" s="4" t="s">
        <v>104</v>
      </c>
      <c r="F32" s="4" t="s">
        <v>105</v>
      </c>
      <c r="G32" s="4" t="s">
        <v>124</v>
      </c>
      <c r="H32" s="4" t="s">
        <v>125</v>
      </c>
      <c r="I32" s="4" t="s">
        <v>108</v>
      </c>
      <c r="J32" s="4" t="s">
        <v>109</v>
      </c>
      <c r="K32" s="4" t="s">
        <v>110</v>
      </c>
      <c r="L32" s="4" t="s">
        <v>111</v>
      </c>
    </row>
    <row r="33" customFormat="false" ht="15" hidden="false" customHeight="false" outlineLevel="0" collapsed="false">
      <c r="A33" s="23" t="n">
        <v>1</v>
      </c>
      <c r="B33" s="23" t="s">
        <v>22</v>
      </c>
      <c r="C33" s="23" t="s">
        <v>15</v>
      </c>
      <c r="D33" s="24" t="n">
        <v>39470.87</v>
      </c>
      <c r="E33" s="24" t="n">
        <v>0</v>
      </c>
      <c r="F33" s="24" t="n">
        <v>39470.87</v>
      </c>
      <c r="G33" s="24" t="n">
        <v>39470.87</v>
      </c>
      <c r="H33" s="24" t="n">
        <v>0</v>
      </c>
      <c r="I33" s="24" t="n">
        <f aca="false">G33+H33</f>
        <v>39470.87</v>
      </c>
      <c r="J33" s="24" t="n">
        <f aca="false">D33-I33</f>
        <v>0</v>
      </c>
      <c r="K33" s="25" t="s">
        <v>112</v>
      </c>
      <c r="L33" s="25" t="s">
        <v>113</v>
      </c>
    </row>
    <row r="34" customFormat="false" ht="15" hidden="false" customHeight="false" outlineLevel="0" collapsed="false">
      <c r="A34" s="23" t="n">
        <v>2</v>
      </c>
      <c r="B34" s="23" t="s">
        <v>23</v>
      </c>
      <c r="C34" s="23" t="s">
        <v>15</v>
      </c>
      <c r="D34" s="24" t="n">
        <v>385256.09</v>
      </c>
      <c r="E34" s="24" t="n">
        <v>0</v>
      </c>
      <c r="F34" s="24" t="n">
        <v>0</v>
      </c>
      <c r="G34" s="24" t="n">
        <v>44951.45</v>
      </c>
      <c r="H34" s="24" t="n">
        <v>14009.39</v>
      </c>
      <c r="I34" s="24" t="n">
        <f aca="false">G34+H34</f>
        <v>58960.84</v>
      </c>
      <c r="J34" s="24" t="n">
        <f aca="false">D34-I34</f>
        <v>326295.25</v>
      </c>
      <c r="K34" s="25" t="s">
        <v>114</v>
      </c>
      <c r="L34" s="25" t="s">
        <v>115</v>
      </c>
    </row>
    <row r="35" customFormat="false" ht="15" hidden="false" customHeight="false" outlineLevel="0" collapsed="false">
      <c r="A35" s="23" t="n">
        <v>3</v>
      </c>
      <c r="B35" s="23" t="s">
        <v>24</v>
      </c>
      <c r="C35" s="23" t="s">
        <v>15</v>
      </c>
      <c r="D35" s="24" t="n">
        <v>29358.5</v>
      </c>
      <c r="E35" s="24" t="n">
        <v>0</v>
      </c>
      <c r="F35" s="24" t="n">
        <v>29358.5</v>
      </c>
      <c r="G35" s="24" t="n">
        <v>29358.5</v>
      </c>
      <c r="H35" s="24" t="n">
        <v>0</v>
      </c>
      <c r="I35" s="24" t="n">
        <f aca="false">G35+H35</f>
        <v>29358.5</v>
      </c>
      <c r="J35" s="24" t="n">
        <f aca="false">D35-I35</f>
        <v>0</v>
      </c>
      <c r="K35" s="25" t="s">
        <v>116</v>
      </c>
      <c r="L35" s="25" t="s">
        <v>117</v>
      </c>
    </row>
    <row r="36" customFormat="false" ht="15" hidden="false" customHeight="false" outlineLevel="0" collapsed="false">
      <c r="A36" s="26"/>
      <c r="B36" s="27" t="s">
        <v>39</v>
      </c>
      <c r="C36" s="26"/>
      <c r="D36" s="28" t="n">
        <f aca="false">SUM(D33:D35)</f>
        <v>454085.46</v>
      </c>
      <c r="E36" s="28" t="n">
        <f aca="false">SUM(E33:E35)</f>
        <v>0</v>
      </c>
      <c r="F36" s="28" t="n">
        <f aca="false">SUM(F33:F35)</f>
        <v>68829.37</v>
      </c>
      <c r="G36" s="28" t="n">
        <f aca="false">SUM(G33:G35)</f>
        <v>113780.82</v>
      </c>
      <c r="H36" s="28" t="n">
        <f aca="false">SUM(H33:H35)</f>
        <v>14009.39</v>
      </c>
      <c r="I36" s="28" t="n">
        <f aca="false">SUM(I33:I35)</f>
        <v>127790.21</v>
      </c>
      <c r="J36" s="28" t="n">
        <f aca="false">SUM(J33:J35)</f>
        <v>326295.25</v>
      </c>
      <c r="K36" s="26"/>
      <c r="L36" s="26"/>
    </row>
    <row r="38" customFormat="false" ht="15" hidden="false" customHeight="false" outlineLevel="0" collapsed="false">
      <c r="A38" s="21" t="s">
        <v>126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100</v>
      </c>
      <c r="B39" s="4" t="s">
        <v>101</v>
      </c>
      <c r="C39" s="4" t="s">
        <v>102</v>
      </c>
      <c r="D39" s="4" t="s">
        <v>103</v>
      </c>
      <c r="E39" s="4" t="s">
        <v>104</v>
      </c>
      <c r="F39" s="4" t="s">
        <v>105</v>
      </c>
      <c r="G39" s="4" t="s">
        <v>124</v>
      </c>
      <c r="H39" s="4" t="s">
        <v>125</v>
      </c>
      <c r="I39" s="4" t="s">
        <v>108</v>
      </c>
      <c r="J39" s="4" t="s">
        <v>109</v>
      </c>
      <c r="K39" s="4" t="s">
        <v>110</v>
      </c>
      <c r="L39" s="4" t="s">
        <v>111</v>
      </c>
    </row>
    <row r="40" customFormat="false" ht="15" hidden="false" customHeight="false" outlineLevel="0" collapsed="false">
      <c r="A40" s="23" t="n">
        <v>1</v>
      </c>
      <c r="B40" s="23" t="s">
        <v>53</v>
      </c>
      <c r="C40" s="23" t="s">
        <v>15</v>
      </c>
      <c r="D40" s="24" t="n">
        <v>8187.59</v>
      </c>
      <c r="E40" s="24" t="n">
        <v>0</v>
      </c>
      <c r="F40" s="24" t="n">
        <v>8187.59</v>
      </c>
      <c r="G40" s="24" t="n">
        <v>8187.59</v>
      </c>
      <c r="H40" s="24" t="n">
        <v>0</v>
      </c>
      <c r="I40" s="24" t="n">
        <f aca="false">G40+H40</f>
        <v>8187.59</v>
      </c>
      <c r="J40" s="24" t="n">
        <f aca="false">D40-I40</f>
        <v>0</v>
      </c>
      <c r="K40" s="25" t="s">
        <v>116</v>
      </c>
      <c r="L40" s="25" t="s">
        <v>117</v>
      </c>
    </row>
    <row r="41" customFormat="false" ht="15" hidden="false" customHeight="false" outlineLevel="0" collapsed="false">
      <c r="A41" s="23" t="n">
        <v>2</v>
      </c>
      <c r="B41" s="23" t="s">
        <v>54</v>
      </c>
      <c r="C41" s="23" t="s">
        <v>15</v>
      </c>
      <c r="D41" s="24" t="n">
        <v>31283.28</v>
      </c>
      <c r="E41" s="24" t="n">
        <v>0</v>
      </c>
      <c r="F41" s="24" t="n">
        <v>0</v>
      </c>
      <c r="G41" s="24" t="n">
        <v>3649.7</v>
      </c>
      <c r="H41" s="24" t="n">
        <v>1137.57</v>
      </c>
      <c r="I41" s="24" t="n">
        <f aca="false">G41+H41</f>
        <v>4787.27</v>
      </c>
      <c r="J41" s="24" t="n">
        <f aca="false">D41-I41</f>
        <v>26496.01</v>
      </c>
      <c r="K41" s="25" t="s">
        <v>114</v>
      </c>
      <c r="L41" s="25" t="s">
        <v>115</v>
      </c>
    </row>
    <row r="42" customFormat="false" ht="15" hidden="false" customHeight="false" outlineLevel="0" collapsed="false">
      <c r="A42" s="23" t="n">
        <v>3</v>
      </c>
      <c r="B42" s="23" t="s">
        <v>55</v>
      </c>
      <c r="C42" s="23" t="s">
        <v>15</v>
      </c>
      <c r="D42" s="24" t="n">
        <v>79915.16</v>
      </c>
      <c r="E42" s="24" t="n">
        <v>0</v>
      </c>
      <c r="F42" s="24" t="n">
        <v>79915.16</v>
      </c>
      <c r="G42" s="24" t="n">
        <v>79915.16</v>
      </c>
      <c r="H42" s="24" t="n">
        <v>0</v>
      </c>
      <c r="I42" s="24" t="n">
        <f aca="false">G42+H42</f>
        <v>79915.16</v>
      </c>
      <c r="J42" s="24" t="n">
        <f aca="false">D42-I42</f>
        <v>0</v>
      </c>
      <c r="K42" s="25" t="s">
        <v>116</v>
      </c>
      <c r="L42" s="25" t="s">
        <v>117</v>
      </c>
    </row>
    <row r="43" customFormat="false" ht="15" hidden="false" customHeight="false" outlineLevel="0" collapsed="false">
      <c r="A43" s="23" t="n">
        <v>4</v>
      </c>
      <c r="B43" s="23" t="s">
        <v>56</v>
      </c>
      <c r="C43" s="23" t="s">
        <v>15</v>
      </c>
      <c r="D43" s="24" t="n">
        <v>305340.93</v>
      </c>
      <c r="E43" s="24" t="n">
        <v>0</v>
      </c>
      <c r="F43" s="24" t="n">
        <v>0</v>
      </c>
      <c r="G43" s="24" t="n">
        <v>35623.12</v>
      </c>
      <c r="H43" s="24" t="n">
        <v>11103.31</v>
      </c>
      <c r="I43" s="24" t="n">
        <f aca="false">G43+H43</f>
        <v>46726.43</v>
      </c>
      <c r="J43" s="24" t="n">
        <f aca="false">D43-I43</f>
        <v>258614.5</v>
      </c>
      <c r="K43" s="25" t="s">
        <v>114</v>
      </c>
      <c r="L43" s="25" t="s">
        <v>115</v>
      </c>
    </row>
    <row r="44" customFormat="false" ht="15" hidden="false" customHeight="false" outlineLevel="0" collapsed="false">
      <c r="A44" s="23" t="n">
        <v>5</v>
      </c>
      <c r="B44" s="23" t="s">
        <v>57</v>
      </c>
      <c r="C44" s="23" t="s">
        <v>15</v>
      </c>
      <c r="D44" s="24" t="n">
        <v>6089.95</v>
      </c>
      <c r="E44" s="24" t="n">
        <v>0</v>
      </c>
      <c r="F44" s="24" t="n">
        <v>6089.95</v>
      </c>
      <c r="G44" s="24" t="n">
        <v>6089.95</v>
      </c>
      <c r="H44" s="24" t="n">
        <v>0</v>
      </c>
      <c r="I44" s="24" t="n">
        <f aca="false">G44+H44</f>
        <v>6089.95</v>
      </c>
      <c r="J44" s="24" t="n">
        <f aca="false">D44-I44</f>
        <v>0</v>
      </c>
      <c r="K44" s="25" t="s">
        <v>116</v>
      </c>
      <c r="L44" s="25" t="s">
        <v>117</v>
      </c>
    </row>
    <row r="45" customFormat="false" ht="15" hidden="false" customHeight="false" outlineLevel="0" collapsed="false">
      <c r="A45" s="23" t="n">
        <v>6</v>
      </c>
      <c r="B45" s="23" t="s">
        <v>58</v>
      </c>
      <c r="C45" s="23" t="s">
        <v>15</v>
      </c>
      <c r="D45" s="24" t="n">
        <v>23268.55</v>
      </c>
      <c r="E45" s="24" t="n">
        <v>0</v>
      </c>
      <c r="F45" s="24" t="n">
        <v>0</v>
      </c>
      <c r="G45" s="24" t="n">
        <v>2714.67</v>
      </c>
      <c r="H45" s="24" t="n">
        <v>846.13</v>
      </c>
      <c r="I45" s="24" t="n">
        <f aca="false">G45+H45</f>
        <v>3560.8</v>
      </c>
      <c r="J45" s="24" t="n">
        <f aca="false">D45-I45</f>
        <v>19707.75</v>
      </c>
      <c r="K45" s="25" t="s">
        <v>114</v>
      </c>
      <c r="L45" s="25" t="s">
        <v>115</v>
      </c>
    </row>
    <row r="46" customFormat="false" ht="15" hidden="false" customHeight="false" outlineLevel="0" collapsed="false">
      <c r="A46" s="26"/>
      <c r="B46" s="27" t="s">
        <v>39</v>
      </c>
      <c r="C46" s="26"/>
      <c r="D46" s="28" t="n">
        <f aca="false">SUM(D40:D45)</f>
        <v>454085.46</v>
      </c>
      <c r="E46" s="28" t="n">
        <f aca="false">SUM(E40:E45)</f>
        <v>0</v>
      </c>
      <c r="F46" s="28" t="n">
        <f aca="false">SUM(F40:F45)</f>
        <v>94192.7</v>
      </c>
      <c r="G46" s="28" t="n">
        <f aca="false">SUM(G40:G45)</f>
        <v>136180.19</v>
      </c>
      <c r="H46" s="28" t="n">
        <f aca="false">SUM(H40:H45)</f>
        <v>13087.01</v>
      </c>
      <c r="I46" s="28" t="n">
        <f aca="false">SUM(I40:I45)</f>
        <v>149267.2</v>
      </c>
      <c r="J46" s="28" t="n">
        <f aca="false">SUM(J40:J45)</f>
        <v>304818.26</v>
      </c>
      <c r="K46" s="26"/>
      <c r="L46" s="26"/>
    </row>
    <row r="48" customFormat="false" ht="15" hidden="false" customHeight="false" outlineLevel="0" collapsed="false">
      <c r="B48" s="18" t="s">
        <v>127</v>
      </c>
    </row>
    <row r="49" customFormat="false" ht="15" hidden="false" customHeight="false" outlineLevel="0" collapsed="false">
      <c r="B49" s="5" t="s">
        <v>120</v>
      </c>
      <c r="D49" s="6" t="n">
        <f aca="false">I36</f>
        <v>127790.21</v>
      </c>
    </row>
    <row r="50" customFormat="false" ht="15" hidden="false" customHeight="false" outlineLevel="0" collapsed="false">
      <c r="B50" s="5" t="s">
        <v>121</v>
      </c>
      <c r="D50" s="6" t="n">
        <f aca="false">I46</f>
        <v>149267.2</v>
      </c>
    </row>
    <row r="51" customFormat="false" ht="15" hidden="false" customHeight="false" outlineLevel="0" collapsed="false">
      <c r="B51" s="11" t="s">
        <v>127</v>
      </c>
      <c r="D51" s="29" t="n">
        <f aca="false">D49-D50</f>
        <v>-21476.99</v>
      </c>
    </row>
    <row r="53" customFormat="false" ht="15" hidden="false" customHeight="false" outlineLevel="0" collapsed="false">
      <c r="A53" s="10" t="s">
        <v>128</v>
      </c>
    </row>
    <row r="54" customFormat="false" ht="15" hidden="false" customHeight="false" outlineLevel="0" collapsed="false">
      <c r="B54" s="11" t="s">
        <v>159</v>
      </c>
      <c r="D54" s="12" t="n">
        <f aca="false">D91</f>
        <v>454085.46</v>
      </c>
    </row>
    <row r="55" customFormat="false" ht="15" hidden="false" customHeight="false" outlineLevel="0" collapsed="false">
      <c r="B55" s="5" t="s">
        <v>160</v>
      </c>
      <c r="D55" s="6" t="n">
        <f aca="false">F91</f>
        <v>94192.7</v>
      </c>
    </row>
    <row r="56" customFormat="false" ht="15" hidden="false" customHeight="false" outlineLevel="0" collapsed="false">
      <c r="B56" s="30" t="s">
        <v>131</v>
      </c>
      <c r="D56" s="31" t="n">
        <f aca="false">F92</f>
        <v>0.207433860577698</v>
      </c>
    </row>
    <row r="57" customFormat="false" ht="15" hidden="false" customHeight="false" outlineLevel="0" collapsed="false">
      <c r="B57" s="5" t="s">
        <v>161</v>
      </c>
      <c r="D57" s="6" t="n">
        <f aca="false">H91</f>
        <v>359892.76</v>
      </c>
    </row>
    <row r="58" customFormat="false" ht="15" hidden="false" customHeight="false" outlineLevel="0" collapsed="false">
      <c r="B58" s="30" t="s">
        <v>131</v>
      </c>
      <c r="D58" s="31" t="n">
        <f aca="false">H92</f>
        <v>0.792566139422302</v>
      </c>
    </row>
    <row r="60" customFormat="false" ht="15" hidden="false" customHeight="false" outlineLevel="0" collapsed="false">
      <c r="A60" s="10" t="s">
        <v>133</v>
      </c>
    </row>
    <row r="61" customFormat="false" ht="15" hidden="false" customHeight="false" outlineLevel="0" collapsed="false">
      <c r="B61" s="4" t="s">
        <v>134</v>
      </c>
      <c r="D61" s="4" t="s">
        <v>103</v>
      </c>
      <c r="F61" s="4" t="s">
        <v>162</v>
      </c>
      <c r="H61" s="4" t="s">
        <v>136</v>
      </c>
    </row>
    <row r="62" customFormat="false" ht="15" hidden="false" customHeight="false" outlineLevel="0" collapsed="false">
      <c r="B62" s="32" t="s">
        <v>163</v>
      </c>
    </row>
    <row r="63" customFormat="false" ht="15" hidden="false" customHeight="false" outlineLevel="0" collapsed="false">
      <c r="B63" s="5" t="s">
        <v>164</v>
      </c>
      <c r="D63" s="33" t="n">
        <f aca="false">SUM(F63:H63)</f>
        <v>13460.19</v>
      </c>
      <c r="F63" s="33" t="n">
        <v>13460.19</v>
      </c>
    </row>
    <row r="64" customFormat="false" ht="15" hidden="false" customHeight="false" outlineLevel="0" collapsed="false">
      <c r="B64" s="5" t="s">
        <v>165</v>
      </c>
      <c r="D64" s="33" t="n">
        <f aca="false">SUM(F64:H64)</f>
        <v>8863.88</v>
      </c>
      <c r="F64" s="33" t="n">
        <v>8863.88</v>
      </c>
    </row>
    <row r="65" customFormat="false" ht="15" hidden="false" customHeight="false" outlineLevel="0" collapsed="false">
      <c r="B65" s="5" t="s">
        <v>166</v>
      </c>
      <c r="D65" s="33" t="n">
        <f aca="false">SUM(F65:H65)</f>
        <v>33857.28</v>
      </c>
      <c r="F65" s="33" t="n">
        <v>33857.28</v>
      </c>
    </row>
    <row r="66" customFormat="false" ht="15" hidden="false" customHeight="false" outlineLevel="0" collapsed="false">
      <c r="B66" s="5" t="s">
        <v>167</v>
      </c>
      <c r="D66" s="33" t="n">
        <f aca="false">SUM(F66:H66)</f>
        <v>3263.85</v>
      </c>
      <c r="F66" s="33" t="n">
        <v>3263.85</v>
      </c>
    </row>
    <row r="67" customFormat="false" ht="15" hidden="false" customHeight="false" outlineLevel="0" collapsed="false">
      <c r="B67" s="5" t="s">
        <v>195</v>
      </c>
      <c r="D67" s="33" t="n">
        <f aca="false">SUM(F67:H67)</f>
        <v>199.25</v>
      </c>
      <c r="F67" s="33" t="n">
        <v>199.25</v>
      </c>
    </row>
    <row r="68" customFormat="false" ht="15" hidden="false" customHeight="false" outlineLevel="0" collapsed="false">
      <c r="B68" s="5" t="s">
        <v>169</v>
      </c>
      <c r="D68" s="33" t="n">
        <f aca="false">SUM(F68:H68)</f>
        <v>7199.04</v>
      </c>
      <c r="F68" s="33" t="n">
        <v>7199.04</v>
      </c>
    </row>
    <row r="69" customFormat="false" ht="15" hidden="false" customHeight="false" outlineLevel="0" collapsed="false">
      <c r="B69" s="5" t="s">
        <v>170</v>
      </c>
      <c r="D69" s="33" t="n">
        <f aca="false">SUM(F69:H69)</f>
        <v>2957.54</v>
      </c>
      <c r="F69" s="33" t="n">
        <v>2957.54</v>
      </c>
    </row>
    <row r="70" customFormat="false" ht="15" hidden="false" customHeight="false" outlineLevel="0" collapsed="false">
      <c r="B70" s="5" t="s">
        <v>196</v>
      </c>
      <c r="D70" s="33" t="n">
        <f aca="false">SUM(F70:H70)</f>
        <v>10047.72</v>
      </c>
      <c r="F70" s="33" t="n">
        <v>10047.72</v>
      </c>
    </row>
    <row r="71" customFormat="false" ht="15" hidden="false" customHeight="false" outlineLevel="0" collapsed="false">
      <c r="B71" s="5" t="s">
        <v>172</v>
      </c>
      <c r="D71" s="33" t="n">
        <f aca="false">SUM(F71:H71)</f>
        <v>1797.27</v>
      </c>
      <c r="F71" s="33" t="n">
        <v>1797.27</v>
      </c>
    </row>
    <row r="72" customFormat="false" ht="15" hidden="false" customHeight="false" outlineLevel="0" collapsed="false">
      <c r="B72" s="5" t="s">
        <v>174</v>
      </c>
      <c r="D72" s="33" t="n">
        <f aca="false">SUM(F72:H72)</f>
        <v>12546.68</v>
      </c>
      <c r="F72" s="33" t="n">
        <v>12546.68</v>
      </c>
    </row>
    <row r="73" customFormat="false" ht="15" hidden="false" customHeight="false" outlineLevel="0" collapsed="false">
      <c r="B73" s="32" t="s">
        <v>175</v>
      </c>
    </row>
    <row r="74" customFormat="false" ht="15" hidden="false" customHeight="false" outlineLevel="0" collapsed="false">
      <c r="B74" s="5" t="s">
        <v>176</v>
      </c>
      <c r="D74" s="33" t="n">
        <f aca="false">SUM(F74:H74)</f>
        <v>13938.65</v>
      </c>
      <c r="H74" s="33" t="n">
        <v>13938.65</v>
      </c>
    </row>
    <row r="75" customFormat="false" ht="15" hidden="false" customHeight="false" outlineLevel="0" collapsed="false">
      <c r="B75" s="5" t="s">
        <v>177</v>
      </c>
      <c r="D75" s="33" t="n">
        <f aca="false">SUM(F75:H75)</f>
        <v>23175.05</v>
      </c>
      <c r="H75" s="33" t="n">
        <v>23175.05</v>
      </c>
    </row>
    <row r="76" customFormat="false" ht="15" hidden="false" customHeight="false" outlineLevel="0" collapsed="false">
      <c r="B76" s="5" t="s">
        <v>178</v>
      </c>
      <c r="D76" s="33" t="n">
        <f aca="false">SUM(F76:H76)</f>
        <v>33234.48</v>
      </c>
      <c r="H76" s="33" t="n">
        <v>33234.48</v>
      </c>
    </row>
    <row r="77" customFormat="false" ht="15" hidden="false" customHeight="false" outlineLevel="0" collapsed="false">
      <c r="B77" s="5" t="s">
        <v>179</v>
      </c>
      <c r="D77" s="33" t="n">
        <f aca="false">SUM(F77:H77)</f>
        <v>35980.1</v>
      </c>
      <c r="H77" s="33" t="n">
        <v>35980.1</v>
      </c>
    </row>
    <row r="78" customFormat="false" ht="15" hidden="false" customHeight="false" outlineLevel="0" collapsed="false">
      <c r="B78" s="5" t="s">
        <v>180</v>
      </c>
      <c r="D78" s="33" t="n">
        <f aca="false">SUM(F78:H78)</f>
        <v>28890.57</v>
      </c>
      <c r="H78" s="33" t="n">
        <v>28890.57</v>
      </c>
    </row>
    <row r="79" customFormat="false" ht="15" hidden="false" customHeight="false" outlineLevel="0" collapsed="false">
      <c r="B79" s="5" t="s">
        <v>181</v>
      </c>
      <c r="D79" s="33" t="n">
        <f aca="false">SUM(F79:H79)</f>
        <v>1919.47</v>
      </c>
      <c r="H79" s="33" t="n">
        <v>1919.47</v>
      </c>
    </row>
    <row r="80" customFormat="false" ht="15" hidden="false" customHeight="false" outlineLevel="0" collapsed="false">
      <c r="B80" s="5" t="s">
        <v>182</v>
      </c>
      <c r="D80" s="33" t="n">
        <f aca="false">SUM(F80:H80)</f>
        <v>37996.67</v>
      </c>
      <c r="H80" s="33" t="n">
        <v>37996.67</v>
      </c>
    </row>
    <row r="81" customFormat="false" ht="15" hidden="false" customHeight="false" outlineLevel="0" collapsed="false">
      <c r="B81" s="5" t="s">
        <v>183</v>
      </c>
      <c r="D81" s="33" t="n">
        <f aca="false">SUM(F81:H81)</f>
        <v>24344.21</v>
      </c>
      <c r="H81" s="33" t="n">
        <v>24344.21</v>
      </c>
    </row>
    <row r="82" customFormat="false" ht="15" hidden="false" customHeight="false" outlineLevel="0" collapsed="false">
      <c r="B82" s="5" t="s">
        <v>184</v>
      </c>
      <c r="D82" s="33" t="n">
        <f aca="false">SUM(F82:H82)</f>
        <v>14385.72</v>
      </c>
      <c r="H82" s="33" t="n">
        <v>14385.72</v>
      </c>
    </row>
    <row r="83" customFormat="false" ht="15" hidden="false" customHeight="false" outlineLevel="0" collapsed="false">
      <c r="B83" s="5" t="s">
        <v>185</v>
      </c>
      <c r="D83" s="33" t="n">
        <f aca="false">SUM(F83:H83)</f>
        <v>15078.71</v>
      </c>
      <c r="H83" s="33" t="n">
        <v>15078.71</v>
      </c>
    </row>
    <row r="84" customFormat="false" ht="15" hidden="false" customHeight="false" outlineLevel="0" collapsed="false">
      <c r="B84" s="5" t="s">
        <v>186</v>
      </c>
      <c r="D84" s="33" t="n">
        <f aca="false">SUM(F84:H84)</f>
        <v>38493.03</v>
      </c>
      <c r="H84" s="33" t="n">
        <v>38493.03</v>
      </c>
    </row>
    <row r="85" customFormat="false" ht="15" hidden="false" customHeight="false" outlineLevel="0" collapsed="false">
      <c r="B85" s="5" t="s">
        <v>187</v>
      </c>
      <c r="D85" s="33" t="n">
        <f aca="false">SUM(F85:H85)</f>
        <v>16746.67</v>
      </c>
      <c r="H85" s="33" t="n">
        <v>16746.67</v>
      </c>
    </row>
    <row r="86" customFormat="false" ht="15" hidden="false" customHeight="false" outlineLevel="0" collapsed="false">
      <c r="B86" s="5" t="s">
        <v>188</v>
      </c>
      <c r="D86" s="33" t="n">
        <f aca="false">SUM(F86:H86)</f>
        <v>1740.2</v>
      </c>
      <c r="H86" s="33" t="n">
        <v>1740.2</v>
      </c>
    </row>
    <row r="87" customFormat="false" ht="15" hidden="false" customHeight="false" outlineLevel="0" collapsed="false">
      <c r="B87" s="5" t="s">
        <v>190</v>
      </c>
      <c r="D87" s="33" t="n">
        <f aca="false">SUM(F87:H87)</f>
        <v>56850.6</v>
      </c>
      <c r="H87" s="33" t="n">
        <v>56850.6</v>
      </c>
    </row>
    <row r="88" customFormat="false" ht="15" hidden="false" customHeight="false" outlineLevel="0" collapsed="false">
      <c r="B88" s="5" t="s">
        <v>191</v>
      </c>
      <c r="D88" s="33" t="n">
        <f aca="false">SUM(F88:H88)</f>
        <v>10679</v>
      </c>
      <c r="H88" s="33" t="n">
        <v>10679</v>
      </c>
    </row>
    <row r="89" customFormat="false" ht="15" hidden="false" customHeight="false" outlineLevel="0" collapsed="false">
      <c r="B89" s="5" t="s">
        <v>193</v>
      </c>
      <c r="D89" s="33" t="n">
        <f aca="false">SUM(F89:H89)</f>
        <v>3863.69</v>
      </c>
      <c r="H89" s="33" t="n">
        <v>3863.69</v>
      </c>
    </row>
    <row r="90" customFormat="false" ht="15" hidden="false" customHeight="false" outlineLevel="0" collapsed="false">
      <c r="B90" s="5" t="s">
        <v>197</v>
      </c>
      <c r="D90" s="33" t="n">
        <f aca="false">SUM(F90:H90)</f>
        <v>2575.94</v>
      </c>
      <c r="H90" s="33" t="n">
        <v>2575.94</v>
      </c>
    </row>
    <row r="91" customFormat="false" ht="15" hidden="false" customHeight="false" outlineLevel="0" collapsed="false">
      <c r="B91" s="11" t="s">
        <v>159</v>
      </c>
      <c r="D91" s="34" t="n">
        <f aca="false">SUM(D62:D90)</f>
        <v>454085.46</v>
      </c>
      <c r="F91" s="34" t="n">
        <f aca="false">SUM(F62:F90)</f>
        <v>94192.7</v>
      </c>
      <c r="H91" s="34" t="n">
        <f aca="false">SUM(H62:H90)</f>
        <v>359892.76</v>
      </c>
    </row>
    <row r="92" customFormat="false" ht="15" hidden="false" customHeight="false" outlineLevel="0" collapsed="false">
      <c r="B92" s="30" t="s">
        <v>131</v>
      </c>
      <c r="F92" s="31" t="n">
        <f aca="false">F91/D91</f>
        <v>0.207433860577698</v>
      </c>
      <c r="H92" s="31" t="n">
        <f aca="false">H91/D91</f>
        <v>0.792566139422302</v>
      </c>
    </row>
    <row r="94" customFormat="false" ht="15" hidden="false" customHeight="false" outlineLevel="0" collapsed="false">
      <c r="A94" s="10" t="s">
        <v>154</v>
      </c>
    </row>
    <row r="95" customFormat="false" ht="15" hidden="false" customHeight="false" outlineLevel="0" collapsed="false">
      <c r="B95" s="4" t="s">
        <v>155</v>
      </c>
      <c r="D95" s="4" t="s">
        <v>103</v>
      </c>
      <c r="F95" s="4" t="s">
        <v>162</v>
      </c>
      <c r="H95" s="4" t="s">
        <v>136</v>
      </c>
    </row>
    <row r="96" customFormat="false" ht="15" hidden="false" customHeight="false" outlineLevel="0" collapsed="false">
      <c r="B96" s="5" t="str">
        <f aca="false">'Building 1'!B17</f>
        <v>2 - Land Imp - Peter St - 1 - 5yr</v>
      </c>
      <c r="D96" s="33" t="n">
        <f aca="false">SUM(F96:H96)</f>
        <v>8187.59</v>
      </c>
      <c r="F96" s="33" t="n">
        <f aca="false">'Building 1'!D17</f>
        <v>8187.59</v>
      </c>
    </row>
    <row r="97" customFormat="false" ht="15" hidden="false" customHeight="false" outlineLevel="0" collapsed="false">
      <c r="B97" s="5" t="str">
        <f aca="false">'Building 1'!B18</f>
        <v>2 - Land Imp - Peter St - 1 - 27.5yr</v>
      </c>
      <c r="D97" s="33" t="n">
        <f aca="false">SUM(F97:H97)</f>
        <v>31283.28</v>
      </c>
      <c r="H97" s="33" t="n">
        <f aca="false">'Building 1'!D18</f>
        <v>31283.28</v>
      </c>
    </row>
    <row r="98" customFormat="false" ht="15" hidden="false" customHeight="false" outlineLevel="0" collapsed="false">
      <c r="B98" s="5" t="str">
        <f aca="false">'Building 1'!B19</f>
        <v>3 - Building - Peter St - 1 - 5yr</v>
      </c>
      <c r="D98" s="33" t="n">
        <f aca="false">SUM(F98:H98)</f>
        <v>79915.16</v>
      </c>
      <c r="F98" s="33" t="n">
        <f aca="false">'Building 1'!D19</f>
        <v>79915.16</v>
      </c>
    </row>
    <row r="99" customFormat="false" ht="15" hidden="false" customHeight="false" outlineLevel="0" collapsed="false">
      <c r="B99" s="5" t="str">
        <f aca="false">'Building 1'!B20</f>
        <v>3 - Building - Peter St - 1 - 27.5yr</v>
      </c>
      <c r="D99" s="33" t="n">
        <f aca="false">SUM(F99:H99)</f>
        <v>305340.93</v>
      </c>
      <c r="H99" s="33" t="n">
        <f aca="false">'Building 1'!D20</f>
        <v>305340.93</v>
      </c>
    </row>
    <row r="100" customFormat="false" ht="15" hidden="false" customHeight="false" outlineLevel="0" collapsed="false">
      <c r="B100" s="5" t="str">
        <f aca="false">'Building 1'!B21</f>
        <v>4 - Equipment - Peter St - 1 - 5yr</v>
      </c>
      <c r="D100" s="33" t="n">
        <f aca="false">SUM(F100:H100)</f>
        <v>6089.95</v>
      </c>
      <c r="F100" s="33" t="n">
        <f aca="false">'Building 1'!D21</f>
        <v>6089.95</v>
      </c>
    </row>
    <row r="101" customFormat="false" ht="15" hidden="false" customHeight="false" outlineLevel="0" collapsed="false">
      <c r="B101" s="5" t="str">
        <f aca="false">'Building 1'!B22</f>
        <v>4 - Equipment - Peter St - 1 - 27.5yr</v>
      </c>
      <c r="D101" s="33" t="n">
        <f aca="false">SUM(F101:H101)</f>
        <v>23268.55</v>
      </c>
      <c r="H101" s="33" t="n">
        <f aca="false">'Building 1'!D22</f>
        <v>23268.55</v>
      </c>
    </row>
    <row r="102" customFormat="false" ht="15" hidden="false" customHeight="false" outlineLevel="0" collapsed="false">
      <c r="B102" s="11" t="s">
        <v>156</v>
      </c>
      <c r="D102" s="34" t="n">
        <f aca="false">SUM(D96:D101)</f>
        <v>454085.46</v>
      </c>
      <c r="F102" s="34" t="n">
        <f aca="false">SUM(F96:F101)</f>
        <v>94192.7</v>
      </c>
      <c r="H102" s="34" t="n">
        <f aca="false">SUM(H96:H101)</f>
        <v>359892.76</v>
      </c>
    </row>
    <row r="103" customFormat="false" ht="15" hidden="false" customHeight="false" outlineLevel="0" collapsed="false">
      <c r="B103" s="16" t="s">
        <v>157</v>
      </c>
      <c r="D103" s="17" t="n">
        <f aca="false">D102-D91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198</v>
      </c>
    </row>
    <row r="5" customFormat="false" ht="15" hidden="false" customHeight="false" outlineLevel="0" collapsed="false">
      <c r="A5" s="16" t="s">
        <v>97</v>
      </c>
    </row>
    <row r="7" customFormat="false" ht="15" hidden="false" customHeight="false" outlineLevel="0" collapsed="false">
      <c r="A7" s="10" t="s">
        <v>98</v>
      </c>
    </row>
    <row r="8" customFormat="false" ht="15" hidden="false" customHeight="false" outlineLevel="0" collapsed="false">
      <c r="A8" s="21" t="s">
        <v>99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100</v>
      </c>
      <c r="B9" s="4" t="s">
        <v>101</v>
      </c>
      <c r="C9" s="4" t="s">
        <v>102</v>
      </c>
      <c r="D9" s="4" t="s">
        <v>103</v>
      </c>
      <c r="E9" s="4" t="s">
        <v>104</v>
      </c>
      <c r="F9" s="4" t="s">
        <v>105</v>
      </c>
      <c r="G9" s="4" t="s">
        <v>106</v>
      </c>
      <c r="H9" s="4" t="s">
        <v>107</v>
      </c>
      <c r="I9" s="4" t="s">
        <v>108</v>
      </c>
      <c r="J9" s="4" t="s">
        <v>109</v>
      </c>
      <c r="K9" s="4" t="s">
        <v>110</v>
      </c>
      <c r="L9" s="4" t="s">
        <v>111</v>
      </c>
    </row>
    <row r="10" customFormat="false" ht="15" hidden="false" customHeight="false" outlineLevel="0" collapsed="false">
      <c r="A10" s="23" t="n">
        <v>1</v>
      </c>
      <c r="B10" s="23" t="s">
        <v>25</v>
      </c>
      <c r="C10" s="23" t="s">
        <v>15</v>
      </c>
      <c r="D10" s="24" t="n">
        <v>36341.07</v>
      </c>
      <c r="E10" s="24" t="n">
        <v>0</v>
      </c>
      <c r="F10" s="24" t="n">
        <v>36341.07</v>
      </c>
      <c r="G10" s="24" t="n">
        <v>36341.07</v>
      </c>
      <c r="H10" s="24" t="n">
        <v>0</v>
      </c>
      <c r="I10" s="24" t="n">
        <f aca="false">G10+H10</f>
        <v>36341.07</v>
      </c>
      <c r="J10" s="24" t="n">
        <f aca="false">D10-I10</f>
        <v>0</v>
      </c>
      <c r="K10" s="25" t="s">
        <v>112</v>
      </c>
      <c r="L10" s="25" t="s">
        <v>113</v>
      </c>
    </row>
    <row r="11" customFormat="false" ht="15" hidden="false" customHeight="false" outlineLevel="0" collapsed="false">
      <c r="A11" s="23" t="n">
        <v>2</v>
      </c>
      <c r="B11" s="23" t="s">
        <v>26</v>
      </c>
      <c r="C11" s="23" t="s">
        <v>15</v>
      </c>
      <c r="D11" s="24" t="n">
        <v>354707.57</v>
      </c>
      <c r="E11" s="24" t="n">
        <v>0</v>
      </c>
      <c r="F11" s="24" t="n">
        <v>0</v>
      </c>
      <c r="G11" s="24" t="n">
        <v>41387.07</v>
      </c>
      <c r="H11" s="24" t="n">
        <v>12898.53</v>
      </c>
      <c r="I11" s="24" t="n">
        <f aca="false">G11+H11</f>
        <v>54285.6</v>
      </c>
      <c r="J11" s="24" t="n">
        <f aca="false">D11-I11</f>
        <v>300421.97</v>
      </c>
      <c r="K11" s="25" t="s">
        <v>114</v>
      </c>
      <c r="L11" s="25" t="s">
        <v>115</v>
      </c>
    </row>
    <row r="12" customFormat="false" ht="15" hidden="false" customHeight="false" outlineLevel="0" collapsed="false">
      <c r="A12" s="23" t="n">
        <v>3</v>
      </c>
      <c r="B12" s="23" t="s">
        <v>27</v>
      </c>
      <c r="C12" s="23" t="s">
        <v>15</v>
      </c>
      <c r="D12" s="24" t="n">
        <v>27030.55</v>
      </c>
      <c r="E12" s="24" t="n">
        <v>0</v>
      </c>
      <c r="F12" s="24" t="n">
        <v>27030.55</v>
      </c>
      <c r="G12" s="24" t="n">
        <v>27030.55</v>
      </c>
      <c r="H12" s="24" t="n">
        <v>0</v>
      </c>
      <c r="I12" s="24" t="n">
        <f aca="false">G12+H12</f>
        <v>27030.55</v>
      </c>
      <c r="J12" s="24" t="n">
        <f aca="false">D12-I12</f>
        <v>0</v>
      </c>
      <c r="K12" s="25" t="s">
        <v>116</v>
      </c>
      <c r="L12" s="25" t="s">
        <v>117</v>
      </c>
    </row>
    <row r="13" customFormat="false" ht="15" hidden="false" customHeight="false" outlineLevel="0" collapsed="false">
      <c r="A13" s="26"/>
      <c r="B13" s="27" t="s">
        <v>39</v>
      </c>
      <c r="C13" s="26"/>
      <c r="D13" s="28" t="n">
        <f aca="false">SUM(D10:D12)</f>
        <v>418079.19</v>
      </c>
      <c r="E13" s="28" t="n">
        <f aca="false">SUM(E10:E12)</f>
        <v>0</v>
      </c>
      <c r="F13" s="28" t="n">
        <f aca="false">SUM(F10:F12)</f>
        <v>63371.62</v>
      </c>
      <c r="G13" s="28" t="n">
        <f aca="false">SUM(G10:G12)</f>
        <v>104758.69</v>
      </c>
      <c r="H13" s="28" t="n">
        <f aca="false">SUM(H10:H12)</f>
        <v>12898.53</v>
      </c>
      <c r="I13" s="28" t="n">
        <f aca="false">SUM(I10:I12)</f>
        <v>117657.22</v>
      </c>
      <c r="J13" s="28" t="n">
        <f aca="false">SUM(J10:J12)</f>
        <v>300421.97</v>
      </c>
      <c r="K13" s="26"/>
      <c r="L13" s="26"/>
    </row>
    <row r="15" customFormat="false" ht="15" hidden="false" customHeight="false" outlineLevel="0" collapsed="false">
      <c r="A15" s="21" t="s">
        <v>118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100</v>
      </c>
      <c r="B16" s="4" t="s">
        <v>101</v>
      </c>
      <c r="C16" s="4" t="s">
        <v>102</v>
      </c>
      <c r="D16" s="4" t="s">
        <v>103</v>
      </c>
      <c r="E16" s="4" t="s">
        <v>104</v>
      </c>
      <c r="F16" s="4" t="s">
        <v>105</v>
      </c>
      <c r="G16" s="4" t="s">
        <v>106</v>
      </c>
      <c r="H16" s="4" t="s">
        <v>107</v>
      </c>
      <c r="I16" s="4" t="s">
        <v>108</v>
      </c>
      <c r="J16" s="4" t="s">
        <v>109</v>
      </c>
      <c r="K16" s="4" t="s">
        <v>110</v>
      </c>
      <c r="L16" s="4" t="s">
        <v>111</v>
      </c>
    </row>
    <row r="17" customFormat="false" ht="15" hidden="false" customHeight="false" outlineLevel="0" collapsed="false">
      <c r="A17" s="23" t="n">
        <v>1</v>
      </c>
      <c r="B17" s="23" t="s">
        <v>59</v>
      </c>
      <c r="C17" s="23" t="s">
        <v>15</v>
      </c>
      <c r="D17" s="24" t="n">
        <v>7790.52</v>
      </c>
      <c r="E17" s="24" t="n">
        <v>0</v>
      </c>
      <c r="F17" s="24" t="n">
        <v>7790.52</v>
      </c>
      <c r="G17" s="24" t="n">
        <v>7790.52</v>
      </c>
      <c r="H17" s="24" t="n">
        <v>0</v>
      </c>
      <c r="I17" s="24" t="n">
        <f aca="false">G17+H17</f>
        <v>7790.52</v>
      </c>
      <c r="J17" s="24" t="n">
        <f aca="false">D17-I17</f>
        <v>0</v>
      </c>
      <c r="K17" s="25" t="s">
        <v>116</v>
      </c>
      <c r="L17" s="25" t="s">
        <v>117</v>
      </c>
    </row>
    <row r="18" customFormat="false" ht="15" hidden="false" customHeight="false" outlineLevel="0" collapsed="false">
      <c r="A18" s="23" t="n">
        <v>2</v>
      </c>
      <c r="B18" s="23" t="s">
        <v>60</v>
      </c>
      <c r="C18" s="23" t="s">
        <v>15</v>
      </c>
      <c r="D18" s="24" t="n">
        <v>28550.55</v>
      </c>
      <c r="E18" s="24" t="n">
        <v>0</v>
      </c>
      <c r="F18" s="24" t="n">
        <v>0</v>
      </c>
      <c r="G18" s="24" t="n">
        <v>3330.89</v>
      </c>
      <c r="H18" s="24" t="n">
        <v>1038.2</v>
      </c>
      <c r="I18" s="24" t="n">
        <f aca="false">G18+H18</f>
        <v>4369.09</v>
      </c>
      <c r="J18" s="24" t="n">
        <f aca="false">D18-I18</f>
        <v>24181.46</v>
      </c>
      <c r="K18" s="25" t="s">
        <v>114</v>
      </c>
      <c r="L18" s="25" t="s">
        <v>115</v>
      </c>
    </row>
    <row r="19" customFormat="false" ht="15" hidden="false" customHeight="false" outlineLevel="0" collapsed="false">
      <c r="A19" s="23" t="n">
        <v>3</v>
      </c>
      <c r="B19" s="23" t="s">
        <v>61</v>
      </c>
      <c r="C19" s="23" t="s">
        <v>15</v>
      </c>
      <c r="D19" s="24" t="n">
        <v>76039.51</v>
      </c>
      <c r="E19" s="24" t="n">
        <v>0</v>
      </c>
      <c r="F19" s="24" t="n">
        <v>76039.51</v>
      </c>
      <c r="G19" s="24" t="n">
        <v>76039.51</v>
      </c>
      <c r="H19" s="24" t="n">
        <v>0</v>
      </c>
      <c r="I19" s="24" t="n">
        <f aca="false">G19+H19</f>
        <v>76039.51</v>
      </c>
      <c r="J19" s="24" t="n">
        <f aca="false">D19-I19</f>
        <v>0</v>
      </c>
      <c r="K19" s="25" t="s">
        <v>116</v>
      </c>
      <c r="L19" s="25" t="s">
        <v>117</v>
      </c>
    </row>
    <row r="20" customFormat="false" ht="15" hidden="false" customHeight="false" outlineLevel="0" collapsed="false">
      <c r="A20" s="23" t="n">
        <v>4</v>
      </c>
      <c r="B20" s="23" t="s">
        <v>62</v>
      </c>
      <c r="C20" s="23" t="s">
        <v>15</v>
      </c>
      <c r="D20" s="24" t="n">
        <v>278668.06</v>
      </c>
      <c r="E20" s="24" t="n">
        <v>0</v>
      </c>
      <c r="F20" s="24" t="n">
        <v>0</v>
      </c>
      <c r="G20" s="24" t="n">
        <v>32511.26</v>
      </c>
      <c r="H20" s="24" t="n">
        <v>10133.38</v>
      </c>
      <c r="I20" s="24" t="n">
        <f aca="false">G20+H20</f>
        <v>42644.64</v>
      </c>
      <c r="J20" s="24" t="n">
        <f aca="false">D20-I20</f>
        <v>236023.42</v>
      </c>
      <c r="K20" s="25" t="s">
        <v>114</v>
      </c>
      <c r="L20" s="25" t="s">
        <v>115</v>
      </c>
    </row>
    <row r="21" customFormat="false" ht="15" hidden="false" customHeight="false" outlineLevel="0" collapsed="false">
      <c r="A21" s="23" t="n">
        <v>5</v>
      </c>
      <c r="B21" s="23" t="s">
        <v>63</v>
      </c>
      <c r="C21" s="23" t="s">
        <v>15</v>
      </c>
      <c r="D21" s="24" t="n">
        <v>5794.61</v>
      </c>
      <c r="E21" s="24" t="n">
        <v>0</v>
      </c>
      <c r="F21" s="24" t="n">
        <v>5794.61</v>
      </c>
      <c r="G21" s="24" t="n">
        <v>5794.61</v>
      </c>
      <c r="H21" s="24" t="n">
        <v>0</v>
      </c>
      <c r="I21" s="24" t="n">
        <f aca="false">G21+H21</f>
        <v>5794.61</v>
      </c>
      <c r="J21" s="24" t="n">
        <f aca="false">D21-I21</f>
        <v>0</v>
      </c>
      <c r="K21" s="25" t="s">
        <v>116</v>
      </c>
      <c r="L21" s="25" t="s">
        <v>117</v>
      </c>
    </row>
    <row r="22" customFormat="false" ht="15" hidden="false" customHeight="false" outlineLevel="0" collapsed="false">
      <c r="A22" s="23" t="n">
        <v>6</v>
      </c>
      <c r="B22" s="23" t="s">
        <v>64</v>
      </c>
      <c r="C22" s="23" t="s">
        <v>15</v>
      </c>
      <c r="D22" s="24" t="n">
        <v>21235.94</v>
      </c>
      <c r="E22" s="24" t="n">
        <v>0</v>
      </c>
      <c r="F22" s="24" t="n">
        <v>0</v>
      </c>
      <c r="G22" s="24" t="n">
        <v>2477.54</v>
      </c>
      <c r="H22" s="24" t="n">
        <v>772.22</v>
      </c>
      <c r="I22" s="24" t="n">
        <f aca="false">G22+H22</f>
        <v>3249.76</v>
      </c>
      <c r="J22" s="24" t="n">
        <f aca="false">D22-I22</f>
        <v>17986.18</v>
      </c>
      <c r="K22" s="25" t="s">
        <v>114</v>
      </c>
      <c r="L22" s="25" t="s">
        <v>115</v>
      </c>
    </row>
    <row r="23" customFormat="false" ht="15" hidden="false" customHeight="false" outlineLevel="0" collapsed="false">
      <c r="A23" s="26"/>
      <c r="B23" s="27" t="s">
        <v>39</v>
      </c>
      <c r="C23" s="26"/>
      <c r="D23" s="28" t="n">
        <f aca="false">SUM(D17:D22)</f>
        <v>418079.19</v>
      </c>
      <c r="E23" s="28" t="n">
        <f aca="false">SUM(E17:E22)</f>
        <v>0</v>
      </c>
      <c r="F23" s="28" t="n">
        <f aca="false">SUM(F17:F22)</f>
        <v>89624.64</v>
      </c>
      <c r="G23" s="28" t="n">
        <f aca="false">SUM(G17:G22)</f>
        <v>127944.33</v>
      </c>
      <c r="H23" s="28" t="n">
        <f aca="false">SUM(H17:H22)</f>
        <v>11943.8</v>
      </c>
      <c r="I23" s="28" t="n">
        <f aca="false">SUM(I17:I22)</f>
        <v>139888.13</v>
      </c>
      <c r="J23" s="28" t="n">
        <f aca="false">SUM(J17:J22)</f>
        <v>278191.06</v>
      </c>
      <c r="K23" s="26"/>
      <c r="L23" s="26"/>
    </row>
    <row r="25" customFormat="false" ht="15" hidden="false" customHeight="false" outlineLevel="0" collapsed="false">
      <c r="B25" s="18" t="s">
        <v>119</v>
      </c>
    </row>
    <row r="26" customFormat="false" ht="15" hidden="false" customHeight="false" outlineLevel="0" collapsed="false">
      <c r="B26" s="5" t="s">
        <v>120</v>
      </c>
      <c r="D26" s="6" t="n">
        <f aca="false">I13</f>
        <v>117657.22</v>
      </c>
    </row>
    <row r="27" customFormat="false" ht="15" hidden="false" customHeight="false" outlineLevel="0" collapsed="false">
      <c r="B27" s="5" t="s">
        <v>121</v>
      </c>
      <c r="D27" s="6" t="n">
        <f aca="false">I23</f>
        <v>139888.13</v>
      </c>
    </row>
    <row r="28" customFormat="false" ht="15" hidden="false" customHeight="false" outlineLevel="0" collapsed="false">
      <c r="B28" s="11" t="s">
        <v>119</v>
      </c>
      <c r="D28" s="29" t="n">
        <f aca="false">D26-D27</f>
        <v>-22230.91</v>
      </c>
    </row>
    <row r="30" customFormat="false" ht="15" hidden="false" customHeight="false" outlineLevel="0" collapsed="false">
      <c r="A30" s="10" t="s">
        <v>122</v>
      </c>
    </row>
    <row r="31" customFormat="false" ht="15" hidden="false" customHeight="false" outlineLevel="0" collapsed="false">
      <c r="A31" s="21" t="s">
        <v>123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100</v>
      </c>
      <c r="B32" s="4" t="s">
        <v>101</v>
      </c>
      <c r="C32" s="4" t="s">
        <v>102</v>
      </c>
      <c r="D32" s="4" t="s">
        <v>103</v>
      </c>
      <c r="E32" s="4" t="s">
        <v>104</v>
      </c>
      <c r="F32" s="4" t="s">
        <v>105</v>
      </c>
      <c r="G32" s="4" t="s">
        <v>124</v>
      </c>
      <c r="H32" s="4" t="s">
        <v>125</v>
      </c>
      <c r="I32" s="4" t="s">
        <v>108</v>
      </c>
      <c r="J32" s="4" t="s">
        <v>109</v>
      </c>
      <c r="K32" s="4" t="s">
        <v>110</v>
      </c>
      <c r="L32" s="4" t="s">
        <v>111</v>
      </c>
    </row>
    <row r="33" customFormat="false" ht="15" hidden="false" customHeight="false" outlineLevel="0" collapsed="false">
      <c r="A33" s="23" t="n">
        <v>1</v>
      </c>
      <c r="B33" s="23" t="s">
        <v>25</v>
      </c>
      <c r="C33" s="23" t="s">
        <v>15</v>
      </c>
      <c r="D33" s="24" t="n">
        <v>36341.07</v>
      </c>
      <c r="E33" s="24" t="n">
        <v>0</v>
      </c>
      <c r="F33" s="24" t="n">
        <v>36341.07</v>
      </c>
      <c r="G33" s="24" t="n">
        <v>36341.07</v>
      </c>
      <c r="H33" s="24" t="n">
        <v>0</v>
      </c>
      <c r="I33" s="24" t="n">
        <f aca="false">G33+H33</f>
        <v>36341.07</v>
      </c>
      <c r="J33" s="24" t="n">
        <f aca="false">D33-I33</f>
        <v>0</v>
      </c>
      <c r="K33" s="25" t="s">
        <v>112</v>
      </c>
      <c r="L33" s="25" t="s">
        <v>113</v>
      </c>
    </row>
    <row r="34" customFormat="false" ht="15" hidden="false" customHeight="false" outlineLevel="0" collapsed="false">
      <c r="A34" s="23" t="n">
        <v>2</v>
      </c>
      <c r="B34" s="23" t="s">
        <v>26</v>
      </c>
      <c r="C34" s="23" t="s">
        <v>15</v>
      </c>
      <c r="D34" s="24" t="n">
        <v>354707.57</v>
      </c>
      <c r="E34" s="24" t="n">
        <v>0</v>
      </c>
      <c r="F34" s="24" t="n">
        <v>0</v>
      </c>
      <c r="G34" s="24" t="n">
        <v>41387.07</v>
      </c>
      <c r="H34" s="24" t="n">
        <v>12898.53</v>
      </c>
      <c r="I34" s="24" t="n">
        <f aca="false">G34+H34</f>
        <v>54285.6</v>
      </c>
      <c r="J34" s="24" t="n">
        <f aca="false">D34-I34</f>
        <v>300421.97</v>
      </c>
      <c r="K34" s="25" t="s">
        <v>114</v>
      </c>
      <c r="L34" s="25" t="s">
        <v>115</v>
      </c>
    </row>
    <row r="35" customFormat="false" ht="15" hidden="false" customHeight="false" outlineLevel="0" collapsed="false">
      <c r="A35" s="23" t="n">
        <v>3</v>
      </c>
      <c r="B35" s="23" t="s">
        <v>27</v>
      </c>
      <c r="C35" s="23" t="s">
        <v>15</v>
      </c>
      <c r="D35" s="24" t="n">
        <v>27030.55</v>
      </c>
      <c r="E35" s="24" t="n">
        <v>0</v>
      </c>
      <c r="F35" s="24" t="n">
        <v>27030.55</v>
      </c>
      <c r="G35" s="24" t="n">
        <v>27030.55</v>
      </c>
      <c r="H35" s="24" t="n">
        <v>0</v>
      </c>
      <c r="I35" s="24" t="n">
        <f aca="false">G35+H35</f>
        <v>27030.55</v>
      </c>
      <c r="J35" s="24" t="n">
        <f aca="false">D35-I35</f>
        <v>0</v>
      </c>
      <c r="K35" s="25" t="s">
        <v>116</v>
      </c>
      <c r="L35" s="25" t="s">
        <v>117</v>
      </c>
    </row>
    <row r="36" customFormat="false" ht="15" hidden="false" customHeight="false" outlineLevel="0" collapsed="false">
      <c r="A36" s="26"/>
      <c r="B36" s="27" t="s">
        <v>39</v>
      </c>
      <c r="C36" s="26"/>
      <c r="D36" s="28" t="n">
        <f aca="false">SUM(D33:D35)</f>
        <v>418079.19</v>
      </c>
      <c r="E36" s="28" t="n">
        <f aca="false">SUM(E33:E35)</f>
        <v>0</v>
      </c>
      <c r="F36" s="28" t="n">
        <f aca="false">SUM(F33:F35)</f>
        <v>63371.62</v>
      </c>
      <c r="G36" s="28" t="n">
        <f aca="false">SUM(G33:G35)</f>
        <v>104758.69</v>
      </c>
      <c r="H36" s="28" t="n">
        <f aca="false">SUM(H33:H35)</f>
        <v>12898.53</v>
      </c>
      <c r="I36" s="28" t="n">
        <f aca="false">SUM(I33:I35)</f>
        <v>117657.22</v>
      </c>
      <c r="J36" s="28" t="n">
        <f aca="false">SUM(J33:J35)</f>
        <v>300421.97</v>
      </c>
      <c r="K36" s="26"/>
      <c r="L36" s="26"/>
    </row>
    <row r="38" customFormat="false" ht="15" hidden="false" customHeight="false" outlineLevel="0" collapsed="false">
      <c r="A38" s="21" t="s">
        <v>126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100</v>
      </c>
      <c r="B39" s="4" t="s">
        <v>101</v>
      </c>
      <c r="C39" s="4" t="s">
        <v>102</v>
      </c>
      <c r="D39" s="4" t="s">
        <v>103</v>
      </c>
      <c r="E39" s="4" t="s">
        <v>104</v>
      </c>
      <c r="F39" s="4" t="s">
        <v>105</v>
      </c>
      <c r="G39" s="4" t="s">
        <v>124</v>
      </c>
      <c r="H39" s="4" t="s">
        <v>125</v>
      </c>
      <c r="I39" s="4" t="s">
        <v>108</v>
      </c>
      <c r="J39" s="4" t="s">
        <v>109</v>
      </c>
      <c r="K39" s="4" t="s">
        <v>110</v>
      </c>
      <c r="L39" s="4" t="s">
        <v>111</v>
      </c>
    </row>
    <row r="40" customFormat="false" ht="15" hidden="false" customHeight="false" outlineLevel="0" collapsed="false">
      <c r="A40" s="23" t="n">
        <v>1</v>
      </c>
      <c r="B40" s="23" t="s">
        <v>59</v>
      </c>
      <c r="C40" s="23" t="s">
        <v>15</v>
      </c>
      <c r="D40" s="24" t="n">
        <v>7790.52</v>
      </c>
      <c r="E40" s="24" t="n">
        <v>0</v>
      </c>
      <c r="F40" s="24" t="n">
        <v>7790.52</v>
      </c>
      <c r="G40" s="24" t="n">
        <v>7790.52</v>
      </c>
      <c r="H40" s="24" t="n">
        <v>0</v>
      </c>
      <c r="I40" s="24" t="n">
        <f aca="false">G40+H40</f>
        <v>7790.52</v>
      </c>
      <c r="J40" s="24" t="n">
        <f aca="false">D40-I40</f>
        <v>0</v>
      </c>
      <c r="K40" s="25" t="s">
        <v>116</v>
      </c>
      <c r="L40" s="25" t="s">
        <v>117</v>
      </c>
    </row>
    <row r="41" customFormat="false" ht="15" hidden="false" customHeight="false" outlineLevel="0" collapsed="false">
      <c r="A41" s="23" t="n">
        <v>2</v>
      </c>
      <c r="B41" s="23" t="s">
        <v>60</v>
      </c>
      <c r="C41" s="23" t="s">
        <v>15</v>
      </c>
      <c r="D41" s="24" t="n">
        <v>28550.55</v>
      </c>
      <c r="E41" s="24" t="n">
        <v>0</v>
      </c>
      <c r="F41" s="24" t="n">
        <v>0</v>
      </c>
      <c r="G41" s="24" t="n">
        <v>3330.89</v>
      </c>
      <c r="H41" s="24" t="n">
        <v>1038.2</v>
      </c>
      <c r="I41" s="24" t="n">
        <f aca="false">G41+H41</f>
        <v>4369.09</v>
      </c>
      <c r="J41" s="24" t="n">
        <f aca="false">D41-I41</f>
        <v>24181.46</v>
      </c>
      <c r="K41" s="25" t="s">
        <v>114</v>
      </c>
      <c r="L41" s="25" t="s">
        <v>115</v>
      </c>
    </row>
    <row r="42" customFormat="false" ht="15" hidden="false" customHeight="false" outlineLevel="0" collapsed="false">
      <c r="A42" s="23" t="n">
        <v>3</v>
      </c>
      <c r="B42" s="23" t="s">
        <v>61</v>
      </c>
      <c r="C42" s="23" t="s">
        <v>15</v>
      </c>
      <c r="D42" s="24" t="n">
        <v>76039.51</v>
      </c>
      <c r="E42" s="24" t="n">
        <v>0</v>
      </c>
      <c r="F42" s="24" t="n">
        <v>76039.51</v>
      </c>
      <c r="G42" s="24" t="n">
        <v>76039.51</v>
      </c>
      <c r="H42" s="24" t="n">
        <v>0</v>
      </c>
      <c r="I42" s="24" t="n">
        <f aca="false">G42+H42</f>
        <v>76039.51</v>
      </c>
      <c r="J42" s="24" t="n">
        <f aca="false">D42-I42</f>
        <v>0</v>
      </c>
      <c r="K42" s="25" t="s">
        <v>116</v>
      </c>
      <c r="L42" s="25" t="s">
        <v>117</v>
      </c>
    </row>
    <row r="43" customFormat="false" ht="15" hidden="false" customHeight="false" outlineLevel="0" collapsed="false">
      <c r="A43" s="23" t="n">
        <v>4</v>
      </c>
      <c r="B43" s="23" t="s">
        <v>62</v>
      </c>
      <c r="C43" s="23" t="s">
        <v>15</v>
      </c>
      <c r="D43" s="24" t="n">
        <v>278668.06</v>
      </c>
      <c r="E43" s="24" t="n">
        <v>0</v>
      </c>
      <c r="F43" s="24" t="n">
        <v>0</v>
      </c>
      <c r="G43" s="24" t="n">
        <v>32511.26</v>
      </c>
      <c r="H43" s="24" t="n">
        <v>10133.38</v>
      </c>
      <c r="I43" s="24" t="n">
        <f aca="false">G43+H43</f>
        <v>42644.64</v>
      </c>
      <c r="J43" s="24" t="n">
        <f aca="false">D43-I43</f>
        <v>236023.42</v>
      </c>
      <c r="K43" s="25" t="s">
        <v>114</v>
      </c>
      <c r="L43" s="25" t="s">
        <v>115</v>
      </c>
    </row>
    <row r="44" customFormat="false" ht="15" hidden="false" customHeight="false" outlineLevel="0" collapsed="false">
      <c r="A44" s="23" t="n">
        <v>5</v>
      </c>
      <c r="B44" s="23" t="s">
        <v>63</v>
      </c>
      <c r="C44" s="23" t="s">
        <v>15</v>
      </c>
      <c r="D44" s="24" t="n">
        <v>5794.61</v>
      </c>
      <c r="E44" s="24" t="n">
        <v>0</v>
      </c>
      <c r="F44" s="24" t="n">
        <v>5794.61</v>
      </c>
      <c r="G44" s="24" t="n">
        <v>5794.61</v>
      </c>
      <c r="H44" s="24" t="n">
        <v>0</v>
      </c>
      <c r="I44" s="24" t="n">
        <f aca="false">G44+H44</f>
        <v>5794.61</v>
      </c>
      <c r="J44" s="24" t="n">
        <f aca="false">D44-I44</f>
        <v>0</v>
      </c>
      <c r="K44" s="25" t="s">
        <v>116</v>
      </c>
      <c r="L44" s="25" t="s">
        <v>117</v>
      </c>
    </row>
    <row r="45" customFormat="false" ht="15" hidden="false" customHeight="false" outlineLevel="0" collapsed="false">
      <c r="A45" s="23" t="n">
        <v>6</v>
      </c>
      <c r="B45" s="23" t="s">
        <v>64</v>
      </c>
      <c r="C45" s="23" t="s">
        <v>15</v>
      </c>
      <c r="D45" s="24" t="n">
        <v>21235.94</v>
      </c>
      <c r="E45" s="24" t="n">
        <v>0</v>
      </c>
      <c r="F45" s="24" t="n">
        <v>0</v>
      </c>
      <c r="G45" s="24" t="n">
        <v>2477.54</v>
      </c>
      <c r="H45" s="24" t="n">
        <v>772.22</v>
      </c>
      <c r="I45" s="24" t="n">
        <f aca="false">G45+H45</f>
        <v>3249.76</v>
      </c>
      <c r="J45" s="24" t="n">
        <f aca="false">D45-I45</f>
        <v>17986.18</v>
      </c>
      <c r="K45" s="25" t="s">
        <v>114</v>
      </c>
      <c r="L45" s="25" t="s">
        <v>115</v>
      </c>
    </row>
    <row r="46" customFormat="false" ht="15" hidden="false" customHeight="false" outlineLevel="0" collapsed="false">
      <c r="A46" s="26"/>
      <c r="B46" s="27" t="s">
        <v>39</v>
      </c>
      <c r="C46" s="26"/>
      <c r="D46" s="28" t="n">
        <f aca="false">SUM(D40:D45)</f>
        <v>418079.19</v>
      </c>
      <c r="E46" s="28" t="n">
        <f aca="false">SUM(E40:E45)</f>
        <v>0</v>
      </c>
      <c r="F46" s="28" t="n">
        <f aca="false">SUM(F40:F45)</f>
        <v>89624.64</v>
      </c>
      <c r="G46" s="28" t="n">
        <f aca="false">SUM(G40:G45)</f>
        <v>127944.33</v>
      </c>
      <c r="H46" s="28" t="n">
        <f aca="false">SUM(H40:H45)</f>
        <v>11943.8</v>
      </c>
      <c r="I46" s="28" t="n">
        <f aca="false">SUM(I40:I45)</f>
        <v>139888.13</v>
      </c>
      <c r="J46" s="28" t="n">
        <f aca="false">SUM(J40:J45)</f>
        <v>278191.06</v>
      </c>
      <c r="K46" s="26"/>
      <c r="L46" s="26"/>
    </row>
    <row r="48" customFormat="false" ht="15" hidden="false" customHeight="false" outlineLevel="0" collapsed="false">
      <c r="B48" s="18" t="s">
        <v>127</v>
      </c>
    </row>
    <row r="49" customFormat="false" ht="15" hidden="false" customHeight="false" outlineLevel="0" collapsed="false">
      <c r="B49" s="5" t="s">
        <v>120</v>
      </c>
      <c r="D49" s="6" t="n">
        <f aca="false">I36</f>
        <v>117657.22</v>
      </c>
    </row>
    <row r="50" customFormat="false" ht="15" hidden="false" customHeight="false" outlineLevel="0" collapsed="false">
      <c r="B50" s="5" t="s">
        <v>121</v>
      </c>
      <c r="D50" s="6" t="n">
        <f aca="false">I46</f>
        <v>139888.13</v>
      </c>
    </row>
    <row r="51" customFormat="false" ht="15" hidden="false" customHeight="false" outlineLevel="0" collapsed="false">
      <c r="B51" s="11" t="s">
        <v>127</v>
      </c>
      <c r="D51" s="29" t="n">
        <f aca="false">D49-D50</f>
        <v>-22230.91</v>
      </c>
    </row>
    <row r="53" customFormat="false" ht="15" hidden="false" customHeight="false" outlineLevel="0" collapsed="false">
      <c r="A53" s="10" t="s">
        <v>128</v>
      </c>
    </row>
    <row r="54" customFormat="false" ht="15" hidden="false" customHeight="false" outlineLevel="0" collapsed="false">
      <c r="B54" s="11" t="s">
        <v>159</v>
      </c>
      <c r="D54" s="12" t="n">
        <f aca="false">D91</f>
        <v>418079.19</v>
      </c>
    </row>
    <row r="55" customFormat="false" ht="15" hidden="false" customHeight="false" outlineLevel="0" collapsed="false">
      <c r="B55" s="5" t="s">
        <v>160</v>
      </c>
      <c r="D55" s="6" t="n">
        <f aca="false">F91</f>
        <v>89624.64</v>
      </c>
    </row>
    <row r="56" customFormat="false" ht="15" hidden="false" customHeight="false" outlineLevel="0" collapsed="false">
      <c r="B56" s="30" t="s">
        <v>131</v>
      </c>
      <c r="D56" s="31" t="n">
        <f aca="false">F92</f>
        <v>0.214372401553878</v>
      </c>
    </row>
    <row r="57" customFormat="false" ht="15" hidden="false" customHeight="false" outlineLevel="0" collapsed="false">
      <c r="B57" s="5" t="s">
        <v>161</v>
      </c>
      <c r="D57" s="6" t="n">
        <f aca="false">H91</f>
        <v>328454.55</v>
      </c>
    </row>
    <row r="58" customFormat="false" ht="15" hidden="false" customHeight="false" outlineLevel="0" collapsed="false">
      <c r="B58" s="30" t="s">
        <v>131</v>
      </c>
      <c r="D58" s="31" t="n">
        <f aca="false">H92</f>
        <v>0.785627598446122</v>
      </c>
    </row>
    <row r="60" customFormat="false" ht="15" hidden="false" customHeight="false" outlineLevel="0" collapsed="false">
      <c r="A60" s="10" t="s">
        <v>133</v>
      </c>
    </row>
    <row r="61" customFormat="false" ht="15" hidden="false" customHeight="false" outlineLevel="0" collapsed="false">
      <c r="B61" s="4" t="s">
        <v>134</v>
      </c>
      <c r="D61" s="4" t="s">
        <v>103</v>
      </c>
      <c r="F61" s="4" t="s">
        <v>162</v>
      </c>
      <c r="H61" s="4" t="s">
        <v>136</v>
      </c>
    </row>
    <row r="62" customFormat="false" ht="15" hidden="false" customHeight="false" outlineLevel="0" collapsed="false">
      <c r="B62" s="32" t="s">
        <v>163</v>
      </c>
    </row>
    <row r="63" customFormat="false" ht="15" hidden="false" customHeight="false" outlineLevel="0" collapsed="false">
      <c r="B63" s="5" t="s">
        <v>164</v>
      </c>
      <c r="D63" s="33" t="n">
        <f aca="false">SUM(F63:H63)</f>
        <v>12955.58</v>
      </c>
      <c r="F63" s="33" t="n">
        <v>12955.58</v>
      </c>
    </row>
    <row r="64" customFormat="false" ht="15" hidden="false" customHeight="false" outlineLevel="0" collapsed="false">
      <c r="B64" s="5" t="s">
        <v>165</v>
      </c>
      <c r="D64" s="33" t="n">
        <f aca="false">SUM(F64:H64)</f>
        <v>7814.7</v>
      </c>
      <c r="F64" s="33" t="n">
        <v>7814.7</v>
      </c>
    </row>
    <row r="65" customFormat="false" ht="15" hidden="false" customHeight="false" outlineLevel="0" collapsed="false">
      <c r="B65" s="5" t="s">
        <v>166</v>
      </c>
      <c r="D65" s="33" t="n">
        <f aca="false">SUM(F65:H65)</f>
        <v>31009.21</v>
      </c>
      <c r="F65" s="33" t="n">
        <v>31009.21</v>
      </c>
    </row>
    <row r="66" customFormat="false" ht="15" hidden="false" customHeight="false" outlineLevel="0" collapsed="false">
      <c r="B66" s="5" t="s">
        <v>167</v>
      </c>
      <c r="D66" s="33" t="n">
        <f aca="false">SUM(F66:H66)</f>
        <v>3263.85</v>
      </c>
      <c r="F66" s="33" t="n">
        <v>3263.85</v>
      </c>
    </row>
    <row r="67" customFormat="false" ht="15" hidden="false" customHeight="false" outlineLevel="0" collapsed="false">
      <c r="B67" s="5" t="s">
        <v>195</v>
      </c>
      <c r="D67" s="33" t="n">
        <f aca="false">SUM(F67:H67)</f>
        <v>281.84</v>
      </c>
      <c r="F67" s="33" t="n">
        <v>281.84</v>
      </c>
    </row>
    <row r="68" customFormat="false" ht="15" hidden="false" customHeight="false" outlineLevel="0" collapsed="false">
      <c r="B68" s="5" t="s">
        <v>169</v>
      </c>
      <c r="D68" s="33" t="n">
        <f aca="false">SUM(F68:H68)</f>
        <v>7199.04</v>
      </c>
      <c r="F68" s="33" t="n">
        <v>7199.04</v>
      </c>
    </row>
    <row r="69" customFormat="false" ht="15" hidden="false" customHeight="false" outlineLevel="0" collapsed="false">
      <c r="B69" s="5" t="s">
        <v>170</v>
      </c>
      <c r="D69" s="33" t="n">
        <f aca="false">SUM(F69:H69)</f>
        <v>2708.75</v>
      </c>
      <c r="F69" s="33" t="n">
        <v>2708.75</v>
      </c>
    </row>
    <row r="70" customFormat="false" ht="15" hidden="false" customHeight="false" outlineLevel="0" collapsed="false">
      <c r="B70" s="5" t="s">
        <v>196</v>
      </c>
      <c r="D70" s="33" t="n">
        <f aca="false">SUM(F70:H70)</f>
        <v>10047.72</v>
      </c>
      <c r="F70" s="33" t="n">
        <v>10047.72</v>
      </c>
    </row>
    <row r="71" customFormat="false" ht="15" hidden="false" customHeight="false" outlineLevel="0" collapsed="false">
      <c r="B71" s="5" t="s">
        <v>172</v>
      </c>
      <c r="D71" s="33" t="n">
        <f aca="false">SUM(F71:H71)</f>
        <v>1797.27</v>
      </c>
      <c r="F71" s="33" t="n">
        <v>1797.27</v>
      </c>
    </row>
    <row r="72" customFormat="false" ht="15" hidden="false" customHeight="false" outlineLevel="0" collapsed="false">
      <c r="B72" s="5" t="s">
        <v>174</v>
      </c>
      <c r="D72" s="33" t="n">
        <f aca="false">SUM(F72:H72)</f>
        <v>12546.68</v>
      </c>
      <c r="F72" s="33" t="n">
        <v>12546.68</v>
      </c>
    </row>
    <row r="73" customFormat="false" ht="15" hidden="false" customHeight="false" outlineLevel="0" collapsed="false">
      <c r="B73" s="32" t="s">
        <v>175</v>
      </c>
    </row>
    <row r="74" customFormat="false" ht="15" hidden="false" customHeight="false" outlineLevel="0" collapsed="false">
      <c r="B74" s="5" t="s">
        <v>176</v>
      </c>
      <c r="D74" s="33" t="n">
        <f aca="false">SUM(F74:H74)</f>
        <v>11905.28</v>
      </c>
      <c r="H74" s="33" t="n">
        <v>11905.28</v>
      </c>
    </row>
    <row r="75" customFormat="false" ht="15" hidden="false" customHeight="false" outlineLevel="0" collapsed="false">
      <c r="B75" s="5" t="s">
        <v>177</v>
      </c>
      <c r="D75" s="33" t="n">
        <f aca="false">SUM(F75:H75)</f>
        <v>21103.9</v>
      </c>
      <c r="H75" s="33" t="n">
        <v>21103.9</v>
      </c>
    </row>
    <row r="76" customFormat="false" ht="15" hidden="false" customHeight="false" outlineLevel="0" collapsed="false">
      <c r="B76" s="5" t="s">
        <v>178</v>
      </c>
      <c r="D76" s="33" t="n">
        <f aca="false">SUM(F76:H76)</f>
        <v>30438.8</v>
      </c>
      <c r="H76" s="33" t="n">
        <v>30438.8</v>
      </c>
    </row>
    <row r="77" customFormat="false" ht="15" hidden="false" customHeight="false" outlineLevel="0" collapsed="false">
      <c r="B77" s="5" t="s">
        <v>179</v>
      </c>
      <c r="D77" s="33" t="n">
        <f aca="false">SUM(F77:H77)</f>
        <v>32953.46</v>
      </c>
      <c r="H77" s="33" t="n">
        <v>32953.46</v>
      </c>
    </row>
    <row r="78" customFormat="false" ht="15" hidden="false" customHeight="false" outlineLevel="0" collapsed="false">
      <c r="B78" s="5" t="s">
        <v>180</v>
      </c>
      <c r="D78" s="33" t="n">
        <f aca="false">SUM(F78:H78)</f>
        <v>26460.29</v>
      </c>
      <c r="H78" s="33" t="n">
        <v>26460.29</v>
      </c>
    </row>
    <row r="79" customFormat="false" ht="15" hidden="false" customHeight="false" outlineLevel="0" collapsed="false">
      <c r="B79" s="5" t="s">
        <v>181</v>
      </c>
      <c r="D79" s="33" t="n">
        <f aca="false">SUM(F79:H79)</f>
        <v>1706.2</v>
      </c>
      <c r="H79" s="33" t="n">
        <v>1706.2</v>
      </c>
    </row>
    <row r="80" customFormat="false" ht="15" hidden="false" customHeight="false" outlineLevel="0" collapsed="false">
      <c r="B80" s="5" t="s">
        <v>182</v>
      </c>
      <c r="D80" s="33" t="n">
        <f aca="false">SUM(F80:H80)</f>
        <v>32377.33</v>
      </c>
      <c r="H80" s="33" t="n">
        <v>32377.33</v>
      </c>
    </row>
    <row r="81" customFormat="false" ht="15" hidden="false" customHeight="false" outlineLevel="0" collapsed="false">
      <c r="B81" s="5" t="s">
        <v>183</v>
      </c>
      <c r="D81" s="33" t="n">
        <f aca="false">SUM(F81:H81)</f>
        <v>21744.5</v>
      </c>
      <c r="H81" s="33" t="n">
        <v>21744.5</v>
      </c>
    </row>
    <row r="82" customFormat="false" ht="15" hidden="false" customHeight="false" outlineLevel="0" collapsed="false">
      <c r="B82" s="5" t="s">
        <v>184</v>
      </c>
      <c r="D82" s="33" t="n">
        <f aca="false">SUM(F82:H82)</f>
        <v>14385.72</v>
      </c>
      <c r="H82" s="33" t="n">
        <v>14385.72</v>
      </c>
    </row>
    <row r="83" customFormat="false" ht="15" hidden="false" customHeight="false" outlineLevel="0" collapsed="false">
      <c r="B83" s="5" t="s">
        <v>185</v>
      </c>
      <c r="D83" s="33" t="n">
        <f aca="false">SUM(F83:H83)</f>
        <v>13810.29</v>
      </c>
      <c r="H83" s="33" t="n">
        <v>13810.29</v>
      </c>
    </row>
    <row r="84" customFormat="false" ht="15" hidden="false" customHeight="false" outlineLevel="0" collapsed="false">
      <c r="B84" s="5" t="s">
        <v>186</v>
      </c>
      <c r="D84" s="33" t="n">
        <f aca="false">SUM(F84:H84)</f>
        <v>33717.23</v>
      </c>
      <c r="H84" s="33" t="n">
        <v>33717.23</v>
      </c>
    </row>
    <row r="85" customFormat="false" ht="15" hidden="false" customHeight="false" outlineLevel="0" collapsed="false">
      <c r="B85" s="5" t="s">
        <v>187</v>
      </c>
      <c r="D85" s="33" t="n">
        <f aca="false">SUM(F85:H85)</f>
        <v>14723.39</v>
      </c>
      <c r="H85" s="33" t="n">
        <v>14723.39</v>
      </c>
    </row>
    <row r="86" customFormat="false" ht="15" hidden="false" customHeight="false" outlineLevel="0" collapsed="false">
      <c r="B86" s="5" t="s">
        <v>188</v>
      </c>
      <c r="D86" s="33" t="n">
        <f aca="false">SUM(F86:H86)</f>
        <v>1691.32</v>
      </c>
      <c r="H86" s="33" t="n">
        <v>1691.32</v>
      </c>
    </row>
    <row r="87" customFormat="false" ht="15" hidden="false" customHeight="false" outlineLevel="0" collapsed="false">
      <c r="B87" s="5" t="s">
        <v>190</v>
      </c>
      <c r="D87" s="33" t="n">
        <f aca="false">SUM(F87:H87)</f>
        <v>49611.06</v>
      </c>
      <c r="H87" s="33" t="n">
        <v>49611.06</v>
      </c>
    </row>
    <row r="88" customFormat="false" ht="15" hidden="false" customHeight="false" outlineLevel="0" collapsed="false">
      <c r="B88" s="5" t="s">
        <v>191</v>
      </c>
      <c r="D88" s="33" t="n">
        <f aca="false">SUM(F88:H88)</f>
        <v>16018.5</v>
      </c>
      <c r="H88" s="33" t="n">
        <v>16018.5</v>
      </c>
    </row>
    <row r="89" customFormat="false" ht="15" hidden="false" customHeight="false" outlineLevel="0" collapsed="false">
      <c r="B89" s="5" t="s">
        <v>193</v>
      </c>
      <c r="D89" s="33" t="n">
        <f aca="false">SUM(F89:H89)</f>
        <v>4089.99</v>
      </c>
      <c r="H89" s="33" t="n">
        <v>4089.99</v>
      </c>
    </row>
    <row r="90" customFormat="false" ht="15" hidden="false" customHeight="false" outlineLevel="0" collapsed="false">
      <c r="B90" s="5" t="s">
        <v>197</v>
      </c>
      <c r="D90" s="33" t="n">
        <f aca="false">SUM(F90:H90)</f>
        <v>1717.29</v>
      </c>
      <c r="H90" s="33" t="n">
        <v>1717.29</v>
      </c>
    </row>
    <row r="91" customFormat="false" ht="15" hidden="false" customHeight="false" outlineLevel="0" collapsed="false">
      <c r="B91" s="11" t="s">
        <v>159</v>
      </c>
      <c r="D91" s="34" t="n">
        <f aca="false">SUM(D62:D90)</f>
        <v>418079.19</v>
      </c>
      <c r="F91" s="34" t="n">
        <f aca="false">SUM(F62:F90)</f>
        <v>89624.64</v>
      </c>
      <c r="H91" s="34" t="n">
        <f aca="false">SUM(H62:H90)</f>
        <v>328454.55</v>
      </c>
    </row>
    <row r="92" customFormat="false" ht="15" hidden="false" customHeight="false" outlineLevel="0" collapsed="false">
      <c r="B92" s="30" t="s">
        <v>131</v>
      </c>
      <c r="F92" s="31" t="n">
        <f aca="false">F91/D91</f>
        <v>0.214372401553878</v>
      </c>
      <c r="H92" s="31" t="n">
        <f aca="false">H91/D91</f>
        <v>0.785627598446122</v>
      </c>
    </row>
    <row r="94" customFormat="false" ht="15" hidden="false" customHeight="false" outlineLevel="0" collapsed="false">
      <c r="A94" s="10" t="s">
        <v>154</v>
      </c>
    </row>
    <row r="95" customFormat="false" ht="15" hidden="false" customHeight="false" outlineLevel="0" collapsed="false">
      <c r="B95" s="4" t="s">
        <v>155</v>
      </c>
      <c r="D95" s="4" t="s">
        <v>103</v>
      </c>
      <c r="F95" s="4" t="s">
        <v>162</v>
      </c>
      <c r="H95" s="4" t="s">
        <v>136</v>
      </c>
    </row>
    <row r="96" customFormat="false" ht="15" hidden="false" customHeight="false" outlineLevel="0" collapsed="false">
      <c r="B96" s="5" t="str">
        <f aca="false">'Building 2'!B17</f>
        <v>2 - Land Imp - Peter St - 2 - 5yr</v>
      </c>
      <c r="D96" s="33" t="n">
        <f aca="false">SUM(F96:H96)</f>
        <v>7790.52</v>
      </c>
      <c r="F96" s="33" t="n">
        <f aca="false">'Building 2'!D17</f>
        <v>7790.52</v>
      </c>
    </row>
    <row r="97" customFormat="false" ht="15" hidden="false" customHeight="false" outlineLevel="0" collapsed="false">
      <c r="B97" s="5" t="str">
        <f aca="false">'Building 2'!B18</f>
        <v>2 - Land Imp - Peter St - 2 - 27.5yr</v>
      </c>
      <c r="D97" s="33" t="n">
        <f aca="false">SUM(F97:H97)</f>
        <v>28550.55</v>
      </c>
      <c r="H97" s="33" t="n">
        <f aca="false">'Building 2'!D18</f>
        <v>28550.55</v>
      </c>
    </row>
    <row r="98" customFormat="false" ht="15" hidden="false" customHeight="false" outlineLevel="0" collapsed="false">
      <c r="B98" s="5" t="str">
        <f aca="false">'Building 2'!B19</f>
        <v>3 - Building - Peter St - 2 - 5yr</v>
      </c>
      <c r="D98" s="33" t="n">
        <f aca="false">SUM(F98:H98)</f>
        <v>76039.51</v>
      </c>
      <c r="F98" s="33" t="n">
        <f aca="false">'Building 2'!D19</f>
        <v>76039.51</v>
      </c>
    </row>
    <row r="99" customFormat="false" ht="15" hidden="false" customHeight="false" outlineLevel="0" collapsed="false">
      <c r="B99" s="5" t="str">
        <f aca="false">'Building 2'!B20</f>
        <v>3 - Building - Peter St - 2 - 27.5yr</v>
      </c>
      <c r="D99" s="33" t="n">
        <f aca="false">SUM(F99:H99)</f>
        <v>278668.06</v>
      </c>
      <c r="H99" s="33" t="n">
        <f aca="false">'Building 2'!D20</f>
        <v>278668.06</v>
      </c>
    </row>
    <row r="100" customFormat="false" ht="15" hidden="false" customHeight="false" outlineLevel="0" collapsed="false">
      <c r="B100" s="5" t="str">
        <f aca="false">'Building 2'!B21</f>
        <v>4 - Equipment - Peter St - 2 - 5yr</v>
      </c>
      <c r="D100" s="33" t="n">
        <f aca="false">SUM(F100:H100)</f>
        <v>5794.61</v>
      </c>
      <c r="F100" s="33" t="n">
        <f aca="false">'Building 2'!D21</f>
        <v>5794.61</v>
      </c>
    </row>
    <row r="101" customFormat="false" ht="15" hidden="false" customHeight="false" outlineLevel="0" collapsed="false">
      <c r="B101" s="5" t="str">
        <f aca="false">'Building 2'!B22</f>
        <v>4 - Equipment - Peter St - 2 - 27.5yr</v>
      </c>
      <c r="D101" s="33" t="n">
        <f aca="false">SUM(F101:H101)</f>
        <v>21235.94</v>
      </c>
      <c r="H101" s="33" t="n">
        <f aca="false">'Building 2'!D22</f>
        <v>21235.94</v>
      </c>
    </row>
    <row r="102" customFormat="false" ht="15" hidden="false" customHeight="false" outlineLevel="0" collapsed="false">
      <c r="B102" s="11" t="s">
        <v>156</v>
      </c>
      <c r="D102" s="34" t="n">
        <f aca="false">SUM(D96:D101)</f>
        <v>418079.19</v>
      </c>
      <c r="F102" s="34" t="n">
        <f aca="false">SUM(F96:F101)</f>
        <v>89624.64</v>
      </c>
      <c r="H102" s="34" t="n">
        <f aca="false">SUM(H96:H101)</f>
        <v>328454.55</v>
      </c>
    </row>
    <row r="103" customFormat="false" ht="15" hidden="false" customHeight="false" outlineLevel="0" collapsed="false">
      <c r="B103" s="16" t="s">
        <v>157</v>
      </c>
      <c r="D103" s="17" t="n">
        <f aca="false">D102-D91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199</v>
      </c>
    </row>
    <row r="5" customFormat="false" ht="15" hidden="false" customHeight="false" outlineLevel="0" collapsed="false">
      <c r="A5" s="16" t="s">
        <v>97</v>
      </c>
    </row>
    <row r="7" customFormat="false" ht="15" hidden="false" customHeight="false" outlineLevel="0" collapsed="false">
      <c r="A7" s="10" t="s">
        <v>98</v>
      </c>
    </row>
    <row r="8" customFormat="false" ht="15" hidden="false" customHeight="false" outlineLevel="0" collapsed="false">
      <c r="A8" s="21" t="s">
        <v>99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100</v>
      </c>
      <c r="B9" s="4" t="s">
        <v>101</v>
      </c>
      <c r="C9" s="4" t="s">
        <v>102</v>
      </c>
      <c r="D9" s="4" t="s">
        <v>103</v>
      </c>
      <c r="E9" s="4" t="s">
        <v>104</v>
      </c>
      <c r="F9" s="4" t="s">
        <v>105</v>
      </c>
      <c r="G9" s="4" t="s">
        <v>106</v>
      </c>
      <c r="H9" s="4" t="s">
        <v>107</v>
      </c>
      <c r="I9" s="4" t="s">
        <v>108</v>
      </c>
      <c r="J9" s="4" t="s">
        <v>109</v>
      </c>
      <c r="K9" s="4" t="s">
        <v>110</v>
      </c>
      <c r="L9" s="4" t="s">
        <v>111</v>
      </c>
    </row>
    <row r="10" customFormat="false" ht="15" hidden="false" customHeight="false" outlineLevel="0" collapsed="false">
      <c r="A10" s="23" t="n">
        <v>1</v>
      </c>
      <c r="B10" s="23" t="s">
        <v>28</v>
      </c>
      <c r="C10" s="23" t="s">
        <v>15</v>
      </c>
      <c r="D10" s="24" t="n">
        <v>39460.94</v>
      </c>
      <c r="E10" s="24" t="n">
        <v>0</v>
      </c>
      <c r="F10" s="24" t="n">
        <v>39460.94</v>
      </c>
      <c r="G10" s="24" t="n">
        <v>39460.94</v>
      </c>
      <c r="H10" s="24" t="n">
        <v>0</v>
      </c>
      <c r="I10" s="24" t="n">
        <f aca="false">G10+H10</f>
        <v>39460.94</v>
      </c>
      <c r="J10" s="24" t="n">
        <f aca="false">D10-I10</f>
        <v>0</v>
      </c>
      <c r="K10" s="25" t="s">
        <v>112</v>
      </c>
      <c r="L10" s="25" t="s">
        <v>113</v>
      </c>
    </row>
    <row r="11" customFormat="false" ht="15" hidden="false" customHeight="false" outlineLevel="0" collapsed="false">
      <c r="A11" s="23" t="n">
        <v>2</v>
      </c>
      <c r="B11" s="23" t="s">
        <v>29</v>
      </c>
      <c r="C11" s="23" t="s">
        <v>15</v>
      </c>
      <c r="D11" s="24" t="n">
        <v>385159.17</v>
      </c>
      <c r="E11" s="24" t="n">
        <v>0</v>
      </c>
      <c r="F11" s="24" t="n">
        <v>0</v>
      </c>
      <c r="G11" s="24" t="n">
        <v>44940.14</v>
      </c>
      <c r="H11" s="24" t="n">
        <v>14005.86</v>
      </c>
      <c r="I11" s="24" t="n">
        <f aca="false">G11+H11</f>
        <v>58946</v>
      </c>
      <c r="J11" s="24" t="n">
        <f aca="false">D11-I11</f>
        <v>326213.17</v>
      </c>
      <c r="K11" s="25" t="s">
        <v>114</v>
      </c>
      <c r="L11" s="25" t="s">
        <v>115</v>
      </c>
    </row>
    <row r="12" customFormat="false" ht="15" hidden="false" customHeight="false" outlineLevel="0" collapsed="false">
      <c r="A12" s="23" t="n">
        <v>3</v>
      </c>
      <c r="B12" s="23" t="s">
        <v>30</v>
      </c>
      <c r="C12" s="23" t="s">
        <v>15</v>
      </c>
      <c r="D12" s="24" t="n">
        <v>29351.11</v>
      </c>
      <c r="E12" s="24" t="n">
        <v>0</v>
      </c>
      <c r="F12" s="24" t="n">
        <v>29351.11</v>
      </c>
      <c r="G12" s="24" t="n">
        <v>29351.11</v>
      </c>
      <c r="H12" s="24" t="n">
        <v>0</v>
      </c>
      <c r="I12" s="24" t="n">
        <f aca="false">G12+H12</f>
        <v>29351.11</v>
      </c>
      <c r="J12" s="24" t="n">
        <f aca="false">D12-I12</f>
        <v>0</v>
      </c>
      <c r="K12" s="25" t="s">
        <v>116</v>
      </c>
      <c r="L12" s="25" t="s">
        <v>117</v>
      </c>
    </row>
    <row r="13" customFormat="false" ht="15" hidden="false" customHeight="false" outlineLevel="0" collapsed="false">
      <c r="A13" s="26"/>
      <c r="B13" s="27" t="s">
        <v>39</v>
      </c>
      <c r="C13" s="26"/>
      <c r="D13" s="28" t="n">
        <f aca="false">SUM(D10:D12)</f>
        <v>453971.22</v>
      </c>
      <c r="E13" s="28" t="n">
        <f aca="false">SUM(E10:E12)</f>
        <v>0</v>
      </c>
      <c r="F13" s="28" t="n">
        <f aca="false">SUM(F10:F12)</f>
        <v>68812.05</v>
      </c>
      <c r="G13" s="28" t="n">
        <f aca="false">SUM(G10:G12)</f>
        <v>113752.19</v>
      </c>
      <c r="H13" s="28" t="n">
        <f aca="false">SUM(H10:H12)</f>
        <v>14005.86</v>
      </c>
      <c r="I13" s="28" t="n">
        <f aca="false">SUM(I10:I12)</f>
        <v>127758.05</v>
      </c>
      <c r="J13" s="28" t="n">
        <f aca="false">SUM(J10:J12)</f>
        <v>326213.17</v>
      </c>
      <c r="K13" s="26"/>
      <c r="L13" s="26"/>
    </row>
    <row r="15" customFormat="false" ht="15" hidden="false" customHeight="false" outlineLevel="0" collapsed="false">
      <c r="A15" s="21" t="s">
        <v>118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100</v>
      </c>
      <c r="B16" s="4" t="s">
        <v>101</v>
      </c>
      <c r="C16" s="4" t="s">
        <v>102</v>
      </c>
      <c r="D16" s="4" t="s">
        <v>103</v>
      </c>
      <c r="E16" s="4" t="s">
        <v>104</v>
      </c>
      <c r="F16" s="4" t="s">
        <v>105</v>
      </c>
      <c r="G16" s="4" t="s">
        <v>106</v>
      </c>
      <c r="H16" s="4" t="s">
        <v>107</v>
      </c>
      <c r="I16" s="4" t="s">
        <v>108</v>
      </c>
      <c r="J16" s="4" t="s">
        <v>109</v>
      </c>
      <c r="K16" s="4" t="s">
        <v>110</v>
      </c>
      <c r="L16" s="4" t="s">
        <v>111</v>
      </c>
    </row>
    <row r="17" customFormat="false" ht="15" hidden="false" customHeight="false" outlineLevel="0" collapsed="false">
      <c r="A17" s="23" t="n">
        <v>1</v>
      </c>
      <c r="B17" s="23" t="s">
        <v>65</v>
      </c>
      <c r="C17" s="23" t="s">
        <v>15</v>
      </c>
      <c r="D17" s="24" t="n">
        <v>8072.77</v>
      </c>
      <c r="E17" s="24" t="n">
        <v>0</v>
      </c>
      <c r="F17" s="24" t="n">
        <v>8072.77</v>
      </c>
      <c r="G17" s="24" t="n">
        <v>8072.77</v>
      </c>
      <c r="H17" s="24" t="n">
        <v>0</v>
      </c>
      <c r="I17" s="24" t="n">
        <f aca="false">G17+H17</f>
        <v>8072.77</v>
      </c>
      <c r="J17" s="24" t="n">
        <f aca="false">D17-I17</f>
        <v>0</v>
      </c>
      <c r="K17" s="25" t="s">
        <v>116</v>
      </c>
      <c r="L17" s="25" t="s">
        <v>117</v>
      </c>
    </row>
    <row r="18" customFormat="false" ht="15" hidden="false" customHeight="false" outlineLevel="0" collapsed="false">
      <c r="A18" s="23" t="n">
        <v>2</v>
      </c>
      <c r="B18" s="23" t="s">
        <v>66</v>
      </c>
      <c r="C18" s="23" t="s">
        <v>15</v>
      </c>
      <c r="D18" s="24" t="n">
        <v>31388.17</v>
      </c>
      <c r="E18" s="24" t="n">
        <v>0</v>
      </c>
      <c r="F18" s="24" t="n">
        <v>0</v>
      </c>
      <c r="G18" s="24" t="n">
        <v>3661.96</v>
      </c>
      <c r="H18" s="24" t="n">
        <v>1141.39</v>
      </c>
      <c r="I18" s="24" t="n">
        <f aca="false">G18+H18</f>
        <v>4803.35</v>
      </c>
      <c r="J18" s="24" t="n">
        <f aca="false">D18-I18</f>
        <v>26584.82</v>
      </c>
      <c r="K18" s="25" t="s">
        <v>114</v>
      </c>
      <c r="L18" s="25" t="s">
        <v>115</v>
      </c>
    </row>
    <row r="19" customFormat="false" ht="15" hidden="false" customHeight="false" outlineLevel="0" collapsed="false">
      <c r="A19" s="23" t="n">
        <v>3</v>
      </c>
      <c r="B19" s="23" t="s">
        <v>67</v>
      </c>
      <c r="C19" s="23" t="s">
        <v>15</v>
      </c>
      <c r="D19" s="24" t="n">
        <v>78794.38</v>
      </c>
      <c r="E19" s="24" t="n">
        <v>0</v>
      </c>
      <c r="F19" s="24" t="n">
        <v>78794.38</v>
      </c>
      <c r="G19" s="24" t="n">
        <v>78794.38</v>
      </c>
      <c r="H19" s="24" t="n">
        <v>0</v>
      </c>
      <c r="I19" s="24" t="n">
        <f aca="false">G19+H19</f>
        <v>78794.38</v>
      </c>
      <c r="J19" s="24" t="n">
        <f aca="false">D19-I19</f>
        <v>0</v>
      </c>
      <c r="K19" s="25" t="s">
        <v>116</v>
      </c>
      <c r="L19" s="25" t="s">
        <v>117</v>
      </c>
    </row>
    <row r="20" customFormat="false" ht="15" hidden="false" customHeight="false" outlineLevel="0" collapsed="false">
      <c r="A20" s="23" t="n">
        <v>4</v>
      </c>
      <c r="B20" s="23" t="s">
        <v>68</v>
      </c>
      <c r="C20" s="23" t="s">
        <v>15</v>
      </c>
      <c r="D20" s="24" t="n">
        <v>306364.79</v>
      </c>
      <c r="E20" s="24" t="n">
        <v>0</v>
      </c>
      <c r="F20" s="24" t="n">
        <v>0</v>
      </c>
      <c r="G20" s="24" t="n">
        <v>35742.57</v>
      </c>
      <c r="H20" s="24" t="n">
        <v>11140.54</v>
      </c>
      <c r="I20" s="24" t="n">
        <f aca="false">G20+H20</f>
        <v>46883.11</v>
      </c>
      <c r="J20" s="24" t="n">
        <f aca="false">D20-I20</f>
        <v>259481.68</v>
      </c>
      <c r="K20" s="25" t="s">
        <v>114</v>
      </c>
      <c r="L20" s="25" t="s">
        <v>115</v>
      </c>
    </row>
    <row r="21" customFormat="false" ht="15" hidden="false" customHeight="false" outlineLevel="0" collapsed="false">
      <c r="A21" s="23" t="n">
        <v>5</v>
      </c>
      <c r="B21" s="23" t="s">
        <v>69</v>
      </c>
      <c r="C21" s="23" t="s">
        <v>15</v>
      </c>
      <c r="D21" s="24" t="n">
        <v>6004.53</v>
      </c>
      <c r="E21" s="24" t="n">
        <v>0</v>
      </c>
      <c r="F21" s="24" t="n">
        <v>6004.53</v>
      </c>
      <c r="G21" s="24" t="n">
        <v>6004.53</v>
      </c>
      <c r="H21" s="24" t="n">
        <v>0</v>
      </c>
      <c r="I21" s="24" t="n">
        <f aca="false">G21+H21</f>
        <v>6004.53</v>
      </c>
      <c r="J21" s="24" t="n">
        <f aca="false">D21-I21</f>
        <v>0</v>
      </c>
      <c r="K21" s="25" t="s">
        <v>116</v>
      </c>
      <c r="L21" s="25" t="s">
        <v>117</v>
      </c>
    </row>
    <row r="22" customFormat="false" ht="15" hidden="false" customHeight="false" outlineLevel="0" collapsed="false">
      <c r="A22" s="23" t="n">
        <v>6</v>
      </c>
      <c r="B22" s="23" t="s">
        <v>70</v>
      </c>
      <c r="C22" s="23" t="s">
        <v>15</v>
      </c>
      <c r="D22" s="24" t="n">
        <v>23346.58</v>
      </c>
      <c r="E22" s="24" t="n">
        <v>0</v>
      </c>
      <c r="F22" s="24" t="n">
        <v>0</v>
      </c>
      <c r="G22" s="24" t="n">
        <v>2723.78</v>
      </c>
      <c r="H22" s="24" t="n">
        <v>848.97</v>
      </c>
      <c r="I22" s="24" t="n">
        <f aca="false">G22+H22</f>
        <v>3572.75</v>
      </c>
      <c r="J22" s="24" t="n">
        <f aca="false">D22-I22</f>
        <v>19773.83</v>
      </c>
      <c r="K22" s="25" t="s">
        <v>114</v>
      </c>
      <c r="L22" s="25" t="s">
        <v>115</v>
      </c>
    </row>
    <row r="23" customFormat="false" ht="15" hidden="false" customHeight="false" outlineLevel="0" collapsed="false">
      <c r="A23" s="26"/>
      <c r="B23" s="27" t="s">
        <v>39</v>
      </c>
      <c r="C23" s="26"/>
      <c r="D23" s="28" t="n">
        <f aca="false">SUM(D17:D22)</f>
        <v>453971.22</v>
      </c>
      <c r="E23" s="28" t="n">
        <f aca="false">SUM(E17:E22)</f>
        <v>0</v>
      </c>
      <c r="F23" s="28" t="n">
        <f aca="false">SUM(F17:F22)</f>
        <v>92871.68</v>
      </c>
      <c r="G23" s="28" t="n">
        <f aca="false">SUM(G17:G22)</f>
        <v>134999.99</v>
      </c>
      <c r="H23" s="28" t="n">
        <f aca="false">SUM(H17:H22)</f>
        <v>13130.9</v>
      </c>
      <c r="I23" s="28" t="n">
        <f aca="false">SUM(I17:I22)</f>
        <v>148130.89</v>
      </c>
      <c r="J23" s="28" t="n">
        <f aca="false">SUM(J17:J22)</f>
        <v>305840.33</v>
      </c>
      <c r="K23" s="26"/>
      <c r="L23" s="26"/>
    </row>
    <row r="25" customFormat="false" ht="15" hidden="false" customHeight="false" outlineLevel="0" collapsed="false">
      <c r="B25" s="18" t="s">
        <v>119</v>
      </c>
    </row>
    <row r="26" customFormat="false" ht="15" hidden="false" customHeight="false" outlineLevel="0" collapsed="false">
      <c r="B26" s="5" t="s">
        <v>120</v>
      </c>
      <c r="D26" s="6" t="n">
        <f aca="false">I13</f>
        <v>127758.05</v>
      </c>
    </row>
    <row r="27" customFormat="false" ht="15" hidden="false" customHeight="false" outlineLevel="0" collapsed="false">
      <c r="B27" s="5" t="s">
        <v>121</v>
      </c>
      <c r="D27" s="6" t="n">
        <f aca="false">I23</f>
        <v>148130.89</v>
      </c>
    </row>
    <row r="28" customFormat="false" ht="15" hidden="false" customHeight="false" outlineLevel="0" collapsed="false">
      <c r="B28" s="11" t="s">
        <v>119</v>
      </c>
      <c r="D28" s="29" t="n">
        <f aca="false">D26-D27</f>
        <v>-20372.84</v>
      </c>
    </row>
    <row r="30" customFormat="false" ht="15" hidden="false" customHeight="false" outlineLevel="0" collapsed="false">
      <c r="A30" s="10" t="s">
        <v>122</v>
      </c>
    </row>
    <row r="31" customFormat="false" ht="15" hidden="false" customHeight="false" outlineLevel="0" collapsed="false">
      <c r="A31" s="21" t="s">
        <v>123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100</v>
      </c>
      <c r="B32" s="4" t="s">
        <v>101</v>
      </c>
      <c r="C32" s="4" t="s">
        <v>102</v>
      </c>
      <c r="D32" s="4" t="s">
        <v>103</v>
      </c>
      <c r="E32" s="4" t="s">
        <v>104</v>
      </c>
      <c r="F32" s="4" t="s">
        <v>105</v>
      </c>
      <c r="G32" s="4" t="s">
        <v>124</v>
      </c>
      <c r="H32" s="4" t="s">
        <v>125</v>
      </c>
      <c r="I32" s="4" t="s">
        <v>108</v>
      </c>
      <c r="J32" s="4" t="s">
        <v>109</v>
      </c>
      <c r="K32" s="4" t="s">
        <v>110</v>
      </c>
      <c r="L32" s="4" t="s">
        <v>111</v>
      </c>
    </row>
    <row r="33" customFormat="false" ht="15" hidden="false" customHeight="false" outlineLevel="0" collapsed="false">
      <c r="A33" s="23" t="n">
        <v>1</v>
      </c>
      <c r="B33" s="23" t="s">
        <v>28</v>
      </c>
      <c r="C33" s="23" t="s">
        <v>15</v>
      </c>
      <c r="D33" s="24" t="n">
        <v>39460.94</v>
      </c>
      <c r="E33" s="24" t="n">
        <v>0</v>
      </c>
      <c r="F33" s="24" t="n">
        <v>39460.94</v>
      </c>
      <c r="G33" s="24" t="n">
        <v>39460.94</v>
      </c>
      <c r="H33" s="24" t="n">
        <v>0</v>
      </c>
      <c r="I33" s="24" t="n">
        <f aca="false">G33+H33</f>
        <v>39460.94</v>
      </c>
      <c r="J33" s="24" t="n">
        <f aca="false">D33-I33</f>
        <v>0</v>
      </c>
      <c r="K33" s="25" t="s">
        <v>112</v>
      </c>
      <c r="L33" s="25" t="s">
        <v>113</v>
      </c>
    </row>
    <row r="34" customFormat="false" ht="15" hidden="false" customHeight="false" outlineLevel="0" collapsed="false">
      <c r="A34" s="23" t="n">
        <v>2</v>
      </c>
      <c r="B34" s="23" t="s">
        <v>29</v>
      </c>
      <c r="C34" s="23" t="s">
        <v>15</v>
      </c>
      <c r="D34" s="24" t="n">
        <v>385159.17</v>
      </c>
      <c r="E34" s="24" t="n">
        <v>0</v>
      </c>
      <c r="F34" s="24" t="n">
        <v>0</v>
      </c>
      <c r="G34" s="24" t="n">
        <v>44940.14</v>
      </c>
      <c r="H34" s="24" t="n">
        <v>14005.86</v>
      </c>
      <c r="I34" s="24" t="n">
        <f aca="false">G34+H34</f>
        <v>58946</v>
      </c>
      <c r="J34" s="24" t="n">
        <f aca="false">D34-I34</f>
        <v>326213.17</v>
      </c>
      <c r="K34" s="25" t="s">
        <v>114</v>
      </c>
      <c r="L34" s="25" t="s">
        <v>115</v>
      </c>
    </row>
    <row r="35" customFormat="false" ht="15" hidden="false" customHeight="false" outlineLevel="0" collapsed="false">
      <c r="A35" s="23" t="n">
        <v>3</v>
      </c>
      <c r="B35" s="23" t="s">
        <v>30</v>
      </c>
      <c r="C35" s="23" t="s">
        <v>15</v>
      </c>
      <c r="D35" s="24" t="n">
        <v>29351.11</v>
      </c>
      <c r="E35" s="24" t="n">
        <v>0</v>
      </c>
      <c r="F35" s="24" t="n">
        <v>29351.11</v>
      </c>
      <c r="G35" s="24" t="n">
        <v>29351.11</v>
      </c>
      <c r="H35" s="24" t="n">
        <v>0</v>
      </c>
      <c r="I35" s="24" t="n">
        <f aca="false">G35+H35</f>
        <v>29351.11</v>
      </c>
      <c r="J35" s="24" t="n">
        <f aca="false">D35-I35</f>
        <v>0</v>
      </c>
      <c r="K35" s="25" t="s">
        <v>116</v>
      </c>
      <c r="L35" s="25" t="s">
        <v>117</v>
      </c>
    </row>
    <row r="36" customFormat="false" ht="15" hidden="false" customHeight="false" outlineLevel="0" collapsed="false">
      <c r="A36" s="26"/>
      <c r="B36" s="27" t="s">
        <v>39</v>
      </c>
      <c r="C36" s="26"/>
      <c r="D36" s="28" t="n">
        <f aca="false">SUM(D33:D35)</f>
        <v>453971.22</v>
      </c>
      <c r="E36" s="28" t="n">
        <f aca="false">SUM(E33:E35)</f>
        <v>0</v>
      </c>
      <c r="F36" s="28" t="n">
        <f aca="false">SUM(F33:F35)</f>
        <v>68812.05</v>
      </c>
      <c r="G36" s="28" t="n">
        <f aca="false">SUM(G33:G35)</f>
        <v>113752.19</v>
      </c>
      <c r="H36" s="28" t="n">
        <f aca="false">SUM(H33:H35)</f>
        <v>14005.86</v>
      </c>
      <c r="I36" s="28" t="n">
        <f aca="false">SUM(I33:I35)</f>
        <v>127758.05</v>
      </c>
      <c r="J36" s="28" t="n">
        <f aca="false">SUM(J33:J35)</f>
        <v>326213.17</v>
      </c>
      <c r="K36" s="26"/>
      <c r="L36" s="26"/>
    </row>
    <row r="38" customFormat="false" ht="15" hidden="false" customHeight="false" outlineLevel="0" collapsed="false">
      <c r="A38" s="21" t="s">
        <v>126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100</v>
      </c>
      <c r="B39" s="4" t="s">
        <v>101</v>
      </c>
      <c r="C39" s="4" t="s">
        <v>102</v>
      </c>
      <c r="D39" s="4" t="s">
        <v>103</v>
      </c>
      <c r="E39" s="4" t="s">
        <v>104</v>
      </c>
      <c r="F39" s="4" t="s">
        <v>105</v>
      </c>
      <c r="G39" s="4" t="s">
        <v>124</v>
      </c>
      <c r="H39" s="4" t="s">
        <v>125</v>
      </c>
      <c r="I39" s="4" t="s">
        <v>108</v>
      </c>
      <c r="J39" s="4" t="s">
        <v>109</v>
      </c>
      <c r="K39" s="4" t="s">
        <v>110</v>
      </c>
      <c r="L39" s="4" t="s">
        <v>111</v>
      </c>
    </row>
    <row r="40" customFormat="false" ht="15" hidden="false" customHeight="false" outlineLevel="0" collapsed="false">
      <c r="A40" s="23" t="n">
        <v>1</v>
      </c>
      <c r="B40" s="23" t="s">
        <v>65</v>
      </c>
      <c r="C40" s="23" t="s">
        <v>15</v>
      </c>
      <c r="D40" s="24" t="n">
        <v>8072.77</v>
      </c>
      <c r="E40" s="24" t="n">
        <v>0</v>
      </c>
      <c r="F40" s="24" t="n">
        <v>8072.77</v>
      </c>
      <c r="G40" s="24" t="n">
        <v>8072.77</v>
      </c>
      <c r="H40" s="24" t="n">
        <v>0</v>
      </c>
      <c r="I40" s="24" t="n">
        <f aca="false">G40+H40</f>
        <v>8072.77</v>
      </c>
      <c r="J40" s="24" t="n">
        <f aca="false">D40-I40</f>
        <v>0</v>
      </c>
      <c r="K40" s="25" t="s">
        <v>116</v>
      </c>
      <c r="L40" s="25" t="s">
        <v>117</v>
      </c>
    </row>
    <row r="41" customFormat="false" ht="15" hidden="false" customHeight="false" outlineLevel="0" collapsed="false">
      <c r="A41" s="23" t="n">
        <v>2</v>
      </c>
      <c r="B41" s="23" t="s">
        <v>66</v>
      </c>
      <c r="C41" s="23" t="s">
        <v>15</v>
      </c>
      <c r="D41" s="24" t="n">
        <v>31388.17</v>
      </c>
      <c r="E41" s="24" t="n">
        <v>0</v>
      </c>
      <c r="F41" s="24" t="n">
        <v>0</v>
      </c>
      <c r="G41" s="24" t="n">
        <v>3661.96</v>
      </c>
      <c r="H41" s="24" t="n">
        <v>1141.39</v>
      </c>
      <c r="I41" s="24" t="n">
        <f aca="false">G41+H41</f>
        <v>4803.35</v>
      </c>
      <c r="J41" s="24" t="n">
        <f aca="false">D41-I41</f>
        <v>26584.82</v>
      </c>
      <c r="K41" s="25" t="s">
        <v>114</v>
      </c>
      <c r="L41" s="25" t="s">
        <v>115</v>
      </c>
    </row>
    <row r="42" customFormat="false" ht="15" hidden="false" customHeight="false" outlineLevel="0" collapsed="false">
      <c r="A42" s="23" t="n">
        <v>3</v>
      </c>
      <c r="B42" s="23" t="s">
        <v>67</v>
      </c>
      <c r="C42" s="23" t="s">
        <v>15</v>
      </c>
      <c r="D42" s="24" t="n">
        <v>78794.38</v>
      </c>
      <c r="E42" s="24" t="n">
        <v>0</v>
      </c>
      <c r="F42" s="24" t="n">
        <v>78794.38</v>
      </c>
      <c r="G42" s="24" t="n">
        <v>78794.38</v>
      </c>
      <c r="H42" s="24" t="n">
        <v>0</v>
      </c>
      <c r="I42" s="24" t="n">
        <f aca="false">G42+H42</f>
        <v>78794.38</v>
      </c>
      <c r="J42" s="24" t="n">
        <f aca="false">D42-I42</f>
        <v>0</v>
      </c>
      <c r="K42" s="25" t="s">
        <v>116</v>
      </c>
      <c r="L42" s="25" t="s">
        <v>117</v>
      </c>
    </row>
    <row r="43" customFormat="false" ht="15" hidden="false" customHeight="false" outlineLevel="0" collapsed="false">
      <c r="A43" s="23" t="n">
        <v>4</v>
      </c>
      <c r="B43" s="23" t="s">
        <v>68</v>
      </c>
      <c r="C43" s="23" t="s">
        <v>15</v>
      </c>
      <c r="D43" s="24" t="n">
        <v>306364.79</v>
      </c>
      <c r="E43" s="24" t="n">
        <v>0</v>
      </c>
      <c r="F43" s="24" t="n">
        <v>0</v>
      </c>
      <c r="G43" s="24" t="n">
        <v>35742.57</v>
      </c>
      <c r="H43" s="24" t="n">
        <v>11140.54</v>
      </c>
      <c r="I43" s="24" t="n">
        <f aca="false">G43+H43</f>
        <v>46883.11</v>
      </c>
      <c r="J43" s="24" t="n">
        <f aca="false">D43-I43</f>
        <v>259481.68</v>
      </c>
      <c r="K43" s="25" t="s">
        <v>114</v>
      </c>
      <c r="L43" s="25" t="s">
        <v>115</v>
      </c>
    </row>
    <row r="44" customFormat="false" ht="15" hidden="false" customHeight="false" outlineLevel="0" collapsed="false">
      <c r="A44" s="23" t="n">
        <v>5</v>
      </c>
      <c r="B44" s="23" t="s">
        <v>69</v>
      </c>
      <c r="C44" s="23" t="s">
        <v>15</v>
      </c>
      <c r="D44" s="24" t="n">
        <v>6004.53</v>
      </c>
      <c r="E44" s="24" t="n">
        <v>0</v>
      </c>
      <c r="F44" s="24" t="n">
        <v>6004.53</v>
      </c>
      <c r="G44" s="24" t="n">
        <v>6004.53</v>
      </c>
      <c r="H44" s="24" t="n">
        <v>0</v>
      </c>
      <c r="I44" s="24" t="n">
        <f aca="false">G44+H44</f>
        <v>6004.53</v>
      </c>
      <c r="J44" s="24" t="n">
        <f aca="false">D44-I44</f>
        <v>0</v>
      </c>
      <c r="K44" s="25" t="s">
        <v>116</v>
      </c>
      <c r="L44" s="25" t="s">
        <v>117</v>
      </c>
    </row>
    <row r="45" customFormat="false" ht="15" hidden="false" customHeight="false" outlineLevel="0" collapsed="false">
      <c r="A45" s="23" t="n">
        <v>6</v>
      </c>
      <c r="B45" s="23" t="s">
        <v>70</v>
      </c>
      <c r="C45" s="23" t="s">
        <v>15</v>
      </c>
      <c r="D45" s="24" t="n">
        <v>23346.58</v>
      </c>
      <c r="E45" s="24" t="n">
        <v>0</v>
      </c>
      <c r="F45" s="24" t="n">
        <v>0</v>
      </c>
      <c r="G45" s="24" t="n">
        <v>2723.78</v>
      </c>
      <c r="H45" s="24" t="n">
        <v>848.97</v>
      </c>
      <c r="I45" s="24" t="n">
        <f aca="false">G45+H45</f>
        <v>3572.75</v>
      </c>
      <c r="J45" s="24" t="n">
        <f aca="false">D45-I45</f>
        <v>19773.83</v>
      </c>
      <c r="K45" s="25" t="s">
        <v>114</v>
      </c>
      <c r="L45" s="25" t="s">
        <v>115</v>
      </c>
    </row>
    <row r="46" customFormat="false" ht="15" hidden="false" customHeight="false" outlineLevel="0" collapsed="false">
      <c r="A46" s="26"/>
      <c r="B46" s="27" t="s">
        <v>39</v>
      </c>
      <c r="C46" s="26"/>
      <c r="D46" s="28" t="n">
        <f aca="false">SUM(D40:D45)</f>
        <v>453971.22</v>
      </c>
      <c r="E46" s="28" t="n">
        <f aca="false">SUM(E40:E45)</f>
        <v>0</v>
      </c>
      <c r="F46" s="28" t="n">
        <f aca="false">SUM(F40:F45)</f>
        <v>92871.68</v>
      </c>
      <c r="G46" s="28" t="n">
        <f aca="false">SUM(G40:G45)</f>
        <v>134999.99</v>
      </c>
      <c r="H46" s="28" t="n">
        <f aca="false">SUM(H40:H45)</f>
        <v>13130.9</v>
      </c>
      <c r="I46" s="28" t="n">
        <f aca="false">SUM(I40:I45)</f>
        <v>148130.89</v>
      </c>
      <c r="J46" s="28" t="n">
        <f aca="false">SUM(J40:J45)</f>
        <v>305840.33</v>
      </c>
      <c r="K46" s="26"/>
      <c r="L46" s="26"/>
    </row>
    <row r="48" customFormat="false" ht="15" hidden="false" customHeight="false" outlineLevel="0" collapsed="false">
      <c r="B48" s="18" t="s">
        <v>127</v>
      </c>
    </row>
    <row r="49" customFormat="false" ht="15" hidden="false" customHeight="false" outlineLevel="0" collapsed="false">
      <c r="B49" s="5" t="s">
        <v>120</v>
      </c>
      <c r="D49" s="6" t="n">
        <f aca="false">I36</f>
        <v>127758.05</v>
      </c>
    </row>
    <row r="50" customFormat="false" ht="15" hidden="false" customHeight="false" outlineLevel="0" collapsed="false">
      <c r="B50" s="5" t="s">
        <v>121</v>
      </c>
      <c r="D50" s="6" t="n">
        <f aca="false">I46</f>
        <v>148130.89</v>
      </c>
    </row>
    <row r="51" customFormat="false" ht="15" hidden="false" customHeight="false" outlineLevel="0" collapsed="false">
      <c r="B51" s="11" t="s">
        <v>127</v>
      </c>
      <c r="D51" s="29" t="n">
        <f aca="false">D49-D50</f>
        <v>-20372.84</v>
      </c>
    </row>
    <row r="53" customFormat="false" ht="15" hidden="false" customHeight="false" outlineLevel="0" collapsed="false">
      <c r="A53" s="10" t="s">
        <v>128</v>
      </c>
    </row>
    <row r="54" customFormat="false" ht="15" hidden="false" customHeight="false" outlineLevel="0" collapsed="false">
      <c r="B54" s="11" t="s">
        <v>159</v>
      </c>
      <c r="D54" s="12" t="n">
        <f aca="false">D91</f>
        <v>453971.22</v>
      </c>
    </row>
    <row r="55" customFormat="false" ht="15" hidden="false" customHeight="false" outlineLevel="0" collapsed="false">
      <c r="B55" s="5" t="s">
        <v>160</v>
      </c>
      <c r="D55" s="6" t="n">
        <f aca="false">F91</f>
        <v>92871.68</v>
      </c>
    </row>
    <row r="56" customFormat="false" ht="15" hidden="false" customHeight="false" outlineLevel="0" collapsed="false">
      <c r="B56" s="30" t="s">
        <v>131</v>
      </c>
      <c r="D56" s="31" t="n">
        <f aca="false">F92</f>
        <v>0.204576140311274</v>
      </c>
    </row>
    <row r="57" customFormat="false" ht="15" hidden="false" customHeight="false" outlineLevel="0" collapsed="false">
      <c r="B57" s="5" t="s">
        <v>161</v>
      </c>
      <c r="D57" s="6" t="n">
        <f aca="false">H91</f>
        <v>361099.54</v>
      </c>
    </row>
    <row r="58" customFormat="false" ht="15" hidden="false" customHeight="false" outlineLevel="0" collapsed="false">
      <c r="B58" s="30" t="s">
        <v>131</v>
      </c>
      <c r="D58" s="31" t="n">
        <f aca="false">H92</f>
        <v>0.795423859688727</v>
      </c>
    </row>
    <row r="60" customFormat="false" ht="15" hidden="false" customHeight="false" outlineLevel="0" collapsed="false">
      <c r="A60" s="10" t="s">
        <v>133</v>
      </c>
    </row>
    <row r="61" customFormat="false" ht="15" hidden="false" customHeight="false" outlineLevel="0" collapsed="false">
      <c r="B61" s="4" t="s">
        <v>134</v>
      </c>
      <c r="D61" s="4" t="s">
        <v>103</v>
      </c>
      <c r="F61" s="4" t="s">
        <v>162</v>
      </c>
      <c r="H61" s="4" t="s">
        <v>136</v>
      </c>
    </row>
    <row r="62" customFormat="false" ht="15" hidden="false" customHeight="false" outlineLevel="0" collapsed="false">
      <c r="B62" s="32" t="s">
        <v>163</v>
      </c>
    </row>
    <row r="63" customFormat="false" ht="15" hidden="false" customHeight="false" outlineLevel="0" collapsed="false">
      <c r="B63" s="5" t="s">
        <v>164</v>
      </c>
      <c r="D63" s="33" t="n">
        <f aca="false">SUM(F63:H63)</f>
        <v>13928.67</v>
      </c>
      <c r="F63" s="33" t="n">
        <v>13928.67</v>
      </c>
    </row>
    <row r="64" customFormat="false" ht="15" hidden="false" customHeight="false" outlineLevel="0" collapsed="false">
      <c r="B64" s="5" t="s">
        <v>165</v>
      </c>
      <c r="D64" s="33" t="n">
        <f aca="false">SUM(F64:H64)</f>
        <v>9008.6</v>
      </c>
      <c r="F64" s="33" t="n">
        <v>9008.6</v>
      </c>
    </row>
    <row r="65" customFormat="false" ht="15" hidden="false" customHeight="false" outlineLevel="0" collapsed="false">
      <c r="B65" s="5" t="s">
        <v>166</v>
      </c>
      <c r="D65" s="33" t="n">
        <f aca="false">SUM(F65:H65)</f>
        <v>32335.99</v>
      </c>
      <c r="F65" s="33" t="n">
        <v>32335.99</v>
      </c>
    </row>
    <row r="66" customFormat="false" ht="15" hidden="false" customHeight="false" outlineLevel="0" collapsed="false">
      <c r="B66" s="5" t="s">
        <v>167</v>
      </c>
      <c r="D66" s="33" t="n">
        <f aca="false">SUM(F66:H66)</f>
        <v>2901.21</v>
      </c>
      <c r="F66" s="33" t="n">
        <v>2901.21</v>
      </c>
    </row>
    <row r="67" customFormat="false" ht="15" hidden="false" customHeight="false" outlineLevel="0" collapsed="false">
      <c r="B67" s="5" t="s">
        <v>195</v>
      </c>
      <c r="D67" s="33" t="n">
        <f aca="false">SUM(F67:H67)</f>
        <v>281.84</v>
      </c>
      <c r="F67" s="33" t="n">
        <v>281.84</v>
      </c>
    </row>
    <row r="68" customFormat="false" ht="15" hidden="false" customHeight="false" outlineLevel="0" collapsed="false">
      <c r="B68" s="5" t="s">
        <v>169</v>
      </c>
      <c r="D68" s="33" t="n">
        <f aca="false">SUM(F68:H68)</f>
        <v>7199.04</v>
      </c>
      <c r="F68" s="33" t="n">
        <v>7199.04</v>
      </c>
    </row>
    <row r="69" customFormat="false" ht="15" hidden="false" customHeight="false" outlineLevel="0" collapsed="false">
      <c r="B69" s="5" t="s">
        <v>170</v>
      </c>
      <c r="D69" s="33" t="n">
        <f aca="false">SUM(F69:H69)</f>
        <v>2824.66</v>
      </c>
      <c r="F69" s="33" t="n">
        <v>2824.66</v>
      </c>
    </row>
    <row r="70" customFormat="false" ht="15" hidden="false" customHeight="false" outlineLevel="0" collapsed="false">
      <c r="B70" s="5" t="s">
        <v>196</v>
      </c>
      <c r="D70" s="33" t="n">
        <f aca="false">SUM(F70:H70)</f>
        <v>10047.72</v>
      </c>
      <c r="F70" s="33" t="n">
        <v>10047.72</v>
      </c>
    </row>
    <row r="71" customFormat="false" ht="15" hidden="false" customHeight="false" outlineLevel="0" collapsed="false">
      <c r="B71" s="5" t="s">
        <v>172</v>
      </c>
      <c r="D71" s="33" t="n">
        <f aca="false">SUM(F71:H71)</f>
        <v>1797.27</v>
      </c>
      <c r="F71" s="33" t="n">
        <v>1797.27</v>
      </c>
    </row>
    <row r="72" customFormat="false" ht="15" hidden="false" customHeight="false" outlineLevel="0" collapsed="false">
      <c r="B72" s="5" t="s">
        <v>174</v>
      </c>
      <c r="D72" s="33" t="n">
        <f aca="false">SUM(F72:H72)</f>
        <v>12546.68</v>
      </c>
      <c r="F72" s="33" t="n">
        <v>12546.68</v>
      </c>
    </row>
    <row r="73" customFormat="false" ht="15" hidden="false" customHeight="false" outlineLevel="0" collapsed="false">
      <c r="B73" s="32" t="s">
        <v>175</v>
      </c>
    </row>
    <row r="74" customFormat="false" ht="15" hidden="false" customHeight="false" outlineLevel="0" collapsed="false">
      <c r="B74" s="5" t="s">
        <v>176</v>
      </c>
      <c r="D74" s="33" t="n">
        <f aca="false">SUM(F74:H74)</f>
        <v>13679.1</v>
      </c>
      <c r="H74" s="33" t="n">
        <v>13679.1</v>
      </c>
    </row>
    <row r="75" customFormat="false" ht="15" hidden="false" customHeight="false" outlineLevel="0" collapsed="false">
      <c r="B75" s="5" t="s">
        <v>177</v>
      </c>
      <c r="D75" s="33" t="n">
        <f aca="false">SUM(F75:H75)</f>
        <v>22351.4</v>
      </c>
      <c r="H75" s="33" t="n">
        <v>22351.4</v>
      </c>
    </row>
    <row r="76" customFormat="false" ht="15" hidden="false" customHeight="false" outlineLevel="0" collapsed="false">
      <c r="B76" s="5" t="s">
        <v>178</v>
      </c>
      <c r="D76" s="33" t="n">
        <f aca="false">SUM(F76:H76)</f>
        <v>31741.18</v>
      </c>
      <c r="H76" s="33" t="n">
        <v>31741.18</v>
      </c>
    </row>
    <row r="77" customFormat="false" ht="15" hidden="false" customHeight="false" outlineLevel="0" collapsed="false">
      <c r="B77" s="5" t="s">
        <v>179</v>
      </c>
      <c r="D77" s="33" t="n">
        <f aca="false">SUM(F77:H77)</f>
        <v>34363.44</v>
      </c>
      <c r="H77" s="33" t="n">
        <v>34363.44</v>
      </c>
    </row>
    <row r="78" customFormat="false" ht="15" hidden="false" customHeight="false" outlineLevel="0" collapsed="false">
      <c r="B78" s="5" t="s">
        <v>180</v>
      </c>
      <c r="D78" s="33" t="n">
        <f aca="false">SUM(F78:H78)</f>
        <v>27592.44</v>
      </c>
      <c r="H78" s="33" t="n">
        <v>27592.44</v>
      </c>
    </row>
    <row r="79" customFormat="false" ht="15" hidden="false" customHeight="false" outlineLevel="0" collapsed="false">
      <c r="B79" s="5" t="s">
        <v>181</v>
      </c>
      <c r="D79" s="33" t="n">
        <f aca="false">SUM(F79:H79)</f>
        <v>2132.75</v>
      </c>
      <c r="H79" s="33" t="n">
        <v>2132.75</v>
      </c>
    </row>
    <row r="80" customFormat="false" ht="15" hidden="false" customHeight="false" outlineLevel="0" collapsed="false">
      <c r="B80" s="5" t="s">
        <v>182</v>
      </c>
      <c r="D80" s="33" t="n">
        <f aca="false">SUM(F80:H80)</f>
        <v>38791.31</v>
      </c>
      <c r="H80" s="33" t="n">
        <v>38791.31</v>
      </c>
    </row>
    <row r="81" customFormat="false" ht="15" hidden="false" customHeight="false" outlineLevel="0" collapsed="false">
      <c r="B81" s="5" t="s">
        <v>183</v>
      </c>
      <c r="D81" s="33" t="n">
        <f aca="false">SUM(F81:H81)</f>
        <v>26943.94</v>
      </c>
      <c r="H81" s="33" t="n">
        <v>26943.94</v>
      </c>
    </row>
    <row r="82" customFormat="false" ht="15" hidden="false" customHeight="false" outlineLevel="0" collapsed="false">
      <c r="B82" s="5" t="s">
        <v>184</v>
      </c>
      <c r="D82" s="33" t="n">
        <f aca="false">SUM(F82:H82)</f>
        <v>12787.3</v>
      </c>
      <c r="H82" s="33" t="n">
        <v>12787.3</v>
      </c>
    </row>
    <row r="83" customFormat="false" ht="15" hidden="false" customHeight="false" outlineLevel="0" collapsed="false">
      <c r="B83" s="5" t="s">
        <v>185</v>
      </c>
      <c r="D83" s="33" t="n">
        <f aca="false">SUM(F83:H83)</f>
        <v>14401.19</v>
      </c>
      <c r="H83" s="33" t="n">
        <v>14401.19</v>
      </c>
    </row>
    <row r="84" customFormat="false" ht="15" hidden="false" customHeight="false" outlineLevel="0" collapsed="false">
      <c r="B84" s="5" t="s">
        <v>186</v>
      </c>
      <c r="D84" s="33" t="n">
        <f aca="false">SUM(F84:H84)</f>
        <v>39311.25</v>
      </c>
      <c r="H84" s="33" t="n">
        <v>39311.25</v>
      </c>
    </row>
    <row r="85" customFormat="false" ht="15" hidden="false" customHeight="false" outlineLevel="0" collapsed="false">
      <c r="B85" s="5" t="s">
        <v>187</v>
      </c>
      <c r="D85" s="33" t="n">
        <f aca="false">SUM(F85:H85)</f>
        <v>16831.85</v>
      </c>
      <c r="H85" s="33" t="n">
        <v>16831.85</v>
      </c>
    </row>
    <row r="86" customFormat="false" ht="15" hidden="false" customHeight="false" outlineLevel="0" collapsed="false">
      <c r="B86" s="5" t="s">
        <v>188</v>
      </c>
      <c r="D86" s="33" t="n">
        <f aca="false">SUM(F86:H86)</f>
        <v>1717.64</v>
      </c>
      <c r="H86" s="33" t="n">
        <v>1717.64</v>
      </c>
    </row>
    <row r="87" customFormat="false" ht="15" hidden="false" customHeight="false" outlineLevel="0" collapsed="false">
      <c r="B87" s="5" t="s">
        <v>190</v>
      </c>
      <c r="D87" s="33" t="n">
        <f aca="false">SUM(F87:H87)</f>
        <v>55823.33</v>
      </c>
      <c r="H87" s="33" t="n">
        <v>55823.33</v>
      </c>
    </row>
    <row r="88" customFormat="false" ht="15" hidden="false" customHeight="false" outlineLevel="0" collapsed="false">
      <c r="B88" s="5" t="s">
        <v>191</v>
      </c>
      <c r="D88" s="33" t="n">
        <f aca="false">SUM(F88:H88)</f>
        <v>16018.5</v>
      </c>
      <c r="H88" s="33" t="n">
        <v>16018.5</v>
      </c>
    </row>
    <row r="89" customFormat="false" ht="15" hidden="false" customHeight="false" outlineLevel="0" collapsed="false">
      <c r="B89" s="5" t="s">
        <v>193</v>
      </c>
      <c r="D89" s="33" t="n">
        <f aca="false">SUM(F89:H89)</f>
        <v>3863.69</v>
      </c>
      <c r="H89" s="33" t="n">
        <v>3863.69</v>
      </c>
    </row>
    <row r="90" customFormat="false" ht="15" hidden="false" customHeight="false" outlineLevel="0" collapsed="false">
      <c r="B90" s="5" t="s">
        <v>197</v>
      </c>
      <c r="D90" s="33" t="n">
        <f aca="false">SUM(F90:H90)</f>
        <v>2749.23</v>
      </c>
      <c r="H90" s="33" t="n">
        <v>2749.23</v>
      </c>
    </row>
    <row r="91" customFormat="false" ht="15" hidden="false" customHeight="false" outlineLevel="0" collapsed="false">
      <c r="B91" s="11" t="s">
        <v>159</v>
      </c>
      <c r="D91" s="34" t="n">
        <f aca="false">SUM(D62:D90)</f>
        <v>453971.22</v>
      </c>
      <c r="F91" s="34" t="n">
        <f aca="false">SUM(F62:F90)</f>
        <v>92871.68</v>
      </c>
      <c r="H91" s="34" t="n">
        <f aca="false">SUM(H62:H90)</f>
        <v>361099.54</v>
      </c>
    </row>
    <row r="92" customFormat="false" ht="15" hidden="false" customHeight="false" outlineLevel="0" collapsed="false">
      <c r="B92" s="30" t="s">
        <v>131</v>
      </c>
      <c r="F92" s="31" t="n">
        <f aca="false">F91/D91</f>
        <v>0.204576140311274</v>
      </c>
      <c r="H92" s="31" t="n">
        <f aca="false">H91/D91</f>
        <v>0.795423859688727</v>
      </c>
    </row>
    <row r="94" customFormat="false" ht="15" hidden="false" customHeight="false" outlineLevel="0" collapsed="false">
      <c r="A94" s="10" t="s">
        <v>154</v>
      </c>
    </row>
    <row r="95" customFormat="false" ht="15" hidden="false" customHeight="false" outlineLevel="0" collapsed="false">
      <c r="B95" s="4" t="s">
        <v>155</v>
      </c>
      <c r="D95" s="4" t="s">
        <v>103</v>
      </c>
      <c r="F95" s="4" t="s">
        <v>162</v>
      </c>
      <c r="H95" s="4" t="s">
        <v>136</v>
      </c>
    </row>
    <row r="96" customFormat="false" ht="15" hidden="false" customHeight="false" outlineLevel="0" collapsed="false">
      <c r="B96" s="5" t="str">
        <f aca="false">'Building 3'!B17</f>
        <v>2 - Land Imp - Peter St - 3 - 5yr</v>
      </c>
      <c r="D96" s="33" t="n">
        <f aca="false">SUM(F96:H96)</f>
        <v>8072.77</v>
      </c>
      <c r="F96" s="33" t="n">
        <f aca="false">'Building 3'!D17</f>
        <v>8072.77</v>
      </c>
    </row>
    <row r="97" customFormat="false" ht="15" hidden="false" customHeight="false" outlineLevel="0" collapsed="false">
      <c r="B97" s="5" t="str">
        <f aca="false">'Building 3'!B18</f>
        <v>2 - Land Imp - Peter St - 3 - 27.5yr</v>
      </c>
      <c r="D97" s="33" t="n">
        <f aca="false">SUM(F97:H97)</f>
        <v>31388.17</v>
      </c>
      <c r="H97" s="33" t="n">
        <f aca="false">'Building 3'!D18</f>
        <v>31388.17</v>
      </c>
    </row>
    <row r="98" customFormat="false" ht="15" hidden="false" customHeight="false" outlineLevel="0" collapsed="false">
      <c r="B98" s="5" t="str">
        <f aca="false">'Building 3'!B19</f>
        <v>3 - Building - Peter St - 3 - 5yr</v>
      </c>
      <c r="D98" s="33" t="n">
        <f aca="false">SUM(F98:H98)</f>
        <v>78794.38</v>
      </c>
      <c r="F98" s="33" t="n">
        <f aca="false">'Building 3'!D19</f>
        <v>78794.38</v>
      </c>
    </row>
    <row r="99" customFormat="false" ht="15" hidden="false" customHeight="false" outlineLevel="0" collapsed="false">
      <c r="B99" s="5" t="str">
        <f aca="false">'Building 3'!B20</f>
        <v>3 - Building - Peter St - 3 - 27.5yr</v>
      </c>
      <c r="D99" s="33" t="n">
        <f aca="false">SUM(F99:H99)</f>
        <v>306364.79</v>
      </c>
      <c r="H99" s="33" t="n">
        <f aca="false">'Building 3'!D20</f>
        <v>306364.79</v>
      </c>
    </row>
    <row r="100" customFormat="false" ht="15" hidden="false" customHeight="false" outlineLevel="0" collapsed="false">
      <c r="B100" s="5" t="str">
        <f aca="false">'Building 3'!B21</f>
        <v>4 - Equipment - Peter St - 3 - 5yr</v>
      </c>
      <c r="D100" s="33" t="n">
        <f aca="false">SUM(F100:H100)</f>
        <v>6004.53</v>
      </c>
      <c r="F100" s="33" t="n">
        <f aca="false">'Building 3'!D21</f>
        <v>6004.53</v>
      </c>
    </row>
    <row r="101" customFormat="false" ht="15" hidden="false" customHeight="false" outlineLevel="0" collapsed="false">
      <c r="B101" s="5" t="str">
        <f aca="false">'Building 3'!B22</f>
        <v>4 - Equipment - Peter St - 3 - 27.5yr</v>
      </c>
      <c r="D101" s="33" t="n">
        <f aca="false">SUM(F101:H101)</f>
        <v>23346.58</v>
      </c>
      <c r="H101" s="33" t="n">
        <f aca="false">'Building 3'!D22</f>
        <v>23346.58</v>
      </c>
    </row>
    <row r="102" customFormat="false" ht="15" hidden="false" customHeight="false" outlineLevel="0" collapsed="false">
      <c r="B102" s="11" t="s">
        <v>156</v>
      </c>
      <c r="D102" s="34" t="n">
        <f aca="false">SUM(D96:D101)</f>
        <v>453971.22</v>
      </c>
      <c r="F102" s="34" t="n">
        <f aca="false">SUM(F96:F101)</f>
        <v>92871.68</v>
      </c>
      <c r="H102" s="34" t="n">
        <f aca="false">SUM(H96:H101)</f>
        <v>361099.54</v>
      </c>
    </row>
    <row r="103" customFormat="false" ht="15" hidden="false" customHeight="false" outlineLevel="0" collapsed="false">
      <c r="B103" s="16" t="s">
        <v>157</v>
      </c>
      <c r="D103" s="17" t="n">
        <f aca="false">D102-D91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200</v>
      </c>
    </row>
    <row r="5" customFormat="false" ht="15" hidden="false" customHeight="false" outlineLevel="0" collapsed="false">
      <c r="A5" s="16" t="s">
        <v>97</v>
      </c>
    </row>
    <row r="7" customFormat="false" ht="15" hidden="false" customHeight="false" outlineLevel="0" collapsed="false">
      <c r="A7" s="10" t="s">
        <v>98</v>
      </c>
    </row>
    <row r="8" customFormat="false" ht="15" hidden="false" customHeight="false" outlineLevel="0" collapsed="false">
      <c r="A8" s="21" t="s">
        <v>99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100</v>
      </c>
      <c r="B9" s="4" t="s">
        <v>101</v>
      </c>
      <c r="C9" s="4" t="s">
        <v>102</v>
      </c>
      <c r="D9" s="4" t="s">
        <v>103</v>
      </c>
      <c r="E9" s="4" t="s">
        <v>104</v>
      </c>
      <c r="F9" s="4" t="s">
        <v>105</v>
      </c>
      <c r="G9" s="4" t="s">
        <v>106</v>
      </c>
      <c r="H9" s="4" t="s">
        <v>107</v>
      </c>
      <c r="I9" s="4" t="s">
        <v>108</v>
      </c>
      <c r="J9" s="4" t="s">
        <v>109</v>
      </c>
      <c r="K9" s="4" t="s">
        <v>110</v>
      </c>
      <c r="L9" s="4" t="s">
        <v>111</v>
      </c>
    </row>
    <row r="10" customFormat="false" ht="15" hidden="false" customHeight="false" outlineLevel="0" collapsed="false">
      <c r="A10" s="23" t="n">
        <v>1</v>
      </c>
      <c r="B10" s="23" t="s">
        <v>31</v>
      </c>
      <c r="C10" s="23" t="s">
        <v>15</v>
      </c>
      <c r="D10" s="24" t="n">
        <v>40404.35</v>
      </c>
      <c r="E10" s="24" t="n">
        <v>0</v>
      </c>
      <c r="F10" s="24" t="n">
        <v>40404.35</v>
      </c>
      <c r="G10" s="24" t="n">
        <v>40404.35</v>
      </c>
      <c r="H10" s="24" t="n">
        <v>0</v>
      </c>
      <c r="I10" s="24" t="n">
        <f aca="false">G10+H10</f>
        <v>40404.35</v>
      </c>
      <c r="J10" s="24" t="n">
        <f aca="false">D10-I10</f>
        <v>0</v>
      </c>
      <c r="K10" s="25" t="s">
        <v>112</v>
      </c>
      <c r="L10" s="25" t="s">
        <v>113</v>
      </c>
    </row>
    <row r="11" customFormat="false" ht="15" hidden="false" customHeight="false" outlineLevel="0" collapsed="false">
      <c r="A11" s="23" t="n">
        <v>2</v>
      </c>
      <c r="B11" s="23" t="s">
        <v>32</v>
      </c>
      <c r="C11" s="23" t="s">
        <v>15</v>
      </c>
      <c r="D11" s="24" t="n">
        <v>394367.34</v>
      </c>
      <c r="E11" s="24" t="n">
        <v>0</v>
      </c>
      <c r="F11" s="24" t="n">
        <v>0</v>
      </c>
      <c r="G11" s="24" t="n">
        <v>46014.55</v>
      </c>
      <c r="H11" s="24" t="n">
        <v>14340.71</v>
      </c>
      <c r="I11" s="24" t="n">
        <f aca="false">G11+H11</f>
        <v>60355.26</v>
      </c>
      <c r="J11" s="24" t="n">
        <f aca="false">D11-I11</f>
        <v>334012.08</v>
      </c>
      <c r="K11" s="25" t="s">
        <v>114</v>
      </c>
      <c r="L11" s="25" t="s">
        <v>115</v>
      </c>
    </row>
    <row r="12" customFormat="false" ht="15" hidden="false" customHeight="false" outlineLevel="0" collapsed="false">
      <c r="A12" s="23" t="n">
        <v>3</v>
      </c>
      <c r="B12" s="23" t="s">
        <v>33</v>
      </c>
      <c r="C12" s="23" t="s">
        <v>15</v>
      </c>
      <c r="D12" s="24" t="n">
        <v>30052.82</v>
      </c>
      <c r="E12" s="24" t="n">
        <v>0</v>
      </c>
      <c r="F12" s="24" t="n">
        <v>30052.82</v>
      </c>
      <c r="G12" s="24" t="n">
        <v>30052.82</v>
      </c>
      <c r="H12" s="24" t="n">
        <v>0</v>
      </c>
      <c r="I12" s="24" t="n">
        <f aca="false">G12+H12</f>
        <v>30052.82</v>
      </c>
      <c r="J12" s="24" t="n">
        <f aca="false">D12-I12</f>
        <v>0</v>
      </c>
      <c r="K12" s="25" t="s">
        <v>116</v>
      </c>
      <c r="L12" s="25" t="s">
        <v>117</v>
      </c>
    </row>
    <row r="13" customFormat="false" ht="15" hidden="false" customHeight="false" outlineLevel="0" collapsed="false">
      <c r="A13" s="26"/>
      <c r="B13" s="27" t="s">
        <v>39</v>
      </c>
      <c r="C13" s="26"/>
      <c r="D13" s="28" t="n">
        <f aca="false">SUM(D10:D12)</f>
        <v>464824.51</v>
      </c>
      <c r="E13" s="28" t="n">
        <f aca="false">SUM(E10:E12)</f>
        <v>0</v>
      </c>
      <c r="F13" s="28" t="n">
        <f aca="false">SUM(F10:F12)</f>
        <v>70457.17</v>
      </c>
      <c r="G13" s="28" t="n">
        <f aca="false">SUM(G10:G12)</f>
        <v>116471.72</v>
      </c>
      <c r="H13" s="28" t="n">
        <f aca="false">SUM(H10:H12)</f>
        <v>14340.71</v>
      </c>
      <c r="I13" s="28" t="n">
        <f aca="false">SUM(I10:I12)</f>
        <v>130812.43</v>
      </c>
      <c r="J13" s="28" t="n">
        <f aca="false">SUM(J10:J12)</f>
        <v>334012.08</v>
      </c>
      <c r="K13" s="26"/>
      <c r="L13" s="26"/>
    </row>
    <row r="15" customFormat="false" ht="15" hidden="false" customHeight="false" outlineLevel="0" collapsed="false">
      <c r="A15" s="21" t="s">
        <v>118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100</v>
      </c>
      <c r="B16" s="4" t="s">
        <v>101</v>
      </c>
      <c r="C16" s="4" t="s">
        <v>102</v>
      </c>
      <c r="D16" s="4" t="s">
        <v>103</v>
      </c>
      <c r="E16" s="4" t="s">
        <v>104</v>
      </c>
      <c r="F16" s="4" t="s">
        <v>105</v>
      </c>
      <c r="G16" s="4" t="s">
        <v>106</v>
      </c>
      <c r="H16" s="4" t="s">
        <v>107</v>
      </c>
      <c r="I16" s="4" t="s">
        <v>108</v>
      </c>
      <c r="J16" s="4" t="s">
        <v>109</v>
      </c>
      <c r="K16" s="4" t="s">
        <v>110</v>
      </c>
      <c r="L16" s="4" t="s">
        <v>111</v>
      </c>
    </row>
    <row r="17" customFormat="false" ht="15" hidden="false" customHeight="false" outlineLevel="0" collapsed="false">
      <c r="A17" s="23" t="n">
        <v>1</v>
      </c>
      <c r="B17" s="23" t="s">
        <v>71</v>
      </c>
      <c r="C17" s="23" t="s">
        <v>15</v>
      </c>
      <c r="D17" s="24" t="n">
        <v>8405.66</v>
      </c>
      <c r="E17" s="24" t="n">
        <v>0</v>
      </c>
      <c r="F17" s="24" t="n">
        <v>8405.66</v>
      </c>
      <c r="G17" s="24" t="n">
        <v>8405.66</v>
      </c>
      <c r="H17" s="24" t="n">
        <v>0</v>
      </c>
      <c r="I17" s="24" t="n">
        <f aca="false">G17+H17</f>
        <v>8405.66</v>
      </c>
      <c r="J17" s="24" t="n">
        <f aca="false">D17-I17</f>
        <v>0</v>
      </c>
      <c r="K17" s="25" t="s">
        <v>116</v>
      </c>
      <c r="L17" s="25" t="s">
        <v>117</v>
      </c>
    </row>
    <row r="18" customFormat="false" ht="15" hidden="false" customHeight="false" outlineLevel="0" collapsed="false">
      <c r="A18" s="23" t="n">
        <v>2</v>
      </c>
      <c r="B18" s="23" t="s">
        <v>72</v>
      </c>
      <c r="C18" s="23" t="s">
        <v>15</v>
      </c>
      <c r="D18" s="24" t="n">
        <v>31998.69</v>
      </c>
      <c r="E18" s="24" t="n">
        <v>0</v>
      </c>
      <c r="F18" s="24" t="n">
        <v>0</v>
      </c>
      <c r="G18" s="24" t="n">
        <v>3733.18</v>
      </c>
      <c r="H18" s="24" t="n">
        <v>1163.59</v>
      </c>
      <c r="I18" s="24" t="n">
        <f aca="false">G18+H18</f>
        <v>4896.77</v>
      </c>
      <c r="J18" s="24" t="n">
        <f aca="false">D18-I18</f>
        <v>27101.92</v>
      </c>
      <c r="K18" s="25" t="s">
        <v>114</v>
      </c>
      <c r="L18" s="25" t="s">
        <v>115</v>
      </c>
    </row>
    <row r="19" customFormat="false" ht="15" hidden="false" customHeight="false" outlineLevel="0" collapsed="false">
      <c r="A19" s="23" t="n">
        <v>3</v>
      </c>
      <c r="B19" s="23" t="s">
        <v>73</v>
      </c>
      <c r="C19" s="23" t="s">
        <v>15</v>
      </c>
      <c r="D19" s="24" t="n">
        <v>82043.63</v>
      </c>
      <c r="E19" s="24" t="n">
        <v>0</v>
      </c>
      <c r="F19" s="24" t="n">
        <v>82043.63</v>
      </c>
      <c r="G19" s="24" t="n">
        <v>82043.63</v>
      </c>
      <c r="H19" s="24" t="n">
        <v>0</v>
      </c>
      <c r="I19" s="24" t="n">
        <f aca="false">G19+H19</f>
        <v>82043.63</v>
      </c>
      <c r="J19" s="24" t="n">
        <f aca="false">D19-I19</f>
        <v>0</v>
      </c>
      <c r="K19" s="25" t="s">
        <v>116</v>
      </c>
      <c r="L19" s="25" t="s">
        <v>117</v>
      </c>
    </row>
    <row r="20" customFormat="false" ht="15" hidden="false" customHeight="false" outlineLevel="0" collapsed="false">
      <c r="A20" s="23" t="n">
        <v>4</v>
      </c>
      <c r="B20" s="23" t="s">
        <v>74</v>
      </c>
      <c r="C20" s="23" t="s">
        <v>15</v>
      </c>
      <c r="D20" s="24" t="n">
        <v>312323.71</v>
      </c>
      <c r="E20" s="24" t="n">
        <v>0</v>
      </c>
      <c r="F20" s="24" t="n">
        <v>0</v>
      </c>
      <c r="G20" s="24" t="n">
        <v>36437.78</v>
      </c>
      <c r="H20" s="24" t="n">
        <v>11357.23</v>
      </c>
      <c r="I20" s="24" t="n">
        <f aca="false">G20+H20</f>
        <v>47795.01</v>
      </c>
      <c r="J20" s="24" t="n">
        <f aca="false">D20-I20</f>
        <v>264528.7</v>
      </c>
      <c r="K20" s="25" t="s">
        <v>114</v>
      </c>
      <c r="L20" s="25" t="s">
        <v>115</v>
      </c>
    </row>
    <row r="21" customFormat="false" ht="15" hidden="false" customHeight="false" outlineLevel="0" collapsed="false">
      <c r="A21" s="23" t="n">
        <v>5</v>
      </c>
      <c r="B21" s="23" t="s">
        <v>75</v>
      </c>
      <c r="C21" s="23" t="s">
        <v>15</v>
      </c>
      <c r="D21" s="24" t="n">
        <v>6252.15</v>
      </c>
      <c r="E21" s="24" t="n">
        <v>0</v>
      </c>
      <c r="F21" s="24" t="n">
        <v>6252.15</v>
      </c>
      <c r="G21" s="24" t="n">
        <v>6252.15</v>
      </c>
      <c r="H21" s="24" t="n">
        <v>0</v>
      </c>
      <c r="I21" s="24" t="n">
        <f aca="false">G21+H21</f>
        <v>6252.15</v>
      </c>
      <c r="J21" s="24" t="n">
        <f aca="false">D21-I21</f>
        <v>0</v>
      </c>
      <c r="K21" s="25" t="s">
        <v>116</v>
      </c>
      <c r="L21" s="25" t="s">
        <v>117</v>
      </c>
    </row>
    <row r="22" customFormat="false" ht="15" hidden="false" customHeight="false" outlineLevel="0" collapsed="false">
      <c r="A22" s="23" t="n">
        <v>6</v>
      </c>
      <c r="B22" s="23" t="s">
        <v>76</v>
      </c>
      <c r="C22" s="23" t="s">
        <v>15</v>
      </c>
      <c r="D22" s="24" t="n">
        <v>23800.67</v>
      </c>
      <c r="E22" s="24" t="n">
        <v>0</v>
      </c>
      <c r="F22" s="24" t="n">
        <v>0</v>
      </c>
      <c r="G22" s="24" t="n">
        <v>2776.75</v>
      </c>
      <c r="H22" s="24" t="n">
        <v>865.48</v>
      </c>
      <c r="I22" s="24" t="n">
        <f aca="false">G22+H22</f>
        <v>3642.23</v>
      </c>
      <c r="J22" s="24" t="n">
        <f aca="false">D22-I22</f>
        <v>20158.44</v>
      </c>
      <c r="K22" s="25" t="s">
        <v>114</v>
      </c>
      <c r="L22" s="25" t="s">
        <v>115</v>
      </c>
    </row>
    <row r="23" customFormat="false" ht="15" hidden="false" customHeight="false" outlineLevel="0" collapsed="false">
      <c r="A23" s="26"/>
      <c r="B23" s="27" t="s">
        <v>39</v>
      </c>
      <c r="C23" s="26"/>
      <c r="D23" s="28" t="n">
        <f aca="false">SUM(D17:D22)</f>
        <v>464824.51</v>
      </c>
      <c r="E23" s="28" t="n">
        <f aca="false">SUM(E17:E22)</f>
        <v>0</v>
      </c>
      <c r="F23" s="28" t="n">
        <f aca="false">SUM(F17:F22)</f>
        <v>96701.44</v>
      </c>
      <c r="G23" s="28" t="n">
        <f aca="false">SUM(G17:G22)</f>
        <v>139649.15</v>
      </c>
      <c r="H23" s="28" t="n">
        <f aca="false">SUM(H17:H22)</f>
        <v>13386.3</v>
      </c>
      <c r="I23" s="28" t="n">
        <f aca="false">SUM(I17:I22)</f>
        <v>153035.45</v>
      </c>
      <c r="J23" s="28" t="n">
        <f aca="false">SUM(J17:J22)</f>
        <v>311789.06</v>
      </c>
      <c r="K23" s="26"/>
      <c r="L23" s="26"/>
    </row>
    <row r="25" customFormat="false" ht="15" hidden="false" customHeight="false" outlineLevel="0" collapsed="false">
      <c r="B25" s="18" t="s">
        <v>119</v>
      </c>
    </row>
    <row r="26" customFormat="false" ht="15" hidden="false" customHeight="false" outlineLevel="0" collapsed="false">
      <c r="B26" s="5" t="s">
        <v>120</v>
      </c>
      <c r="D26" s="6" t="n">
        <f aca="false">I13</f>
        <v>130812.43</v>
      </c>
    </row>
    <row r="27" customFormat="false" ht="15" hidden="false" customHeight="false" outlineLevel="0" collapsed="false">
      <c r="B27" s="5" t="s">
        <v>121</v>
      </c>
      <c r="D27" s="6" t="n">
        <f aca="false">I23</f>
        <v>153035.45</v>
      </c>
    </row>
    <row r="28" customFormat="false" ht="15" hidden="false" customHeight="false" outlineLevel="0" collapsed="false">
      <c r="B28" s="11" t="s">
        <v>119</v>
      </c>
      <c r="D28" s="29" t="n">
        <f aca="false">D26-D27</f>
        <v>-22223.02</v>
      </c>
    </row>
    <row r="30" customFormat="false" ht="15" hidden="false" customHeight="false" outlineLevel="0" collapsed="false">
      <c r="A30" s="10" t="s">
        <v>122</v>
      </c>
    </row>
    <row r="31" customFormat="false" ht="15" hidden="false" customHeight="false" outlineLevel="0" collapsed="false">
      <c r="A31" s="21" t="s">
        <v>123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100</v>
      </c>
      <c r="B32" s="4" t="s">
        <v>101</v>
      </c>
      <c r="C32" s="4" t="s">
        <v>102</v>
      </c>
      <c r="D32" s="4" t="s">
        <v>103</v>
      </c>
      <c r="E32" s="4" t="s">
        <v>104</v>
      </c>
      <c r="F32" s="4" t="s">
        <v>105</v>
      </c>
      <c r="G32" s="4" t="s">
        <v>124</v>
      </c>
      <c r="H32" s="4" t="s">
        <v>125</v>
      </c>
      <c r="I32" s="4" t="s">
        <v>108</v>
      </c>
      <c r="J32" s="4" t="s">
        <v>109</v>
      </c>
      <c r="K32" s="4" t="s">
        <v>110</v>
      </c>
      <c r="L32" s="4" t="s">
        <v>111</v>
      </c>
    </row>
    <row r="33" customFormat="false" ht="15" hidden="false" customHeight="false" outlineLevel="0" collapsed="false">
      <c r="A33" s="23" t="n">
        <v>1</v>
      </c>
      <c r="B33" s="23" t="s">
        <v>31</v>
      </c>
      <c r="C33" s="23" t="s">
        <v>15</v>
      </c>
      <c r="D33" s="24" t="n">
        <v>40404.35</v>
      </c>
      <c r="E33" s="24" t="n">
        <v>0</v>
      </c>
      <c r="F33" s="24" t="n">
        <v>40404.35</v>
      </c>
      <c r="G33" s="24" t="n">
        <v>40404.35</v>
      </c>
      <c r="H33" s="24" t="n">
        <v>0</v>
      </c>
      <c r="I33" s="24" t="n">
        <f aca="false">G33+H33</f>
        <v>40404.35</v>
      </c>
      <c r="J33" s="24" t="n">
        <f aca="false">D33-I33</f>
        <v>0</v>
      </c>
      <c r="K33" s="25" t="s">
        <v>112</v>
      </c>
      <c r="L33" s="25" t="s">
        <v>113</v>
      </c>
    </row>
    <row r="34" customFormat="false" ht="15" hidden="false" customHeight="false" outlineLevel="0" collapsed="false">
      <c r="A34" s="23" t="n">
        <v>2</v>
      </c>
      <c r="B34" s="23" t="s">
        <v>32</v>
      </c>
      <c r="C34" s="23" t="s">
        <v>15</v>
      </c>
      <c r="D34" s="24" t="n">
        <v>394367.34</v>
      </c>
      <c r="E34" s="24" t="n">
        <v>0</v>
      </c>
      <c r="F34" s="24" t="n">
        <v>0</v>
      </c>
      <c r="G34" s="24" t="n">
        <v>46014.55</v>
      </c>
      <c r="H34" s="24" t="n">
        <v>14340.71</v>
      </c>
      <c r="I34" s="24" t="n">
        <f aca="false">G34+H34</f>
        <v>60355.26</v>
      </c>
      <c r="J34" s="24" t="n">
        <f aca="false">D34-I34</f>
        <v>334012.08</v>
      </c>
      <c r="K34" s="25" t="s">
        <v>114</v>
      </c>
      <c r="L34" s="25" t="s">
        <v>115</v>
      </c>
    </row>
    <row r="35" customFormat="false" ht="15" hidden="false" customHeight="false" outlineLevel="0" collapsed="false">
      <c r="A35" s="23" t="n">
        <v>3</v>
      </c>
      <c r="B35" s="23" t="s">
        <v>33</v>
      </c>
      <c r="C35" s="23" t="s">
        <v>15</v>
      </c>
      <c r="D35" s="24" t="n">
        <v>30052.82</v>
      </c>
      <c r="E35" s="24" t="n">
        <v>0</v>
      </c>
      <c r="F35" s="24" t="n">
        <v>30052.82</v>
      </c>
      <c r="G35" s="24" t="n">
        <v>30052.82</v>
      </c>
      <c r="H35" s="24" t="n">
        <v>0</v>
      </c>
      <c r="I35" s="24" t="n">
        <f aca="false">G35+H35</f>
        <v>30052.82</v>
      </c>
      <c r="J35" s="24" t="n">
        <f aca="false">D35-I35</f>
        <v>0</v>
      </c>
      <c r="K35" s="25" t="s">
        <v>116</v>
      </c>
      <c r="L35" s="25" t="s">
        <v>117</v>
      </c>
    </row>
    <row r="36" customFormat="false" ht="15" hidden="false" customHeight="false" outlineLevel="0" collapsed="false">
      <c r="A36" s="26"/>
      <c r="B36" s="27" t="s">
        <v>39</v>
      </c>
      <c r="C36" s="26"/>
      <c r="D36" s="28" t="n">
        <f aca="false">SUM(D33:D35)</f>
        <v>464824.51</v>
      </c>
      <c r="E36" s="28" t="n">
        <f aca="false">SUM(E33:E35)</f>
        <v>0</v>
      </c>
      <c r="F36" s="28" t="n">
        <f aca="false">SUM(F33:F35)</f>
        <v>70457.17</v>
      </c>
      <c r="G36" s="28" t="n">
        <f aca="false">SUM(G33:G35)</f>
        <v>116471.72</v>
      </c>
      <c r="H36" s="28" t="n">
        <f aca="false">SUM(H33:H35)</f>
        <v>14340.71</v>
      </c>
      <c r="I36" s="28" t="n">
        <f aca="false">SUM(I33:I35)</f>
        <v>130812.43</v>
      </c>
      <c r="J36" s="28" t="n">
        <f aca="false">SUM(J33:J35)</f>
        <v>334012.08</v>
      </c>
      <c r="K36" s="26"/>
      <c r="L36" s="26"/>
    </row>
    <row r="38" customFormat="false" ht="15" hidden="false" customHeight="false" outlineLevel="0" collapsed="false">
      <c r="A38" s="21" t="s">
        <v>126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100</v>
      </c>
      <c r="B39" s="4" t="s">
        <v>101</v>
      </c>
      <c r="C39" s="4" t="s">
        <v>102</v>
      </c>
      <c r="D39" s="4" t="s">
        <v>103</v>
      </c>
      <c r="E39" s="4" t="s">
        <v>104</v>
      </c>
      <c r="F39" s="4" t="s">
        <v>105</v>
      </c>
      <c r="G39" s="4" t="s">
        <v>124</v>
      </c>
      <c r="H39" s="4" t="s">
        <v>125</v>
      </c>
      <c r="I39" s="4" t="s">
        <v>108</v>
      </c>
      <c r="J39" s="4" t="s">
        <v>109</v>
      </c>
      <c r="K39" s="4" t="s">
        <v>110</v>
      </c>
      <c r="L39" s="4" t="s">
        <v>111</v>
      </c>
    </row>
    <row r="40" customFormat="false" ht="15" hidden="false" customHeight="false" outlineLevel="0" collapsed="false">
      <c r="A40" s="23" t="n">
        <v>1</v>
      </c>
      <c r="B40" s="23" t="s">
        <v>71</v>
      </c>
      <c r="C40" s="23" t="s">
        <v>15</v>
      </c>
      <c r="D40" s="24" t="n">
        <v>8405.66</v>
      </c>
      <c r="E40" s="24" t="n">
        <v>0</v>
      </c>
      <c r="F40" s="24" t="n">
        <v>8405.66</v>
      </c>
      <c r="G40" s="24" t="n">
        <v>8405.66</v>
      </c>
      <c r="H40" s="24" t="n">
        <v>0</v>
      </c>
      <c r="I40" s="24" t="n">
        <f aca="false">G40+H40</f>
        <v>8405.66</v>
      </c>
      <c r="J40" s="24" t="n">
        <f aca="false">D40-I40</f>
        <v>0</v>
      </c>
      <c r="K40" s="25" t="s">
        <v>116</v>
      </c>
      <c r="L40" s="25" t="s">
        <v>117</v>
      </c>
    </row>
    <row r="41" customFormat="false" ht="15" hidden="false" customHeight="false" outlineLevel="0" collapsed="false">
      <c r="A41" s="23" t="n">
        <v>2</v>
      </c>
      <c r="B41" s="23" t="s">
        <v>72</v>
      </c>
      <c r="C41" s="23" t="s">
        <v>15</v>
      </c>
      <c r="D41" s="24" t="n">
        <v>31998.69</v>
      </c>
      <c r="E41" s="24" t="n">
        <v>0</v>
      </c>
      <c r="F41" s="24" t="n">
        <v>0</v>
      </c>
      <c r="G41" s="24" t="n">
        <v>3733.18</v>
      </c>
      <c r="H41" s="24" t="n">
        <v>1163.59</v>
      </c>
      <c r="I41" s="24" t="n">
        <f aca="false">G41+H41</f>
        <v>4896.77</v>
      </c>
      <c r="J41" s="24" t="n">
        <f aca="false">D41-I41</f>
        <v>27101.92</v>
      </c>
      <c r="K41" s="25" t="s">
        <v>114</v>
      </c>
      <c r="L41" s="25" t="s">
        <v>115</v>
      </c>
    </row>
    <row r="42" customFormat="false" ht="15" hidden="false" customHeight="false" outlineLevel="0" collapsed="false">
      <c r="A42" s="23" t="n">
        <v>3</v>
      </c>
      <c r="B42" s="23" t="s">
        <v>73</v>
      </c>
      <c r="C42" s="23" t="s">
        <v>15</v>
      </c>
      <c r="D42" s="24" t="n">
        <v>82043.63</v>
      </c>
      <c r="E42" s="24" t="n">
        <v>0</v>
      </c>
      <c r="F42" s="24" t="n">
        <v>82043.63</v>
      </c>
      <c r="G42" s="24" t="n">
        <v>82043.63</v>
      </c>
      <c r="H42" s="24" t="n">
        <v>0</v>
      </c>
      <c r="I42" s="24" t="n">
        <f aca="false">G42+H42</f>
        <v>82043.63</v>
      </c>
      <c r="J42" s="24" t="n">
        <f aca="false">D42-I42</f>
        <v>0</v>
      </c>
      <c r="K42" s="25" t="s">
        <v>116</v>
      </c>
      <c r="L42" s="25" t="s">
        <v>117</v>
      </c>
    </row>
    <row r="43" customFormat="false" ht="15" hidden="false" customHeight="false" outlineLevel="0" collapsed="false">
      <c r="A43" s="23" t="n">
        <v>4</v>
      </c>
      <c r="B43" s="23" t="s">
        <v>74</v>
      </c>
      <c r="C43" s="23" t="s">
        <v>15</v>
      </c>
      <c r="D43" s="24" t="n">
        <v>312323.71</v>
      </c>
      <c r="E43" s="24" t="n">
        <v>0</v>
      </c>
      <c r="F43" s="24" t="n">
        <v>0</v>
      </c>
      <c r="G43" s="24" t="n">
        <v>36437.78</v>
      </c>
      <c r="H43" s="24" t="n">
        <v>11357.23</v>
      </c>
      <c r="I43" s="24" t="n">
        <f aca="false">G43+H43</f>
        <v>47795.01</v>
      </c>
      <c r="J43" s="24" t="n">
        <f aca="false">D43-I43</f>
        <v>264528.7</v>
      </c>
      <c r="K43" s="25" t="s">
        <v>114</v>
      </c>
      <c r="L43" s="25" t="s">
        <v>115</v>
      </c>
    </row>
    <row r="44" customFormat="false" ht="15" hidden="false" customHeight="false" outlineLevel="0" collapsed="false">
      <c r="A44" s="23" t="n">
        <v>5</v>
      </c>
      <c r="B44" s="23" t="s">
        <v>75</v>
      </c>
      <c r="C44" s="23" t="s">
        <v>15</v>
      </c>
      <c r="D44" s="24" t="n">
        <v>6252.15</v>
      </c>
      <c r="E44" s="24" t="n">
        <v>0</v>
      </c>
      <c r="F44" s="24" t="n">
        <v>6252.15</v>
      </c>
      <c r="G44" s="24" t="n">
        <v>6252.15</v>
      </c>
      <c r="H44" s="24" t="n">
        <v>0</v>
      </c>
      <c r="I44" s="24" t="n">
        <f aca="false">G44+H44</f>
        <v>6252.15</v>
      </c>
      <c r="J44" s="24" t="n">
        <f aca="false">D44-I44</f>
        <v>0</v>
      </c>
      <c r="K44" s="25" t="s">
        <v>116</v>
      </c>
      <c r="L44" s="25" t="s">
        <v>117</v>
      </c>
    </row>
    <row r="45" customFormat="false" ht="15" hidden="false" customHeight="false" outlineLevel="0" collapsed="false">
      <c r="A45" s="23" t="n">
        <v>6</v>
      </c>
      <c r="B45" s="23" t="s">
        <v>76</v>
      </c>
      <c r="C45" s="23" t="s">
        <v>15</v>
      </c>
      <c r="D45" s="24" t="n">
        <v>23800.67</v>
      </c>
      <c r="E45" s="24" t="n">
        <v>0</v>
      </c>
      <c r="F45" s="24" t="n">
        <v>0</v>
      </c>
      <c r="G45" s="24" t="n">
        <v>2776.75</v>
      </c>
      <c r="H45" s="24" t="n">
        <v>865.48</v>
      </c>
      <c r="I45" s="24" t="n">
        <f aca="false">G45+H45</f>
        <v>3642.23</v>
      </c>
      <c r="J45" s="24" t="n">
        <f aca="false">D45-I45</f>
        <v>20158.44</v>
      </c>
      <c r="K45" s="25" t="s">
        <v>114</v>
      </c>
      <c r="L45" s="25" t="s">
        <v>115</v>
      </c>
    </row>
    <row r="46" customFormat="false" ht="15" hidden="false" customHeight="false" outlineLevel="0" collapsed="false">
      <c r="A46" s="26"/>
      <c r="B46" s="27" t="s">
        <v>39</v>
      </c>
      <c r="C46" s="26"/>
      <c r="D46" s="28" t="n">
        <f aca="false">SUM(D40:D45)</f>
        <v>464824.51</v>
      </c>
      <c r="E46" s="28" t="n">
        <f aca="false">SUM(E40:E45)</f>
        <v>0</v>
      </c>
      <c r="F46" s="28" t="n">
        <f aca="false">SUM(F40:F45)</f>
        <v>96701.44</v>
      </c>
      <c r="G46" s="28" t="n">
        <f aca="false">SUM(G40:G45)</f>
        <v>139649.15</v>
      </c>
      <c r="H46" s="28" t="n">
        <f aca="false">SUM(H40:H45)</f>
        <v>13386.3</v>
      </c>
      <c r="I46" s="28" t="n">
        <f aca="false">SUM(I40:I45)</f>
        <v>153035.45</v>
      </c>
      <c r="J46" s="28" t="n">
        <f aca="false">SUM(J40:J45)</f>
        <v>311789.06</v>
      </c>
      <c r="K46" s="26"/>
      <c r="L46" s="26"/>
    </row>
    <row r="48" customFormat="false" ht="15" hidden="false" customHeight="false" outlineLevel="0" collapsed="false">
      <c r="B48" s="18" t="s">
        <v>127</v>
      </c>
    </row>
    <row r="49" customFormat="false" ht="15" hidden="false" customHeight="false" outlineLevel="0" collapsed="false">
      <c r="B49" s="5" t="s">
        <v>120</v>
      </c>
      <c r="D49" s="6" t="n">
        <f aca="false">I36</f>
        <v>130812.43</v>
      </c>
    </row>
    <row r="50" customFormat="false" ht="15" hidden="false" customHeight="false" outlineLevel="0" collapsed="false">
      <c r="B50" s="5" t="s">
        <v>121</v>
      </c>
      <c r="D50" s="6" t="n">
        <f aca="false">I46</f>
        <v>153035.45</v>
      </c>
    </row>
    <row r="51" customFormat="false" ht="15" hidden="false" customHeight="false" outlineLevel="0" collapsed="false">
      <c r="B51" s="11" t="s">
        <v>127</v>
      </c>
      <c r="D51" s="29" t="n">
        <f aca="false">D49-D50</f>
        <v>-22223.02</v>
      </c>
    </row>
    <row r="53" customFormat="false" ht="15" hidden="false" customHeight="false" outlineLevel="0" collapsed="false">
      <c r="A53" s="10" t="s">
        <v>128</v>
      </c>
    </row>
    <row r="54" customFormat="false" ht="15" hidden="false" customHeight="false" outlineLevel="0" collapsed="false">
      <c r="B54" s="11" t="s">
        <v>159</v>
      </c>
      <c r="D54" s="12" t="n">
        <f aca="false">D91</f>
        <v>464824.51</v>
      </c>
    </row>
    <row r="55" customFormat="false" ht="15" hidden="false" customHeight="false" outlineLevel="0" collapsed="false">
      <c r="B55" s="5" t="s">
        <v>160</v>
      </c>
      <c r="D55" s="6" t="n">
        <f aca="false">F91</f>
        <v>96701.44</v>
      </c>
    </row>
    <row r="56" customFormat="false" ht="15" hidden="false" customHeight="false" outlineLevel="0" collapsed="false">
      <c r="B56" s="30" t="s">
        <v>131</v>
      </c>
      <c r="D56" s="31" t="n">
        <f aca="false">F92</f>
        <v>0.208038599341502</v>
      </c>
    </row>
    <row r="57" customFormat="false" ht="15" hidden="false" customHeight="false" outlineLevel="0" collapsed="false">
      <c r="B57" s="5" t="s">
        <v>161</v>
      </c>
      <c r="D57" s="6" t="n">
        <f aca="false">H91</f>
        <v>368123.07</v>
      </c>
    </row>
    <row r="58" customFormat="false" ht="15" hidden="false" customHeight="false" outlineLevel="0" collapsed="false">
      <c r="B58" s="30" t="s">
        <v>131</v>
      </c>
      <c r="D58" s="31" t="n">
        <f aca="false">H92</f>
        <v>0.791961400658498</v>
      </c>
    </row>
    <row r="60" customFormat="false" ht="15" hidden="false" customHeight="false" outlineLevel="0" collapsed="false">
      <c r="A60" s="10" t="s">
        <v>133</v>
      </c>
    </row>
    <row r="61" customFormat="false" ht="15" hidden="false" customHeight="false" outlineLevel="0" collapsed="false">
      <c r="B61" s="4" t="s">
        <v>134</v>
      </c>
      <c r="D61" s="4" t="s">
        <v>103</v>
      </c>
      <c r="F61" s="4" t="s">
        <v>162</v>
      </c>
      <c r="H61" s="4" t="s">
        <v>136</v>
      </c>
    </row>
    <row r="62" customFormat="false" ht="15" hidden="false" customHeight="false" outlineLevel="0" collapsed="false">
      <c r="B62" s="32" t="s">
        <v>163</v>
      </c>
    </row>
    <row r="63" customFormat="false" ht="15" hidden="false" customHeight="false" outlineLevel="0" collapsed="false">
      <c r="B63" s="5" t="s">
        <v>164</v>
      </c>
      <c r="D63" s="33" t="n">
        <f aca="false">SUM(F63:H63)</f>
        <v>14397.17</v>
      </c>
      <c r="F63" s="33" t="n">
        <v>14397.17</v>
      </c>
    </row>
    <row r="64" customFormat="false" ht="15" hidden="false" customHeight="false" outlineLevel="0" collapsed="false">
      <c r="B64" s="5" t="s">
        <v>165</v>
      </c>
      <c r="D64" s="33" t="n">
        <f aca="false">SUM(F64:H64)</f>
        <v>9008.6</v>
      </c>
      <c r="F64" s="33" t="n">
        <v>9008.6</v>
      </c>
    </row>
    <row r="65" customFormat="false" ht="15" hidden="false" customHeight="false" outlineLevel="0" collapsed="false">
      <c r="B65" s="5" t="s">
        <v>166</v>
      </c>
      <c r="D65" s="33" t="n">
        <f aca="false">SUM(F65:H65)</f>
        <v>35260.48</v>
      </c>
      <c r="F65" s="33" t="n">
        <v>35260.48</v>
      </c>
    </row>
    <row r="66" customFormat="false" ht="15" hidden="false" customHeight="false" outlineLevel="0" collapsed="false">
      <c r="B66" s="5" t="s">
        <v>167</v>
      </c>
      <c r="D66" s="33" t="n">
        <f aca="false">SUM(F66:H66)</f>
        <v>3082.53</v>
      </c>
      <c r="F66" s="33" t="n">
        <v>3082.53</v>
      </c>
    </row>
    <row r="67" customFormat="false" ht="15" hidden="false" customHeight="false" outlineLevel="0" collapsed="false">
      <c r="B67" s="5" t="s">
        <v>195</v>
      </c>
      <c r="D67" s="33" t="n">
        <f aca="false">SUM(F67:H67)</f>
        <v>281.84</v>
      </c>
      <c r="F67" s="33" t="n">
        <v>281.84</v>
      </c>
    </row>
    <row r="68" customFormat="false" ht="15" hidden="false" customHeight="false" outlineLevel="0" collapsed="false">
      <c r="B68" s="5" t="s">
        <v>169</v>
      </c>
      <c r="D68" s="33" t="n">
        <f aca="false">SUM(F68:H68)</f>
        <v>7199.04</v>
      </c>
      <c r="F68" s="33" t="n">
        <v>7199.04</v>
      </c>
    </row>
    <row r="69" customFormat="false" ht="15" hidden="false" customHeight="false" outlineLevel="0" collapsed="false">
      <c r="B69" s="5" t="s">
        <v>170</v>
      </c>
      <c r="D69" s="33" t="n">
        <f aca="false">SUM(F69:H69)</f>
        <v>3080.11</v>
      </c>
      <c r="F69" s="33" t="n">
        <v>3080.11</v>
      </c>
    </row>
    <row r="70" customFormat="false" ht="15" hidden="false" customHeight="false" outlineLevel="0" collapsed="false">
      <c r="B70" s="5" t="s">
        <v>196</v>
      </c>
      <c r="D70" s="33" t="n">
        <f aca="false">SUM(F70:H70)</f>
        <v>10047.72</v>
      </c>
      <c r="F70" s="33" t="n">
        <v>10047.72</v>
      </c>
    </row>
    <row r="71" customFormat="false" ht="15" hidden="false" customHeight="false" outlineLevel="0" collapsed="false">
      <c r="B71" s="5" t="s">
        <v>172</v>
      </c>
      <c r="D71" s="33" t="n">
        <f aca="false">SUM(F71:H71)</f>
        <v>1797.27</v>
      </c>
      <c r="F71" s="33" t="n">
        <v>1797.27</v>
      </c>
    </row>
    <row r="72" customFormat="false" ht="15" hidden="false" customHeight="false" outlineLevel="0" collapsed="false">
      <c r="B72" s="5" t="s">
        <v>174</v>
      </c>
      <c r="D72" s="33" t="n">
        <f aca="false">SUM(F72:H72)</f>
        <v>12546.68</v>
      </c>
      <c r="F72" s="33" t="n">
        <v>12546.68</v>
      </c>
    </row>
    <row r="73" customFormat="false" ht="15" hidden="false" customHeight="false" outlineLevel="0" collapsed="false">
      <c r="B73" s="32" t="s">
        <v>175</v>
      </c>
    </row>
    <row r="74" customFormat="false" ht="15" hidden="false" customHeight="false" outlineLevel="0" collapsed="false">
      <c r="B74" s="5" t="s">
        <v>176</v>
      </c>
      <c r="D74" s="33" t="n">
        <f aca="false">SUM(F74:H74)</f>
        <v>5968.07</v>
      </c>
      <c r="H74" s="33" t="n">
        <v>5968.07</v>
      </c>
    </row>
    <row r="75" customFormat="false" ht="15" hidden="false" customHeight="false" outlineLevel="0" collapsed="false">
      <c r="B75" s="5" t="s">
        <v>177</v>
      </c>
      <c r="D75" s="33" t="n">
        <f aca="false">SUM(F75:H75)</f>
        <v>24046.3</v>
      </c>
      <c r="H75" s="33" t="n">
        <v>24046.3</v>
      </c>
    </row>
    <row r="76" customFormat="false" ht="15" hidden="false" customHeight="false" outlineLevel="0" collapsed="false">
      <c r="B76" s="5" t="s">
        <v>178</v>
      </c>
      <c r="D76" s="33" t="n">
        <f aca="false">SUM(F76:H76)</f>
        <v>34611.87</v>
      </c>
      <c r="H76" s="33" t="n">
        <v>34611.87</v>
      </c>
    </row>
    <row r="77" customFormat="false" ht="15" hidden="false" customHeight="false" outlineLevel="0" collapsed="false">
      <c r="B77" s="5" t="s">
        <v>179</v>
      </c>
      <c r="D77" s="33" t="n">
        <f aca="false">SUM(F77:H77)</f>
        <v>37471.27</v>
      </c>
      <c r="H77" s="33" t="n">
        <v>37471.27</v>
      </c>
    </row>
    <row r="78" customFormat="false" ht="15" hidden="false" customHeight="false" outlineLevel="0" collapsed="false">
      <c r="B78" s="5" t="s">
        <v>180</v>
      </c>
      <c r="D78" s="33" t="n">
        <f aca="false">SUM(F78:H78)</f>
        <v>30087.91</v>
      </c>
      <c r="H78" s="33" t="n">
        <v>30087.91</v>
      </c>
    </row>
    <row r="79" customFormat="false" ht="15" hidden="false" customHeight="false" outlineLevel="0" collapsed="false">
      <c r="B79" s="5" t="s">
        <v>181</v>
      </c>
      <c r="D79" s="33" t="n">
        <f aca="false">SUM(F79:H79)</f>
        <v>2346.02</v>
      </c>
      <c r="H79" s="33" t="n">
        <v>2346.02</v>
      </c>
    </row>
    <row r="80" customFormat="false" ht="15" hidden="false" customHeight="false" outlineLevel="0" collapsed="false">
      <c r="B80" s="5" t="s">
        <v>182</v>
      </c>
      <c r="D80" s="33" t="n">
        <f aca="false">SUM(F80:H80)</f>
        <v>39682.92</v>
      </c>
      <c r="H80" s="33" t="n">
        <v>39682.92</v>
      </c>
    </row>
    <row r="81" customFormat="false" ht="15" hidden="false" customHeight="false" outlineLevel="0" collapsed="false">
      <c r="B81" s="5" t="s">
        <v>183</v>
      </c>
      <c r="D81" s="33" t="n">
        <f aca="false">SUM(F81:H81)</f>
        <v>29543.65</v>
      </c>
      <c r="H81" s="33" t="n">
        <v>29543.65</v>
      </c>
    </row>
    <row r="82" customFormat="false" ht="15" hidden="false" customHeight="false" outlineLevel="0" collapsed="false">
      <c r="B82" s="5" t="s">
        <v>184</v>
      </c>
      <c r="D82" s="33" t="n">
        <f aca="false">SUM(F82:H82)</f>
        <v>13586.51</v>
      </c>
      <c r="H82" s="33" t="n">
        <v>13586.51</v>
      </c>
    </row>
    <row r="83" customFormat="false" ht="15" hidden="false" customHeight="false" outlineLevel="0" collapsed="false">
      <c r="B83" s="5" t="s">
        <v>185</v>
      </c>
      <c r="D83" s="33" t="n">
        <f aca="false">SUM(F83:H83)</f>
        <v>15703.63</v>
      </c>
      <c r="H83" s="33" t="n">
        <v>15703.63</v>
      </c>
    </row>
    <row r="84" customFormat="false" ht="15" hidden="false" customHeight="false" outlineLevel="0" collapsed="false">
      <c r="B84" s="5" t="s">
        <v>186</v>
      </c>
      <c r="D84" s="33" t="n">
        <f aca="false">SUM(F84:H84)</f>
        <v>39231.5</v>
      </c>
      <c r="H84" s="33" t="n">
        <v>39231.5</v>
      </c>
    </row>
    <row r="85" customFormat="false" ht="15" hidden="false" customHeight="false" outlineLevel="0" collapsed="false">
      <c r="B85" s="5" t="s">
        <v>187</v>
      </c>
      <c r="D85" s="33" t="n">
        <f aca="false">SUM(F85:H85)</f>
        <v>17248.35</v>
      </c>
      <c r="H85" s="33" t="n">
        <v>17248.35</v>
      </c>
    </row>
    <row r="86" customFormat="false" ht="15" hidden="false" customHeight="false" outlineLevel="0" collapsed="false">
      <c r="B86" s="5" t="s">
        <v>188</v>
      </c>
      <c r="D86" s="33" t="n">
        <f aca="false">SUM(F86:H86)</f>
        <v>1732.68</v>
      </c>
      <c r="H86" s="33" t="n">
        <v>1732.68</v>
      </c>
    </row>
    <row r="87" customFormat="false" ht="15" hidden="false" customHeight="false" outlineLevel="0" collapsed="false">
      <c r="B87" s="5" t="s">
        <v>190</v>
      </c>
      <c r="D87" s="33" t="n">
        <f aca="false">SUM(F87:H87)</f>
        <v>59397.15</v>
      </c>
      <c r="H87" s="33" t="n">
        <v>59397.15</v>
      </c>
    </row>
    <row r="88" customFormat="false" ht="15" hidden="false" customHeight="false" outlineLevel="0" collapsed="false">
      <c r="B88" s="5" t="s">
        <v>191</v>
      </c>
      <c r="D88" s="33" t="n">
        <f aca="false">SUM(F88:H88)</f>
        <v>10679</v>
      </c>
      <c r="H88" s="33" t="n">
        <v>10679</v>
      </c>
    </row>
    <row r="89" customFormat="false" ht="15" hidden="false" customHeight="false" outlineLevel="0" collapsed="false">
      <c r="B89" s="5" t="s">
        <v>193</v>
      </c>
      <c r="D89" s="33" t="n">
        <f aca="false">SUM(F89:H89)</f>
        <v>3863.69</v>
      </c>
      <c r="H89" s="33" t="n">
        <v>3863.69</v>
      </c>
    </row>
    <row r="90" customFormat="false" ht="15" hidden="false" customHeight="false" outlineLevel="0" collapsed="false">
      <c r="B90" s="5" t="s">
        <v>197</v>
      </c>
      <c r="D90" s="33" t="n">
        <f aca="false">SUM(F90:H90)</f>
        <v>2922.55</v>
      </c>
      <c r="H90" s="33" t="n">
        <v>2922.55</v>
      </c>
    </row>
    <row r="91" customFormat="false" ht="15" hidden="false" customHeight="false" outlineLevel="0" collapsed="false">
      <c r="B91" s="11" t="s">
        <v>159</v>
      </c>
      <c r="D91" s="34" t="n">
        <f aca="false">SUM(D62:D90)</f>
        <v>464824.51</v>
      </c>
      <c r="F91" s="34" t="n">
        <f aca="false">SUM(F62:F90)</f>
        <v>96701.44</v>
      </c>
      <c r="H91" s="34" t="n">
        <f aca="false">SUM(H62:H90)</f>
        <v>368123.07</v>
      </c>
    </row>
    <row r="92" customFormat="false" ht="15" hidden="false" customHeight="false" outlineLevel="0" collapsed="false">
      <c r="B92" s="30" t="s">
        <v>131</v>
      </c>
      <c r="F92" s="31" t="n">
        <f aca="false">F91/D91</f>
        <v>0.208038599341502</v>
      </c>
      <c r="H92" s="31" t="n">
        <f aca="false">H91/D91</f>
        <v>0.791961400658498</v>
      </c>
    </row>
    <row r="94" customFormat="false" ht="15" hidden="false" customHeight="false" outlineLevel="0" collapsed="false">
      <c r="A94" s="10" t="s">
        <v>154</v>
      </c>
    </row>
    <row r="95" customFormat="false" ht="15" hidden="false" customHeight="false" outlineLevel="0" collapsed="false">
      <c r="B95" s="4" t="s">
        <v>155</v>
      </c>
      <c r="D95" s="4" t="s">
        <v>103</v>
      </c>
      <c r="F95" s="4" t="s">
        <v>162</v>
      </c>
      <c r="H95" s="4" t="s">
        <v>136</v>
      </c>
    </row>
    <row r="96" customFormat="false" ht="15" hidden="false" customHeight="false" outlineLevel="0" collapsed="false">
      <c r="B96" s="5" t="str">
        <f aca="false">'Building 4'!B17</f>
        <v>2 - Land Imp - Peter St - 4 - 5yr</v>
      </c>
      <c r="D96" s="33" t="n">
        <f aca="false">SUM(F96:H96)</f>
        <v>8405.66</v>
      </c>
      <c r="F96" s="33" t="n">
        <f aca="false">'Building 4'!D17</f>
        <v>8405.66</v>
      </c>
    </row>
    <row r="97" customFormat="false" ht="15" hidden="false" customHeight="false" outlineLevel="0" collapsed="false">
      <c r="B97" s="5" t="str">
        <f aca="false">'Building 4'!B18</f>
        <v>2 - Land Imp - Peter St - 4 - 27.5yr</v>
      </c>
      <c r="D97" s="33" t="n">
        <f aca="false">SUM(F97:H97)</f>
        <v>31998.69</v>
      </c>
      <c r="H97" s="33" t="n">
        <f aca="false">'Building 4'!D18</f>
        <v>31998.69</v>
      </c>
    </row>
    <row r="98" customFormat="false" ht="15" hidden="false" customHeight="false" outlineLevel="0" collapsed="false">
      <c r="B98" s="5" t="str">
        <f aca="false">'Building 4'!B19</f>
        <v>3 - Building - Peter St - 4 - 5yr</v>
      </c>
      <c r="D98" s="33" t="n">
        <f aca="false">SUM(F98:H98)</f>
        <v>82043.63</v>
      </c>
      <c r="F98" s="33" t="n">
        <f aca="false">'Building 4'!D19</f>
        <v>82043.63</v>
      </c>
    </row>
    <row r="99" customFormat="false" ht="15" hidden="false" customHeight="false" outlineLevel="0" collapsed="false">
      <c r="B99" s="5" t="str">
        <f aca="false">'Building 4'!B20</f>
        <v>3 - Building - Peter St - 4 - 27.5yr</v>
      </c>
      <c r="D99" s="33" t="n">
        <f aca="false">SUM(F99:H99)</f>
        <v>312323.71</v>
      </c>
      <c r="H99" s="33" t="n">
        <f aca="false">'Building 4'!D20</f>
        <v>312323.71</v>
      </c>
    </row>
    <row r="100" customFormat="false" ht="15" hidden="false" customHeight="false" outlineLevel="0" collapsed="false">
      <c r="B100" s="5" t="str">
        <f aca="false">'Building 4'!B21</f>
        <v>4 - Equipment - Peter St - 4 - 5yr</v>
      </c>
      <c r="D100" s="33" t="n">
        <f aca="false">SUM(F100:H100)</f>
        <v>6252.15</v>
      </c>
      <c r="F100" s="33" t="n">
        <f aca="false">'Building 4'!D21</f>
        <v>6252.15</v>
      </c>
    </row>
    <row r="101" customFormat="false" ht="15" hidden="false" customHeight="false" outlineLevel="0" collapsed="false">
      <c r="B101" s="5" t="str">
        <f aca="false">'Building 4'!B22</f>
        <v>4 - Equipment - Peter St - 4 - 27.5yr</v>
      </c>
      <c r="D101" s="33" t="n">
        <f aca="false">SUM(F101:H101)</f>
        <v>23800.67</v>
      </c>
      <c r="H101" s="33" t="n">
        <f aca="false">'Building 4'!D22</f>
        <v>23800.67</v>
      </c>
    </row>
    <row r="102" customFormat="false" ht="15" hidden="false" customHeight="false" outlineLevel="0" collapsed="false">
      <c r="B102" s="11" t="s">
        <v>156</v>
      </c>
      <c r="D102" s="34" t="n">
        <f aca="false">SUM(D96:D101)</f>
        <v>464824.51</v>
      </c>
      <c r="F102" s="34" t="n">
        <f aca="false">SUM(F96:F101)</f>
        <v>96701.44</v>
      </c>
      <c r="H102" s="34" t="n">
        <f aca="false">SUM(H96:H101)</f>
        <v>368123.07</v>
      </c>
    </row>
    <row r="103" customFormat="false" ht="15" hidden="false" customHeight="false" outlineLevel="0" collapsed="false">
      <c r="B103" s="16" t="s">
        <v>157</v>
      </c>
      <c r="D103" s="17" t="n">
        <f aca="false">D102-D91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201</v>
      </c>
    </row>
    <row r="5" customFormat="false" ht="15" hidden="false" customHeight="false" outlineLevel="0" collapsed="false">
      <c r="A5" s="16" t="s">
        <v>97</v>
      </c>
    </row>
    <row r="7" customFormat="false" ht="15" hidden="false" customHeight="false" outlineLevel="0" collapsed="false">
      <c r="A7" s="10" t="s">
        <v>98</v>
      </c>
    </row>
    <row r="8" customFormat="false" ht="15" hidden="false" customHeight="false" outlineLevel="0" collapsed="false">
      <c r="A8" s="21" t="s">
        <v>99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100</v>
      </c>
      <c r="B9" s="4" t="s">
        <v>101</v>
      </c>
      <c r="C9" s="4" t="s">
        <v>102</v>
      </c>
      <c r="D9" s="4" t="s">
        <v>103</v>
      </c>
      <c r="E9" s="4" t="s">
        <v>104</v>
      </c>
      <c r="F9" s="4" t="s">
        <v>105</v>
      </c>
      <c r="G9" s="4" t="s">
        <v>106</v>
      </c>
      <c r="H9" s="4" t="s">
        <v>107</v>
      </c>
      <c r="I9" s="4" t="s">
        <v>108</v>
      </c>
      <c r="J9" s="4" t="s">
        <v>109</v>
      </c>
      <c r="K9" s="4" t="s">
        <v>110</v>
      </c>
      <c r="L9" s="4" t="s">
        <v>111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15</v>
      </c>
      <c r="D10" s="24" t="n">
        <v>41152.79</v>
      </c>
      <c r="E10" s="24" t="n">
        <v>0</v>
      </c>
      <c r="F10" s="24" t="n">
        <v>41152.79</v>
      </c>
      <c r="G10" s="24" t="n">
        <v>41152.79</v>
      </c>
      <c r="H10" s="24" t="n">
        <v>0</v>
      </c>
      <c r="I10" s="24" t="n">
        <f aca="false">G10+H10</f>
        <v>41152.79</v>
      </c>
      <c r="J10" s="24" t="n">
        <f aca="false">D10-I10</f>
        <v>0</v>
      </c>
      <c r="K10" s="25" t="s">
        <v>112</v>
      </c>
      <c r="L10" s="25" t="s">
        <v>113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15</v>
      </c>
      <c r="D11" s="24" t="n">
        <v>401672.53</v>
      </c>
      <c r="E11" s="24" t="n">
        <v>0</v>
      </c>
      <c r="F11" s="24" t="n">
        <v>0</v>
      </c>
      <c r="G11" s="24" t="n">
        <v>46866.91</v>
      </c>
      <c r="H11" s="24" t="n">
        <v>14606.34</v>
      </c>
      <c r="I11" s="24" t="n">
        <f aca="false">G11+H11</f>
        <v>61473.25</v>
      </c>
      <c r="J11" s="24" t="n">
        <f aca="false">D11-I11</f>
        <v>340199.28</v>
      </c>
      <c r="K11" s="25" t="s">
        <v>114</v>
      </c>
      <c r="L11" s="25" t="s">
        <v>115</v>
      </c>
    </row>
    <row r="12" customFormat="false" ht="15" hidden="false" customHeight="false" outlineLevel="0" collapsed="false">
      <c r="A12" s="23" t="n">
        <v>3</v>
      </c>
      <c r="B12" s="23" t="s">
        <v>36</v>
      </c>
      <c r="C12" s="23" t="s">
        <v>15</v>
      </c>
      <c r="D12" s="24" t="n">
        <v>30609.52</v>
      </c>
      <c r="E12" s="24" t="n">
        <v>0</v>
      </c>
      <c r="F12" s="24" t="n">
        <v>30609.52</v>
      </c>
      <c r="G12" s="24" t="n">
        <v>30609.52</v>
      </c>
      <c r="H12" s="24" t="n">
        <v>0</v>
      </c>
      <c r="I12" s="24" t="n">
        <f aca="false">G12+H12</f>
        <v>30609.52</v>
      </c>
      <c r="J12" s="24" t="n">
        <f aca="false">D12-I12</f>
        <v>0</v>
      </c>
      <c r="K12" s="25" t="s">
        <v>116</v>
      </c>
      <c r="L12" s="25" t="s">
        <v>117</v>
      </c>
    </row>
    <row r="13" customFormat="false" ht="15" hidden="false" customHeight="false" outlineLevel="0" collapsed="false">
      <c r="A13" s="26"/>
      <c r="B13" s="27" t="s">
        <v>39</v>
      </c>
      <c r="C13" s="26"/>
      <c r="D13" s="28" t="n">
        <f aca="false">SUM(D10:D12)</f>
        <v>473434.84</v>
      </c>
      <c r="E13" s="28" t="n">
        <f aca="false">SUM(E10:E12)</f>
        <v>0</v>
      </c>
      <c r="F13" s="28" t="n">
        <f aca="false">SUM(F10:F12)</f>
        <v>71762.31</v>
      </c>
      <c r="G13" s="28" t="n">
        <f aca="false">SUM(G10:G12)</f>
        <v>118629.22</v>
      </c>
      <c r="H13" s="28" t="n">
        <f aca="false">SUM(H10:H12)</f>
        <v>14606.34</v>
      </c>
      <c r="I13" s="28" t="n">
        <f aca="false">SUM(I10:I12)</f>
        <v>133235.56</v>
      </c>
      <c r="J13" s="28" t="n">
        <f aca="false">SUM(J10:J12)</f>
        <v>340199.28</v>
      </c>
      <c r="K13" s="26"/>
      <c r="L13" s="26"/>
    </row>
    <row r="15" customFormat="false" ht="15" hidden="false" customHeight="false" outlineLevel="0" collapsed="false">
      <c r="A15" s="21" t="s">
        <v>118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100</v>
      </c>
      <c r="B16" s="4" t="s">
        <v>101</v>
      </c>
      <c r="C16" s="4" t="s">
        <v>102</v>
      </c>
      <c r="D16" s="4" t="s">
        <v>103</v>
      </c>
      <c r="E16" s="4" t="s">
        <v>104</v>
      </c>
      <c r="F16" s="4" t="s">
        <v>105</v>
      </c>
      <c r="G16" s="4" t="s">
        <v>106</v>
      </c>
      <c r="H16" s="4" t="s">
        <v>107</v>
      </c>
      <c r="I16" s="4" t="s">
        <v>108</v>
      </c>
      <c r="J16" s="4" t="s">
        <v>109</v>
      </c>
      <c r="K16" s="4" t="s">
        <v>110</v>
      </c>
      <c r="L16" s="4" t="s">
        <v>111</v>
      </c>
    </row>
    <row r="17" customFormat="false" ht="15" hidden="false" customHeight="false" outlineLevel="0" collapsed="false">
      <c r="A17" s="23" t="n">
        <v>1</v>
      </c>
      <c r="B17" s="23" t="s">
        <v>77</v>
      </c>
      <c r="C17" s="23" t="s">
        <v>15</v>
      </c>
      <c r="D17" s="24" t="n">
        <v>8405.66</v>
      </c>
      <c r="E17" s="24" t="n">
        <v>0</v>
      </c>
      <c r="F17" s="24" t="n">
        <v>8405.66</v>
      </c>
      <c r="G17" s="24" t="n">
        <v>8405.66</v>
      </c>
      <c r="H17" s="24" t="n">
        <v>0</v>
      </c>
      <c r="I17" s="24" t="n">
        <f aca="false">G17+H17</f>
        <v>8405.66</v>
      </c>
      <c r="J17" s="24" t="n">
        <f aca="false">D17-I17</f>
        <v>0</v>
      </c>
      <c r="K17" s="25" t="s">
        <v>116</v>
      </c>
      <c r="L17" s="25" t="s">
        <v>117</v>
      </c>
    </row>
    <row r="18" customFormat="false" ht="15" hidden="false" customHeight="false" outlineLevel="0" collapsed="false">
      <c r="A18" s="23" t="n">
        <v>2</v>
      </c>
      <c r="B18" s="23" t="s">
        <v>78</v>
      </c>
      <c r="C18" s="23" t="s">
        <v>15</v>
      </c>
      <c r="D18" s="24" t="n">
        <v>32747.13</v>
      </c>
      <c r="E18" s="24" t="n">
        <v>0</v>
      </c>
      <c r="F18" s="24" t="n">
        <v>0</v>
      </c>
      <c r="G18" s="24" t="n">
        <v>3820.48</v>
      </c>
      <c r="H18" s="24" t="n">
        <v>1190.8</v>
      </c>
      <c r="I18" s="24" t="n">
        <f aca="false">G18+H18</f>
        <v>5011.28</v>
      </c>
      <c r="J18" s="24" t="n">
        <f aca="false">D18-I18</f>
        <v>27735.85</v>
      </c>
      <c r="K18" s="25" t="s">
        <v>114</v>
      </c>
      <c r="L18" s="25" t="s">
        <v>115</v>
      </c>
    </row>
    <row r="19" customFormat="false" ht="15" hidden="false" customHeight="false" outlineLevel="0" collapsed="false">
      <c r="A19" s="23" t="n">
        <v>3</v>
      </c>
      <c r="B19" s="23" t="s">
        <v>79</v>
      </c>
      <c r="C19" s="23" t="s">
        <v>15</v>
      </c>
      <c r="D19" s="24" t="n">
        <v>82043.63</v>
      </c>
      <c r="E19" s="24" t="n">
        <v>0</v>
      </c>
      <c r="F19" s="24" t="n">
        <v>82043.63</v>
      </c>
      <c r="G19" s="24" t="n">
        <v>82043.63</v>
      </c>
      <c r="H19" s="24" t="n">
        <v>0</v>
      </c>
      <c r="I19" s="24" t="n">
        <f aca="false">G19+H19</f>
        <v>82043.63</v>
      </c>
      <c r="J19" s="24" t="n">
        <f aca="false">D19-I19</f>
        <v>0</v>
      </c>
      <c r="K19" s="25" t="s">
        <v>116</v>
      </c>
      <c r="L19" s="25" t="s">
        <v>117</v>
      </c>
    </row>
    <row r="20" customFormat="false" ht="15" hidden="false" customHeight="false" outlineLevel="0" collapsed="false">
      <c r="A20" s="23" t="n">
        <v>4</v>
      </c>
      <c r="B20" s="23" t="s">
        <v>80</v>
      </c>
      <c r="C20" s="23" t="s">
        <v>15</v>
      </c>
      <c r="D20" s="24" t="n">
        <v>319628.9</v>
      </c>
      <c r="E20" s="24" t="n">
        <v>0</v>
      </c>
      <c r="F20" s="24" t="n">
        <v>0</v>
      </c>
      <c r="G20" s="24" t="n">
        <v>37290.04</v>
      </c>
      <c r="H20" s="24" t="n">
        <v>11622.87</v>
      </c>
      <c r="I20" s="24" t="n">
        <f aca="false">G20+H20</f>
        <v>48912.91</v>
      </c>
      <c r="J20" s="24" t="n">
        <f aca="false">D20-I20</f>
        <v>270715.99</v>
      </c>
      <c r="K20" s="25" t="s">
        <v>114</v>
      </c>
      <c r="L20" s="25" t="s">
        <v>115</v>
      </c>
    </row>
    <row r="21" customFormat="false" ht="15" hidden="false" customHeight="false" outlineLevel="0" collapsed="false">
      <c r="A21" s="23" t="n">
        <v>5</v>
      </c>
      <c r="B21" s="23" t="s">
        <v>81</v>
      </c>
      <c r="C21" s="23" t="s">
        <v>15</v>
      </c>
      <c r="D21" s="24" t="n">
        <v>6252.15</v>
      </c>
      <c r="E21" s="24" t="n">
        <v>0</v>
      </c>
      <c r="F21" s="24" t="n">
        <v>6252.15</v>
      </c>
      <c r="G21" s="24" t="n">
        <v>6252.15</v>
      </c>
      <c r="H21" s="24" t="n">
        <v>0</v>
      </c>
      <c r="I21" s="24" t="n">
        <f aca="false">G21+H21</f>
        <v>6252.15</v>
      </c>
      <c r="J21" s="24" t="n">
        <f aca="false">D21-I21</f>
        <v>0</v>
      </c>
      <c r="K21" s="25" t="s">
        <v>116</v>
      </c>
      <c r="L21" s="25" t="s">
        <v>117</v>
      </c>
    </row>
    <row r="22" customFormat="false" ht="15" hidden="false" customHeight="false" outlineLevel="0" collapsed="false">
      <c r="A22" s="23" t="n">
        <v>6</v>
      </c>
      <c r="B22" s="23" t="s">
        <v>82</v>
      </c>
      <c r="C22" s="23" t="s">
        <v>15</v>
      </c>
      <c r="D22" s="24" t="n">
        <v>24357.37</v>
      </c>
      <c r="E22" s="24" t="n">
        <v>0</v>
      </c>
      <c r="F22" s="24" t="n">
        <v>0</v>
      </c>
      <c r="G22" s="24" t="n">
        <v>2841.69</v>
      </c>
      <c r="H22" s="24" t="n">
        <v>885.72</v>
      </c>
      <c r="I22" s="24" t="n">
        <f aca="false">G22+H22</f>
        <v>3727.41</v>
      </c>
      <c r="J22" s="24" t="n">
        <f aca="false">D22-I22</f>
        <v>20629.96</v>
      </c>
      <c r="K22" s="25" t="s">
        <v>114</v>
      </c>
      <c r="L22" s="25" t="s">
        <v>115</v>
      </c>
    </row>
    <row r="23" customFormat="false" ht="15" hidden="false" customHeight="false" outlineLevel="0" collapsed="false">
      <c r="A23" s="26"/>
      <c r="B23" s="27" t="s">
        <v>39</v>
      </c>
      <c r="C23" s="26"/>
      <c r="D23" s="28" t="n">
        <f aca="false">SUM(D17:D22)</f>
        <v>473434.84</v>
      </c>
      <c r="E23" s="28" t="n">
        <f aca="false">SUM(E17:E22)</f>
        <v>0</v>
      </c>
      <c r="F23" s="28" t="n">
        <f aca="false">SUM(F17:F22)</f>
        <v>96701.44</v>
      </c>
      <c r="G23" s="28" t="n">
        <f aca="false">SUM(G17:G22)</f>
        <v>140653.65</v>
      </c>
      <c r="H23" s="28" t="n">
        <f aca="false">SUM(H17:H22)</f>
        <v>13699.39</v>
      </c>
      <c r="I23" s="28" t="n">
        <f aca="false">SUM(I17:I22)</f>
        <v>154353.04</v>
      </c>
      <c r="J23" s="28" t="n">
        <f aca="false">SUM(J17:J22)</f>
        <v>319081.8</v>
      </c>
      <c r="K23" s="26"/>
      <c r="L23" s="26"/>
    </row>
    <row r="25" customFormat="false" ht="15" hidden="false" customHeight="false" outlineLevel="0" collapsed="false">
      <c r="B25" s="18" t="s">
        <v>119</v>
      </c>
    </row>
    <row r="26" customFormat="false" ht="15" hidden="false" customHeight="false" outlineLevel="0" collapsed="false">
      <c r="B26" s="5" t="s">
        <v>120</v>
      </c>
      <c r="D26" s="6" t="n">
        <f aca="false">I13</f>
        <v>133235.56</v>
      </c>
    </row>
    <row r="27" customFormat="false" ht="15" hidden="false" customHeight="false" outlineLevel="0" collapsed="false">
      <c r="B27" s="5" t="s">
        <v>121</v>
      </c>
      <c r="D27" s="6" t="n">
        <f aca="false">I23</f>
        <v>154353.04</v>
      </c>
    </row>
    <row r="28" customFormat="false" ht="15" hidden="false" customHeight="false" outlineLevel="0" collapsed="false">
      <c r="B28" s="11" t="s">
        <v>119</v>
      </c>
      <c r="D28" s="29" t="n">
        <f aca="false">D26-D27</f>
        <v>-21117.48</v>
      </c>
    </row>
    <row r="30" customFormat="false" ht="15" hidden="false" customHeight="false" outlineLevel="0" collapsed="false">
      <c r="A30" s="10" t="s">
        <v>122</v>
      </c>
    </row>
    <row r="31" customFormat="false" ht="15" hidden="false" customHeight="false" outlineLevel="0" collapsed="false">
      <c r="A31" s="21" t="s">
        <v>123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22.35" hidden="false" customHeight="false" outlineLevel="0" collapsed="false">
      <c r="A32" s="4" t="s">
        <v>100</v>
      </c>
      <c r="B32" s="4" t="s">
        <v>101</v>
      </c>
      <c r="C32" s="4" t="s">
        <v>102</v>
      </c>
      <c r="D32" s="4" t="s">
        <v>103</v>
      </c>
      <c r="E32" s="4" t="s">
        <v>104</v>
      </c>
      <c r="F32" s="4" t="s">
        <v>105</v>
      </c>
      <c r="G32" s="4" t="s">
        <v>124</v>
      </c>
      <c r="H32" s="4" t="s">
        <v>125</v>
      </c>
      <c r="I32" s="4" t="s">
        <v>108</v>
      </c>
      <c r="J32" s="4" t="s">
        <v>109</v>
      </c>
      <c r="K32" s="4" t="s">
        <v>110</v>
      </c>
      <c r="L32" s="4" t="s">
        <v>111</v>
      </c>
    </row>
    <row r="33" customFormat="false" ht="15" hidden="false" customHeight="false" outlineLevel="0" collapsed="false">
      <c r="A33" s="23" t="n">
        <v>1</v>
      </c>
      <c r="B33" s="23" t="s">
        <v>34</v>
      </c>
      <c r="C33" s="23" t="s">
        <v>15</v>
      </c>
      <c r="D33" s="24" t="n">
        <v>41152.79</v>
      </c>
      <c r="E33" s="24" t="n">
        <v>0</v>
      </c>
      <c r="F33" s="24" t="n">
        <v>41152.79</v>
      </c>
      <c r="G33" s="24" t="n">
        <v>41152.79</v>
      </c>
      <c r="H33" s="24" t="n">
        <v>0</v>
      </c>
      <c r="I33" s="24" t="n">
        <f aca="false">G33+H33</f>
        <v>41152.79</v>
      </c>
      <c r="J33" s="24" t="n">
        <f aca="false">D33-I33</f>
        <v>0</v>
      </c>
      <c r="K33" s="25" t="s">
        <v>112</v>
      </c>
      <c r="L33" s="25" t="s">
        <v>113</v>
      </c>
    </row>
    <row r="34" customFormat="false" ht="15" hidden="false" customHeight="false" outlineLevel="0" collapsed="false">
      <c r="A34" s="23" t="n">
        <v>2</v>
      </c>
      <c r="B34" s="23" t="s">
        <v>35</v>
      </c>
      <c r="C34" s="23" t="s">
        <v>15</v>
      </c>
      <c r="D34" s="24" t="n">
        <v>401672.53</v>
      </c>
      <c r="E34" s="24" t="n">
        <v>0</v>
      </c>
      <c r="F34" s="24" t="n">
        <v>0</v>
      </c>
      <c r="G34" s="24" t="n">
        <v>46866.91</v>
      </c>
      <c r="H34" s="24" t="n">
        <v>14606.34</v>
      </c>
      <c r="I34" s="24" t="n">
        <f aca="false">G34+H34</f>
        <v>61473.25</v>
      </c>
      <c r="J34" s="24" t="n">
        <f aca="false">D34-I34</f>
        <v>340199.28</v>
      </c>
      <c r="K34" s="25" t="s">
        <v>114</v>
      </c>
      <c r="L34" s="25" t="s">
        <v>115</v>
      </c>
    </row>
    <row r="35" customFormat="false" ht="15" hidden="false" customHeight="false" outlineLevel="0" collapsed="false">
      <c r="A35" s="23" t="n">
        <v>3</v>
      </c>
      <c r="B35" s="23" t="s">
        <v>36</v>
      </c>
      <c r="C35" s="23" t="s">
        <v>15</v>
      </c>
      <c r="D35" s="24" t="n">
        <v>30609.52</v>
      </c>
      <c r="E35" s="24" t="n">
        <v>0</v>
      </c>
      <c r="F35" s="24" t="n">
        <v>30609.52</v>
      </c>
      <c r="G35" s="24" t="n">
        <v>30609.52</v>
      </c>
      <c r="H35" s="24" t="n">
        <v>0</v>
      </c>
      <c r="I35" s="24" t="n">
        <f aca="false">G35+H35</f>
        <v>30609.52</v>
      </c>
      <c r="J35" s="24" t="n">
        <f aca="false">D35-I35</f>
        <v>0</v>
      </c>
      <c r="K35" s="25" t="s">
        <v>116</v>
      </c>
      <c r="L35" s="25" t="s">
        <v>117</v>
      </c>
    </row>
    <row r="36" customFormat="false" ht="15" hidden="false" customHeight="false" outlineLevel="0" collapsed="false">
      <c r="A36" s="26"/>
      <c r="B36" s="27" t="s">
        <v>39</v>
      </c>
      <c r="C36" s="26"/>
      <c r="D36" s="28" t="n">
        <f aca="false">SUM(D33:D35)</f>
        <v>473434.84</v>
      </c>
      <c r="E36" s="28" t="n">
        <f aca="false">SUM(E33:E35)</f>
        <v>0</v>
      </c>
      <c r="F36" s="28" t="n">
        <f aca="false">SUM(F33:F35)</f>
        <v>71762.31</v>
      </c>
      <c r="G36" s="28" t="n">
        <f aca="false">SUM(G33:G35)</f>
        <v>118629.22</v>
      </c>
      <c r="H36" s="28" t="n">
        <f aca="false">SUM(H33:H35)</f>
        <v>14606.34</v>
      </c>
      <c r="I36" s="28" t="n">
        <f aca="false">SUM(I33:I35)</f>
        <v>133235.56</v>
      </c>
      <c r="J36" s="28" t="n">
        <f aca="false">SUM(J33:J35)</f>
        <v>340199.28</v>
      </c>
      <c r="K36" s="26"/>
      <c r="L36" s="26"/>
    </row>
    <row r="38" customFormat="false" ht="15" hidden="false" customHeight="false" outlineLevel="0" collapsed="false">
      <c r="A38" s="21" t="s">
        <v>126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22.35" hidden="false" customHeight="false" outlineLevel="0" collapsed="false">
      <c r="A39" s="4" t="s">
        <v>100</v>
      </c>
      <c r="B39" s="4" t="s">
        <v>101</v>
      </c>
      <c r="C39" s="4" t="s">
        <v>102</v>
      </c>
      <c r="D39" s="4" t="s">
        <v>103</v>
      </c>
      <c r="E39" s="4" t="s">
        <v>104</v>
      </c>
      <c r="F39" s="4" t="s">
        <v>105</v>
      </c>
      <c r="G39" s="4" t="s">
        <v>124</v>
      </c>
      <c r="H39" s="4" t="s">
        <v>125</v>
      </c>
      <c r="I39" s="4" t="s">
        <v>108</v>
      </c>
      <c r="J39" s="4" t="s">
        <v>109</v>
      </c>
      <c r="K39" s="4" t="s">
        <v>110</v>
      </c>
      <c r="L39" s="4" t="s">
        <v>111</v>
      </c>
    </row>
    <row r="40" customFormat="false" ht="15" hidden="false" customHeight="false" outlineLevel="0" collapsed="false">
      <c r="A40" s="23" t="n">
        <v>1</v>
      </c>
      <c r="B40" s="23" t="s">
        <v>77</v>
      </c>
      <c r="C40" s="23" t="s">
        <v>15</v>
      </c>
      <c r="D40" s="24" t="n">
        <v>8405.66</v>
      </c>
      <c r="E40" s="24" t="n">
        <v>0</v>
      </c>
      <c r="F40" s="24" t="n">
        <v>8405.66</v>
      </c>
      <c r="G40" s="24" t="n">
        <v>8405.66</v>
      </c>
      <c r="H40" s="24" t="n">
        <v>0</v>
      </c>
      <c r="I40" s="24" t="n">
        <f aca="false">G40+H40</f>
        <v>8405.66</v>
      </c>
      <c r="J40" s="24" t="n">
        <f aca="false">D40-I40</f>
        <v>0</v>
      </c>
      <c r="K40" s="25" t="s">
        <v>116</v>
      </c>
      <c r="L40" s="25" t="s">
        <v>117</v>
      </c>
    </row>
    <row r="41" customFormat="false" ht="15" hidden="false" customHeight="false" outlineLevel="0" collapsed="false">
      <c r="A41" s="23" t="n">
        <v>2</v>
      </c>
      <c r="B41" s="23" t="s">
        <v>78</v>
      </c>
      <c r="C41" s="23" t="s">
        <v>15</v>
      </c>
      <c r="D41" s="24" t="n">
        <v>32747.13</v>
      </c>
      <c r="E41" s="24" t="n">
        <v>0</v>
      </c>
      <c r="F41" s="24" t="n">
        <v>0</v>
      </c>
      <c r="G41" s="24" t="n">
        <v>3820.48</v>
      </c>
      <c r="H41" s="24" t="n">
        <v>1190.8</v>
      </c>
      <c r="I41" s="24" t="n">
        <f aca="false">G41+H41</f>
        <v>5011.28</v>
      </c>
      <c r="J41" s="24" t="n">
        <f aca="false">D41-I41</f>
        <v>27735.85</v>
      </c>
      <c r="K41" s="25" t="s">
        <v>114</v>
      </c>
      <c r="L41" s="25" t="s">
        <v>115</v>
      </c>
    </row>
    <row r="42" customFormat="false" ht="15" hidden="false" customHeight="false" outlineLevel="0" collapsed="false">
      <c r="A42" s="23" t="n">
        <v>3</v>
      </c>
      <c r="B42" s="23" t="s">
        <v>79</v>
      </c>
      <c r="C42" s="23" t="s">
        <v>15</v>
      </c>
      <c r="D42" s="24" t="n">
        <v>82043.63</v>
      </c>
      <c r="E42" s="24" t="n">
        <v>0</v>
      </c>
      <c r="F42" s="24" t="n">
        <v>82043.63</v>
      </c>
      <c r="G42" s="24" t="n">
        <v>82043.63</v>
      </c>
      <c r="H42" s="24" t="n">
        <v>0</v>
      </c>
      <c r="I42" s="24" t="n">
        <f aca="false">G42+H42</f>
        <v>82043.63</v>
      </c>
      <c r="J42" s="24" t="n">
        <f aca="false">D42-I42</f>
        <v>0</v>
      </c>
      <c r="K42" s="25" t="s">
        <v>116</v>
      </c>
      <c r="L42" s="25" t="s">
        <v>117</v>
      </c>
    </row>
    <row r="43" customFormat="false" ht="15" hidden="false" customHeight="false" outlineLevel="0" collapsed="false">
      <c r="A43" s="23" t="n">
        <v>4</v>
      </c>
      <c r="B43" s="23" t="s">
        <v>80</v>
      </c>
      <c r="C43" s="23" t="s">
        <v>15</v>
      </c>
      <c r="D43" s="24" t="n">
        <v>319628.9</v>
      </c>
      <c r="E43" s="24" t="n">
        <v>0</v>
      </c>
      <c r="F43" s="24" t="n">
        <v>0</v>
      </c>
      <c r="G43" s="24" t="n">
        <v>37290.04</v>
      </c>
      <c r="H43" s="24" t="n">
        <v>11622.87</v>
      </c>
      <c r="I43" s="24" t="n">
        <f aca="false">G43+H43</f>
        <v>48912.91</v>
      </c>
      <c r="J43" s="24" t="n">
        <f aca="false">D43-I43</f>
        <v>270715.99</v>
      </c>
      <c r="K43" s="25" t="s">
        <v>114</v>
      </c>
      <c r="L43" s="25" t="s">
        <v>115</v>
      </c>
    </row>
    <row r="44" customFormat="false" ht="15" hidden="false" customHeight="false" outlineLevel="0" collapsed="false">
      <c r="A44" s="23" t="n">
        <v>5</v>
      </c>
      <c r="B44" s="23" t="s">
        <v>81</v>
      </c>
      <c r="C44" s="23" t="s">
        <v>15</v>
      </c>
      <c r="D44" s="24" t="n">
        <v>6252.15</v>
      </c>
      <c r="E44" s="24" t="n">
        <v>0</v>
      </c>
      <c r="F44" s="24" t="n">
        <v>6252.15</v>
      </c>
      <c r="G44" s="24" t="n">
        <v>6252.15</v>
      </c>
      <c r="H44" s="24" t="n">
        <v>0</v>
      </c>
      <c r="I44" s="24" t="n">
        <f aca="false">G44+H44</f>
        <v>6252.15</v>
      </c>
      <c r="J44" s="24" t="n">
        <f aca="false">D44-I44</f>
        <v>0</v>
      </c>
      <c r="K44" s="25" t="s">
        <v>116</v>
      </c>
      <c r="L44" s="25" t="s">
        <v>117</v>
      </c>
    </row>
    <row r="45" customFormat="false" ht="15" hidden="false" customHeight="false" outlineLevel="0" collapsed="false">
      <c r="A45" s="23" t="n">
        <v>6</v>
      </c>
      <c r="B45" s="23" t="s">
        <v>82</v>
      </c>
      <c r="C45" s="23" t="s">
        <v>15</v>
      </c>
      <c r="D45" s="24" t="n">
        <v>24357.37</v>
      </c>
      <c r="E45" s="24" t="n">
        <v>0</v>
      </c>
      <c r="F45" s="24" t="n">
        <v>0</v>
      </c>
      <c r="G45" s="24" t="n">
        <v>2841.69</v>
      </c>
      <c r="H45" s="24" t="n">
        <v>885.72</v>
      </c>
      <c r="I45" s="24" t="n">
        <f aca="false">G45+H45</f>
        <v>3727.41</v>
      </c>
      <c r="J45" s="24" t="n">
        <f aca="false">D45-I45</f>
        <v>20629.96</v>
      </c>
      <c r="K45" s="25" t="s">
        <v>114</v>
      </c>
      <c r="L45" s="25" t="s">
        <v>115</v>
      </c>
    </row>
    <row r="46" customFormat="false" ht="15" hidden="false" customHeight="false" outlineLevel="0" collapsed="false">
      <c r="A46" s="26"/>
      <c r="B46" s="27" t="s">
        <v>39</v>
      </c>
      <c r="C46" s="26"/>
      <c r="D46" s="28" t="n">
        <f aca="false">SUM(D40:D45)</f>
        <v>473434.84</v>
      </c>
      <c r="E46" s="28" t="n">
        <f aca="false">SUM(E40:E45)</f>
        <v>0</v>
      </c>
      <c r="F46" s="28" t="n">
        <f aca="false">SUM(F40:F45)</f>
        <v>96701.44</v>
      </c>
      <c r="G46" s="28" t="n">
        <f aca="false">SUM(G40:G45)</f>
        <v>140653.65</v>
      </c>
      <c r="H46" s="28" t="n">
        <f aca="false">SUM(H40:H45)</f>
        <v>13699.39</v>
      </c>
      <c r="I46" s="28" t="n">
        <f aca="false">SUM(I40:I45)</f>
        <v>154353.04</v>
      </c>
      <c r="J46" s="28" t="n">
        <f aca="false">SUM(J40:J45)</f>
        <v>319081.8</v>
      </c>
      <c r="K46" s="26"/>
      <c r="L46" s="26"/>
    </row>
    <row r="48" customFormat="false" ht="15" hidden="false" customHeight="false" outlineLevel="0" collapsed="false">
      <c r="B48" s="18" t="s">
        <v>127</v>
      </c>
    </row>
    <row r="49" customFormat="false" ht="15" hidden="false" customHeight="false" outlineLevel="0" collapsed="false">
      <c r="B49" s="5" t="s">
        <v>120</v>
      </c>
      <c r="D49" s="6" t="n">
        <f aca="false">I36</f>
        <v>133235.56</v>
      </c>
    </row>
    <row r="50" customFormat="false" ht="15" hidden="false" customHeight="false" outlineLevel="0" collapsed="false">
      <c r="B50" s="5" t="s">
        <v>121</v>
      </c>
      <c r="D50" s="6" t="n">
        <f aca="false">I46</f>
        <v>154353.04</v>
      </c>
    </row>
    <row r="51" customFormat="false" ht="15" hidden="false" customHeight="false" outlineLevel="0" collapsed="false">
      <c r="B51" s="11" t="s">
        <v>127</v>
      </c>
      <c r="D51" s="29" t="n">
        <f aca="false">D49-D50</f>
        <v>-21117.48</v>
      </c>
    </row>
    <row r="53" customFormat="false" ht="15" hidden="false" customHeight="false" outlineLevel="0" collapsed="false">
      <c r="A53" s="10" t="s">
        <v>128</v>
      </c>
    </row>
    <row r="54" customFormat="false" ht="15" hidden="false" customHeight="false" outlineLevel="0" collapsed="false">
      <c r="B54" s="11" t="s">
        <v>159</v>
      </c>
      <c r="D54" s="12" t="n">
        <f aca="false">D91</f>
        <v>473434.84</v>
      </c>
    </row>
    <row r="55" customFormat="false" ht="15" hidden="false" customHeight="false" outlineLevel="0" collapsed="false">
      <c r="B55" s="5" t="s">
        <v>160</v>
      </c>
      <c r="D55" s="6" t="n">
        <f aca="false">F91</f>
        <v>96701.44</v>
      </c>
    </row>
    <row r="56" customFormat="false" ht="15" hidden="false" customHeight="false" outlineLevel="0" collapsed="false">
      <c r="B56" s="30" t="s">
        <v>131</v>
      </c>
      <c r="D56" s="31" t="n">
        <f aca="false">F92</f>
        <v>0.204255014269757</v>
      </c>
    </row>
    <row r="57" customFormat="false" ht="15" hidden="false" customHeight="false" outlineLevel="0" collapsed="false">
      <c r="B57" s="5" t="s">
        <v>161</v>
      </c>
      <c r="D57" s="6" t="n">
        <f aca="false">H91</f>
        <v>376733.4</v>
      </c>
    </row>
    <row r="58" customFormat="false" ht="15" hidden="false" customHeight="false" outlineLevel="0" collapsed="false">
      <c r="B58" s="30" t="s">
        <v>131</v>
      </c>
      <c r="D58" s="31" t="n">
        <f aca="false">H92</f>
        <v>0.795744985730243</v>
      </c>
    </row>
    <row r="60" customFormat="false" ht="15" hidden="false" customHeight="false" outlineLevel="0" collapsed="false">
      <c r="A60" s="10" t="s">
        <v>133</v>
      </c>
    </row>
    <row r="61" customFormat="false" ht="15" hidden="false" customHeight="false" outlineLevel="0" collapsed="false">
      <c r="B61" s="4" t="s">
        <v>134</v>
      </c>
      <c r="D61" s="4" t="s">
        <v>103</v>
      </c>
      <c r="F61" s="4" t="s">
        <v>162</v>
      </c>
      <c r="H61" s="4" t="s">
        <v>136</v>
      </c>
    </row>
    <row r="62" customFormat="false" ht="15" hidden="false" customHeight="false" outlineLevel="0" collapsed="false">
      <c r="B62" s="32" t="s">
        <v>163</v>
      </c>
    </row>
    <row r="63" customFormat="false" ht="15" hidden="false" customHeight="false" outlineLevel="0" collapsed="false">
      <c r="B63" s="5" t="s">
        <v>164</v>
      </c>
      <c r="D63" s="33" t="n">
        <f aca="false">SUM(F63:H63)</f>
        <v>14397.17</v>
      </c>
      <c r="F63" s="33" t="n">
        <v>14397.17</v>
      </c>
    </row>
    <row r="64" customFormat="false" ht="15" hidden="false" customHeight="false" outlineLevel="0" collapsed="false">
      <c r="B64" s="5" t="s">
        <v>165</v>
      </c>
      <c r="D64" s="33" t="n">
        <f aca="false">SUM(F64:H64)</f>
        <v>9008.6</v>
      </c>
      <c r="F64" s="33" t="n">
        <v>9008.6</v>
      </c>
    </row>
    <row r="65" customFormat="false" ht="15" hidden="false" customHeight="false" outlineLevel="0" collapsed="false">
      <c r="B65" s="5" t="s">
        <v>166</v>
      </c>
      <c r="D65" s="33" t="n">
        <f aca="false">SUM(F65:H65)</f>
        <v>35260.48</v>
      </c>
      <c r="F65" s="33" t="n">
        <v>35260.48</v>
      </c>
    </row>
    <row r="66" customFormat="false" ht="15" hidden="false" customHeight="false" outlineLevel="0" collapsed="false">
      <c r="B66" s="5" t="s">
        <v>167</v>
      </c>
      <c r="D66" s="33" t="n">
        <f aca="false">SUM(F66:H66)</f>
        <v>3082.53</v>
      </c>
      <c r="F66" s="33" t="n">
        <v>3082.53</v>
      </c>
    </row>
    <row r="67" customFormat="false" ht="15" hidden="false" customHeight="false" outlineLevel="0" collapsed="false">
      <c r="B67" s="5" t="s">
        <v>195</v>
      </c>
      <c r="D67" s="33" t="n">
        <f aca="false">SUM(F67:H67)</f>
        <v>281.84</v>
      </c>
      <c r="F67" s="33" t="n">
        <v>281.84</v>
      </c>
    </row>
    <row r="68" customFormat="false" ht="15" hidden="false" customHeight="false" outlineLevel="0" collapsed="false">
      <c r="B68" s="5" t="s">
        <v>169</v>
      </c>
      <c r="D68" s="33" t="n">
        <f aca="false">SUM(F68:H68)</f>
        <v>7199.04</v>
      </c>
      <c r="F68" s="33" t="n">
        <v>7199.04</v>
      </c>
    </row>
    <row r="69" customFormat="false" ht="15" hidden="false" customHeight="false" outlineLevel="0" collapsed="false">
      <c r="B69" s="5" t="s">
        <v>170</v>
      </c>
      <c r="D69" s="33" t="n">
        <f aca="false">SUM(F69:H69)</f>
        <v>3080.11</v>
      </c>
      <c r="F69" s="33" t="n">
        <v>3080.11</v>
      </c>
    </row>
    <row r="70" customFormat="false" ht="15" hidden="false" customHeight="false" outlineLevel="0" collapsed="false">
      <c r="B70" s="5" t="s">
        <v>196</v>
      </c>
      <c r="D70" s="33" t="n">
        <f aca="false">SUM(F70:H70)</f>
        <v>10047.72</v>
      </c>
      <c r="F70" s="33" t="n">
        <v>10047.72</v>
      </c>
    </row>
    <row r="71" customFormat="false" ht="15" hidden="false" customHeight="false" outlineLevel="0" collapsed="false">
      <c r="B71" s="5" t="s">
        <v>172</v>
      </c>
      <c r="D71" s="33" t="n">
        <f aca="false">SUM(F71:H71)</f>
        <v>1797.27</v>
      </c>
      <c r="F71" s="33" t="n">
        <v>1797.27</v>
      </c>
    </row>
    <row r="72" customFormat="false" ht="15" hidden="false" customHeight="false" outlineLevel="0" collapsed="false">
      <c r="B72" s="5" t="s">
        <v>174</v>
      </c>
      <c r="D72" s="33" t="n">
        <f aca="false">SUM(F72:H72)</f>
        <v>12546.68</v>
      </c>
      <c r="F72" s="33" t="n">
        <v>12546.68</v>
      </c>
    </row>
    <row r="73" customFormat="false" ht="15" hidden="false" customHeight="false" outlineLevel="0" collapsed="false">
      <c r="B73" s="32" t="s">
        <v>175</v>
      </c>
    </row>
    <row r="74" customFormat="false" ht="15" hidden="false" customHeight="false" outlineLevel="0" collapsed="false">
      <c r="B74" s="5" t="s">
        <v>176</v>
      </c>
      <c r="D74" s="33" t="n">
        <f aca="false">SUM(F74:H74)</f>
        <v>14578.39</v>
      </c>
      <c r="H74" s="33" t="n">
        <v>14578.39</v>
      </c>
    </row>
    <row r="75" customFormat="false" ht="15" hidden="false" customHeight="false" outlineLevel="0" collapsed="false">
      <c r="B75" s="5" t="s">
        <v>177</v>
      </c>
      <c r="D75" s="33" t="n">
        <f aca="false">SUM(F75:H75)</f>
        <v>24046.3</v>
      </c>
      <c r="H75" s="33" t="n">
        <v>24046.3</v>
      </c>
    </row>
    <row r="76" customFormat="false" ht="15" hidden="false" customHeight="false" outlineLevel="0" collapsed="false">
      <c r="B76" s="5" t="s">
        <v>178</v>
      </c>
      <c r="D76" s="33" t="n">
        <f aca="false">SUM(F76:H76)</f>
        <v>34611.88</v>
      </c>
      <c r="H76" s="33" t="n">
        <v>34611.88</v>
      </c>
    </row>
    <row r="77" customFormat="false" ht="15" hidden="false" customHeight="false" outlineLevel="0" collapsed="false">
      <c r="B77" s="5" t="s">
        <v>179</v>
      </c>
      <c r="D77" s="33" t="n">
        <f aca="false">SUM(F77:H77)</f>
        <v>37471.27</v>
      </c>
      <c r="H77" s="33" t="n">
        <v>37471.27</v>
      </c>
    </row>
    <row r="78" customFormat="false" ht="15" hidden="false" customHeight="false" outlineLevel="0" collapsed="false">
      <c r="B78" s="5" t="s">
        <v>180</v>
      </c>
      <c r="D78" s="33" t="n">
        <f aca="false">SUM(F78:H78)</f>
        <v>30087.91</v>
      </c>
      <c r="H78" s="33" t="n">
        <v>30087.91</v>
      </c>
    </row>
    <row r="79" customFormat="false" ht="15" hidden="false" customHeight="false" outlineLevel="0" collapsed="false">
      <c r="B79" s="5" t="s">
        <v>181</v>
      </c>
      <c r="D79" s="33" t="n">
        <f aca="false">SUM(F79:H79)</f>
        <v>2346.02</v>
      </c>
      <c r="H79" s="33" t="n">
        <v>2346.02</v>
      </c>
    </row>
    <row r="80" customFormat="false" ht="15" hidden="false" customHeight="false" outlineLevel="0" collapsed="false">
      <c r="B80" s="5" t="s">
        <v>182</v>
      </c>
      <c r="D80" s="33" t="n">
        <f aca="false">SUM(F80:H80)</f>
        <v>39682.92</v>
      </c>
      <c r="H80" s="33" t="n">
        <v>39682.92</v>
      </c>
    </row>
    <row r="81" customFormat="false" ht="15" hidden="false" customHeight="false" outlineLevel="0" collapsed="false">
      <c r="B81" s="5" t="s">
        <v>183</v>
      </c>
      <c r="D81" s="33" t="n">
        <f aca="false">SUM(F81:H81)</f>
        <v>29543.65</v>
      </c>
      <c r="H81" s="33" t="n">
        <v>29543.65</v>
      </c>
    </row>
    <row r="82" customFormat="false" ht="15" hidden="false" customHeight="false" outlineLevel="0" collapsed="false">
      <c r="B82" s="5" t="s">
        <v>184</v>
      </c>
      <c r="D82" s="33" t="n">
        <f aca="false">SUM(F82:H82)</f>
        <v>13586.51</v>
      </c>
      <c r="H82" s="33" t="n">
        <v>13586.51</v>
      </c>
    </row>
    <row r="83" customFormat="false" ht="15" hidden="false" customHeight="false" outlineLevel="0" collapsed="false">
      <c r="B83" s="5" t="s">
        <v>185</v>
      </c>
      <c r="D83" s="33" t="n">
        <f aca="false">SUM(F83:H83)</f>
        <v>15703.63</v>
      </c>
      <c r="H83" s="33" t="n">
        <v>15703.63</v>
      </c>
    </row>
    <row r="84" customFormat="false" ht="15" hidden="false" customHeight="false" outlineLevel="0" collapsed="false">
      <c r="B84" s="5" t="s">
        <v>186</v>
      </c>
      <c r="D84" s="33" t="n">
        <f aca="false">SUM(F84:H84)</f>
        <v>39231.5</v>
      </c>
      <c r="H84" s="33" t="n">
        <v>39231.5</v>
      </c>
    </row>
    <row r="85" customFormat="false" ht="15" hidden="false" customHeight="false" outlineLevel="0" collapsed="false">
      <c r="B85" s="5" t="s">
        <v>187</v>
      </c>
      <c r="D85" s="33" t="n">
        <f aca="false">SUM(F85:H85)</f>
        <v>17248.35</v>
      </c>
      <c r="H85" s="33" t="n">
        <v>17248.35</v>
      </c>
    </row>
    <row r="86" customFormat="false" ht="15" hidden="false" customHeight="false" outlineLevel="0" collapsed="false">
      <c r="B86" s="5" t="s">
        <v>188</v>
      </c>
      <c r="D86" s="33" t="n">
        <f aca="false">SUM(F86:H86)</f>
        <v>1732.68</v>
      </c>
      <c r="H86" s="33" t="n">
        <v>1732.68</v>
      </c>
    </row>
    <row r="87" customFormat="false" ht="15" hidden="false" customHeight="false" outlineLevel="0" collapsed="false">
      <c r="B87" s="5" t="s">
        <v>190</v>
      </c>
      <c r="D87" s="33" t="n">
        <f aca="false">SUM(F87:H87)</f>
        <v>59397.15</v>
      </c>
      <c r="H87" s="33" t="n">
        <v>59397.15</v>
      </c>
    </row>
    <row r="88" customFormat="false" ht="15" hidden="false" customHeight="false" outlineLevel="0" collapsed="false">
      <c r="B88" s="5" t="s">
        <v>191</v>
      </c>
      <c r="D88" s="33" t="n">
        <f aca="false">SUM(F88:H88)</f>
        <v>10679</v>
      </c>
      <c r="H88" s="33" t="n">
        <v>10679</v>
      </c>
    </row>
    <row r="89" customFormat="false" ht="15" hidden="false" customHeight="false" outlineLevel="0" collapsed="false">
      <c r="B89" s="5" t="s">
        <v>193</v>
      </c>
      <c r="D89" s="33" t="n">
        <f aca="false">SUM(F89:H89)</f>
        <v>3863.69</v>
      </c>
      <c r="H89" s="33" t="n">
        <v>3863.69</v>
      </c>
    </row>
    <row r="90" customFormat="false" ht="15" hidden="false" customHeight="false" outlineLevel="0" collapsed="false">
      <c r="B90" s="5" t="s">
        <v>197</v>
      </c>
      <c r="D90" s="33" t="n">
        <f aca="false">SUM(F90:H90)</f>
        <v>2922.55</v>
      </c>
      <c r="H90" s="33" t="n">
        <v>2922.55</v>
      </c>
    </row>
    <row r="91" customFormat="false" ht="15" hidden="false" customHeight="false" outlineLevel="0" collapsed="false">
      <c r="B91" s="11" t="s">
        <v>159</v>
      </c>
      <c r="D91" s="34" t="n">
        <f aca="false">SUM(D62:D90)</f>
        <v>473434.84</v>
      </c>
      <c r="F91" s="34" t="n">
        <f aca="false">SUM(F62:F90)</f>
        <v>96701.44</v>
      </c>
      <c r="H91" s="34" t="n">
        <f aca="false">SUM(H62:H90)</f>
        <v>376733.4</v>
      </c>
    </row>
    <row r="92" customFormat="false" ht="15" hidden="false" customHeight="false" outlineLevel="0" collapsed="false">
      <c r="B92" s="30" t="s">
        <v>131</v>
      </c>
      <c r="F92" s="31" t="n">
        <f aca="false">F91/D91</f>
        <v>0.204255014269757</v>
      </c>
      <c r="H92" s="31" t="n">
        <f aca="false">H91/D91</f>
        <v>0.795744985730243</v>
      </c>
    </row>
    <row r="94" customFormat="false" ht="15" hidden="false" customHeight="false" outlineLevel="0" collapsed="false">
      <c r="A94" s="10" t="s">
        <v>154</v>
      </c>
    </row>
    <row r="95" customFormat="false" ht="15" hidden="false" customHeight="false" outlineLevel="0" collapsed="false">
      <c r="B95" s="4" t="s">
        <v>155</v>
      </c>
      <c r="D95" s="4" t="s">
        <v>103</v>
      </c>
      <c r="F95" s="4" t="s">
        <v>162</v>
      </c>
      <c r="H95" s="4" t="s">
        <v>136</v>
      </c>
    </row>
    <row r="96" customFormat="false" ht="15" hidden="false" customHeight="false" outlineLevel="0" collapsed="false">
      <c r="B96" s="5" t="str">
        <f aca="false">'Building 5'!B17</f>
        <v>2 - Land Imp - Peter St - 5 - 5yr</v>
      </c>
      <c r="D96" s="33" t="n">
        <f aca="false">SUM(F96:H96)</f>
        <v>8405.66</v>
      </c>
      <c r="F96" s="33" t="n">
        <f aca="false">'Building 5'!D17</f>
        <v>8405.66</v>
      </c>
    </row>
    <row r="97" customFormat="false" ht="15" hidden="false" customHeight="false" outlineLevel="0" collapsed="false">
      <c r="B97" s="5" t="str">
        <f aca="false">'Building 5'!B18</f>
        <v>2 - Land Imp - Peter St - 5 - 27.5yr</v>
      </c>
      <c r="D97" s="33" t="n">
        <f aca="false">SUM(F97:H97)</f>
        <v>32747.13</v>
      </c>
      <c r="H97" s="33" t="n">
        <f aca="false">'Building 5'!D18</f>
        <v>32747.13</v>
      </c>
    </row>
    <row r="98" customFormat="false" ht="15" hidden="false" customHeight="false" outlineLevel="0" collapsed="false">
      <c r="B98" s="5" t="str">
        <f aca="false">'Building 5'!B19</f>
        <v>3 - Building - Peter St - 5 - 5yr</v>
      </c>
      <c r="D98" s="33" t="n">
        <f aca="false">SUM(F98:H98)</f>
        <v>82043.63</v>
      </c>
      <c r="F98" s="33" t="n">
        <f aca="false">'Building 5'!D19</f>
        <v>82043.63</v>
      </c>
    </row>
    <row r="99" customFormat="false" ht="15" hidden="false" customHeight="false" outlineLevel="0" collapsed="false">
      <c r="B99" s="5" t="str">
        <f aca="false">'Building 5'!B20</f>
        <v>3 - Building - Peter St - 5 - 27.5yr</v>
      </c>
      <c r="D99" s="33" t="n">
        <f aca="false">SUM(F99:H99)</f>
        <v>319628.9</v>
      </c>
      <c r="H99" s="33" t="n">
        <f aca="false">'Building 5'!D20</f>
        <v>319628.9</v>
      </c>
    </row>
    <row r="100" customFormat="false" ht="15" hidden="false" customHeight="false" outlineLevel="0" collapsed="false">
      <c r="B100" s="5" t="str">
        <f aca="false">'Building 5'!B21</f>
        <v>4 - Equipment - Peter St - 5 - 5yr</v>
      </c>
      <c r="D100" s="33" t="n">
        <f aca="false">SUM(F100:H100)</f>
        <v>6252.15</v>
      </c>
      <c r="F100" s="33" t="n">
        <f aca="false">'Building 5'!D21</f>
        <v>6252.15</v>
      </c>
    </row>
    <row r="101" customFormat="false" ht="15" hidden="false" customHeight="false" outlineLevel="0" collapsed="false">
      <c r="B101" s="5" t="str">
        <f aca="false">'Building 5'!B22</f>
        <v>4 - Equipment - Peter St - 5 - 27.5yr</v>
      </c>
      <c r="D101" s="33" t="n">
        <f aca="false">SUM(F101:H101)</f>
        <v>24357.37</v>
      </c>
      <c r="H101" s="33" t="n">
        <f aca="false">'Building 5'!D22</f>
        <v>24357.37</v>
      </c>
    </row>
    <row r="102" customFormat="false" ht="15" hidden="false" customHeight="false" outlineLevel="0" collapsed="false">
      <c r="B102" s="11" t="s">
        <v>156</v>
      </c>
      <c r="D102" s="34" t="n">
        <f aca="false">SUM(D96:D101)</f>
        <v>473434.84</v>
      </c>
      <c r="F102" s="34" t="n">
        <f aca="false">SUM(F96:F101)</f>
        <v>96701.44</v>
      </c>
      <c r="H102" s="34" t="n">
        <f aca="false">SUM(H96:H101)</f>
        <v>376733.4</v>
      </c>
    </row>
    <row r="103" customFormat="false" ht="15" hidden="false" customHeight="false" outlineLevel="0" collapsed="false">
      <c r="B103" s="16" t="s">
        <v>157</v>
      </c>
      <c r="D103" s="17" t="n">
        <f aca="false">D102-D91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202</v>
      </c>
    </row>
    <row r="5" customFormat="false" ht="15" hidden="false" customHeight="false" outlineLevel="0" collapsed="false">
      <c r="A5" s="16" t="s">
        <v>97</v>
      </c>
    </row>
    <row r="7" customFormat="false" ht="15" hidden="false" customHeight="false" outlineLevel="0" collapsed="false">
      <c r="A7" s="10" t="s">
        <v>98</v>
      </c>
    </row>
    <row r="8" customFormat="false" ht="15" hidden="false" customHeight="false" outlineLevel="0" collapsed="false">
      <c r="A8" s="21" t="s">
        <v>99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100</v>
      </c>
      <c r="B9" s="4" t="s">
        <v>101</v>
      </c>
      <c r="C9" s="4" t="s">
        <v>102</v>
      </c>
      <c r="D9" s="4" t="s">
        <v>103</v>
      </c>
      <c r="E9" s="4" t="s">
        <v>104</v>
      </c>
      <c r="F9" s="4" t="s">
        <v>105</v>
      </c>
      <c r="G9" s="4" t="s">
        <v>106</v>
      </c>
      <c r="H9" s="4" t="s">
        <v>107</v>
      </c>
      <c r="I9" s="4" t="s">
        <v>108</v>
      </c>
      <c r="J9" s="4" t="s">
        <v>109</v>
      </c>
      <c r="K9" s="4" t="s">
        <v>110</v>
      </c>
      <c r="L9" s="4" t="s">
        <v>111</v>
      </c>
    </row>
    <row r="10" customFormat="false" ht="15" hidden="false" customHeight="false" outlineLevel="0" collapsed="false">
      <c r="A10" s="23" t="n">
        <v>1</v>
      </c>
      <c r="B10" s="23" t="s">
        <v>38</v>
      </c>
      <c r="C10" s="23" t="s">
        <v>37</v>
      </c>
      <c r="D10" s="24" t="n">
        <v>86347</v>
      </c>
      <c r="E10" s="24" t="n">
        <v>0</v>
      </c>
      <c r="F10" s="24" t="n">
        <v>19904</v>
      </c>
      <c r="G10" s="24" t="n">
        <v>19904</v>
      </c>
      <c r="H10" s="24" t="n">
        <v>6644</v>
      </c>
      <c r="I10" s="24" t="n">
        <v>26548</v>
      </c>
      <c r="J10" s="24" t="n">
        <v>33192</v>
      </c>
      <c r="K10" s="25" t="s">
        <v>112</v>
      </c>
      <c r="L10" s="25" t="s">
        <v>113</v>
      </c>
    </row>
    <row r="11" customFormat="false" ht="15" hidden="false" customHeight="false" outlineLevel="0" collapsed="false">
      <c r="A11" s="26"/>
      <c r="B11" s="27" t="s">
        <v>39</v>
      </c>
      <c r="C11" s="26"/>
      <c r="D11" s="28" t="n">
        <f aca="false">SUM(D10:D10)</f>
        <v>86347</v>
      </c>
      <c r="E11" s="28" t="n">
        <f aca="false">SUM(E10:E10)</f>
        <v>0</v>
      </c>
      <c r="F11" s="28" t="n">
        <f aca="false">SUM(F10:F10)</f>
        <v>19904</v>
      </c>
      <c r="G11" s="28" t="n">
        <f aca="false">SUM(G10:G10)</f>
        <v>19904</v>
      </c>
      <c r="H11" s="28" t="n">
        <f aca="false">SUM(H10:H10)</f>
        <v>6644</v>
      </c>
      <c r="I11" s="28" t="n">
        <f aca="false">SUM(I10:I10)</f>
        <v>26548</v>
      </c>
      <c r="J11" s="28" t="n">
        <f aca="false">SUM(J10:J10)</f>
        <v>33192</v>
      </c>
      <c r="K11" s="26"/>
      <c r="L11" s="26"/>
    </row>
    <row r="13" customFormat="false" ht="15" hidden="false" customHeight="false" outlineLevel="0" collapsed="false">
      <c r="A13" s="21" t="s">
        <v>118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customFormat="false" ht="22.35" hidden="false" customHeight="false" outlineLevel="0" collapsed="false">
      <c r="A14" s="4" t="s">
        <v>100</v>
      </c>
      <c r="B14" s="4" t="s">
        <v>101</v>
      </c>
      <c r="C14" s="4" t="s">
        <v>102</v>
      </c>
      <c r="D14" s="4" t="s">
        <v>103</v>
      </c>
      <c r="E14" s="4" t="s">
        <v>104</v>
      </c>
      <c r="F14" s="4" t="s">
        <v>105</v>
      </c>
      <c r="G14" s="4" t="s">
        <v>106</v>
      </c>
      <c r="H14" s="4" t="s">
        <v>107</v>
      </c>
      <c r="I14" s="4" t="s">
        <v>108</v>
      </c>
      <c r="J14" s="4" t="s">
        <v>109</v>
      </c>
      <c r="K14" s="4" t="s">
        <v>110</v>
      </c>
      <c r="L14" s="4" t="s">
        <v>111</v>
      </c>
    </row>
    <row r="15" customFormat="false" ht="15" hidden="false" customHeight="false" outlineLevel="0" collapsed="false">
      <c r="A15" s="23" t="n">
        <v>1</v>
      </c>
      <c r="B15" s="23" t="s">
        <v>83</v>
      </c>
      <c r="C15" s="23" t="s">
        <v>37</v>
      </c>
      <c r="D15" s="24" t="n">
        <v>23596</v>
      </c>
      <c r="E15" s="24" t="n">
        <v>0</v>
      </c>
      <c r="F15" s="24" t="n">
        <v>23596</v>
      </c>
      <c r="G15" s="24" t="n">
        <v>23596</v>
      </c>
      <c r="H15" s="24" t="n">
        <v>0</v>
      </c>
      <c r="I15" s="24" t="n">
        <f aca="false">G15+H15</f>
        <v>23596</v>
      </c>
      <c r="J15" s="24" t="n">
        <f aca="false">D15-I15</f>
        <v>0</v>
      </c>
      <c r="K15" s="25" t="s">
        <v>116</v>
      </c>
      <c r="L15" s="25" t="s">
        <v>117</v>
      </c>
    </row>
    <row r="16" customFormat="false" ht="15" hidden="false" customHeight="false" outlineLevel="0" collapsed="false">
      <c r="A16" s="23" t="n">
        <v>2</v>
      </c>
      <c r="B16" s="23" t="s">
        <v>84</v>
      </c>
      <c r="C16" s="23" t="s">
        <v>37</v>
      </c>
      <c r="D16" s="24" t="n">
        <v>62751</v>
      </c>
      <c r="E16" s="24" t="n">
        <v>0</v>
      </c>
      <c r="F16" s="24" t="n">
        <v>0</v>
      </c>
      <c r="G16" s="24" t="n">
        <v>5609.55</v>
      </c>
      <c r="H16" s="24" t="n">
        <v>2281.85</v>
      </c>
      <c r="I16" s="24" t="n">
        <f aca="false">G16+H16</f>
        <v>7891.4</v>
      </c>
      <c r="J16" s="24" t="n">
        <f aca="false">D16-I16</f>
        <v>54859.6</v>
      </c>
      <c r="K16" s="25" t="s">
        <v>114</v>
      </c>
      <c r="L16" s="25" t="s">
        <v>115</v>
      </c>
    </row>
    <row r="17" customFormat="false" ht="15" hidden="false" customHeight="false" outlineLevel="0" collapsed="false">
      <c r="A17" s="26"/>
      <c r="B17" s="27" t="s">
        <v>39</v>
      </c>
      <c r="C17" s="26"/>
      <c r="D17" s="28" t="n">
        <f aca="false">SUM(D15:D16)</f>
        <v>86347</v>
      </c>
      <c r="E17" s="28" t="n">
        <f aca="false">SUM(E15:E16)</f>
        <v>0</v>
      </c>
      <c r="F17" s="28" t="n">
        <f aca="false">SUM(F15:F16)</f>
        <v>23596</v>
      </c>
      <c r="G17" s="28" t="n">
        <f aca="false">SUM(G15:G16)</f>
        <v>29205.55</v>
      </c>
      <c r="H17" s="28" t="n">
        <f aca="false">SUM(H15:H16)</f>
        <v>2281.85</v>
      </c>
      <c r="I17" s="28" t="n">
        <f aca="false">SUM(I15:I16)</f>
        <v>31487.4</v>
      </c>
      <c r="J17" s="28" t="n">
        <f aca="false">SUM(J15:J16)</f>
        <v>54859.6</v>
      </c>
      <c r="K17" s="26"/>
      <c r="L17" s="26"/>
    </row>
    <row r="19" customFormat="false" ht="15" hidden="false" customHeight="false" outlineLevel="0" collapsed="false">
      <c r="B19" s="18" t="s">
        <v>119</v>
      </c>
    </row>
    <row r="20" customFormat="false" ht="15" hidden="false" customHeight="false" outlineLevel="0" collapsed="false">
      <c r="B20" s="5" t="s">
        <v>120</v>
      </c>
      <c r="D20" s="6" t="n">
        <f aca="false">I11</f>
        <v>26548</v>
      </c>
    </row>
    <row r="21" customFormat="false" ht="15" hidden="false" customHeight="false" outlineLevel="0" collapsed="false">
      <c r="B21" s="5" t="s">
        <v>121</v>
      </c>
      <c r="D21" s="6" t="n">
        <f aca="false">I17</f>
        <v>31487.4</v>
      </c>
    </row>
    <row r="22" customFormat="false" ht="15" hidden="false" customHeight="false" outlineLevel="0" collapsed="false">
      <c r="B22" s="11" t="s">
        <v>119</v>
      </c>
      <c r="D22" s="29" t="n">
        <f aca="false">D20-D21</f>
        <v>-4939.4</v>
      </c>
    </row>
    <row r="24" customFormat="false" ht="15" hidden="false" customHeight="false" outlineLevel="0" collapsed="false">
      <c r="A24" s="10" t="s">
        <v>122</v>
      </c>
    </row>
    <row r="25" customFormat="false" ht="15" hidden="false" customHeight="false" outlineLevel="0" collapsed="false">
      <c r="A25" s="21" t="s">
        <v>123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customFormat="false" ht="22.35" hidden="false" customHeight="false" outlineLevel="0" collapsed="false">
      <c r="A26" s="4" t="s">
        <v>100</v>
      </c>
      <c r="B26" s="4" t="s">
        <v>101</v>
      </c>
      <c r="C26" s="4" t="s">
        <v>102</v>
      </c>
      <c r="D26" s="4" t="s">
        <v>103</v>
      </c>
      <c r="E26" s="4" t="s">
        <v>104</v>
      </c>
      <c r="F26" s="4" t="s">
        <v>105</v>
      </c>
      <c r="G26" s="4" t="s">
        <v>124</v>
      </c>
      <c r="H26" s="4" t="s">
        <v>125</v>
      </c>
      <c r="I26" s="4" t="s">
        <v>108</v>
      </c>
      <c r="J26" s="4" t="s">
        <v>109</v>
      </c>
      <c r="K26" s="4" t="s">
        <v>110</v>
      </c>
      <c r="L26" s="4" t="s">
        <v>111</v>
      </c>
    </row>
    <row r="27" customFormat="false" ht="15" hidden="false" customHeight="false" outlineLevel="0" collapsed="false">
      <c r="A27" s="23" t="n">
        <v>1</v>
      </c>
      <c r="B27" s="23" t="s">
        <v>38</v>
      </c>
      <c r="C27" s="23" t="s">
        <v>37</v>
      </c>
      <c r="D27" s="24" t="n">
        <v>86347</v>
      </c>
      <c r="E27" s="24" t="n">
        <v>0</v>
      </c>
      <c r="F27" s="24" t="n">
        <v>19904</v>
      </c>
      <c r="G27" s="24" t="n">
        <v>19904</v>
      </c>
      <c r="H27" s="24" t="n">
        <v>6644</v>
      </c>
      <c r="I27" s="24" t="n">
        <v>26548</v>
      </c>
      <c r="J27" s="24" t="n">
        <v>33192</v>
      </c>
      <c r="K27" s="25" t="s">
        <v>112</v>
      </c>
      <c r="L27" s="25" t="s">
        <v>113</v>
      </c>
    </row>
    <row r="28" customFormat="false" ht="15" hidden="false" customHeight="false" outlineLevel="0" collapsed="false">
      <c r="A28" s="26"/>
      <c r="B28" s="27" t="s">
        <v>39</v>
      </c>
      <c r="C28" s="26"/>
      <c r="D28" s="28" t="n">
        <f aca="false">SUM(D27:D27)</f>
        <v>86347</v>
      </c>
      <c r="E28" s="28" t="n">
        <f aca="false">SUM(E27:E27)</f>
        <v>0</v>
      </c>
      <c r="F28" s="28" t="n">
        <f aca="false">SUM(F27:F27)</f>
        <v>19904</v>
      </c>
      <c r="G28" s="28" t="n">
        <f aca="false">SUM(G27:G27)</f>
        <v>19904</v>
      </c>
      <c r="H28" s="28" t="n">
        <f aca="false">SUM(H27:H27)</f>
        <v>6644</v>
      </c>
      <c r="I28" s="28" t="n">
        <f aca="false">SUM(I27:I27)</f>
        <v>26548</v>
      </c>
      <c r="J28" s="28" t="n">
        <f aca="false">SUM(J27:J27)</f>
        <v>33192</v>
      </c>
      <c r="K28" s="26"/>
      <c r="L28" s="26"/>
    </row>
    <row r="30" customFormat="false" ht="15" hidden="false" customHeight="false" outlineLevel="0" collapsed="false">
      <c r="A30" s="21" t="s">
        <v>126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customFormat="false" ht="22.35" hidden="false" customHeight="false" outlineLevel="0" collapsed="false">
      <c r="A31" s="4" t="s">
        <v>100</v>
      </c>
      <c r="B31" s="4" t="s">
        <v>101</v>
      </c>
      <c r="C31" s="4" t="s">
        <v>102</v>
      </c>
      <c r="D31" s="4" t="s">
        <v>103</v>
      </c>
      <c r="E31" s="4" t="s">
        <v>104</v>
      </c>
      <c r="F31" s="4" t="s">
        <v>105</v>
      </c>
      <c r="G31" s="4" t="s">
        <v>124</v>
      </c>
      <c r="H31" s="4" t="s">
        <v>125</v>
      </c>
      <c r="I31" s="4" t="s">
        <v>108</v>
      </c>
      <c r="J31" s="4" t="s">
        <v>109</v>
      </c>
      <c r="K31" s="4" t="s">
        <v>110</v>
      </c>
      <c r="L31" s="4" t="s">
        <v>111</v>
      </c>
    </row>
    <row r="32" customFormat="false" ht="15" hidden="false" customHeight="false" outlineLevel="0" collapsed="false">
      <c r="A32" s="23" t="n">
        <v>1</v>
      </c>
      <c r="B32" s="23" t="s">
        <v>83</v>
      </c>
      <c r="C32" s="23" t="s">
        <v>37</v>
      </c>
      <c r="D32" s="24" t="n">
        <v>23596</v>
      </c>
      <c r="E32" s="24" t="n">
        <v>0</v>
      </c>
      <c r="F32" s="24" t="n">
        <v>23596</v>
      </c>
      <c r="G32" s="24" t="n">
        <v>23596</v>
      </c>
      <c r="H32" s="24" t="n">
        <v>0</v>
      </c>
      <c r="I32" s="24" t="n">
        <f aca="false">G32+H32</f>
        <v>23596</v>
      </c>
      <c r="J32" s="24" t="n">
        <f aca="false">D32-I32</f>
        <v>0</v>
      </c>
      <c r="K32" s="25" t="s">
        <v>116</v>
      </c>
      <c r="L32" s="25" t="s">
        <v>117</v>
      </c>
    </row>
    <row r="33" customFormat="false" ht="15" hidden="false" customHeight="false" outlineLevel="0" collapsed="false">
      <c r="A33" s="23" t="n">
        <v>2</v>
      </c>
      <c r="B33" s="23" t="s">
        <v>84</v>
      </c>
      <c r="C33" s="23" t="s">
        <v>37</v>
      </c>
      <c r="D33" s="24" t="n">
        <v>62751</v>
      </c>
      <c r="E33" s="24" t="n">
        <v>0</v>
      </c>
      <c r="F33" s="24" t="n">
        <v>0</v>
      </c>
      <c r="G33" s="24" t="n">
        <v>5609.55</v>
      </c>
      <c r="H33" s="24" t="n">
        <v>2281.85</v>
      </c>
      <c r="I33" s="24" t="n">
        <f aca="false">G33+H33</f>
        <v>7891.4</v>
      </c>
      <c r="J33" s="24" t="n">
        <f aca="false">D33-I33</f>
        <v>54859.6</v>
      </c>
      <c r="K33" s="25" t="s">
        <v>114</v>
      </c>
      <c r="L33" s="25" t="s">
        <v>115</v>
      </c>
    </row>
    <row r="34" customFormat="false" ht="15" hidden="false" customHeight="false" outlineLevel="0" collapsed="false">
      <c r="A34" s="26"/>
      <c r="B34" s="27" t="s">
        <v>39</v>
      </c>
      <c r="C34" s="26"/>
      <c r="D34" s="28" t="n">
        <f aca="false">SUM(D32:D33)</f>
        <v>86347</v>
      </c>
      <c r="E34" s="28" t="n">
        <f aca="false">SUM(E32:E33)</f>
        <v>0</v>
      </c>
      <c r="F34" s="28" t="n">
        <f aca="false">SUM(F32:F33)</f>
        <v>23596</v>
      </c>
      <c r="G34" s="28" t="n">
        <f aca="false">SUM(G32:G33)</f>
        <v>29205.55</v>
      </c>
      <c r="H34" s="28" t="n">
        <f aca="false">SUM(H32:H33)</f>
        <v>2281.85</v>
      </c>
      <c r="I34" s="28" t="n">
        <f aca="false">SUM(I32:I33)</f>
        <v>31487.4</v>
      </c>
      <c r="J34" s="28" t="n">
        <f aca="false">SUM(J32:J33)</f>
        <v>54859.6</v>
      </c>
      <c r="K34" s="26"/>
      <c r="L34" s="26"/>
    </row>
    <row r="36" customFormat="false" ht="15" hidden="false" customHeight="false" outlineLevel="0" collapsed="false">
      <c r="B36" s="18" t="s">
        <v>127</v>
      </c>
    </row>
    <row r="37" customFormat="false" ht="15" hidden="false" customHeight="false" outlineLevel="0" collapsed="false">
      <c r="B37" s="5" t="s">
        <v>120</v>
      </c>
      <c r="D37" s="6" t="n">
        <f aca="false">I28</f>
        <v>26548</v>
      </c>
    </row>
    <row r="38" customFormat="false" ht="15" hidden="false" customHeight="false" outlineLevel="0" collapsed="false">
      <c r="B38" s="5" t="s">
        <v>121</v>
      </c>
      <c r="D38" s="6" t="n">
        <f aca="false">I34</f>
        <v>31487.4</v>
      </c>
    </row>
    <row r="39" customFormat="false" ht="15" hidden="false" customHeight="false" outlineLevel="0" collapsed="false">
      <c r="B39" s="11" t="s">
        <v>127</v>
      </c>
      <c r="D39" s="29" t="n">
        <f aca="false">D37-D38</f>
        <v>-4939.4</v>
      </c>
    </row>
    <row r="41" customFormat="false" ht="15" hidden="false" customHeight="false" outlineLevel="0" collapsed="false">
      <c r="A41" s="10" t="s">
        <v>128</v>
      </c>
    </row>
    <row r="42" customFormat="false" ht="15" hidden="false" customHeight="false" outlineLevel="0" collapsed="false">
      <c r="B42" s="11" t="s">
        <v>159</v>
      </c>
      <c r="D42" s="12" t="n">
        <f aca="false">D54</f>
        <v>86347</v>
      </c>
    </row>
    <row r="43" customFormat="false" ht="15" hidden="false" customHeight="false" outlineLevel="0" collapsed="false">
      <c r="B43" s="5" t="s">
        <v>160</v>
      </c>
      <c r="D43" s="6" t="n">
        <f aca="false">F54</f>
        <v>23596</v>
      </c>
    </row>
    <row r="44" customFormat="false" ht="15" hidden="false" customHeight="false" outlineLevel="0" collapsed="false">
      <c r="B44" s="30" t="s">
        <v>131</v>
      </c>
      <c r="D44" s="31" t="n">
        <f aca="false">F55</f>
        <v>0.273269482437143</v>
      </c>
    </row>
    <row r="45" customFormat="false" ht="15" hidden="false" customHeight="false" outlineLevel="0" collapsed="false">
      <c r="B45" s="5" t="s">
        <v>161</v>
      </c>
      <c r="D45" s="6" t="n">
        <f aca="false">H54</f>
        <v>62751</v>
      </c>
    </row>
    <row r="46" customFormat="false" ht="15" hidden="false" customHeight="false" outlineLevel="0" collapsed="false">
      <c r="B46" s="30" t="s">
        <v>131</v>
      </c>
      <c r="D46" s="31" t="n">
        <f aca="false">H55</f>
        <v>0.726730517562857</v>
      </c>
    </row>
    <row r="48" customFormat="false" ht="15" hidden="false" customHeight="false" outlineLevel="0" collapsed="false">
      <c r="A48" s="10" t="s">
        <v>133</v>
      </c>
    </row>
    <row r="49" customFormat="false" ht="15" hidden="false" customHeight="false" outlineLevel="0" collapsed="false">
      <c r="B49" s="4" t="s">
        <v>134</v>
      </c>
      <c r="D49" s="4" t="s">
        <v>103</v>
      </c>
      <c r="F49" s="4" t="s">
        <v>162</v>
      </c>
      <c r="H49" s="4" t="s">
        <v>136</v>
      </c>
    </row>
    <row r="50" customFormat="false" ht="15" hidden="false" customHeight="false" outlineLevel="0" collapsed="false">
      <c r="B50" s="32" t="s">
        <v>163</v>
      </c>
    </row>
    <row r="51" customFormat="false" ht="15" hidden="false" customHeight="false" outlineLevel="0" collapsed="false">
      <c r="B51" s="5" t="s">
        <v>167</v>
      </c>
      <c r="D51" s="33" t="n">
        <f aca="false">SUM(F51:H51)</f>
        <v>23596</v>
      </c>
      <c r="F51" s="33" t="n">
        <v>23596</v>
      </c>
    </row>
    <row r="52" customFormat="false" ht="15" hidden="false" customHeight="false" outlineLevel="0" collapsed="false">
      <c r="B52" s="32" t="s">
        <v>175</v>
      </c>
    </row>
    <row r="53" customFormat="false" ht="15" hidden="false" customHeight="false" outlineLevel="0" collapsed="false">
      <c r="B53" s="5" t="s">
        <v>203</v>
      </c>
      <c r="D53" s="33" t="n">
        <f aca="false">SUM(F53:H53)</f>
        <v>62751</v>
      </c>
      <c r="H53" s="33" t="n">
        <v>62751</v>
      </c>
    </row>
    <row r="54" customFormat="false" ht="15" hidden="false" customHeight="false" outlineLevel="0" collapsed="false">
      <c r="B54" s="11" t="s">
        <v>159</v>
      </c>
      <c r="D54" s="34" t="n">
        <f aca="false">SUM(D50:D53)</f>
        <v>86347</v>
      </c>
      <c r="F54" s="34" t="n">
        <f aca="false">SUM(F50:F53)</f>
        <v>23596</v>
      </c>
      <c r="H54" s="34" t="n">
        <f aca="false">SUM(H50:H53)</f>
        <v>62751</v>
      </c>
    </row>
    <row r="55" customFormat="false" ht="15" hidden="false" customHeight="false" outlineLevel="0" collapsed="false">
      <c r="B55" s="30" t="s">
        <v>131</v>
      </c>
      <c r="F55" s="31" t="n">
        <f aca="false">F54/D54</f>
        <v>0.273269482437143</v>
      </c>
      <c r="H55" s="31" t="n">
        <f aca="false">H54/D54</f>
        <v>0.726730517562857</v>
      </c>
    </row>
    <row r="57" customFormat="false" ht="15" hidden="false" customHeight="false" outlineLevel="0" collapsed="false">
      <c r="A57" s="10" t="s">
        <v>154</v>
      </c>
    </row>
    <row r="58" customFormat="false" ht="15" hidden="false" customHeight="false" outlineLevel="0" collapsed="false">
      <c r="B58" s="4" t="s">
        <v>155</v>
      </c>
      <c r="D58" s="4" t="s">
        <v>103</v>
      </c>
      <c r="F58" s="4" t="s">
        <v>162</v>
      </c>
      <c r="H58" s="4" t="s">
        <v>136</v>
      </c>
    </row>
    <row r="59" customFormat="false" ht="15" hidden="false" customHeight="false" outlineLevel="0" collapsed="false">
      <c r="B59" s="5" t="str">
        <f aca="false">Imp!B15</f>
        <v>8 - Building Improvement - Peter St - 5yr</v>
      </c>
      <c r="D59" s="33" t="n">
        <f aca="false">SUM(F59:H59)</f>
        <v>23596</v>
      </c>
      <c r="F59" s="33" t="n">
        <f aca="false">Imp!D15</f>
        <v>23596</v>
      </c>
    </row>
    <row r="60" customFormat="false" ht="15" hidden="false" customHeight="false" outlineLevel="0" collapsed="false">
      <c r="B60" s="5" t="str">
        <f aca="false">Imp!B16</f>
        <v>8 - Building Improvement - Peter St - 27.5yr</v>
      </c>
      <c r="D60" s="33" t="n">
        <f aca="false">SUM(F60:H60)</f>
        <v>62751</v>
      </c>
      <c r="H60" s="33" t="n">
        <f aca="false">Imp!D16</f>
        <v>62751</v>
      </c>
    </row>
    <row r="61" customFormat="false" ht="15" hidden="false" customHeight="false" outlineLevel="0" collapsed="false">
      <c r="B61" s="11" t="s">
        <v>156</v>
      </c>
      <c r="D61" s="34" t="n">
        <f aca="false">SUM(D59:D60)</f>
        <v>86347</v>
      </c>
      <c r="F61" s="34" t="n">
        <f aca="false">SUM(F59:F60)</f>
        <v>23596</v>
      </c>
      <c r="H61" s="34" t="n">
        <f aca="false">SUM(H59:H60)</f>
        <v>62751</v>
      </c>
    </row>
    <row r="62" customFormat="false" ht="15" hidden="false" customHeight="false" outlineLevel="0" collapsed="false">
      <c r="B62" s="16" t="s">
        <v>157</v>
      </c>
      <c r="D62" s="17" t="n">
        <f aca="false">D61-D54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2026-07-17T19:11:03Z</dcterms:created>
  <dc:creator>openpyxl</dc:creator>
  <dc:description/>
  <dc:language>en-US</dc:language>
  <cp:lastModifiedBy/>
  <dcterms:modified xsi:type="dcterms:W3CDTF">2026-07-17T19:11:03Z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